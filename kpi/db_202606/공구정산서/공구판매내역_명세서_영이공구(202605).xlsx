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/>
  <mc:AlternateContent xmlns:mc="http://schemas.openxmlformats.org/markup-compatibility/2006">
    <mc:Choice Requires="x15">
      <x15ac:absPath xmlns:x15ac="http://schemas.microsoft.com/office/spreadsheetml/2010/11/ac" url="/Users/Kyoyoung/Desktop/004.입점채널관리_온라인/공구/영이 공구 2604_아웃도어/"/>
    </mc:Choice>
  </mc:AlternateContent>
  <xr:revisionPtr revIDLastSave="0" documentId="13_ncr:1_{A439385E-ADDA-5346-B2FB-9AFC951CA878}" xr6:coauthVersionLast="47" xr6:coauthVersionMax="47" xr10:uidLastSave="{00000000-0000-0000-0000-000000000000}"/>
  <bookViews>
    <workbookView xWindow="28800" yWindow="500" windowWidth="51200" windowHeight="21100" xr2:uid="{00000000-000D-0000-FFFF-FFFF00000000}"/>
  </bookViews>
  <sheets>
    <sheet name="공구영수증" sheetId="1" r:id="rId1"/>
    <sheet name="광고비용 집계" sheetId="3" r:id="rId2"/>
    <sheet name="판매내역집계" sheetId="7" r:id="rId3"/>
    <sheet name="DB) 스마트스토어(5월구매확정)" sheetId="4" r:id="rId4"/>
    <sheet name="DB) 콘디(5월배송완료)" sheetId="5" r:id="rId5"/>
    <sheet name="DB) 도톤(5월배송완료)" sheetId="6" r:id="rId6"/>
  </sheets>
  <definedNames>
    <definedName name="_xlnm._FilterDatabase" localSheetId="2" hidden="1">판매내역집계!$A$5:$G$59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28" i="1" l="1"/>
  <c r="F24" i="1"/>
  <c r="F23" i="1"/>
  <c r="F22" i="1"/>
  <c r="F21" i="1"/>
  <c r="F20" i="1"/>
  <c r="F19" i="1"/>
  <c r="E58" i="7"/>
  <c r="F57" i="7"/>
  <c r="G57" i="7" s="1"/>
  <c r="F56" i="7"/>
  <c r="G56" i="7" s="1"/>
  <c r="F55" i="7"/>
  <c r="G55" i="7" s="1"/>
  <c r="E54" i="7"/>
  <c r="F53" i="7"/>
  <c r="G53" i="7" s="1"/>
  <c r="G54" i="7" s="1"/>
  <c r="E52" i="7"/>
  <c r="F51" i="7"/>
  <c r="G51" i="7" s="1"/>
  <c r="F50" i="7"/>
  <c r="E49" i="7"/>
  <c r="F48" i="7"/>
  <c r="F49" i="7" s="1"/>
  <c r="E47" i="7"/>
  <c r="F46" i="7"/>
  <c r="G46" i="7" s="1"/>
  <c r="F45" i="7"/>
  <c r="G45" i="7" s="1"/>
  <c r="F44" i="7"/>
  <c r="G44" i="7" s="1"/>
  <c r="F43" i="7"/>
  <c r="G43" i="7" s="1"/>
  <c r="F42" i="7"/>
  <c r="G42" i="7" s="1"/>
  <c r="F41" i="7"/>
  <c r="G41" i="7" s="1"/>
  <c r="F40" i="7"/>
  <c r="G40" i="7" s="1"/>
  <c r="F39" i="7"/>
  <c r="G39" i="7" s="1"/>
  <c r="F38" i="7"/>
  <c r="G38" i="7" s="1"/>
  <c r="F37" i="7"/>
  <c r="G37" i="7" s="1"/>
  <c r="F36" i="7"/>
  <c r="G36" i="7" s="1"/>
  <c r="F35" i="7"/>
  <c r="E34" i="7"/>
  <c r="F33" i="7"/>
  <c r="G33" i="7" s="1"/>
  <c r="F32" i="7"/>
  <c r="G32" i="7" s="1"/>
  <c r="F31" i="7"/>
  <c r="G31" i="7" s="1"/>
  <c r="F30" i="7"/>
  <c r="G30" i="7" s="1"/>
  <c r="F29" i="7"/>
  <c r="G29" i="7" s="1"/>
  <c r="F28" i="7"/>
  <c r="G28" i="7" s="1"/>
  <c r="F27" i="7"/>
  <c r="G27" i="7" s="1"/>
  <c r="F26" i="7"/>
  <c r="G26" i="7" s="1"/>
  <c r="F25" i="7"/>
  <c r="G25" i="7" s="1"/>
  <c r="F24" i="7"/>
  <c r="G24" i="7" s="1"/>
  <c r="F23" i="7"/>
  <c r="G23" i="7" s="1"/>
  <c r="F22" i="7"/>
  <c r="E21" i="7"/>
  <c r="F20" i="7"/>
  <c r="G20" i="7" s="1"/>
  <c r="F19" i="7"/>
  <c r="G19" i="7" s="1"/>
  <c r="F18" i="7"/>
  <c r="G18" i="7" s="1"/>
  <c r="F17" i="7"/>
  <c r="G17" i="7" s="1"/>
  <c r="F16" i="7"/>
  <c r="E15" i="7"/>
  <c r="F14" i="7"/>
  <c r="G14" i="7" s="1"/>
  <c r="F13" i="7"/>
  <c r="G13" i="7" s="1"/>
  <c r="F12" i="7"/>
  <c r="G12" i="7" s="1"/>
  <c r="F11" i="7"/>
  <c r="G11" i="7" s="1"/>
  <c r="F10" i="7"/>
  <c r="G10" i="7" s="1"/>
  <c r="F9" i="7"/>
  <c r="G9" i="7" s="1"/>
  <c r="F8" i="7"/>
  <c r="G8" i="7" s="1"/>
  <c r="F7" i="7"/>
  <c r="G7" i="7" s="1"/>
  <c r="F6" i="7"/>
  <c r="C4" i="3"/>
  <c r="C3" i="3"/>
  <c r="B4" i="3"/>
  <c r="B3" i="3"/>
  <c r="D3" i="3"/>
  <c r="F29" i="1"/>
  <c r="H28" i="1"/>
  <c r="H29" i="1" s="1"/>
  <c r="H32" i="1" s="1"/>
  <c r="C8" i="1"/>
  <c r="F54" i="7" l="1"/>
  <c r="E59" i="7"/>
  <c r="F34" i="7"/>
  <c r="F47" i="7"/>
  <c r="G58" i="7"/>
  <c r="F21" i="7"/>
  <c r="F52" i="7"/>
  <c r="F15" i="7"/>
  <c r="F58" i="7"/>
  <c r="G16" i="7"/>
  <c r="G21" i="7" s="1"/>
  <c r="G35" i="7"/>
  <c r="G47" i="7" s="1"/>
  <c r="G50" i="7"/>
  <c r="G52" i="7" s="1"/>
  <c r="G6" i="7"/>
  <c r="G15" i="7" s="1"/>
  <c r="G48" i="7"/>
  <c r="G49" i="7" s="1"/>
  <c r="G22" i="7"/>
  <c r="G34" i="7" s="1"/>
  <c r="D4" i="3"/>
  <c r="H23" i="1"/>
  <c r="H20" i="1"/>
  <c r="H21" i="1"/>
  <c r="H24" i="1"/>
  <c r="H22" i="1"/>
  <c r="F59" i="7" l="1"/>
  <c r="G59" i="7"/>
  <c r="F25" i="1" l="1"/>
  <c r="H19" i="1"/>
  <c r="H25" i="1" s="1"/>
  <c r="H31" i="1" s="1"/>
  <c r="H34" i="1" s="1"/>
</calcChain>
</file>

<file path=xl/sharedStrings.xml><?xml version="1.0" encoding="utf-8"?>
<sst xmlns="http://schemas.openxmlformats.org/spreadsheetml/2006/main" count="18050" uniqueCount="6452">
  <si>
    <t>문서번호</t>
  </si>
  <si>
    <t>주식회사 우프컴퍼니  (314-87-00725)</t>
  </si>
  <si>
    <t>날짜</t>
  </si>
  <si>
    <t>서울 용산구 한남대로8길 6-17, 1F</t>
  </si>
  <si>
    <t>문서제목</t>
  </si>
  <si>
    <t>대표자명</t>
  </si>
  <si>
    <t>이교영 (인)</t>
  </si>
  <si>
    <t>수신</t>
  </si>
  <si>
    <t>안진양 대표님 (영이공구)</t>
  </si>
  <si>
    <t>team@wooof.co.kr</t>
  </si>
  <si>
    <t>1. 귀사의 무궁한 발전과 건승을 기원합니다.</t>
  </si>
  <si>
    <t>2. 아래와 같이 판매의 내역을 공유드리며, 확인 후 이상이 없으신 경우 지급처리를 위한 전자계산서 발행을 요청드립니다.</t>
  </si>
  <si>
    <t>- 아           래 -</t>
  </si>
  <si>
    <t>품목</t>
  </si>
  <si>
    <t>세부항목</t>
  </si>
  <si>
    <t>진행기간</t>
  </si>
  <si>
    <t>판매금액</t>
  </si>
  <si>
    <t>공구수수료</t>
  </si>
  <si>
    <t>합계</t>
  </si>
  <si>
    <t>베럴즈 아웃도어대전 카시트 및 스텝온옵션</t>
  </si>
  <si>
    <t>4/9 - 4/19</t>
  </si>
  <si>
    <t>베럴즈 아웃도어대전 산책용품 (목줄/리쉬)</t>
  </si>
  <si>
    <t>베럴즈 아웃도어대전 포포타올</t>
  </si>
  <si>
    <t>4/9 - 진행중</t>
  </si>
  <si>
    <t>콘디 냉감블랭킷 공구</t>
  </si>
  <si>
    <t>4/3 - 진행중</t>
  </si>
  <si>
    <t>도톤 아웃도어 스프레이 공구</t>
  </si>
  <si>
    <t>지출광고비</t>
  </si>
  <si>
    <t>부담비용</t>
  </si>
  <si>
    <t>판매수수료 합계</t>
  </si>
  <si>
    <t>광고비 공제(-)</t>
  </si>
  <si>
    <t>총 합계액 (부가세 포함)</t>
  </si>
  <si>
    <t>영이공구 판매내역 집계</t>
  </si>
  <si>
    <t>블루화이트 1개</t>
  </si>
  <si>
    <t>블루화이트 2개</t>
  </si>
  <si>
    <t>블루화이트 3개</t>
  </si>
  <si>
    <t>블랙화이트 1개</t>
  </si>
  <si>
    <t>블랙화이트 2개</t>
  </si>
  <si>
    <t>블랙화이트 3개</t>
  </si>
  <si>
    <t>블루화이트 1개 + 블랙화이트 1개</t>
  </si>
  <si>
    <t>블루화이트 2개 + 블랙화이트 1개</t>
  </si>
  <si>
    <t>블루화이트 1개 + 블랙화이트 2개</t>
  </si>
  <si>
    <t>컬러: 블랙 세트</t>
  </si>
  <si>
    <t>컬러: 블루 세트</t>
  </si>
  <si>
    <t>컬러: 아이보리 세트</t>
  </si>
  <si>
    <t>컬러: 오렌지 세트</t>
  </si>
  <si>
    <t>컬러: 카키 세트</t>
  </si>
  <si>
    <t>컬러: 베지프렌즈 / 길이: 1.2M</t>
  </si>
  <si>
    <t>컬러: 베지프렌즈 / 길이: 2M</t>
  </si>
  <si>
    <t>컬러: 체크라일락 / 길이: 1.2M</t>
  </si>
  <si>
    <t>컬러: 체크라일락 / 길이: 2M</t>
  </si>
  <si>
    <t>컬러: 체크레드 / 길이: 1.2M</t>
  </si>
  <si>
    <t>컬러: 체크레드 / 길이: 2M</t>
  </si>
  <si>
    <t>컬러: 체크블랙 / 길이: 1.2M</t>
  </si>
  <si>
    <t>컬러: 체크블랙 / 길이: 2M</t>
  </si>
  <si>
    <t>컬러: 체크옐로우 / 길이: 1.2M</t>
  </si>
  <si>
    <t>컬러: 체크옐로우 / 길이: 2M</t>
  </si>
  <si>
    <t>컬러: 체크라일락 / 사이즈: M</t>
  </si>
  <si>
    <t>컬러: 체크라일락 / 사이즈: S</t>
  </si>
  <si>
    <t>컬러: 체크레드 / 사이즈: M</t>
  </si>
  <si>
    <t>컬러: 체크레드 / 사이즈: S</t>
  </si>
  <si>
    <t>컬러: 체크블랙 / 사이즈: M</t>
  </si>
  <si>
    <t>컬러: 체크블랙 / 사이즈: S</t>
  </si>
  <si>
    <t>컬러: 체크블루 / 사이즈: M</t>
  </si>
  <si>
    <t>컬러: 체크옐로우 / 사이즈: S</t>
  </si>
  <si>
    <t>포포타올</t>
  </si>
  <si>
    <t>6개이상</t>
  </si>
  <si>
    <t>카시트 스텝온 추가: 추가</t>
  </si>
  <si>
    <t>행 레이블</t>
  </si>
  <si>
    <t>합계 : 지출 금액 (KRW)</t>
  </si>
  <si>
    <t>합계 (50%)</t>
  </si>
  <si>
    <t>총합계</t>
  </si>
  <si>
    <t>보고 시작</t>
  </si>
  <si>
    <t>보고 종료</t>
  </si>
  <si>
    <t>광고 이름</t>
  </si>
  <si>
    <t>지출 금액 (KRW)</t>
  </si>
  <si>
    <t>노출</t>
  </si>
  <si>
    <t>도달</t>
  </si>
  <si>
    <t>빈도</t>
  </si>
  <si>
    <t>CTR(전체)</t>
  </si>
  <si>
    <t>링크 클릭</t>
  </si>
  <si>
    <t>CPC(전체) (KRW)</t>
  </si>
  <si>
    <t>상품주문번호</t>
  </si>
  <si>
    <t>주문번호</t>
  </si>
  <si>
    <t>구매확정일</t>
  </si>
  <si>
    <t>판매채널</t>
  </si>
  <si>
    <t>주문상태</t>
  </si>
  <si>
    <t>구매자명</t>
  </si>
  <si>
    <t>구매자ID</t>
  </si>
  <si>
    <t>수취인명</t>
  </si>
  <si>
    <t>발송처리일</t>
  </si>
  <si>
    <t>배송방법</t>
  </si>
  <si>
    <t>택배사</t>
  </si>
  <si>
    <t>송장번호</t>
  </si>
  <si>
    <t>배송완료일</t>
  </si>
  <si>
    <t>상품번호</t>
  </si>
  <si>
    <t>상품명</t>
  </si>
  <si>
    <t>상품종류</t>
  </si>
  <si>
    <t>옵션정보</t>
  </si>
  <si>
    <t>수량</t>
  </si>
  <si>
    <t>상품가격</t>
  </si>
  <si>
    <t>옵션가격</t>
  </si>
  <si>
    <t>최종 상품별 할인액</t>
  </si>
  <si>
    <t>판매자 부담 할인액</t>
  </si>
  <si>
    <t>최종 상품별 총 주문금액</t>
  </si>
  <si>
    <t>스마트스토어</t>
  </si>
  <si>
    <t>구매확정</t>
  </si>
  <si>
    <t>택배,등기,소포</t>
  </si>
  <si>
    <t>로젠택배</t>
  </si>
  <si>
    <t>추가구성상품</t>
  </si>
  <si>
    <t>[영이 공구x베럴즈] 강아지 카시트 세트 5종 특가</t>
  </si>
  <si>
    <t>조합형옵션상품</t>
  </si>
  <si>
    <t>[영이 공구x베럴즈] PAW PAW TOWEL 특가</t>
  </si>
  <si>
    <t>wu****</t>
  </si>
  <si>
    <t>이우빈</t>
  </si>
  <si>
    <t>wobi***</t>
  </si>
  <si>
    <t>정다은</t>
  </si>
  <si>
    <t>김민경</t>
  </si>
  <si>
    <t>김지현</t>
  </si>
  <si>
    <t>2026041916753661</t>
  </si>
  <si>
    <t>정윤하</t>
  </si>
  <si>
    <t>re****</t>
  </si>
  <si>
    <t>김미경</t>
  </si>
  <si>
    <t>[영이 공구x베럴즈] 마틴게일 목줄 (6종)</t>
  </si>
  <si>
    <t>2026041620397351</t>
  </si>
  <si>
    <t>이금정</t>
  </si>
  <si>
    <t>fanc*****</t>
  </si>
  <si>
    <t>[영이 공구x베럴즈] 리쉬 (6종)</t>
  </si>
  <si>
    <t>김혜정</t>
  </si>
  <si>
    <t>alsd*****</t>
  </si>
  <si>
    <t>유지연</t>
  </si>
  <si>
    <t>ziyu***</t>
  </si>
  <si>
    <t>최선우</t>
  </si>
  <si>
    <t>wpdm*****</t>
  </si>
  <si>
    <t>김제은</t>
  </si>
  <si>
    <t>sn****</t>
  </si>
  <si>
    <t>miss*****</t>
  </si>
  <si>
    <t>이화정</t>
  </si>
  <si>
    <t>dlgh********</t>
  </si>
  <si>
    <t>김혜원</t>
  </si>
  <si>
    <t>김혜미</t>
  </si>
  <si>
    <t>윤정민</t>
  </si>
  <si>
    <t>unum****</t>
  </si>
  <si>
    <t>mkpa******</t>
  </si>
  <si>
    <t>김수정</t>
  </si>
  <si>
    <t>suju********</t>
  </si>
  <si>
    <t>최경희</t>
  </si>
  <si>
    <t>rhdg*****</t>
  </si>
  <si>
    <t>zo****</t>
  </si>
  <si>
    <t>조현영</t>
  </si>
  <si>
    <t>박수진</t>
  </si>
  <si>
    <t>tnwl********</t>
  </si>
  <si>
    <t>2026041642632421</t>
  </si>
  <si>
    <t>강다슬</t>
  </si>
  <si>
    <t>eari*****</t>
  </si>
  <si>
    <t>김비비안</t>
  </si>
  <si>
    <t>2026041746771031</t>
  </si>
  <si>
    <t>남은하</t>
  </si>
  <si>
    <t>swee****</t>
  </si>
  <si>
    <t>정아람</t>
  </si>
  <si>
    <t>ra****</t>
  </si>
  <si>
    <t>최혁진</t>
  </si>
  <si>
    <t>qkra********</t>
  </si>
  <si>
    <t>김은영</t>
  </si>
  <si>
    <t>thes*******</t>
  </si>
  <si>
    <t>2026041596651091</t>
  </si>
  <si>
    <t>김병화</t>
  </si>
  <si>
    <t>bbbi******</t>
  </si>
  <si>
    <t>2026041513951631</t>
  </si>
  <si>
    <t>김휘연</t>
  </si>
  <si>
    <t>dovm*****</t>
  </si>
  <si>
    <t>al****</t>
  </si>
  <si>
    <t>김재희</t>
  </si>
  <si>
    <t>2026041475575001</t>
  </si>
  <si>
    <t>권지현</t>
  </si>
  <si>
    <t>jhjt****</t>
  </si>
  <si>
    <t>miss******</t>
  </si>
  <si>
    <t>rhdw*******</t>
  </si>
  <si>
    <t>hele*****</t>
  </si>
  <si>
    <t>김내리</t>
  </si>
  <si>
    <t>gall******</t>
  </si>
  <si>
    <t>이용덕</t>
  </si>
  <si>
    <t>배연도</t>
  </si>
  <si>
    <t>yd****</t>
  </si>
  <si>
    <t>이보라</t>
  </si>
  <si>
    <t>bora****</t>
  </si>
  <si>
    <t>김태희</t>
  </si>
  <si>
    <t>sies****</t>
  </si>
  <si>
    <t>정임경</t>
  </si>
  <si>
    <t>jyk3***</t>
  </si>
  <si>
    <t>김현정</t>
  </si>
  <si>
    <t>euna****</t>
  </si>
  <si>
    <t>2026041753943121</t>
  </si>
  <si>
    <t>공하린</t>
  </si>
  <si>
    <t>juui*******</t>
  </si>
  <si>
    <t>김효진</t>
  </si>
  <si>
    <t>hj****</t>
  </si>
  <si>
    <t>2026041876628101</t>
  </si>
  <si>
    <t>신화경</t>
  </si>
  <si>
    <t>zlxl******</t>
  </si>
  <si>
    <t>mong*****</t>
  </si>
  <si>
    <t>2026041873570411</t>
  </si>
  <si>
    <t>이국경</t>
  </si>
  <si>
    <t>gofl****</t>
  </si>
  <si>
    <t>dlwl*******</t>
  </si>
  <si>
    <t>2026041915795811</t>
  </si>
  <si>
    <t>이지연</t>
  </si>
  <si>
    <t>김가영</t>
  </si>
  <si>
    <t>rr****</t>
  </si>
  <si>
    <t>2026041919391251</t>
  </si>
  <si>
    <t>조윤혜</t>
  </si>
  <si>
    <t>cy****</t>
  </si>
  <si>
    <t>한영기</t>
  </si>
  <si>
    <t>2026041913491381</t>
  </si>
  <si>
    <t>이혜민</t>
  </si>
  <si>
    <t>hyem******</t>
  </si>
  <si>
    <t>김송미</t>
  </si>
  <si>
    <t>dnwj********</t>
  </si>
  <si>
    <t>2026041643306631</t>
  </si>
  <si>
    <t>정혜인</t>
  </si>
  <si>
    <t>gd****</t>
  </si>
  <si>
    <t>이은주</t>
  </si>
  <si>
    <t>2026041587260461</t>
  </si>
  <si>
    <t>정지수</t>
  </si>
  <si>
    <t>chun*******</t>
  </si>
  <si>
    <t>이미정</t>
  </si>
  <si>
    <t>2026041514172541</t>
  </si>
  <si>
    <t>2026041756560281</t>
  </si>
  <si>
    <t>고영화</t>
  </si>
  <si>
    <t>mioc***</t>
  </si>
  <si>
    <t>김윤경</t>
  </si>
  <si>
    <t>an****</t>
  </si>
  <si>
    <t>김보은</t>
  </si>
  <si>
    <t>dh****</t>
  </si>
  <si>
    <t>정혜정</t>
  </si>
  <si>
    <t>2026041999878411</t>
  </si>
  <si>
    <t>김나영</t>
  </si>
  <si>
    <t>원호정</t>
  </si>
  <si>
    <t>성혜진</t>
  </si>
  <si>
    <t>박소연</t>
  </si>
  <si>
    <t>김유정</t>
  </si>
  <si>
    <t>2026041994591121</t>
  </si>
  <si>
    <t>하세미</t>
  </si>
  <si>
    <t>hasa*******</t>
  </si>
  <si>
    <t>love******</t>
  </si>
  <si>
    <t>ji****</t>
  </si>
  <si>
    <t>이하나</t>
  </si>
  <si>
    <t>천지혜</t>
  </si>
  <si>
    <t>김지선</t>
  </si>
  <si>
    <t>김진아</t>
  </si>
  <si>
    <t>jina*****</t>
  </si>
  <si>
    <t>조선화</t>
  </si>
  <si>
    <t>viol******</t>
  </si>
  <si>
    <t>백선영</t>
  </si>
  <si>
    <t>2026041641416041</t>
  </si>
  <si>
    <t>고은희</t>
  </si>
  <si>
    <t>kyes*******</t>
  </si>
  <si>
    <t>김보라</t>
  </si>
  <si>
    <t>김민지</t>
  </si>
  <si>
    <t>youn******</t>
  </si>
  <si>
    <t>최수진</t>
  </si>
  <si>
    <t>cccc****</t>
  </si>
  <si>
    <t>김소희</t>
  </si>
  <si>
    <t>황지연</t>
  </si>
  <si>
    <t>ghkd******</t>
  </si>
  <si>
    <t>황둥이</t>
  </si>
  <si>
    <t>김시연</t>
  </si>
  <si>
    <t>이정은</t>
  </si>
  <si>
    <t>주문일시</t>
  </si>
  <si>
    <t>결제일시(입금확인일)</t>
  </si>
  <si>
    <t>주문자명</t>
  </si>
  <si>
    <t>주문상품명(옵션포함)</t>
  </si>
  <si>
    <t>정지혜</t>
  </si>
  <si>
    <t>이수연</t>
  </si>
  <si>
    <t>김지혜</t>
  </si>
  <si>
    <t>김슬기</t>
  </si>
  <si>
    <t>김진영</t>
  </si>
  <si>
    <t>김혜진</t>
  </si>
  <si>
    <t>김도연</t>
  </si>
  <si>
    <t>유선용</t>
  </si>
  <si>
    <t>홍연주</t>
  </si>
  <si>
    <t>김소연</t>
  </si>
  <si>
    <t>김한현</t>
  </si>
  <si>
    <t>박정미</t>
  </si>
  <si>
    <t>김도혜</t>
  </si>
  <si>
    <t>김수연</t>
  </si>
  <si>
    <t>박보라</t>
  </si>
  <si>
    <t>김유진</t>
  </si>
  <si>
    <t>오정흔</t>
  </si>
  <si>
    <t>이아름</t>
  </si>
  <si>
    <t>김민영</t>
  </si>
  <si>
    <t>이은정</t>
  </si>
  <si>
    <t>최지원</t>
  </si>
  <si>
    <t>최경애</t>
  </si>
  <si>
    <t>최지영</t>
  </si>
  <si>
    <t>이지은</t>
  </si>
  <si>
    <t>이주영</t>
  </si>
  <si>
    <t>양현정</t>
  </si>
  <si>
    <t>최정민</t>
  </si>
  <si>
    <t>박소윤</t>
  </si>
  <si>
    <t>김지영</t>
  </si>
  <si>
    <t>박민지</t>
  </si>
  <si>
    <t>최유진</t>
  </si>
  <si>
    <t>김소정</t>
  </si>
  <si>
    <t>신혜지</t>
  </si>
  <si>
    <t>서연주</t>
  </si>
  <si>
    <t>박소현</t>
  </si>
  <si>
    <t>황지나</t>
  </si>
  <si>
    <t>정선아</t>
  </si>
  <si>
    <t>김선영</t>
  </si>
  <si>
    <t>윤은숙</t>
  </si>
  <si>
    <t>최민영</t>
  </si>
  <si>
    <t>김하나</t>
  </si>
  <si>
    <t>이채린</t>
  </si>
  <si>
    <t>김은희</t>
  </si>
  <si>
    <t>김은실</t>
  </si>
  <si>
    <t>김경희</t>
  </si>
  <si>
    <t>김보경</t>
  </si>
  <si>
    <t>김지은</t>
  </si>
  <si>
    <t>허혜원</t>
  </si>
  <si>
    <t>김민주</t>
  </si>
  <si>
    <t>인나엽</t>
  </si>
  <si>
    <t>조채윤</t>
  </si>
  <si>
    <t>김현진</t>
  </si>
  <si>
    <t>오혜련</t>
  </si>
  <si>
    <t>김예지</t>
  </si>
  <si>
    <t>이진희</t>
  </si>
  <si>
    <t>류아름</t>
  </si>
  <si>
    <t>오수진</t>
  </si>
  <si>
    <t>박혜연</t>
  </si>
  <si>
    <t>김유리</t>
  </si>
  <si>
    <t>정유정</t>
  </si>
  <si>
    <t>이민희</t>
  </si>
  <si>
    <t>이은지</t>
  </si>
  <si>
    <t>임지윤</t>
  </si>
  <si>
    <t>조아라</t>
  </si>
  <si>
    <t>김윤서</t>
  </si>
  <si>
    <t>조은주</t>
  </si>
  <si>
    <t>임지현</t>
  </si>
  <si>
    <t>황주욱</t>
  </si>
  <si>
    <t>김혜영</t>
  </si>
  <si>
    <t>김보영</t>
  </si>
  <si>
    <t>이정민</t>
  </si>
  <si>
    <t>김승은</t>
  </si>
  <si>
    <t>김혜련</t>
  </si>
  <si>
    <t>박현진</t>
  </si>
  <si>
    <t>최미선</t>
  </si>
  <si>
    <t>강민지</t>
  </si>
  <si>
    <t>박서현</t>
  </si>
  <si>
    <t>강민서</t>
  </si>
  <si>
    <t>최혜림</t>
  </si>
  <si>
    <t>김은조</t>
  </si>
  <si>
    <t>김보선</t>
  </si>
  <si>
    <t>윤혜령</t>
  </si>
  <si>
    <t>김민정</t>
  </si>
  <si>
    <t>김은정</t>
  </si>
  <si>
    <t>이혜진</t>
  </si>
  <si>
    <t>박지선</t>
  </si>
  <si>
    <t>정다원</t>
  </si>
  <si>
    <t>이유진</t>
  </si>
  <si>
    <t>공민지</t>
  </si>
  <si>
    <t>김다영</t>
  </si>
  <si>
    <t>앵봄이</t>
  </si>
  <si>
    <t>[영이공구특가 이벤트 상품] CONDY 접촉 냉감 쿨매트 듀라론 쿨링 블랭킷 (2컬러)(구성 선택=블루화이트 1개 + 블랙화이트 1개)</t>
  </si>
  <si>
    <t>[영이공구특가 이벤트 상품] CONDY 접촉 냉감 쿨매트 듀라론 쿨링 블랭킷 (2컬러)(구성 선택=블루화이트 2개)</t>
  </si>
  <si>
    <t>[영이공구특가 이벤트 상품] CONDY 접촉 냉감 쿨매트 듀라론 쿨링 블랭킷 (2컬러)(구성 선택=블루화이트 1개)</t>
  </si>
  <si>
    <t>박혜림</t>
  </si>
  <si>
    <t>이미경</t>
  </si>
  <si>
    <t>[영이공구특가 이벤트 상품] CONDY 접촉 냉감 쿨매트 듀라론 쿨링 블랭킷 (2컬러)(구성 선택=블루화이트 1개 + 블랙화이트 2개)</t>
  </si>
  <si>
    <t>최지현</t>
  </si>
  <si>
    <t>김소영</t>
  </si>
  <si>
    <t>김연아</t>
  </si>
  <si>
    <t>김보민</t>
  </si>
  <si>
    <t>박지연</t>
  </si>
  <si>
    <t>박이레</t>
  </si>
  <si>
    <t>이한희</t>
  </si>
  <si>
    <t>김지나</t>
  </si>
  <si>
    <t>[영이공구특가 이벤트 상품] CONDY 접촉 냉감 쿨매트 듀라론 쿨링 블랭킷 (2컬러)(구성 선택=블루화이트 2개 + 블랙화이트 1개)</t>
  </si>
  <si>
    <t>이서연</t>
  </si>
  <si>
    <t>김정은</t>
  </si>
  <si>
    <t>신소연</t>
  </si>
  <si>
    <t>강연화</t>
  </si>
  <si>
    <t>홍보경</t>
  </si>
  <si>
    <t>김보미</t>
  </si>
  <si>
    <t>임주희</t>
  </si>
  <si>
    <t>김현지</t>
  </si>
  <si>
    <t>안수진</t>
  </si>
  <si>
    <t>정수현</t>
  </si>
  <si>
    <t>김민채</t>
  </si>
  <si>
    <t>김지희</t>
  </si>
  <si>
    <t>김영미</t>
  </si>
  <si>
    <t>오수경</t>
  </si>
  <si>
    <t>김나리</t>
  </si>
  <si>
    <t>채소원</t>
  </si>
  <si>
    <t>윤정은</t>
  </si>
  <si>
    <t>[영이공구특가 이벤트 상품] 도톤 포레스트 아웃도어 해충방지 스프레이 150ml(수량=공구 3개세트 (36%할인))</t>
  </si>
  <si>
    <t>[영이공구특가 이벤트 상품] 도톤 포레스트 아웃도어 해충방지 스프레이 150ml(수량=공구특가 1개 (25%할인))</t>
  </si>
  <si>
    <t>[영이공구특가 이벤트 상품] 도톤 포레스트 아웃도어 해충방지 스프레이 150ml(수량=공구 2개세트 (32%할인))</t>
  </si>
  <si>
    <t>현다예</t>
  </si>
  <si>
    <t>김현미</t>
  </si>
  <si>
    <t>손영은</t>
  </si>
  <si>
    <t>홍준기</t>
  </si>
  <si>
    <t>장정아</t>
  </si>
  <si>
    <t>이지윤</t>
  </si>
  <si>
    <t>조다은</t>
  </si>
  <si>
    <t>윤가비</t>
  </si>
  <si>
    <t>오경아</t>
  </si>
  <si>
    <t>한주연</t>
  </si>
  <si>
    <t>20260501-0000079</t>
  </si>
  <si>
    <t>박혜은</t>
  </si>
  <si>
    <t>20260502-0000061</t>
  </si>
  <si>
    <t>서은경</t>
  </si>
  <si>
    <t>20260503-0000075</t>
  </si>
  <si>
    <t>한수정</t>
  </si>
  <si>
    <t>20260504-0000065</t>
  </si>
  <si>
    <t>20260505-0000106</t>
  </si>
  <si>
    <t>이보람</t>
  </si>
  <si>
    <t>20260506-0000014</t>
  </si>
  <si>
    <t>김보람</t>
  </si>
  <si>
    <t>20260506-0000160</t>
  </si>
  <si>
    <t>신지영</t>
  </si>
  <si>
    <t>20260507-0000266</t>
  </si>
  <si>
    <t>유지나</t>
  </si>
  <si>
    <t>20260509-0000101</t>
  </si>
  <si>
    <t>20260513-0000049</t>
  </si>
  <si>
    <t>고샛별</t>
  </si>
  <si>
    <t>20260513-0000086</t>
  </si>
  <si>
    <t>20260513-0000094</t>
  </si>
  <si>
    <t>김찬미</t>
  </si>
  <si>
    <t>20260513-0000141</t>
  </si>
  <si>
    <t>변예솜</t>
  </si>
  <si>
    <t>20260513-0000204</t>
  </si>
  <si>
    <t>20260513-0000276</t>
  </si>
  <si>
    <t>박온누리</t>
  </si>
  <si>
    <t>20260514-0000010</t>
  </si>
  <si>
    <t>유민혜</t>
  </si>
  <si>
    <t>20260514-0000024</t>
  </si>
  <si>
    <t>20260514-0000076</t>
  </si>
  <si>
    <t>20260514-0000167</t>
  </si>
  <si>
    <t>박미연</t>
  </si>
  <si>
    <t>20260514-0000198</t>
  </si>
  <si>
    <t>20260514-0000204</t>
  </si>
  <si>
    <t>김루비</t>
  </si>
  <si>
    <t>20260515-0000021</t>
  </si>
  <si>
    <t>남기선</t>
  </si>
  <si>
    <t>20260515-0000047</t>
  </si>
  <si>
    <t>20260515-0000148</t>
  </si>
  <si>
    <t>20260516-0000015</t>
  </si>
  <si>
    <t>20260517-0000086</t>
  </si>
  <si>
    <t>김재민</t>
  </si>
  <si>
    <t>20260517-0000142</t>
  </si>
  <si>
    <t>20260517-0000159</t>
  </si>
  <si>
    <t>마루</t>
  </si>
  <si>
    <t>20260524-0000035</t>
  </si>
  <si>
    <t>20260429-0000131</t>
  </si>
  <si>
    <t>20260429-0000155</t>
  </si>
  <si>
    <t>20260430-0000112</t>
  </si>
  <si>
    <t>박하늘</t>
  </si>
  <si>
    <t>20260430-0000123</t>
  </si>
  <si>
    <t>김청</t>
  </si>
  <si>
    <t>20260501-0000011</t>
  </si>
  <si>
    <t>김세연</t>
  </si>
  <si>
    <t>20260503-0000064</t>
  </si>
  <si>
    <t>박채원</t>
  </si>
  <si>
    <t>20260503-0000109</t>
  </si>
  <si>
    <t>임채원</t>
  </si>
  <si>
    <t>20260505-0000052</t>
  </si>
  <si>
    <t>권경연</t>
  </si>
  <si>
    <t>20260505-0000067</t>
  </si>
  <si>
    <t>문보라</t>
  </si>
  <si>
    <t>20260505-0000087</t>
  </si>
  <si>
    <t>심소라</t>
  </si>
  <si>
    <t>20260506-0000216</t>
  </si>
  <si>
    <t>윤영경</t>
  </si>
  <si>
    <t>20260507-0000011</t>
  </si>
  <si>
    <t>20260507-0000036</t>
  </si>
  <si>
    <t>이여름</t>
  </si>
  <si>
    <t>20260507-0000095</t>
  </si>
  <si>
    <t>20260507-0000131</t>
  </si>
  <si>
    <t>20260507-0000147</t>
  </si>
  <si>
    <t>20260507-0000164</t>
  </si>
  <si>
    <t>이영주</t>
  </si>
  <si>
    <t>20260507-0000234</t>
  </si>
  <si>
    <t>권우희</t>
  </si>
  <si>
    <t>20260507-0000249</t>
  </si>
  <si>
    <t>문국주</t>
  </si>
  <si>
    <t>20260507-0000259</t>
  </si>
  <si>
    <t>차은호</t>
  </si>
  <si>
    <t>20260508-0000044</t>
  </si>
  <si>
    <t>박귀희</t>
  </si>
  <si>
    <t>20260508-0000069</t>
  </si>
  <si>
    <t>20260508-0000138</t>
  </si>
  <si>
    <t>윤미란</t>
  </si>
  <si>
    <t>20260508-0000159</t>
  </si>
  <si>
    <t>20260509-0000060</t>
  </si>
  <si>
    <t>20260509-0000088</t>
  </si>
  <si>
    <t>민수빈</t>
  </si>
  <si>
    <t>20260509-0000111</t>
  </si>
  <si>
    <t>20260510-0000051</t>
  </si>
  <si>
    <t>임미숙</t>
  </si>
  <si>
    <t>20260510-0000078</t>
  </si>
  <si>
    <t>김이슬</t>
  </si>
  <si>
    <t>20260512-0000025</t>
  </si>
  <si>
    <t>20260513-0000107</t>
  </si>
  <si>
    <t>20260513-0000114</t>
  </si>
  <si>
    <t>신효빈</t>
  </si>
  <si>
    <t>20260513-0000167</t>
  </si>
  <si>
    <t>20260513-0000189</t>
  </si>
  <si>
    <t>김효주</t>
  </si>
  <si>
    <t>20260514-0000113</t>
  </si>
  <si>
    <t>최은지</t>
  </si>
  <si>
    <t>20260514-0000233</t>
  </si>
  <si>
    <t>20260515-0000037</t>
  </si>
  <si>
    <t>20260515-0000095</t>
  </si>
  <si>
    <t>유경아</t>
  </si>
  <si>
    <t>20260515-0000103</t>
  </si>
  <si>
    <t>박다예</t>
  </si>
  <si>
    <t>20260515-0000121</t>
  </si>
  <si>
    <t>이채희</t>
  </si>
  <si>
    <t>20260516-0000038</t>
  </si>
  <si>
    <t>윤영주</t>
  </si>
  <si>
    <t>20260516-0000041</t>
  </si>
  <si>
    <t>조현미</t>
  </si>
  <si>
    <t>20260516-0000159</t>
  </si>
  <si>
    <t>권예신</t>
  </si>
  <si>
    <t>20260516-0000177</t>
  </si>
  <si>
    <t>20260517-0000017</t>
  </si>
  <si>
    <t>김서하</t>
  </si>
  <si>
    <t>20260517-0000026</t>
  </si>
  <si>
    <t>20260517-0000100</t>
  </si>
  <si>
    <t>최은애</t>
  </si>
  <si>
    <t>20260518-0000012</t>
  </si>
  <si>
    <t>이민지</t>
  </si>
  <si>
    <t>20260518-0000051</t>
  </si>
  <si>
    <t>20260518-0000061</t>
  </si>
  <si>
    <t>우지현.G</t>
  </si>
  <si>
    <t>20260518-0000084</t>
  </si>
  <si>
    <t>이지혜</t>
  </si>
  <si>
    <t>20260518-0000114</t>
  </si>
  <si>
    <t>20260518-0000131</t>
  </si>
  <si>
    <t>신희주</t>
  </si>
  <si>
    <t>20260518-0000143</t>
  </si>
  <si>
    <t>박다운</t>
  </si>
  <si>
    <t>20260518-0000157</t>
  </si>
  <si>
    <t>20260518-0000178</t>
  </si>
  <si>
    <t>20260518-0000198</t>
  </si>
  <si>
    <t>박승희</t>
  </si>
  <si>
    <t>20260518-0000206</t>
  </si>
  <si>
    <t>남궁설</t>
  </si>
  <si>
    <t>20260518-0000211</t>
  </si>
  <si>
    <t>유가윤</t>
  </si>
  <si>
    <t>20260519-0000025</t>
  </si>
  <si>
    <t>채민지</t>
  </si>
  <si>
    <t>20260519-0000031</t>
  </si>
  <si>
    <t>조해리</t>
  </si>
  <si>
    <t>20260519-0000237</t>
  </si>
  <si>
    <t>20260519-0000250</t>
  </si>
  <si>
    <t>20260520-0000011</t>
  </si>
  <si>
    <t>한지현</t>
  </si>
  <si>
    <t>20260520-0000044</t>
  </si>
  <si>
    <t>장규영</t>
  </si>
  <si>
    <t>[영이공구특가 이벤트 상품] CONDY 접촉 냉감 쿨매트 듀라론 쿨링 블랭킷 (BLUE)(구성 선택=블루화이트 1개)</t>
  </si>
  <si>
    <t>20260520-0000052</t>
  </si>
  <si>
    <t>[영이공구특가 이벤트 상품] CONDY 접촉 냉감 쿨매트 듀라론 쿨링 블랭킷 (BLUE)(구성 선택=블루화이트 2개)</t>
  </si>
  <si>
    <t>20260520-0000061</t>
  </si>
  <si>
    <t>신미진</t>
  </si>
  <si>
    <t>20260520-0000091</t>
  </si>
  <si>
    <t>김순식</t>
  </si>
  <si>
    <t>20260520-0000101</t>
  </si>
  <si>
    <t>20260521-0000032</t>
  </si>
  <si>
    <t>홍예령</t>
  </si>
  <si>
    <t>20260521-0000069</t>
  </si>
  <si>
    <t>이소윤</t>
  </si>
  <si>
    <t>20260521-0000103</t>
  </si>
  <si>
    <t>이성희</t>
  </si>
  <si>
    <t>20260522-0000037</t>
  </si>
  <si>
    <t>안희정</t>
  </si>
  <si>
    <t>20260523-0000083</t>
  </si>
  <si>
    <t>박미애</t>
  </si>
  <si>
    <t>20260523-0000113</t>
  </si>
  <si>
    <t>서민정</t>
  </si>
  <si>
    <t>20260525-0000029</t>
  </si>
  <si>
    <t>이유리</t>
  </si>
  <si>
    <t>[영이공구특가 이벤트 상품] CONDY 접촉 냉감 쿨매트 듀라론 쿨링 블랭킷 (BLUE)(구성 선택=블루화이트 3개)</t>
  </si>
  <si>
    <t>20260525-0000039</t>
  </si>
  <si>
    <t>20260525-0000062</t>
  </si>
  <si>
    <t>박해리</t>
  </si>
  <si>
    <t>20260526-0000015</t>
  </si>
  <si>
    <t>고소윤</t>
  </si>
  <si>
    <t>20260526-0000075</t>
  </si>
  <si>
    <t>김현준</t>
  </si>
  <si>
    <t>20260526-0000080</t>
  </si>
  <si>
    <t>박찬영</t>
  </si>
  <si>
    <t>20260526-0000177</t>
  </si>
  <si>
    <t>이세아</t>
  </si>
  <si>
    <t>20260526-0000209</t>
  </si>
  <si>
    <t>이명섭</t>
  </si>
  <si>
    <t>20260527-0000061</t>
  </si>
  <si>
    <t>이수진</t>
  </si>
  <si>
    <t>20260527-0000116</t>
  </si>
  <si>
    <t>김용연</t>
  </si>
  <si>
    <t>20260528-0000033</t>
  </si>
  <si>
    <t>박지원</t>
  </si>
  <si>
    <t>20260528-0000113</t>
  </si>
  <si>
    <t>정다혜</t>
  </si>
  <si>
    <t>20260528-0000135</t>
  </si>
  <si>
    <t>이선혜</t>
  </si>
  <si>
    <t>20260528-0000147</t>
  </si>
  <si>
    <t>장혜린</t>
  </si>
  <si>
    <t>20260528-0000204</t>
  </si>
  <si>
    <t>20260529-0000012</t>
  </si>
  <si>
    <t>이현신</t>
  </si>
  <si>
    <t>20260529-0000027</t>
  </si>
  <si>
    <t>20260529-0000031</t>
  </si>
  <si>
    <t>20260529-0000046</t>
  </si>
  <si>
    <t>박수희</t>
  </si>
  <si>
    <t>20260529-0000067</t>
  </si>
  <si>
    <t>20260529-0000097</t>
  </si>
  <si>
    <t>김찬희</t>
  </si>
  <si>
    <t>20260421-0000244</t>
  </si>
  <si>
    <t>임연주</t>
  </si>
  <si>
    <t>20260422-0000092</t>
  </si>
  <si>
    <t>이한슬</t>
  </si>
  <si>
    <t>20260423-0000261</t>
  </si>
  <si>
    <t>김규희</t>
  </si>
  <si>
    <t>20260424-0000051</t>
  </si>
  <si>
    <t>채보민</t>
  </si>
  <si>
    <t>20260426-0000011</t>
  </si>
  <si>
    <t>20260426-0000221</t>
  </si>
  <si>
    <t>20260429-0000122</t>
  </si>
  <si>
    <t>정해진</t>
  </si>
  <si>
    <t>20260429-0000187</t>
  </si>
  <si>
    <t>최진솔</t>
  </si>
  <si>
    <t>2026052664374771</t>
  </si>
  <si>
    <t>2026052682589631</t>
  </si>
  <si>
    <t>bog2******</t>
  </si>
  <si>
    <t>92235491832</t>
  </si>
  <si>
    <t>9927394880</t>
  </si>
  <si>
    <t>배송일확인: 바로배송</t>
  </si>
  <si>
    <t>2026052175612981</t>
  </si>
  <si>
    <t>2026052158465231</t>
  </si>
  <si>
    <t>허지원</t>
  </si>
  <si>
    <t>apfh***</t>
  </si>
  <si>
    <t>92235371196</t>
  </si>
  <si>
    <t>2026052296095641</t>
  </si>
  <si>
    <t>2026052272120921</t>
  </si>
  <si>
    <t>김소형</t>
  </si>
  <si>
    <t>xiah******</t>
  </si>
  <si>
    <t>92235371233</t>
  </si>
  <si>
    <t>2026052231381941</t>
  </si>
  <si>
    <t>2026052289222291</t>
  </si>
  <si>
    <t>최현석</t>
  </si>
  <si>
    <t>mase****</t>
  </si>
  <si>
    <t>김민소</t>
  </si>
  <si>
    <t>92235430140</t>
  </si>
  <si>
    <t>2026052526640271</t>
  </si>
  <si>
    <t>2026052557728981</t>
  </si>
  <si>
    <t>이은진</t>
  </si>
  <si>
    <t>fh****</t>
  </si>
  <si>
    <t>92235430420</t>
  </si>
  <si>
    <t>2026052466525681</t>
  </si>
  <si>
    <t>2026052423483081</t>
  </si>
  <si>
    <t>박수연</t>
  </si>
  <si>
    <t>soos******</t>
  </si>
  <si>
    <t>92235430254</t>
  </si>
  <si>
    <t>2026052163146041</t>
  </si>
  <si>
    <t>2026052150281731</t>
  </si>
  <si>
    <t>이하은</t>
  </si>
  <si>
    <t>haeu****</t>
  </si>
  <si>
    <t>92235353766</t>
  </si>
  <si>
    <t>드라잉타올추가 (정가 27000원): 1개</t>
  </si>
  <si>
    <t>2026052163146031</t>
  </si>
  <si>
    <t>2026052158835531</t>
  </si>
  <si>
    <t>2026052147463841</t>
  </si>
  <si>
    <t>조나영</t>
  </si>
  <si>
    <t>rene*******</t>
  </si>
  <si>
    <t>92235353836</t>
  </si>
  <si>
    <t>2026052160478781</t>
  </si>
  <si>
    <t>2026052148543301</t>
  </si>
  <si>
    <t>tldu*****</t>
  </si>
  <si>
    <t>92235353755</t>
  </si>
  <si>
    <t>2026052046800421</t>
  </si>
  <si>
    <t>2026052039690491</t>
  </si>
  <si>
    <t>지민영</t>
  </si>
  <si>
    <t>hell******</t>
  </si>
  <si>
    <t>92235330655</t>
  </si>
  <si>
    <t>2026052151555531</t>
  </si>
  <si>
    <t>2026052142615801</t>
  </si>
  <si>
    <t>서지혜</t>
  </si>
  <si>
    <t>sjh6****</t>
  </si>
  <si>
    <t>92235330600</t>
  </si>
  <si>
    <t>2026052150724311</t>
  </si>
  <si>
    <t>2026052142097791</t>
  </si>
  <si>
    <t>장우성</t>
  </si>
  <si>
    <t>dntj******</t>
  </si>
  <si>
    <t>92235330596</t>
  </si>
  <si>
    <t>2026052155524161</t>
  </si>
  <si>
    <t>2026052145220791</t>
  </si>
  <si>
    <t>도지은</t>
  </si>
  <si>
    <t>do****</t>
  </si>
  <si>
    <t>92235330622</t>
  </si>
  <si>
    <t>2026052153451821</t>
  </si>
  <si>
    <t>2026052143770701</t>
  </si>
  <si>
    <t>김유화</t>
  </si>
  <si>
    <t>yuhw*******</t>
  </si>
  <si>
    <t>쥐알탄</t>
  </si>
  <si>
    <t>92235330611</t>
  </si>
  <si>
    <t>2026052153451811</t>
  </si>
  <si>
    <t>2026052843376551</t>
  </si>
  <si>
    <t>2026052838026671</t>
  </si>
  <si>
    <t>이희은</t>
  </si>
  <si>
    <t>ahah****</t>
  </si>
  <si>
    <t>92235529864</t>
  </si>
  <si>
    <t>2026052480161701</t>
  </si>
  <si>
    <t>2026052433049651</t>
  </si>
  <si>
    <t>pink********</t>
  </si>
  <si>
    <t>92235430302</t>
  </si>
  <si>
    <t>2026052536724301</t>
  </si>
  <si>
    <t>2026052564514541</t>
  </si>
  <si>
    <t>황지은</t>
  </si>
  <si>
    <t>wldm****</t>
  </si>
  <si>
    <t>92235430464</t>
  </si>
  <si>
    <t>2026052665513521</t>
  </si>
  <si>
    <t>2026052683327391</t>
  </si>
  <si>
    <t>이아린</t>
  </si>
  <si>
    <t>jm24*****</t>
  </si>
  <si>
    <t>92235491843</t>
  </si>
  <si>
    <t>2026052190743271</t>
  </si>
  <si>
    <t>2026052168659601</t>
  </si>
  <si>
    <t>송한희</t>
  </si>
  <si>
    <t>hanh****</t>
  </si>
  <si>
    <t>92235371222</t>
  </si>
  <si>
    <t>2026052024793021</t>
  </si>
  <si>
    <t>2026052025214821</t>
  </si>
  <si>
    <t>오대현</t>
  </si>
  <si>
    <t>blue******</t>
  </si>
  <si>
    <t>92235312875</t>
  </si>
  <si>
    <t>2026051988656041</t>
  </si>
  <si>
    <t>2026051998151091</t>
  </si>
  <si>
    <t>채진희</t>
  </si>
  <si>
    <t>chae******</t>
  </si>
  <si>
    <t>92235298083</t>
  </si>
  <si>
    <t>2026052357712521</t>
  </si>
  <si>
    <t>2026052317569481</t>
  </si>
  <si>
    <t>설이현</t>
  </si>
  <si>
    <t>65****</t>
  </si>
  <si>
    <t>92235430766</t>
  </si>
  <si>
    <t>2026052663160971</t>
  </si>
  <si>
    <t>2026052681800261</t>
  </si>
  <si>
    <t>92235469174</t>
  </si>
  <si>
    <t>2026052235585481</t>
  </si>
  <si>
    <t>2026052291997411</t>
  </si>
  <si>
    <t>유리</t>
  </si>
  <si>
    <t>sea3***</t>
  </si>
  <si>
    <t>92235430151</t>
  </si>
  <si>
    <t>2026052660122091</t>
  </si>
  <si>
    <t>2026052679798091</t>
  </si>
  <si>
    <t>kimy*******</t>
  </si>
  <si>
    <t>92235453041</t>
  </si>
  <si>
    <t>2026052513585141</t>
  </si>
  <si>
    <t>2026052548774201</t>
  </si>
  <si>
    <t>정윤주</t>
  </si>
  <si>
    <t>0109***</t>
  </si>
  <si>
    <t>92235430405</t>
  </si>
  <si>
    <t>2026051961896371</t>
  </si>
  <si>
    <t>2026051980329921</t>
  </si>
  <si>
    <t>권교원</t>
  </si>
  <si>
    <t>kwon******</t>
  </si>
  <si>
    <t>92235276431</t>
  </si>
  <si>
    <t>2026051954101041</t>
  </si>
  <si>
    <t>2026051975159031</t>
  </si>
  <si>
    <t>정예리</t>
  </si>
  <si>
    <t>wjdd******</t>
  </si>
  <si>
    <t>92235243030</t>
  </si>
  <si>
    <t>2026051958556601</t>
  </si>
  <si>
    <t>2026051978029381</t>
  </si>
  <si>
    <t>skym*****</t>
  </si>
  <si>
    <t>92235243052</t>
  </si>
  <si>
    <t>2026051849182401</t>
  </si>
  <si>
    <t>2026051872108051</t>
  </si>
  <si>
    <t>박기훈</t>
  </si>
  <si>
    <t>polk****</t>
  </si>
  <si>
    <t>92235243026</t>
  </si>
  <si>
    <t>2026051649090371</t>
  </si>
  <si>
    <t>2026051612102971</t>
  </si>
  <si>
    <t>김아롱</t>
  </si>
  <si>
    <t>aron******</t>
  </si>
  <si>
    <t>92235147185</t>
  </si>
  <si>
    <t>10639966326</t>
  </si>
  <si>
    <t>[영이네 공구x베럴즈] 그루밍잼 드라잉 타올 특가</t>
  </si>
  <si>
    <t>배송일정 안내: 바로배송</t>
  </si>
  <si>
    <t>2026052643620851</t>
  </si>
  <si>
    <t>2026052668827371</t>
  </si>
  <si>
    <t>박주이</t>
  </si>
  <si>
    <t>lake******</t>
  </si>
  <si>
    <t>92235430512</t>
  </si>
  <si>
    <t>2026052349315571</t>
  </si>
  <si>
    <t>2026052311548221</t>
  </si>
  <si>
    <t>ckad****</t>
  </si>
  <si>
    <t>92235430206</t>
  </si>
  <si>
    <t>2026052349315561</t>
  </si>
  <si>
    <t>2026052341760291</t>
  </si>
  <si>
    <t>2026052396152941</t>
  </si>
  <si>
    <t>zooy******</t>
  </si>
  <si>
    <t>92235430184</t>
  </si>
  <si>
    <t>2026052341760281</t>
  </si>
  <si>
    <t>2026052297926351</t>
  </si>
  <si>
    <t>2026052273408721</t>
  </si>
  <si>
    <t>이소람</t>
  </si>
  <si>
    <t>sr****</t>
  </si>
  <si>
    <t>92235371255</t>
  </si>
  <si>
    <t>2026052527006351</t>
  </si>
  <si>
    <t>2026052557983451</t>
  </si>
  <si>
    <t>이수빈</t>
  </si>
  <si>
    <t>dlwl******</t>
  </si>
  <si>
    <t>92235430431</t>
  </si>
  <si>
    <t>2026051814045341</t>
  </si>
  <si>
    <t>2026051849038521</t>
  </si>
  <si>
    <t>서혜림</t>
  </si>
  <si>
    <t>tjsa********</t>
  </si>
  <si>
    <t>92235225773</t>
  </si>
  <si>
    <t>2026051768275791</t>
  </si>
  <si>
    <t>2026051725174161</t>
  </si>
  <si>
    <t>윤나영</t>
  </si>
  <si>
    <t>blue*******</t>
  </si>
  <si>
    <t>92235147266</t>
  </si>
  <si>
    <t>2026051523232271</t>
  </si>
  <si>
    <t>2026051584107691</t>
  </si>
  <si>
    <t>성민정</t>
  </si>
  <si>
    <t>mj****</t>
  </si>
  <si>
    <t>92235147071</t>
  </si>
  <si>
    <t>2026051530058121</t>
  </si>
  <si>
    <t>2026051588664251</t>
  </si>
  <si>
    <t>김서진</t>
  </si>
  <si>
    <t>cilo***</t>
  </si>
  <si>
    <t>92235147104</t>
  </si>
  <si>
    <t>2026051634783361</t>
  </si>
  <si>
    <t>2026051691874131</t>
  </si>
  <si>
    <t>임지영</t>
  </si>
  <si>
    <t>92235147130</t>
  </si>
  <si>
    <t>2026051766755551</t>
  </si>
  <si>
    <t>2026051724123391</t>
  </si>
  <si>
    <t>김복자</t>
  </si>
  <si>
    <t>kbj9***</t>
  </si>
  <si>
    <t>이현진</t>
  </si>
  <si>
    <t>92235147255</t>
  </si>
  <si>
    <t>2026051766376441</t>
  </si>
  <si>
    <t>2026051723860271</t>
  </si>
  <si>
    <t>오주연</t>
  </si>
  <si>
    <t>jooy******</t>
  </si>
  <si>
    <t>92235147561</t>
  </si>
  <si>
    <t>2026051776427071</t>
  </si>
  <si>
    <t>2026051730839001</t>
  </si>
  <si>
    <t>김정화</t>
  </si>
  <si>
    <t>arti*******</t>
  </si>
  <si>
    <t>92235147292</t>
  </si>
  <si>
    <t>2026051776427061</t>
  </si>
  <si>
    <t>2026051778774801</t>
  </si>
  <si>
    <t>2026051732455551</t>
  </si>
  <si>
    <t>박진숙</t>
  </si>
  <si>
    <t>jins******</t>
  </si>
  <si>
    <t>92235147303</t>
  </si>
  <si>
    <t>2026051651510111</t>
  </si>
  <si>
    <t>2026051613835301</t>
  </si>
  <si>
    <t>서지우</t>
  </si>
  <si>
    <t>dbrs******</t>
  </si>
  <si>
    <t>92235147196</t>
  </si>
  <si>
    <t>2026051792891321</t>
  </si>
  <si>
    <t>2026051741901941</t>
  </si>
  <si>
    <t>whek*****</t>
  </si>
  <si>
    <t>92235147351</t>
  </si>
  <si>
    <t>2026051635663051</t>
  </si>
  <si>
    <t>2026051692505851</t>
  </si>
  <si>
    <t>정미정</t>
  </si>
  <si>
    <t>nada*****</t>
  </si>
  <si>
    <t>92235147664</t>
  </si>
  <si>
    <t>2026051632837131</t>
  </si>
  <si>
    <t>2026051690513571</t>
  </si>
  <si>
    <t>정유리</t>
  </si>
  <si>
    <t>alrn******</t>
  </si>
  <si>
    <t>김가연</t>
  </si>
  <si>
    <t>92235147126</t>
  </si>
  <si>
    <t>2026051526908161</t>
  </si>
  <si>
    <t>2026051586629771</t>
  </si>
  <si>
    <t>이유경</t>
  </si>
  <si>
    <t>mms0****</t>
  </si>
  <si>
    <t>92235147082</t>
  </si>
  <si>
    <t>2026051779034291</t>
  </si>
  <si>
    <t>2026051732633121</t>
  </si>
  <si>
    <t>안소현</t>
  </si>
  <si>
    <t>ir****</t>
  </si>
  <si>
    <t>92235147524</t>
  </si>
  <si>
    <t>2026051790675541</t>
  </si>
  <si>
    <t>2026051740499071</t>
  </si>
  <si>
    <t>김금영</t>
  </si>
  <si>
    <t>feel********</t>
  </si>
  <si>
    <t>92235147502</t>
  </si>
  <si>
    <t>2026051763355591</t>
  </si>
  <si>
    <t>2026051721726791</t>
  </si>
  <si>
    <t>권나진</t>
  </si>
  <si>
    <t>kht7***</t>
  </si>
  <si>
    <t>92235147244</t>
  </si>
  <si>
    <t>2026051794471241</t>
  </si>
  <si>
    <t>2026051742880391</t>
  </si>
  <si>
    <t>송은정</t>
  </si>
  <si>
    <t>sej9***</t>
  </si>
  <si>
    <t>92235147362</t>
  </si>
  <si>
    <t>2026051777517321</t>
  </si>
  <si>
    <t>2026051731591681</t>
  </si>
  <si>
    <t>송정진</t>
  </si>
  <si>
    <t>puss*****</t>
  </si>
  <si>
    <t>92235147535</t>
  </si>
  <si>
    <t>2026051632079511</t>
  </si>
  <si>
    <t>2026051690012931</t>
  </si>
  <si>
    <t>최병국</t>
  </si>
  <si>
    <t>bene******</t>
  </si>
  <si>
    <t>강은애</t>
  </si>
  <si>
    <t>92235147115</t>
  </si>
  <si>
    <t>2026052298020421</t>
  </si>
  <si>
    <t>2026052273473231</t>
  </si>
  <si>
    <t>고미영</t>
  </si>
  <si>
    <t>komy****</t>
  </si>
  <si>
    <t>92235371266</t>
  </si>
  <si>
    <t>2026051340284911</t>
  </si>
  <si>
    <t>2026051335075521</t>
  </si>
  <si>
    <t>jack****</t>
  </si>
  <si>
    <t>92235055894</t>
  </si>
  <si>
    <t>드라잉타올추가 (정가 27000원): 1개 (주문일기준 2주후 순차배송)</t>
  </si>
  <si>
    <t>2026051340284901</t>
  </si>
  <si>
    <t>배송일확인: 주문일 기준 2주 후 순차배송</t>
  </si>
  <si>
    <t>2026051639885021</t>
  </si>
  <si>
    <t>2026051695522561</t>
  </si>
  <si>
    <t>이혜린</t>
  </si>
  <si>
    <t>lhl5***</t>
  </si>
  <si>
    <t>혜린</t>
  </si>
  <si>
    <t>92235147152</t>
  </si>
  <si>
    <t>2026052017207851</t>
  </si>
  <si>
    <t>2026052020297691</t>
  </si>
  <si>
    <t>김서정</t>
  </si>
  <si>
    <t>sjeo*****</t>
  </si>
  <si>
    <t>92235312853</t>
  </si>
  <si>
    <t>2026052097982341</t>
  </si>
  <si>
    <t>2026052014157391</t>
  </si>
  <si>
    <t>유연지</t>
  </si>
  <si>
    <t>uyj0***</t>
  </si>
  <si>
    <t>92235298105</t>
  </si>
  <si>
    <t>2026051769038721</t>
  </si>
  <si>
    <t>2026051725703051</t>
  </si>
  <si>
    <t>나우석</t>
  </si>
  <si>
    <t>dnwn****</t>
  </si>
  <si>
    <t>92235147270</t>
  </si>
  <si>
    <t>2026051820596751</t>
  </si>
  <si>
    <t>2026051853254251</t>
  </si>
  <si>
    <t>92235225784</t>
  </si>
  <si>
    <t>2026052186902631</t>
  </si>
  <si>
    <t>2026052166200401</t>
  </si>
  <si>
    <t>윤희숙</t>
  </si>
  <si>
    <t>qaz3******</t>
  </si>
  <si>
    <t>92235371281</t>
  </si>
  <si>
    <t>2026051832917051</t>
  </si>
  <si>
    <t>2026051861243851</t>
  </si>
  <si>
    <t>임시영</t>
  </si>
  <si>
    <t>kid9*****</t>
  </si>
  <si>
    <t>92235242971</t>
  </si>
  <si>
    <t>2026052176534631</t>
  </si>
  <si>
    <t>2026052159097411</t>
  </si>
  <si>
    <t>송호정</t>
  </si>
  <si>
    <t>1235*****</t>
  </si>
  <si>
    <t>92235371200</t>
  </si>
  <si>
    <t>2026052050032471</t>
  </si>
  <si>
    <t>2026052041668701</t>
  </si>
  <si>
    <t>허나영</t>
  </si>
  <si>
    <t>skdu*****</t>
  </si>
  <si>
    <t>92235330585</t>
  </si>
  <si>
    <t>2026051586096921</t>
  </si>
  <si>
    <t>2026051565605861</t>
  </si>
  <si>
    <t>hyun********</t>
  </si>
  <si>
    <t>92235090032</t>
  </si>
  <si>
    <t>2026051481689371</t>
  </si>
  <si>
    <t>2026051462790431</t>
  </si>
  <si>
    <t>이슬기</t>
  </si>
  <si>
    <t>wada********</t>
  </si>
  <si>
    <t>92235090010</t>
  </si>
  <si>
    <t>2026051480850761</t>
  </si>
  <si>
    <t>2026051462254721</t>
  </si>
  <si>
    <t>uu****</t>
  </si>
  <si>
    <t>92235090006</t>
  </si>
  <si>
    <t>2026051467558661</t>
  </si>
  <si>
    <t>2026051453182151</t>
  </si>
  <si>
    <t>추선미</t>
  </si>
  <si>
    <t>cn****</t>
  </si>
  <si>
    <t>92235089962</t>
  </si>
  <si>
    <t>2026051468502911</t>
  </si>
  <si>
    <t>2026051453832731</t>
  </si>
  <si>
    <t>우다연</t>
  </si>
  <si>
    <t>wood***</t>
  </si>
  <si>
    <t>92235090091</t>
  </si>
  <si>
    <t>2026051585416071</t>
  </si>
  <si>
    <t>2026051565185401</t>
  </si>
  <si>
    <t>민보경</t>
  </si>
  <si>
    <t>장마음</t>
  </si>
  <si>
    <t>92235090021</t>
  </si>
  <si>
    <t>2026051830050261</t>
  </si>
  <si>
    <t>2026051859387511</t>
  </si>
  <si>
    <t>박혜리</t>
  </si>
  <si>
    <t>love********</t>
  </si>
  <si>
    <t>92235243133</t>
  </si>
  <si>
    <t>2026051770081831</t>
  </si>
  <si>
    <t>2026051726426191</t>
  </si>
  <si>
    <t>박미소</t>
  </si>
  <si>
    <t>5653***</t>
  </si>
  <si>
    <t>92235147281</t>
  </si>
  <si>
    <t>2026051994086231</t>
  </si>
  <si>
    <t>2026051911698931</t>
  </si>
  <si>
    <t>김태연</t>
  </si>
  <si>
    <t>sexy*****</t>
  </si>
  <si>
    <t>92235298201</t>
  </si>
  <si>
    <t>2026052019033961</t>
  </si>
  <si>
    <t>2026052021498071</t>
  </si>
  <si>
    <t>예미진</t>
  </si>
  <si>
    <t>ymj1*****</t>
  </si>
  <si>
    <t>92235312864</t>
  </si>
  <si>
    <t>2026052035697521</t>
  </si>
  <si>
    <t>2026052032313011</t>
  </si>
  <si>
    <t>김라희</t>
  </si>
  <si>
    <t>kjh8*****</t>
  </si>
  <si>
    <t>92235330563</t>
  </si>
  <si>
    <t>2026051451607351</t>
  </si>
  <si>
    <t>2026051442561311</t>
  </si>
  <si>
    <t>김예슬</t>
  </si>
  <si>
    <t>hell*****</t>
  </si>
  <si>
    <t>92235071681</t>
  </si>
  <si>
    <t>2026051455354751</t>
  </si>
  <si>
    <t>2026051445045081</t>
  </si>
  <si>
    <t>변수진</t>
  </si>
  <si>
    <t>ssu_******</t>
  </si>
  <si>
    <t>92235071692</t>
  </si>
  <si>
    <t>2026051329706401</t>
  </si>
  <si>
    <t>2026051327990201</t>
  </si>
  <si>
    <t>popo******</t>
  </si>
  <si>
    <t>92235055850</t>
  </si>
  <si>
    <t>2026051078688991</t>
  </si>
  <si>
    <t>2026051031650621</t>
  </si>
  <si>
    <t>박솔지</t>
  </si>
  <si>
    <t>suga******</t>
  </si>
  <si>
    <t>92235054564</t>
  </si>
  <si>
    <t>2026051270630691</t>
  </si>
  <si>
    <t>2026051285225421</t>
  </si>
  <si>
    <t>fa****</t>
  </si>
  <si>
    <t>92235056104</t>
  </si>
  <si>
    <t>2026051129691711</t>
  </si>
  <si>
    <t>2026051158470631</t>
  </si>
  <si>
    <t>민지영</t>
  </si>
  <si>
    <t>xjcl******</t>
  </si>
  <si>
    <t>92235055091</t>
  </si>
  <si>
    <t>2026051059933071</t>
  </si>
  <si>
    <t>2026051018783201</t>
  </si>
  <si>
    <t>홍난표</t>
  </si>
  <si>
    <t>ghds****</t>
  </si>
  <si>
    <t>92235054505</t>
  </si>
  <si>
    <t>2026051129714951</t>
  </si>
  <si>
    <t>2026051158485941</t>
  </si>
  <si>
    <t>이우승</t>
  </si>
  <si>
    <t>gogo****</t>
  </si>
  <si>
    <t>92235055102</t>
  </si>
  <si>
    <t>2026051053106441</t>
  </si>
  <si>
    <t>2026051014105951</t>
  </si>
  <si>
    <t>박지윤</t>
  </si>
  <si>
    <t>cjdm*******</t>
  </si>
  <si>
    <t>92235054472</t>
  </si>
  <si>
    <t>2026051395275471</t>
  </si>
  <si>
    <t>2026051311655431</t>
  </si>
  <si>
    <t>손경희</t>
  </si>
  <si>
    <t>yeon****</t>
  </si>
  <si>
    <t>92235055334</t>
  </si>
  <si>
    <t>2026051333151691</t>
  </si>
  <si>
    <t>2026051330416881</t>
  </si>
  <si>
    <t>백지혜</t>
  </si>
  <si>
    <t>fjqm****</t>
  </si>
  <si>
    <t>92235056023</t>
  </si>
  <si>
    <t>2026050925574641</t>
  </si>
  <si>
    <t>2026050984803401</t>
  </si>
  <si>
    <t>윤가은</t>
  </si>
  <si>
    <t>gaeu****</t>
  </si>
  <si>
    <t>92235054435</t>
  </si>
  <si>
    <t>2026050925687731</t>
  </si>
  <si>
    <t>2026050984877641</t>
  </si>
  <si>
    <t>임미란</t>
  </si>
  <si>
    <t>elim******</t>
  </si>
  <si>
    <t>92235054446</t>
  </si>
  <si>
    <t>2026051395948651</t>
  </si>
  <si>
    <t>2026051312106471</t>
  </si>
  <si>
    <t>이기화</t>
  </si>
  <si>
    <t>vkxn****</t>
  </si>
  <si>
    <t>92235055345</t>
  </si>
  <si>
    <t>2026050815690921</t>
  </si>
  <si>
    <t>2026050878137711</t>
  </si>
  <si>
    <t>jeee****</t>
  </si>
  <si>
    <t>92235054391</t>
  </si>
  <si>
    <t>2026051198880701</t>
  </si>
  <si>
    <t>2026051144691051</t>
  </si>
  <si>
    <t>이사랑</t>
  </si>
  <si>
    <t>ozco****</t>
  </si>
  <si>
    <t>김은년</t>
  </si>
  <si>
    <t>92235054634</t>
  </si>
  <si>
    <t>2026051069889761</t>
  </si>
  <si>
    <t>2026051025637271</t>
  </si>
  <si>
    <t>허지혜</t>
  </si>
  <si>
    <t>gjwl****</t>
  </si>
  <si>
    <t>92235054531</t>
  </si>
  <si>
    <t>2026051278309751</t>
  </si>
  <si>
    <t>2026051290498731</t>
  </si>
  <si>
    <t>김은혜</t>
  </si>
  <si>
    <t>e_****</t>
  </si>
  <si>
    <t>92235055301</t>
  </si>
  <si>
    <t>2026051133546101</t>
  </si>
  <si>
    <t>2026051161088031</t>
  </si>
  <si>
    <t>한은정</t>
  </si>
  <si>
    <t>ej96******</t>
  </si>
  <si>
    <t>92235056115</t>
  </si>
  <si>
    <t>2026051127955631</t>
  </si>
  <si>
    <t>2026051157313311</t>
  </si>
  <si>
    <t>김희선</t>
  </si>
  <si>
    <t>ga****</t>
  </si>
  <si>
    <t>92235055080</t>
  </si>
  <si>
    <t>2026051073446751</t>
  </si>
  <si>
    <t>2026051028082631</t>
  </si>
  <si>
    <t>심성민</t>
  </si>
  <si>
    <t>szkm****</t>
  </si>
  <si>
    <t>92235056141</t>
  </si>
  <si>
    <t>2026051134858491</t>
  </si>
  <si>
    <t>2026051161979521</t>
  </si>
  <si>
    <t>김영필</t>
  </si>
  <si>
    <t>dmsw******</t>
  </si>
  <si>
    <t>정희자</t>
  </si>
  <si>
    <t>92235055124</t>
  </si>
  <si>
    <t>2026051077766021</t>
  </si>
  <si>
    <t>2026051031037491</t>
  </si>
  <si>
    <t>윤민용</t>
  </si>
  <si>
    <t>alsd******</t>
  </si>
  <si>
    <t>92235054553</t>
  </si>
  <si>
    <t>2026051064685011</t>
  </si>
  <si>
    <t>2026051022055811</t>
  </si>
  <si>
    <t>서희지</t>
  </si>
  <si>
    <t>69tp***</t>
  </si>
  <si>
    <t>92235054520</t>
  </si>
  <si>
    <t>2026050823986781</t>
  </si>
  <si>
    <t>2026050883754881</t>
  </si>
  <si>
    <t>조근식</t>
  </si>
  <si>
    <t>ajsb***</t>
  </si>
  <si>
    <t>92235054413</t>
  </si>
  <si>
    <t>2026051337510761</t>
  </si>
  <si>
    <t>2026051333298301</t>
  </si>
  <si>
    <t>정소이</t>
  </si>
  <si>
    <t>wjdt*******</t>
  </si>
  <si>
    <t>92235055872</t>
  </si>
  <si>
    <t>2026051194448661</t>
  </si>
  <si>
    <t>2026051141774371</t>
  </si>
  <si>
    <t>정미연</t>
  </si>
  <si>
    <t>j_my****</t>
  </si>
  <si>
    <t>92235054612</t>
  </si>
  <si>
    <t>2026050821699361</t>
  </si>
  <si>
    <t>2026050882247751</t>
  </si>
  <si>
    <t>kbr9***</t>
  </si>
  <si>
    <t>92235056163</t>
  </si>
  <si>
    <t>2026051060376671</t>
  </si>
  <si>
    <t>2026051019084931</t>
  </si>
  <si>
    <t>윤여리</t>
  </si>
  <si>
    <t>yyr8*****</t>
  </si>
  <si>
    <t>92235054516</t>
  </si>
  <si>
    <t>2026051124151821</t>
  </si>
  <si>
    <t>2026051154798331</t>
  </si>
  <si>
    <t>정혜주</t>
  </si>
  <si>
    <t>wdh3***</t>
  </si>
  <si>
    <t>92235054671</t>
  </si>
  <si>
    <t>2026051448084981</t>
  </si>
  <si>
    <t>2026051440197051</t>
  </si>
  <si>
    <t>양진숙</t>
  </si>
  <si>
    <t>xxpa****</t>
  </si>
  <si>
    <t>92235055931</t>
  </si>
  <si>
    <t>2026051388519631</t>
  </si>
  <si>
    <t>2026051397142721</t>
  </si>
  <si>
    <t>정채연</t>
  </si>
  <si>
    <t>bign*******</t>
  </si>
  <si>
    <t>92235055323</t>
  </si>
  <si>
    <t>2026050938110051</t>
  </si>
  <si>
    <t>2026050993810481</t>
  </si>
  <si>
    <t>고다인</t>
  </si>
  <si>
    <t>qazz****</t>
  </si>
  <si>
    <t>92235054461</t>
  </si>
  <si>
    <t>2026051118299071</t>
  </si>
  <si>
    <t>2026051150970591</t>
  </si>
  <si>
    <t>지승희</t>
  </si>
  <si>
    <t>92235054656</t>
  </si>
  <si>
    <t>2026051337937471</t>
  </si>
  <si>
    <t>2026051333575671</t>
  </si>
  <si>
    <t>김경숙</t>
  </si>
  <si>
    <t>gucc*****</t>
  </si>
  <si>
    <t>92235055883</t>
  </si>
  <si>
    <t>2026051329938671</t>
  </si>
  <si>
    <t>2026051328157951</t>
  </si>
  <si>
    <t>임수영</t>
  </si>
  <si>
    <t>dlat********</t>
  </si>
  <si>
    <t>92235055861</t>
  </si>
  <si>
    <t>2026052098130491</t>
  </si>
  <si>
    <t>2026052014249191</t>
  </si>
  <si>
    <t>홍정애</t>
  </si>
  <si>
    <t>wjdd****</t>
  </si>
  <si>
    <t>92235298116</t>
  </si>
  <si>
    <t>2026051059460421</t>
  </si>
  <si>
    <t>2026051018459821</t>
  </si>
  <si>
    <t>neun****</t>
  </si>
  <si>
    <t>92235054494</t>
  </si>
  <si>
    <t>2026051644549541</t>
  </si>
  <si>
    <t>2026051698872731</t>
  </si>
  <si>
    <t>조민주</t>
  </si>
  <si>
    <t>mjm0******</t>
  </si>
  <si>
    <t>92235147163</t>
  </si>
  <si>
    <t>2026051598770261</t>
  </si>
  <si>
    <t>2026051574212921</t>
  </si>
  <si>
    <t>hsl1***</t>
  </si>
  <si>
    <t>92235147056</t>
  </si>
  <si>
    <t>2026051276477351</t>
  </si>
  <si>
    <t>2026051289213961</t>
  </si>
  <si>
    <t>안민정</t>
  </si>
  <si>
    <t>skdi****</t>
  </si>
  <si>
    <t>92235030171</t>
  </si>
  <si>
    <t>2026051267042671</t>
  </si>
  <si>
    <t>2026051282868731</t>
  </si>
  <si>
    <t>송혜민</t>
  </si>
  <si>
    <t>hm****</t>
  </si>
  <si>
    <t>92235055161</t>
  </si>
  <si>
    <t>2026052098327481</t>
  </si>
  <si>
    <t>2026052014369501</t>
  </si>
  <si>
    <t>이다희</t>
  </si>
  <si>
    <t>da_h******</t>
  </si>
  <si>
    <t>92235298120</t>
  </si>
  <si>
    <t>2026051774456861</t>
  </si>
  <si>
    <t>2026051729474191</t>
  </si>
  <si>
    <t>92235147546</t>
  </si>
  <si>
    <t>2026051840762931</t>
  </si>
  <si>
    <t>2026051866487561</t>
  </si>
  <si>
    <t>강소윤</t>
  </si>
  <si>
    <t>ksoy******</t>
  </si>
  <si>
    <t>92235243004</t>
  </si>
  <si>
    <t>2026051653049191</t>
  </si>
  <si>
    <t>2026051614930751</t>
  </si>
  <si>
    <t>남현아</t>
  </si>
  <si>
    <t>wndu********</t>
  </si>
  <si>
    <t>92235147200</t>
  </si>
  <si>
    <t>2026052010445451</t>
  </si>
  <si>
    <t>2026052015692201</t>
  </si>
  <si>
    <t>정주원</t>
  </si>
  <si>
    <t>dodo*****</t>
  </si>
  <si>
    <t>92235298131</t>
  </si>
  <si>
    <t>2026051783391001</t>
  </si>
  <si>
    <t>2026051735637631</t>
  </si>
  <si>
    <t>양소영</t>
  </si>
  <si>
    <t>obag*****</t>
  </si>
  <si>
    <t>92235147340</t>
  </si>
  <si>
    <t>2026051966229161</t>
  </si>
  <si>
    <t>2026051983162901</t>
  </si>
  <si>
    <t>양은정</t>
  </si>
  <si>
    <t>yang*******</t>
  </si>
  <si>
    <t>92235276442</t>
  </si>
  <si>
    <t>2026050891856341</t>
  </si>
  <si>
    <t>2026050868639061</t>
  </si>
  <si>
    <t>배진경</t>
  </si>
  <si>
    <t>wlsr******</t>
  </si>
  <si>
    <t>92234919081</t>
  </si>
  <si>
    <t>2026051972922881</t>
  </si>
  <si>
    <t>2026051987546461</t>
  </si>
  <si>
    <t>박주연</t>
  </si>
  <si>
    <t>jy****</t>
  </si>
  <si>
    <t>오명자</t>
  </si>
  <si>
    <t>92235276453</t>
  </si>
  <si>
    <t>2026051840697661</t>
  </si>
  <si>
    <t>2026051866443751</t>
  </si>
  <si>
    <t>tine***</t>
  </si>
  <si>
    <t>92235242993</t>
  </si>
  <si>
    <t>2026051475078311</t>
  </si>
  <si>
    <t>2026051458410581</t>
  </si>
  <si>
    <t>임채건</t>
  </si>
  <si>
    <t>di****</t>
  </si>
  <si>
    <t>92235089995</t>
  </si>
  <si>
    <t>2026051644560901</t>
  </si>
  <si>
    <t>2026051698880621</t>
  </si>
  <si>
    <t>최윤실</t>
  </si>
  <si>
    <t>anas******</t>
  </si>
  <si>
    <t>92235147174</t>
  </si>
  <si>
    <t>2026051196160131</t>
  </si>
  <si>
    <t>2026051142891281</t>
  </si>
  <si>
    <t>강윤아</t>
  </si>
  <si>
    <t>kya8***</t>
  </si>
  <si>
    <t>92235054623</t>
  </si>
  <si>
    <t>2026051083589151</t>
  </si>
  <si>
    <t>2026051034813971</t>
  </si>
  <si>
    <t>허지은</t>
  </si>
  <si>
    <t>neh2***</t>
  </si>
  <si>
    <t>92234949553</t>
  </si>
  <si>
    <t>2026051083589141</t>
  </si>
  <si>
    <t>2026051120052341</t>
  </si>
  <si>
    <t>2026051152118121</t>
  </si>
  <si>
    <t>alsw*******</t>
  </si>
  <si>
    <t>정상훈</t>
  </si>
  <si>
    <t>92234949645</t>
  </si>
  <si>
    <t>2026051120052331</t>
  </si>
  <si>
    <t>2026050768395861</t>
  </si>
  <si>
    <t>2026050753088191</t>
  </si>
  <si>
    <t>전은정</t>
  </si>
  <si>
    <t>andy****</t>
  </si>
  <si>
    <t>92234918930</t>
  </si>
  <si>
    <t>2026050766373291</t>
  </si>
  <si>
    <t>2026050751685861</t>
  </si>
  <si>
    <t>layo*******</t>
  </si>
  <si>
    <t>92234918926</t>
  </si>
  <si>
    <t>2026050810170971</t>
  </si>
  <si>
    <t>2026050874238491</t>
  </si>
  <si>
    <t>조은진</t>
  </si>
  <si>
    <t>ejmi**********</t>
  </si>
  <si>
    <t>92234919044</t>
  </si>
  <si>
    <t>2026050761135301</t>
  </si>
  <si>
    <t>2026050748040751</t>
  </si>
  <si>
    <t>전다현</t>
  </si>
  <si>
    <t>wjse******</t>
  </si>
  <si>
    <t>92234918915</t>
  </si>
  <si>
    <t>2026050885759831</t>
  </si>
  <si>
    <t>2026050864567151</t>
  </si>
  <si>
    <t>김수림</t>
  </si>
  <si>
    <t>suli*****</t>
  </si>
  <si>
    <t>ddu</t>
  </si>
  <si>
    <t>92234919011</t>
  </si>
  <si>
    <t>2026050775660271</t>
  </si>
  <si>
    <t>2026050757807381</t>
  </si>
  <si>
    <t>유난희</t>
  </si>
  <si>
    <t>9144****</t>
  </si>
  <si>
    <t>92234918996</t>
  </si>
  <si>
    <t>2026050772563841</t>
  </si>
  <si>
    <t>2026050755834851</t>
  </si>
  <si>
    <t>김수민</t>
  </si>
  <si>
    <t>bino*****</t>
  </si>
  <si>
    <t>92234918941</t>
  </si>
  <si>
    <t>2026050772928971</t>
  </si>
  <si>
    <t>2026050756066431</t>
  </si>
  <si>
    <t>이윤진</t>
  </si>
  <si>
    <t>clov*****</t>
  </si>
  <si>
    <t>92234918952</t>
  </si>
  <si>
    <t>2026050898239681</t>
  </si>
  <si>
    <t>2026050872913761</t>
  </si>
  <si>
    <t>김명진</t>
  </si>
  <si>
    <t>00****</t>
  </si>
  <si>
    <t>92234919033</t>
  </si>
  <si>
    <t>2026050884713881</t>
  </si>
  <si>
    <t>2026050863871601</t>
  </si>
  <si>
    <t>임해진</t>
  </si>
  <si>
    <t>haej******</t>
  </si>
  <si>
    <t>92234919000</t>
  </si>
  <si>
    <t>2026051189073781</t>
  </si>
  <si>
    <t>2026051138227831</t>
  </si>
  <si>
    <t>이종호</t>
  </si>
  <si>
    <t>yo****</t>
  </si>
  <si>
    <t>92235056126</t>
  </si>
  <si>
    <t>2026050927676281</t>
  </si>
  <si>
    <t>2026050986268581</t>
  </si>
  <si>
    <t>이미순</t>
  </si>
  <si>
    <t>miss********</t>
  </si>
  <si>
    <t>92234949542</t>
  </si>
  <si>
    <t>2026050927676271</t>
  </si>
  <si>
    <t>2026051782688721</t>
  </si>
  <si>
    <t>2026051735149641</t>
  </si>
  <si>
    <t>최선희</t>
  </si>
  <si>
    <t>sifo****</t>
  </si>
  <si>
    <t>92235147325</t>
  </si>
  <si>
    <t>2026051762127601</t>
  </si>
  <si>
    <t>2026051720924851</t>
  </si>
  <si>
    <t>shin********</t>
  </si>
  <si>
    <t>92235147233</t>
  </si>
  <si>
    <t>2026051762127591</t>
  </si>
  <si>
    <t>2026051261910581</t>
  </si>
  <si>
    <t>2026051279548281</t>
  </si>
  <si>
    <t>김고은</t>
  </si>
  <si>
    <t>luce*******</t>
  </si>
  <si>
    <t>92235055474</t>
  </si>
  <si>
    <t>2026051261910571</t>
  </si>
  <si>
    <t>2026051317577151</t>
  </si>
  <si>
    <t>2026051319864491</t>
  </si>
  <si>
    <t>wndu*****</t>
  </si>
  <si>
    <t>92235055452</t>
  </si>
  <si>
    <t>2026050763239151</t>
  </si>
  <si>
    <t>2026050749482811</t>
  </si>
  <si>
    <t>hjba***</t>
  </si>
  <si>
    <t>92234919103</t>
  </si>
  <si>
    <t>2026051316821221</t>
  </si>
  <si>
    <t>2026051319369341</t>
  </si>
  <si>
    <t>전소영</t>
  </si>
  <si>
    <t>tths****</t>
  </si>
  <si>
    <t>92235055371</t>
  </si>
  <si>
    <t>2026051594568731</t>
  </si>
  <si>
    <t>2026051571379121</t>
  </si>
  <si>
    <t>92235116131</t>
  </si>
  <si>
    <t>2026051594568721</t>
  </si>
  <si>
    <t>2026051594474891</t>
  </si>
  <si>
    <t>2026051571316011</t>
  </si>
  <si>
    <t>김선주</t>
  </si>
  <si>
    <t>sues******</t>
  </si>
  <si>
    <t>92235116120</t>
  </si>
  <si>
    <t>2026050773655341</t>
  </si>
  <si>
    <t>2026050756532171</t>
  </si>
  <si>
    <t>강하혜</t>
  </si>
  <si>
    <t>dana******</t>
  </si>
  <si>
    <t>92234918963</t>
  </si>
  <si>
    <t>2026050187684101</t>
  </si>
  <si>
    <t>2026050164904691</t>
  </si>
  <si>
    <t>이은화</t>
  </si>
  <si>
    <t>mond******</t>
  </si>
  <si>
    <t>이서림</t>
  </si>
  <si>
    <t>92234719264</t>
  </si>
  <si>
    <t>배송일확인: 3차 발송 (5/4~5/8 순차출고)</t>
  </si>
  <si>
    <t>2026051083888561</t>
  </si>
  <si>
    <t>2026051035002681</t>
  </si>
  <si>
    <t>김은미</t>
  </si>
  <si>
    <t>eun3***</t>
  </si>
  <si>
    <t>이토니</t>
  </si>
  <si>
    <t>92235054586</t>
  </si>
  <si>
    <t>2026051266145931</t>
  </si>
  <si>
    <t>2026051282286131</t>
  </si>
  <si>
    <t>이정원</t>
  </si>
  <si>
    <t>gkak****</t>
  </si>
  <si>
    <t>92235055485</t>
  </si>
  <si>
    <t>2026051266145921</t>
  </si>
  <si>
    <t>2026051070339471</t>
  </si>
  <si>
    <t>2026051025944221</t>
  </si>
  <si>
    <t>이봉남</t>
  </si>
  <si>
    <t>ibon********</t>
  </si>
  <si>
    <t>92235056152</t>
  </si>
  <si>
    <t>2026051283072331</t>
  </si>
  <si>
    <t>2026051293695401</t>
  </si>
  <si>
    <t>홍진이</t>
  </si>
  <si>
    <t>hong*****</t>
  </si>
  <si>
    <t>92235055312</t>
  </si>
  <si>
    <t>2026051263266101</t>
  </si>
  <si>
    <t>2026051280432721</t>
  </si>
  <si>
    <t>김민선</t>
  </si>
  <si>
    <t>kkh5****</t>
  </si>
  <si>
    <t>92235055150</t>
  </si>
  <si>
    <t>2026051269717881</t>
  </si>
  <si>
    <t>2026051284607051</t>
  </si>
  <si>
    <t>권혜림</t>
  </si>
  <si>
    <t>fla5***</t>
  </si>
  <si>
    <t>92235055172</t>
  </si>
  <si>
    <t>2026051278284091</t>
  </si>
  <si>
    <t>2026051290480551</t>
  </si>
  <si>
    <t>김민이</t>
  </si>
  <si>
    <t>hjmy****</t>
  </si>
  <si>
    <t>92235055290</t>
  </si>
  <si>
    <t>2026050815464891</t>
  </si>
  <si>
    <t>2026050877972441</t>
  </si>
  <si>
    <t>최진아</t>
  </si>
  <si>
    <t>suwi****</t>
  </si>
  <si>
    <t>92235054380</t>
  </si>
  <si>
    <t>2026051133709151</t>
  </si>
  <si>
    <t>2026051161199611</t>
  </si>
  <si>
    <t>박선유</t>
  </si>
  <si>
    <t>tjsd*****</t>
  </si>
  <si>
    <t>92235055113</t>
  </si>
  <si>
    <t>2026051342036531</t>
  </si>
  <si>
    <t>2026051336202321</t>
  </si>
  <si>
    <t>정주연</t>
  </si>
  <si>
    <t>jury****</t>
  </si>
  <si>
    <t>92235055905</t>
  </si>
  <si>
    <t>2026051315089681</t>
  </si>
  <si>
    <t>2026051318219461</t>
  </si>
  <si>
    <t>정재훈</t>
  </si>
  <si>
    <t>thdk***</t>
  </si>
  <si>
    <t>92235055360</t>
  </si>
  <si>
    <t>2026051472947491</t>
  </si>
  <si>
    <t>2026051456912151</t>
  </si>
  <si>
    <t>monk*****</t>
  </si>
  <si>
    <t>92235089984</t>
  </si>
  <si>
    <t>2026051080983531</t>
  </si>
  <si>
    <t>2026051033172121</t>
  </si>
  <si>
    <t>이태연</t>
  </si>
  <si>
    <t>tyty****</t>
  </si>
  <si>
    <t>92235054575</t>
  </si>
  <si>
    <t>2026051057078931</t>
  </si>
  <si>
    <t>2026051016802171</t>
  </si>
  <si>
    <t>박설아</t>
  </si>
  <si>
    <t>love*******</t>
  </si>
  <si>
    <t>92235054483</t>
  </si>
  <si>
    <t>2026050754639161</t>
  </si>
  <si>
    <t>2026050743679371</t>
  </si>
  <si>
    <t>고정주</t>
  </si>
  <si>
    <t>wjdw*****</t>
  </si>
  <si>
    <t>고하나</t>
  </si>
  <si>
    <t>92234852275</t>
  </si>
  <si>
    <t>2026051247619821</t>
  </si>
  <si>
    <t>2026051270136861</t>
  </si>
  <si>
    <t>sjy3***</t>
  </si>
  <si>
    <t>92235055463</t>
  </si>
  <si>
    <t>2026051247619811</t>
  </si>
  <si>
    <t>2026051123232131</t>
  </si>
  <si>
    <t>2026051154197091</t>
  </si>
  <si>
    <t>류혜영</t>
  </si>
  <si>
    <t>silu******</t>
  </si>
  <si>
    <t>92235054660</t>
  </si>
  <si>
    <t>2026051247093821</t>
  </si>
  <si>
    <t>2026051269777211</t>
  </si>
  <si>
    <t>이명빈</t>
  </si>
  <si>
    <t>audq******</t>
  </si>
  <si>
    <t>92235055135</t>
  </si>
  <si>
    <t>2026050739093041</t>
  </si>
  <si>
    <t>2026050733312881</t>
  </si>
  <si>
    <t>박슬기</t>
  </si>
  <si>
    <t>seul*****</t>
  </si>
  <si>
    <t>92234826401</t>
  </si>
  <si>
    <t>2026050752629321</t>
  </si>
  <si>
    <t>2026050742367691</t>
  </si>
  <si>
    <t>mj92****</t>
  </si>
  <si>
    <t>92234826456</t>
  </si>
  <si>
    <t>2026050624458011</t>
  </si>
  <si>
    <t>2026050623749321</t>
  </si>
  <si>
    <t>rose******</t>
  </si>
  <si>
    <t>92234805795</t>
  </si>
  <si>
    <t>2026050732937821</t>
  </si>
  <si>
    <t>2026050729170331</t>
  </si>
  <si>
    <t>서지향</t>
  </si>
  <si>
    <t>tjwl****</t>
  </si>
  <si>
    <t>92234805843</t>
  </si>
  <si>
    <t>2026050744782831</t>
  </si>
  <si>
    <t>2026050737102701</t>
  </si>
  <si>
    <t>백수정</t>
  </si>
  <si>
    <t>tp****</t>
  </si>
  <si>
    <t>92234826423</t>
  </si>
  <si>
    <t>2026050626272161</t>
  </si>
  <si>
    <t>2026050624934861</t>
  </si>
  <si>
    <t>허유리</t>
  </si>
  <si>
    <t>hyr0***</t>
  </si>
  <si>
    <t>92234805810</t>
  </si>
  <si>
    <t>2026050615229091</t>
  </si>
  <si>
    <t>2026050617448861</t>
  </si>
  <si>
    <t>박수정</t>
  </si>
  <si>
    <t>pink******</t>
  </si>
  <si>
    <t>92234805725</t>
  </si>
  <si>
    <t>2026050624869161</t>
  </si>
  <si>
    <t>2026050624023091</t>
  </si>
  <si>
    <t>주요선</t>
  </si>
  <si>
    <t>aj****</t>
  </si>
  <si>
    <t>92234805806</t>
  </si>
  <si>
    <t>2026050735033761</t>
  </si>
  <si>
    <t>2026050730484421</t>
  </si>
  <si>
    <t>박서율</t>
  </si>
  <si>
    <t>hone*****</t>
  </si>
  <si>
    <t>김가을</t>
  </si>
  <si>
    <t>92234805865</t>
  </si>
  <si>
    <t>2026050631653451</t>
  </si>
  <si>
    <t>2026050628335931</t>
  </si>
  <si>
    <t>최소영</t>
  </si>
  <si>
    <t>82****</t>
  </si>
  <si>
    <t>92234805832</t>
  </si>
  <si>
    <t>2026041957722681</t>
  </si>
  <si>
    <t>2026041915367401</t>
  </si>
  <si>
    <t>92234763180</t>
  </si>
  <si>
    <t>8680767721</t>
  </si>
  <si>
    <t>컬러: 체크블루 / 사이즈: S (2주 후 순차배송)</t>
  </si>
  <si>
    <t>2026042884472371</t>
  </si>
  <si>
    <t>2026042892258381</t>
  </si>
  <si>
    <t>고애진</t>
  </si>
  <si>
    <t>acac****</t>
  </si>
  <si>
    <t>92234719010</t>
  </si>
  <si>
    <t>2026050376734411</t>
  </si>
  <si>
    <t>2026050328802361</t>
  </si>
  <si>
    <t>김도영</t>
  </si>
  <si>
    <t>92234719662</t>
  </si>
  <si>
    <t>2026042735433391</t>
  </si>
  <si>
    <t>2026042760211791</t>
  </si>
  <si>
    <t>정윤옥</t>
  </si>
  <si>
    <t>jayb****</t>
  </si>
  <si>
    <t>92234718892</t>
  </si>
  <si>
    <t>2026050220930041</t>
  </si>
  <si>
    <t>2026050280728771</t>
  </si>
  <si>
    <t>이주현</t>
  </si>
  <si>
    <t>lf****</t>
  </si>
  <si>
    <t>92234719371</t>
  </si>
  <si>
    <t>2026042924470951</t>
  </si>
  <si>
    <t>2026042922069761</t>
  </si>
  <si>
    <t>gogo*******</t>
  </si>
  <si>
    <t>92234717805</t>
  </si>
  <si>
    <t>배송일확인: 2차 발송 (4/27~4/30 순차출고)</t>
  </si>
  <si>
    <t>2026051272702961</t>
  </si>
  <si>
    <t>2026051286614961</t>
  </si>
  <si>
    <t>양미진</t>
  </si>
  <si>
    <t>hone******</t>
  </si>
  <si>
    <t>양*진</t>
  </si>
  <si>
    <t>92235055286</t>
  </si>
  <si>
    <t>2026050934145451</t>
  </si>
  <si>
    <t>2026050990944781</t>
  </si>
  <si>
    <t>정재원</t>
  </si>
  <si>
    <t>bigt***</t>
  </si>
  <si>
    <t>92235054450</t>
  </si>
  <si>
    <t>2026050174648141</t>
  </si>
  <si>
    <t>2026050156073781</t>
  </si>
  <si>
    <t>조지영</t>
  </si>
  <si>
    <t>baeb******</t>
  </si>
  <si>
    <t>92234719205</t>
  </si>
  <si>
    <t>2026051328860061</t>
  </si>
  <si>
    <t>2026051327381741</t>
  </si>
  <si>
    <t>오창수</t>
  </si>
  <si>
    <t>5cha*****</t>
  </si>
  <si>
    <t>92235055835</t>
  </si>
  <si>
    <t>2026051189042781</t>
  </si>
  <si>
    <t>2026051138209701</t>
  </si>
  <si>
    <t>tifk*****</t>
  </si>
  <si>
    <t>92235054590</t>
  </si>
  <si>
    <t>2026051259582051</t>
  </si>
  <si>
    <t>2026051278027111</t>
  </si>
  <si>
    <t>이경희</t>
  </si>
  <si>
    <t>lkh1*****</t>
  </si>
  <si>
    <t>92235055146</t>
  </si>
  <si>
    <t>2026051187851491</t>
  </si>
  <si>
    <t>2026051137470491</t>
  </si>
  <si>
    <t>홍유진</t>
  </si>
  <si>
    <t>hyj2***</t>
  </si>
  <si>
    <t>지니</t>
  </si>
  <si>
    <t>92235056130</t>
  </si>
  <si>
    <t>2026051115912431</t>
  </si>
  <si>
    <t>2026051149377661</t>
  </si>
  <si>
    <t>김미선</t>
  </si>
  <si>
    <t>ms88****</t>
  </si>
  <si>
    <t>92235054645</t>
  </si>
  <si>
    <t>2026050819520731</t>
  </si>
  <si>
    <t>2026050880800861</t>
  </si>
  <si>
    <t>92235054402</t>
  </si>
  <si>
    <t>2026051396924741</t>
  </si>
  <si>
    <t>2026051312757121</t>
  </si>
  <si>
    <t>이선경</t>
  </si>
  <si>
    <t>sunn*******</t>
  </si>
  <si>
    <t>92235055356</t>
  </si>
  <si>
    <t>2026051072485041</t>
  </si>
  <si>
    <t>2026051027424221</t>
  </si>
  <si>
    <t>여지원</t>
  </si>
  <si>
    <t>jiwo*****</t>
  </si>
  <si>
    <t>92235054542</t>
  </si>
  <si>
    <t>2026050774645161</t>
  </si>
  <si>
    <t>2026050757159781</t>
  </si>
  <si>
    <t>이진규</t>
  </si>
  <si>
    <t>jinr*****</t>
  </si>
  <si>
    <t>이진하</t>
  </si>
  <si>
    <t>92234918974</t>
  </si>
  <si>
    <t>2026050814076871</t>
  </si>
  <si>
    <t>2026050876978501</t>
  </si>
  <si>
    <t>92234949531</t>
  </si>
  <si>
    <t>2026050814076861</t>
  </si>
  <si>
    <t>2026041933875431</t>
  </si>
  <si>
    <t>2026041989077541</t>
  </si>
  <si>
    <t>jenn*****</t>
  </si>
  <si>
    <t>92234763176</t>
  </si>
  <si>
    <t>10439130559</t>
  </si>
  <si>
    <t>컬러: 체크레드 / 길이: 1.2M 도시산책형 (2차: 2주후 순차배송)</t>
  </si>
  <si>
    <t>2026041814630951</t>
  </si>
  <si>
    <t>2026041875937681</t>
  </si>
  <si>
    <t>김솔</t>
  </si>
  <si>
    <t>서리</t>
  </si>
  <si>
    <t>92234762314</t>
  </si>
  <si>
    <t>2026041814630941</t>
  </si>
  <si>
    <t>컬러: 체크레드(2차:2주후 순차배송) / 길이: 1.2M 도시산책형</t>
  </si>
  <si>
    <t>2026050692774521</t>
  </si>
  <si>
    <t>2026050699242281</t>
  </si>
  <si>
    <t>박신회</t>
  </si>
  <si>
    <t>sinh*******</t>
  </si>
  <si>
    <t>92234777725</t>
  </si>
  <si>
    <t>2026050693344271</t>
  </si>
  <si>
    <t>2026050699620471</t>
  </si>
  <si>
    <t>hyun*****</t>
  </si>
  <si>
    <t>92234777736</t>
  </si>
  <si>
    <t>2026041815602751</t>
  </si>
  <si>
    <t>92234763191</t>
  </si>
  <si>
    <t>2026050674143031</t>
  </si>
  <si>
    <t>2026050686932651</t>
  </si>
  <si>
    <t>이정미</t>
  </si>
  <si>
    <t>wowj*****</t>
  </si>
  <si>
    <t>92234762944</t>
  </si>
  <si>
    <t>2026050483055851</t>
  </si>
  <si>
    <t>2026050432750911</t>
  </si>
  <si>
    <t>전찬혁</t>
  </si>
  <si>
    <t>cksg****</t>
  </si>
  <si>
    <t>92234719743</t>
  </si>
  <si>
    <t>2026050377662661</t>
  </si>
  <si>
    <t>2026050329395501</t>
  </si>
  <si>
    <t>so_y*****</t>
  </si>
  <si>
    <t>92234719673</t>
  </si>
  <si>
    <t>2026050487810841</t>
  </si>
  <si>
    <t>2026050435811371</t>
  </si>
  <si>
    <t>uj****</t>
  </si>
  <si>
    <t>92234719824</t>
  </si>
  <si>
    <t>2026050486772111</t>
  </si>
  <si>
    <t>2026050435094931</t>
  </si>
  <si>
    <t>cher******</t>
  </si>
  <si>
    <t>92234719754</t>
  </si>
  <si>
    <t>2026050116534571</t>
  </si>
  <si>
    <t>2026050177801501</t>
  </si>
  <si>
    <t>이경화</t>
  </si>
  <si>
    <t>lee9***</t>
  </si>
  <si>
    <t>92234719301</t>
  </si>
  <si>
    <t>2026050114579161</t>
  </si>
  <si>
    <t>2026050176535461</t>
  </si>
  <si>
    <t>jyun****</t>
  </si>
  <si>
    <t>92234719286</t>
  </si>
  <si>
    <t>2026043065324731</t>
  </si>
  <si>
    <t>2026043050129241</t>
  </si>
  <si>
    <t>92234719161</t>
  </si>
  <si>
    <t>2026050188163511</t>
  </si>
  <si>
    <t>2026050165236861</t>
  </si>
  <si>
    <t>정희은</t>
  </si>
  <si>
    <t>hini****</t>
  </si>
  <si>
    <t>92234719275</t>
  </si>
  <si>
    <t>2026050534240031</t>
  </si>
  <si>
    <t>2026050559913921</t>
  </si>
  <si>
    <t>김혜선</t>
  </si>
  <si>
    <t>meas****</t>
  </si>
  <si>
    <t>92234763051</t>
  </si>
  <si>
    <t>2026050418525431</t>
  </si>
  <si>
    <t>2026050449501081</t>
  </si>
  <si>
    <t>임성희</t>
  </si>
  <si>
    <t>hroa***</t>
  </si>
  <si>
    <t>92234762373</t>
  </si>
  <si>
    <t>2026050359289191</t>
  </si>
  <si>
    <t>2026050317020171</t>
  </si>
  <si>
    <t>seye******</t>
  </si>
  <si>
    <t>92234719592</t>
  </si>
  <si>
    <t>2026050359176961</t>
  </si>
  <si>
    <t>2026050316943621</t>
  </si>
  <si>
    <t>이해성</t>
  </si>
  <si>
    <t>daro******</t>
  </si>
  <si>
    <t>92234719581</t>
  </si>
  <si>
    <t>2026050221159611</t>
  </si>
  <si>
    <t>2026050280889001</t>
  </si>
  <si>
    <t>권은미</t>
  </si>
  <si>
    <t>bana*********</t>
  </si>
  <si>
    <t>92234719382</t>
  </si>
  <si>
    <t>2026050550881381</t>
  </si>
  <si>
    <t>2026050571356401</t>
  </si>
  <si>
    <t>이선미</t>
  </si>
  <si>
    <t>good*****</t>
  </si>
  <si>
    <t>92234762513</t>
  </si>
  <si>
    <t>2026050557872361</t>
  </si>
  <si>
    <t>2026050576214191</t>
  </si>
  <si>
    <t>nayo*******</t>
  </si>
  <si>
    <t>92234762561</t>
  </si>
  <si>
    <t>2026042717289901</t>
  </si>
  <si>
    <t>2026042748255361</t>
  </si>
  <si>
    <t>luv2***</t>
  </si>
  <si>
    <t>92234718844</t>
  </si>
  <si>
    <t>2026050541866201</t>
  </si>
  <si>
    <t>2026050565100931</t>
  </si>
  <si>
    <t>박규미</t>
  </si>
  <si>
    <t>my****</t>
  </si>
  <si>
    <t>뀨</t>
  </si>
  <si>
    <t>92234763040</t>
  </si>
  <si>
    <t>2026050378878241</t>
  </si>
  <si>
    <t>2026050330151901</t>
  </si>
  <si>
    <t>김준현</t>
  </si>
  <si>
    <t>95****</t>
  </si>
  <si>
    <t>92234719684</t>
  </si>
  <si>
    <t>2026050369112871</t>
  </si>
  <si>
    <t>2026050323727201</t>
  </si>
  <si>
    <t>정수경</t>
  </si>
  <si>
    <t>tnro*****</t>
  </si>
  <si>
    <t>92234719640</t>
  </si>
  <si>
    <t>2026050357540381</t>
  </si>
  <si>
    <t>2026050315837451</t>
  </si>
  <si>
    <t>홍리나</t>
  </si>
  <si>
    <t>riri****</t>
  </si>
  <si>
    <t>92234719566</t>
  </si>
  <si>
    <t>2026050177671911</t>
  </si>
  <si>
    <t>2026050158053951</t>
  </si>
  <si>
    <t>신하림</t>
  </si>
  <si>
    <t>gkfl******</t>
  </si>
  <si>
    <t>92234719242</t>
  </si>
  <si>
    <t>2026042998791381</t>
  </si>
  <si>
    <t>2026042911637561</t>
  </si>
  <si>
    <t>qhfk*******</t>
  </si>
  <si>
    <t>92234719032</t>
  </si>
  <si>
    <t>2026050110728481</t>
  </si>
  <si>
    <t>2026050173983501</t>
  </si>
  <si>
    <t>성은주</t>
  </si>
  <si>
    <t>q1****</t>
  </si>
  <si>
    <t>92234719861</t>
  </si>
  <si>
    <t>2026050218135391</t>
  </si>
  <si>
    <t>2026050278841251</t>
  </si>
  <si>
    <t>rlam****</t>
  </si>
  <si>
    <t>92234719334</t>
  </si>
  <si>
    <t>2026042875145111</t>
  </si>
  <si>
    <t>2026042886166251</t>
  </si>
  <si>
    <t>ujeo******</t>
  </si>
  <si>
    <t>92234718995</t>
  </si>
  <si>
    <t>2026050433682551</t>
  </si>
  <si>
    <t>2026050459585721</t>
  </si>
  <si>
    <t>조민지</t>
  </si>
  <si>
    <t>rove*********</t>
  </si>
  <si>
    <t>92234763121</t>
  </si>
  <si>
    <t>2026050549993151</t>
  </si>
  <si>
    <t>2026050570737461</t>
  </si>
  <si>
    <t>meis******</t>
  </si>
  <si>
    <t>92234762502</t>
  </si>
  <si>
    <t>2026050535192101</t>
  </si>
  <si>
    <t>2026050560547801</t>
  </si>
  <si>
    <t>김성민</t>
  </si>
  <si>
    <t>0111*******</t>
  </si>
  <si>
    <t>92234762432</t>
  </si>
  <si>
    <t>2026050359068041</t>
  </si>
  <si>
    <t>2026050316869601</t>
  </si>
  <si>
    <t>곽수진</t>
  </si>
  <si>
    <t>ksji*****</t>
  </si>
  <si>
    <t>92234719570</t>
  </si>
  <si>
    <t>2026050348646661</t>
  </si>
  <si>
    <t>2026050399809741</t>
  </si>
  <si>
    <t>김주호</t>
  </si>
  <si>
    <t>seve****</t>
  </si>
  <si>
    <t>92234719732</t>
  </si>
  <si>
    <t>2026050237024741</t>
  </si>
  <si>
    <t>2026050292046251</t>
  </si>
  <si>
    <t>우연이</t>
  </si>
  <si>
    <t>kkod****</t>
  </si>
  <si>
    <t>92234719452</t>
  </si>
  <si>
    <t>2026050115145261</t>
  </si>
  <si>
    <t>2026050176889711</t>
  </si>
  <si>
    <t>shl3***</t>
  </si>
  <si>
    <t>92234719290</t>
  </si>
  <si>
    <t>2026042723334951</t>
  </si>
  <si>
    <t>2026042752222551</t>
  </si>
  <si>
    <t>ming*****</t>
  </si>
  <si>
    <t>92234718870</t>
  </si>
  <si>
    <t>2026042842185031</t>
  </si>
  <si>
    <t>2026042864364931</t>
  </si>
  <si>
    <t>조성혜</t>
  </si>
  <si>
    <t>9912****</t>
  </si>
  <si>
    <t>92234718925</t>
  </si>
  <si>
    <t>2026050684594881</t>
  </si>
  <si>
    <t>2026050693884261</t>
  </si>
  <si>
    <t>유찬미</t>
  </si>
  <si>
    <t>chan*****</t>
  </si>
  <si>
    <t>92234762874</t>
  </si>
  <si>
    <t>2026050430391151</t>
  </si>
  <si>
    <t>2026050457534381</t>
  </si>
  <si>
    <t>윤재희</t>
  </si>
  <si>
    <t>svt0***</t>
  </si>
  <si>
    <t>92234762421</t>
  </si>
  <si>
    <t>2026050485012291</t>
  </si>
  <si>
    <t>2026050433950821</t>
  </si>
  <si>
    <t>문다은</t>
  </si>
  <si>
    <t>daeu*****</t>
  </si>
  <si>
    <t>92234719835</t>
  </si>
  <si>
    <t>2026050233441221</t>
  </si>
  <si>
    <t>2026050289518191</t>
  </si>
  <si>
    <t>이화영</t>
  </si>
  <si>
    <t>lhyo*****</t>
  </si>
  <si>
    <t>92234719430</t>
  </si>
  <si>
    <t>2026043065676871</t>
  </si>
  <si>
    <t>2026043050373001</t>
  </si>
  <si>
    <t>홍솔비</t>
  </si>
  <si>
    <t>hail****</t>
  </si>
  <si>
    <t>92234719172</t>
  </si>
  <si>
    <t>2026042883954531</t>
  </si>
  <si>
    <t>2026042891931141</t>
  </si>
  <si>
    <t>정선주</t>
  </si>
  <si>
    <t>fl****</t>
  </si>
  <si>
    <t>92234719006</t>
  </si>
  <si>
    <t>2026042841384411</t>
  </si>
  <si>
    <t>2026042863871661</t>
  </si>
  <si>
    <t>이미진</t>
  </si>
  <si>
    <t>djfk*****</t>
  </si>
  <si>
    <t>92234718914</t>
  </si>
  <si>
    <t>2026050673222411</t>
  </si>
  <si>
    <t>2026050686347161</t>
  </si>
  <si>
    <t>kc****</t>
  </si>
  <si>
    <t>92234762955</t>
  </si>
  <si>
    <t>2026050559831291</t>
  </si>
  <si>
    <t>2026050577588701</t>
  </si>
  <si>
    <t>이윤희</t>
  </si>
  <si>
    <t>ch****</t>
  </si>
  <si>
    <t>92234763014</t>
  </si>
  <si>
    <t>2026043059415581</t>
  </si>
  <si>
    <t>2026043045892021</t>
  </si>
  <si>
    <t>정라윤</t>
  </si>
  <si>
    <t>jung*****</t>
  </si>
  <si>
    <t>설이</t>
  </si>
  <si>
    <t>92234719146</t>
  </si>
  <si>
    <t>2026043070502621</t>
  </si>
  <si>
    <t>2026043053595381</t>
  </si>
  <si>
    <t>홍혜수</t>
  </si>
  <si>
    <t>dhfp****</t>
  </si>
  <si>
    <t>92234719183</t>
  </si>
  <si>
    <t>2026042840647881</t>
  </si>
  <si>
    <t>2026042863404481</t>
  </si>
  <si>
    <t>최우리</t>
  </si>
  <si>
    <t>dnfl******</t>
  </si>
  <si>
    <t>92234718903</t>
  </si>
  <si>
    <t>2026050233645641</t>
  </si>
  <si>
    <t>2026050289660781</t>
  </si>
  <si>
    <t>노한빈</t>
  </si>
  <si>
    <t>hanv*****</t>
  </si>
  <si>
    <t>92234719441</t>
  </si>
  <si>
    <t>2026042788099171</t>
  </si>
  <si>
    <t>2026042735709561</t>
  </si>
  <si>
    <t>장해지</t>
  </si>
  <si>
    <t>ha_0***</t>
  </si>
  <si>
    <t>92234718796</t>
  </si>
  <si>
    <t>2026050380346421</t>
  </si>
  <si>
    <t>2026050331049091</t>
  </si>
  <si>
    <t>오율희</t>
  </si>
  <si>
    <t>ohoh****</t>
  </si>
  <si>
    <t>92234719706</t>
  </si>
  <si>
    <t>2026050350798401</t>
  </si>
  <si>
    <t>2026050311226791</t>
  </si>
  <si>
    <t>김혜수</t>
  </si>
  <si>
    <t>yyhs****</t>
  </si>
  <si>
    <t>92234719522</t>
  </si>
  <si>
    <t>2026050430327901</t>
  </si>
  <si>
    <t>2026050457493491</t>
  </si>
  <si>
    <t>강윤경</t>
  </si>
  <si>
    <t>nars******</t>
  </si>
  <si>
    <t>92234762410</t>
  </si>
  <si>
    <t>2026050196447301</t>
  </si>
  <si>
    <t>2026050170998611</t>
  </si>
  <si>
    <t>배은영</t>
  </si>
  <si>
    <t>bae9*****</t>
  </si>
  <si>
    <t>배범석</t>
  </si>
  <si>
    <t>92234719872</t>
  </si>
  <si>
    <t>2026050365227041</t>
  </si>
  <si>
    <t>2026050321062671</t>
  </si>
  <si>
    <t>정현지</t>
  </si>
  <si>
    <t>wjdg******</t>
  </si>
  <si>
    <t>꼬도리</t>
  </si>
  <si>
    <t>92234719614</t>
  </si>
  <si>
    <t>2026050352177211</t>
  </si>
  <si>
    <t>2026050312187791</t>
  </si>
  <si>
    <t>boun******</t>
  </si>
  <si>
    <t>92234719544</t>
  </si>
  <si>
    <t>2026042711674871</t>
  </si>
  <si>
    <t>2026042744660151</t>
  </si>
  <si>
    <t>편예지</t>
  </si>
  <si>
    <t>slh9****</t>
  </si>
  <si>
    <t>92234718811</t>
  </si>
  <si>
    <t>2026050677619801</t>
  </si>
  <si>
    <t>2026050689183881</t>
  </si>
  <si>
    <t>윤엄지</t>
  </si>
  <si>
    <t>xhsl****</t>
  </si>
  <si>
    <t>92234762701</t>
  </si>
  <si>
    <t>2026050172235841</t>
  </si>
  <si>
    <t>2026050154634461</t>
  </si>
  <si>
    <t>6o****</t>
  </si>
  <si>
    <t>92234719194</t>
  </si>
  <si>
    <t>2026042717185811</t>
  </si>
  <si>
    <t>2026042748188101</t>
  </si>
  <si>
    <t>지민정</t>
  </si>
  <si>
    <t>lays****</t>
  </si>
  <si>
    <t>92234718833</t>
  </si>
  <si>
    <t>2026050554093411</t>
  </si>
  <si>
    <t>2026050573582851</t>
  </si>
  <si>
    <t>정혜순</t>
  </si>
  <si>
    <t>hsoj*****</t>
  </si>
  <si>
    <t>92234762535</t>
  </si>
  <si>
    <t>2026050415803061</t>
  </si>
  <si>
    <t>2026050447672511</t>
  </si>
  <si>
    <t>구윤영</t>
  </si>
  <si>
    <t>rndb*******</t>
  </si>
  <si>
    <t>92234762362</t>
  </si>
  <si>
    <t>2026050351091451</t>
  </si>
  <si>
    <t>2026050311431791</t>
  </si>
  <si>
    <t>이순영</t>
  </si>
  <si>
    <t>tnsd******</t>
  </si>
  <si>
    <t>92234719533</t>
  </si>
  <si>
    <t>2026050367187091</t>
  </si>
  <si>
    <t>2026050322407751</t>
  </si>
  <si>
    <t>권보람</t>
  </si>
  <si>
    <t>bora******</t>
  </si>
  <si>
    <t>92234719625</t>
  </si>
  <si>
    <t>2026050174656241</t>
  </si>
  <si>
    <t>2026050156078951</t>
  </si>
  <si>
    <t>김양지</t>
  </si>
  <si>
    <t>mimm******</t>
  </si>
  <si>
    <t>92234719216</t>
  </si>
  <si>
    <t>2026050360443761</t>
  </si>
  <si>
    <t>2026050317805101</t>
  </si>
  <si>
    <t>강유리</t>
  </si>
  <si>
    <t>yoor*****</t>
  </si>
  <si>
    <t>92234719603</t>
  </si>
  <si>
    <t>2026041948288741</t>
  </si>
  <si>
    <t>2026041998928401</t>
  </si>
  <si>
    <t>김도희</t>
  </si>
  <si>
    <t>hugo*****</t>
  </si>
  <si>
    <t>92234762336</t>
  </si>
  <si>
    <t>9928170688</t>
  </si>
  <si>
    <t>컬러 (2주 후부터 순차배송): 블랙 세트</t>
  </si>
  <si>
    <t>2026050676325161</t>
  </si>
  <si>
    <t>2026050688285901</t>
  </si>
  <si>
    <t>seas***</t>
  </si>
  <si>
    <t>92234762690</t>
  </si>
  <si>
    <t>2026050368155661</t>
  </si>
  <si>
    <t>2026050323069811</t>
  </si>
  <si>
    <t>92234719636</t>
  </si>
  <si>
    <t>2026050673958271</t>
  </si>
  <si>
    <t>2026050686815531</t>
  </si>
  <si>
    <t>정모란</t>
  </si>
  <si>
    <t>97****</t>
  </si>
  <si>
    <t>92234762675</t>
  </si>
  <si>
    <t>2026050570468391</t>
  </si>
  <si>
    <t>2026050584601711</t>
  </si>
  <si>
    <t>박지혜</t>
  </si>
  <si>
    <t>jihy*****</t>
  </si>
  <si>
    <t>92234762620</t>
  </si>
  <si>
    <t>2026050176179421</t>
  </si>
  <si>
    <t>2026050157052051</t>
  </si>
  <si>
    <t>이정화</t>
  </si>
  <si>
    <t>wprn***</t>
  </si>
  <si>
    <t>92234719231</t>
  </si>
  <si>
    <t>2026050555548011</t>
  </si>
  <si>
    <t>2026050574597051</t>
  </si>
  <si>
    <t>jyj7***</t>
  </si>
  <si>
    <t>92234763025</t>
  </si>
  <si>
    <t>2026050672956661</t>
  </si>
  <si>
    <t>2026050686172661</t>
  </si>
  <si>
    <t>이태순</t>
  </si>
  <si>
    <t>njio*********</t>
  </si>
  <si>
    <t>92234762653</t>
  </si>
  <si>
    <t>2026050184741791</t>
  </si>
  <si>
    <t>2026050162861661</t>
  </si>
  <si>
    <t>이혜미</t>
  </si>
  <si>
    <t>leeh**********</t>
  </si>
  <si>
    <t>92234719894</t>
  </si>
  <si>
    <t>2026050560079671</t>
  </si>
  <si>
    <t>2026050577760631</t>
  </si>
  <si>
    <t>이지원</t>
  </si>
  <si>
    <t>awse********</t>
  </si>
  <si>
    <t>92234762572</t>
  </si>
  <si>
    <t>2026050379393561</t>
  </si>
  <si>
    <t>2026050330467201</t>
  </si>
  <si>
    <t>jh****</t>
  </si>
  <si>
    <t>92234719695</t>
  </si>
  <si>
    <t>2026042873121161</t>
  </si>
  <si>
    <t>2026042884754241</t>
  </si>
  <si>
    <t>신선영</t>
  </si>
  <si>
    <t>shan****</t>
  </si>
  <si>
    <t>92234718984</t>
  </si>
  <si>
    <t>2026042849774501</t>
  </si>
  <si>
    <t>2026042869385941</t>
  </si>
  <si>
    <t>김현철</t>
  </si>
  <si>
    <t>drag*****</t>
  </si>
  <si>
    <t>92234718951</t>
  </si>
  <si>
    <t>2026042884513641</t>
  </si>
  <si>
    <t>2026042892283971</t>
  </si>
  <si>
    <t>강한나</t>
  </si>
  <si>
    <t>pign***</t>
  </si>
  <si>
    <t>92234719021</t>
  </si>
  <si>
    <t>2026042916998891</t>
  </si>
  <si>
    <t>2026042917008661</t>
  </si>
  <si>
    <t>rodo****</t>
  </si>
  <si>
    <t>92234717816</t>
  </si>
  <si>
    <t>2026050569401501</t>
  </si>
  <si>
    <t>2026050583932811</t>
  </si>
  <si>
    <t>wjdt********</t>
  </si>
  <si>
    <t>92234762616</t>
  </si>
  <si>
    <t>2026042842840941</t>
  </si>
  <si>
    <t>2026042864758871</t>
  </si>
  <si>
    <t>이서영</t>
  </si>
  <si>
    <t>ss****</t>
  </si>
  <si>
    <t>92234718936</t>
  </si>
  <si>
    <t>2026050570584591</t>
  </si>
  <si>
    <t>2026050584674791</t>
  </si>
  <si>
    <t>조아름</t>
  </si>
  <si>
    <t>whdk*******</t>
  </si>
  <si>
    <t>92234762631</t>
  </si>
  <si>
    <t>2026050413468591</t>
  </si>
  <si>
    <t>2026050446139841</t>
  </si>
  <si>
    <t>김예리</t>
  </si>
  <si>
    <t>pk****</t>
  </si>
  <si>
    <t>92234719813</t>
  </si>
  <si>
    <t>2026050488655851</t>
  </si>
  <si>
    <t>2026050436386311</t>
  </si>
  <si>
    <t>kimk***</t>
  </si>
  <si>
    <t>92234719776</t>
  </si>
  <si>
    <t>2026041933401671</t>
  </si>
  <si>
    <t>2026041988769631</t>
  </si>
  <si>
    <t>sjhs******</t>
  </si>
  <si>
    <t>92234717750</t>
  </si>
  <si>
    <t>배송일확인: 2차: 예약배송 (약 3주 소요)</t>
  </si>
  <si>
    <t>2026041830293521</t>
  </si>
  <si>
    <t>2026041886819461</t>
  </si>
  <si>
    <t>92234717724</t>
  </si>
  <si>
    <t>2026043040180801</t>
  </si>
  <si>
    <t>2026043032724971</t>
  </si>
  <si>
    <t>박희승</t>
  </si>
  <si>
    <t>wlst******</t>
  </si>
  <si>
    <t>김경미</t>
  </si>
  <si>
    <t>92234717680</t>
  </si>
  <si>
    <t>2026050493883911</t>
  </si>
  <si>
    <t>2026050439820201</t>
  </si>
  <si>
    <t>김민우</t>
  </si>
  <si>
    <t>woor****</t>
  </si>
  <si>
    <t>92234719791</t>
  </si>
  <si>
    <t>2026050491896751</t>
  </si>
  <si>
    <t>2026050438526771</t>
  </si>
  <si>
    <t>1004******</t>
  </si>
  <si>
    <t>92234719780</t>
  </si>
  <si>
    <t>2026041933883581</t>
  </si>
  <si>
    <t>2026041989082261</t>
  </si>
  <si>
    <t>92234718446</t>
  </si>
  <si>
    <t>2026041829049671</t>
  </si>
  <si>
    <t>2026041886024241</t>
  </si>
  <si>
    <t>j_s2***</t>
  </si>
  <si>
    <t>92234717702</t>
  </si>
  <si>
    <t>2026043039609251</t>
  </si>
  <si>
    <t>2026043032327011</t>
  </si>
  <si>
    <t>장조은</t>
  </si>
  <si>
    <t>feve*****</t>
  </si>
  <si>
    <t>92234717676</t>
  </si>
  <si>
    <t>2026050380548201</t>
  </si>
  <si>
    <t>2026050331175841</t>
  </si>
  <si>
    <t>배덕희</t>
  </si>
  <si>
    <t>heey*****</t>
  </si>
  <si>
    <t>92234719710</t>
  </si>
  <si>
    <t>2026043039476071</t>
  </si>
  <si>
    <t>2026043032238981</t>
  </si>
  <si>
    <t>김성태</t>
  </si>
  <si>
    <t>kkkd****</t>
  </si>
  <si>
    <t>92234717665</t>
  </si>
  <si>
    <t>2026041934748771</t>
  </si>
  <si>
    <t>2026041989630821</t>
  </si>
  <si>
    <t>황혜경</t>
  </si>
  <si>
    <t>hhk7*****</t>
  </si>
  <si>
    <t>92234717772</t>
  </si>
  <si>
    <t>2026041936818191</t>
  </si>
  <si>
    <t>2026041991034321</t>
  </si>
  <si>
    <t>최서이</t>
  </si>
  <si>
    <t>ioes****</t>
  </si>
  <si>
    <t>92234717794</t>
  </si>
  <si>
    <t>2026041832109831</t>
  </si>
  <si>
    <t>2026041887944951</t>
  </si>
  <si>
    <t>양보미</t>
  </si>
  <si>
    <t>yang******</t>
  </si>
  <si>
    <t>92234717735</t>
  </si>
  <si>
    <t>2026041959831731</t>
  </si>
  <si>
    <t>92234603414</t>
  </si>
  <si>
    <t>2026050487453781</t>
  </si>
  <si>
    <t>2026050435565741</t>
  </si>
  <si>
    <t>정우영</t>
  </si>
  <si>
    <t>92234719765</t>
  </si>
  <si>
    <t>2026050233248171</t>
  </si>
  <si>
    <t>2026050289380731</t>
  </si>
  <si>
    <t>이해진</t>
  </si>
  <si>
    <t>heaj******</t>
  </si>
  <si>
    <t>92234719426</t>
  </si>
  <si>
    <t>2026042993587271</t>
  </si>
  <si>
    <t>2026042998282621</t>
  </si>
  <si>
    <t>박연정</t>
  </si>
  <si>
    <t>joli******</t>
  </si>
  <si>
    <t>92234719080</t>
  </si>
  <si>
    <t>2026050775326811</t>
  </si>
  <si>
    <t>2026050757594641</t>
  </si>
  <si>
    <t>goun*****</t>
  </si>
  <si>
    <t>92234918985</t>
  </si>
  <si>
    <t>2026042865431931</t>
  </si>
  <si>
    <t>2026042879530611</t>
  </si>
  <si>
    <t>milk****</t>
  </si>
  <si>
    <t>92234718973</t>
  </si>
  <si>
    <t>2026041785491891</t>
  </si>
  <si>
    <t>2026041762775731</t>
  </si>
  <si>
    <t>진남수</t>
  </si>
  <si>
    <t>chin****</t>
  </si>
  <si>
    <t>92234560073</t>
  </si>
  <si>
    <t>컬러 (2주 후부터 순차배송): 아이보리 세트</t>
  </si>
  <si>
    <t>2026050897899501</t>
  </si>
  <si>
    <t>2026050872680981</t>
  </si>
  <si>
    <t>김태린</t>
  </si>
  <si>
    <t>taer******</t>
  </si>
  <si>
    <t>92234919022</t>
  </si>
  <si>
    <t>2026050812978301</t>
  </si>
  <si>
    <t>2026050876202011</t>
  </si>
  <si>
    <t>92234907494</t>
  </si>
  <si>
    <t>2026050218727841</t>
  </si>
  <si>
    <t>2026050279218101</t>
  </si>
  <si>
    <t>wowh*****</t>
  </si>
  <si>
    <t>92234719345</t>
  </si>
  <si>
    <t>2026043055880761</t>
  </si>
  <si>
    <t>2026043043437171</t>
  </si>
  <si>
    <t>함수민</t>
  </si>
  <si>
    <t>qtee****</t>
  </si>
  <si>
    <t>김준영</t>
  </si>
  <si>
    <t>92234719135</t>
  </si>
  <si>
    <t>2026050758682081</t>
  </si>
  <si>
    <t>2026050746362101</t>
  </si>
  <si>
    <t>이승윤</t>
  </si>
  <si>
    <t>tmdd*******</t>
  </si>
  <si>
    <t>92234852301</t>
  </si>
  <si>
    <t>2026043048380381</t>
  </si>
  <si>
    <t>2026043038312561</t>
  </si>
  <si>
    <t>임다영</t>
  </si>
  <si>
    <t>dyou******</t>
  </si>
  <si>
    <t>92234719102</t>
  </si>
  <si>
    <t>2026041947803041</t>
  </si>
  <si>
    <t>2026041998595561</t>
  </si>
  <si>
    <t>박재현</t>
  </si>
  <si>
    <t>regu*****</t>
  </si>
  <si>
    <t>92234603764</t>
  </si>
  <si>
    <t>2026050539141811</t>
  </si>
  <si>
    <t>2026050563213311</t>
  </si>
  <si>
    <t>윤미영</t>
  </si>
  <si>
    <t>gaur*****</t>
  </si>
  <si>
    <t>92234762465</t>
  </si>
  <si>
    <t>2026041829287181</t>
  </si>
  <si>
    <t>2026041886179181</t>
  </si>
  <si>
    <t>오민선</t>
  </si>
  <si>
    <t>nymi***</t>
  </si>
  <si>
    <t>오민디</t>
  </si>
  <si>
    <t>92234606041</t>
  </si>
  <si>
    <t>2026042779688021</t>
  </si>
  <si>
    <t>2026042730261561</t>
  </si>
  <si>
    <t>92234605400</t>
  </si>
  <si>
    <t>2026041936139841</t>
  </si>
  <si>
    <t>2026041990559741</t>
  </si>
  <si>
    <t>안효미</t>
  </si>
  <si>
    <t>dksg******</t>
  </si>
  <si>
    <t>92234603591</t>
  </si>
  <si>
    <t>2026041824352191</t>
  </si>
  <si>
    <t>2026041882816161</t>
  </si>
  <si>
    <t>박경리</t>
  </si>
  <si>
    <t>kr****</t>
  </si>
  <si>
    <t>92234603101</t>
  </si>
  <si>
    <t>2026042526162511</t>
  </si>
  <si>
    <t>2026042584081481</t>
  </si>
  <si>
    <t>조나래</t>
  </si>
  <si>
    <t>skfo****</t>
  </si>
  <si>
    <t>92234605164</t>
  </si>
  <si>
    <t>2026042496753741</t>
  </si>
  <si>
    <t>2026042470602951</t>
  </si>
  <si>
    <t>hjya****</t>
  </si>
  <si>
    <t>92234604991</t>
  </si>
  <si>
    <t>2026042275364941</t>
  </si>
  <si>
    <t>2026042286373031</t>
  </si>
  <si>
    <t>오해순</t>
  </si>
  <si>
    <t>ohma********</t>
  </si>
  <si>
    <t>92234604626</t>
  </si>
  <si>
    <t>2026042325897511</t>
  </si>
  <si>
    <t>2026042323295101</t>
  </si>
  <si>
    <t>정진량</t>
  </si>
  <si>
    <t>fbgk********</t>
  </si>
  <si>
    <t>김국진</t>
  </si>
  <si>
    <t>92234604733</t>
  </si>
  <si>
    <t>2026042148434371</t>
  </si>
  <si>
    <t>2026042168355331</t>
  </si>
  <si>
    <t>최우석</t>
  </si>
  <si>
    <t>woos***</t>
  </si>
  <si>
    <t>92234604416</t>
  </si>
  <si>
    <t>2026042085331621</t>
  </si>
  <si>
    <t>2026042033275801</t>
  </si>
  <si>
    <t>이고은</t>
  </si>
  <si>
    <t>eunb******</t>
  </si>
  <si>
    <t>92234604011</t>
  </si>
  <si>
    <t>2026042069586861</t>
  </si>
  <si>
    <t>2026042022831621</t>
  </si>
  <si>
    <t>WONSOOBIN</t>
  </si>
  <si>
    <t>sb_0***</t>
  </si>
  <si>
    <t>92234603845</t>
  </si>
  <si>
    <t>2026041937390861</t>
  </si>
  <si>
    <t>2026041991433531</t>
  </si>
  <si>
    <t>김태윤</t>
  </si>
  <si>
    <t>offi**********</t>
  </si>
  <si>
    <t>92234603635</t>
  </si>
  <si>
    <t>2026041827331981</t>
  </si>
  <si>
    <t>2026041884889671</t>
  </si>
  <si>
    <t>김희경</t>
  </si>
  <si>
    <t>wow6***</t>
  </si>
  <si>
    <t>김혜경</t>
  </si>
  <si>
    <t>92234603171</t>
  </si>
  <si>
    <t>2026042285846451</t>
  </si>
  <si>
    <t>2026042293306221</t>
  </si>
  <si>
    <t>김지안</t>
  </si>
  <si>
    <t>kjo8***</t>
  </si>
  <si>
    <t>김점옥</t>
  </si>
  <si>
    <t>92234605864</t>
  </si>
  <si>
    <t>2026042348898631</t>
  </si>
  <si>
    <t>2026042338699881</t>
  </si>
  <si>
    <t>배인영</t>
  </si>
  <si>
    <t>hony***</t>
  </si>
  <si>
    <t>카라멜부띠끄 배인영</t>
  </si>
  <si>
    <t>92234604803</t>
  </si>
  <si>
    <t>2026042354641331</t>
  </si>
  <si>
    <t>2026042342665321</t>
  </si>
  <si>
    <t>조현주</t>
  </si>
  <si>
    <t>hyun*******</t>
  </si>
  <si>
    <t>이을주</t>
  </si>
  <si>
    <t>92234604840</t>
  </si>
  <si>
    <t>2026042295838801</t>
  </si>
  <si>
    <t>2026042299887061</t>
  </si>
  <si>
    <t>jjjj***</t>
  </si>
  <si>
    <t>92234604711</t>
  </si>
  <si>
    <t>2026042011077701</t>
  </si>
  <si>
    <t>2026042043619471</t>
  </si>
  <si>
    <t>류지연</t>
  </si>
  <si>
    <t>92234604081</t>
  </si>
  <si>
    <t>2026042085768651</t>
  </si>
  <si>
    <t>2026042033565411</t>
  </si>
  <si>
    <t>송다혜</t>
  </si>
  <si>
    <t>sdh3***</t>
  </si>
  <si>
    <t>92234604022</t>
  </si>
  <si>
    <t>2026041940440171</t>
  </si>
  <si>
    <t>2026041993521361</t>
  </si>
  <si>
    <t>정지연</t>
  </si>
  <si>
    <t>jjy4***</t>
  </si>
  <si>
    <t>92234603672</t>
  </si>
  <si>
    <t>2026041957529591</t>
  </si>
  <si>
    <t>2026041915237481</t>
  </si>
  <si>
    <t>박민정</t>
  </si>
  <si>
    <t>qkra*******</t>
  </si>
  <si>
    <t>92234603392</t>
  </si>
  <si>
    <t>2026042324750321</t>
  </si>
  <si>
    <t>2026042322586871</t>
  </si>
  <si>
    <t>노재은</t>
  </si>
  <si>
    <t>77****</t>
  </si>
  <si>
    <t>노재정</t>
  </si>
  <si>
    <t>92234605853</t>
  </si>
  <si>
    <t>2026042137289671</t>
  </si>
  <si>
    <t>2026042160973171</t>
  </si>
  <si>
    <t>유승아</t>
  </si>
  <si>
    <t>yu-m*****</t>
  </si>
  <si>
    <t>92234605901</t>
  </si>
  <si>
    <t>2026042528898071</t>
  </si>
  <si>
    <t>2026042586050761</t>
  </si>
  <si>
    <t>고형진</t>
  </si>
  <si>
    <t>choo******</t>
  </si>
  <si>
    <t>고경진</t>
  </si>
  <si>
    <t>92234605186</t>
  </si>
  <si>
    <t>2026042499656541</t>
  </si>
  <si>
    <t>2026042472546851</t>
  </si>
  <si>
    <t>김지인</t>
  </si>
  <si>
    <t>wldl*****</t>
  </si>
  <si>
    <t>92234605024</t>
  </si>
  <si>
    <t>2026042349172491</t>
  </si>
  <si>
    <t>2026042338887631</t>
  </si>
  <si>
    <t>선미현</t>
  </si>
  <si>
    <t>tjsa******</t>
  </si>
  <si>
    <t>선미현(애나)</t>
  </si>
  <si>
    <t>92234604814</t>
  </si>
  <si>
    <t>2026042410680721</t>
  </si>
  <si>
    <t>2026042473231191</t>
  </si>
  <si>
    <t>강희현</t>
  </si>
  <si>
    <t>zxv1***</t>
  </si>
  <si>
    <t>92234605035</t>
  </si>
  <si>
    <t>2026042162270661</t>
  </si>
  <si>
    <t>2026042177760581</t>
  </si>
  <si>
    <t>손진하</t>
  </si>
  <si>
    <t>wlsg*****</t>
  </si>
  <si>
    <t>92234604501</t>
  </si>
  <si>
    <t>2026042161779161</t>
  </si>
  <si>
    <t>2026042177428101</t>
  </si>
  <si>
    <t>노정숙</t>
  </si>
  <si>
    <t>aaa4***</t>
  </si>
  <si>
    <t>92234604486</t>
  </si>
  <si>
    <t>2026042077826171</t>
  </si>
  <si>
    <t>2026042028270001</t>
  </si>
  <si>
    <t>김강희</t>
  </si>
  <si>
    <t>kims******</t>
  </si>
  <si>
    <t>윤영자</t>
  </si>
  <si>
    <t>92234603941</t>
  </si>
  <si>
    <t>2026041966374521</t>
  </si>
  <si>
    <t>2026041920844901</t>
  </si>
  <si>
    <t>곽희주</t>
  </si>
  <si>
    <t>soft****</t>
  </si>
  <si>
    <t>92234603521</t>
  </si>
  <si>
    <t>2026041942386081</t>
  </si>
  <si>
    <t>2026041994860991</t>
  </si>
  <si>
    <t>전리빈</t>
  </si>
  <si>
    <t>jell*****</t>
  </si>
  <si>
    <t>92234605982</t>
  </si>
  <si>
    <t>2026042871743961</t>
  </si>
  <si>
    <t>2026042883804891</t>
  </si>
  <si>
    <t>조하진</t>
  </si>
  <si>
    <t>qe****</t>
  </si>
  <si>
    <t>하진</t>
  </si>
  <si>
    <t>92234605724</t>
  </si>
  <si>
    <t>2026042650458431</t>
  </si>
  <si>
    <t>2026042610806781</t>
  </si>
  <si>
    <t>김아랑</t>
  </si>
  <si>
    <t>kima*****</t>
  </si>
  <si>
    <t>92234605245</t>
  </si>
  <si>
    <t>2026042345270431</t>
  </si>
  <si>
    <t>2026042336254611</t>
  </si>
  <si>
    <t>박선빈</t>
  </si>
  <si>
    <t>psb1***</t>
  </si>
  <si>
    <t>92234604792</t>
  </si>
  <si>
    <t>2026042272015581</t>
  </si>
  <si>
    <t>2026042284053331</t>
  </si>
  <si>
    <t>92234604593</t>
  </si>
  <si>
    <t>2026042129527501</t>
  </si>
  <si>
    <t>2026042155847751</t>
  </si>
  <si>
    <t>이윤둘</t>
  </si>
  <si>
    <t>sjyd****</t>
  </si>
  <si>
    <t>92234604265</t>
  </si>
  <si>
    <t>2026041944933711</t>
  </si>
  <si>
    <t>2026041996627741</t>
  </si>
  <si>
    <t>허다영</t>
  </si>
  <si>
    <t>gjek****</t>
  </si>
  <si>
    <t>92234603720</t>
  </si>
  <si>
    <t>2026041939672421</t>
  </si>
  <si>
    <t>2026041992995201</t>
  </si>
  <si>
    <t>임미선</t>
  </si>
  <si>
    <t>made***</t>
  </si>
  <si>
    <t>92234603661</t>
  </si>
  <si>
    <t>2026041963413771</t>
  </si>
  <si>
    <t>2026041919036251</t>
  </si>
  <si>
    <t>김영국</t>
  </si>
  <si>
    <t>cjon*****</t>
  </si>
  <si>
    <t>92234603473</t>
  </si>
  <si>
    <t>2026042525175281</t>
  </si>
  <si>
    <t>2026042583370291</t>
  </si>
  <si>
    <t>이종옥</t>
  </si>
  <si>
    <t>lj****</t>
  </si>
  <si>
    <t>92234605153</t>
  </si>
  <si>
    <t>2026042668947411</t>
  </si>
  <si>
    <t>2026042623437071</t>
  </si>
  <si>
    <t>gucc****</t>
  </si>
  <si>
    <t>92234605304</t>
  </si>
  <si>
    <t>2026042163841271</t>
  </si>
  <si>
    <t>2026042178792691</t>
  </si>
  <si>
    <t>민현미</t>
  </si>
  <si>
    <t>rano*****</t>
  </si>
  <si>
    <t>92234604512</t>
  </si>
  <si>
    <t>2026042214318651</t>
  </si>
  <si>
    <t>2026042215790921</t>
  </si>
  <si>
    <t>강상경</t>
  </si>
  <si>
    <t>kyoc***</t>
  </si>
  <si>
    <t>92234604571</t>
  </si>
  <si>
    <t>2026042144108141</t>
  </si>
  <si>
    <t>2026042165531571</t>
  </si>
  <si>
    <t>권민정</t>
  </si>
  <si>
    <t>92234604335</t>
  </si>
  <si>
    <t>2026042068504471</t>
  </si>
  <si>
    <t>2026042022150971</t>
  </si>
  <si>
    <t>정민정</t>
  </si>
  <si>
    <t>wjda********</t>
  </si>
  <si>
    <t>92234603775</t>
  </si>
  <si>
    <t>2026041945441371</t>
  </si>
  <si>
    <t>2026041996980891</t>
  </si>
  <si>
    <t>장예은</t>
  </si>
  <si>
    <t>dmsd*****</t>
  </si>
  <si>
    <t>92234603731</t>
  </si>
  <si>
    <t>2026042537009991</t>
  </si>
  <si>
    <t>2026042591868701</t>
  </si>
  <si>
    <t>박현정</t>
  </si>
  <si>
    <t>bell********</t>
  </si>
  <si>
    <t>92234605201</t>
  </si>
  <si>
    <t>2026042649421281</t>
  </si>
  <si>
    <t>2026042610110001</t>
  </si>
  <si>
    <t>손유진</t>
  </si>
  <si>
    <t>euge********</t>
  </si>
  <si>
    <t>92234605234</t>
  </si>
  <si>
    <t>2026042285974471</t>
  </si>
  <si>
    <t>2026042293390661</t>
  </si>
  <si>
    <t>윤동연</t>
  </si>
  <si>
    <t>iris****</t>
  </si>
  <si>
    <t>92234604696</t>
  </si>
  <si>
    <t>2026042144864581</t>
  </si>
  <si>
    <t>2026042166036011</t>
  </si>
  <si>
    <t>정보경</t>
  </si>
  <si>
    <t>mini****</t>
  </si>
  <si>
    <t>92234604346</t>
  </si>
  <si>
    <t>2026042018007391</t>
  </si>
  <si>
    <t>2026042048394921</t>
  </si>
  <si>
    <t>문주영</t>
  </si>
  <si>
    <t>92234604114</t>
  </si>
  <si>
    <t>2026042069594491</t>
  </si>
  <si>
    <t>2026042022836081</t>
  </si>
  <si>
    <t>채송화</t>
  </si>
  <si>
    <t>chae****</t>
  </si>
  <si>
    <t>92234603856</t>
  </si>
  <si>
    <t>2026041964030051</t>
  </si>
  <si>
    <t>2026041919415321</t>
  </si>
  <si>
    <t>김서희</t>
  </si>
  <si>
    <t>tjgm****</t>
  </si>
  <si>
    <t>92234603495</t>
  </si>
  <si>
    <t>2026041964194641</t>
  </si>
  <si>
    <t>2026041919517891</t>
  </si>
  <si>
    <t>홍수경</t>
  </si>
  <si>
    <t>sone*****</t>
  </si>
  <si>
    <t>92234603506</t>
  </si>
  <si>
    <t>2026042468709301</t>
  </si>
  <si>
    <t>2026042451694931</t>
  </si>
  <si>
    <t>zoo0***</t>
  </si>
  <si>
    <t>92234604884</t>
  </si>
  <si>
    <t>2026042152553151</t>
  </si>
  <si>
    <t>2026042171049081</t>
  </si>
  <si>
    <t>황차옥</t>
  </si>
  <si>
    <t>김향숙</t>
  </si>
  <si>
    <t>92234604442</t>
  </si>
  <si>
    <t>2026041933326021</t>
  </si>
  <si>
    <t>2026041988719641</t>
  </si>
  <si>
    <t>ssye*****</t>
  </si>
  <si>
    <t>소연</t>
  </si>
  <si>
    <t>92234603554</t>
  </si>
  <si>
    <t>2026042542959691</t>
  </si>
  <si>
    <t>2026042595791751</t>
  </si>
  <si>
    <t>오현정</t>
  </si>
  <si>
    <t>16****</t>
  </si>
  <si>
    <t>92234605772</t>
  </si>
  <si>
    <t>2026041943244531</t>
  </si>
  <si>
    <t>2026041995460351</t>
  </si>
  <si>
    <t>PENG YU TUNG</t>
  </si>
  <si>
    <t>tuot********</t>
  </si>
  <si>
    <t>Peng Yu Tung</t>
  </si>
  <si>
    <t>92234605971</t>
  </si>
  <si>
    <t>2026042678492321</t>
  </si>
  <si>
    <t>2026042629519181</t>
  </si>
  <si>
    <t>전명수</t>
  </si>
  <si>
    <t>mosi********</t>
  </si>
  <si>
    <t>92234605330</t>
  </si>
  <si>
    <t>2026042515375421</t>
  </si>
  <si>
    <t>2026042576380171</t>
  </si>
  <si>
    <t>이선영</t>
  </si>
  <si>
    <t>djdj****</t>
  </si>
  <si>
    <t>92234605061</t>
  </si>
  <si>
    <t>2026042478777791</t>
  </si>
  <si>
    <t>2026042458416051</t>
  </si>
  <si>
    <t>박솜</t>
  </si>
  <si>
    <t>rose*******</t>
  </si>
  <si>
    <t>92234604932</t>
  </si>
  <si>
    <t>2026042169492961</t>
  </si>
  <si>
    <t>2026042182427101</t>
  </si>
  <si>
    <t>김원진</t>
  </si>
  <si>
    <t>wjks******</t>
  </si>
  <si>
    <t>92234604534</t>
  </si>
  <si>
    <t>2026042129961291</t>
  </si>
  <si>
    <t>2026042156156871</t>
  </si>
  <si>
    <t>박형숙</t>
  </si>
  <si>
    <t>pody****</t>
  </si>
  <si>
    <t>92234604276</t>
  </si>
  <si>
    <t>2026042128070041</t>
  </si>
  <si>
    <t>2026042154850941</t>
  </si>
  <si>
    <t>오민경</t>
  </si>
  <si>
    <t>oman****</t>
  </si>
  <si>
    <t>92234604254</t>
  </si>
  <si>
    <t>2026042151305391</t>
  </si>
  <si>
    <t>2026042170220881</t>
  </si>
  <si>
    <t>정은서</t>
  </si>
  <si>
    <t>euno*******</t>
  </si>
  <si>
    <t>92234604431</t>
  </si>
  <si>
    <t>2026042091739521</t>
  </si>
  <si>
    <t>2026042037443001</t>
  </si>
  <si>
    <t>윤수린</t>
  </si>
  <si>
    <t>sool****</t>
  </si>
  <si>
    <t>92234604044</t>
  </si>
  <si>
    <t>2026041962369281</t>
  </si>
  <si>
    <t>2026041918389301</t>
  </si>
  <si>
    <t>박솔</t>
  </si>
  <si>
    <t>qkrt******</t>
  </si>
  <si>
    <t>92234603436</t>
  </si>
  <si>
    <t>2026042784265741</t>
  </si>
  <si>
    <t>2026042733124451</t>
  </si>
  <si>
    <t>허지연</t>
  </si>
  <si>
    <t>2j****</t>
  </si>
  <si>
    <t>92234605433</t>
  </si>
  <si>
    <t>2026042652466771</t>
  </si>
  <si>
    <t>2026042612174021</t>
  </si>
  <si>
    <t>이선화</t>
  </si>
  <si>
    <t>esh1***</t>
  </si>
  <si>
    <t>92234605256</t>
  </si>
  <si>
    <t>2026042022237271</t>
  </si>
  <si>
    <t>2026042051133831</t>
  </si>
  <si>
    <t>김서아</t>
  </si>
  <si>
    <t>juju***</t>
  </si>
  <si>
    <t>92234604173</t>
  </si>
  <si>
    <t>2026042135047671</t>
  </si>
  <si>
    <t>2026042159612131</t>
  </si>
  <si>
    <t>고은혜</t>
  </si>
  <si>
    <t>ggon*****</t>
  </si>
  <si>
    <t>92234604302</t>
  </si>
  <si>
    <t>2026042018270071</t>
  </si>
  <si>
    <t>2026042048567521</t>
  </si>
  <si>
    <t>가별</t>
  </si>
  <si>
    <t>kb****</t>
  </si>
  <si>
    <t>강혜미</t>
  </si>
  <si>
    <t>92234604125</t>
  </si>
  <si>
    <t>2026041824735641</t>
  </si>
  <si>
    <t>2026041883084751</t>
  </si>
  <si>
    <t>조연주</t>
  </si>
  <si>
    <t>92234603123</t>
  </si>
  <si>
    <t>2026042271241801</t>
  </si>
  <si>
    <t>2026042283569131</t>
  </si>
  <si>
    <t>차은서</t>
  </si>
  <si>
    <t>c_jj******</t>
  </si>
  <si>
    <t>92234605875</t>
  </si>
  <si>
    <t>2026042644896841</t>
  </si>
  <si>
    <t>2026042697037111</t>
  </si>
  <si>
    <t>rlad********</t>
  </si>
  <si>
    <t>92234605363</t>
  </si>
  <si>
    <t>2026042660571831</t>
  </si>
  <si>
    <t>2026042617736371</t>
  </si>
  <si>
    <t>민경화</t>
  </si>
  <si>
    <t>macn*****</t>
  </si>
  <si>
    <t>민김채원</t>
  </si>
  <si>
    <t>92234605271</t>
  </si>
  <si>
    <t>2026042528466201</t>
  </si>
  <si>
    <t>2026042585740911</t>
  </si>
  <si>
    <t>박미경</t>
  </si>
  <si>
    <t>92234605175</t>
  </si>
  <si>
    <t>2026042271061421</t>
  </si>
  <si>
    <t>2026042283456031</t>
  </si>
  <si>
    <t>cnrr*******</t>
  </si>
  <si>
    <t>92234604582</t>
  </si>
  <si>
    <t>2026042145889731</t>
  </si>
  <si>
    <t>2026042166706831</t>
  </si>
  <si>
    <t>오연아</t>
  </si>
  <si>
    <t>vojh******</t>
  </si>
  <si>
    <t>92234604361</t>
  </si>
  <si>
    <t>2026041828944041</t>
  </si>
  <si>
    <t>2026041885955081</t>
  </si>
  <si>
    <t>권세인</t>
  </si>
  <si>
    <t>kwon*****</t>
  </si>
  <si>
    <t>92234603193</t>
  </si>
  <si>
    <t>2026042518826581</t>
  </si>
  <si>
    <t>2026042578806041</t>
  </si>
  <si>
    <t>박소용</t>
  </si>
  <si>
    <t>ondo****</t>
  </si>
  <si>
    <t>92234605094</t>
  </si>
  <si>
    <t>2026042145470051</t>
  </si>
  <si>
    <t>2026042166432421</t>
  </si>
  <si>
    <t>권호연</t>
  </si>
  <si>
    <t>tt****</t>
  </si>
  <si>
    <t>92234604350</t>
  </si>
  <si>
    <t>2026042023618591</t>
  </si>
  <si>
    <t>2026042051999351</t>
  </si>
  <si>
    <t>최선옥</t>
  </si>
  <si>
    <t>soge***</t>
  </si>
  <si>
    <t>92234604195</t>
  </si>
  <si>
    <t>2026042072872961</t>
  </si>
  <si>
    <t>2026042024953151</t>
  </si>
  <si>
    <t>김주희</t>
  </si>
  <si>
    <t>92234603893</t>
  </si>
  <si>
    <t>2026041967782641</t>
  </si>
  <si>
    <t>2026041921708521</t>
  </si>
  <si>
    <t>peti******</t>
  </si>
  <si>
    <t>92234603543</t>
  </si>
  <si>
    <t>2026042129639061</t>
  </si>
  <si>
    <t>2026042155926281</t>
  </si>
  <si>
    <t>박순옥</t>
  </si>
  <si>
    <t>qkrr*****</t>
  </si>
  <si>
    <t>92234605934</t>
  </si>
  <si>
    <t>2026042643948581</t>
  </si>
  <si>
    <t>2026042696432151</t>
  </si>
  <si>
    <t>전정원</t>
  </si>
  <si>
    <t>jung*******</t>
  </si>
  <si>
    <t>92234605341</t>
  </si>
  <si>
    <t>2026042352733221</t>
  </si>
  <si>
    <t>2026042341345381</t>
  </si>
  <si>
    <t>92234604825</t>
  </si>
  <si>
    <t>2026042157394291</t>
  </si>
  <si>
    <t>2026042174362651</t>
  </si>
  <si>
    <t>이준하</t>
  </si>
  <si>
    <t>slah****</t>
  </si>
  <si>
    <t>92234604453</t>
  </si>
  <si>
    <t>2026041947233061</t>
  </si>
  <si>
    <t>2026041998208861</t>
  </si>
  <si>
    <t>정유민</t>
  </si>
  <si>
    <t>jyym***</t>
  </si>
  <si>
    <t>92234603753</t>
  </si>
  <si>
    <t>2026041827132941</t>
  </si>
  <si>
    <t>2026041884755861</t>
  </si>
  <si>
    <t>dudw*****</t>
  </si>
  <si>
    <t>92234603160</t>
  </si>
  <si>
    <t>2026041953134781</t>
  </si>
  <si>
    <t>2026041912242111</t>
  </si>
  <si>
    <t>박보라 브리즈번</t>
  </si>
  <si>
    <t>92234603296</t>
  </si>
  <si>
    <t>2026042495161841</t>
  </si>
  <si>
    <t>2026042469471331</t>
  </si>
  <si>
    <t>한수현</t>
  </si>
  <si>
    <t>sueh***</t>
  </si>
  <si>
    <t>92234605794</t>
  </si>
  <si>
    <t>2026042339081051</t>
  </si>
  <si>
    <t>2026042332158281</t>
  </si>
  <si>
    <t>손봉순</t>
  </si>
  <si>
    <t>bsso***</t>
  </si>
  <si>
    <t>92234605831</t>
  </si>
  <si>
    <t>2026042720471501</t>
  </si>
  <si>
    <t>2026042750323741</t>
  </si>
  <si>
    <t>현우정</t>
  </si>
  <si>
    <t>dnwj*****</t>
  </si>
  <si>
    <t>92234605746</t>
  </si>
  <si>
    <t>2026042280120491</t>
  </si>
  <si>
    <t>2026042289564361</t>
  </si>
  <si>
    <t>국명선</t>
  </si>
  <si>
    <t>ms****</t>
  </si>
  <si>
    <t>92234604630</t>
  </si>
  <si>
    <t>2026042078975701</t>
  </si>
  <si>
    <t>2026042029029861</t>
  </si>
  <si>
    <t>최혜린</t>
  </si>
  <si>
    <t>hwc5***</t>
  </si>
  <si>
    <t>92234603963</t>
  </si>
  <si>
    <t>2026041944214981</t>
  </si>
  <si>
    <t>2026041996129081</t>
  </si>
  <si>
    <t>김지오</t>
  </si>
  <si>
    <t>ming******</t>
  </si>
  <si>
    <t>92234603716</t>
  </si>
  <si>
    <t>2026041952373171</t>
  </si>
  <si>
    <t>2026041911720361</t>
  </si>
  <si>
    <t>곽경준</t>
  </si>
  <si>
    <t>epgp****</t>
  </si>
  <si>
    <t>92234603285</t>
  </si>
  <si>
    <t>2026041824795901</t>
  </si>
  <si>
    <t>2026041883126931</t>
  </si>
  <si>
    <t>da****</t>
  </si>
  <si>
    <t>92234603134</t>
  </si>
  <si>
    <t>2026042360403661</t>
  </si>
  <si>
    <t>2026042346472701</t>
  </si>
  <si>
    <t>gpai*****</t>
  </si>
  <si>
    <t>92234605805</t>
  </si>
  <si>
    <t>2026042669323121</t>
  </si>
  <si>
    <t>2026042623691451</t>
  </si>
  <si>
    <t>윤나연</t>
  </si>
  <si>
    <t>asz9***</t>
  </si>
  <si>
    <t>92234605761</t>
  </si>
  <si>
    <t>2026042359943091</t>
  </si>
  <si>
    <t>2026042346172051</t>
  </si>
  <si>
    <t>임영희</t>
  </si>
  <si>
    <t>minu***</t>
  </si>
  <si>
    <t>92234605816</t>
  </si>
  <si>
    <t>2026042523566911</t>
  </si>
  <si>
    <t>2026042582203841</t>
  </si>
  <si>
    <t>원현정</t>
  </si>
  <si>
    <t>whj9***</t>
  </si>
  <si>
    <t>92234605142</t>
  </si>
  <si>
    <t>2026042471565831</t>
  </si>
  <si>
    <t>2026042453665081</t>
  </si>
  <si>
    <t>최미향</t>
  </si>
  <si>
    <t>chla******</t>
  </si>
  <si>
    <t>92234604906</t>
  </si>
  <si>
    <t>2026042494876731</t>
  </si>
  <si>
    <t>2026042469263361</t>
  </si>
  <si>
    <t>김정하</t>
  </si>
  <si>
    <t>jh41*****</t>
  </si>
  <si>
    <t>92234604980</t>
  </si>
  <si>
    <t>2026042147081351</t>
  </si>
  <si>
    <t>2026042167476601</t>
  </si>
  <si>
    <t>황수지</t>
  </si>
  <si>
    <t>tnwl****</t>
  </si>
  <si>
    <t>92234604394</t>
  </si>
  <si>
    <t>2026042069017641</t>
  </si>
  <si>
    <t>2026042022477031</t>
  </si>
  <si>
    <t>stop******</t>
  </si>
  <si>
    <t>92234603812</t>
  </si>
  <si>
    <t>2026041785217031</t>
  </si>
  <si>
    <t>2026041762580181</t>
  </si>
  <si>
    <t>92234603075</t>
  </si>
  <si>
    <t>2026041823055011</t>
  </si>
  <si>
    <t>2026041881899251</t>
  </si>
  <si>
    <t>엄옥정</t>
  </si>
  <si>
    <t>skdo***</t>
  </si>
  <si>
    <t>92234603090</t>
  </si>
  <si>
    <t>2026042674775721</t>
  </si>
  <si>
    <t>2026042627223471</t>
  </si>
  <si>
    <t>권채영</t>
  </si>
  <si>
    <t>kwon********</t>
  </si>
  <si>
    <t>92234605326</t>
  </si>
  <si>
    <t>2026042325937161</t>
  </si>
  <si>
    <t>2026042323321591</t>
  </si>
  <si>
    <t>김영란</t>
  </si>
  <si>
    <t>kyr7***</t>
  </si>
  <si>
    <t>92234604744</t>
  </si>
  <si>
    <t>2026042323721051</t>
  </si>
  <si>
    <t>2026042321941761</t>
  </si>
  <si>
    <t>이종미</t>
  </si>
  <si>
    <t>jjon****</t>
  </si>
  <si>
    <t>92234604722</t>
  </si>
  <si>
    <t>2026042351720401</t>
  </si>
  <si>
    <t>2026042340638091</t>
  </si>
  <si>
    <t>박송민</t>
  </si>
  <si>
    <t>ding*****</t>
  </si>
  <si>
    <t>92234605820</t>
  </si>
  <si>
    <t>2026042867501741</t>
  </si>
  <si>
    <t>2026042880905311</t>
  </si>
  <si>
    <t>윤미은</t>
  </si>
  <si>
    <t>dmsd****</t>
  </si>
  <si>
    <t>92234605713</t>
  </si>
  <si>
    <t>2026042272884721</t>
  </si>
  <si>
    <t>2026042284607231</t>
  </si>
  <si>
    <t>정지은</t>
  </si>
  <si>
    <t>sopi*****</t>
  </si>
  <si>
    <t>92234604615</t>
  </si>
  <si>
    <t>2026042514954061</t>
  </si>
  <si>
    <t>2026042576089921</t>
  </si>
  <si>
    <t>l392****</t>
  </si>
  <si>
    <t>92234605050</t>
  </si>
  <si>
    <t>2026041951159621</t>
  </si>
  <si>
    <t>2026041910890761</t>
  </si>
  <si>
    <t>김성희</t>
  </si>
  <si>
    <t>shki*****</t>
  </si>
  <si>
    <t>92234603274</t>
  </si>
  <si>
    <t>2026042019018311</t>
  </si>
  <si>
    <t>2026042049064011</t>
  </si>
  <si>
    <t>e_e9***</t>
  </si>
  <si>
    <t>92234604140</t>
  </si>
  <si>
    <t>2026041967649501</t>
  </si>
  <si>
    <t>2026041921627851</t>
  </si>
  <si>
    <t>이옥</t>
  </si>
  <si>
    <t>okne***</t>
  </si>
  <si>
    <t>92234603532</t>
  </si>
  <si>
    <t>2026041766853781</t>
  </si>
  <si>
    <t>2026041750419351</t>
  </si>
  <si>
    <t>임효정</t>
  </si>
  <si>
    <t>dngm***</t>
  </si>
  <si>
    <t>92234603064</t>
  </si>
  <si>
    <t>2026041953729761</t>
  </si>
  <si>
    <t>2026041912651711</t>
  </si>
  <si>
    <t>ouuu****</t>
  </si>
  <si>
    <t>92234603311</t>
  </si>
  <si>
    <t>2026042522030881</t>
  </si>
  <si>
    <t>2026042581095831</t>
  </si>
  <si>
    <t>유한나</t>
  </si>
  <si>
    <t>alwa*****</t>
  </si>
  <si>
    <t>92234605116</t>
  </si>
  <si>
    <t>2026042338768621</t>
  </si>
  <si>
    <t>2026042331946851</t>
  </si>
  <si>
    <t>이현주</t>
  </si>
  <si>
    <t>gusw*******</t>
  </si>
  <si>
    <t>92234604766</t>
  </si>
  <si>
    <t>2026041962727581</t>
  </si>
  <si>
    <t>2026041918611471</t>
  </si>
  <si>
    <t>방민지</t>
  </si>
  <si>
    <t>very*******</t>
  </si>
  <si>
    <t>92234606026</t>
  </si>
  <si>
    <t>2026042281489271</t>
  </si>
  <si>
    <t>2026042290461681</t>
  </si>
  <si>
    <t>유현정</t>
  </si>
  <si>
    <t>alsa******</t>
  </si>
  <si>
    <t>92234604641</t>
  </si>
  <si>
    <t>2026042332997971</t>
  </si>
  <si>
    <t>2026042328143381</t>
  </si>
  <si>
    <t>황지현</t>
  </si>
  <si>
    <t>ghkd*****</t>
  </si>
  <si>
    <t>92234605842</t>
  </si>
  <si>
    <t>2026042143319191</t>
  </si>
  <si>
    <t>2026042165010611</t>
  </si>
  <si>
    <t>이혜연</t>
  </si>
  <si>
    <t>lhy3***</t>
  </si>
  <si>
    <t>92234604324</t>
  </si>
  <si>
    <t>2026042715073571</t>
  </si>
  <si>
    <t>2026042746841121</t>
  </si>
  <si>
    <t>정연성</t>
  </si>
  <si>
    <t>928s********</t>
  </si>
  <si>
    <t>92234605503</t>
  </si>
  <si>
    <t>2026042068786581</t>
  </si>
  <si>
    <t>2026042022328901</t>
  </si>
  <si>
    <t>오하연</t>
  </si>
  <si>
    <t>wldu******</t>
  </si>
  <si>
    <t>92234603801</t>
  </si>
  <si>
    <t>2026042522393271</t>
  </si>
  <si>
    <t>2026042581355901</t>
  </si>
  <si>
    <t>공지영</t>
  </si>
  <si>
    <t>agiz********</t>
  </si>
  <si>
    <t>92234605120</t>
  </si>
  <si>
    <t>2026041963323731</t>
  </si>
  <si>
    <t>2026041918981931</t>
  </si>
  <si>
    <t>nohl*****</t>
  </si>
  <si>
    <t>92234603451</t>
  </si>
  <si>
    <t>2026042485702681</t>
  </si>
  <si>
    <t>2026042462972461</t>
  </si>
  <si>
    <t>황휘원</t>
  </si>
  <si>
    <t>hwiw******</t>
  </si>
  <si>
    <t>손명현</t>
  </si>
  <si>
    <t>92234604954</t>
  </si>
  <si>
    <t>2026042073742961</t>
  </si>
  <si>
    <t>2026042025561001</t>
  </si>
  <si>
    <t>엄지현</t>
  </si>
  <si>
    <t>dbsh*****</t>
  </si>
  <si>
    <t>92234603926</t>
  </si>
  <si>
    <t>2026041955927291</t>
  </si>
  <si>
    <t>2026041914149661</t>
  </si>
  <si>
    <t>김예린</t>
  </si>
  <si>
    <t>slow******</t>
  </si>
  <si>
    <t>92234603355</t>
  </si>
  <si>
    <t>2026041936243641</t>
  </si>
  <si>
    <t>2026041990631581</t>
  </si>
  <si>
    <t>김의솔</t>
  </si>
  <si>
    <t>cm****</t>
  </si>
  <si>
    <t>김의호</t>
  </si>
  <si>
    <t>92234606015</t>
  </si>
  <si>
    <t>2026042167621841</t>
  </si>
  <si>
    <t>2026042181228321</t>
  </si>
  <si>
    <t>강예림</t>
  </si>
  <si>
    <t>usa9***</t>
  </si>
  <si>
    <t>92234605890</t>
  </si>
  <si>
    <t>2026042133902921</t>
  </si>
  <si>
    <t>2026042158861421</t>
  </si>
  <si>
    <t>남보라</t>
  </si>
  <si>
    <t>espe******</t>
  </si>
  <si>
    <t>92234605912</t>
  </si>
  <si>
    <t>2026042219726361</t>
  </si>
  <si>
    <t>2026042219381411</t>
  </si>
  <si>
    <t>최소진</t>
  </si>
  <si>
    <t>soji***</t>
  </si>
  <si>
    <t>92234605886</t>
  </si>
  <si>
    <t>2026042784097711</t>
  </si>
  <si>
    <t>2026042733011001</t>
  </si>
  <si>
    <t>이종선</t>
  </si>
  <si>
    <t>solb*******</t>
  </si>
  <si>
    <t>92234605422</t>
  </si>
  <si>
    <t>2026042516534321</t>
  </si>
  <si>
    <t>2026042577186191</t>
  </si>
  <si>
    <t>min_******</t>
  </si>
  <si>
    <t>92234605072</t>
  </si>
  <si>
    <t>2026042359373171</t>
  </si>
  <si>
    <t>2026042345796511</t>
  </si>
  <si>
    <t>이혜인</t>
  </si>
  <si>
    <t>hyei*****</t>
  </si>
  <si>
    <t>92234604862</t>
  </si>
  <si>
    <t>2026042073684101</t>
  </si>
  <si>
    <t>2026042025519451</t>
  </si>
  <si>
    <t>김진규</t>
  </si>
  <si>
    <t>hobr***</t>
  </si>
  <si>
    <t>92234603915</t>
  </si>
  <si>
    <t>2026041963991181</t>
  </si>
  <si>
    <t>92234603484</t>
  </si>
  <si>
    <t>2026041942923291</t>
  </si>
  <si>
    <t>2026041995235551</t>
  </si>
  <si>
    <t>백종열</t>
  </si>
  <si>
    <t>geek*****</t>
  </si>
  <si>
    <t>92234603705</t>
  </si>
  <si>
    <t>2026041960472071</t>
  </si>
  <si>
    <t>2026041917172771</t>
  </si>
  <si>
    <t>이희영</t>
  </si>
  <si>
    <t>dgd0***</t>
  </si>
  <si>
    <t>92234603425</t>
  </si>
  <si>
    <t>2026041941406331</t>
  </si>
  <si>
    <t>2026041994191851</t>
  </si>
  <si>
    <t>이준희</t>
  </si>
  <si>
    <t>junh******</t>
  </si>
  <si>
    <t>92234603694</t>
  </si>
  <si>
    <t>2026041945169591</t>
  </si>
  <si>
    <t>2026041996790071</t>
  </si>
  <si>
    <t>dd01***</t>
  </si>
  <si>
    <t>92234553095</t>
  </si>
  <si>
    <t>2026042089223111</t>
  </si>
  <si>
    <t>2026042035794551</t>
  </si>
  <si>
    <t>92234604033</t>
  </si>
  <si>
    <t>2026050187795981</t>
  </si>
  <si>
    <t>2026050164984101</t>
  </si>
  <si>
    <t>안현영</t>
  </si>
  <si>
    <t>h_ye*****</t>
  </si>
  <si>
    <t>92234719883</t>
  </si>
  <si>
    <t>2026043052451481</t>
  </si>
  <si>
    <t>2026043041121021</t>
  </si>
  <si>
    <t>하지아</t>
  </si>
  <si>
    <t>hz****</t>
  </si>
  <si>
    <t>92234719124</t>
  </si>
  <si>
    <t>2026042298044491</t>
  </si>
  <si>
    <t>2026042211385251</t>
  </si>
  <si>
    <t>김재은</t>
  </si>
  <si>
    <t>92234604556</t>
  </si>
  <si>
    <t>2026042791695401</t>
  </si>
  <si>
    <t>2026042738039291</t>
  </si>
  <si>
    <t>서혜주</t>
  </si>
  <si>
    <t>huic******</t>
  </si>
  <si>
    <t>92234605466</t>
  </si>
  <si>
    <t>2026050694120911</t>
  </si>
  <si>
    <t>2026050610132021</t>
  </si>
  <si>
    <t>성윤정</t>
  </si>
  <si>
    <t>syj7***</t>
  </si>
  <si>
    <t>이승민</t>
  </si>
  <si>
    <t>92234777751</t>
  </si>
  <si>
    <t>2026042796539071</t>
  </si>
  <si>
    <t>2026042741284911</t>
  </si>
  <si>
    <t>wlsl******</t>
  </si>
  <si>
    <t>92234605470</t>
  </si>
  <si>
    <t>2026050751105211</t>
  </si>
  <si>
    <t>2026050741354571</t>
  </si>
  <si>
    <t>류미정</t>
  </si>
  <si>
    <t>rmjm*****</t>
  </si>
  <si>
    <t>92234826515</t>
  </si>
  <si>
    <t>2026042150362451</t>
  </si>
  <si>
    <t>2026042169602921</t>
  </si>
  <si>
    <t>이솔</t>
  </si>
  <si>
    <t>mirr******</t>
  </si>
  <si>
    <t>92234604420</t>
  </si>
  <si>
    <t>2026042158997711</t>
  </si>
  <si>
    <t>2026042175494871</t>
  </si>
  <si>
    <t>양윤정</t>
  </si>
  <si>
    <t>8010****</t>
  </si>
  <si>
    <t>92234604475</t>
  </si>
  <si>
    <t>2026042644650111</t>
  </si>
  <si>
    <t>2026042696881331</t>
  </si>
  <si>
    <t>오슬기</t>
  </si>
  <si>
    <t>vhhj******</t>
  </si>
  <si>
    <t>92234605352</t>
  </si>
  <si>
    <t>2026050624118391</t>
  </si>
  <si>
    <t>2026050623522571</t>
  </si>
  <si>
    <t>이우진</t>
  </si>
  <si>
    <t>wlsd*****</t>
  </si>
  <si>
    <t>이수호</t>
  </si>
  <si>
    <t>92234805773</t>
  </si>
  <si>
    <t>2026050568995081</t>
  </si>
  <si>
    <t>2026050583672201</t>
  </si>
  <si>
    <t>92234762605</t>
  </si>
  <si>
    <t>2026043045229341</t>
  </si>
  <si>
    <t>2026043036206421</t>
  </si>
  <si>
    <t>조영미</t>
  </si>
  <si>
    <t>sg****</t>
  </si>
  <si>
    <t>92234719905</t>
  </si>
  <si>
    <t>2026042487554061</t>
  </si>
  <si>
    <t>2026042464191791</t>
  </si>
  <si>
    <t>노재희</t>
  </si>
  <si>
    <t>godo***</t>
  </si>
  <si>
    <t>92234604965</t>
  </si>
  <si>
    <t>2026042353315531</t>
  </si>
  <si>
    <t>2026042341759541</t>
  </si>
  <si>
    <t>92234604836</t>
  </si>
  <si>
    <t>2026042847842441</t>
  </si>
  <si>
    <t>2026042868123861</t>
  </si>
  <si>
    <t>우진아</t>
  </si>
  <si>
    <t>xx****</t>
  </si>
  <si>
    <t>92234718940</t>
  </si>
  <si>
    <t>2026042147881851</t>
  </si>
  <si>
    <t>2026042167998101</t>
  </si>
  <si>
    <t>하지현</t>
  </si>
  <si>
    <t>hacj****</t>
  </si>
  <si>
    <t>92234604405</t>
  </si>
  <si>
    <t>2026042988644681</t>
  </si>
  <si>
    <t>2026042994930431</t>
  </si>
  <si>
    <t>윤여울</t>
  </si>
  <si>
    <t>dudn******</t>
  </si>
  <si>
    <t>92234719043</t>
  </si>
  <si>
    <t>2026050624193401</t>
  </si>
  <si>
    <t>2026050623572391</t>
  </si>
  <si>
    <t>황서린</t>
  </si>
  <si>
    <t>rin_***</t>
  </si>
  <si>
    <t>92234805784</t>
  </si>
  <si>
    <t>2026050219975791</t>
  </si>
  <si>
    <t>2026050280052531</t>
  </si>
  <si>
    <t>이승원</t>
  </si>
  <si>
    <t>94****</t>
  </si>
  <si>
    <t>김대현</t>
  </si>
  <si>
    <t>92234719360</t>
  </si>
  <si>
    <t>2026042017010591</t>
  </si>
  <si>
    <t>2026042047726241</t>
  </si>
  <si>
    <t>이예림</t>
  </si>
  <si>
    <t>92234604092</t>
  </si>
  <si>
    <t>2026043051327841</t>
  </si>
  <si>
    <t>2026043040357151</t>
  </si>
  <si>
    <t>김세미</t>
  </si>
  <si>
    <t>semi****</t>
  </si>
  <si>
    <t>92234717691</t>
  </si>
  <si>
    <t>2026050678325281</t>
  </si>
  <si>
    <t>2026050689680601</t>
  </si>
  <si>
    <t>송인숙</t>
  </si>
  <si>
    <t>cdma*****</t>
  </si>
  <si>
    <t>92234762933</t>
  </si>
  <si>
    <t>2026050350581211</t>
  </si>
  <si>
    <t>2026050311075991</t>
  </si>
  <si>
    <t>이정아</t>
  </si>
  <si>
    <t>xnls***</t>
  </si>
  <si>
    <t>92234719511</t>
  </si>
  <si>
    <t>2026050672911721</t>
  </si>
  <si>
    <t>2026050686144801</t>
  </si>
  <si>
    <t>dock****</t>
  </si>
  <si>
    <t>92234762642</t>
  </si>
  <si>
    <t>2026043051692741</t>
  </si>
  <si>
    <t>2026043040606211</t>
  </si>
  <si>
    <t>정영란</t>
  </si>
  <si>
    <t>92234719113</t>
  </si>
  <si>
    <t>2026050222141481</t>
  </si>
  <si>
    <t>2026050281557801</t>
  </si>
  <si>
    <t>oaha***</t>
  </si>
  <si>
    <t>92234719393</t>
  </si>
  <si>
    <t>2026042467282821</t>
  </si>
  <si>
    <t>2026042450822321</t>
  </si>
  <si>
    <t>송지안</t>
  </si>
  <si>
    <t>ny****</t>
  </si>
  <si>
    <t>92234604873</t>
  </si>
  <si>
    <t>2026042862481951</t>
  </si>
  <si>
    <t>2026042877627371</t>
  </si>
  <si>
    <t>927h*****</t>
  </si>
  <si>
    <t>92234605691</t>
  </si>
  <si>
    <t>2026050225907441</t>
  </si>
  <si>
    <t>2026050284196661</t>
  </si>
  <si>
    <t>오은을</t>
  </si>
  <si>
    <t>ubuu****</t>
  </si>
  <si>
    <t>92234719846</t>
  </si>
  <si>
    <t>2026042989967131</t>
  </si>
  <si>
    <t>2026042995849891</t>
  </si>
  <si>
    <t>백지은</t>
  </si>
  <si>
    <t>jee6***</t>
  </si>
  <si>
    <t>92234719065</t>
  </si>
  <si>
    <t>2026042992338331</t>
  </si>
  <si>
    <t>2026042997461521</t>
  </si>
  <si>
    <t>장경미</t>
  </si>
  <si>
    <t>ruda*****</t>
  </si>
  <si>
    <t>92234719076</t>
  </si>
  <si>
    <t>2026042711331181</t>
  </si>
  <si>
    <t>2026042744438241</t>
  </si>
  <si>
    <t>이민주</t>
  </si>
  <si>
    <t>mjle***</t>
  </si>
  <si>
    <t>92234718800</t>
  </si>
  <si>
    <t>2026042133272471</t>
  </si>
  <si>
    <t>2026042158442161</t>
  </si>
  <si>
    <t>한현주</t>
  </si>
  <si>
    <t>hh****</t>
  </si>
  <si>
    <t>92234604291</t>
  </si>
  <si>
    <t>2026050219742991</t>
  </si>
  <si>
    <t>2026050279888731</t>
  </si>
  <si>
    <t>이은혜</t>
  </si>
  <si>
    <t>u-u0***</t>
  </si>
  <si>
    <t>집</t>
  </si>
  <si>
    <t>92234719356</t>
  </si>
  <si>
    <t>2026042161890871</t>
  </si>
  <si>
    <t>2026042177503921</t>
  </si>
  <si>
    <t>bijo***</t>
  </si>
  <si>
    <t>92234604490</t>
  </si>
  <si>
    <t>2026042343001991</t>
  </si>
  <si>
    <t>2026042334765571</t>
  </si>
  <si>
    <t>정은경</t>
  </si>
  <si>
    <t>zhzh*******</t>
  </si>
  <si>
    <t>92234604781</t>
  </si>
  <si>
    <t>2026041762912381</t>
  </si>
  <si>
    <t>2026041747809571</t>
  </si>
  <si>
    <t>박한별</t>
  </si>
  <si>
    <t>alsl******</t>
  </si>
  <si>
    <t>92234559771</t>
  </si>
  <si>
    <t>2026041562286491</t>
  </si>
  <si>
    <t>2026041578147971</t>
  </si>
  <si>
    <t>김도현</t>
  </si>
  <si>
    <t>wksd****</t>
  </si>
  <si>
    <t>92234494122</t>
  </si>
  <si>
    <t>2026050350100361</t>
  </si>
  <si>
    <t>2026050310739711</t>
  </si>
  <si>
    <t>지윤아</t>
  </si>
  <si>
    <t>soln*******</t>
  </si>
  <si>
    <t>92234719496</t>
  </si>
  <si>
    <t>2026042535881591</t>
  </si>
  <si>
    <t>2026042591081001</t>
  </si>
  <si>
    <t>전재영</t>
  </si>
  <si>
    <t>tpff*****</t>
  </si>
  <si>
    <t>92234605190</t>
  </si>
  <si>
    <t>2026042920599581</t>
  </si>
  <si>
    <t>2026042919389461</t>
  </si>
  <si>
    <t>박용범</t>
  </si>
  <si>
    <t>pyb1***</t>
  </si>
  <si>
    <t>92234717654</t>
  </si>
  <si>
    <t>2026042335496381</t>
  </si>
  <si>
    <t>2026042329772501</t>
  </si>
  <si>
    <t>문은빈</t>
  </si>
  <si>
    <t>wnst****</t>
  </si>
  <si>
    <t>92234604755</t>
  </si>
  <si>
    <t>2026042935280581</t>
  </si>
  <si>
    <t>2026042929529681</t>
  </si>
  <si>
    <t>윤지현</t>
  </si>
  <si>
    <t>cooc********</t>
  </si>
  <si>
    <t>92234719916</t>
  </si>
  <si>
    <t>2026041825052851</t>
  </si>
  <si>
    <t>2026041883308341</t>
  </si>
  <si>
    <t>고유미</t>
  </si>
  <si>
    <t>qwas***</t>
  </si>
  <si>
    <t>고멈무</t>
  </si>
  <si>
    <t>92234603145</t>
  </si>
  <si>
    <t>2026042130268711</t>
  </si>
  <si>
    <t>2026042156376031</t>
  </si>
  <si>
    <t>강나혜</t>
  </si>
  <si>
    <t>khy7*****</t>
  </si>
  <si>
    <t>92234605923</t>
  </si>
  <si>
    <t>2026050553822021</t>
  </si>
  <si>
    <t>2026050573394371</t>
  </si>
  <si>
    <t>김희라</t>
  </si>
  <si>
    <t>heer****</t>
  </si>
  <si>
    <t>92234762524</t>
  </si>
  <si>
    <t>2026041958366411</t>
  </si>
  <si>
    <t>92234762325</t>
  </si>
  <si>
    <t>2026041958366401</t>
  </si>
  <si>
    <t>2026042069174421</t>
  </si>
  <si>
    <t>2026042022576201</t>
  </si>
  <si>
    <t>kimy*****</t>
  </si>
  <si>
    <t>92234603823</t>
  </si>
  <si>
    <t>2026050217038911</t>
  </si>
  <si>
    <t>2026050278130731</t>
  </si>
  <si>
    <t>정소희</t>
  </si>
  <si>
    <t>some******</t>
  </si>
  <si>
    <t>92234719312</t>
  </si>
  <si>
    <t>2026041948776561</t>
  </si>
  <si>
    <t>2026041999262521</t>
  </si>
  <si>
    <t>정은숙</t>
  </si>
  <si>
    <t>jane*****</t>
  </si>
  <si>
    <t>배추누나</t>
  </si>
  <si>
    <t>92234762340</t>
  </si>
  <si>
    <t>2026041948776551</t>
  </si>
  <si>
    <t>2026041948776541</t>
  </si>
  <si>
    <t>컬러: 체크블랙 / 길이: 1.2M 도시산책형</t>
  </si>
  <si>
    <t>2026041948776531</t>
  </si>
  <si>
    <t>2026042722631421</t>
  </si>
  <si>
    <t>2026042751756021</t>
  </si>
  <si>
    <t>김주원</t>
  </si>
  <si>
    <t>nadi****</t>
  </si>
  <si>
    <t>92234718855</t>
  </si>
  <si>
    <t>2026041933985791</t>
  </si>
  <si>
    <t>2026041989146301</t>
  </si>
  <si>
    <t>김복현</t>
  </si>
  <si>
    <t>ibis***</t>
  </si>
  <si>
    <t>92234717761</t>
  </si>
  <si>
    <t>2026041936240601</t>
  </si>
  <si>
    <t>2026041990629511</t>
  </si>
  <si>
    <t>권보경</t>
  </si>
  <si>
    <t>92234717783</t>
  </si>
  <si>
    <t>2026042492718241</t>
  </si>
  <si>
    <t>2026042467717521</t>
  </si>
  <si>
    <t>최다혜</t>
  </si>
  <si>
    <t>rain*****</t>
  </si>
  <si>
    <t>92234604976</t>
  </si>
  <si>
    <t>2026050626808391</t>
  </si>
  <si>
    <t>2026050625281621</t>
  </si>
  <si>
    <t>명선희</t>
  </si>
  <si>
    <t>wl****</t>
  </si>
  <si>
    <t>루시</t>
  </si>
  <si>
    <t>92234805821</t>
  </si>
  <si>
    <t>2026041814953451</t>
  </si>
  <si>
    <t>2026041876165271</t>
  </si>
  <si>
    <t>유명지</t>
  </si>
  <si>
    <t>youa****</t>
  </si>
  <si>
    <t>92234571774</t>
  </si>
  <si>
    <t>2026041812242361</t>
  </si>
  <si>
    <t>2026041874244131</t>
  </si>
  <si>
    <t>wkdg********</t>
  </si>
  <si>
    <t>92234571741</t>
  </si>
  <si>
    <t>2026041821288371</t>
  </si>
  <si>
    <t>2026041880649611</t>
  </si>
  <si>
    <t>wkda*****</t>
  </si>
  <si>
    <t>92234571914</t>
  </si>
  <si>
    <t>2026041762235681</t>
  </si>
  <si>
    <t>2026041747332141</t>
  </si>
  <si>
    <t>김수진</t>
  </si>
  <si>
    <t>happ*******</t>
  </si>
  <si>
    <t>92234560320</t>
  </si>
  <si>
    <t>2026041787869471</t>
  </si>
  <si>
    <t>2026041764452631</t>
  </si>
  <si>
    <t>dbsr*******</t>
  </si>
  <si>
    <t>92234560106</t>
  </si>
  <si>
    <t>2026041760280481</t>
  </si>
  <si>
    <t>2026041745994041</t>
  </si>
  <si>
    <t>jung*********</t>
  </si>
  <si>
    <t>92234559686</t>
  </si>
  <si>
    <t>2026041597176121</t>
  </si>
  <si>
    <t>2026041511287211</t>
  </si>
  <si>
    <t>윤수정</t>
  </si>
  <si>
    <t>y011***</t>
  </si>
  <si>
    <t>92234538712</t>
  </si>
  <si>
    <t>2026041654325171</t>
  </si>
  <si>
    <t>2026041642251701</t>
  </si>
  <si>
    <t>syfo*******</t>
  </si>
  <si>
    <t>92234538266</t>
  </si>
  <si>
    <t>2026041643607561</t>
  </si>
  <si>
    <t>2026041634926251</t>
  </si>
  <si>
    <t>안미진</t>
  </si>
  <si>
    <t>free******</t>
  </si>
  <si>
    <t>92234538082</t>
  </si>
  <si>
    <t>2026041589930711</t>
  </si>
  <si>
    <t>2026041596353451</t>
  </si>
  <si>
    <t>ceeu***</t>
  </si>
  <si>
    <t>92234537006</t>
  </si>
  <si>
    <t>2026041583946161</t>
  </si>
  <si>
    <t>2026041592413381</t>
  </si>
  <si>
    <t>nich****</t>
  </si>
  <si>
    <t>92234536800</t>
  </si>
  <si>
    <t>2026041576010691</t>
  </si>
  <si>
    <t>2026041587311711</t>
  </si>
  <si>
    <t>김규리</t>
  </si>
  <si>
    <t>gurr******</t>
  </si>
  <si>
    <t>김밍키</t>
  </si>
  <si>
    <t>92234536424</t>
  </si>
  <si>
    <t>2026041598222551</t>
  </si>
  <si>
    <t>2026041511973241</t>
  </si>
  <si>
    <t>ujji***</t>
  </si>
  <si>
    <t>92234536236</t>
  </si>
  <si>
    <t>2026041597800031</t>
  </si>
  <si>
    <t>2026041511696871</t>
  </si>
  <si>
    <t>장지예</t>
  </si>
  <si>
    <t>akak******</t>
  </si>
  <si>
    <t>92234536192</t>
  </si>
  <si>
    <t>2026050615569281</t>
  </si>
  <si>
    <t>2026050617679091</t>
  </si>
  <si>
    <t>w_ls****</t>
  </si>
  <si>
    <t>92234805736</t>
  </si>
  <si>
    <t>2026041819208521</t>
  </si>
  <si>
    <t>2026041879185671</t>
  </si>
  <si>
    <t>최수정</t>
  </si>
  <si>
    <t>0070***</t>
  </si>
  <si>
    <t>92234571866</t>
  </si>
  <si>
    <t>2026041782613081</t>
  </si>
  <si>
    <t>2026041760778081</t>
  </si>
  <si>
    <t>이소정</t>
  </si>
  <si>
    <t>ha****</t>
  </si>
  <si>
    <t>92234560036</t>
  </si>
  <si>
    <t>2026041896362691</t>
  </si>
  <si>
    <t>2026041870079541</t>
  </si>
  <si>
    <t>안지연</t>
  </si>
  <si>
    <t>8190***</t>
  </si>
  <si>
    <t>92234571656</t>
  </si>
  <si>
    <t>2026041777922901</t>
  </si>
  <si>
    <t>2026041757614351</t>
  </si>
  <si>
    <t>dood******</t>
  </si>
  <si>
    <t>92234559966</t>
  </si>
  <si>
    <t>2026041778695031</t>
  </si>
  <si>
    <t>2026041758112041</t>
  </si>
  <si>
    <t>최원경</t>
  </si>
  <si>
    <t>cw****</t>
  </si>
  <si>
    <t>92234559970</t>
  </si>
  <si>
    <t>2026041781414431</t>
  </si>
  <si>
    <t>2026041759940051</t>
  </si>
  <si>
    <t>박세련</t>
  </si>
  <si>
    <t>fkdd*****</t>
  </si>
  <si>
    <t>베비하우스</t>
  </si>
  <si>
    <t>92234559992</t>
  </si>
  <si>
    <t>2026041763831861</t>
  </si>
  <si>
    <t>2026041748436581</t>
  </si>
  <si>
    <t>이혜승</t>
  </si>
  <si>
    <t>jaee******</t>
  </si>
  <si>
    <t>92234559826</t>
  </si>
  <si>
    <t>2026041766580661</t>
  </si>
  <si>
    <t>2026041750244711</t>
  </si>
  <si>
    <t>문수빈</t>
  </si>
  <si>
    <t>moon*******</t>
  </si>
  <si>
    <t>92234559863</t>
  </si>
  <si>
    <t>2026041593376131</t>
  </si>
  <si>
    <t>2026041598712611</t>
  </si>
  <si>
    <t>박원솔</t>
  </si>
  <si>
    <t>p990***</t>
  </si>
  <si>
    <t>92234538502</t>
  </si>
  <si>
    <t>2026041591677211</t>
  </si>
  <si>
    <t>2026041597539551</t>
  </si>
  <si>
    <t>안유림</t>
  </si>
  <si>
    <t>ayj8***</t>
  </si>
  <si>
    <t>92234538513</t>
  </si>
  <si>
    <t>2026041648793841</t>
  </si>
  <si>
    <t>2026041638493351</t>
  </si>
  <si>
    <t>천세진</t>
  </si>
  <si>
    <t>seji*****</t>
  </si>
  <si>
    <t>92234538410</t>
  </si>
  <si>
    <t>2026041632566331</t>
  </si>
  <si>
    <t>2026041627752461</t>
  </si>
  <si>
    <t>문지혜</t>
  </si>
  <si>
    <t>lock***</t>
  </si>
  <si>
    <t>92234537850</t>
  </si>
  <si>
    <t>2026041637357221</t>
  </si>
  <si>
    <t>2026041630819401</t>
  </si>
  <si>
    <t>박윤정</t>
  </si>
  <si>
    <t>yoon*******</t>
  </si>
  <si>
    <t>92234537964</t>
  </si>
  <si>
    <t>2026041629074111</t>
  </si>
  <si>
    <t>2026041625456121</t>
  </si>
  <si>
    <t>안기은</t>
  </si>
  <si>
    <t>zxc4***</t>
  </si>
  <si>
    <t>92234537765</t>
  </si>
  <si>
    <t>2026041631155141</t>
  </si>
  <si>
    <t>2026041626829571</t>
  </si>
  <si>
    <t>박은미</t>
  </si>
  <si>
    <t>cndw******</t>
  </si>
  <si>
    <t>92234537776</t>
  </si>
  <si>
    <t>2026041618009331</t>
  </si>
  <si>
    <t>2026041618134651</t>
  </si>
  <si>
    <t>최아영</t>
  </si>
  <si>
    <t>ay****</t>
  </si>
  <si>
    <t>92234537430</t>
  </si>
  <si>
    <t>2026041616343551</t>
  </si>
  <si>
    <t>2026041617093081</t>
  </si>
  <si>
    <t>신채원</t>
  </si>
  <si>
    <t>허밀크</t>
  </si>
  <si>
    <t>92234537323</t>
  </si>
  <si>
    <t>2026041582023321</t>
  </si>
  <si>
    <t>2026041591188461</t>
  </si>
  <si>
    <t>김주환</t>
  </si>
  <si>
    <t>eunc*****</t>
  </si>
  <si>
    <t>92234536693</t>
  </si>
  <si>
    <t>2026041582201541</t>
  </si>
  <si>
    <t>2026041591301011</t>
  </si>
  <si>
    <t>박준휘</t>
  </si>
  <si>
    <t>vltm*****</t>
  </si>
  <si>
    <t>나</t>
  </si>
  <si>
    <t>92234536704</t>
  </si>
  <si>
    <t>2026041588076111</t>
  </si>
  <si>
    <t>2026041595127571</t>
  </si>
  <si>
    <t>오지민</t>
  </si>
  <si>
    <t>ojm0***</t>
  </si>
  <si>
    <t>92234536940</t>
  </si>
  <si>
    <t>2026041577254751</t>
  </si>
  <si>
    <t>2026041588138581</t>
  </si>
  <si>
    <t>유혜인</t>
  </si>
  <si>
    <t>godl******</t>
  </si>
  <si>
    <t>92234536461</t>
  </si>
  <si>
    <t>2026041514307391</t>
  </si>
  <si>
    <t>2026041515819521</t>
  </si>
  <si>
    <t>손민정</t>
  </si>
  <si>
    <t>tkda********</t>
  </si>
  <si>
    <t>민정</t>
  </si>
  <si>
    <t>92234536402</t>
  </si>
  <si>
    <t>2026041595735731</t>
  </si>
  <si>
    <t>2026041510326791</t>
  </si>
  <si>
    <t>cutt****</t>
  </si>
  <si>
    <t>92234536111</t>
  </si>
  <si>
    <t>2026041597115091</t>
  </si>
  <si>
    <t>2026041511247221</t>
  </si>
  <si>
    <t>강여울</t>
  </si>
  <si>
    <t>tl15****</t>
  </si>
  <si>
    <t>92234536170</t>
  </si>
  <si>
    <t>2026041896265681</t>
  </si>
  <si>
    <t>2026041870015531</t>
  </si>
  <si>
    <t>남태순</t>
  </si>
  <si>
    <t>pink****</t>
  </si>
  <si>
    <t>92234572010</t>
  </si>
  <si>
    <t>2026041762364111</t>
  </si>
  <si>
    <t>2026041747421841</t>
  </si>
  <si>
    <t>홍지희</t>
  </si>
  <si>
    <t>wlgm**********</t>
  </si>
  <si>
    <t>92234560316</t>
  </si>
  <si>
    <t>2026041896444201</t>
  </si>
  <si>
    <t>2026041870133911</t>
  </si>
  <si>
    <t>임미소</t>
  </si>
  <si>
    <t>mide****</t>
  </si>
  <si>
    <t>92234571660</t>
  </si>
  <si>
    <t>2026041758851871</t>
  </si>
  <si>
    <t>2026041745112891</t>
  </si>
  <si>
    <t>배다현</t>
  </si>
  <si>
    <t>bae0***</t>
  </si>
  <si>
    <t>92234559631</t>
  </si>
  <si>
    <t>2026041648487201</t>
  </si>
  <si>
    <t>2026041638279661</t>
  </si>
  <si>
    <t>김미라</t>
  </si>
  <si>
    <t>nu4r*****</t>
  </si>
  <si>
    <t>92234538421</t>
  </si>
  <si>
    <t>2026041653979921</t>
  </si>
  <si>
    <t>2026041642031361</t>
  </si>
  <si>
    <t>송경은</t>
  </si>
  <si>
    <t>s940***</t>
  </si>
  <si>
    <t>92234538406</t>
  </si>
  <si>
    <t>2026041637070561</t>
  </si>
  <si>
    <t>2026041630637801</t>
  </si>
  <si>
    <t>박경화</t>
  </si>
  <si>
    <t>8045***</t>
  </si>
  <si>
    <t>92234537942</t>
  </si>
  <si>
    <t>2026041619220531</t>
  </si>
  <si>
    <t>2026041618974591</t>
  </si>
  <si>
    <t>조소희</t>
  </si>
  <si>
    <t>tgtg****</t>
  </si>
  <si>
    <t>92234537496</t>
  </si>
  <si>
    <t>2026041595139231</t>
  </si>
  <si>
    <t>2026041599920431</t>
  </si>
  <si>
    <t>윤혜상</t>
  </si>
  <si>
    <t>hsyo******</t>
  </si>
  <si>
    <t>92234537231</t>
  </si>
  <si>
    <t>2026041591184211</t>
  </si>
  <si>
    <t>2026041597197361</t>
  </si>
  <si>
    <t>박혜영</t>
  </si>
  <si>
    <t>miso****</t>
  </si>
  <si>
    <t>럭키 유재필</t>
  </si>
  <si>
    <t>92234537102</t>
  </si>
  <si>
    <t>2026041598025271</t>
  </si>
  <si>
    <t>2026041511846381</t>
  </si>
  <si>
    <t>이혜주</t>
  </si>
  <si>
    <t>hyej*****</t>
  </si>
  <si>
    <t>92234536225</t>
  </si>
  <si>
    <t>2026041513031231</t>
  </si>
  <si>
    <t>2026041515015811</t>
  </si>
  <si>
    <t>박혜진</t>
  </si>
  <si>
    <t>gate****</t>
  </si>
  <si>
    <t>92234536376</t>
  </si>
  <si>
    <t>2026041762227531</t>
  </si>
  <si>
    <t>2026041747326601</t>
  </si>
  <si>
    <t>문신희</t>
  </si>
  <si>
    <t>dabe****</t>
  </si>
  <si>
    <t>92234559756</t>
  </si>
  <si>
    <t>2026041759738961</t>
  </si>
  <si>
    <t>2026041745661451</t>
  </si>
  <si>
    <t>marl******</t>
  </si>
  <si>
    <t>92234559675</t>
  </si>
  <si>
    <t>2026041763303951</t>
  </si>
  <si>
    <t>2026041748078461</t>
  </si>
  <si>
    <t>bona******</t>
  </si>
  <si>
    <t>92234559793</t>
  </si>
  <si>
    <t>2026041595920531</t>
  </si>
  <si>
    <t>2026041510451451</t>
  </si>
  <si>
    <t>조혜희</t>
  </si>
  <si>
    <t>chlw*******</t>
  </si>
  <si>
    <t>조마녀</t>
  </si>
  <si>
    <t>92234538734</t>
  </si>
  <si>
    <t>2026041623677571</t>
  </si>
  <si>
    <t>2026041621957371</t>
  </si>
  <si>
    <t>이종예</t>
  </si>
  <si>
    <t>jjon*****</t>
  </si>
  <si>
    <t>92234538454</t>
  </si>
  <si>
    <t>2026041625692641</t>
  </si>
  <si>
    <t>2026041623254641</t>
  </si>
  <si>
    <t>최지예</t>
  </si>
  <si>
    <t>pp****</t>
  </si>
  <si>
    <t>92234537710</t>
  </si>
  <si>
    <t>2026041898731281</t>
  </si>
  <si>
    <t>2026041871788021</t>
  </si>
  <si>
    <t>박솔아</t>
  </si>
  <si>
    <t>dodg***</t>
  </si>
  <si>
    <t>92234571704</t>
  </si>
  <si>
    <t>2026041634225191</t>
  </si>
  <si>
    <t>2026041628825891</t>
  </si>
  <si>
    <t>김은경</t>
  </si>
  <si>
    <t>etro****</t>
  </si>
  <si>
    <t>92234537905</t>
  </si>
  <si>
    <t>2026041590695301</t>
  </si>
  <si>
    <t>2026041596866741</t>
  </si>
  <si>
    <t>이영숙</t>
  </si>
  <si>
    <t>pola*******</t>
  </si>
  <si>
    <t>92234538524</t>
  </si>
  <si>
    <t>2026041623083041</t>
  </si>
  <si>
    <t>2026041621573461</t>
  </si>
  <si>
    <t>김경은</t>
  </si>
  <si>
    <t>eunk******</t>
  </si>
  <si>
    <t>92234537625</t>
  </si>
  <si>
    <t>2026041514594251</t>
  </si>
  <si>
    <t>2026041515998441</t>
  </si>
  <si>
    <t>하현주</t>
  </si>
  <si>
    <t>hgud******</t>
  </si>
  <si>
    <t>92234538642</t>
  </si>
  <si>
    <t>2026041584909591</t>
  </si>
  <si>
    <t>2026041593032301</t>
  </si>
  <si>
    <t>yjle*****</t>
  </si>
  <si>
    <t>92234536855</t>
  </si>
  <si>
    <t>2026041583232051</t>
  </si>
  <si>
    <t>2026041591955491</t>
  </si>
  <si>
    <t>이승미</t>
  </si>
  <si>
    <t>seun*******</t>
  </si>
  <si>
    <t>92234538583</t>
  </si>
  <si>
    <t>2026041582507561</t>
  </si>
  <si>
    <t>2026041591496911</t>
  </si>
  <si>
    <t>92234536715</t>
  </si>
  <si>
    <t>2026041645078231</t>
  </si>
  <si>
    <t>2026041635923541</t>
  </si>
  <si>
    <t>skyj*******</t>
  </si>
  <si>
    <t>92234538104</t>
  </si>
  <si>
    <t>2026041589113471</t>
  </si>
  <si>
    <t>2026041595814581</t>
  </si>
  <si>
    <t>서이진</t>
  </si>
  <si>
    <t>skys****</t>
  </si>
  <si>
    <t>서진</t>
  </si>
  <si>
    <t>92234536973</t>
  </si>
  <si>
    <t>2026041650394001</t>
  </si>
  <si>
    <t>2026041639580071</t>
  </si>
  <si>
    <t>강도영</t>
  </si>
  <si>
    <t>doyo*******</t>
  </si>
  <si>
    <t>92234538244</t>
  </si>
  <si>
    <t>2026041581443641</t>
  </si>
  <si>
    <t>2026041590820511</t>
  </si>
  <si>
    <t>신민준</t>
  </si>
  <si>
    <t>minj******</t>
  </si>
  <si>
    <t>92234536682</t>
  </si>
  <si>
    <t>2026041619894401</t>
  </si>
  <si>
    <t>2026041619441831</t>
  </si>
  <si>
    <t>우지현</t>
  </si>
  <si>
    <t>prin*******</t>
  </si>
  <si>
    <t>92234537522</t>
  </si>
  <si>
    <t>2026041597839861</t>
  </si>
  <si>
    <t>2026041511723861</t>
  </si>
  <si>
    <t>김다연</t>
  </si>
  <si>
    <t>ekdu*****</t>
  </si>
  <si>
    <t>92234536203</t>
  </si>
  <si>
    <t>2026041616071071</t>
  </si>
  <si>
    <t>2026041616925031</t>
  </si>
  <si>
    <t>김우희</t>
  </si>
  <si>
    <t>wwhh****</t>
  </si>
  <si>
    <t>92234537301</t>
  </si>
  <si>
    <t>2026041617109001</t>
  </si>
  <si>
    <t>2026041617552791</t>
  </si>
  <si>
    <t>장경희</t>
  </si>
  <si>
    <t>chan*********</t>
  </si>
  <si>
    <t>92234537371</t>
  </si>
  <si>
    <t>2026041580434451</t>
  </si>
  <si>
    <t>2026041590181101</t>
  </si>
  <si>
    <t>윤경선</t>
  </si>
  <si>
    <t>hepb******</t>
  </si>
  <si>
    <t>92234536634</t>
  </si>
  <si>
    <t>2026041899649231</t>
  </si>
  <si>
    <t>2026041872435461</t>
  </si>
  <si>
    <t>조경수</t>
  </si>
  <si>
    <t>92234571995</t>
  </si>
  <si>
    <t>2026041783672331</t>
  </si>
  <si>
    <t>2026041761504681</t>
  </si>
  <si>
    <t>김태완</t>
  </si>
  <si>
    <t>fkdl******</t>
  </si>
  <si>
    <t>김규나</t>
  </si>
  <si>
    <t>92234560040</t>
  </si>
  <si>
    <t>2026041770051081</t>
  </si>
  <si>
    <t>2026041752488451</t>
  </si>
  <si>
    <t>박별</t>
  </si>
  <si>
    <t>byeo***</t>
  </si>
  <si>
    <t>92234559900</t>
  </si>
  <si>
    <t>2026041585047401</t>
  </si>
  <si>
    <t>2026041593122781</t>
  </si>
  <si>
    <t>진정하</t>
  </si>
  <si>
    <t>jjhs****</t>
  </si>
  <si>
    <t>92234538561</t>
  </si>
  <si>
    <t>2026041654399511</t>
  </si>
  <si>
    <t>2026041642298651</t>
  </si>
  <si>
    <t>안민주</t>
  </si>
  <si>
    <t>92234538270</t>
  </si>
  <si>
    <t>2026041617461401</t>
  </si>
  <si>
    <t>2026041617770521</t>
  </si>
  <si>
    <t>김영순</t>
  </si>
  <si>
    <t>rlad*********</t>
  </si>
  <si>
    <t>강가영</t>
  </si>
  <si>
    <t>92234537426</t>
  </si>
  <si>
    <t>2026041810667621</t>
  </si>
  <si>
    <t>2026041873146091</t>
  </si>
  <si>
    <t>정하나</t>
  </si>
  <si>
    <t>gksk****</t>
  </si>
  <si>
    <t>HauHau</t>
  </si>
  <si>
    <t>92234571726</t>
  </si>
  <si>
    <t>2026041617284161</t>
  </si>
  <si>
    <t>2026041617660491</t>
  </si>
  <si>
    <t>박해경</t>
  </si>
  <si>
    <t>kari*****</t>
  </si>
  <si>
    <t>92234537404</t>
  </si>
  <si>
    <t>2026041592458231</t>
  </si>
  <si>
    <t>2026041598076871</t>
  </si>
  <si>
    <t>김하림</t>
  </si>
  <si>
    <t>hari****</t>
  </si>
  <si>
    <t>92234537146</t>
  </si>
  <si>
    <t>2026041760945991</t>
  </si>
  <si>
    <t>2026041746436031</t>
  </si>
  <si>
    <t>허윤서</t>
  </si>
  <si>
    <t>92234559690</t>
  </si>
  <si>
    <t>2026041577601891</t>
  </si>
  <si>
    <t>2026041588361921</t>
  </si>
  <si>
    <t>김하경</t>
  </si>
  <si>
    <t>habe*******</t>
  </si>
  <si>
    <t>92234536494</t>
  </si>
  <si>
    <t>2026041591333901</t>
  </si>
  <si>
    <t>2026041597300581</t>
  </si>
  <si>
    <t>정신아</t>
  </si>
  <si>
    <t>naya***</t>
  </si>
  <si>
    <t>92234537113</t>
  </si>
  <si>
    <t>2026041578357271</t>
  </si>
  <si>
    <t>2026041588857081</t>
  </si>
  <si>
    <t>문보배</t>
  </si>
  <si>
    <t>mc****</t>
  </si>
  <si>
    <t>92234536553</t>
  </si>
  <si>
    <t>2026041590074971</t>
  </si>
  <si>
    <t>2026041596449461</t>
  </si>
  <si>
    <t>최혜수</t>
  </si>
  <si>
    <t>hyes******</t>
  </si>
  <si>
    <t>92234537010</t>
  </si>
  <si>
    <t>2026041577381751</t>
  </si>
  <si>
    <t>2026041588220331</t>
  </si>
  <si>
    <t>성희경</t>
  </si>
  <si>
    <t>heek****</t>
  </si>
  <si>
    <t>92234536472</t>
  </si>
  <si>
    <t>2026041599006921</t>
  </si>
  <si>
    <t>2026041512483731</t>
  </si>
  <si>
    <t>이소연</t>
  </si>
  <si>
    <t>lidi****</t>
  </si>
  <si>
    <t>92234536251</t>
  </si>
  <si>
    <t>2026041814196271</t>
  </si>
  <si>
    <t>2026041875624131</t>
  </si>
  <si>
    <t>최현지</t>
  </si>
  <si>
    <t>wend****</t>
  </si>
  <si>
    <t>92234571763</t>
  </si>
  <si>
    <t>2026041759256461</t>
  </si>
  <si>
    <t>2026041745367411</t>
  </si>
  <si>
    <t>이지선</t>
  </si>
  <si>
    <t>aaa4*****</t>
  </si>
  <si>
    <t>92234560342</t>
  </si>
  <si>
    <t>2026041895675791</t>
  </si>
  <si>
    <t>2026041869625491</t>
  </si>
  <si>
    <t>enge***</t>
  </si>
  <si>
    <t>92234571645</t>
  </si>
  <si>
    <t>2026041580632251</t>
  </si>
  <si>
    <t>2026041590306081</t>
  </si>
  <si>
    <t>박금희</t>
  </si>
  <si>
    <t>kumh***</t>
  </si>
  <si>
    <t>92234538616</t>
  </si>
  <si>
    <t>2026041627388211</t>
  </si>
  <si>
    <t>2026041624356271</t>
  </si>
  <si>
    <t>92234537754</t>
  </si>
  <si>
    <t>2026041618654941</t>
  </si>
  <si>
    <t>2026041618583391</t>
  </si>
  <si>
    <t>현도원</t>
  </si>
  <si>
    <t>clai******</t>
  </si>
  <si>
    <t>92234537463</t>
  </si>
  <si>
    <t>2026041583696541</t>
  </si>
  <si>
    <t>2026041592251291</t>
  </si>
  <si>
    <t>강성재</t>
  </si>
  <si>
    <t>luxu******</t>
  </si>
  <si>
    <t>92234536785</t>
  </si>
  <si>
    <t>2026041580622191</t>
  </si>
  <si>
    <t>2026041590299691</t>
  </si>
  <si>
    <t>이승희</t>
  </si>
  <si>
    <t>wasd***</t>
  </si>
  <si>
    <t>92234536656</t>
  </si>
  <si>
    <t>2026041599426961</t>
  </si>
  <si>
    <t>2026041512757511</t>
  </si>
  <si>
    <t>손선경</t>
  </si>
  <si>
    <t>sssl****</t>
  </si>
  <si>
    <t>92234536262</t>
  </si>
  <si>
    <t>2026041596222301</t>
  </si>
  <si>
    <t>2026041510653911</t>
  </si>
  <si>
    <t>이현영</t>
  </si>
  <si>
    <t>92234536122</t>
  </si>
  <si>
    <t>2026041820163581</t>
  </si>
  <si>
    <t>2026041879860461</t>
  </si>
  <si>
    <t>이나라</t>
  </si>
  <si>
    <t>gg****</t>
  </si>
  <si>
    <t>92234571881</t>
  </si>
  <si>
    <t>2026041587048641</t>
  </si>
  <si>
    <t>2026041594438981</t>
  </si>
  <si>
    <t>장연선</t>
  </si>
  <si>
    <t>sunn*****</t>
  </si>
  <si>
    <t>92234538546</t>
  </si>
  <si>
    <t>2026041643623561</t>
  </si>
  <si>
    <t>2026041634937621</t>
  </si>
  <si>
    <t>송민주</t>
  </si>
  <si>
    <t>ssss****</t>
  </si>
  <si>
    <t>92234538093</t>
  </si>
  <si>
    <t>2026041636482621</t>
  </si>
  <si>
    <t>2026041630265921</t>
  </si>
  <si>
    <t>stan*****</t>
  </si>
  <si>
    <t>92234537920</t>
  </si>
  <si>
    <t>2026041631934211</t>
  </si>
  <si>
    <t>2026041627340571</t>
  </si>
  <si>
    <t>박보승</t>
  </si>
  <si>
    <t>iron******</t>
  </si>
  <si>
    <t>박서연</t>
  </si>
  <si>
    <t>92234537813</t>
  </si>
  <si>
    <t>2026041634071381</t>
  </si>
  <si>
    <t>2026041628726791</t>
  </si>
  <si>
    <t>양혜린</t>
  </si>
  <si>
    <t>yhjy*****</t>
  </si>
  <si>
    <t>92234537894</t>
  </si>
  <si>
    <t>2026041587008851</t>
  </si>
  <si>
    <t>2026041594413031</t>
  </si>
  <si>
    <t>강인영</t>
  </si>
  <si>
    <t>in02***</t>
  </si>
  <si>
    <t>92234536914</t>
  </si>
  <si>
    <t>2026041576932041</t>
  </si>
  <si>
    <t>2026041587924361</t>
  </si>
  <si>
    <t>ari0***</t>
  </si>
  <si>
    <t>92234536435</t>
  </si>
  <si>
    <t>2026041596364631</t>
  </si>
  <si>
    <t>2026041510750791</t>
  </si>
  <si>
    <t>강수진</t>
  </si>
  <si>
    <t>k3****</t>
  </si>
  <si>
    <t>92234536133</t>
  </si>
  <si>
    <t>2026041783201841</t>
  </si>
  <si>
    <t>2026041761185891</t>
  </si>
  <si>
    <t>문혜숙</t>
  </si>
  <si>
    <t>shia********</t>
  </si>
  <si>
    <t>92234560272</t>
  </si>
  <si>
    <t>2026041897750821</t>
  </si>
  <si>
    <t>2026041871081811</t>
  </si>
  <si>
    <t>정인숙</t>
  </si>
  <si>
    <t>soog*****</t>
  </si>
  <si>
    <t>92234571671</t>
  </si>
  <si>
    <t>2026041760132911</t>
  </si>
  <si>
    <t>2026041745902631</t>
  </si>
  <si>
    <t>여준수</t>
  </si>
  <si>
    <t>duwn*******</t>
  </si>
  <si>
    <t>92234560331</t>
  </si>
  <si>
    <t>2026041761302981</t>
  </si>
  <si>
    <t>2026041746680771</t>
  </si>
  <si>
    <t>김시현</t>
  </si>
  <si>
    <t>ksh7***</t>
  </si>
  <si>
    <t>조영석</t>
  </si>
  <si>
    <t>92234559701</t>
  </si>
  <si>
    <t>2026041616069361</t>
  </si>
  <si>
    <t>2026041616923971</t>
  </si>
  <si>
    <t>tjal********</t>
  </si>
  <si>
    <t>92234538491</t>
  </si>
  <si>
    <t>2026041636870001</t>
  </si>
  <si>
    <t>2026041630510231</t>
  </si>
  <si>
    <t>92234537931</t>
  </si>
  <si>
    <t>2026041620937551</t>
  </si>
  <si>
    <t>2026041620158021</t>
  </si>
  <si>
    <t>이은미</t>
  </si>
  <si>
    <t>eunn*****</t>
  </si>
  <si>
    <t>92234537544</t>
  </si>
  <si>
    <t>2026041590953681</t>
  </si>
  <si>
    <t>2026041597040631</t>
  </si>
  <si>
    <t>송성민</t>
  </si>
  <si>
    <t>song*****</t>
  </si>
  <si>
    <t>92234537091</t>
  </si>
  <si>
    <t>2026041583861741</t>
  </si>
  <si>
    <t>2026041592359221</t>
  </si>
  <si>
    <t>92234536796</t>
  </si>
  <si>
    <t>2026041510973381</t>
  </si>
  <si>
    <t>2026041513737471</t>
  </si>
  <si>
    <t>서정은</t>
  </si>
  <si>
    <t>s984****</t>
  </si>
  <si>
    <t>92234536306</t>
  </si>
  <si>
    <t>2026041810017741</t>
  </si>
  <si>
    <t>2026041872691911</t>
  </si>
  <si>
    <t>박영아</t>
  </si>
  <si>
    <t>paja******</t>
  </si>
  <si>
    <t>92234571984</t>
  </si>
  <si>
    <t>2026041642911491</t>
  </si>
  <si>
    <t>2026041634458511</t>
  </si>
  <si>
    <t>심주현</t>
  </si>
  <si>
    <t>shim****</t>
  </si>
  <si>
    <t>92234538060</t>
  </si>
  <si>
    <t>2026041812759661</t>
  </si>
  <si>
    <t>2026041874606371</t>
  </si>
  <si>
    <t>이윤주</t>
  </si>
  <si>
    <t>cath***</t>
  </si>
  <si>
    <t>92234571752</t>
  </si>
  <si>
    <t>2026041627174711</t>
  </si>
  <si>
    <t>2026041624207721</t>
  </si>
  <si>
    <t>문하영</t>
  </si>
  <si>
    <t>natu*****</t>
  </si>
  <si>
    <t>92234537743</t>
  </si>
  <si>
    <t>2026041793031041</t>
  </si>
  <si>
    <t>2026041767897091</t>
  </si>
  <si>
    <t>박정서</t>
  </si>
  <si>
    <t>roya****</t>
  </si>
  <si>
    <t>92234571612</t>
  </si>
  <si>
    <t>2026041620157641</t>
  </si>
  <si>
    <t>2026041619622071</t>
  </si>
  <si>
    <t>mink********</t>
  </si>
  <si>
    <t>92234537533</t>
  </si>
  <si>
    <t>2026041511993681</t>
  </si>
  <si>
    <t>2026041514370781</t>
  </si>
  <si>
    <t>장유진</t>
  </si>
  <si>
    <t>dudu****</t>
  </si>
  <si>
    <t>92234538664</t>
  </si>
  <si>
    <t>2026041657077771</t>
  </si>
  <si>
    <t>2026041643996191</t>
  </si>
  <si>
    <t>92234538292</t>
  </si>
  <si>
    <t>2026041618250771</t>
  </si>
  <si>
    <t>2026041618300831</t>
  </si>
  <si>
    <t>안상미</t>
  </si>
  <si>
    <t>mono******</t>
  </si>
  <si>
    <t>92234537441</t>
  </si>
  <si>
    <t>2026041645113451</t>
  </si>
  <si>
    <t>2026041635948311</t>
  </si>
  <si>
    <t>최은유</t>
  </si>
  <si>
    <t>soon********</t>
  </si>
  <si>
    <t>최지애,김성종</t>
  </si>
  <si>
    <t>92234538115</t>
  </si>
  <si>
    <t>2026041590230661</t>
  </si>
  <si>
    <t>2026041596553641</t>
  </si>
  <si>
    <t>임하진</t>
  </si>
  <si>
    <t>haxj****</t>
  </si>
  <si>
    <t>92234537043</t>
  </si>
  <si>
    <t>2026041598712811</t>
  </si>
  <si>
    <t>2026041512293801</t>
  </si>
  <si>
    <t>심민주</t>
  </si>
  <si>
    <t>minj***</t>
  </si>
  <si>
    <t>92234536240</t>
  </si>
  <si>
    <t>2026041619766931</t>
  </si>
  <si>
    <t>2026041619354021</t>
  </si>
  <si>
    <t>조은혜</t>
  </si>
  <si>
    <t>baby*****</t>
  </si>
  <si>
    <t>92234537511</t>
  </si>
  <si>
    <t>2026041590375311</t>
  </si>
  <si>
    <t>92234537065</t>
  </si>
  <si>
    <t>2026041578690511</t>
  </si>
  <si>
    <t>2026041589072221</t>
  </si>
  <si>
    <t>고은별</t>
  </si>
  <si>
    <t>92234536575</t>
  </si>
  <si>
    <t>2026041514428281</t>
  </si>
  <si>
    <t>2026041515893101</t>
  </si>
  <si>
    <t>okp1***</t>
  </si>
  <si>
    <t>92234536413</t>
  </si>
  <si>
    <t>2026041512103401</t>
  </si>
  <si>
    <t>2026041514439421</t>
  </si>
  <si>
    <t>hani****</t>
  </si>
  <si>
    <t>92234536354</t>
  </si>
  <si>
    <t>2026041510111641</t>
  </si>
  <si>
    <t>2026041513190741</t>
  </si>
  <si>
    <t>choc****</t>
  </si>
  <si>
    <t>92234536273</t>
  </si>
  <si>
    <t>2026041822104981</t>
  </si>
  <si>
    <t>2026041881226791</t>
  </si>
  <si>
    <t>임영례</t>
  </si>
  <si>
    <t>jese****</t>
  </si>
  <si>
    <t>92234571925</t>
  </si>
  <si>
    <t>2026041790595571</t>
  </si>
  <si>
    <t>2026041766303631</t>
  </si>
  <si>
    <t>박재경</t>
  </si>
  <si>
    <t>miru****</t>
  </si>
  <si>
    <t>92234571575</t>
  </si>
  <si>
    <t>2026041620335711</t>
  </si>
  <si>
    <t>2026041619746111</t>
  </si>
  <si>
    <t>정영옥</t>
  </si>
  <si>
    <t>jeon**********</t>
  </si>
  <si>
    <t>92234538476</t>
  </si>
  <si>
    <t>2026041791166661</t>
  </si>
  <si>
    <t>2026041766681571</t>
  </si>
  <si>
    <t>jo****</t>
  </si>
  <si>
    <t>92234571586</t>
  </si>
  <si>
    <t>2026041619821241</t>
  </si>
  <si>
    <t>2026041619391591</t>
  </si>
  <si>
    <t>wg****</t>
  </si>
  <si>
    <t>92234538480</t>
  </si>
  <si>
    <t>2026041649777441</t>
  </si>
  <si>
    <t>2026041639166231</t>
  </si>
  <si>
    <t>신소나</t>
  </si>
  <si>
    <t>shin******</t>
  </si>
  <si>
    <t>소나</t>
  </si>
  <si>
    <t>92234538233</t>
  </si>
  <si>
    <t>2026041764348641</t>
  </si>
  <si>
    <t>2026041748782741</t>
  </si>
  <si>
    <t>92234559830</t>
  </si>
  <si>
    <t>2026041615446411</t>
  </si>
  <si>
    <t>2026041616535331</t>
  </si>
  <si>
    <t>92234537275</t>
  </si>
  <si>
    <t>2026041620830371</t>
  </si>
  <si>
    <t>2026041620084451</t>
  </si>
  <si>
    <t>park*****</t>
  </si>
  <si>
    <t>92234538465</t>
  </si>
  <si>
    <t>2026041594186061</t>
  </si>
  <si>
    <t>2026041599262581</t>
  </si>
  <si>
    <t>kkhr****</t>
  </si>
  <si>
    <t>92234537216</t>
  </si>
  <si>
    <t>2026041655998751</t>
  </si>
  <si>
    <t>92234538395</t>
  </si>
  <si>
    <t>2026041585254811</t>
  </si>
  <si>
    <t>2026041593256911</t>
  </si>
  <si>
    <t>김금정</t>
  </si>
  <si>
    <t>rm****</t>
  </si>
  <si>
    <t>92234536866</t>
  </si>
  <si>
    <t>2026041511312431</t>
  </si>
  <si>
    <t>92234536332</t>
  </si>
  <si>
    <t>2026041643435391</t>
  </si>
  <si>
    <t>2026041634810401</t>
  </si>
  <si>
    <t>연한국</t>
  </si>
  <si>
    <t>yhko****</t>
  </si>
  <si>
    <t>92234538071</t>
  </si>
  <si>
    <t>2026041596900491</t>
  </si>
  <si>
    <t>2026041511106871</t>
  </si>
  <si>
    <t>am****</t>
  </si>
  <si>
    <t>92234536144</t>
  </si>
  <si>
    <t>2026041614642741</t>
  </si>
  <si>
    <t>2026041616026891</t>
  </si>
  <si>
    <t>김주미</t>
  </si>
  <si>
    <t>ju****</t>
  </si>
  <si>
    <t>92234537242</t>
  </si>
  <si>
    <t>2026041579304331</t>
  </si>
  <si>
    <t>2026041589462991</t>
  </si>
  <si>
    <t>유소민</t>
  </si>
  <si>
    <t>som7******</t>
  </si>
  <si>
    <t>92234536612</t>
  </si>
  <si>
    <t>2026041580220601</t>
  </si>
  <si>
    <t>2026041590046711</t>
  </si>
  <si>
    <t>lss5***</t>
  </si>
  <si>
    <t>92234536623</t>
  </si>
  <si>
    <t>2026041579114581</t>
  </si>
  <si>
    <t>2026041589340841</t>
  </si>
  <si>
    <t>권문영</t>
  </si>
  <si>
    <t>ansd*****</t>
  </si>
  <si>
    <t>92234536590</t>
  </si>
  <si>
    <t>2026041595433581</t>
  </si>
  <si>
    <t>2026041510123891</t>
  </si>
  <si>
    <t>최소라</t>
  </si>
  <si>
    <t>sora***</t>
  </si>
  <si>
    <t>92234536100</t>
  </si>
  <si>
    <t>2026041511146861</t>
  </si>
  <si>
    <t>2026041513846521</t>
  </si>
  <si>
    <t>조이안</t>
  </si>
  <si>
    <t>jung******</t>
  </si>
  <si>
    <t>92234536310</t>
  </si>
  <si>
    <t>2026041817415931</t>
  </si>
  <si>
    <t>2026041877919891</t>
  </si>
  <si>
    <t>주민정</t>
  </si>
  <si>
    <t>wnal********</t>
  </si>
  <si>
    <t>92234571844</t>
  </si>
  <si>
    <t>2026041898224851</t>
  </si>
  <si>
    <t>2026041871423801</t>
  </si>
  <si>
    <t>정진아</t>
  </si>
  <si>
    <t>jina****</t>
  </si>
  <si>
    <t>92234571682</t>
  </si>
  <si>
    <t>2026041817608471</t>
  </si>
  <si>
    <t>2026041878055151</t>
  </si>
  <si>
    <t>이윤아</t>
  </si>
  <si>
    <t>yoon*****</t>
  </si>
  <si>
    <t>92234571855</t>
  </si>
  <si>
    <t>2026041776993601</t>
  </si>
  <si>
    <t>2026041757017081</t>
  </si>
  <si>
    <t>한고은</t>
  </si>
  <si>
    <t>gksr*******</t>
  </si>
  <si>
    <t>92234560283</t>
  </si>
  <si>
    <t>2026041776272551</t>
  </si>
  <si>
    <t>92234559944</t>
  </si>
  <si>
    <t>2026041763560861</t>
  </si>
  <si>
    <t>2026041748253851</t>
  </si>
  <si>
    <t>cksa*****</t>
  </si>
  <si>
    <t>92234559815</t>
  </si>
  <si>
    <t>2026041582989991</t>
  </si>
  <si>
    <t>2026041591803431</t>
  </si>
  <si>
    <t>김은아</t>
  </si>
  <si>
    <t>92234538594</t>
  </si>
  <si>
    <t>2026041596263971</t>
  </si>
  <si>
    <t>2026041510681971</t>
  </si>
  <si>
    <t>선승은</t>
  </si>
  <si>
    <t>sse6****</t>
  </si>
  <si>
    <t>92234538723</t>
  </si>
  <si>
    <t>2026041758064871</t>
  </si>
  <si>
    <t>2026041744619961</t>
  </si>
  <si>
    <t>sso_***</t>
  </si>
  <si>
    <t>92234538303</t>
  </si>
  <si>
    <t>2026041593783551</t>
  </si>
  <si>
    <t>2026041598989321</t>
  </si>
  <si>
    <t>김은화</t>
  </si>
  <si>
    <t>eunh*******</t>
  </si>
  <si>
    <t>92234537183</t>
  </si>
  <si>
    <t>2026041617187861</t>
  </si>
  <si>
    <t>2026041617600321</t>
  </si>
  <si>
    <t>김소이</t>
  </si>
  <si>
    <t>hst7***</t>
  </si>
  <si>
    <t>92234537393</t>
  </si>
  <si>
    <t>2026041590124041</t>
  </si>
  <si>
    <t>2026041596481911</t>
  </si>
  <si>
    <t>김소위</t>
  </si>
  <si>
    <t>kims*****</t>
  </si>
  <si>
    <t>92234537021</t>
  </si>
  <si>
    <t>2026041584849731</t>
  </si>
  <si>
    <t>2026041592993201</t>
  </si>
  <si>
    <t>최지연</t>
  </si>
  <si>
    <t>cg****</t>
  </si>
  <si>
    <t>92234536844</t>
  </si>
  <si>
    <t>2026041582805081</t>
  </si>
  <si>
    <t>2026041591685611</t>
  </si>
  <si>
    <t>92234536726</t>
  </si>
  <si>
    <t>2026041810295791</t>
  </si>
  <si>
    <t>2026041872887341</t>
  </si>
  <si>
    <t>정윤희</t>
  </si>
  <si>
    <t>baby*******</t>
  </si>
  <si>
    <t>92234571715</t>
  </si>
  <si>
    <t>2026041814193421</t>
  </si>
  <si>
    <t>2026041875622011</t>
  </si>
  <si>
    <t>신은지</t>
  </si>
  <si>
    <t>wow9***</t>
  </si>
  <si>
    <t>92234571973</t>
  </si>
  <si>
    <t>2026041781830961</t>
  </si>
  <si>
    <t>2026041760230021</t>
  </si>
  <si>
    <t>박애린</t>
  </si>
  <si>
    <t>92234560003</t>
  </si>
  <si>
    <t>2026041762277081</t>
  </si>
  <si>
    <t>2026041747361331</t>
  </si>
  <si>
    <t>최경선</t>
  </si>
  <si>
    <t>pald*****</t>
  </si>
  <si>
    <t>92234559760</t>
  </si>
  <si>
    <t>2026041763481961</t>
  </si>
  <si>
    <t>2026041748201201</t>
  </si>
  <si>
    <t>배소현</t>
  </si>
  <si>
    <t>sbae***</t>
  </si>
  <si>
    <t>92234559804</t>
  </si>
  <si>
    <t>2026041576395131</t>
  </si>
  <si>
    <t>2026041587568841</t>
  </si>
  <si>
    <t>junt******</t>
  </si>
  <si>
    <t>92234538620</t>
  </si>
  <si>
    <t>2026041584218811</t>
  </si>
  <si>
    <t>2026041592589961</t>
  </si>
  <si>
    <t>현미란</t>
  </si>
  <si>
    <t>une0***</t>
  </si>
  <si>
    <t>92234538572</t>
  </si>
  <si>
    <t>2026041631509261</t>
  </si>
  <si>
    <t>2026041627061941</t>
  </si>
  <si>
    <t>김현주</t>
  </si>
  <si>
    <t>92234537791</t>
  </si>
  <si>
    <t>2026041619649181</t>
  </si>
  <si>
    <t>2026041619273741</t>
  </si>
  <si>
    <t>주창숙</t>
  </si>
  <si>
    <t>morr*******</t>
  </si>
  <si>
    <t>92234537500</t>
  </si>
  <si>
    <t>2026041622660181</t>
  </si>
  <si>
    <t>2026041621299951</t>
  </si>
  <si>
    <t>stel******</t>
  </si>
  <si>
    <t>92234537614</t>
  </si>
  <si>
    <t>2026041615458991</t>
  </si>
  <si>
    <t>2026041616543031</t>
  </si>
  <si>
    <t>권자원</t>
  </si>
  <si>
    <t>kwon***</t>
  </si>
  <si>
    <t>92234537286</t>
  </si>
  <si>
    <t>2026041617042021</t>
  </si>
  <si>
    <t>2026041617512881</t>
  </si>
  <si>
    <t>최정희</t>
  </si>
  <si>
    <t>with********</t>
  </si>
  <si>
    <t>92234537360</t>
  </si>
  <si>
    <t>2026041587259141</t>
  </si>
  <si>
    <t>2026041594579261</t>
  </si>
  <si>
    <t>유제은</t>
  </si>
  <si>
    <t>jiji****</t>
  </si>
  <si>
    <t>92234536925</t>
  </si>
  <si>
    <t>2026041577216211</t>
  </si>
  <si>
    <t>2026041588113081</t>
  </si>
  <si>
    <t>이준서</t>
  </si>
  <si>
    <t>capt************</t>
  </si>
  <si>
    <t>92234536446</t>
  </si>
  <si>
    <t>2026041762985221</t>
  </si>
  <si>
    <t>2026041747859181</t>
  </si>
  <si>
    <t>지현정</t>
  </si>
  <si>
    <t>nma9***</t>
  </si>
  <si>
    <t>92234559782</t>
  </si>
  <si>
    <t>2026041624472771</t>
  </si>
  <si>
    <t>2026041622481041</t>
  </si>
  <si>
    <t>이유나</t>
  </si>
  <si>
    <t>qhco***</t>
  </si>
  <si>
    <t>92234538432</t>
  </si>
  <si>
    <t>2026041623137311</t>
  </si>
  <si>
    <t>2026041621608781</t>
  </si>
  <si>
    <t>김도하</t>
  </si>
  <si>
    <t>92234537636</t>
  </si>
  <si>
    <t>2026041617016941</t>
  </si>
  <si>
    <t>2026041617498421</t>
  </si>
  <si>
    <t>강지원</t>
  </si>
  <si>
    <t>rkdw*******</t>
  </si>
  <si>
    <t>92234537356</t>
  </si>
  <si>
    <t>2026041589896221</t>
  </si>
  <si>
    <t>2026041596330141</t>
  </si>
  <si>
    <t>박민주</t>
  </si>
  <si>
    <t>mjoo***</t>
  </si>
  <si>
    <t>92234536995</t>
  </si>
  <si>
    <t>2026041596931371</t>
  </si>
  <si>
    <t>2026041511127141</t>
  </si>
  <si>
    <t>김현숙</t>
  </si>
  <si>
    <t>clai*********</t>
  </si>
  <si>
    <t>92234536166</t>
  </si>
  <si>
    <t>2026041595319421</t>
  </si>
  <si>
    <t>2026041510045871</t>
  </si>
  <si>
    <t>dltm***</t>
  </si>
  <si>
    <t>92234536096</t>
  </si>
  <si>
    <t>2026041511266531</t>
  </si>
  <si>
    <t>2026041513922691</t>
  </si>
  <si>
    <t>신유정</t>
  </si>
  <si>
    <t>ehor*****</t>
  </si>
  <si>
    <t>92234536321</t>
  </si>
  <si>
    <t>2026041511667861</t>
  </si>
  <si>
    <t>92234536343</t>
  </si>
  <si>
    <t>2026041816211871</t>
  </si>
  <si>
    <t>2026041877061221</t>
  </si>
  <si>
    <t>조예현</t>
  </si>
  <si>
    <t>mell*********</t>
  </si>
  <si>
    <t>92234571822</t>
  </si>
  <si>
    <t>2026041758690091</t>
  </si>
  <si>
    <t>2026041745012431</t>
  </si>
  <si>
    <t>임선희</t>
  </si>
  <si>
    <t>onet******</t>
  </si>
  <si>
    <t>92234560353</t>
  </si>
  <si>
    <t>2026041768288831</t>
  </si>
  <si>
    <t>2026041751341751</t>
  </si>
  <si>
    <t>godd******</t>
  </si>
  <si>
    <t>92234560294</t>
  </si>
  <si>
    <t>2026041761514751</t>
  </si>
  <si>
    <t>2026041746828341</t>
  </si>
  <si>
    <t>정재영</t>
  </si>
  <si>
    <t>insu****</t>
  </si>
  <si>
    <t>92234559745</t>
  </si>
  <si>
    <t>2026041759670791</t>
  </si>
  <si>
    <t>2026041745621291</t>
  </si>
  <si>
    <t>엄다현</t>
  </si>
  <si>
    <t>djae******</t>
  </si>
  <si>
    <t>92234559664</t>
  </si>
  <si>
    <t>2026041758185721</t>
  </si>
  <si>
    <t>2026041744695101</t>
  </si>
  <si>
    <t>jpar****</t>
  </si>
  <si>
    <t>92234538314</t>
  </si>
  <si>
    <t>2026041624614221</t>
  </si>
  <si>
    <t>2026041622571521</t>
  </si>
  <si>
    <t>류경화</t>
  </si>
  <si>
    <t>zhtn******</t>
  </si>
  <si>
    <t>92234537673</t>
  </si>
  <si>
    <t>2026041622568411</t>
  </si>
  <si>
    <t>2026041621239491</t>
  </si>
  <si>
    <t>twin******</t>
  </si>
  <si>
    <t>92234537603</t>
  </si>
  <si>
    <t>2026041618800291</t>
  </si>
  <si>
    <t>2026041618683761</t>
  </si>
  <si>
    <t>이상희</t>
  </si>
  <si>
    <t>sang*******</t>
  </si>
  <si>
    <t>92234537485</t>
  </si>
  <si>
    <t>2026041592428631</t>
  </si>
  <si>
    <t>2026041598056811</t>
  </si>
  <si>
    <t>정지원</t>
  </si>
  <si>
    <t>73****</t>
  </si>
  <si>
    <t>루키파티</t>
  </si>
  <si>
    <t>92234537135</t>
  </si>
  <si>
    <t>2026041593330771</t>
  </si>
  <si>
    <t>2026041598680591</t>
  </si>
  <si>
    <t>홍혜미</t>
  </si>
  <si>
    <t>ig****</t>
  </si>
  <si>
    <t>92234537172</t>
  </si>
  <si>
    <t>2026041592405221</t>
  </si>
  <si>
    <t>2026041598040691</t>
  </si>
  <si>
    <t>yogk***</t>
  </si>
  <si>
    <t>92234537124</t>
  </si>
  <si>
    <t>2026041590391341</t>
  </si>
  <si>
    <t>2026041596661681</t>
  </si>
  <si>
    <t>최영미</t>
  </si>
  <si>
    <t>happ*****</t>
  </si>
  <si>
    <t>92234537076</t>
  </si>
  <si>
    <t>2026041586157061</t>
  </si>
  <si>
    <t>2026041593844901</t>
  </si>
  <si>
    <t>김도운</t>
  </si>
  <si>
    <t>ss11****</t>
  </si>
  <si>
    <t>92234536903</t>
  </si>
  <si>
    <t>2026041583290551</t>
  </si>
  <si>
    <t>2026041591992381</t>
  </si>
  <si>
    <t>h2****</t>
  </si>
  <si>
    <t>92234536752</t>
  </si>
  <si>
    <t>2026041580563541</t>
  </si>
  <si>
    <t>2026041590261901</t>
  </si>
  <si>
    <t>장현아</t>
  </si>
  <si>
    <t>hyoe*****</t>
  </si>
  <si>
    <t>펭고</t>
  </si>
  <si>
    <t>92234536645</t>
  </si>
  <si>
    <t>2026041816309111</t>
  </si>
  <si>
    <t>2026041877129131</t>
  </si>
  <si>
    <t>송민영</t>
  </si>
  <si>
    <t>moon*****</t>
  </si>
  <si>
    <t>92234571833</t>
  </si>
  <si>
    <t>2026041577221351</t>
  </si>
  <si>
    <t>2026041588116541</t>
  </si>
  <si>
    <t>박휘용</t>
  </si>
  <si>
    <t>sumi*******</t>
  </si>
  <si>
    <t>92234536450</t>
  </si>
  <si>
    <t>2026041780855341</t>
  </si>
  <si>
    <t>2026041759555711</t>
  </si>
  <si>
    <t>jiye***</t>
  </si>
  <si>
    <t>92234559981</t>
  </si>
  <si>
    <t>2026041587031441</t>
  </si>
  <si>
    <t>2026041594427741</t>
  </si>
  <si>
    <t>hn****</t>
  </si>
  <si>
    <t>92234538550</t>
  </si>
  <si>
    <t>2026041597888801</t>
  </si>
  <si>
    <t>2026041511756911</t>
  </si>
  <si>
    <t>민서영</t>
  </si>
  <si>
    <t>mbr6***</t>
  </si>
  <si>
    <t>92234536214</t>
  </si>
  <si>
    <t>2026041647256431</t>
  </si>
  <si>
    <t>2026041637430431</t>
  </si>
  <si>
    <t>wjda*****</t>
  </si>
  <si>
    <t>92234538185</t>
  </si>
  <si>
    <t>2026041646994811</t>
  </si>
  <si>
    <t>2026041637249961</t>
  </si>
  <si>
    <t>김서우</t>
  </si>
  <si>
    <t>seow****</t>
  </si>
  <si>
    <t>92234538174</t>
  </si>
  <si>
    <t>2026041642467811</t>
  </si>
  <si>
    <t>2026041634163761</t>
  </si>
  <si>
    <t>홍희수</t>
  </si>
  <si>
    <t>your*****</t>
  </si>
  <si>
    <t>92234538056</t>
  </si>
  <si>
    <t>2026041623672111</t>
  </si>
  <si>
    <t>2026041621953731</t>
  </si>
  <si>
    <t>최나운</t>
  </si>
  <si>
    <t>choi******</t>
  </si>
  <si>
    <t>92234537662</t>
  </si>
  <si>
    <t>2026041624829181</t>
  </si>
  <si>
    <t>2026041622708361</t>
  </si>
  <si>
    <t>sseu****</t>
  </si>
  <si>
    <t>슬기박</t>
  </si>
  <si>
    <t>92234537695</t>
  </si>
  <si>
    <t>2026041616809471</t>
  </si>
  <si>
    <t>2026041617373231</t>
  </si>
  <si>
    <t>한순연</t>
  </si>
  <si>
    <t>hsy4***</t>
  </si>
  <si>
    <t>92234537345</t>
  </si>
  <si>
    <t>2026041587580151</t>
  </si>
  <si>
    <t>2026041594794031</t>
  </si>
  <si>
    <t>최지호</t>
  </si>
  <si>
    <t>radi*****</t>
  </si>
  <si>
    <t>92234536936</t>
  </si>
  <si>
    <t>2026041581217581</t>
  </si>
  <si>
    <t>2026041590677841</t>
  </si>
  <si>
    <t>허진희</t>
  </si>
  <si>
    <t>ahrx*****</t>
  </si>
  <si>
    <t>92234536671</t>
  </si>
  <si>
    <t>2026041577899311</t>
  </si>
  <si>
    <t>2026041588557131</t>
  </si>
  <si>
    <t>안보라</t>
  </si>
  <si>
    <t>polo****</t>
  </si>
  <si>
    <t>92234536516</t>
  </si>
  <si>
    <t>2026041578559851</t>
  </si>
  <si>
    <t>2026041588987591</t>
  </si>
  <si>
    <t>전오구</t>
  </si>
  <si>
    <t>9525******</t>
  </si>
  <si>
    <t>전이솔</t>
  </si>
  <si>
    <t>92234536564</t>
  </si>
  <si>
    <t>2026041510496081</t>
  </si>
  <si>
    <t>2026041513436091</t>
  </si>
  <si>
    <t>박호영</t>
  </si>
  <si>
    <t>hodo******</t>
  </si>
  <si>
    <t>92234536284</t>
  </si>
  <si>
    <t>2026041815386781</t>
  </si>
  <si>
    <t>2026041876472241</t>
  </si>
  <si>
    <t>lh****</t>
  </si>
  <si>
    <t>92234571796</t>
  </si>
  <si>
    <t>2026041783703761</t>
  </si>
  <si>
    <t>2026041761526291</t>
  </si>
  <si>
    <t>정신영</t>
  </si>
  <si>
    <t>alpj***</t>
  </si>
  <si>
    <t>92234560051</t>
  </si>
  <si>
    <t>2026041514187811</t>
  </si>
  <si>
    <t>2026041515745921</t>
  </si>
  <si>
    <t>박정주</t>
  </si>
  <si>
    <t>hair****</t>
  </si>
  <si>
    <t>92234538653</t>
  </si>
  <si>
    <t>2026041511634691</t>
  </si>
  <si>
    <t>2026041514151961</t>
  </si>
  <si>
    <t>남으뜸</t>
  </si>
  <si>
    <t>eutt*******</t>
  </si>
  <si>
    <t>92234538675</t>
  </si>
  <si>
    <t>2026041758422571</t>
  </si>
  <si>
    <t>2026041744842301</t>
  </si>
  <si>
    <t>김조안</t>
  </si>
  <si>
    <t>pofp*****</t>
  </si>
  <si>
    <t>92234559605</t>
  </si>
  <si>
    <t>2026041638802701</t>
  </si>
  <si>
    <t>2026041631747421</t>
  </si>
  <si>
    <t>32****</t>
  </si>
  <si>
    <t>최은영</t>
  </si>
  <si>
    <t>92234537986</t>
  </si>
  <si>
    <t>2026041634067191</t>
  </si>
  <si>
    <t>2026041628723901</t>
  </si>
  <si>
    <t>임관희</t>
  </si>
  <si>
    <t>limk**********</t>
  </si>
  <si>
    <t>92234537883</t>
  </si>
  <si>
    <t>2026041621535961</t>
  </si>
  <si>
    <t>2026041620558701</t>
  </si>
  <si>
    <t>박미순</t>
  </si>
  <si>
    <t>pms9***</t>
  </si>
  <si>
    <t>92234537581</t>
  </si>
  <si>
    <t>2026041624675761</t>
  </si>
  <si>
    <t>2026041622609941</t>
  </si>
  <si>
    <t>서미경</t>
  </si>
  <si>
    <t>smkw****</t>
  </si>
  <si>
    <t>92234537684</t>
  </si>
  <si>
    <t>2026041577861451</t>
  </si>
  <si>
    <t>2026041588531581</t>
  </si>
  <si>
    <t>alla****</t>
  </si>
  <si>
    <t>92234536505</t>
  </si>
  <si>
    <t>2026041578139731</t>
  </si>
  <si>
    <t>2026041588715021</t>
  </si>
  <si>
    <t>손보경</t>
  </si>
  <si>
    <t>yt****</t>
  </si>
  <si>
    <t>92234536531</t>
  </si>
  <si>
    <t>2026041510690481</t>
  </si>
  <si>
    <t>2026041513557061</t>
  </si>
  <si>
    <t>hana****</t>
  </si>
  <si>
    <t>92234536295</t>
  </si>
  <si>
    <t>2026041766853791</t>
  </si>
  <si>
    <t>92234559874</t>
  </si>
  <si>
    <t>2026042283347781</t>
  </si>
  <si>
    <t>2026042291686581</t>
  </si>
  <si>
    <t>가나혜</t>
  </si>
  <si>
    <t>sh90****</t>
  </si>
  <si>
    <t>92234604674</t>
  </si>
  <si>
    <t>2026041621295821</t>
  </si>
  <si>
    <t>92234537566</t>
  </si>
  <si>
    <t>2026042850960431</t>
  </si>
  <si>
    <t>2026042870162341</t>
  </si>
  <si>
    <t>sun8***</t>
  </si>
  <si>
    <t>92234718962</t>
  </si>
  <si>
    <t>2026041637566851</t>
  </si>
  <si>
    <t>2026041630954521</t>
  </si>
  <si>
    <t>박나윤</t>
  </si>
  <si>
    <t>lanv*****</t>
  </si>
  <si>
    <t>92234537975</t>
  </si>
  <si>
    <t>2026041938962911</t>
  </si>
  <si>
    <t>2026041992517071</t>
  </si>
  <si>
    <t>박보경</t>
  </si>
  <si>
    <t>cjg0****</t>
  </si>
  <si>
    <t>김상기</t>
  </si>
  <si>
    <t>92234606004</t>
  </si>
  <si>
    <t>2026041963410841</t>
  </si>
  <si>
    <t>2026041919034281</t>
  </si>
  <si>
    <t>전혜영</t>
  </si>
  <si>
    <t>mim4***</t>
  </si>
  <si>
    <t>92234603462</t>
  </si>
  <si>
    <t>2026041584736821</t>
  </si>
  <si>
    <t>2026041592919811</t>
  </si>
  <si>
    <t>dlgk******</t>
  </si>
  <si>
    <t>92234536833</t>
  </si>
  <si>
    <t>2026041830114151</t>
  </si>
  <si>
    <t>2026041886707201</t>
  </si>
  <si>
    <t>김윤하</t>
  </si>
  <si>
    <t>jayo******</t>
  </si>
  <si>
    <t>92234717713</t>
  </si>
  <si>
    <t>2026050673800041</t>
  </si>
  <si>
    <t>2026050686715831</t>
  </si>
  <si>
    <t>ZHANG RONGHUA</t>
  </si>
  <si>
    <t>yeli****</t>
  </si>
  <si>
    <t>92234762664</t>
  </si>
  <si>
    <t>2026041583525471</t>
  </si>
  <si>
    <t>2026041592142211</t>
  </si>
  <si>
    <t>배초은</t>
  </si>
  <si>
    <t>chdm***</t>
  </si>
  <si>
    <t>92234536763</t>
  </si>
  <si>
    <t>2026050621564001</t>
  </si>
  <si>
    <t>2026050621802261</t>
  </si>
  <si>
    <t>임효주</t>
  </si>
  <si>
    <t>92234805762</t>
  </si>
  <si>
    <t>2026050228081651</t>
  </si>
  <si>
    <t>2026050285727601</t>
  </si>
  <si>
    <t>92234719415</t>
  </si>
  <si>
    <t>2026050185050441</t>
  </si>
  <si>
    <t>2026050163075341</t>
  </si>
  <si>
    <t>오영민</t>
  </si>
  <si>
    <t>92234719253</t>
  </si>
  <si>
    <t>2026050217060681</t>
  </si>
  <si>
    <t>2026050278145981</t>
  </si>
  <si>
    <t>박희윤</t>
  </si>
  <si>
    <t>baqu*****</t>
  </si>
  <si>
    <t>92234719323</t>
  </si>
  <si>
    <t>2026042071219921</t>
  </si>
  <si>
    <t>2026042023829371</t>
  </si>
  <si>
    <t>심경숙</t>
  </si>
  <si>
    <t>1emd******</t>
  </si>
  <si>
    <t>92234603882</t>
  </si>
  <si>
    <t>2026042127393931</t>
  </si>
  <si>
    <t>2026042154429851</t>
  </si>
  <si>
    <t>김아라매</t>
  </si>
  <si>
    <t>92234604232</t>
  </si>
  <si>
    <t>2026050737207801</t>
  </si>
  <si>
    <t>2026050732008261</t>
  </si>
  <si>
    <t>홍정화</t>
  </si>
  <si>
    <t>hy****</t>
  </si>
  <si>
    <t>92234805876</t>
  </si>
  <si>
    <t>2026041827781671</t>
  </si>
  <si>
    <t>2026041885192031</t>
  </si>
  <si>
    <t>이서안</t>
  </si>
  <si>
    <t>dlwj*******</t>
  </si>
  <si>
    <t>92234603182</t>
  </si>
  <si>
    <t>2026050747630641</t>
  </si>
  <si>
    <t>2026050739030031</t>
  </si>
  <si>
    <t>최설헌</t>
  </si>
  <si>
    <t>0311********</t>
  </si>
  <si>
    <t>92234826434</t>
  </si>
  <si>
    <t>2026050241417221</t>
  </si>
  <si>
    <t>2026050295122551</t>
  </si>
  <si>
    <t>이나겸</t>
  </si>
  <si>
    <t>lave******</t>
  </si>
  <si>
    <t>92234719463</t>
  </si>
  <si>
    <t>2026050175008901</t>
  </si>
  <si>
    <t>2026050156292061</t>
  </si>
  <si>
    <t>jude****</t>
  </si>
  <si>
    <t>92234719220</t>
  </si>
  <si>
    <t>2026050678073051</t>
  </si>
  <si>
    <t>2026050689501301</t>
  </si>
  <si>
    <t>ssu1***</t>
  </si>
  <si>
    <t>92234762712</t>
  </si>
  <si>
    <t>2026050536754551</t>
  </si>
  <si>
    <t>2026050561554931</t>
  </si>
  <si>
    <t>박혜수</t>
  </si>
  <si>
    <t>one0***</t>
  </si>
  <si>
    <t>92234762454</t>
  </si>
  <si>
    <t>2026041937440101</t>
  </si>
  <si>
    <t>2026041991467351</t>
  </si>
  <si>
    <t>박신영</t>
  </si>
  <si>
    <t>tlsd******</t>
  </si>
  <si>
    <t>92234603646</t>
  </si>
  <si>
    <t>2026042656342681</t>
  </si>
  <si>
    <t>2026042614840651</t>
  </si>
  <si>
    <t>이인실</t>
  </si>
  <si>
    <t>risi*******</t>
  </si>
  <si>
    <t>92234605260</t>
  </si>
  <si>
    <t>2026042725894441</t>
  </si>
  <si>
    <t>2026042753929661</t>
  </si>
  <si>
    <t>njik*****</t>
  </si>
  <si>
    <t>여름</t>
  </si>
  <si>
    <t>92234718881</t>
  </si>
  <si>
    <t>2026041582965861</t>
  </si>
  <si>
    <t>2026041591787131</t>
  </si>
  <si>
    <t>sye2***</t>
  </si>
  <si>
    <t>92234536730</t>
  </si>
  <si>
    <t>2026050539263391</t>
  </si>
  <si>
    <t>2026050563298111</t>
  </si>
  <si>
    <t>천혜련</t>
  </si>
  <si>
    <t>hr80****</t>
  </si>
  <si>
    <t>92234762476</t>
  </si>
  <si>
    <t>2026041622168221</t>
  </si>
  <si>
    <t>2026041620978611</t>
  </si>
  <si>
    <t>이유현</t>
  </si>
  <si>
    <t>92234537592</t>
  </si>
  <si>
    <t>2026050685650911</t>
  </si>
  <si>
    <t>2026050694578071</t>
  </si>
  <si>
    <t>mins******</t>
  </si>
  <si>
    <t>92234777714</t>
  </si>
  <si>
    <t>2026050223403911</t>
  </si>
  <si>
    <t>2026050282415491</t>
  </si>
  <si>
    <t>한민정</t>
  </si>
  <si>
    <t>92234719404</t>
  </si>
  <si>
    <t>2026050613246851</t>
  </si>
  <si>
    <t>2026050616118221</t>
  </si>
  <si>
    <t>남광현</t>
  </si>
  <si>
    <t>nop3******</t>
  </si>
  <si>
    <t>92234793803</t>
  </si>
  <si>
    <t>2026041959358971</t>
  </si>
  <si>
    <t>2026041916444631</t>
  </si>
  <si>
    <t>하종오</t>
  </si>
  <si>
    <t>dnse******</t>
  </si>
  <si>
    <t>92234603403</t>
  </si>
  <si>
    <t>2026050420921491</t>
  </si>
  <si>
    <t>2026050451123551</t>
  </si>
  <si>
    <t>손지현</t>
  </si>
  <si>
    <t>wlgu***</t>
  </si>
  <si>
    <t>92234762384</t>
  </si>
  <si>
    <t>2026050350461781</t>
  </si>
  <si>
    <t>2026050310992751</t>
  </si>
  <si>
    <t>양희자</t>
  </si>
  <si>
    <t>asml****</t>
  </si>
  <si>
    <t>92234719500</t>
  </si>
  <si>
    <t>2026041956336791</t>
  </si>
  <si>
    <t>2026041914429621</t>
  </si>
  <si>
    <t>정영미</t>
  </si>
  <si>
    <t>jack*****</t>
  </si>
  <si>
    <t>정영미 선생님</t>
  </si>
  <si>
    <t>92234571936</t>
  </si>
  <si>
    <t>2026041941995081</t>
  </si>
  <si>
    <t>92234560202</t>
  </si>
  <si>
    <t>2026041966113291</t>
  </si>
  <si>
    <t>2026041920683761</t>
  </si>
  <si>
    <t>신화연</t>
  </si>
  <si>
    <t>hysc*****</t>
  </si>
  <si>
    <t>92234560180</t>
  </si>
  <si>
    <t>컬러 (2주 후부터 순차배송): 블루 세트</t>
  </si>
  <si>
    <t>2026041965200261</t>
  </si>
  <si>
    <t>2026041920131571</t>
  </si>
  <si>
    <t>구하경</t>
  </si>
  <si>
    <t>guha********</t>
  </si>
  <si>
    <t>92234560176</t>
  </si>
  <si>
    <t>컬러 (2주 후부터 순차배송): 오렌지 세트</t>
  </si>
  <si>
    <t>2026041758121781</t>
  </si>
  <si>
    <t>2026041744656251</t>
  </si>
  <si>
    <t>한진영</t>
  </si>
  <si>
    <t>rive*****</t>
  </si>
  <si>
    <t>92234553036</t>
  </si>
  <si>
    <t>2026041966332991</t>
  </si>
  <si>
    <t>2026041920818981</t>
  </si>
  <si>
    <t>손예림</t>
  </si>
  <si>
    <t>mick****</t>
  </si>
  <si>
    <t>92234553084</t>
  </si>
  <si>
    <t>2026050217999301</t>
  </si>
  <si>
    <t>2026050278754071</t>
  </si>
  <si>
    <t>이다혜</t>
  </si>
  <si>
    <t>flek****</t>
  </si>
  <si>
    <t>92234719850</t>
  </si>
  <si>
    <t>2026041959831741</t>
  </si>
  <si>
    <t>92234560110</t>
  </si>
  <si>
    <t>2026041831182371</t>
  </si>
  <si>
    <t>2026041887370551</t>
  </si>
  <si>
    <t>허담</t>
  </si>
  <si>
    <t>dam3***</t>
  </si>
  <si>
    <t>허샘</t>
  </si>
  <si>
    <t>92234560154</t>
  </si>
  <si>
    <t>2026041823589441</t>
  </si>
  <si>
    <t>2026041882274191</t>
  </si>
  <si>
    <t>meey***</t>
  </si>
  <si>
    <t>92234560143</t>
  </si>
  <si>
    <t>2026041965636601</t>
  </si>
  <si>
    <t>2026041920395061</t>
  </si>
  <si>
    <t>91****</t>
  </si>
  <si>
    <t>92234553073</t>
  </si>
  <si>
    <t>컬러 (2주 후부터 순차배송): 카키 세트</t>
  </si>
  <si>
    <t>2026041825174721</t>
  </si>
  <si>
    <t>2026041883394831</t>
  </si>
  <si>
    <t>정민재</t>
  </si>
  <si>
    <t>jeon*****</t>
  </si>
  <si>
    <t>92234553051</t>
  </si>
  <si>
    <t>2026042475180841</t>
  </si>
  <si>
    <t>2026042456060281</t>
  </si>
  <si>
    <t>한우석</t>
  </si>
  <si>
    <t>wood****</t>
  </si>
  <si>
    <t>92234604921</t>
  </si>
  <si>
    <t>2026043059453261</t>
  </si>
  <si>
    <t>2026043045918791</t>
  </si>
  <si>
    <t>안진숙</t>
  </si>
  <si>
    <t>92234719150</t>
  </si>
  <si>
    <t>2026041560270151</t>
  </si>
  <si>
    <t>2026041576895551</t>
  </si>
  <si>
    <t>김애진</t>
  </si>
  <si>
    <t>to****</t>
  </si>
  <si>
    <t>92234493886</t>
  </si>
  <si>
    <t>2026050348978281</t>
  </si>
  <si>
    <t>2026050310020241</t>
  </si>
  <si>
    <t>정해림</t>
  </si>
  <si>
    <t>92234719485</t>
  </si>
  <si>
    <t>2026041615954711</t>
  </si>
  <si>
    <t>2026041616853001</t>
  </si>
  <si>
    <t>양혜지</t>
  </si>
  <si>
    <t>spdl********</t>
  </si>
  <si>
    <t>92234537290</t>
  </si>
  <si>
    <t>2026050246116551</t>
  </si>
  <si>
    <t>2026050298146421</t>
  </si>
  <si>
    <t>이태리</t>
  </si>
  <si>
    <t>beom***</t>
  </si>
  <si>
    <t>92234719474</t>
  </si>
  <si>
    <t>2026041766508901</t>
  </si>
  <si>
    <t>2026041750197381</t>
  </si>
  <si>
    <t>장세은</t>
  </si>
  <si>
    <t>se****</t>
  </si>
  <si>
    <t>92234560305</t>
  </si>
  <si>
    <t>2026050375568821</t>
  </si>
  <si>
    <t>2026050328055941</t>
  </si>
  <si>
    <t>leea****</t>
  </si>
  <si>
    <t>92234719651</t>
  </si>
  <si>
    <t>2026050354020451</t>
  </si>
  <si>
    <t>2026050313433561</t>
  </si>
  <si>
    <t>dkdl*****</t>
  </si>
  <si>
    <t>92234719555</t>
  </si>
  <si>
    <t>2026050571578231</t>
  </si>
  <si>
    <t>2026050585311521</t>
  </si>
  <si>
    <t>고수민</t>
  </si>
  <si>
    <t>hoso*****</t>
  </si>
  <si>
    <t>92234762970</t>
  </si>
  <si>
    <t>2026050675524791</t>
  </si>
  <si>
    <t>2026050687789581</t>
  </si>
  <si>
    <t>강유주</t>
  </si>
  <si>
    <t>jyne***</t>
  </si>
  <si>
    <t>92234762686</t>
  </si>
  <si>
    <t>2026050693681701</t>
  </si>
  <si>
    <t>2026050699840481</t>
  </si>
  <si>
    <t>성수인</t>
  </si>
  <si>
    <t>nius****</t>
  </si>
  <si>
    <t>92234777740</t>
  </si>
  <si>
    <t>2026041618674021</t>
  </si>
  <si>
    <t>2026041618595921</t>
  </si>
  <si>
    <t>유승호</t>
  </si>
  <si>
    <t>sean******</t>
  </si>
  <si>
    <t>92234537474</t>
  </si>
  <si>
    <t>2026050410262211</t>
  </si>
  <si>
    <t>2026050444024481</t>
  </si>
  <si>
    <t>김문선</t>
  </si>
  <si>
    <t>rose*****</t>
  </si>
  <si>
    <t>92234719802</t>
  </si>
  <si>
    <t>2026042722686471</t>
  </si>
  <si>
    <t>2026042751792301</t>
  </si>
  <si>
    <t>정은주</t>
  </si>
  <si>
    <t>silv******</t>
  </si>
  <si>
    <t>92234718866</t>
  </si>
  <si>
    <t>2026041626000201</t>
  </si>
  <si>
    <t>2026041623449941</t>
  </si>
  <si>
    <t>chai****</t>
  </si>
  <si>
    <t>92234537721</t>
  </si>
  <si>
    <t>2026050543262741</t>
  </si>
  <si>
    <t>2026050566061341</t>
  </si>
  <si>
    <t>92234762480</t>
  </si>
  <si>
    <t>2026042715799291</t>
  </si>
  <si>
    <t>2026042747301001</t>
  </si>
  <si>
    <t>정수미</t>
  </si>
  <si>
    <t>ilsa*****</t>
  </si>
  <si>
    <t>92234718822</t>
  </si>
  <si>
    <t>2026041585604691</t>
  </si>
  <si>
    <t>2026041593482951</t>
  </si>
  <si>
    <t>rnfn***</t>
  </si>
  <si>
    <t>박마음</t>
  </si>
  <si>
    <t>92234536870</t>
  </si>
  <si>
    <t>2026042517392821</t>
  </si>
  <si>
    <t>2026042577796021</t>
  </si>
  <si>
    <t>김윤이</t>
  </si>
  <si>
    <t>kd****</t>
  </si>
  <si>
    <t>92234605783</t>
  </si>
  <si>
    <t>2026042989543621</t>
  </si>
  <si>
    <t>2026042995554811</t>
  </si>
  <si>
    <t>styl*****</t>
  </si>
  <si>
    <t>92234719054</t>
  </si>
  <si>
    <t>2026041632298371</t>
  </si>
  <si>
    <t>2026041627578151</t>
  </si>
  <si>
    <t>윤보라</t>
  </si>
  <si>
    <t>92234537835</t>
  </si>
  <si>
    <t>2026041777632641</t>
  </si>
  <si>
    <t>2026041757426571</t>
  </si>
  <si>
    <t>92234762303</t>
  </si>
  <si>
    <t>2026041777632631</t>
  </si>
  <si>
    <t>2026041937628291</t>
  </si>
  <si>
    <t>2026041991597251</t>
  </si>
  <si>
    <t>전효윤</t>
  </si>
  <si>
    <t>kiki******</t>
  </si>
  <si>
    <t>김주연</t>
  </si>
  <si>
    <t>92234603650</t>
  </si>
  <si>
    <t>2026041954370741</t>
  </si>
  <si>
    <t>2026041913088421</t>
  </si>
  <si>
    <t>유나경</t>
  </si>
  <si>
    <t>u_****</t>
  </si>
  <si>
    <t>유원정</t>
  </si>
  <si>
    <t>92234603333</t>
  </si>
  <si>
    <t>2026050555133671</t>
  </si>
  <si>
    <t>2026050574308791</t>
  </si>
  <si>
    <t>황재복</t>
  </si>
  <si>
    <t>st37***</t>
  </si>
  <si>
    <t>92234762546</t>
  </si>
  <si>
    <t>2026041824570661</t>
  </si>
  <si>
    <t>2026041882970301</t>
  </si>
  <si>
    <t>kell*****</t>
  </si>
  <si>
    <t>이나니</t>
  </si>
  <si>
    <t>92234603112</t>
  </si>
  <si>
    <t>2026050536633901</t>
  </si>
  <si>
    <t>2026050561476091</t>
  </si>
  <si>
    <t>김희정</t>
  </si>
  <si>
    <t>huij****</t>
  </si>
  <si>
    <t>92234762443</t>
  </si>
  <si>
    <t>2026042661415111</t>
  </si>
  <si>
    <t>2026042618308671</t>
  </si>
  <si>
    <t>박조안</t>
  </si>
  <si>
    <t>92234605282</t>
  </si>
  <si>
    <t>2026042469281221</t>
  </si>
  <si>
    <t>2026042452083371</t>
  </si>
  <si>
    <t>현현정</t>
  </si>
  <si>
    <t>doub******</t>
  </si>
  <si>
    <t>92234604895</t>
  </si>
  <si>
    <t>2026041956271891</t>
  </si>
  <si>
    <t>2026041914385291</t>
  </si>
  <si>
    <t>조연지</t>
  </si>
  <si>
    <t>dusw*****</t>
  </si>
  <si>
    <t>조정림</t>
  </si>
  <si>
    <t>92234603366</t>
  </si>
  <si>
    <t>2026042296594591</t>
  </si>
  <si>
    <t>2026042210395981</t>
  </si>
  <si>
    <t>권지언</t>
  </si>
  <si>
    <t>wldj*****</t>
  </si>
  <si>
    <t>92234604545</t>
  </si>
  <si>
    <t>2026041617355081</t>
  </si>
  <si>
    <t>2026041617704881</t>
  </si>
  <si>
    <t>천혜원</t>
  </si>
  <si>
    <t>wo****</t>
  </si>
  <si>
    <t>92234537415</t>
  </si>
  <si>
    <t>2026041949967711</t>
  </si>
  <si>
    <t>2026041910077081</t>
  </si>
  <si>
    <t>배혜영</t>
  </si>
  <si>
    <t>92234603252</t>
  </si>
  <si>
    <t>2026042078806701</t>
  </si>
  <si>
    <t>2026042028921091</t>
  </si>
  <si>
    <t>윤나경</t>
  </si>
  <si>
    <t>naku***</t>
  </si>
  <si>
    <t>92234603952</t>
  </si>
  <si>
    <t>2026042147016281</t>
  </si>
  <si>
    <t>2026042167433811</t>
  </si>
  <si>
    <t>차민</t>
  </si>
  <si>
    <t>m1****</t>
  </si>
  <si>
    <t>92234604383</t>
  </si>
  <si>
    <t>2026042076082041</t>
  </si>
  <si>
    <t>2026042027137771</t>
  </si>
  <si>
    <t>ssem****</t>
  </si>
  <si>
    <t>92234605956</t>
  </si>
  <si>
    <t>2026041584599201</t>
  </si>
  <si>
    <t>2026041592831781</t>
  </si>
  <si>
    <t>박해인</t>
  </si>
  <si>
    <t>yebb***</t>
  </si>
  <si>
    <t>92234536822</t>
  </si>
  <si>
    <t>2026041645509511</t>
  </si>
  <si>
    <t>2026041636221441</t>
  </si>
  <si>
    <t>조윤정</t>
  </si>
  <si>
    <t>dkfh***</t>
  </si>
  <si>
    <t>92234538130</t>
  </si>
  <si>
    <t>2026042096143091</t>
  </si>
  <si>
    <t>2026042040303011</t>
  </si>
  <si>
    <t>강양희</t>
  </si>
  <si>
    <t>yh****</t>
  </si>
  <si>
    <t>92234604066</t>
  </si>
  <si>
    <t>2026042070469251</t>
  </si>
  <si>
    <t>2026042023375091</t>
  </si>
  <si>
    <t>mjk6***</t>
  </si>
  <si>
    <t>92234603860</t>
  </si>
  <si>
    <t>2026041963269391</t>
  </si>
  <si>
    <t>2026041918947321</t>
  </si>
  <si>
    <t>92234603440</t>
  </si>
  <si>
    <t>2026042068560231</t>
  </si>
  <si>
    <t>2026042022184441</t>
  </si>
  <si>
    <t>박연주</t>
  </si>
  <si>
    <t>tfgh***</t>
  </si>
  <si>
    <t>92234603786</t>
  </si>
  <si>
    <t>2026042522511651</t>
  </si>
  <si>
    <t>2026042581439971</t>
  </si>
  <si>
    <t>공성태</t>
  </si>
  <si>
    <t>asdn***</t>
  </si>
  <si>
    <t>92234605131</t>
  </si>
  <si>
    <t>2026041964657631</t>
  </si>
  <si>
    <t>2026041919799921</t>
  </si>
  <si>
    <t>하헌기</t>
  </si>
  <si>
    <t>olli****</t>
  </si>
  <si>
    <t>92234603510</t>
  </si>
  <si>
    <t>2026041822542131</t>
  </si>
  <si>
    <t>2026041881533141</t>
  </si>
  <si>
    <t>정유하</t>
  </si>
  <si>
    <t>popo****</t>
  </si>
  <si>
    <t>92234603086</t>
  </si>
  <si>
    <t>2026042496805021</t>
  </si>
  <si>
    <t>2026042470637921</t>
  </si>
  <si>
    <t>고연정</t>
  </si>
  <si>
    <t>yeon*****</t>
  </si>
  <si>
    <t>92234605002</t>
  </si>
  <si>
    <t>2026042285786261</t>
  </si>
  <si>
    <t>2026042293265331</t>
  </si>
  <si>
    <t>성영임</t>
  </si>
  <si>
    <t>syi8***</t>
  </si>
  <si>
    <t>92234604685</t>
  </si>
  <si>
    <t>2026041825401581</t>
  </si>
  <si>
    <t>2026041883554461</t>
  </si>
  <si>
    <t>채은아</t>
  </si>
  <si>
    <t>ea****</t>
  </si>
  <si>
    <t>92234603156</t>
  </si>
  <si>
    <t>2026041946081651</t>
  </si>
  <si>
    <t>2026041997421301</t>
  </si>
  <si>
    <t>og****</t>
  </si>
  <si>
    <t>92234603742</t>
  </si>
  <si>
    <t>2026042020182971</t>
  </si>
  <si>
    <t>2026042049816681</t>
  </si>
  <si>
    <t>노혜원</t>
  </si>
  <si>
    <t>qo3o***</t>
  </si>
  <si>
    <t>92234604162</t>
  </si>
  <si>
    <t>2026041585606201</t>
  </si>
  <si>
    <t>2026041593483981</t>
  </si>
  <si>
    <t>한규현</t>
  </si>
  <si>
    <t>gksw********</t>
  </si>
  <si>
    <t>92234536881</t>
  </si>
  <si>
    <t>2026041574504571</t>
  </si>
  <si>
    <t>2026041586305291</t>
  </si>
  <si>
    <t>92234495161</t>
  </si>
  <si>
    <t>2026041573097121</t>
  </si>
  <si>
    <t>2026041585388061</t>
  </si>
  <si>
    <t>류연주</t>
  </si>
  <si>
    <t>amyr***</t>
  </si>
  <si>
    <t>92234495032</t>
  </si>
  <si>
    <t>2026041564494031</t>
  </si>
  <si>
    <t>2026041579702411</t>
  </si>
  <si>
    <t>김정민</t>
  </si>
  <si>
    <t>miny****</t>
  </si>
  <si>
    <t>92234494402</t>
  </si>
  <si>
    <t>2026041457302331</t>
  </si>
  <si>
    <t>2026041475029611</t>
  </si>
  <si>
    <t>유유진</t>
  </si>
  <si>
    <t>yuyu*****</t>
  </si>
  <si>
    <t>92234493536</t>
  </si>
  <si>
    <t>2026041646134751</t>
  </si>
  <si>
    <t>2026041636651611</t>
  </si>
  <si>
    <t>김선화</t>
  </si>
  <si>
    <t>gesm****</t>
  </si>
  <si>
    <t>92234493385</t>
  </si>
  <si>
    <t>2026041458164671</t>
  </si>
  <si>
    <t>92234495570</t>
  </si>
  <si>
    <t>2026041574735011</t>
  </si>
  <si>
    <t>2026041586456561</t>
  </si>
  <si>
    <t>jerr******</t>
  </si>
  <si>
    <t>92234495183</t>
  </si>
  <si>
    <t>2026041572090281</t>
  </si>
  <si>
    <t>2026041584727501</t>
  </si>
  <si>
    <t>고상아</t>
  </si>
  <si>
    <t>ivor***</t>
  </si>
  <si>
    <t>92234494984</t>
  </si>
  <si>
    <t>2026041566734091</t>
  </si>
  <si>
    <t>2026041581218931</t>
  </si>
  <si>
    <t>김정도</t>
  </si>
  <si>
    <t>jenn***</t>
  </si>
  <si>
    <t>92234494660</t>
  </si>
  <si>
    <t>2026041564239421</t>
  </si>
  <si>
    <t>2026041579525101</t>
  </si>
  <si>
    <t>강성란</t>
  </si>
  <si>
    <t>rkdt********</t>
  </si>
  <si>
    <t>92234494306</t>
  </si>
  <si>
    <t>2026041573666111</t>
  </si>
  <si>
    <t>2026041585758351</t>
  </si>
  <si>
    <t>김아진</t>
  </si>
  <si>
    <t>kaj0***</t>
  </si>
  <si>
    <t>92234495080</t>
  </si>
  <si>
    <t>2026041571151971</t>
  </si>
  <si>
    <t>2026041584105671</t>
  </si>
  <si>
    <t>한윤미</t>
  </si>
  <si>
    <t>yoon******</t>
  </si>
  <si>
    <t>92234494951</t>
  </si>
  <si>
    <t>2026041565677211</t>
  </si>
  <si>
    <t>2026041580518621</t>
  </si>
  <si>
    <t>주미경</t>
  </si>
  <si>
    <t>mk12****</t>
  </si>
  <si>
    <t>92234494575</t>
  </si>
  <si>
    <t>2026041561401811</t>
  </si>
  <si>
    <t>2026041577593611</t>
  </si>
  <si>
    <t>서동수</t>
  </si>
  <si>
    <t>tjeh*******</t>
  </si>
  <si>
    <t>92234494041</t>
  </si>
  <si>
    <t>2026041559736801</t>
  </si>
  <si>
    <t>2026041576561801</t>
  </si>
  <si>
    <t>92234493842</t>
  </si>
  <si>
    <t>2026041560872681</t>
  </si>
  <si>
    <t>2026041577273971</t>
  </si>
  <si>
    <t>92234493923</t>
  </si>
  <si>
    <t>2026041572296841</t>
  </si>
  <si>
    <t>2026041584866021</t>
  </si>
  <si>
    <t>박현지</t>
  </si>
  <si>
    <t>gnsg****</t>
  </si>
  <si>
    <t>92234495393</t>
  </si>
  <si>
    <t>2026041574133821</t>
  </si>
  <si>
    <t>2026041586063491</t>
  </si>
  <si>
    <t>장은경</t>
  </si>
  <si>
    <t>rud0***</t>
  </si>
  <si>
    <t>92234495371</t>
  </si>
  <si>
    <t>2026041575096121</t>
  </si>
  <si>
    <t>2026041586703141</t>
  </si>
  <si>
    <t>정철훈</t>
  </si>
  <si>
    <t>huni****</t>
  </si>
  <si>
    <t>92234495216</t>
  </si>
  <si>
    <t>2026041570593521</t>
  </si>
  <si>
    <t>2026041583744801</t>
  </si>
  <si>
    <t>tory****</t>
  </si>
  <si>
    <t>92234494936</t>
  </si>
  <si>
    <t>2026041458006561</t>
  </si>
  <si>
    <t>2026041475476641</t>
  </si>
  <si>
    <t>서영순</t>
  </si>
  <si>
    <t>pr****</t>
  </si>
  <si>
    <t>도원참미트</t>
  </si>
  <si>
    <t>92234493621</t>
  </si>
  <si>
    <t>2026041564565011</t>
  </si>
  <si>
    <t>2026041579751111</t>
  </si>
  <si>
    <t>김새봄</t>
  </si>
  <si>
    <t>kimn*****</t>
  </si>
  <si>
    <t>92234495485</t>
  </si>
  <si>
    <t>2026041563251921</t>
  </si>
  <si>
    <t>2026041578825461</t>
  </si>
  <si>
    <t>ganb*****</t>
  </si>
  <si>
    <t>92234494214</t>
  </si>
  <si>
    <t>2026041561150851</t>
  </si>
  <si>
    <t>2026041577443701</t>
  </si>
  <si>
    <t>김려은</t>
  </si>
  <si>
    <t>sl****</t>
  </si>
  <si>
    <t>92234493971</t>
  </si>
  <si>
    <t>2026041458381151</t>
  </si>
  <si>
    <t>2026041475711361</t>
  </si>
  <si>
    <t>youj*****</t>
  </si>
  <si>
    <t>92234493654</t>
  </si>
  <si>
    <t>2026041567841911</t>
  </si>
  <si>
    <t>2026041581939711</t>
  </si>
  <si>
    <t>마지우</t>
  </si>
  <si>
    <t>96da******</t>
  </si>
  <si>
    <t>92234494774</t>
  </si>
  <si>
    <t>2026041571303431</t>
  </si>
  <si>
    <t>2026041584202951</t>
  </si>
  <si>
    <t>92234494962</t>
  </si>
  <si>
    <t>2026041565487301</t>
  </si>
  <si>
    <t>2026041580387941</t>
  </si>
  <si>
    <t>이현지</t>
  </si>
  <si>
    <t>92234494542</t>
  </si>
  <si>
    <t>2026041564074471</t>
  </si>
  <si>
    <t>2026041579408771</t>
  </si>
  <si>
    <t>민수화</t>
  </si>
  <si>
    <t>mins********</t>
  </si>
  <si>
    <t>92234494284</t>
  </si>
  <si>
    <t>2026041561255021</t>
  </si>
  <si>
    <t>2026041577507671</t>
  </si>
  <si>
    <t>우하얀</t>
  </si>
  <si>
    <t>haya****</t>
  </si>
  <si>
    <t>92234495544</t>
  </si>
  <si>
    <t>2026041562581511</t>
  </si>
  <si>
    <t>2026041578349721</t>
  </si>
  <si>
    <t>paye***</t>
  </si>
  <si>
    <t>92234495522</t>
  </si>
  <si>
    <t>2026041571954561</t>
  </si>
  <si>
    <t>2026041584637981</t>
  </si>
  <si>
    <t>박희민</t>
  </si>
  <si>
    <t>piao*****</t>
  </si>
  <si>
    <t>92234494973</t>
  </si>
  <si>
    <t>2026041566852151</t>
  </si>
  <si>
    <t>2026041581297391</t>
  </si>
  <si>
    <t>agua*****</t>
  </si>
  <si>
    <t>92234494671</t>
  </si>
  <si>
    <t>2026041563247661</t>
  </si>
  <si>
    <t>2026041578822241</t>
  </si>
  <si>
    <t>임예은</t>
  </si>
  <si>
    <t>dprt**********</t>
  </si>
  <si>
    <t>92234494203</t>
  </si>
  <si>
    <t>2026041561014251</t>
  </si>
  <si>
    <t>2026041577361071</t>
  </si>
  <si>
    <t>wyss*****</t>
  </si>
  <si>
    <t>92234493934</t>
  </si>
  <si>
    <t>2026041574371781</t>
  </si>
  <si>
    <t>2026041586218471</t>
  </si>
  <si>
    <t>황선하</t>
  </si>
  <si>
    <t>tjsg****</t>
  </si>
  <si>
    <t>92234495146</t>
  </si>
  <si>
    <t>2026041574401991</t>
  </si>
  <si>
    <t>2026041586238171</t>
  </si>
  <si>
    <t>최이나</t>
  </si>
  <si>
    <t>mong******</t>
  </si>
  <si>
    <t>92234495150</t>
  </si>
  <si>
    <t>2026041568424501</t>
  </si>
  <si>
    <t>2026041582310981</t>
  </si>
  <si>
    <t>안채은</t>
  </si>
  <si>
    <t>khal****</t>
  </si>
  <si>
    <t>92234494785</t>
  </si>
  <si>
    <t>2026041567266381</t>
  </si>
  <si>
    <t>2026041581567671</t>
  </si>
  <si>
    <t>ys****</t>
  </si>
  <si>
    <t>92234494726</t>
  </si>
  <si>
    <t>2026041563515961</t>
  </si>
  <si>
    <t>2026041579013081</t>
  </si>
  <si>
    <t>조소영</t>
  </si>
  <si>
    <t>so81****</t>
  </si>
  <si>
    <t>양지환</t>
  </si>
  <si>
    <t>92234494236</t>
  </si>
  <si>
    <t>2026041564283671</t>
  </si>
  <si>
    <t>2026041579555831</t>
  </si>
  <si>
    <t>문희제</t>
  </si>
  <si>
    <t>mh****</t>
  </si>
  <si>
    <t>92234494321</t>
  </si>
  <si>
    <t>2026041561326691</t>
  </si>
  <si>
    <t>2026041577550491</t>
  </si>
  <si>
    <t>lake***</t>
  </si>
  <si>
    <t>92234494004</t>
  </si>
  <si>
    <t>2026041561384681</t>
  </si>
  <si>
    <t>2026041577583421</t>
  </si>
  <si>
    <t>조아영</t>
  </si>
  <si>
    <t>sun0*****</t>
  </si>
  <si>
    <t>92234494030</t>
  </si>
  <si>
    <t>2026041561357021</t>
  </si>
  <si>
    <t>2026041577568641</t>
  </si>
  <si>
    <t>허정임</t>
  </si>
  <si>
    <t>koi1***</t>
  </si>
  <si>
    <t>92234494026</t>
  </si>
  <si>
    <t>2026041457234271</t>
  </si>
  <si>
    <t>2026041474985821</t>
  </si>
  <si>
    <t>송한아</t>
  </si>
  <si>
    <t>soha***</t>
  </si>
  <si>
    <t>92234493514</t>
  </si>
  <si>
    <t>2026041568718801</t>
  </si>
  <si>
    <t>2026041582504971</t>
  </si>
  <si>
    <t>황지영</t>
  </si>
  <si>
    <t>tsms*****</t>
  </si>
  <si>
    <t>92234494811</t>
  </si>
  <si>
    <t>2026041560620781</t>
  </si>
  <si>
    <t>2026041577119411</t>
  </si>
  <si>
    <t>김승현</t>
  </si>
  <si>
    <t>wj****</t>
  </si>
  <si>
    <t>92234493912</t>
  </si>
  <si>
    <t>2026041458837941</t>
  </si>
  <si>
    <t>2026041475997411</t>
  </si>
  <si>
    <t>조윤주</t>
  </si>
  <si>
    <t>ib****</t>
  </si>
  <si>
    <t>92234493724</t>
  </si>
  <si>
    <t>2026041458698981</t>
  </si>
  <si>
    <t>2026041475912041</t>
  </si>
  <si>
    <t>이아진</t>
  </si>
  <si>
    <t>dldk******</t>
  </si>
  <si>
    <t>92234493702</t>
  </si>
  <si>
    <t>2026041457907461</t>
  </si>
  <si>
    <t>2026041475414231</t>
  </si>
  <si>
    <t>윤성자</t>
  </si>
  <si>
    <t>yuns*****</t>
  </si>
  <si>
    <t>92234493595</t>
  </si>
  <si>
    <t>2026041568030761</t>
  </si>
  <si>
    <t>2026041582060181</t>
  </si>
  <si>
    <t>juyo******</t>
  </si>
  <si>
    <t>92234495430</t>
  </si>
  <si>
    <t>2026041566128271</t>
  </si>
  <si>
    <t>2026041580820381</t>
  </si>
  <si>
    <t>이세현</t>
  </si>
  <si>
    <t>lhy9*****</t>
  </si>
  <si>
    <t>92234494623</t>
  </si>
  <si>
    <t>2026041564276631</t>
  </si>
  <si>
    <t>2026041579551011</t>
  </si>
  <si>
    <t>오민혜</t>
  </si>
  <si>
    <t>joun*****</t>
  </si>
  <si>
    <t>92234494310</t>
  </si>
  <si>
    <t>2026041561344211</t>
  </si>
  <si>
    <t>2026041577560841</t>
  </si>
  <si>
    <t>박선영</t>
  </si>
  <si>
    <t>xeo_***</t>
  </si>
  <si>
    <t>92234494015</t>
  </si>
  <si>
    <t>2026041456456631</t>
  </si>
  <si>
    <t>2026041474505011</t>
  </si>
  <si>
    <t>강예린</t>
  </si>
  <si>
    <t>92234493481</t>
  </si>
  <si>
    <t>2026041456765761</t>
  </si>
  <si>
    <t>2026041474695431</t>
  </si>
  <si>
    <t>dbwl*****</t>
  </si>
  <si>
    <t>92234493492</t>
  </si>
  <si>
    <t>2026041458769251</t>
  </si>
  <si>
    <t>2026041475955311</t>
  </si>
  <si>
    <t>김지유</t>
  </si>
  <si>
    <t>kmk2***</t>
  </si>
  <si>
    <t>92234495566</t>
  </si>
  <si>
    <t>2026041575670311</t>
  </si>
  <si>
    <t>2026041587089981</t>
  </si>
  <si>
    <t>ytto*****</t>
  </si>
  <si>
    <t>92234495264</t>
  </si>
  <si>
    <t>2026041575166881</t>
  </si>
  <si>
    <t>2026041586751061</t>
  </si>
  <si>
    <t>손영화</t>
  </si>
  <si>
    <t>cern****</t>
  </si>
  <si>
    <t>92234495242</t>
  </si>
  <si>
    <t>2026041573371191</t>
  </si>
  <si>
    <t>2026041585566261</t>
  </si>
  <si>
    <t>wh****</t>
  </si>
  <si>
    <t>92234495065</t>
  </si>
  <si>
    <t>2026041570363991</t>
  </si>
  <si>
    <t>2026041583593751</t>
  </si>
  <si>
    <t>심지유</t>
  </si>
  <si>
    <t>jx****</t>
  </si>
  <si>
    <t>92234494914</t>
  </si>
  <si>
    <t>2026041567069031</t>
  </si>
  <si>
    <t>2026041581440801</t>
  </si>
  <si>
    <t>홍진화</t>
  </si>
  <si>
    <t>92234494704</t>
  </si>
  <si>
    <t>2026041566199981</t>
  </si>
  <si>
    <t>2026041580866771</t>
  </si>
  <si>
    <t>정연실</t>
  </si>
  <si>
    <t>onix****</t>
  </si>
  <si>
    <t>92234494634</t>
  </si>
  <si>
    <t>2026041559270231</t>
  </si>
  <si>
    <t>2026041576271001</t>
  </si>
  <si>
    <t>송미진</t>
  </si>
  <si>
    <t>kalw***</t>
  </si>
  <si>
    <t>92234493750</t>
  </si>
  <si>
    <t>2026041458406911</t>
  </si>
  <si>
    <t>2026041475727521</t>
  </si>
  <si>
    <t>jinx*******</t>
  </si>
  <si>
    <t>92234493676</t>
  </si>
  <si>
    <t>2026041458390761</t>
  </si>
  <si>
    <t>2026041475717231</t>
  </si>
  <si>
    <t>alsw***********</t>
  </si>
  <si>
    <t>92234493665</t>
  </si>
  <si>
    <t>2026041564274951</t>
  </si>
  <si>
    <t>2026041579549701</t>
  </si>
  <si>
    <t>나성연</t>
  </si>
  <si>
    <t>yaya****</t>
  </si>
  <si>
    <t>92234495496</t>
  </si>
  <si>
    <t>2026041568824411</t>
  </si>
  <si>
    <t>2026041582573601</t>
  </si>
  <si>
    <t>곽예린</t>
  </si>
  <si>
    <t>rdf1******</t>
  </si>
  <si>
    <t>92234494833</t>
  </si>
  <si>
    <t>2026041566401861</t>
  </si>
  <si>
    <t>2026041580998911</t>
  </si>
  <si>
    <t>강금지</t>
  </si>
  <si>
    <t>geum***</t>
  </si>
  <si>
    <t>92234494656</t>
  </si>
  <si>
    <t>2026041564429911</t>
  </si>
  <si>
    <t>2026041579658531</t>
  </si>
  <si>
    <t>최해란</t>
  </si>
  <si>
    <t>haer******</t>
  </si>
  <si>
    <t>92234494380</t>
  </si>
  <si>
    <t>2026041561323881</t>
  </si>
  <si>
    <t>2026041577548741</t>
  </si>
  <si>
    <t>92234493993</t>
  </si>
  <si>
    <t>2026041561302011</t>
  </si>
  <si>
    <t>2026041577536011</t>
  </si>
  <si>
    <t>iera******</t>
  </si>
  <si>
    <t>92234493982</t>
  </si>
  <si>
    <t>2026041575102331</t>
  </si>
  <si>
    <t>2026041586707461</t>
  </si>
  <si>
    <t>14****</t>
  </si>
  <si>
    <t>92234495220</t>
  </si>
  <si>
    <t>2026041574538031</t>
  </si>
  <si>
    <t>2026041586327661</t>
  </si>
  <si>
    <t>신유진</t>
  </si>
  <si>
    <t>pink*****</t>
  </si>
  <si>
    <t>92234495360</t>
  </si>
  <si>
    <t>2026041559531871</t>
  </si>
  <si>
    <t>2026041576435861</t>
  </si>
  <si>
    <t>이경진</t>
  </si>
  <si>
    <t>rudw*******</t>
  </si>
  <si>
    <t>92234493783</t>
  </si>
  <si>
    <t>2026041458766701</t>
  </si>
  <si>
    <t>2026041475953791</t>
  </si>
  <si>
    <t>하성진</t>
  </si>
  <si>
    <t>bora*******</t>
  </si>
  <si>
    <t>92234493713</t>
  </si>
  <si>
    <t>2026041567293201</t>
  </si>
  <si>
    <t>2026041581585131</t>
  </si>
  <si>
    <t>김욱환</t>
  </si>
  <si>
    <t>wook******</t>
  </si>
  <si>
    <t>92234495452</t>
  </si>
  <si>
    <t>2026041575060821</t>
  </si>
  <si>
    <t>2026041586679131</t>
  </si>
  <si>
    <t>박수현</t>
  </si>
  <si>
    <t>qkrd********</t>
  </si>
  <si>
    <t>92234495205</t>
  </si>
  <si>
    <t>2026041574051851</t>
  </si>
  <si>
    <t>2026041586009771</t>
  </si>
  <si>
    <t>최도연</t>
  </si>
  <si>
    <t>g_****</t>
  </si>
  <si>
    <t>92234495124</t>
  </si>
  <si>
    <t>2026041570198201</t>
  </si>
  <si>
    <t>2026041583485811</t>
  </si>
  <si>
    <t>변소린</t>
  </si>
  <si>
    <t>qusp***</t>
  </si>
  <si>
    <t>92234494870</t>
  </si>
  <si>
    <t>2026041567518061</t>
  </si>
  <si>
    <t>2026041581730481</t>
  </si>
  <si>
    <t>youm******</t>
  </si>
  <si>
    <t>92234494730</t>
  </si>
  <si>
    <t>2026041564958861</t>
  </si>
  <si>
    <t>2026041580025841</t>
  </si>
  <si>
    <t>92234494472</t>
  </si>
  <si>
    <t>2026041564933861</t>
  </si>
  <si>
    <t>2026041580007731</t>
  </si>
  <si>
    <t>강정희</t>
  </si>
  <si>
    <t>popr***</t>
  </si>
  <si>
    <t>92234494461</t>
  </si>
  <si>
    <t>2026041563448721</t>
  </si>
  <si>
    <t>2026041578964481</t>
  </si>
  <si>
    <t>pold*****</t>
  </si>
  <si>
    <t>92234494225</t>
  </si>
  <si>
    <t>2026041559866771</t>
  </si>
  <si>
    <t>2026041576641411</t>
  </si>
  <si>
    <t>김세림</t>
  </si>
  <si>
    <t>romi******</t>
  </si>
  <si>
    <t>92234493864</t>
  </si>
  <si>
    <t>2026041559591081</t>
  </si>
  <si>
    <t>2026041576472661</t>
  </si>
  <si>
    <t>이한가온</t>
  </si>
  <si>
    <t>uto9*****</t>
  </si>
  <si>
    <t>갹우</t>
  </si>
  <si>
    <t>92234493816</t>
  </si>
  <si>
    <t>2026041567655621</t>
  </si>
  <si>
    <t>2026041581820021</t>
  </si>
  <si>
    <t>최윤성</t>
  </si>
  <si>
    <t>dbst*****</t>
  </si>
  <si>
    <t>92234495441</t>
  </si>
  <si>
    <t>2026041566365401</t>
  </si>
  <si>
    <t>2026041580974571</t>
  </si>
  <si>
    <t>92234494645</t>
  </si>
  <si>
    <t>2026041566888541</t>
  </si>
  <si>
    <t>2026041581321661</t>
  </si>
  <si>
    <t>tjsa*****</t>
  </si>
  <si>
    <t>92234494693</t>
  </si>
  <si>
    <t>2026041564470041</t>
  </si>
  <si>
    <t>2026041579685781</t>
  </si>
  <si>
    <t>espo*****</t>
  </si>
  <si>
    <t>92234494391</t>
  </si>
  <si>
    <t>2026041458072161</t>
  </si>
  <si>
    <t>2026041475517381</t>
  </si>
  <si>
    <t>omom****</t>
  </si>
  <si>
    <t>92234493632</t>
  </si>
  <si>
    <t>2026041562902881</t>
  </si>
  <si>
    <t>2026041578575391</t>
  </si>
  <si>
    <t>양수정</t>
  </si>
  <si>
    <t>1004***********</t>
  </si>
  <si>
    <t>양성오</t>
  </si>
  <si>
    <t>92234495511</t>
  </si>
  <si>
    <t>2026041566303661</t>
  </si>
  <si>
    <t>2026041580934401</t>
  </si>
  <si>
    <t>kksj******</t>
  </si>
  <si>
    <t>92234495463</t>
  </si>
  <si>
    <t>2026041573795551</t>
  </si>
  <si>
    <t>2026041585842951</t>
  </si>
  <si>
    <t>송다겸</t>
  </si>
  <si>
    <t>sdg7***</t>
  </si>
  <si>
    <t>92234495102</t>
  </si>
  <si>
    <t>2026041567638071</t>
  </si>
  <si>
    <t>2026041581808801</t>
  </si>
  <si>
    <t>서진경</t>
  </si>
  <si>
    <t>dkfy******</t>
  </si>
  <si>
    <t>92234494752</t>
  </si>
  <si>
    <t>2026041572218281</t>
  </si>
  <si>
    <t>2026041584813641</t>
  </si>
  <si>
    <t>송수진</t>
  </si>
  <si>
    <t>김승규</t>
  </si>
  <si>
    <t>92234494995</t>
  </si>
  <si>
    <t>2026041563756861</t>
  </si>
  <si>
    <t>2026041579184641</t>
  </si>
  <si>
    <t>허재인</t>
  </si>
  <si>
    <t>hyos*******</t>
  </si>
  <si>
    <t>박정훈</t>
  </si>
  <si>
    <t>92234494251</t>
  </si>
  <si>
    <t>2026041563006831</t>
  </si>
  <si>
    <t>2026041578647111</t>
  </si>
  <si>
    <t>길문희</t>
  </si>
  <si>
    <t>wva2****</t>
  </si>
  <si>
    <t>92234494166</t>
  </si>
  <si>
    <t>2026041561107621</t>
  </si>
  <si>
    <t>2026041577418261</t>
  </si>
  <si>
    <t>강지영</t>
  </si>
  <si>
    <t>qlrk*****</t>
  </si>
  <si>
    <t>92234493960</t>
  </si>
  <si>
    <t>2026041458469881</t>
  </si>
  <si>
    <t>2026041475768161</t>
  </si>
  <si>
    <t>오희선</t>
  </si>
  <si>
    <t>ooee***</t>
  </si>
  <si>
    <t>92234493680</t>
  </si>
  <si>
    <t>2026041456803991</t>
  </si>
  <si>
    <t>2026041474719371</t>
  </si>
  <si>
    <t>함경자</t>
  </si>
  <si>
    <t>hkj6***</t>
  </si>
  <si>
    <t>92234493503</t>
  </si>
  <si>
    <t>2026041573568321</t>
  </si>
  <si>
    <t>2026041585695511</t>
  </si>
  <si>
    <t>김리안</t>
  </si>
  <si>
    <t>dmsw***</t>
  </si>
  <si>
    <t>92234495076</t>
  </si>
  <si>
    <t>2026041574855771</t>
  </si>
  <si>
    <t>2026041586536191</t>
  </si>
  <si>
    <t>comm********</t>
  </si>
  <si>
    <t>92234495356</t>
  </si>
  <si>
    <t>2026041575716331</t>
  </si>
  <si>
    <t>2026041587119571</t>
  </si>
  <si>
    <t>양채윤</t>
  </si>
  <si>
    <t>yyyy******</t>
  </si>
  <si>
    <t>92234495275</t>
  </si>
  <si>
    <t>2026041568780061</t>
  </si>
  <si>
    <t>2026041582545041</t>
  </si>
  <si>
    <t>92234494822</t>
  </si>
  <si>
    <t>2026041565173241</t>
  </si>
  <si>
    <t>2026041580172241</t>
  </si>
  <si>
    <t>백건아</t>
  </si>
  <si>
    <t>gu****</t>
  </si>
  <si>
    <t>92234494494</t>
  </si>
  <si>
    <t>2026041564314751</t>
  </si>
  <si>
    <t>2026041579577551</t>
  </si>
  <si>
    <t>최희진</t>
  </si>
  <si>
    <t>gmlw******</t>
  </si>
  <si>
    <t>92234494354</t>
  </si>
  <si>
    <t>2026041563221361</t>
  </si>
  <si>
    <t>2026041578802951</t>
  </si>
  <si>
    <t>문효민</t>
  </si>
  <si>
    <t>muse***</t>
  </si>
  <si>
    <t>92234494181</t>
  </si>
  <si>
    <t>2026041561531281</t>
  </si>
  <si>
    <t>2026041577673761</t>
  </si>
  <si>
    <t>정회진</t>
  </si>
  <si>
    <t>wlsd******</t>
  </si>
  <si>
    <t>92234494063</t>
  </si>
  <si>
    <t>2026041560430871</t>
  </si>
  <si>
    <t>2026041576996641</t>
  </si>
  <si>
    <t>서수정</t>
  </si>
  <si>
    <t>la****</t>
  </si>
  <si>
    <t>92234493890</t>
  </si>
  <si>
    <t>2026041457530011</t>
  </si>
  <si>
    <t>2026041475175121</t>
  </si>
  <si>
    <t>eunf******</t>
  </si>
  <si>
    <t>92234493540</t>
  </si>
  <si>
    <t>2026041573767511</t>
  </si>
  <si>
    <t>2026041585824551</t>
  </si>
  <si>
    <t>강영애</t>
  </si>
  <si>
    <t>cava*****</t>
  </si>
  <si>
    <t>92234495091</t>
  </si>
  <si>
    <t>2026041574656041</t>
  </si>
  <si>
    <t>2026041586404481</t>
  </si>
  <si>
    <t>ky****</t>
  </si>
  <si>
    <t>92234495172</t>
  </si>
  <si>
    <t>2026041568716011</t>
  </si>
  <si>
    <t>2026041582503091</t>
  </si>
  <si>
    <t>신아린</t>
  </si>
  <si>
    <t>92234494800</t>
  </si>
  <si>
    <t>2026041566878571</t>
  </si>
  <si>
    <t>2026041581314681</t>
  </si>
  <si>
    <t>임선혜</t>
  </si>
  <si>
    <t>zxas****</t>
  </si>
  <si>
    <t>92234494682</t>
  </si>
  <si>
    <t>2026041561728691</t>
  </si>
  <si>
    <t>2026041577793011</t>
  </si>
  <si>
    <t>박정민</t>
  </si>
  <si>
    <t>kitt*****</t>
  </si>
  <si>
    <t>92234494074</t>
  </si>
  <si>
    <t>2026041561412001</t>
  </si>
  <si>
    <t>2026041577599941</t>
  </si>
  <si>
    <t>이나리</t>
  </si>
  <si>
    <t>dlsl*****</t>
  </si>
  <si>
    <t>박주원</t>
  </si>
  <si>
    <t>92234494052</t>
  </si>
  <si>
    <t>2026041565309231</t>
  </si>
  <si>
    <t>2026041580266081</t>
  </si>
  <si>
    <t>김다래</t>
  </si>
  <si>
    <t>92234494516</t>
  </si>
  <si>
    <t>2026041565466331</t>
  </si>
  <si>
    <t>2026041580373771</t>
  </si>
  <si>
    <t>목련</t>
  </si>
  <si>
    <t>mokr*****</t>
  </si>
  <si>
    <t>92234494531</t>
  </si>
  <si>
    <t>2026041564394881</t>
  </si>
  <si>
    <t>2026041579633831</t>
  </si>
  <si>
    <t>k100***</t>
  </si>
  <si>
    <t>92234494365</t>
  </si>
  <si>
    <t>2026041564691751</t>
  </si>
  <si>
    <t>2026041579838181</t>
  </si>
  <si>
    <t>최미진</t>
  </si>
  <si>
    <t>mick******</t>
  </si>
  <si>
    <t>92234494424</t>
  </si>
  <si>
    <t>2026041561973161</t>
  </si>
  <si>
    <t>2026041577944091</t>
  </si>
  <si>
    <t>nolj****</t>
  </si>
  <si>
    <t>92234494100</t>
  </si>
  <si>
    <t>2026041562325321</t>
  </si>
  <si>
    <t>2026041578173021</t>
  </si>
  <si>
    <t>문효정</t>
  </si>
  <si>
    <t>haon****</t>
  </si>
  <si>
    <t>92234494133</t>
  </si>
  <si>
    <t>2026041457950601</t>
  </si>
  <si>
    <t>2026041475440841</t>
  </si>
  <si>
    <t>양정현</t>
  </si>
  <si>
    <t>jhgi******</t>
  </si>
  <si>
    <t>92234493610</t>
  </si>
  <si>
    <t>2026041568187981</t>
  </si>
  <si>
    <t>2026041582161161</t>
  </si>
  <si>
    <t>홍주</t>
  </si>
  <si>
    <t>kshj***</t>
  </si>
  <si>
    <t>92234495426</t>
  </si>
  <si>
    <t>2026041573712521</t>
  </si>
  <si>
    <t>2026041585788801</t>
  </si>
  <si>
    <t>조금화</t>
  </si>
  <si>
    <t>29****</t>
  </si>
  <si>
    <t>92234495382</t>
  </si>
  <si>
    <t>2026041569224061</t>
  </si>
  <si>
    <t>2026041582846391</t>
  </si>
  <si>
    <t>92234494855</t>
  </si>
  <si>
    <t>2026041570922121</t>
  </si>
  <si>
    <t>2026041583958891</t>
  </si>
  <si>
    <t>주앤나</t>
  </si>
  <si>
    <t>anna******</t>
  </si>
  <si>
    <t>92234494940</t>
  </si>
  <si>
    <t>2026041565741861</t>
  </si>
  <si>
    <t>2026041580564131</t>
  </si>
  <si>
    <t>nort*****</t>
  </si>
  <si>
    <t>92234494586</t>
  </si>
  <si>
    <t>2026041567183391</t>
  </si>
  <si>
    <t>2026041581514081</t>
  </si>
  <si>
    <t>이하빈</t>
  </si>
  <si>
    <t>iy****</t>
  </si>
  <si>
    <t>92234494715</t>
  </si>
  <si>
    <t>2026041559696721</t>
  </si>
  <si>
    <t>2026041576537481</t>
  </si>
  <si>
    <t>황경연</t>
  </si>
  <si>
    <t>8934***</t>
  </si>
  <si>
    <t>92234493831</t>
  </si>
  <si>
    <t>2026041457283771</t>
  </si>
  <si>
    <t>2026041475017901</t>
  </si>
  <si>
    <t>jubd***</t>
  </si>
  <si>
    <t>92234493525</t>
  </si>
  <si>
    <t>2026042355325791</t>
  </si>
  <si>
    <t>2026042343122101</t>
  </si>
  <si>
    <t>최혜원</t>
  </si>
  <si>
    <t>hyew********</t>
  </si>
  <si>
    <t>92234604851</t>
  </si>
  <si>
    <t>2026042022920751</t>
  </si>
  <si>
    <t>2026042051568451</t>
  </si>
  <si>
    <t>92234604184</t>
  </si>
  <si>
    <t>2026041957722621</t>
  </si>
  <si>
    <t>92234718435</t>
  </si>
  <si>
    <t>2026041957722671</t>
  </si>
  <si>
    <t>2026041957722651</t>
  </si>
  <si>
    <t>컬러: 체크라일락 / 길이: 1.2M 도시산책형</t>
  </si>
  <si>
    <t>2026041957722641</t>
  </si>
  <si>
    <t>컬러: 체크블루 / 길이: 2M 자율산책형</t>
  </si>
  <si>
    <t>2026041957722631</t>
  </si>
  <si>
    <t>컬러: 체크레드 / 길이: 2M 자율산책형</t>
  </si>
  <si>
    <t>2026050347702301</t>
  </si>
  <si>
    <t>2026050399189711</t>
  </si>
  <si>
    <t>cj****</t>
  </si>
  <si>
    <t>92234719721</t>
  </si>
  <si>
    <t>2026041833059851</t>
  </si>
  <si>
    <t>2026041888551111</t>
  </si>
  <si>
    <t>정수정</t>
  </si>
  <si>
    <t>92234717746</t>
  </si>
  <si>
    <t>2026041598760001</t>
  </si>
  <si>
    <t>2026041512324141</t>
  </si>
  <si>
    <t>민주식</t>
  </si>
  <si>
    <t>mjs7***</t>
  </si>
  <si>
    <t>92234538690</t>
  </si>
  <si>
    <t>2026042645527471</t>
  </si>
  <si>
    <t>2026042697431031</t>
  </si>
  <si>
    <t>유주실</t>
  </si>
  <si>
    <t>hara*****</t>
  </si>
  <si>
    <t>92234605374</t>
  </si>
  <si>
    <t>2026041633934951</t>
  </si>
  <si>
    <t>2026041628637251</t>
  </si>
  <si>
    <t>박선희</t>
  </si>
  <si>
    <t>skan****</t>
  </si>
  <si>
    <t>92234537872</t>
  </si>
  <si>
    <t>2026041649145161</t>
  </si>
  <si>
    <t>2026041638734961</t>
  </si>
  <si>
    <t>길인애</t>
  </si>
  <si>
    <t>dlsd*****</t>
  </si>
  <si>
    <t>92234538211</t>
  </si>
  <si>
    <t>2026041758638471</t>
  </si>
  <si>
    <t>2026041744979641</t>
  </si>
  <si>
    <t>강예원</t>
  </si>
  <si>
    <t>appl********</t>
  </si>
  <si>
    <t>92234559620</t>
  </si>
  <si>
    <t>2026041598599141</t>
  </si>
  <si>
    <t>2026041512219621</t>
  </si>
  <si>
    <t>최현희</t>
  </si>
  <si>
    <t>chh1***</t>
  </si>
  <si>
    <t>92234538701</t>
  </si>
  <si>
    <t>2026042289246101</t>
  </si>
  <si>
    <t>2026042295549391</t>
  </si>
  <si>
    <t>zzuw***</t>
  </si>
  <si>
    <t>92234604700</t>
  </si>
  <si>
    <t>2026041578864981</t>
  </si>
  <si>
    <t>2026041589181561</t>
  </si>
  <si>
    <t>hyee******</t>
  </si>
  <si>
    <t>92234536586</t>
  </si>
  <si>
    <t>2026042068727761</t>
  </si>
  <si>
    <t>2026042022291521</t>
  </si>
  <si>
    <t>김승여</t>
  </si>
  <si>
    <t>ksys*******</t>
  </si>
  <si>
    <t>92234603790</t>
  </si>
  <si>
    <t>2026042084139071</t>
  </si>
  <si>
    <t>2026042032487351</t>
  </si>
  <si>
    <t>이하정</t>
  </si>
  <si>
    <t>92234604000</t>
  </si>
  <si>
    <t>2026041941238911</t>
  </si>
  <si>
    <t>2026041994075551</t>
  </si>
  <si>
    <t>강주선</t>
  </si>
  <si>
    <t>mo****</t>
  </si>
  <si>
    <t>92234603683</t>
  </si>
  <si>
    <t>2026041639359381</t>
  </si>
  <si>
    <t>2026041632108861</t>
  </si>
  <si>
    <t>지나림</t>
  </si>
  <si>
    <t>nale***</t>
  </si>
  <si>
    <t>92234537990</t>
  </si>
  <si>
    <t>2026042497218621</t>
  </si>
  <si>
    <t>2026042470915061</t>
  </si>
  <si>
    <t>이원정</t>
  </si>
  <si>
    <t>lwj0***</t>
  </si>
  <si>
    <t>92234605013</t>
  </si>
  <si>
    <t>2026041575932811</t>
  </si>
  <si>
    <t>92234522645</t>
  </si>
  <si>
    <t>2026041640168991</t>
  </si>
  <si>
    <t>2026041632638691</t>
  </si>
  <si>
    <t>장현진</t>
  </si>
  <si>
    <t>wing****</t>
  </si>
  <si>
    <t>92234538012</t>
  </si>
  <si>
    <t>2026042537378021</t>
  </si>
  <si>
    <t>2026042592118941</t>
  </si>
  <si>
    <t>ckim*****</t>
  </si>
  <si>
    <t>92234605212</t>
  </si>
  <si>
    <t>2026042281984221</t>
  </si>
  <si>
    <t>2026042290783211</t>
  </si>
  <si>
    <t>jal3***</t>
  </si>
  <si>
    <t>92234604652</t>
  </si>
  <si>
    <t>2026042786804501</t>
  </si>
  <si>
    <t>2026042734855781</t>
  </si>
  <si>
    <t>92234605444</t>
  </si>
  <si>
    <t>2026041782198091</t>
  </si>
  <si>
    <t>2026041760482961</t>
  </si>
  <si>
    <t>이예은</t>
  </si>
  <si>
    <t>pays******</t>
  </si>
  <si>
    <t>92234560014</t>
  </si>
  <si>
    <t>2026042017365511</t>
  </si>
  <si>
    <t>2026042047962781</t>
  </si>
  <si>
    <t>박지은</t>
  </si>
  <si>
    <t>pj****</t>
  </si>
  <si>
    <t>92234604103</t>
  </si>
  <si>
    <t>2026042164723841</t>
  </si>
  <si>
    <t>2026042179366261</t>
  </si>
  <si>
    <t>92234604523</t>
  </si>
  <si>
    <t>2026042779743091</t>
  </si>
  <si>
    <t>2026042730296081</t>
  </si>
  <si>
    <t>배예린</t>
  </si>
  <si>
    <t>qodp*******</t>
  </si>
  <si>
    <t>92234605750</t>
  </si>
  <si>
    <t>2026041824796011</t>
  </si>
  <si>
    <t>2026041883126991</t>
  </si>
  <si>
    <t>myso******</t>
  </si>
  <si>
    <t>92234417144</t>
  </si>
  <si>
    <t>2026041824796001</t>
  </si>
  <si>
    <t>컬러: 체크블랙 / 길이: 2M 자율산책형</t>
  </si>
  <si>
    <t>2026041824795991</t>
  </si>
  <si>
    <t>2026041824795981</t>
  </si>
  <si>
    <t>컬러: 체크옐로우 / 길이: 2M 자율산책형</t>
  </si>
  <si>
    <t>2026041949680931</t>
  </si>
  <si>
    <t>92234417170</t>
  </si>
  <si>
    <t>2026041949680921</t>
  </si>
  <si>
    <t>컬러: 체크블루 / 길이: 1.2M 도시산책형</t>
  </si>
  <si>
    <t>2026041934483381</t>
  </si>
  <si>
    <t>2026041989461591</t>
  </si>
  <si>
    <t>92234417166</t>
  </si>
  <si>
    <t>컬러: 체크블랙 / 사이즈: S (2주후 순차배송)</t>
  </si>
  <si>
    <t>2026041934483371</t>
  </si>
  <si>
    <t>2026041593030781</t>
  </si>
  <si>
    <t>2026041598472091</t>
  </si>
  <si>
    <t>채가연</t>
  </si>
  <si>
    <t>eh****</t>
  </si>
  <si>
    <t>채</t>
  </si>
  <si>
    <t>92234537150</t>
  </si>
  <si>
    <t>2026041560754951</t>
  </si>
  <si>
    <t>2026041577201761</t>
  </si>
  <si>
    <t>92234495555</t>
  </si>
  <si>
    <t>2026041590609121</t>
  </si>
  <si>
    <t>2026041596808311</t>
  </si>
  <si>
    <t>박지우</t>
  </si>
  <si>
    <t>sky1********</t>
  </si>
  <si>
    <t>92234537080</t>
  </si>
  <si>
    <t>2026042071005981</t>
  </si>
  <si>
    <t>2026042023696691</t>
  </si>
  <si>
    <t>지아연</t>
  </si>
  <si>
    <t>dkdu*****</t>
  </si>
  <si>
    <t>92234603871</t>
  </si>
  <si>
    <t>2026041954958831</t>
  </si>
  <si>
    <t>92234603344</t>
  </si>
  <si>
    <t>2026041759662501</t>
  </si>
  <si>
    <t>2026041745616211</t>
  </si>
  <si>
    <t>김선종</t>
  </si>
  <si>
    <t>tjsw*****</t>
  </si>
  <si>
    <t>황경주</t>
  </si>
  <si>
    <t>92234559653</t>
  </si>
  <si>
    <t>2026041566109941</t>
  </si>
  <si>
    <t>2026041580807961</t>
  </si>
  <si>
    <t>김성언</t>
  </si>
  <si>
    <t>myks*****</t>
  </si>
  <si>
    <t>92234494612</t>
  </si>
  <si>
    <t>2026041950573401</t>
  </si>
  <si>
    <t>2026041910490421</t>
  </si>
  <si>
    <t>전희연</t>
  </si>
  <si>
    <t>jhy7***</t>
  </si>
  <si>
    <t>92234603263</t>
  </si>
  <si>
    <t>2026041957055381</t>
  </si>
  <si>
    <t>2026041914919781</t>
  </si>
  <si>
    <t>박민철</t>
  </si>
  <si>
    <t>www_********</t>
  </si>
  <si>
    <t>92234603381</t>
  </si>
  <si>
    <t>2026042782505711</t>
  </si>
  <si>
    <t>2026042731971621</t>
  </si>
  <si>
    <t>drtf****</t>
  </si>
  <si>
    <t>박진수</t>
  </si>
  <si>
    <t>92234605411</t>
  </si>
  <si>
    <t>2026042140518601</t>
  </si>
  <si>
    <t>2026042163162321</t>
  </si>
  <si>
    <t>jhmw******</t>
  </si>
  <si>
    <t>92234604313</t>
  </si>
  <si>
    <t>2026041815891151</t>
  </si>
  <si>
    <t>2026041876833291</t>
  </si>
  <si>
    <t>유재형</t>
  </si>
  <si>
    <t>wogu****</t>
  </si>
  <si>
    <t>92234571811</t>
  </si>
  <si>
    <t>2026041456083291</t>
  </si>
  <si>
    <t>2026041474267151</t>
  </si>
  <si>
    <t>92234493466</t>
  </si>
  <si>
    <t>2026041575108951</t>
  </si>
  <si>
    <t>2026041586711741</t>
  </si>
  <si>
    <t>한덕선</t>
  </si>
  <si>
    <t>gks5***</t>
  </si>
  <si>
    <t>92234495231</t>
  </si>
  <si>
    <t>2026042282719091</t>
  </si>
  <si>
    <t>2026042291276761</t>
  </si>
  <si>
    <t>8906***</t>
  </si>
  <si>
    <t>92234604663</t>
  </si>
  <si>
    <t>2026041954218721</t>
  </si>
  <si>
    <t>2026041912986601</t>
  </si>
  <si>
    <t>곽경희</t>
  </si>
  <si>
    <t>kkar*****</t>
  </si>
  <si>
    <t>92234603322</t>
  </si>
  <si>
    <t>2026041570513931</t>
  </si>
  <si>
    <t>2026041583693481</t>
  </si>
  <si>
    <t>박동우</t>
  </si>
  <si>
    <t>bdw7*****</t>
  </si>
  <si>
    <t>92234494925</t>
  </si>
  <si>
    <t>2026042069461431</t>
  </si>
  <si>
    <t>2026042022754551</t>
  </si>
  <si>
    <t>juji****</t>
  </si>
  <si>
    <t>92234603834</t>
  </si>
  <si>
    <t>2026042646057471</t>
  </si>
  <si>
    <t>2026042697795001</t>
  </si>
  <si>
    <t>sera****</t>
  </si>
  <si>
    <t>92234605385</t>
  </si>
  <si>
    <t>2026042412696111</t>
  </si>
  <si>
    <t>2026042474542161</t>
  </si>
  <si>
    <t>송수민</t>
  </si>
  <si>
    <t>thdt********</t>
  </si>
  <si>
    <t>92234605046</t>
  </si>
  <si>
    <t>2026042669450561</t>
  </si>
  <si>
    <t>2026042623779051</t>
  </si>
  <si>
    <t>minj*********</t>
  </si>
  <si>
    <t>92234605315</t>
  </si>
  <si>
    <t>2026041560100411</t>
  </si>
  <si>
    <t>2026041576787831</t>
  </si>
  <si>
    <t>문보현</t>
  </si>
  <si>
    <t>z960***</t>
  </si>
  <si>
    <t>92234493875</t>
  </si>
  <si>
    <t>2026041590348841</t>
  </si>
  <si>
    <t>2026041596632781</t>
  </si>
  <si>
    <t>최수안</t>
  </si>
  <si>
    <t>92234537054</t>
  </si>
  <si>
    <t>2026041559186791</t>
  </si>
  <si>
    <t>2026041576217781</t>
  </si>
  <si>
    <t>bin2***</t>
  </si>
  <si>
    <t>92234493746</t>
  </si>
  <si>
    <t>2026042096112121</t>
  </si>
  <si>
    <t>2026042040283281</t>
  </si>
  <si>
    <t>이세미</t>
  </si>
  <si>
    <t>sara******</t>
  </si>
  <si>
    <t>92234604055</t>
  </si>
  <si>
    <t>2026041773785801</t>
  </si>
  <si>
    <t>2026041754924201</t>
  </si>
  <si>
    <t>pret****</t>
  </si>
  <si>
    <t>92234559922</t>
  </si>
  <si>
    <t>2026041646430911</t>
  </si>
  <si>
    <t>2026041636858311</t>
  </si>
  <si>
    <t>김민혁</t>
  </si>
  <si>
    <t>mhki*****</t>
  </si>
  <si>
    <t>김애리</t>
  </si>
  <si>
    <t>92234538163</t>
  </si>
  <si>
    <t>2026041641231961</t>
  </si>
  <si>
    <t>2026041633341761</t>
  </si>
  <si>
    <t>dltj*****</t>
  </si>
  <si>
    <t>92234538034</t>
  </si>
  <si>
    <t>2026042663471831</t>
  </si>
  <si>
    <t>2026042619708551</t>
  </si>
  <si>
    <t>김보연</t>
  </si>
  <si>
    <t>boye******</t>
  </si>
  <si>
    <t>92234605293</t>
  </si>
  <si>
    <t>2026042073310711</t>
  </si>
  <si>
    <t>2026042025259471</t>
  </si>
  <si>
    <t>03****</t>
  </si>
  <si>
    <t>92234603904</t>
  </si>
  <si>
    <t>2026042018927381</t>
  </si>
  <si>
    <t>2026042049004251</t>
  </si>
  <si>
    <t>최승희</t>
  </si>
  <si>
    <t>chlt********</t>
  </si>
  <si>
    <t>홍진용</t>
  </si>
  <si>
    <t>92234604136</t>
  </si>
  <si>
    <t>2026041774603721</t>
  </si>
  <si>
    <t>2026041755470701</t>
  </si>
  <si>
    <t>우민정</t>
  </si>
  <si>
    <t>keep*******</t>
  </si>
  <si>
    <t>92234559933</t>
  </si>
  <si>
    <t>2026042521367511</t>
  </si>
  <si>
    <t>2026042580621901</t>
  </si>
  <si>
    <t>Kim maya saryang</t>
  </si>
  <si>
    <t>maya*******</t>
  </si>
  <si>
    <t>김마야</t>
  </si>
  <si>
    <t>92234605105</t>
  </si>
  <si>
    <t>2026042019149461</t>
  </si>
  <si>
    <t>2026042049148911</t>
  </si>
  <si>
    <t>92234604151</t>
  </si>
  <si>
    <t>2026042474681741</t>
  </si>
  <si>
    <t>2026042455727751</t>
  </si>
  <si>
    <t>배미선</t>
  </si>
  <si>
    <t>just***</t>
  </si>
  <si>
    <t>92234604910</t>
  </si>
  <si>
    <t>2026041514211071</t>
  </si>
  <si>
    <t>2026041515760411</t>
  </si>
  <si>
    <t>kimj****</t>
  </si>
  <si>
    <t>92234536391</t>
  </si>
  <si>
    <t>2026041564839391</t>
  </si>
  <si>
    <t>2026041579941621</t>
  </si>
  <si>
    <t>2o****</t>
  </si>
  <si>
    <t>92234494450</t>
  </si>
  <si>
    <t>2026041563841501</t>
  </si>
  <si>
    <t>2026041579244501</t>
  </si>
  <si>
    <t>계민경</t>
  </si>
  <si>
    <t>r418****</t>
  </si>
  <si>
    <t>92234494262</t>
  </si>
  <si>
    <t>2026042074366791</t>
  </si>
  <si>
    <t>2026042025989421</t>
  </si>
  <si>
    <t>윤민혁</t>
  </si>
  <si>
    <t>rkd8******</t>
  </si>
  <si>
    <t>강진숙</t>
  </si>
  <si>
    <t>92234603930</t>
  </si>
  <si>
    <t>2026042082131221</t>
  </si>
  <si>
    <t>2026042031156921</t>
  </si>
  <si>
    <t>amyk******</t>
  </si>
  <si>
    <t>92234603985</t>
  </si>
  <si>
    <t>2026041623648381</t>
  </si>
  <si>
    <t>2026041621938191</t>
  </si>
  <si>
    <t>주정희</t>
  </si>
  <si>
    <t>jjh7***</t>
  </si>
  <si>
    <t>92234537651</t>
  </si>
  <si>
    <t>2026042211353841</t>
  </si>
  <si>
    <t>2026042213697461</t>
  </si>
  <si>
    <t>조이슬</t>
  </si>
  <si>
    <t>ajes*****</t>
  </si>
  <si>
    <t>92234604560</t>
  </si>
  <si>
    <t>2026042648334201</t>
  </si>
  <si>
    <t>2026042699361361</t>
  </si>
  <si>
    <t>92234605396</t>
  </si>
  <si>
    <t>2026041820948801</t>
  </si>
  <si>
    <t>2026041880408121</t>
  </si>
  <si>
    <t>라경원</t>
  </si>
  <si>
    <t>rudd*****</t>
  </si>
  <si>
    <t>Pink Paw</t>
  </si>
  <si>
    <t>92234571892</t>
  </si>
  <si>
    <t>2026041456410101</t>
  </si>
  <si>
    <t>2026041474475821</t>
  </si>
  <si>
    <t>이미화</t>
  </si>
  <si>
    <t>algh********</t>
  </si>
  <si>
    <t>92234495592</t>
  </si>
  <si>
    <t>2026042023752211</t>
  </si>
  <si>
    <t>2026042052083911</t>
  </si>
  <si>
    <t>서윤희</t>
  </si>
  <si>
    <t>rz****</t>
  </si>
  <si>
    <t>92234604206</t>
  </si>
  <si>
    <t>2026042082225031</t>
  </si>
  <si>
    <t>2026042031219561</t>
  </si>
  <si>
    <t>양수아</t>
  </si>
  <si>
    <t>84va*******</t>
  </si>
  <si>
    <t>92234603996</t>
  </si>
  <si>
    <t>2026041953371741</t>
  </si>
  <si>
    <t>2026041912405371</t>
  </si>
  <si>
    <t>gkst****</t>
  </si>
  <si>
    <t>92234603300</t>
  </si>
  <si>
    <t>2026041621111771</t>
  </si>
  <si>
    <t>2026041620274701</t>
  </si>
  <si>
    <t>csda****</t>
  </si>
  <si>
    <t>92234537555</t>
  </si>
  <si>
    <t>2026042127268631</t>
  </si>
  <si>
    <t>2026042154350971</t>
  </si>
  <si>
    <t>정예진</t>
  </si>
  <si>
    <t>dpwl*****</t>
  </si>
  <si>
    <t>92234604221</t>
  </si>
  <si>
    <t>2026041565433661</t>
  </si>
  <si>
    <t>2026041580350921</t>
  </si>
  <si>
    <t>장현영</t>
  </si>
  <si>
    <t>92234494520</t>
  </si>
  <si>
    <t>2026042157624091</t>
  </si>
  <si>
    <t>2026042174525501</t>
  </si>
  <si>
    <t>김대기</t>
  </si>
  <si>
    <t>daeg*****</t>
  </si>
  <si>
    <t>92234604464</t>
  </si>
  <si>
    <t>2026042099262051</t>
  </si>
  <si>
    <t>2026042042384681</t>
  </si>
  <si>
    <t>박수완</t>
  </si>
  <si>
    <t>babo****</t>
  </si>
  <si>
    <t>92234604070</t>
  </si>
  <si>
    <t>2026041631330251</t>
  </si>
  <si>
    <t>2026041626944551</t>
  </si>
  <si>
    <t>권나희</t>
  </si>
  <si>
    <t>skgm*****</t>
  </si>
  <si>
    <t>92234537780</t>
  </si>
  <si>
    <t>2026042484654151</t>
  </si>
  <si>
    <t>2026042462298831</t>
  </si>
  <si>
    <t>지현경</t>
  </si>
  <si>
    <t>abby***</t>
  </si>
  <si>
    <t>92234604943</t>
  </si>
  <si>
    <t>2026042272084401</t>
  </si>
  <si>
    <t>2026042284096311</t>
  </si>
  <si>
    <t>임은희</t>
  </si>
  <si>
    <t>cjst****</t>
  </si>
  <si>
    <t>92234604604</t>
  </si>
  <si>
    <t>2026042127545131</t>
  </si>
  <si>
    <t>2026042154525721</t>
  </si>
  <si>
    <t>이예주</t>
  </si>
  <si>
    <t>lyae******</t>
  </si>
  <si>
    <t>쮸사원</t>
  </si>
  <si>
    <t>92234604243</t>
  </si>
  <si>
    <t>2026041616446691</t>
  </si>
  <si>
    <t>2026041617155631</t>
  </si>
  <si>
    <t>노민서</t>
  </si>
  <si>
    <t>92234537334</t>
  </si>
  <si>
    <t>2026041624036541</t>
  </si>
  <si>
    <t>2026041622190821</t>
  </si>
  <si>
    <t>김대건</t>
  </si>
  <si>
    <t>kdae***</t>
  </si>
  <si>
    <t>임은경</t>
  </si>
  <si>
    <t>92234538443</t>
  </si>
  <si>
    <t>2026042518021211</t>
  </si>
  <si>
    <t>2026042578238751</t>
  </si>
  <si>
    <t>arom****</t>
  </si>
  <si>
    <t>92234605083</t>
  </si>
  <si>
    <t>2026041759539991</t>
  </si>
  <si>
    <t>2026041745541071</t>
  </si>
  <si>
    <t>성재희</t>
  </si>
  <si>
    <t>intr*****</t>
  </si>
  <si>
    <t>92234553040</t>
  </si>
  <si>
    <t>2026041765595751</t>
  </si>
  <si>
    <t>2026041749600261</t>
  </si>
  <si>
    <t>ar93****</t>
  </si>
  <si>
    <t>92234559852</t>
  </si>
  <si>
    <t>2026042024941491</t>
  </si>
  <si>
    <t>2026042052849181</t>
  </si>
  <si>
    <t>choh*****</t>
  </si>
  <si>
    <t>92234604210</t>
  </si>
  <si>
    <t>2026042338924521</t>
  </si>
  <si>
    <t>2026042332053591</t>
  </si>
  <si>
    <t>고지영</t>
  </si>
  <si>
    <t>cama*****</t>
  </si>
  <si>
    <t>92234604770</t>
  </si>
  <si>
    <t>2026042146832471</t>
  </si>
  <si>
    <t>2026042167316131</t>
  </si>
  <si>
    <t>신소영</t>
  </si>
  <si>
    <t>tlst******</t>
  </si>
  <si>
    <t>92234604372</t>
  </si>
  <si>
    <t>2026042132859811</t>
  </si>
  <si>
    <t>2026042158165231</t>
  </si>
  <si>
    <t>cima****</t>
  </si>
  <si>
    <t>92234604280</t>
  </si>
  <si>
    <t>2026041819721491</t>
  </si>
  <si>
    <t>2026041879546851</t>
  </si>
  <si>
    <t>장희선</t>
  </si>
  <si>
    <t>hees******</t>
  </si>
  <si>
    <t>92234571870</t>
  </si>
  <si>
    <t>2026042781260291</t>
  </si>
  <si>
    <t>2026042731226541</t>
  </si>
  <si>
    <t>이예원</t>
  </si>
  <si>
    <t>dnjs****</t>
  </si>
  <si>
    <t>92234603613</t>
  </si>
  <si>
    <t>2026041936799351</t>
  </si>
  <si>
    <t>2026041991021231</t>
  </si>
  <si>
    <t>2026041616157971</t>
  </si>
  <si>
    <t>2026041616979061</t>
  </si>
  <si>
    <t>92234537312</t>
  </si>
  <si>
    <t>2026041640938421</t>
  </si>
  <si>
    <t>2026041633145531</t>
  </si>
  <si>
    <t>송지혜</t>
  </si>
  <si>
    <t>oo_6***</t>
  </si>
  <si>
    <t>92234538023</t>
  </si>
  <si>
    <t>2026042538201861</t>
  </si>
  <si>
    <t>2026042592678451</t>
  </si>
  <si>
    <t>권은교</t>
  </si>
  <si>
    <t>k-dm********</t>
  </si>
  <si>
    <t>92234605223</t>
  </si>
  <si>
    <t>2026041940965261</t>
  </si>
  <si>
    <t>2026041993884061</t>
  </si>
  <si>
    <t>이경숙</t>
  </si>
  <si>
    <t>suk0****</t>
  </si>
  <si>
    <t>92234605993</t>
  </si>
  <si>
    <t>2026041898279701</t>
  </si>
  <si>
    <t>2026041871463701</t>
  </si>
  <si>
    <t>서정희</t>
  </si>
  <si>
    <t>ssam*******</t>
  </si>
  <si>
    <t>92234572006</t>
  </si>
  <si>
    <t>2026041788078791</t>
  </si>
  <si>
    <t>2026041764598581</t>
  </si>
  <si>
    <t>임신미</t>
  </si>
  <si>
    <t>th****</t>
  </si>
  <si>
    <t>92234571553</t>
  </si>
  <si>
    <t>2026041761462361</t>
  </si>
  <si>
    <t>2026041746791611</t>
  </si>
  <si>
    <t>김은하</t>
  </si>
  <si>
    <t>gala*******</t>
  </si>
  <si>
    <t>92234559734</t>
  </si>
  <si>
    <t>2026041955769141</t>
  </si>
  <si>
    <t>2026041914040421</t>
  </si>
  <si>
    <t>김다슬</t>
  </si>
  <si>
    <t>dase********</t>
  </si>
  <si>
    <t>92234606030</t>
  </si>
  <si>
    <t>2026041655551351</t>
  </si>
  <si>
    <t>2026041643030291</t>
  </si>
  <si>
    <t>이은희</t>
  </si>
  <si>
    <t>tund******</t>
  </si>
  <si>
    <t>92234538281</t>
  </si>
  <si>
    <t>2026041792272451</t>
  </si>
  <si>
    <t>2026041767420361</t>
  </si>
  <si>
    <t>백주원</t>
  </si>
  <si>
    <t>joow*****</t>
  </si>
  <si>
    <t>92234571590</t>
  </si>
  <si>
    <t>2026041583101871</t>
  </si>
  <si>
    <t>2026041591872741</t>
  </si>
  <si>
    <t>강승현</t>
  </si>
  <si>
    <t>hyon*******</t>
  </si>
  <si>
    <t>92234536741</t>
  </si>
  <si>
    <t>2026041561035631</t>
  </si>
  <si>
    <t>2026041577374761</t>
  </si>
  <si>
    <t>고나연</t>
  </si>
  <si>
    <t>ko****</t>
  </si>
  <si>
    <t>92234493945</t>
  </si>
  <si>
    <t>2026041599945821</t>
  </si>
  <si>
    <t>2026041513085321</t>
  </si>
  <si>
    <t>star******</t>
  </si>
  <si>
    <t>92234538686</t>
  </si>
  <si>
    <t>2026041815606521</t>
  </si>
  <si>
    <t>2026041876630651</t>
  </si>
  <si>
    <t>민소윤</t>
  </si>
  <si>
    <t>alsr*******</t>
  </si>
  <si>
    <t>92234571800</t>
  </si>
  <si>
    <t>2026041645766931</t>
  </si>
  <si>
    <t>2026041636396971</t>
  </si>
  <si>
    <t>심지윤</t>
  </si>
  <si>
    <t>wldb********</t>
  </si>
  <si>
    <t>92234538141</t>
  </si>
  <si>
    <t>2026041758511001</t>
  </si>
  <si>
    <t>2026041744898351</t>
  </si>
  <si>
    <t>조주혁</t>
  </si>
  <si>
    <t>juhy****</t>
  </si>
  <si>
    <t>92234559616</t>
  </si>
  <si>
    <t>2026041821287191</t>
  </si>
  <si>
    <t>2026041880648691</t>
  </si>
  <si>
    <t>황유진</t>
  </si>
  <si>
    <t>core****</t>
  </si>
  <si>
    <t>92234571903</t>
  </si>
  <si>
    <t>2026041631706591</t>
  </si>
  <si>
    <t>2026041627192091</t>
  </si>
  <si>
    <t>cho9*****</t>
  </si>
  <si>
    <t>92234537802</t>
  </si>
  <si>
    <t>2026041782371471</t>
  </si>
  <si>
    <t>2026041760606091</t>
  </si>
  <si>
    <t>김인아</t>
  </si>
  <si>
    <t>inlu*******</t>
  </si>
  <si>
    <t>92234560025</t>
  </si>
  <si>
    <t>2026041588419481</t>
  </si>
  <si>
    <t>2026041595357021</t>
  </si>
  <si>
    <t>유상미</t>
  </si>
  <si>
    <t>ad****</t>
  </si>
  <si>
    <t>92234536962</t>
  </si>
  <si>
    <t>2026041615015951</t>
  </si>
  <si>
    <t>2026041616267571</t>
  </si>
  <si>
    <t>dndb******</t>
  </si>
  <si>
    <t>92234537264</t>
  </si>
  <si>
    <t>2026041650735821</t>
  </si>
  <si>
    <t>2026041639809971</t>
  </si>
  <si>
    <t>이세정</t>
  </si>
  <si>
    <t>dltp*******</t>
  </si>
  <si>
    <t>92234538255</t>
  </si>
  <si>
    <t>2026041785693111</t>
  </si>
  <si>
    <t>2026041762917441</t>
  </si>
  <si>
    <t>박소희</t>
  </si>
  <si>
    <t>92234560084</t>
  </si>
  <si>
    <t>2026041580758321</t>
  </si>
  <si>
    <t>2026041590385801</t>
  </si>
  <si>
    <t>정진이</t>
  </si>
  <si>
    <t>jiny*****</t>
  </si>
  <si>
    <t>92234536660</t>
  </si>
  <si>
    <t>2026041564303761</t>
  </si>
  <si>
    <t>2026041579568981</t>
  </si>
  <si>
    <t>김윤옥</t>
  </si>
  <si>
    <t>bbib******</t>
  </si>
  <si>
    <t>92234494343</t>
  </si>
  <si>
    <t>2026041956566431</t>
  </si>
  <si>
    <t>2026041914585541</t>
  </si>
  <si>
    <t>stan******</t>
  </si>
  <si>
    <t>92234603370</t>
  </si>
  <si>
    <t>2026041571480761</t>
  </si>
  <si>
    <t>2026041584318941</t>
  </si>
  <si>
    <t>서준석</t>
  </si>
  <si>
    <t>seo7***</t>
  </si>
  <si>
    <t>92234538325</t>
  </si>
  <si>
    <t>2026041591261721</t>
  </si>
  <si>
    <t>2026041597251371</t>
  </si>
  <si>
    <t>2026041639496741</t>
  </si>
  <si>
    <t>2026041632198791</t>
  </si>
  <si>
    <t>codb*****</t>
  </si>
  <si>
    <t>92234538001</t>
  </si>
  <si>
    <t>2026041625465661</t>
  </si>
  <si>
    <t>2026041623115031</t>
  </si>
  <si>
    <t>이슬비</t>
  </si>
  <si>
    <t>ye****</t>
  </si>
  <si>
    <t>92234537706</t>
  </si>
  <si>
    <t>2026041898670991</t>
  </si>
  <si>
    <t>2026041871745081</t>
  </si>
  <si>
    <t>박은욱</t>
  </si>
  <si>
    <t>92234571693</t>
  </si>
  <si>
    <t>2026041578216841</t>
  </si>
  <si>
    <t>2026041588765621</t>
  </si>
  <si>
    <t>이지해</t>
  </si>
  <si>
    <t>wlgo****</t>
  </si>
  <si>
    <t>92234536542</t>
  </si>
  <si>
    <t>2026041758938901</t>
  </si>
  <si>
    <t>2026041745168761</t>
  </si>
  <si>
    <t>ssun***</t>
  </si>
  <si>
    <t>92234559642</t>
  </si>
  <si>
    <t>2026041761433291</t>
  </si>
  <si>
    <t>92234559723</t>
  </si>
  <si>
    <t>2026041589567841</t>
  </si>
  <si>
    <t>2026041596113081</t>
  </si>
  <si>
    <t>ccec*****</t>
  </si>
  <si>
    <t>92234536984</t>
  </si>
  <si>
    <t>2026041957722691</t>
  </si>
  <si>
    <t>92234571940</t>
  </si>
  <si>
    <t>2026041593182781</t>
  </si>
  <si>
    <t>2026041598579751</t>
  </si>
  <si>
    <t>신다희</t>
  </si>
  <si>
    <t>qa****</t>
  </si>
  <si>
    <t>92234537161</t>
  </si>
  <si>
    <t>2026041457801761</t>
  </si>
  <si>
    <t>2026041475348261</t>
  </si>
  <si>
    <t>조수민</t>
  </si>
  <si>
    <t>seph****</t>
  </si>
  <si>
    <t>92234493584</t>
  </si>
  <si>
    <t>2026041632371541</t>
  </si>
  <si>
    <t>2026041627625511</t>
  </si>
  <si>
    <t>노지현</t>
  </si>
  <si>
    <t>njhk******</t>
  </si>
  <si>
    <t>92234537846</t>
  </si>
  <si>
    <t>2026041792704061</t>
  </si>
  <si>
    <t>2026041767695031</t>
  </si>
  <si>
    <t>윤미소</t>
  </si>
  <si>
    <t>ippn****</t>
  </si>
  <si>
    <t>92234571601</t>
  </si>
  <si>
    <t>2026041785239481</t>
  </si>
  <si>
    <t>2026041762596661</t>
  </si>
  <si>
    <t>이우경</t>
  </si>
  <si>
    <t>hu****</t>
  </si>
  <si>
    <t>92234560062</t>
  </si>
  <si>
    <t>2026041573167191</t>
  </si>
  <si>
    <t>2026041585434191</t>
  </si>
  <si>
    <t>유소연</t>
  </si>
  <si>
    <t>stel*******</t>
  </si>
  <si>
    <t>92234495043</t>
  </si>
  <si>
    <t>2026041811274391</t>
  </si>
  <si>
    <t>92234560132</t>
  </si>
  <si>
    <t>2026041597370641</t>
  </si>
  <si>
    <t>2026041511416031</t>
  </si>
  <si>
    <t>조현지</t>
  </si>
  <si>
    <t>92234536181</t>
  </si>
  <si>
    <t>2026041594140841</t>
  </si>
  <si>
    <t>2026041599231481</t>
  </si>
  <si>
    <t>thel********</t>
  </si>
  <si>
    <t>92234537205</t>
  </si>
  <si>
    <t>2026041761371451</t>
  </si>
  <si>
    <t>2026041746728591</t>
  </si>
  <si>
    <t>ssic*****</t>
  </si>
  <si>
    <t>92234559712</t>
  </si>
  <si>
    <t>2026041588067341</t>
  </si>
  <si>
    <t>2026041595121801</t>
  </si>
  <si>
    <t>조은심</t>
  </si>
  <si>
    <t>jes1***</t>
  </si>
  <si>
    <t>92234538535</t>
  </si>
  <si>
    <t>2026041947673811</t>
  </si>
  <si>
    <t>2026041998507581</t>
  </si>
  <si>
    <t>sh22****</t>
  </si>
  <si>
    <t>92234560213</t>
  </si>
  <si>
    <t>2026041621449171</t>
  </si>
  <si>
    <t>2026041620499231</t>
  </si>
  <si>
    <t>LEE MEE JEONG</t>
  </si>
  <si>
    <t>ashl****</t>
  </si>
  <si>
    <t>92234537570</t>
  </si>
  <si>
    <t>2026041562167631</t>
  </si>
  <si>
    <t>2026041578068931</t>
  </si>
  <si>
    <t>kes5***</t>
  </si>
  <si>
    <t>92234495533</t>
  </si>
  <si>
    <t>2026041831456881</t>
  </si>
  <si>
    <t>2026041887540321</t>
  </si>
  <si>
    <t>이창욱</t>
  </si>
  <si>
    <t>92234367175</t>
  </si>
  <si>
    <t>2026041635967531</t>
  </si>
  <si>
    <t>2026041629935891</t>
  </si>
  <si>
    <t>신승훈</t>
  </si>
  <si>
    <t>flcl****</t>
  </si>
  <si>
    <t>92234537916</t>
  </si>
  <si>
    <t>2026041577554521</t>
  </si>
  <si>
    <t>2026041588332521</t>
  </si>
  <si>
    <t>김미주</t>
  </si>
  <si>
    <t>alwn***</t>
  </si>
  <si>
    <t>92234536483</t>
  </si>
  <si>
    <t>2026041567525941</t>
  </si>
  <si>
    <t>2026041581735591</t>
  </si>
  <si>
    <t>양유정</t>
  </si>
  <si>
    <t>ujya******</t>
  </si>
  <si>
    <t>92234494741</t>
  </si>
  <si>
    <t>2026041637308111</t>
  </si>
  <si>
    <t>2026041630788651</t>
  </si>
  <si>
    <t>황수영</t>
  </si>
  <si>
    <t>soot****</t>
  </si>
  <si>
    <t>92234537953</t>
  </si>
  <si>
    <t>2026041575691521</t>
  </si>
  <si>
    <t>2026041587103551</t>
  </si>
  <si>
    <t>권혜인</t>
  </si>
  <si>
    <t>hyen****</t>
  </si>
  <si>
    <t>92234495345</t>
  </si>
  <si>
    <t>2026041588190641</t>
  </si>
  <si>
    <t>2026041595204341</t>
  </si>
  <si>
    <t>김정연</t>
  </si>
  <si>
    <t>ek****</t>
  </si>
  <si>
    <t>92234536951</t>
  </si>
  <si>
    <t>2026041572348541</t>
  </si>
  <si>
    <t>2026041584900091</t>
  </si>
  <si>
    <t>박주화</t>
  </si>
  <si>
    <t>wngh*****</t>
  </si>
  <si>
    <t>92234495010</t>
  </si>
  <si>
    <t>2026041617187451</t>
  </si>
  <si>
    <t>2026041617599931</t>
  </si>
  <si>
    <t>고진아</t>
  </si>
  <si>
    <t>kyu0***</t>
  </si>
  <si>
    <t>92234537382</t>
  </si>
  <si>
    <t>2026041641367231</t>
  </si>
  <si>
    <t>2026041633434001</t>
  </si>
  <si>
    <t>유진원</t>
  </si>
  <si>
    <t>jkmz***</t>
  </si>
  <si>
    <t>92234538045</t>
  </si>
  <si>
    <t>2026041564555961</t>
  </si>
  <si>
    <t>2026041579745311</t>
  </si>
  <si>
    <t>이미연</t>
  </si>
  <si>
    <t>mdol****</t>
  </si>
  <si>
    <t>92234494413</t>
  </si>
  <si>
    <t>2026041647680431</t>
  </si>
  <si>
    <t>2026041637725031</t>
  </si>
  <si>
    <t>이홍아</t>
  </si>
  <si>
    <t>a632****</t>
  </si>
  <si>
    <t>92234538200</t>
  </si>
  <si>
    <t>2026041788671161</t>
  </si>
  <si>
    <t>2026041765010051</t>
  </si>
  <si>
    <t>92234571564</t>
  </si>
  <si>
    <t>2026041563211781</t>
  </si>
  <si>
    <t>2026041578795891</t>
  </si>
  <si>
    <t>kmch****</t>
  </si>
  <si>
    <t>92234495500</t>
  </si>
  <si>
    <t>2026041594046941</t>
  </si>
  <si>
    <t>2026041599166681</t>
  </si>
  <si>
    <t>gran***********</t>
  </si>
  <si>
    <t>92234537194</t>
  </si>
  <si>
    <t>2026041573345541</t>
  </si>
  <si>
    <t>2026041585549531</t>
  </si>
  <si>
    <t>bomi*****</t>
  </si>
  <si>
    <t>92234495054</t>
  </si>
  <si>
    <t>2026041559647481</t>
  </si>
  <si>
    <t>2026041576506961</t>
  </si>
  <si>
    <t>차하나</t>
  </si>
  <si>
    <t>92234493820</t>
  </si>
  <si>
    <t>2026041459008901</t>
  </si>
  <si>
    <t>2026041476106471</t>
  </si>
  <si>
    <t>김하윤</t>
  </si>
  <si>
    <t>bobo***</t>
  </si>
  <si>
    <t>92234493735</t>
  </si>
  <si>
    <t>2026041633605811</t>
  </si>
  <si>
    <t>2026041628426331</t>
  </si>
  <si>
    <t>ah_d*****</t>
  </si>
  <si>
    <t>92234537861</t>
  </si>
  <si>
    <t>2026041626438201</t>
  </si>
  <si>
    <t>2026041623726051</t>
  </si>
  <si>
    <t>LEE YOO JIN</t>
  </si>
  <si>
    <t>lara*******</t>
  </si>
  <si>
    <t>92234537732</t>
  </si>
  <si>
    <t>2026041562042781</t>
  </si>
  <si>
    <t>2026041577987311</t>
  </si>
  <si>
    <t>최은희</t>
  </si>
  <si>
    <t>nang*******</t>
  </si>
  <si>
    <t>92234494111</t>
  </si>
  <si>
    <t>2026041564429521</t>
  </si>
  <si>
    <t>2026041579658211</t>
  </si>
  <si>
    <t>김태림</t>
  </si>
  <si>
    <t>soul***</t>
  </si>
  <si>
    <t>92234494376</t>
  </si>
  <si>
    <t>2026041561857271</t>
  </si>
  <si>
    <t>2026041577872401</t>
  </si>
  <si>
    <t>차수민</t>
  </si>
  <si>
    <t>a102***</t>
  </si>
  <si>
    <t>92234494096</t>
  </si>
  <si>
    <t>2026041569472261</t>
  </si>
  <si>
    <t>2026041583012641</t>
  </si>
  <si>
    <t>이경주</t>
  </si>
  <si>
    <t>wang********</t>
  </si>
  <si>
    <t>92234494866</t>
  </si>
  <si>
    <t>2026041565499261</t>
  </si>
  <si>
    <t>2026041580396731</t>
  </si>
  <si>
    <t>92234494553</t>
  </si>
  <si>
    <t>2026041570827301</t>
  </si>
  <si>
    <t>2026041583898251</t>
  </si>
  <si>
    <t>오선희</t>
  </si>
  <si>
    <t>oe****</t>
  </si>
  <si>
    <t>92234495404</t>
  </si>
  <si>
    <t>2026041568513181</t>
  </si>
  <si>
    <t>2026041582369391</t>
  </si>
  <si>
    <t>kyou******</t>
  </si>
  <si>
    <t>92234494796</t>
  </si>
  <si>
    <t>2026041565985151</t>
  </si>
  <si>
    <t>2026041580727011</t>
  </si>
  <si>
    <t>맹보미</t>
  </si>
  <si>
    <t>ph****</t>
  </si>
  <si>
    <t>92234494601</t>
  </si>
  <si>
    <t>2026041645915061</t>
  </si>
  <si>
    <t>2026041636499521</t>
  </si>
  <si>
    <t>최정원</t>
  </si>
  <si>
    <t>jjww*****</t>
  </si>
  <si>
    <t>가든</t>
  </si>
  <si>
    <t>92234538152</t>
  </si>
  <si>
    <t>2026041565794391</t>
  </si>
  <si>
    <t>2026041580599681</t>
  </si>
  <si>
    <t>홍지은</t>
  </si>
  <si>
    <t>ghdw*****</t>
  </si>
  <si>
    <t>92234494590</t>
  </si>
  <si>
    <t>2026041512284311</t>
  </si>
  <si>
    <t>2026041514551831</t>
  </si>
  <si>
    <t>dkrk***</t>
  </si>
  <si>
    <t>92234536365</t>
  </si>
  <si>
    <t>2026041933875421</t>
  </si>
  <si>
    <t>92234346820</t>
  </si>
  <si>
    <t>2026041815272281</t>
  </si>
  <si>
    <t>2026041876392211</t>
  </si>
  <si>
    <t>dpsw******</t>
  </si>
  <si>
    <t>92234571785</t>
  </si>
  <si>
    <t>2026041559590271</t>
  </si>
  <si>
    <t>2026041576472131</t>
  </si>
  <si>
    <t>박세인</t>
  </si>
  <si>
    <t>psi5***</t>
  </si>
  <si>
    <t>92234493805</t>
  </si>
  <si>
    <t>2026041769305741</t>
  </si>
  <si>
    <t>2026041752007451</t>
  </si>
  <si>
    <t>안소영</t>
  </si>
  <si>
    <t>dh_0***</t>
  </si>
  <si>
    <t>92234559885</t>
  </si>
  <si>
    <t>2026041618340081</t>
  </si>
  <si>
    <t>2026041618362131</t>
  </si>
  <si>
    <t>신라겸</t>
  </si>
  <si>
    <t>tlsq******</t>
  </si>
  <si>
    <t>92234537452</t>
  </si>
  <si>
    <t>2026041623279921</t>
  </si>
  <si>
    <t>2026041621700961</t>
  </si>
  <si>
    <t>ribo****</t>
  </si>
  <si>
    <t>92234537640</t>
  </si>
  <si>
    <t>2026041576329061</t>
  </si>
  <si>
    <t>2026041587524301</t>
  </si>
  <si>
    <t>유지안</t>
  </si>
  <si>
    <t>yuyu***</t>
  </si>
  <si>
    <t>92234538631</t>
  </si>
  <si>
    <t>2026041772305971</t>
  </si>
  <si>
    <t>92234559911</t>
  </si>
  <si>
    <t>2026041562588551</t>
  </si>
  <si>
    <t>2026041578354751</t>
  </si>
  <si>
    <t>lost***</t>
  </si>
  <si>
    <t>92234494155</t>
  </si>
  <si>
    <t>2026041645354951</t>
  </si>
  <si>
    <t>2026041636116991</t>
  </si>
  <si>
    <t>helm*****</t>
  </si>
  <si>
    <t>92234538126</t>
  </si>
  <si>
    <t>2026041647601701</t>
  </si>
  <si>
    <t>2026041637670451</t>
  </si>
  <si>
    <t>suye*****</t>
  </si>
  <si>
    <t>김민호</t>
  </si>
  <si>
    <t>92234538196</t>
  </si>
  <si>
    <t>2026041810793051</t>
  </si>
  <si>
    <t>2026041873233721</t>
  </si>
  <si>
    <t>스윗홈</t>
  </si>
  <si>
    <t>92234571730</t>
  </si>
  <si>
    <t>2026041769741531</t>
  </si>
  <si>
    <t>2026041752288891</t>
  </si>
  <si>
    <t>dmsg*****</t>
  </si>
  <si>
    <t>이태겸</t>
  </si>
  <si>
    <t>92234559896</t>
  </si>
  <si>
    <t>2026041581637101</t>
  </si>
  <si>
    <t>2026041590945041</t>
  </si>
  <si>
    <t>곽지수</t>
  </si>
  <si>
    <t>kken*****</t>
  </si>
  <si>
    <t>92234538605</t>
  </si>
  <si>
    <t>2026041513807411</t>
  </si>
  <si>
    <t>2026041515505211</t>
  </si>
  <si>
    <t>김수아</t>
  </si>
  <si>
    <t>tndk****</t>
  </si>
  <si>
    <t>92234536380</t>
  </si>
  <si>
    <t>2026041573048691</t>
  </si>
  <si>
    <t>2026041585356421</t>
  </si>
  <si>
    <t>홍영은</t>
  </si>
  <si>
    <t>hmo6***</t>
  </si>
  <si>
    <t>92234495021</t>
  </si>
  <si>
    <t>2026041572344201</t>
  </si>
  <si>
    <t>2026041584897541</t>
  </si>
  <si>
    <t>박누리</t>
  </si>
  <si>
    <t>so****</t>
  </si>
  <si>
    <t>92234495006</t>
  </si>
  <si>
    <t>2026041793570271</t>
  </si>
  <si>
    <t>2026041768233811</t>
  </si>
  <si>
    <t>남희진</t>
  </si>
  <si>
    <t>nhj6***</t>
  </si>
  <si>
    <t>92234571623</t>
  </si>
  <si>
    <t>2026041653068191</t>
  </si>
  <si>
    <t>92234553014</t>
  </si>
  <si>
    <t>2026041579126591</t>
  </si>
  <si>
    <t>2026041589348191</t>
  </si>
  <si>
    <t>박진혁</t>
  </si>
  <si>
    <t>sart*****</t>
  </si>
  <si>
    <t>최혜련</t>
  </si>
  <si>
    <t>92234536601</t>
  </si>
  <si>
    <t>2026041578029211</t>
  </si>
  <si>
    <t>2026041588642211</t>
  </si>
  <si>
    <t>kmin****</t>
  </si>
  <si>
    <t>92234536520</t>
  </si>
  <si>
    <t>2026041776955131</t>
  </si>
  <si>
    <t>2026041756992771</t>
  </si>
  <si>
    <t>민지원</t>
  </si>
  <si>
    <t>92234559955</t>
  </si>
  <si>
    <t>2026041631959861</t>
  </si>
  <si>
    <t>2026041627356631</t>
  </si>
  <si>
    <t>손소영</t>
  </si>
  <si>
    <t>thsd******</t>
  </si>
  <si>
    <t>92234537824</t>
  </si>
  <si>
    <t>2026041963053121</t>
  </si>
  <si>
    <t>2026041918812341</t>
  </si>
  <si>
    <t>dawo*****</t>
  </si>
  <si>
    <t>92234560165</t>
  </si>
  <si>
    <t>2026041787554551</t>
  </si>
  <si>
    <t>2026041764238591</t>
  </si>
  <si>
    <t>이문희</t>
  </si>
  <si>
    <t>mu****</t>
  </si>
  <si>
    <t>92234560095</t>
  </si>
  <si>
    <t>2026041584438491</t>
  </si>
  <si>
    <t>2026041592730461</t>
  </si>
  <si>
    <t>김한나</t>
  </si>
  <si>
    <t>kjz0***</t>
  </si>
  <si>
    <t>92234536811</t>
  </si>
  <si>
    <t>2026041649769531</t>
  </si>
  <si>
    <t>2026041639161071</t>
  </si>
  <si>
    <t>박상민</t>
  </si>
  <si>
    <t>je****</t>
  </si>
  <si>
    <t>92234538222</t>
  </si>
  <si>
    <t>2026041764965271</t>
  </si>
  <si>
    <t>2026041749190221</t>
  </si>
  <si>
    <t>wlsd********</t>
  </si>
  <si>
    <t>92234559841</t>
  </si>
  <si>
    <t>2026041614767511</t>
  </si>
  <si>
    <t>2026041616108621</t>
  </si>
  <si>
    <t>임현정</t>
  </si>
  <si>
    <t>lovi***</t>
  </si>
  <si>
    <t>92234537253</t>
  </si>
  <si>
    <t>2026041894884231</t>
  </si>
  <si>
    <t>2026041869102931</t>
  </si>
  <si>
    <t>hye_***</t>
  </si>
  <si>
    <t>시루우유사월이네</t>
  </si>
  <si>
    <t>92234571634</t>
  </si>
  <si>
    <t>2026041956826471</t>
  </si>
  <si>
    <t>2026041914763231</t>
  </si>
  <si>
    <t>sobb*****</t>
  </si>
  <si>
    <t>92234553062</t>
  </si>
  <si>
    <t>2026041594235891</t>
  </si>
  <si>
    <t>2026041599296621</t>
  </si>
  <si>
    <t>lse3*****</t>
  </si>
  <si>
    <t>92234537220</t>
  </si>
  <si>
    <t>2026041590193871</t>
  </si>
  <si>
    <t>2026041596529741</t>
  </si>
  <si>
    <t>오보경</t>
  </si>
  <si>
    <t>abab****</t>
  </si>
  <si>
    <t>92234537032</t>
  </si>
  <si>
    <t>2026041596904591</t>
  </si>
  <si>
    <t>2026041511109541</t>
  </si>
  <si>
    <t>rbgm****</t>
  </si>
  <si>
    <t>92234536155</t>
  </si>
  <si>
    <t>2026041574995301</t>
  </si>
  <si>
    <t>2026041586634481</t>
  </si>
  <si>
    <t>홍미나</t>
  </si>
  <si>
    <t>92234495194</t>
  </si>
  <si>
    <t>2026041585664701</t>
  </si>
  <si>
    <t>2026041593522041</t>
  </si>
  <si>
    <t>92234536892</t>
  </si>
  <si>
    <t>2026041654922201</t>
  </si>
  <si>
    <t>92234553025</t>
  </si>
  <si>
    <t>2026041563597381</t>
  </si>
  <si>
    <t>2026041579071931</t>
  </si>
  <si>
    <t>92234494240</t>
  </si>
  <si>
    <r>
      <t>CPM(1,000</t>
    </r>
    <r>
      <rPr>
        <b/>
        <sz val="11"/>
        <color rgb="FF000000"/>
        <rFont val="Malgun Gothic"/>
        <family val="2"/>
        <charset val="129"/>
      </rPr>
      <t>회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Malgun Gothic"/>
        <family val="2"/>
        <charset val="129"/>
      </rPr>
      <t>노출당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Malgun Gothic"/>
        <family val="2"/>
        <charset val="129"/>
      </rPr>
      <t>비용</t>
    </r>
    <r>
      <rPr>
        <b/>
        <sz val="11"/>
        <color rgb="FF000000"/>
        <rFont val="Calibri"/>
        <family val="2"/>
      </rPr>
      <t>) (KRW)</t>
    </r>
    <phoneticPr fontId="32" type="noConversion"/>
  </si>
  <si>
    <t>구매 ROAS(광고 지출 대비 수익률)</t>
  </si>
  <si>
    <t>2026-05-01</t>
  </si>
  <si>
    <t>2026-05-31</t>
  </si>
  <si>
    <t>20260417_포포타올 광고 캠페인</t>
  </si>
  <si>
    <r>
      <rPr>
        <sz val="10"/>
        <color theme="1"/>
        <rFont val="Arial"/>
        <family val="2"/>
        <charset val="129"/>
        <scheme val="minor"/>
      </rPr>
      <t>우프자사몰</t>
    </r>
    <r>
      <rPr>
        <sz val="10"/>
        <color theme="1"/>
        <rFont val="Arial"/>
        <family val="2"/>
        <scheme val="minor"/>
      </rPr>
      <t xml:space="preserve"> : 5/1-5/31 </t>
    </r>
    <r>
      <rPr>
        <b/>
        <sz val="10"/>
        <color theme="1"/>
        <rFont val="Arial"/>
        <family val="2"/>
        <scheme val="minor"/>
      </rPr>
      <t>[</t>
    </r>
    <r>
      <rPr>
        <b/>
        <sz val="10"/>
        <color theme="1"/>
        <rFont val="Malgun Gothic"/>
        <family val="2"/>
      </rPr>
      <t>배송완료</t>
    </r>
    <r>
      <rPr>
        <b/>
        <sz val="10"/>
        <color theme="1"/>
        <rFont val="Arial"/>
        <family val="2"/>
        <scheme val="minor"/>
      </rPr>
      <t>]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2"/>
        <charset val="129"/>
        <scheme val="minor"/>
      </rPr>
      <t>기준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2"/>
        <charset val="129"/>
        <scheme val="minor"/>
      </rPr>
      <t>집계</t>
    </r>
    <phoneticPr fontId="26" type="noConversion"/>
  </si>
  <si>
    <r>
      <rPr>
        <sz val="10"/>
        <color theme="1"/>
        <rFont val="Malgun Gothic"/>
        <family val="2"/>
      </rPr>
      <t>스마트스토어</t>
    </r>
    <r>
      <rPr>
        <sz val="10"/>
        <color theme="1"/>
        <rFont val="Arial"/>
        <family val="2"/>
        <scheme val="minor"/>
      </rPr>
      <t xml:space="preserve"> : 5/1-5/31 </t>
    </r>
    <r>
      <rPr>
        <b/>
        <sz val="10"/>
        <color theme="1"/>
        <rFont val="Arial"/>
        <family val="2"/>
        <scheme val="minor"/>
      </rPr>
      <t>[</t>
    </r>
    <r>
      <rPr>
        <b/>
        <sz val="10"/>
        <color theme="1"/>
        <rFont val="Malgun Gothic"/>
        <family val="2"/>
      </rPr>
      <t>구매확정</t>
    </r>
    <r>
      <rPr>
        <b/>
        <sz val="10"/>
        <color theme="1"/>
        <rFont val="Arial"/>
        <family val="2"/>
        <scheme val="minor"/>
      </rPr>
      <t>]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</rPr>
      <t>기준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</rPr>
      <t>집계</t>
    </r>
    <phoneticPr fontId="26" type="noConversion"/>
  </si>
  <si>
    <t>제품</t>
    <phoneticPr fontId="26" type="noConversion"/>
  </si>
  <si>
    <t>구매옵션</t>
    <phoneticPr fontId="26" type="noConversion"/>
  </si>
  <si>
    <t>정상가</t>
    <phoneticPr fontId="26" type="noConversion"/>
  </si>
  <si>
    <t>공구판매가</t>
    <phoneticPr fontId="26" type="noConversion"/>
  </si>
  <si>
    <t>판매수량</t>
    <phoneticPr fontId="26" type="noConversion"/>
  </si>
  <si>
    <t>공구매출계</t>
    <phoneticPr fontId="26" type="noConversion"/>
  </si>
  <si>
    <t>공구수수료</t>
    <phoneticPr fontId="26" type="noConversion"/>
  </si>
  <si>
    <t>콘디</t>
    <phoneticPr fontId="26" type="noConversion"/>
  </si>
  <si>
    <t>카시트</t>
    <phoneticPr fontId="26" type="noConversion"/>
  </si>
  <si>
    <t>리쉬</t>
    <phoneticPr fontId="26" type="noConversion"/>
  </si>
  <si>
    <t>컬러: 체크블루 / 길이: 1.2M</t>
    <phoneticPr fontId="26" type="noConversion"/>
  </si>
  <si>
    <t>컬러: 체크블루 / 길이: 2M</t>
    <phoneticPr fontId="26" type="noConversion"/>
  </si>
  <si>
    <t>목줄</t>
    <phoneticPr fontId="26" type="noConversion"/>
  </si>
  <si>
    <t>컬러: 베지프렌즈 / 사이즈: M</t>
    <phoneticPr fontId="26" type="noConversion"/>
  </si>
  <si>
    <t>컬러: 베지프렌즈 / 사이즈: S</t>
    <phoneticPr fontId="26" type="noConversion"/>
  </si>
  <si>
    <t>컬러: 체크블루 / 사이즈: S</t>
    <phoneticPr fontId="26" type="noConversion"/>
  </si>
  <si>
    <t>컬러: 체크옐로우 / 사이즈: M</t>
    <phoneticPr fontId="26" type="noConversion"/>
  </si>
  <si>
    <t>드라잉타올</t>
    <phoneticPr fontId="26" type="noConversion"/>
  </si>
  <si>
    <t>드라잉타올추가 (정가 27000원): 1개</t>
    <phoneticPr fontId="26" type="noConversion"/>
  </si>
  <si>
    <t>포포타올</t>
    <phoneticPr fontId="26" type="noConversion"/>
  </si>
  <si>
    <t>1~5개</t>
    <phoneticPr fontId="26" type="noConversion"/>
  </si>
  <si>
    <t>스텝온</t>
    <phoneticPr fontId="26" type="noConversion"/>
  </si>
  <si>
    <t>도톤</t>
    <phoneticPr fontId="26" type="noConversion"/>
  </si>
  <si>
    <t>1개</t>
    <phoneticPr fontId="26" type="noConversion"/>
  </si>
  <si>
    <t>2개</t>
    <phoneticPr fontId="26" type="noConversion"/>
  </si>
  <si>
    <t>3개</t>
    <phoneticPr fontId="26" type="noConversion"/>
  </si>
  <si>
    <t>최종 합계</t>
    <phoneticPr fontId="26" type="noConversion"/>
  </si>
  <si>
    <t>W-20260610-1</t>
    <phoneticPr fontId="26" type="noConversion"/>
  </si>
  <si>
    <t>영이공구 (2026.05) 판매 내역 정산</t>
    <phoneticPr fontId="26" type="noConversion"/>
  </si>
  <si>
    <t>5월 판매액</t>
    <phoneticPr fontId="26" type="noConversion"/>
  </si>
  <si>
    <t>베럴즈 아웃도어대전 드라잉타올</t>
    <phoneticPr fontId="26" type="noConversion"/>
  </si>
  <si>
    <t>5/12 - 진행중</t>
    <phoneticPr fontId="26" type="noConversion"/>
  </si>
  <si>
    <t>4/13 - 5/24</t>
    <phoneticPr fontId="26" type="noConversion"/>
  </si>
  <si>
    <t>5월 광고비 정산</t>
    <phoneticPr fontId="26" type="noConversion"/>
  </si>
  <si>
    <t>포포타올 광고비</t>
    <phoneticPr fontId="26" type="noConversion"/>
  </si>
  <si>
    <t>* 5/1-5/31 배송완료 내역 및 구매확정(스마트스토어) 내역 기준입니다.</t>
    <phoneticPr fontId="26" type="noConversion"/>
  </si>
  <si>
    <t>* 5/31 일 기준으로 매출 세금계산서 정발행해 주시면 익월 15일 까지 지정된 계좌로 지급 예정입니다.</t>
    <phoneticPr fontId="2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</si>
</sst>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176" formatCode="yyyy&quot;년 &quot;m&quot;월 &quot;d&quot;일&quot;"/>
    <numFmt numFmtId="177" formatCode="[$₩-412]#,##0"/>
    <numFmt numFmtId="178" formatCode="[$₩]#,##0"/>
    <numFmt numFmtId="179" formatCode="[$₩]#,000"/>
    <numFmt numFmtId="180" formatCode="#,000"/>
    <numFmt numFmtId="183" formatCode="yyyy/mm/dd\ hh:mm"/>
    <numFmt numFmtId="184" formatCode="&quot;\&quot;#,##0"/>
  </numFmts>
  <fonts count="37">
    <font>
      <sz val="10"/>
      <color rgb="FF000000"/>
      <name val="Arial"/>
      <scheme val="minor"/>
    </font>
    <font>
      <sz val="10"/>
      <color rgb="FF000000"/>
      <name val="Noto Sans KR"/>
      <charset val="129"/>
    </font>
    <font>
      <sz val="14"/>
      <color rgb="FF000000"/>
      <name val="Noto Sans KR"/>
      <charset val="129"/>
    </font>
    <font>
      <b/>
      <sz val="23"/>
      <color rgb="FF000000"/>
      <name val="Noto Sans KR"/>
      <charset val="129"/>
    </font>
    <font>
      <sz val="13"/>
      <color rgb="FF000000"/>
      <name val="Noto Sans KR"/>
      <charset val="129"/>
    </font>
    <font>
      <b/>
      <sz val="10"/>
      <color theme="1"/>
      <name val="Noto Sans KR"/>
      <charset val="129"/>
    </font>
    <font>
      <sz val="10"/>
      <name val="Arial"/>
      <family val="2"/>
    </font>
    <font>
      <b/>
      <sz val="12"/>
      <color rgb="FF000000"/>
      <name val="Noto Sans KR"/>
      <charset val="129"/>
    </font>
    <font>
      <sz val="10"/>
      <color theme="1"/>
      <name val="Noto Sans KR"/>
      <charset val="129"/>
    </font>
    <font>
      <b/>
      <sz val="10"/>
      <color rgb="FF000000"/>
      <name val="Noto Sans KR"/>
      <charset val="129"/>
    </font>
    <font>
      <sz val="9"/>
      <color rgb="FF000000"/>
      <name val="Noto Sans KR"/>
      <charset val="129"/>
    </font>
    <font>
      <sz val="10"/>
      <color rgb="FF000000"/>
      <name val="Noto Sans KR"/>
      <charset val="129"/>
    </font>
    <font>
      <sz val="10"/>
      <color theme="1"/>
      <name val="Noto Sans KR"/>
      <charset val="129"/>
    </font>
    <font>
      <sz val="8"/>
      <color theme="1"/>
      <name val="Noto Sans KR"/>
      <charset val="129"/>
    </font>
    <font>
      <b/>
      <sz val="9"/>
      <color theme="1"/>
      <name val="Noto Sans KR"/>
      <charset val="129"/>
    </font>
    <font>
      <sz val="8"/>
      <color rgb="FF000000"/>
      <name val="Noto Sans KR"/>
      <charset val="129"/>
    </font>
    <font>
      <b/>
      <sz val="9"/>
      <color rgb="FF000000"/>
      <name val="Noto Sans KR"/>
      <charset val="129"/>
    </font>
    <font>
      <sz val="9"/>
      <color theme="1"/>
      <name val="Noto Sans KR"/>
      <charset val="129"/>
    </font>
    <font>
      <b/>
      <sz val="10"/>
      <color rgb="FF000000"/>
      <name val="Noto Sans KR"/>
      <charset val="129"/>
    </font>
    <font>
      <b/>
      <sz val="13"/>
      <color rgb="FF000000"/>
      <name val="Noto Sans KR"/>
      <charset val="129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sz val="10"/>
      <color rgb="FF000000"/>
      <name val="Arial"/>
      <family val="2"/>
      <scheme val="minor"/>
    </font>
    <font>
      <sz val="8"/>
      <name val="Arial"/>
      <family val="3"/>
      <charset val="129"/>
      <scheme val="minor"/>
    </font>
    <font>
      <sz val="10"/>
      <color theme="1"/>
      <name val="Arial"/>
      <family val="2"/>
      <charset val="129"/>
      <scheme val="minor"/>
    </font>
    <font>
      <sz val="10"/>
      <color theme="1"/>
      <name val="Arial"/>
      <family val="2"/>
    </font>
    <font>
      <sz val="10"/>
      <color theme="1"/>
      <name val="Malgun Gothic"/>
      <family val="2"/>
    </font>
    <font>
      <b/>
      <sz val="11"/>
      <name val="맑은 고딕"/>
      <family val="2"/>
      <charset val="129"/>
    </font>
    <font>
      <b/>
      <sz val="11"/>
      <color rgb="FF000000"/>
      <name val="Malgun Gothic"/>
      <family val="2"/>
      <charset val="129"/>
    </font>
    <font>
      <sz val="8"/>
      <name val="나눔고딕OTF"/>
      <family val="3"/>
      <charset val="129"/>
    </font>
    <font>
      <b/>
      <sz val="10"/>
      <color theme="1"/>
      <name val="Arial"/>
      <family val="2"/>
      <charset val="129"/>
      <scheme val="minor"/>
    </font>
    <font>
      <b/>
      <sz val="10"/>
      <color theme="1"/>
      <name val="Malgun Gothic"/>
      <family val="2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  <fill>
      <patternFill patternType="solid">
        <fgColor rgb="FFCCCCFF"/>
      </patternFill>
    </fill>
    <fill>
      <patternFill patternType="solid">
        <fgColor theme="2"/>
        <bgColor indexed="64"/>
      </patternFill>
    </fill>
    <fill>
      <patternFill patternType="solid">
        <fgColor rgb="FFCCECFF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 style="hair">
        <color theme="0" tint="-0.499984740745262"/>
      </bottom>
      <diagonal/>
    </border>
    <border>
      <left/>
      <right/>
      <top/>
      <bottom style="hair">
        <color theme="0" tint="-0.499984740745262"/>
      </bottom>
      <diagonal/>
    </border>
    <border>
      <left/>
      <right style="medium">
        <color rgb="FF000000"/>
      </right>
      <top/>
      <bottom style="hair">
        <color theme="0" tint="-0.499984740745262"/>
      </bottom>
      <diagonal/>
    </border>
  </borders>
  <cellStyleXfs count="4">
    <xf numFmtId="0" fontId="0" fillId="0" borderId="0"/>
    <xf numFmtId="41" fontId="25" fillId="0" borderId="0" applyFont="0" applyFill="0" applyBorder="0" applyAlignment="0" applyProtection="0">
      <alignment vertical="center"/>
    </xf>
    <xf numFmtId="0" fontId="35" fillId="0" borderId="0"/>
    <xf numFmtId="41" fontId="35" fillId="0" borderId="0" applyFont="0" applyFill="0" applyBorder="0" applyAlignment="0" applyProtection="0">
      <alignment vertical="center"/>
    </xf>
  </cellStyleXfs>
  <cellXfs count="1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14" fontId="1" fillId="2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7" fillId="0" borderId="0" xfId="0" applyFont="1"/>
    <xf numFmtId="0" fontId="5" fillId="0" borderId="0" xfId="0" applyFont="1" applyAlignment="1">
      <alignment vertical="center"/>
    </xf>
    <xf numFmtId="0" fontId="8" fillId="0" borderId="0" xfId="0" applyFont="1"/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/>
    <xf numFmtId="0" fontId="8" fillId="0" borderId="2" xfId="0" applyFont="1" applyBorder="1"/>
    <xf numFmtId="0" fontId="8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/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3" fontId="15" fillId="0" borderId="0" xfId="0" applyNumberFormat="1" applyFont="1" applyAlignment="1">
      <alignment horizontal="center" vertical="center"/>
    </xf>
    <xf numFmtId="3" fontId="16" fillId="0" borderId="0" xfId="0" applyNumberFormat="1" applyFont="1" applyAlignment="1">
      <alignment horizontal="center" vertical="center"/>
    </xf>
    <xf numFmtId="9" fontId="10" fillId="0" borderId="0" xfId="0" applyNumberFormat="1" applyFont="1" applyAlignment="1">
      <alignment horizontal="center" vertical="center"/>
    </xf>
    <xf numFmtId="177" fontId="16" fillId="0" borderId="7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4" fillId="0" borderId="6" xfId="0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0" fontId="10" fillId="0" borderId="0" xfId="0" applyFont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6" fillId="0" borderId="9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5" fillId="0" borderId="9" xfId="0" applyFont="1" applyBorder="1" applyAlignment="1">
      <alignment horizontal="center" vertical="center"/>
    </xf>
    <xf numFmtId="3" fontId="16" fillId="0" borderId="9" xfId="0" applyNumberFormat="1" applyFont="1" applyBorder="1" applyAlignment="1">
      <alignment horizontal="center" vertical="center"/>
    </xf>
    <xf numFmtId="9" fontId="10" fillId="0" borderId="9" xfId="0" applyNumberFormat="1" applyFont="1" applyBorder="1" applyAlignment="1">
      <alignment horizontal="center" vertical="center"/>
    </xf>
    <xf numFmtId="3" fontId="9" fillId="0" borderId="10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178" fontId="1" fillId="0" borderId="0" xfId="0" applyNumberFormat="1" applyFont="1"/>
    <xf numFmtId="0" fontId="1" fillId="0" borderId="3" xfId="0" applyFont="1" applyBorder="1"/>
    <xf numFmtId="0" fontId="1" fillId="0" borderId="4" xfId="0" applyFont="1" applyBorder="1"/>
    <xf numFmtId="177" fontId="18" fillId="0" borderId="5" xfId="0" applyNumberFormat="1" applyFont="1" applyBorder="1"/>
    <xf numFmtId="0" fontId="1" fillId="0" borderId="6" xfId="0" applyFont="1" applyBorder="1"/>
    <xf numFmtId="177" fontId="18" fillId="0" borderId="7" xfId="0" applyNumberFormat="1" applyFont="1" applyBorder="1"/>
    <xf numFmtId="179" fontId="1" fillId="0" borderId="7" xfId="0" applyNumberFormat="1" applyFont="1" applyBorder="1"/>
    <xf numFmtId="0" fontId="1" fillId="3" borderId="8" xfId="0" applyFont="1" applyFill="1" applyBorder="1"/>
    <xf numFmtId="0" fontId="1" fillId="3" borderId="9" xfId="0" applyFont="1" applyFill="1" applyBorder="1"/>
    <xf numFmtId="178" fontId="19" fillId="3" borderId="10" xfId="0" applyNumberFormat="1" applyFont="1" applyFill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0" fillId="0" borderId="0" xfId="0" applyFont="1" applyAlignment="1">
      <alignment horizontal="right" vertical="center"/>
    </xf>
    <xf numFmtId="0" fontId="20" fillId="0" borderId="0" xfId="0" applyFont="1" applyAlignment="1">
      <alignment horizontal="left"/>
    </xf>
    <xf numFmtId="0" fontId="20" fillId="0" borderId="0" xfId="0" applyFont="1"/>
    <xf numFmtId="0" fontId="21" fillId="0" borderId="0" xfId="0" applyFont="1"/>
    <xf numFmtId="0" fontId="22" fillId="0" borderId="11" xfId="0" applyFont="1" applyBorder="1" applyAlignment="1">
      <alignment horizontal="center" vertical="center"/>
    </xf>
    <xf numFmtId="0" fontId="23" fillId="0" borderId="11" xfId="0" applyFont="1" applyBorder="1" applyAlignment="1">
      <alignment horizontal="left" vertical="center"/>
    </xf>
    <xf numFmtId="180" fontId="23" fillId="0" borderId="11" xfId="0" applyNumberFormat="1" applyFont="1" applyBorder="1" applyAlignment="1">
      <alignment horizontal="right" vertical="center"/>
    </xf>
    <xf numFmtId="3" fontId="22" fillId="0" borderId="11" xfId="0" applyNumberFormat="1" applyFont="1" applyBorder="1" applyAlignment="1">
      <alignment horizontal="right" vertical="center"/>
    </xf>
    <xf numFmtId="180" fontId="22" fillId="0" borderId="11" xfId="0" applyNumberFormat="1" applyFont="1" applyBorder="1" applyAlignment="1">
      <alignment horizontal="right" vertical="center"/>
    </xf>
    <xf numFmtId="3" fontId="24" fillId="0" borderId="11" xfId="0" applyNumberFormat="1" applyFont="1" applyBorder="1" applyAlignment="1">
      <alignment horizontal="right" vertical="center"/>
    </xf>
    <xf numFmtId="0" fontId="3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5" fillId="0" borderId="1" xfId="0" applyFont="1" applyBorder="1" applyAlignment="1">
      <alignment vertical="center"/>
    </xf>
    <xf numFmtId="0" fontId="6" fillId="0" borderId="1" xfId="0" applyFont="1" applyBorder="1"/>
    <xf numFmtId="0" fontId="7" fillId="0" borderId="0" xfId="0" applyFont="1"/>
    <xf numFmtId="176" fontId="1" fillId="0" borderId="0" xfId="0" applyNumberFormat="1" applyFont="1" applyAlignment="1">
      <alignment horizontal="left" vertical="center"/>
    </xf>
    <xf numFmtId="0" fontId="10" fillId="0" borderId="0" xfId="0" applyFont="1" applyAlignment="1">
      <alignment vertical="center"/>
    </xf>
    <xf numFmtId="0" fontId="7" fillId="0" borderId="2" xfId="0" applyFont="1" applyBorder="1"/>
    <xf numFmtId="0" fontId="6" fillId="0" borderId="2" xfId="0" applyFont="1" applyBorder="1"/>
    <xf numFmtId="0" fontId="8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8" fillId="3" borderId="9" xfId="0" applyFont="1" applyFill="1" applyBorder="1" applyAlignment="1">
      <alignment horizontal="right" vertical="center"/>
    </xf>
    <xf numFmtId="0" fontId="6" fillId="0" borderId="9" xfId="0" applyFont="1" applyBorder="1"/>
    <xf numFmtId="0" fontId="1" fillId="0" borderId="4" xfId="0" applyFont="1" applyBorder="1" applyAlignment="1">
      <alignment horizontal="right"/>
    </xf>
    <xf numFmtId="0" fontId="6" fillId="0" borderId="4" xfId="0" applyFont="1" applyBorder="1"/>
    <xf numFmtId="0" fontId="27" fillId="0" borderId="0" xfId="0" applyFont="1" applyAlignment="1">
      <alignment vertical="center"/>
    </xf>
    <xf numFmtId="22" fontId="27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22" fontId="0" fillId="0" borderId="0" xfId="0" applyNumberFormat="1" applyAlignment="1">
      <alignment vertical="center"/>
    </xf>
    <xf numFmtId="0" fontId="30" fillId="4" borderId="0" xfId="0" applyFont="1" applyFill="1" applyAlignment="1">
      <alignment horizontal="center"/>
    </xf>
    <xf numFmtId="183" fontId="0" fillId="0" borderId="0" xfId="0" applyNumberFormat="1" applyAlignment="1">
      <alignment horizontal="right" wrapText="1"/>
    </xf>
    <xf numFmtId="184" fontId="0" fillId="0" borderId="0" xfId="0" applyNumberFormat="1" applyAlignment="1">
      <alignment wrapText="1"/>
    </xf>
    <xf numFmtId="0" fontId="22" fillId="0" borderId="0" xfId="0" applyFont="1"/>
    <xf numFmtId="41" fontId="0" fillId="0" borderId="0" xfId="1" applyFont="1" applyAlignment="1"/>
    <xf numFmtId="0" fontId="27" fillId="0" borderId="0" xfId="0" applyFont="1"/>
    <xf numFmtId="0" fontId="33" fillId="5" borderId="12" xfId="2" applyFont="1" applyFill="1" applyBorder="1" applyAlignment="1">
      <alignment horizontal="center"/>
    </xf>
    <xf numFmtId="41" fontId="33" fillId="5" borderId="12" xfId="3" applyFont="1" applyFill="1" applyBorder="1" applyAlignment="1">
      <alignment horizontal="center"/>
    </xf>
    <xf numFmtId="0" fontId="35" fillId="0" borderId="0" xfId="2"/>
    <xf numFmtId="0" fontId="33" fillId="0" borderId="12" xfId="2" applyFont="1" applyBorder="1" applyAlignment="1">
      <alignment horizontal="center" vertical="center"/>
    </xf>
    <xf numFmtId="0" fontId="28" fillId="0" borderId="12" xfId="2" applyFont="1" applyBorder="1"/>
    <xf numFmtId="0" fontId="21" fillId="0" borderId="12" xfId="2" applyFont="1" applyBorder="1"/>
    <xf numFmtId="41" fontId="21" fillId="0" borderId="12" xfId="3" applyFont="1" applyBorder="1" applyAlignment="1"/>
    <xf numFmtId="41" fontId="21" fillId="0" borderId="12" xfId="2" applyNumberFormat="1" applyFont="1" applyBorder="1"/>
    <xf numFmtId="0" fontId="33" fillId="6" borderId="12" xfId="2" applyFont="1" applyFill="1" applyBorder="1" applyAlignment="1">
      <alignment horizontal="center" vertical="center"/>
    </xf>
    <xf numFmtId="0" fontId="36" fillId="6" borderId="12" xfId="2" applyFont="1" applyFill="1" applyBorder="1"/>
    <xf numFmtId="0" fontId="20" fillId="6" borderId="12" xfId="2" applyFont="1" applyFill="1" applyBorder="1"/>
    <xf numFmtId="41" fontId="20" fillId="6" borderId="12" xfId="3" applyFont="1" applyFill="1" applyBorder="1" applyAlignment="1"/>
    <xf numFmtId="41" fontId="20" fillId="6" borderId="12" xfId="2" applyNumberFormat="1" applyFont="1" applyFill="1" applyBorder="1"/>
    <xf numFmtId="0" fontId="21" fillId="0" borderId="12" xfId="2" applyFont="1" applyBorder="1" applyAlignment="1">
      <alignment horizontal="left" indent="1"/>
    </xf>
    <xf numFmtId="0" fontId="20" fillId="6" borderId="12" xfId="2" applyFont="1" applyFill="1" applyBorder="1" applyAlignment="1">
      <alignment horizontal="left" indent="1"/>
    </xf>
    <xf numFmtId="0" fontId="33" fillId="0" borderId="12" xfId="2" applyFont="1" applyBorder="1" applyAlignment="1">
      <alignment horizontal="center" vertical="center"/>
    </xf>
    <xf numFmtId="0" fontId="21" fillId="0" borderId="12" xfId="2" applyFont="1" applyBorder="1" applyAlignment="1">
      <alignment horizontal="center"/>
    </xf>
    <xf numFmtId="41" fontId="33" fillId="0" borderId="12" xfId="3" applyFont="1" applyBorder="1" applyAlignment="1"/>
    <xf numFmtId="41" fontId="33" fillId="0" borderId="12" xfId="2" applyNumberFormat="1" applyFont="1" applyBorder="1"/>
    <xf numFmtId="0" fontId="14" fillId="0" borderId="13" xfId="0" applyFont="1" applyBorder="1" applyAlignment="1">
      <alignment horizontal="center" vertical="center"/>
    </xf>
    <xf numFmtId="0" fontId="15" fillId="0" borderId="14" xfId="0" applyFont="1" applyBorder="1" applyAlignment="1">
      <alignment horizontal="left" vertical="center"/>
    </xf>
    <xf numFmtId="0" fontId="1" fillId="0" borderId="14" xfId="0" applyFont="1" applyBorder="1"/>
    <xf numFmtId="3" fontId="16" fillId="0" borderId="14" xfId="0" applyNumberFormat="1" applyFont="1" applyBorder="1" applyAlignment="1">
      <alignment horizontal="center" vertical="center"/>
    </xf>
    <xf numFmtId="9" fontId="10" fillId="0" borderId="14" xfId="0" applyNumberFormat="1" applyFont="1" applyBorder="1" applyAlignment="1">
      <alignment horizontal="center" vertical="center"/>
    </xf>
    <xf numFmtId="177" fontId="16" fillId="0" borderId="15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15" fillId="0" borderId="14" xfId="0" applyFont="1" applyBorder="1" applyAlignment="1">
      <alignment horizontal="center" vertical="center"/>
    </xf>
  </cellXfs>
  <cellStyles count="4">
    <cellStyle name="쉼표 [0]" xfId="1" builtinId="6"/>
    <cellStyle name="쉼표 [0] 2" xfId="3" xr:uid="{57A72FEB-065D-A443-816F-4EDF671D8B66}"/>
    <cellStyle name="표준" xfId="0" builtinId="0"/>
    <cellStyle name="표준 2" xfId="2" xr:uid="{CBAE9E5D-25E2-5F43-8A04-BB4CB3FADA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628650</xdr:colOff>
      <xdr:row>7</xdr:row>
      <xdr:rowOff>133350</xdr:rowOff>
    </xdr:from>
    <xdr:ext cx="390525" cy="419100"/>
    <xdr:pic>
      <xdr:nvPicPr>
        <xdr:cNvPr id="2" name="image2.jpg" title="이미지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1047750" cy="26670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I47"/>
  <sheetViews>
    <sheetView showGridLines="0" tabSelected="1" workbookViewId="0">
      <pane ySplit="1" topLeftCell="A2" activePane="bottomLeft" state="frozen"/>
      <selection pane="bottomLeft" activeCell="M32" sqref="M32"/>
    </sheetView>
  </sheetViews>
  <sheetFormatPr baseColWidth="10" defaultColWidth="12.6640625" defaultRowHeight="15.75" customHeight="1"/>
  <cols>
    <col min="1" max="1" width="5" customWidth="1"/>
    <col min="2" max="2" width="13.6640625" customWidth="1"/>
    <col min="3" max="3" width="6.6640625" customWidth="1"/>
    <col min="4" max="4" width="27" customWidth="1"/>
    <col min="5" max="5" width="16" customWidth="1"/>
    <col min="6" max="6" width="9.6640625" customWidth="1"/>
    <col min="7" max="7" width="11.33203125" customWidth="1"/>
    <col min="8" max="8" width="19" customWidth="1"/>
    <col min="9" max="9" width="6.1640625" customWidth="1"/>
  </cols>
  <sheetData>
    <row r="1" spans="1:9" ht="6" customHeight="1">
      <c r="A1" s="1"/>
      <c r="B1" s="1"/>
      <c r="C1" s="1"/>
      <c r="D1" s="2"/>
      <c r="E1" s="2"/>
      <c r="F1" s="3"/>
      <c r="G1" s="4"/>
      <c r="H1" s="4"/>
      <c r="I1" s="1"/>
    </row>
    <row r="2" spans="1:9" ht="27" customHeight="1">
      <c r="A2" s="5"/>
      <c r="B2" s="5"/>
      <c r="C2" s="5"/>
      <c r="D2" s="6"/>
      <c r="E2" s="6"/>
      <c r="F2" s="6"/>
      <c r="G2" s="6"/>
      <c r="H2" s="6"/>
      <c r="I2" s="5"/>
    </row>
    <row r="3" spans="1:9" ht="27.75" customHeight="1">
      <c r="A3" s="5"/>
      <c r="B3" s="66"/>
      <c r="C3" s="67"/>
      <c r="D3" s="67"/>
      <c r="E3" s="67"/>
      <c r="F3" s="67"/>
      <c r="G3" s="67"/>
      <c r="H3" s="67"/>
      <c r="I3" s="5"/>
    </row>
    <row r="4" spans="1:9" ht="7.5" customHeight="1">
      <c r="A4" s="5"/>
      <c r="B4" s="68"/>
      <c r="C4" s="67"/>
      <c r="D4" s="69"/>
      <c r="E4" s="67"/>
      <c r="F4" s="69"/>
      <c r="G4" s="67"/>
      <c r="H4" s="6"/>
      <c r="I4" s="5"/>
    </row>
    <row r="5" spans="1:9" ht="15.75" customHeight="1">
      <c r="A5" s="7"/>
      <c r="B5" s="70"/>
      <c r="C5" s="71"/>
      <c r="D5" s="71"/>
      <c r="E5" s="71"/>
      <c r="F5" s="71"/>
      <c r="G5" s="71"/>
      <c r="H5" s="71"/>
      <c r="I5" s="8"/>
    </row>
    <row r="6" spans="1:9" ht="13.5" customHeight="1">
      <c r="A6" s="7"/>
      <c r="B6" s="9"/>
      <c r="C6" s="10"/>
      <c r="D6" s="10"/>
      <c r="E6" s="11"/>
      <c r="F6" s="8"/>
      <c r="G6" s="8"/>
      <c r="H6" s="8"/>
      <c r="I6" s="8"/>
    </row>
    <row r="7" spans="1:9" ht="15.75" customHeight="1">
      <c r="A7" s="7"/>
      <c r="B7" s="9" t="s">
        <v>0</v>
      </c>
      <c r="C7" s="10" t="s">
        <v>6442</v>
      </c>
      <c r="D7" s="10"/>
      <c r="E7" s="11"/>
      <c r="F7" s="72" t="s">
        <v>1</v>
      </c>
      <c r="G7" s="67"/>
      <c r="H7" s="67"/>
      <c r="I7" s="67"/>
    </row>
    <row r="8" spans="1:9" ht="15.75" customHeight="1">
      <c r="A8" s="5"/>
      <c r="B8" s="12" t="s">
        <v>2</v>
      </c>
      <c r="C8" s="73">
        <f ca="1">TODAY()</f>
        <v>46183</v>
      </c>
      <c r="D8" s="67"/>
      <c r="E8" s="13"/>
      <c r="F8" s="74" t="s">
        <v>3</v>
      </c>
      <c r="G8" s="67"/>
      <c r="H8" s="67"/>
      <c r="I8" s="15"/>
    </row>
    <row r="9" spans="1:9" ht="15.75" customHeight="1">
      <c r="A9" s="7"/>
      <c r="B9" s="12" t="s">
        <v>4</v>
      </c>
      <c r="C9" s="6" t="s">
        <v>6443</v>
      </c>
      <c r="D9" s="8"/>
      <c r="E9" s="8"/>
      <c r="F9" s="14" t="s">
        <v>5</v>
      </c>
      <c r="G9" s="74" t="s">
        <v>6</v>
      </c>
      <c r="H9" s="67"/>
      <c r="I9" s="10"/>
    </row>
    <row r="10" spans="1:9" ht="15.75" customHeight="1">
      <c r="A10" s="7"/>
      <c r="B10" s="12" t="s">
        <v>7</v>
      </c>
      <c r="C10" s="16" t="s">
        <v>8</v>
      </c>
      <c r="D10" s="8"/>
      <c r="E10" s="8"/>
      <c r="F10" s="10" t="s">
        <v>9</v>
      </c>
      <c r="G10" s="10"/>
      <c r="H10" s="10"/>
      <c r="I10" s="10"/>
    </row>
    <row r="11" spans="1:9" ht="18" customHeight="1">
      <c r="A11" s="7"/>
      <c r="B11" s="8"/>
      <c r="C11" s="8"/>
      <c r="D11" s="8"/>
      <c r="E11" s="8"/>
      <c r="F11" s="10"/>
      <c r="G11" s="10"/>
      <c r="H11" s="10"/>
      <c r="I11" s="10"/>
    </row>
    <row r="12" spans="1:9" ht="19">
      <c r="A12" s="7"/>
      <c r="B12" s="75"/>
      <c r="C12" s="76"/>
      <c r="D12" s="76"/>
      <c r="E12" s="76"/>
      <c r="F12" s="17"/>
      <c r="G12" s="17"/>
      <c r="H12" s="17"/>
      <c r="I12" s="10"/>
    </row>
    <row r="13" spans="1:9" ht="15.75" customHeight="1">
      <c r="A13" s="7"/>
      <c r="B13" s="18" t="s">
        <v>10</v>
      </c>
      <c r="C13" s="18"/>
      <c r="D13" s="18"/>
      <c r="E13" s="18"/>
      <c r="F13" s="10"/>
      <c r="G13" s="10"/>
      <c r="H13" s="10"/>
      <c r="I13" s="10"/>
    </row>
    <row r="14" spans="1:9" ht="15" customHeight="1">
      <c r="A14" s="15"/>
      <c r="B14" s="19" t="s">
        <v>11</v>
      </c>
      <c r="C14" s="10"/>
      <c r="D14" s="10"/>
      <c r="E14" s="10"/>
      <c r="F14" s="10"/>
      <c r="G14" s="10"/>
      <c r="H14" s="10"/>
      <c r="I14" s="10"/>
    </row>
    <row r="15" spans="1:9" ht="33" customHeight="1">
      <c r="A15" s="15"/>
      <c r="B15" s="20"/>
      <c r="C15" s="10"/>
      <c r="D15" s="10"/>
      <c r="E15" s="10"/>
      <c r="F15" s="10"/>
      <c r="G15" s="10"/>
      <c r="H15" s="10"/>
      <c r="I15" s="10"/>
    </row>
    <row r="16" spans="1:9" ht="12.75" customHeight="1">
      <c r="A16" s="15"/>
      <c r="B16" s="20"/>
      <c r="C16" s="10"/>
      <c r="D16" s="77" t="s">
        <v>12</v>
      </c>
      <c r="E16" s="67"/>
      <c r="F16" s="67"/>
      <c r="G16" s="10"/>
      <c r="H16" s="10"/>
      <c r="I16" s="10"/>
    </row>
    <row r="17" spans="1:9" ht="15">
      <c r="A17" s="5"/>
      <c r="B17" s="68"/>
      <c r="C17" s="67"/>
      <c r="D17" s="68"/>
      <c r="E17" s="67"/>
      <c r="F17" s="69"/>
      <c r="G17" s="67"/>
      <c r="H17" s="67"/>
      <c r="I17" s="5"/>
    </row>
    <row r="18" spans="1:9" ht="21" customHeight="1">
      <c r="A18" s="5"/>
      <c r="B18" s="21" t="s">
        <v>13</v>
      </c>
      <c r="C18" s="22" t="s">
        <v>14</v>
      </c>
      <c r="D18" s="22"/>
      <c r="E18" s="22" t="s">
        <v>15</v>
      </c>
      <c r="F18" s="22" t="s">
        <v>16</v>
      </c>
      <c r="G18" s="22" t="s">
        <v>17</v>
      </c>
      <c r="H18" s="23" t="s">
        <v>18</v>
      </c>
      <c r="I18" s="5"/>
    </row>
    <row r="19" spans="1:9" ht="19.5" customHeight="1">
      <c r="A19" s="15"/>
      <c r="B19" s="24" t="s">
        <v>6444</v>
      </c>
      <c r="C19" s="25" t="s">
        <v>19</v>
      </c>
      <c r="D19" s="14"/>
      <c r="E19" s="26" t="s">
        <v>20</v>
      </c>
      <c r="F19" s="27">
        <f>판매내역집계!F21</f>
        <v>2283900</v>
      </c>
      <c r="G19" s="28">
        <v>0.2</v>
      </c>
      <c r="H19" s="29">
        <f t="shared" ref="H19:H24" si="0">F19*G19</f>
        <v>456780</v>
      </c>
      <c r="I19" s="15"/>
    </row>
    <row r="20" spans="1:9" ht="19.5" customHeight="1">
      <c r="A20" s="30"/>
      <c r="B20" s="31"/>
      <c r="C20" s="25" t="s">
        <v>21</v>
      </c>
      <c r="D20" s="14"/>
      <c r="E20" s="26" t="s">
        <v>20</v>
      </c>
      <c r="F20" s="27">
        <f>판매내역집계!F34+판매내역집계!F47</f>
        <v>394800</v>
      </c>
      <c r="G20" s="28">
        <v>0.2</v>
      </c>
      <c r="H20" s="29">
        <f t="shared" si="0"/>
        <v>78960</v>
      </c>
      <c r="I20" s="30"/>
    </row>
    <row r="21" spans="1:9" ht="19.5" customHeight="1">
      <c r="A21" s="5"/>
      <c r="B21" s="32"/>
      <c r="C21" s="25" t="s">
        <v>6445</v>
      </c>
      <c r="D21" s="33"/>
      <c r="E21" s="26" t="s">
        <v>6446</v>
      </c>
      <c r="F21" s="27">
        <f>판매내역집계!F49</f>
        <v>610740</v>
      </c>
      <c r="G21" s="28">
        <v>0.2</v>
      </c>
      <c r="H21" s="29">
        <f t="shared" si="0"/>
        <v>122148</v>
      </c>
      <c r="I21" s="5"/>
    </row>
    <row r="22" spans="1:9" ht="19.5" customHeight="1">
      <c r="A22" s="5"/>
      <c r="B22" s="34"/>
      <c r="C22" s="25" t="s">
        <v>22</v>
      </c>
      <c r="D22" s="13"/>
      <c r="E22" s="35" t="s">
        <v>23</v>
      </c>
      <c r="F22" s="27">
        <f>판매내역집계!F52</f>
        <v>32504630</v>
      </c>
      <c r="G22" s="28">
        <v>0.2</v>
      </c>
      <c r="H22" s="29">
        <f t="shared" si="0"/>
        <v>6500926</v>
      </c>
      <c r="I22" s="5"/>
    </row>
    <row r="23" spans="1:9" ht="19.5" customHeight="1">
      <c r="A23" s="5"/>
      <c r="B23" s="34"/>
      <c r="C23" s="25" t="s">
        <v>24</v>
      </c>
      <c r="D23" s="13"/>
      <c r="E23" s="35" t="s">
        <v>25</v>
      </c>
      <c r="F23" s="27">
        <f>판매내역집계!F15</f>
        <v>6307900</v>
      </c>
      <c r="G23" s="28">
        <v>0.2</v>
      </c>
      <c r="H23" s="29">
        <f t="shared" si="0"/>
        <v>1261580</v>
      </c>
      <c r="I23" s="5"/>
    </row>
    <row r="24" spans="1:9" ht="19.5" customHeight="1">
      <c r="A24" s="5"/>
      <c r="B24" s="118"/>
      <c r="C24" s="113" t="s">
        <v>26</v>
      </c>
      <c r="D24" s="119"/>
      <c r="E24" s="120" t="s">
        <v>6447</v>
      </c>
      <c r="F24" s="115">
        <f>판매내역집계!F58</f>
        <v>888600</v>
      </c>
      <c r="G24" s="116">
        <v>0.2</v>
      </c>
      <c r="H24" s="117">
        <f t="shared" si="0"/>
        <v>177720</v>
      </c>
      <c r="I24" s="5"/>
    </row>
    <row r="25" spans="1:9" ht="24" customHeight="1">
      <c r="A25" s="5"/>
      <c r="B25" s="36"/>
      <c r="C25" s="37" t="s">
        <v>18</v>
      </c>
      <c r="D25" s="38"/>
      <c r="E25" s="39"/>
      <c r="F25" s="40">
        <f>SUM(F19:F24)</f>
        <v>42990570</v>
      </c>
      <c r="G25" s="41"/>
      <c r="H25" s="42">
        <f>SUM(H19:H24)</f>
        <v>8598114</v>
      </c>
      <c r="I25" s="5"/>
    </row>
    <row r="26" spans="1:9" ht="19.5" customHeight="1">
      <c r="A26" s="6"/>
      <c r="B26" s="43"/>
      <c r="C26" s="6"/>
      <c r="D26" s="6"/>
      <c r="E26" s="6"/>
      <c r="F26" s="44"/>
      <c r="G26" s="44"/>
      <c r="H26" s="45"/>
      <c r="I26" s="6"/>
    </row>
    <row r="27" spans="1:9" ht="19.5" customHeight="1">
      <c r="A27" s="6"/>
      <c r="B27" s="21" t="s">
        <v>13</v>
      </c>
      <c r="C27" s="22" t="s">
        <v>14</v>
      </c>
      <c r="D27" s="22"/>
      <c r="E27" s="22"/>
      <c r="F27" s="22" t="s">
        <v>27</v>
      </c>
      <c r="G27" s="22" t="s">
        <v>28</v>
      </c>
      <c r="H27" s="23" t="s">
        <v>18</v>
      </c>
      <c r="I27" s="6"/>
    </row>
    <row r="28" spans="1:9" ht="19.5" customHeight="1">
      <c r="A28" s="6"/>
      <c r="B28" s="112" t="s">
        <v>6448</v>
      </c>
      <c r="C28" s="113" t="s">
        <v>6449</v>
      </c>
      <c r="D28" s="114"/>
      <c r="E28" s="114"/>
      <c r="F28" s="115">
        <f>'광고비용 집계'!B4</f>
        <v>619671</v>
      </c>
      <c r="G28" s="116">
        <v>0.5</v>
      </c>
      <c r="H28" s="117">
        <f t="shared" ref="H28" si="1">F28*G28</f>
        <v>309835.5</v>
      </c>
      <c r="I28" s="6"/>
    </row>
    <row r="29" spans="1:9" ht="24" customHeight="1">
      <c r="A29" s="6"/>
      <c r="B29" s="36"/>
      <c r="C29" s="37" t="s">
        <v>18</v>
      </c>
      <c r="D29" s="38"/>
      <c r="E29" s="39"/>
      <c r="F29" s="40">
        <f>SUM(F28)</f>
        <v>619671</v>
      </c>
      <c r="G29" s="41"/>
      <c r="H29" s="42">
        <f>SUM(H28:H28)</f>
        <v>309835.5</v>
      </c>
      <c r="I29" s="6"/>
    </row>
    <row r="30" spans="1:9" ht="18" customHeight="1">
      <c r="A30" s="6"/>
      <c r="B30" s="6"/>
      <c r="C30" s="6"/>
      <c r="D30" s="6"/>
      <c r="I30" s="6"/>
    </row>
    <row r="31" spans="1:9" ht="19.5" customHeight="1">
      <c r="A31" s="6"/>
      <c r="B31" s="46"/>
      <c r="C31" s="47"/>
      <c r="D31" s="47"/>
      <c r="E31" s="47"/>
      <c r="F31" s="81" t="s">
        <v>29</v>
      </c>
      <c r="G31" s="82"/>
      <c r="H31" s="48">
        <f>H25</f>
        <v>8598114</v>
      </c>
      <c r="I31" s="6"/>
    </row>
    <row r="32" spans="1:9" ht="18" customHeight="1">
      <c r="A32" s="6"/>
      <c r="B32" s="49"/>
      <c r="C32" s="6"/>
      <c r="D32" s="6"/>
      <c r="E32" s="6"/>
      <c r="F32" s="78" t="s">
        <v>30</v>
      </c>
      <c r="G32" s="67"/>
      <c r="H32" s="50">
        <f>H29</f>
        <v>309835.5</v>
      </c>
      <c r="I32" s="6"/>
    </row>
    <row r="33" spans="1:9" ht="18" customHeight="1">
      <c r="A33" s="6"/>
      <c r="B33" s="49"/>
      <c r="C33" s="6"/>
      <c r="D33" s="6"/>
      <c r="E33" s="6"/>
      <c r="F33" s="78"/>
      <c r="G33" s="67"/>
      <c r="H33" s="51"/>
      <c r="I33" s="6"/>
    </row>
    <row r="34" spans="1:9" ht="18" customHeight="1">
      <c r="A34" s="6"/>
      <c r="B34" s="52"/>
      <c r="C34" s="53"/>
      <c r="D34" s="53"/>
      <c r="E34" s="79" t="s">
        <v>31</v>
      </c>
      <c r="F34" s="80"/>
      <c r="G34" s="80"/>
      <c r="H34" s="54">
        <f>H31-H32</f>
        <v>8288278.5</v>
      </c>
      <c r="I34" s="6"/>
    </row>
    <row r="35" spans="1:9" ht="12" customHeight="1">
      <c r="A35" s="5"/>
      <c r="B35" s="14"/>
      <c r="C35" s="5"/>
      <c r="D35" s="5"/>
      <c r="E35" s="5"/>
      <c r="F35" s="55"/>
      <c r="G35" s="5"/>
      <c r="H35" s="5"/>
      <c r="I35" s="5"/>
    </row>
    <row r="36" spans="1:9" ht="12" customHeight="1">
      <c r="A36" s="5"/>
      <c r="B36" s="14" t="s">
        <v>6450</v>
      </c>
      <c r="C36" s="5"/>
      <c r="D36" s="5"/>
      <c r="E36" s="5"/>
      <c r="F36" s="55"/>
      <c r="G36" s="5"/>
      <c r="H36" s="5"/>
      <c r="I36" s="5"/>
    </row>
    <row r="37" spans="1:9" ht="19.5" customHeight="1">
      <c r="A37" s="5"/>
      <c r="B37" s="14" t="s">
        <v>6451</v>
      </c>
      <c r="C37" s="5"/>
      <c r="D37" s="5"/>
      <c r="E37" s="5"/>
      <c r="F37" s="55"/>
      <c r="G37" s="5"/>
      <c r="H37" s="5"/>
      <c r="I37" s="5"/>
    </row>
    <row r="38" spans="1:9" ht="12" customHeight="1">
      <c r="A38" s="5"/>
      <c r="B38" s="14"/>
      <c r="C38" s="5"/>
      <c r="D38" s="5"/>
      <c r="E38" s="5"/>
      <c r="F38" s="55"/>
      <c r="G38" s="5"/>
      <c r="H38" s="5"/>
      <c r="I38" s="5"/>
    </row>
    <row r="39" spans="1:9" ht="12" customHeight="1">
      <c r="A39" s="5"/>
      <c r="B39" s="14"/>
      <c r="C39" s="5"/>
      <c r="D39" s="5"/>
      <c r="E39" s="5"/>
      <c r="F39" s="55"/>
      <c r="G39" s="5"/>
      <c r="H39" s="5"/>
      <c r="I39" s="5"/>
    </row>
    <row r="40" spans="1:9" ht="12" customHeight="1">
      <c r="A40" s="5"/>
      <c r="B40" s="14"/>
      <c r="C40" s="5"/>
      <c r="D40" s="5"/>
      <c r="E40" s="5"/>
      <c r="F40" s="55"/>
      <c r="G40" s="5"/>
      <c r="H40" s="5"/>
      <c r="I40" s="5"/>
    </row>
    <row r="41" spans="1:9" ht="12" customHeight="1">
      <c r="A41" s="5"/>
      <c r="B41" s="14"/>
      <c r="C41" s="5"/>
      <c r="D41" s="5"/>
      <c r="E41" s="5"/>
      <c r="F41" s="55"/>
      <c r="G41" s="5"/>
      <c r="H41" s="5"/>
      <c r="I41" s="5"/>
    </row>
    <row r="42" spans="1:9" ht="12" customHeight="1">
      <c r="A42" s="5"/>
      <c r="B42" s="14"/>
      <c r="C42" s="5"/>
      <c r="D42" s="5"/>
      <c r="E42" s="5"/>
      <c r="F42" s="55"/>
      <c r="G42" s="5"/>
      <c r="H42" s="5"/>
      <c r="I42" s="5"/>
    </row>
    <row r="43" spans="1:9" ht="12" customHeight="1">
      <c r="A43" s="5"/>
      <c r="B43" s="14"/>
      <c r="C43" s="5"/>
      <c r="D43" s="5"/>
      <c r="E43" s="5"/>
      <c r="F43" s="55"/>
      <c r="G43" s="5"/>
      <c r="H43" s="5"/>
      <c r="I43" s="5"/>
    </row>
    <row r="44" spans="1:9" ht="12" customHeight="1">
      <c r="A44" s="5"/>
      <c r="B44" s="14"/>
      <c r="C44" s="5"/>
      <c r="D44" s="5"/>
      <c r="E44" s="5"/>
      <c r="F44" s="55"/>
      <c r="G44" s="5"/>
      <c r="H44" s="5"/>
      <c r="I44" s="5"/>
    </row>
    <row r="45" spans="1:9" ht="24" customHeight="1">
      <c r="A45" s="5"/>
      <c r="B45" s="14"/>
      <c r="C45" s="5"/>
      <c r="D45" s="5"/>
      <c r="E45" s="5"/>
      <c r="F45" s="55"/>
      <c r="G45" s="5"/>
      <c r="H45" s="5"/>
      <c r="I45" s="5"/>
    </row>
    <row r="46" spans="1:9" ht="16.5" customHeight="1">
      <c r="A46" s="14"/>
      <c r="B46" s="14"/>
      <c r="C46" s="14"/>
      <c r="D46" s="14"/>
      <c r="E46" s="14"/>
      <c r="F46" s="56"/>
      <c r="G46" s="14"/>
      <c r="H46" s="14"/>
      <c r="I46" s="14"/>
    </row>
    <row r="47" spans="1:9" ht="19.5" customHeight="1">
      <c r="A47" s="5"/>
      <c r="B47" s="14"/>
      <c r="C47" s="5"/>
      <c r="D47" s="5"/>
      <c r="E47" s="5"/>
      <c r="F47" s="55"/>
      <c r="G47" s="5"/>
      <c r="H47" s="5"/>
      <c r="I47" s="5"/>
    </row>
  </sheetData>
  <mergeCells count="18">
    <mergeCell ref="E34:G34"/>
    <mergeCell ref="F31:G31"/>
    <mergeCell ref="F32:G32"/>
    <mergeCell ref="D16:F16"/>
    <mergeCell ref="B17:C17"/>
    <mergeCell ref="D17:E17"/>
    <mergeCell ref="F17:H17"/>
    <mergeCell ref="F33:G33"/>
    <mergeCell ref="F7:I7"/>
    <mergeCell ref="C8:D8"/>
    <mergeCell ref="F8:H8"/>
    <mergeCell ref="G9:H9"/>
    <mergeCell ref="B12:E12"/>
    <mergeCell ref="B3:H3"/>
    <mergeCell ref="B4:C4"/>
    <mergeCell ref="D4:E4"/>
    <mergeCell ref="F4:G4"/>
    <mergeCell ref="B5:H5"/>
  </mergeCells>
  <phoneticPr fontId="26" type="noConversion"/>
  <printOptions horizontalCentered="1" gridLines="1"/>
  <pageMargins left="0.7" right="0.7" top="0.75" bottom="0.75" header="0" footer="0"/>
  <pageSetup paperSize="9" fitToHeight="0" pageOrder="overThenDown" orientation="portrait" cellComments="atEnd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2:L9"/>
  <sheetViews>
    <sheetView workbookViewId="0">
      <selection activeCell="C38" sqref="C38"/>
    </sheetView>
  </sheetViews>
  <sheetFormatPr baseColWidth="10" defaultColWidth="12.6640625" defaultRowHeight="15.75" customHeight="1"/>
  <cols>
    <col min="2" max="2" width="20.6640625" bestFit="1" customWidth="1"/>
    <col min="3" max="3" width="18.6640625" customWidth="1"/>
    <col min="4" max="4" width="15.1640625" customWidth="1"/>
    <col min="11" max="11" width="14.5" customWidth="1"/>
  </cols>
  <sheetData>
    <row r="2" spans="1:12" ht="15">
      <c r="A2" s="60" t="s">
        <v>68</v>
      </c>
      <c r="B2" s="60" t="s">
        <v>69</v>
      </c>
      <c r="C2" s="60" t="s">
        <v>18</v>
      </c>
      <c r="D2" s="60" t="s">
        <v>70</v>
      </c>
    </row>
    <row r="3" spans="1:12" ht="15">
      <c r="A3" s="61" t="s">
        <v>65</v>
      </c>
      <c r="B3" s="62">
        <f>D9</f>
        <v>619671</v>
      </c>
      <c r="C3" s="63">
        <f>B3</f>
        <v>619671</v>
      </c>
      <c r="D3" s="63">
        <f>C3/2</f>
        <v>309835.5</v>
      </c>
    </row>
    <row r="4" spans="1:12" ht="15">
      <c r="A4" s="61" t="s">
        <v>71</v>
      </c>
      <c r="B4" s="64">
        <f>SUM(B3)</f>
        <v>619671</v>
      </c>
      <c r="C4" s="64">
        <f>SUM(C3)</f>
        <v>619671</v>
      </c>
      <c r="D4" s="65">
        <f>SUM(D3:D3)</f>
        <v>309835.5</v>
      </c>
    </row>
    <row r="8" spans="1:12" ht="15.75" customHeight="1">
      <c r="A8" s="90" t="s">
        <v>72</v>
      </c>
      <c r="B8" s="90" t="s">
        <v>73</v>
      </c>
      <c r="C8" s="90" t="s">
        <v>74</v>
      </c>
      <c r="D8" s="90" t="s">
        <v>75</v>
      </c>
      <c r="E8" s="90" t="s">
        <v>76</v>
      </c>
      <c r="F8" s="90" t="s">
        <v>6408</v>
      </c>
      <c r="G8" s="90" t="s">
        <v>77</v>
      </c>
      <c r="H8" s="90" t="s">
        <v>78</v>
      </c>
      <c r="I8" s="90" t="s">
        <v>79</v>
      </c>
      <c r="J8" s="90" t="s">
        <v>80</v>
      </c>
      <c r="K8" s="90" t="s">
        <v>81</v>
      </c>
      <c r="L8" s="90" t="s">
        <v>6409</v>
      </c>
    </row>
    <row r="9" spans="1:12" ht="15.75" customHeight="1">
      <c r="A9" t="s">
        <v>6410</v>
      </c>
      <c r="B9" t="s">
        <v>6411</v>
      </c>
      <c r="C9" t="s">
        <v>6412</v>
      </c>
      <c r="D9" s="91">
        <v>619671</v>
      </c>
      <c r="E9">
        <v>95891</v>
      </c>
      <c r="F9">
        <v>6462.2435889999997</v>
      </c>
      <c r="G9">
        <v>71929</v>
      </c>
      <c r="H9">
        <v>1.333134</v>
      </c>
      <c r="I9">
        <v>7.0277710000000004</v>
      </c>
      <c r="J9">
        <v>5467</v>
      </c>
      <c r="K9">
        <v>91.952960000000004</v>
      </c>
    </row>
  </sheetData>
  <phoneticPr fontId="2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E2CD6-4C41-C345-BF48-B735A9DF03CC}">
  <sheetPr filterMode="1"/>
  <dimension ref="A1:G59"/>
  <sheetViews>
    <sheetView workbookViewId="0">
      <selection activeCell="B60" sqref="B60"/>
    </sheetView>
  </sheetViews>
  <sheetFormatPr baseColWidth="10" defaultRowHeight="14"/>
  <cols>
    <col min="1" max="1" width="10.83203125" style="95"/>
    <col min="2" max="2" width="47.83203125" style="95" bestFit="1" customWidth="1"/>
    <col min="3" max="5" width="10.83203125" style="95"/>
    <col min="6" max="6" width="12.33203125" style="95" bestFit="1" customWidth="1"/>
    <col min="7" max="7" width="15.6640625" style="95" customWidth="1"/>
    <col min="8" max="16384" width="10.83203125" style="95"/>
  </cols>
  <sheetData>
    <row r="1" spans="1:7">
      <c r="A1" s="57">
        <v>202605</v>
      </c>
      <c r="B1" s="58" t="s">
        <v>32</v>
      </c>
    </row>
    <row r="2" spans="1:7" ht="15">
      <c r="A2"/>
      <c r="B2" s="59" t="s">
        <v>6414</v>
      </c>
    </row>
    <row r="3" spans="1:7" ht="15">
      <c r="A3"/>
      <c r="B3" s="92" t="s">
        <v>6413</v>
      </c>
    </row>
    <row r="5" spans="1:7">
      <c r="A5" s="93" t="s">
        <v>6415</v>
      </c>
      <c r="B5" s="93" t="s">
        <v>6416</v>
      </c>
      <c r="C5" s="93" t="s">
        <v>6417</v>
      </c>
      <c r="D5" s="94" t="s">
        <v>6418</v>
      </c>
      <c r="E5" s="93" t="s">
        <v>6419</v>
      </c>
      <c r="F5" s="93" t="s">
        <v>6420</v>
      </c>
      <c r="G5" s="93" t="s">
        <v>6421</v>
      </c>
    </row>
    <row r="6" spans="1:7">
      <c r="A6" s="96" t="s">
        <v>6422</v>
      </c>
      <c r="B6" s="97" t="s">
        <v>33</v>
      </c>
      <c r="C6" s="98"/>
      <c r="D6" s="99">
        <v>26900</v>
      </c>
      <c r="E6" s="99">
        <v>62</v>
      </c>
      <c r="F6" s="100">
        <f>D6*E6</f>
        <v>1667800</v>
      </c>
      <c r="G6" s="100">
        <f>F6*20%</f>
        <v>333560</v>
      </c>
    </row>
    <row r="7" spans="1:7">
      <c r="A7" s="96"/>
      <c r="B7" s="97" t="s">
        <v>34</v>
      </c>
      <c r="C7" s="98"/>
      <c r="D7" s="99">
        <v>51900</v>
      </c>
      <c r="E7" s="99">
        <v>24</v>
      </c>
      <c r="F7" s="100">
        <f t="shared" ref="F7:F14" si="0">D7*E7</f>
        <v>1245600</v>
      </c>
      <c r="G7" s="100">
        <f t="shared" ref="G7:G14" si="1">F7*20%</f>
        <v>249120</v>
      </c>
    </row>
    <row r="8" spans="1:7">
      <c r="A8" s="96"/>
      <c r="B8" s="97" t="s">
        <v>35</v>
      </c>
      <c r="C8" s="98"/>
      <c r="D8" s="99">
        <v>71900</v>
      </c>
      <c r="E8" s="99">
        <v>9</v>
      </c>
      <c r="F8" s="100">
        <f t="shared" si="0"/>
        <v>647100</v>
      </c>
      <c r="G8" s="100">
        <f t="shared" si="1"/>
        <v>129420</v>
      </c>
    </row>
    <row r="9" spans="1:7" hidden="1">
      <c r="A9" s="96"/>
      <c r="B9" s="97" t="s">
        <v>36</v>
      </c>
      <c r="C9" s="98"/>
      <c r="D9" s="99">
        <v>26900</v>
      </c>
      <c r="E9" s="99">
        <v>0</v>
      </c>
      <c r="F9" s="100">
        <f t="shared" si="0"/>
        <v>0</v>
      </c>
      <c r="G9" s="100">
        <f t="shared" si="1"/>
        <v>0</v>
      </c>
    </row>
    <row r="10" spans="1:7" hidden="1">
      <c r="A10" s="96"/>
      <c r="B10" s="97" t="s">
        <v>37</v>
      </c>
      <c r="C10" s="98"/>
      <c r="D10" s="99">
        <v>51900</v>
      </c>
      <c r="E10" s="99">
        <v>0</v>
      </c>
      <c r="F10" s="100">
        <f t="shared" si="0"/>
        <v>0</v>
      </c>
      <c r="G10" s="100">
        <f t="shared" si="1"/>
        <v>0</v>
      </c>
    </row>
    <row r="11" spans="1:7" hidden="1">
      <c r="A11" s="96"/>
      <c r="B11" s="97" t="s">
        <v>38</v>
      </c>
      <c r="C11" s="98"/>
      <c r="D11" s="99">
        <v>71900</v>
      </c>
      <c r="E11" s="99">
        <v>0</v>
      </c>
      <c r="F11" s="100">
        <f t="shared" si="0"/>
        <v>0</v>
      </c>
      <c r="G11" s="100">
        <f t="shared" si="1"/>
        <v>0</v>
      </c>
    </row>
    <row r="12" spans="1:7">
      <c r="A12" s="96"/>
      <c r="B12" s="97" t="s">
        <v>39</v>
      </c>
      <c r="C12" s="98"/>
      <c r="D12" s="99">
        <v>51900</v>
      </c>
      <c r="E12" s="99">
        <v>28</v>
      </c>
      <c r="F12" s="100">
        <f t="shared" si="0"/>
        <v>1453200</v>
      </c>
      <c r="G12" s="100">
        <f t="shared" si="1"/>
        <v>290640</v>
      </c>
    </row>
    <row r="13" spans="1:7">
      <c r="A13" s="96"/>
      <c r="B13" s="97" t="s">
        <v>40</v>
      </c>
      <c r="C13" s="98"/>
      <c r="D13" s="99">
        <v>71900</v>
      </c>
      <c r="E13" s="99">
        <v>6</v>
      </c>
      <c r="F13" s="100">
        <f t="shared" si="0"/>
        <v>431400</v>
      </c>
      <c r="G13" s="100">
        <f t="shared" si="1"/>
        <v>86280</v>
      </c>
    </row>
    <row r="14" spans="1:7">
      <c r="A14" s="96"/>
      <c r="B14" s="97" t="s">
        <v>41</v>
      </c>
      <c r="C14" s="98"/>
      <c r="D14" s="99">
        <v>71900</v>
      </c>
      <c r="E14" s="99">
        <v>12</v>
      </c>
      <c r="F14" s="100">
        <f t="shared" si="0"/>
        <v>862800</v>
      </c>
      <c r="G14" s="100">
        <f t="shared" si="1"/>
        <v>172560</v>
      </c>
    </row>
    <row r="15" spans="1:7">
      <c r="A15" s="101"/>
      <c r="B15" s="102" t="s">
        <v>18</v>
      </c>
      <c r="C15" s="103"/>
      <c r="D15" s="104"/>
      <c r="E15" s="104">
        <f t="shared" ref="E15:G15" si="2">SUM(E6:E14)</f>
        <v>141</v>
      </c>
      <c r="F15" s="105">
        <f t="shared" si="2"/>
        <v>6307900</v>
      </c>
      <c r="G15" s="105">
        <f t="shared" si="2"/>
        <v>1261580</v>
      </c>
    </row>
    <row r="16" spans="1:7">
      <c r="A16" s="96" t="s">
        <v>6423</v>
      </c>
      <c r="B16" s="106" t="s">
        <v>42</v>
      </c>
      <c r="C16" s="98"/>
      <c r="D16" s="99">
        <v>99300</v>
      </c>
      <c r="E16" s="99">
        <v>6</v>
      </c>
      <c r="F16" s="100">
        <f t="shared" ref="F16:F20" si="3">D16*E16</f>
        <v>595800</v>
      </c>
      <c r="G16" s="100">
        <f t="shared" ref="G16:G20" si="4">F16*20%</f>
        <v>119160</v>
      </c>
    </row>
    <row r="17" spans="1:7">
      <c r="A17" s="96"/>
      <c r="B17" s="106" t="s">
        <v>43</v>
      </c>
      <c r="C17" s="98"/>
      <c r="D17" s="99">
        <v>99300</v>
      </c>
      <c r="E17" s="99">
        <v>2</v>
      </c>
      <c r="F17" s="100">
        <f t="shared" si="3"/>
        <v>198600</v>
      </c>
      <c r="G17" s="100">
        <f t="shared" si="4"/>
        <v>39720</v>
      </c>
    </row>
    <row r="18" spans="1:7">
      <c r="A18" s="96"/>
      <c r="B18" s="106" t="s">
        <v>44</v>
      </c>
      <c r="C18" s="98"/>
      <c r="D18" s="99">
        <v>99300</v>
      </c>
      <c r="E18" s="99">
        <v>5</v>
      </c>
      <c r="F18" s="100">
        <f t="shared" si="3"/>
        <v>496500</v>
      </c>
      <c r="G18" s="100">
        <f t="shared" si="4"/>
        <v>99300</v>
      </c>
    </row>
    <row r="19" spans="1:7">
      <c r="A19" s="96"/>
      <c r="B19" s="106" t="s">
        <v>45</v>
      </c>
      <c r="C19" s="98"/>
      <c r="D19" s="99">
        <v>99300</v>
      </c>
      <c r="E19" s="99">
        <v>5</v>
      </c>
      <c r="F19" s="100">
        <f t="shared" si="3"/>
        <v>496500</v>
      </c>
      <c r="G19" s="100">
        <f t="shared" si="4"/>
        <v>99300</v>
      </c>
    </row>
    <row r="20" spans="1:7">
      <c r="A20" s="96"/>
      <c r="B20" s="106" t="s">
        <v>46</v>
      </c>
      <c r="C20" s="98"/>
      <c r="D20" s="99">
        <v>99300</v>
      </c>
      <c r="E20" s="99">
        <v>5</v>
      </c>
      <c r="F20" s="100">
        <f t="shared" si="3"/>
        <v>496500</v>
      </c>
      <c r="G20" s="100">
        <f t="shared" si="4"/>
        <v>99300</v>
      </c>
    </row>
    <row r="21" spans="1:7">
      <c r="A21" s="101"/>
      <c r="B21" s="107" t="s">
        <v>18</v>
      </c>
      <c r="C21" s="103"/>
      <c r="D21" s="104"/>
      <c r="E21" s="104">
        <f t="shared" ref="E21:G21" si="5">SUM(E16:E20)</f>
        <v>23</v>
      </c>
      <c r="F21" s="105">
        <f t="shared" si="5"/>
        <v>2283900</v>
      </c>
      <c r="G21" s="105">
        <f t="shared" si="5"/>
        <v>456780</v>
      </c>
    </row>
    <row r="22" spans="1:7" hidden="1">
      <c r="A22" s="96" t="s">
        <v>6424</v>
      </c>
      <c r="B22" s="106" t="s">
        <v>47</v>
      </c>
      <c r="C22" s="98"/>
      <c r="D22" s="99">
        <v>13300</v>
      </c>
      <c r="E22" s="99">
        <v>0</v>
      </c>
      <c r="F22" s="100">
        <f t="shared" ref="F22:F33" si="6">D22*E22</f>
        <v>0</v>
      </c>
      <c r="G22" s="100">
        <f t="shared" ref="G22:G33" si="7">F22*20%</f>
        <v>0</v>
      </c>
    </row>
    <row r="23" spans="1:7" hidden="1">
      <c r="A23" s="96"/>
      <c r="B23" s="106" t="s">
        <v>48</v>
      </c>
      <c r="C23" s="98"/>
      <c r="D23" s="99">
        <v>15400</v>
      </c>
      <c r="E23" s="99">
        <v>0</v>
      </c>
      <c r="F23" s="100">
        <f t="shared" si="6"/>
        <v>0</v>
      </c>
      <c r="G23" s="100">
        <f t="shared" si="7"/>
        <v>0</v>
      </c>
    </row>
    <row r="24" spans="1:7">
      <c r="A24" s="96"/>
      <c r="B24" s="106" t="s">
        <v>49</v>
      </c>
      <c r="C24" s="98"/>
      <c r="D24" s="99">
        <v>13300</v>
      </c>
      <c r="E24" s="99">
        <v>1</v>
      </c>
      <c r="F24" s="100">
        <f t="shared" si="6"/>
        <v>13300</v>
      </c>
      <c r="G24" s="100">
        <f t="shared" si="7"/>
        <v>2660</v>
      </c>
    </row>
    <row r="25" spans="1:7" hidden="1">
      <c r="A25" s="96"/>
      <c r="B25" s="106" t="s">
        <v>50</v>
      </c>
      <c r="C25" s="98"/>
      <c r="D25" s="99">
        <v>15400</v>
      </c>
      <c r="E25" s="99">
        <v>0</v>
      </c>
      <c r="F25" s="100">
        <f t="shared" si="6"/>
        <v>0</v>
      </c>
      <c r="G25" s="100">
        <f t="shared" si="7"/>
        <v>0</v>
      </c>
    </row>
    <row r="26" spans="1:7">
      <c r="A26" s="96"/>
      <c r="B26" s="106" t="s">
        <v>51</v>
      </c>
      <c r="C26" s="98"/>
      <c r="D26" s="99">
        <v>13300</v>
      </c>
      <c r="E26" s="99">
        <v>6</v>
      </c>
      <c r="F26" s="100">
        <f t="shared" si="6"/>
        <v>79800</v>
      </c>
      <c r="G26" s="100">
        <f t="shared" si="7"/>
        <v>15960</v>
      </c>
    </row>
    <row r="27" spans="1:7">
      <c r="A27" s="96"/>
      <c r="B27" s="106" t="s">
        <v>52</v>
      </c>
      <c r="C27" s="98"/>
      <c r="D27" s="99">
        <v>15400</v>
      </c>
      <c r="E27" s="99">
        <v>2</v>
      </c>
      <c r="F27" s="100">
        <f t="shared" si="6"/>
        <v>30800</v>
      </c>
      <c r="G27" s="100">
        <f t="shared" si="7"/>
        <v>6160</v>
      </c>
    </row>
    <row r="28" spans="1:7">
      <c r="A28" s="96"/>
      <c r="B28" s="106" t="s">
        <v>53</v>
      </c>
      <c r="C28" s="98"/>
      <c r="D28" s="99">
        <v>13300</v>
      </c>
      <c r="E28" s="99">
        <v>2</v>
      </c>
      <c r="F28" s="100">
        <f t="shared" si="6"/>
        <v>26600</v>
      </c>
      <c r="G28" s="100">
        <f t="shared" si="7"/>
        <v>5320</v>
      </c>
    </row>
    <row r="29" spans="1:7">
      <c r="A29" s="96"/>
      <c r="B29" s="106" t="s">
        <v>54</v>
      </c>
      <c r="C29" s="98"/>
      <c r="D29" s="99">
        <v>15400</v>
      </c>
      <c r="E29" s="99">
        <v>1</v>
      </c>
      <c r="F29" s="100">
        <f t="shared" si="6"/>
        <v>15400</v>
      </c>
      <c r="G29" s="100">
        <f t="shared" si="7"/>
        <v>3080</v>
      </c>
    </row>
    <row r="30" spans="1:7">
      <c r="A30" s="96"/>
      <c r="B30" s="106" t="s">
        <v>6425</v>
      </c>
      <c r="C30" s="98"/>
      <c r="D30" s="99">
        <v>13300</v>
      </c>
      <c r="E30" s="99">
        <v>1</v>
      </c>
      <c r="F30" s="100">
        <f t="shared" si="6"/>
        <v>13300</v>
      </c>
      <c r="G30" s="100">
        <f t="shared" si="7"/>
        <v>2660</v>
      </c>
    </row>
    <row r="31" spans="1:7">
      <c r="A31" s="96"/>
      <c r="B31" s="106" t="s">
        <v>6426</v>
      </c>
      <c r="C31" s="98"/>
      <c r="D31" s="99">
        <v>15400</v>
      </c>
      <c r="E31" s="99">
        <v>1</v>
      </c>
      <c r="F31" s="100">
        <f t="shared" si="6"/>
        <v>15400</v>
      </c>
      <c r="G31" s="100">
        <f t="shared" si="7"/>
        <v>3080</v>
      </c>
    </row>
    <row r="32" spans="1:7" hidden="1">
      <c r="A32" s="96"/>
      <c r="B32" s="106" t="s">
        <v>55</v>
      </c>
      <c r="C32" s="98"/>
      <c r="D32" s="99">
        <v>13300</v>
      </c>
      <c r="E32" s="99">
        <v>0</v>
      </c>
      <c r="F32" s="100">
        <f t="shared" si="6"/>
        <v>0</v>
      </c>
      <c r="G32" s="100">
        <f t="shared" si="7"/>
        <v>0</v>
      </c>
    </row>
    <row r="33" spans="1:7">
      <c r="A33" s="96"/>
      <c r="B33" s="106" t="s">
        <v>56</v>
      </c>
      <c r="C33" s="98"/>
      <c r="D33" s="99">
        <v>15400</v>
      </c>
      <c r="E33" s="99">
        <v>1</v>
      </c>
      <c r="F33" s="100">
        <f t="shared" si="6"/>
        <v>15400</v>
      </c>
      <c r="G33" s="100">
        <f t="shared" si="7"/>
        <v>3080</v>
      </c>
    </row>
    <row r="34" spans="1:7">
      <c r="A34" s="101"/>
      <c r="B34" s="107" t="s">
        <v>18</v>
      </c>
      <c r="C34" s="103"/>
      <c r="D34" s="104"/>
      <c r="E34" s="104">
        <f t="shared" ref="E34:G34" si="8">SUM(E22:E33)</f>
        <v>15</v>
      </c>
      <c r="F34" s="105">
        <f t="shared" si="8"/>
        <v>210000</v>
      </c>
      <c r="G34" s="105">
        <f t="shared" si="8"/>
        <v>42000</v>
      </c>
    </row>
    <row r="35" spans="1:7" hidden="1">
      <c r="A35" s="96" t="s">
        <v>6427</v>
      </c>
      <c r="B35" s="106" t="s">
        <v>6428</v>
      </c>
      <c r="C35" s="98"/>
      <c r="D35" s="99">
        <v>15400</v>
      </c>
      <c r="E35" s="99">
        <v>0</v>
      </c>
      <c r="F35" s="100">
        <f t="shared" ref="F35:F46" si="9">D35*E35</f>
        <v>0</v>
      </c>
      <c r="G35" s="100">
        <f t="shared" ref="G35:G46" si="10">F35*20%</f>
        <v>0</v>
      </c>
    </row>
    <row r="36" spans="1:7" hidden="1">
      <c r="A36" s="96"/>
      <c r="B36" s="106" t="s">
        <v>6429</v>
      </c>
      <c r="C36" s="98"/>
      <c r="D36" s="99">
        <v>15400</v>
      </c>
      <c r="E36" s="99">
        <v>0</v>
      </c>
      <c r="F36" s="100">
        <f t="shared" si="9"/>
        <v>0</v>
      </c>
      <c r="G36" s="100">
        <f t="shared" si="10"/>
        <v>0</v>
      </c>
    </row>
    <row r="37" spans="1:7" hidden="1">
      <c r="A37" s="96"/>
      <c r="B37" s="106" t="s">
        <v>57</v>
      </c>
      <c r="C37" s="98"/>
      <c r="D37" s="99">
        <v>15400</v>
      </c>
      <c r="E37" s="99">
        <v>0</v>
      </c>
      <c r="F37" s="100">
        <f t="shared" si="9"/>
        <v>0</v>
      </c>
      <c r="G37" s="100">
        <f t="shared" si="10"/>
        <v>0</v>
      </c>
    </row>
    <row r="38" spans="1:7" hidden="1">
      <c r="A38" s="96"/>
      <c r="B38" s="106" t="s">
        <v>58</v>
      </c>
      <c r="C38" s="98"/>
      <c r="D38" s="99">
        <v>15400</v>
      </c>
      <c r="E38" s="99">
        <v>0</v>
      </c>
      <c r="F38" s="100">
        <f t="shared" si="9"/>
        <v>0</v>
      </c>
      <c r="G38" s="100">
        <f t="shared" si="10"/>
        <v>0</v>
      </c>
    </row>
    <row r="39" spans="1:7">
      <c r="A39" s="96"/>
      <c r="B39" s="106" t="s">
        <v>59</v>
      </c>
      <c r="C39" s="98"/>
      <c r="D39" s="99">
        <v>15400</v>
      </c>
      <c r="E39" s="99">
        <v>2</v>
      </c>
      <c r="F39" s="100">
        <f t="shared" si="9"/>
        <v>30800</v>
      </c>
      <c r="G39" s="100">
        <f t="shared" si="10"/>
        <v>6160</v>
      </c>
    </row>
    <row r="40" spans="1:7">
      <c r="A40" s="96"/>
      <c r="B40" s="106" t="s">
        <v>60</v>
      </c>
      <c r="C40" s="98"/>
      <c r="D40" s="99">
        <v>15400</v>
      </c>
      <c r="E40" s="99">
        <v>4</v>
      </c>
      <c r="F40" s="100">
        <f t="shared" si="9"/>
        <v>61600</v>
      </c>
      <c r="G40" s="100">
        <f t="shared" si="10"/>
        <v>12320</v>
      </c>
    </row>
    <row r="41" spans="1:7">
      <c r="A41" s="96"/>
      <c r="B41" s="106" t="s">
        <v>61</v>
      </c>
      <c r="C41" s="98"/>
      <c r="D41" s="99">
        <v>15400</v>
      </c>
      <c r="E41" s="99">
        <v>1</v>
      </c>
      <c r="F41" s="100">
        <f t="shared" si="9"/>
        <v>15400</v>
      </c>
      <c r="G41" s="100">
        <f t="shared" si="10"/>
        <v>3080</v>
      </c>
    </row>
    <row r="42" spans="1:7">
      <c r="A42" s="96"/>
      <c r="B42" s="106" t="s">
        <v>62</v>
      </c>
      <c r="C42" s="98"/>
      <c r="D42" s="99">
        <v>15400</v>
      </c>
      <c r="E42" s="99">
        <v>2</v>
      </c>
      <c r="F42" s="100">
        <f t="shared" si="9"/>
        <v>30800</v>
      </c>
      <c r="G42" s="100">
        <f t="shared" si="10"/>
        <v>6160</v>
      </c>
    </row>
    <row r="43" spans="1:7" hidden="1">
      <c r="A43" s="96"/>
      <c r="B43" s="106" t="s">
        <v>63</v>
      </c>
      <c r="C43" s="98"/>
      <c r="D43" s="99">
        <v>15400</v>
      </c>
      <c r="E43" s="99">
        <v>0</v>
      </c>
      <c r="F43" s="100">
        <f t="shared" si="9"/>
        <v>0</v>
      </c>
      <c r="G43" s="100">
        <f t="shared" si="10"/>
        <v>0</v>
      </c>
    </row>
    <row r="44" spans="1:7">
      <c r="A44" s="96"/>
      <c r="B44" s="106" t="s">
        <v>6430</v>
      </c>
      <c r="C44" s="98"/>
      <c r="D44" s="99">
        <v>15400</v>
      </c>
      <c r="E44" s="99">
        <v>3</v>
      </c>
      <c r="F44" s="100">
        <f t="shared" si="9"/>
        <v>46200</v>
      </c>
      <c r="G44" s="100">
        <f t="shared" si="10"/>
        <v>9240</v>
      </c>
    </row>
    <row r="45" spans="1:7" hidden="1">
      <c r="A45" s="96"/>
      <c r="B45" s="106" t="s">
        <v>6431</v>
      </c>
      <c r="C45" s="98"/>
      <c r="D45" s="99">
        <v>15400</v>
      </c>
      <c r="E45" s="99">
        <v>0</v>
      </c>
      <c r="F45" s="100">
        <f t="shared" si="9"/>
        <v>0</v>
      </c>
      <c r="G45" s="100">
        <f t="shared" si="10"/>
        <v>0</v>
      </c>
    </row>
    <row r="46" spans="1:7" hidden="1">
      <c r="A46" s="96"/>
      <c r="B46" s="106" t="s">
        <v>64</v>
      </c>
      <c r="C46" s="98"/>
      <c r="D46" s="99">
        <v>15400</v>
      </c>
      <c r="E46" s="99">
        <v>0</v>
      </c>
      <c r="F46" s="100">
        <f t="shared" si="9"/>
        <v>0</v>
      </c>
      <c r="G46" s="100">
        <f t="shared" si="10"/>
        <v>0</v>
      </c>
    </row>
    <row r="47" spans="1:7">
      <c r="A47" s="101"/>
      <c r="B47" s="107" t="s">
        <v>18</v>
      </c>
      <c r="C47" s="103"/>
      <c r="D47" s="104"/>
      <c r="E47" s="104">
        <f t="shared" ref="E47:G47" si="11">SUM(E35:E46)</f>
        <v>12</v>
      </c>
      <c r="F47" s="105">
        <f t="shared" si="11"/>
        <v>184800</v>
      </c>
      <c r="G47" s="105">
        <f t="shared" si="11"/>
        <v>36960</v>
      </c>
    </row>
    <row r="48" spans="1:7">
      <c r="A48" s="108" t="s">
        <v>6432</v>
      </c>
      <c r="B48" s="106" t="s">
        <v>6433</v>
      </c>
      <c r="C48" s="98"/>
      <c r="D48" s="99">
        <v>21060</v>
      </c>
      <c r="E48" s="99">
        <v>29</v>
      </c>
      <c r="F48" s="100">
        <f t="shared" ref="F48" si="12">D48*E48</f>
        <v>610740</v>
      </c>
      <c r="G48" s="100">
        <f t="shared" ref="G48" si="13">F48*20%</f>
        <v>122148</v>
      </c>
    </row>
    <row r="49" spans="1:7">
      <c r="A49" s="101"/>
      <c r="B49" s="107" t="s">
        <v>18</v>
      </c>
      <c r="C49" s="103"/>
      <c r="D49" s="104"/>
      <c r="E49" s="104">
        <f>SUM(E48:E48)</f>
        <v>29</v>
      </c>
      <c r="F49" s="105">
        <f>SUM(F48:F48)</f>
        <v>610740</v>
      </c>
      <c r="G49" s="105">
        <f>SUM(G48:G48)</f>
        <v>122148</v>
      </c>
    </row>
    <row r="50" spans="1:7">
      <c r="A50" s="96" t="s">
        <v>6434</v>
      </c>
      <c r="B50" s="106" t="s">
        <v>66</v>
      </c>
      <c r="C50" s="98"/>
      <c r="D50" s="99">
        <v>6170</v>
      </c>
      <c r="E50" s="99">
        <v>3325</v>
      </c>
      <c r="F50" s="100">
        <f t="shared" ref="F50:F51" si="14">D50*E50</f>
        <v>20515250</v>
      </c>
      <c r="G50" s="100">
        <f t="shared" ref="G50:G51" si="15">F50*20%</f>
        <v>4103050</v>
      </c>
    </row>
    <row r="51" spans="1:7">
      <c r="A51" s="96"/>
      <c r="B51" s="106" t="s">
        <v>6435</v>
      </c>
      <c r="C51" s="98"/>
      <c r="D51" s="99">
        <v>7410</v>
      </c>
      <c r="E51" s="99">
        <v>1618</v>
      </c>
      <c r="F51" s="100">
        <f t="shared" si="14"/>
        <v>11989380</v>
      </c>
      <c r="G51" s="100">
        <f t="shared" si="15"/>
        <v>2397876</v>
      </c>
    </row>
    <row r="52" spans="1:7">
      <c r="A52" s="101"/>
      <c r="B52" s="107" t="s">
        <v>18</v>
      </c>
      <c r="C52" s="103"/>
      <c r="D52" s="104"/>
      <c r="E52" s="104">
        <f t="shared" ref="E52:G52" si="16">SUM(E50:E51)</f>
        <v>4943</v>
      </c>
      <c r="F52" s="105">
        <f t="shared" si="16"/>
        <v>32504630</v>
      </c>
      <c r="G52" s="105">
        <f t="shared" si="16"/>
        <v>6500926</v>
      </c>
    </row>
    <row r="53" spans="1:7" hidden="1">
      <c r="A53" s="108" t="s">
        <v>6436</v>
      </c>
      <c r="B53" s="106" t="s">
        <v>67</v>
      </c>
      <c r="C53" s="98"/>
      <c r="D53" s="99">
        <v>15000</v>
      </c>
      <c r="E53" s="99">
        <v>0</v>
      </c>
      <c r="F53" s="100">
        <f t="shared" ref="F53" si="17">D53*E53</f>
        <v>0</v>
      </c>
      <c r="G53" s="100">
        <f t="shared" ref="G53" si="18">F53*20%</f>
        <v>0</v>
      </c>
    </row>
    <row r="54" spans="1:7" hidden="1">
      <c r="A54" s="101"/>
      <c r="B54" s="107" t="s">
        <v>18</v>
      </c>
      <c r="C54" s="103"/>
      <c r="D54" s="104"/>
      <c r="E54" s="104">
        <f t="shared" ref="E54:G54" si="19">SUM(E53:E53)</f>
        <v>0</v>
      </c>
      <c r="F54" s="105">
        <f t="shared" si="19"/>
        <v>0</v>
      </c>
      <c r="G54" s="105">
        <f t="shared" si="19"/>
        <v>0</v>
      </c>
    </row>
    <row r="55" spans="1:7">
      <c r="A55" s="96" t="s">
        <v>6437</v>
      </c>
      <c r="B55" s="106" t="s">
        <v>6438</v>
      </c>
      <c r="C55" s="98"/>
      <c r="D55" s="99">
        <v>16500</v>
      </c>
      <c r="E55" s="99">
        <v>19</v>
      </c>
      <c r="F55" s="100">
        <f t="shared" ref="F55:F57" si="20">D55*E55</f>
        <v>313500</v>
      </c>
      <c r="G55" s="100">
        <f t="shared" ref="G55:G57" si="21">F55*20%</f>
        <v>62700</v>
      </c>
    </row>
    <row r="56" spans="1:7">
      <c r="A56" s="96"/>
      <c r="B56" s="106" t="s">
        <v>6439</v>
      </c>
      <c r="C56" s="98"/>
      <c r="D56" s="99">
        <v>29900</v>
      </c>
      <c r="E56" s="99">
        <v>15</v>
      </c>
      <c r="F56" s="100">
        <f t="shared" si="20"/>
        <v>448500</v>
      </c>
      <c r="G56" s="100">
        <f t="shared" si="21"/>
        <v>89700</v>
      </c>
    </row>
    <row r="57" spans="1:7">
      <c r="A57" s="96"/>
      <c r="B57" s="106" t="s">
        <v>6440</v>
      </c>
      <c r="C57" s="98"/>
      <c r="D57" s="99">
        <v>42200</v>
      </c>
      <c r="E57" s="99">
        <v>3</v>
      </c>
      <c r="F57" s="100">
        <f t="shared" si="20"/>
        <v>126600</v>
      </c>
      <c r="G57" s="100">
        <f t="shared" si="21"/>
        <v>25320</v>
      </c>
    </row>
    <row r="58" spans="1:7">
      <c r="A58" s="101"/>
      <c r="B58" s="107" t="s">
        <v>18</v>
      </c>
      <c r="C58" s="103"/>
      <c r="D58" s="104"/>
      <c r="E58" s="104">
        <f t="shared" ref="E58:G58" si="22">SUM(E55:E57)</f>
        <v>37</v>
      </c>
      <c r="F58" s="105">
        <f t="shared" si="22"/>
        <v>888600</v>
      </c>
      <c r="G58" s="105">
        <f t="shared" si="22"/>
        <v>177720</v>
      </c>
    </row>
    <row r="59" spans="1:7">
      <c r="A59" s="109"/>
      <c r="B59" s="98" t="s">
        <v>6441</v>
      </c>
      <c r="C59" s="98"/>
      <c r="D59" s="99"/>
      <c r="E59" s="110">
        <f>E15+E21+E34+E47+E49+E52+E54+E58</f>
        <v>5200</v>
      </c>
      <c r="F59" s="111">
        <f>F15+F21+F34+F47+F49+F52+F54+F58</f>
        <v>42990570</v>
      </c>
      <c r="G59" s="111">
        <f>G15+G21+G34+G47+G49+G52+G54+G58</f>
        <v>8598114</v>
      </c>
    </row>
  </sheetData>
  <autoFilter ref="A5:G59" xr:uid="{AFEC4E67-1842-984F-8105-2B5102B3CA44}">
    <filterColumn colId="4">
      <filters>
        <filter val="1"/>
        <filter val="1,618"/>
        <filter val="11"/>
        <filter val="12"/>
        <filter val="141"/>
        <filter val="15"/>
        <filter val="16"/>
        <filter val="2"/>
        <filter val="23"/>
        <filter val="24"/>
        <filter val="28"/>
        <filter val="29"/>
        <filter val="3"/>
        <filter val="3,325"/>
        <filter val="30"/>
        <filter val="4"/>
        <filter val="4,943"/>
        <filter val="5"/>
        <filter val="5,193"/>
        <filter val="6"/>
        <filter val="62"/>
        <filter val="9"/>
      </filters>
    </filterColumn>
  </autoFilter>
  <mergeCells count="6">
    <mergeCell ref="A6:A14"/>
    <mergeCell ref="A16:A20"/>
    <mergeCell ref="A22:A33"/>
    <mergeCell ref="A35:A46"/>
    <mergeCell ref="A50:A51"/>
    <mergeCell ref="A55:A57"/>
  </mergeCells>
  <phoneticPr fontId="26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W1249"/>
  <sheetViews>
    <sheetView topLeftCell="A616" workbookViewId="0">
      <selection activeCell="O333" sqref="L333:O333"/>
    </sheetView>
  </sheetViews>
  <sheetFormatPr baseColWidth="10" defaultColWidth="12.6640625" defaultRowHeight="15.75" customHeight="1"/>
  <cols>
    <col min="1" max="2" width="15.83203125" customWidth="1"/>
    <col min="3" max="3" width="16.33203125" bestFit="1" customWidth="1"/>
    <col min="4" max="4" width="9.6640625" customWidth="1"/>
    <col min="5" max="5" width="9.33203125" bestFit="1" customWidth="1"/>
    <col min="6" max="6" width="12" customWidth="1"/>
    <col min="7" max="7" width="12.6640625" customWidth="1"/>
    <col min="8" max="8" width="16.33203125" customWidth="1"/>
    <col min="9" max="9" width="16.33203125" bestFit="1" customWidth="1"/>
    <col min="10" max="10" width="13" bestFit="1" customWidth="1"/>
    <col min="11" max="11" width="8.6640625" bestFit="1" customWidth="1"/>
    <col min="12" max="12" width="11.1640625" customWidth="1"/>
    <col min="13" max="13" width="16.33203125" bestFit="1" customWidth="1"/>
    <col min="14" max="14" width="13" bestFit="1" customWidth="1"/>
    <col min="15" max="15" width="41" bestFit="1" customWidth="1"/>
    <col min="16" max="16" width="13.83203125" bestFit="1" customWidth="1"/>
    <col min="17" max="17" width="54.83203125" bestFit="1" customWidth="1"/>
    <col min="18" max="18" width="5.6640625" bestFit="1" customWidth="1"/>
    <col min="19" max="19" width="9.33203125" bestFit="1" customWidth="1"/>
    <col min="20" max="20" width="6.6640625" customWidth="1"/>
    <col min="21" max="22" width="13.5" customWidth="1"/>
    <col min="23" max="23" width="16.6640625" customWidth="1"/>
  </cols>
  <sheetData>
    <row r="1" spans="1:23" ht="15.75" customHeight="1">
      <c r="A1" s="87" t="s">
        <v>82</v>
      </c>
      <c r="B1" s="87" t="s">
        <v>83</v>
      </c>
      <c r="C1" s="87" t="s">
        <v>84</v>
      </c>
      <c r="D1" s="87" t="s">
        <v>85</v>
      </c>
      <c r="E1" s="87" t="s">
        <v>86</v>
      </c>
      <c r="F1" s="87" t="s">
        <v>87</v>
      </c>
      <c r="G1" s="87" t="s">
        <v>88</v>
      </c>
      <c r="H1" s="87" t="s">
        <v>89</v>
      </c>
      <c r="I1" s="87" t="s">
        <v>90</v>
      </c>
      <c r="J1" s="87" t="s">
        <v>91</v>
      </c>
      <c r="K1" s="87" t="s">
        <v>92</v>
      </c>
      <c r="L1" s="87" t="s">
        <v>93</v>
      </c>
      <c r="M1" s="87" t="s">
        <v>94</v>
      </c>
      <c r="N1" s="87" t="s">
        <v>95</v>
      </c>
      <c r="O1" s="87" t="s">
        <v>96</v>
      </c>
      <c r="P1" s="87" t="s">
        <v>97</v>
      </c>
      <c r="Q1" s="87" t="s">
        <v>98</v>
      </c>
      <c r="R1" s="87" t="s">
        <v>99</v>
      </c>
      <c r="S1" s="87" t="s">
        <v>100</v>
      </c>
      <c r="T1" s="87" t="s">
        <v>101</v>
      </c>
      <c r="U1" s="87" t="s">
        <v>102</v>
      </c>
      <c r="V1" s="87" t="s">
        <v>103</v>
      </c>
      <c r="W1" s="87" t="s">
        <v>104</v>
      </c>
    </row>
    <row r="2" spans="1:23" ht="15.75" customHeight="1">
      <c r="A2" t="s">
        <v>633</v>
      </c>
      <c r="B2" t="s">
        <v>634</v>
      </c>
      <c r="C2" s="88">
        <v>46173.636597222227</v>
      </c>
      <c r="D2" t="s">
        <v>105</v>
      </c>
      <c r="E2" t="s">
        <v>106</v>
      </c>
      <c r="F2" t="s">
        <v>325</v>
      </c>
      <c r="G2" t="s">
        <v>635</v>
      </c>
      <c r="H2" t="s">
        <v>325</v>
      </c>
      <c r="I2" s="88">
        <v>46169.42396990741</v>
      </c>
      <c r="J2" t="s">
        <v>107</v>
      </c>
      <c r="K2" t="s">
        <v>108</v>
      </c>
      <c r="L2" t="s">
        <v>636</v>
      </c>
      <c r="M2" s="88">
        <v>46170.686874999999</v>
      </c>
      <c r="N2" t="s">
        <v>637</v>
      </c>
      <c r="O2" t="s">
        <v>112</v>
      </c>
      <c r="P2" t="s">
        <v>111</v>
      </c>
      <c r="Q2" t="s">
        <v>638</v>
      </c>
      <c r="R2">
        <v>4</v>
      </c>
      <c r="S2" s="89">
        <v>9500</v>
      </c>
      <c r="T2" s="89">
        <v>0</v>
      </c>
      <c r="U2" s="89">
        <v>8360</v>
      </c>
      <c r="V2" s="89">
        <v>8360</v>
      </c>
      <c r="W2" s="89">
        <v>29640</v>
      </c>
    </row>
    <row r="3" spans="1:23" ht="15.75" customHeight="1">
      <c r="A3" t="s">
        <v>639</v>
      </c>
      <c r="B3" t="s">
        <v>640</v>
      </c>
      <c r="C3" s="88">
        <v>46173.050474537042</v>
      </c>
      <c r="D3" t="s">
        <v>105</v>
      </c>
      <c r="E3" t="s">
        <v>106</v>
      </c>
      <c r="F3" t="s">
        <v>641</v>
      </c>
      <c r="G3" t="s">
        <v>642</v>
      </c>
      <c r="H3" t="s">
        <v>641</v>
      </c>
      <c r="I3" s="88">
        <v>46164.444837962961</v>
      </c>
      <c r="J3" t="s">
        <v>107</v>
      </c>
      <c r="K3" t="s">
        <v>108</v>
      </c>
      <c r="L3" t="s">
        <v>643</v>
      </c>
      <c r="M3" s="88">
        <v>46165.679189814815</v>
      </c>
      <c r="N3" t="s">
        <v>637</v>
      </c>
      <c r="O3" t="s">
        <v>112</v>
      </c>
      <c r="P3" t="s">
        <v>111</v>
      </c>
      <c r="Q3" t="s">
        <v>638</v>
      </c>
      <c r="R3">
        <v>4</v>
      </c>
      <c r="S3" s="89">
        <v>9500</v>
      </c>
      <c r="T3" s="89">
        <v>0</v>
      </c>
      <c r="U3" s="89">
        <v>8360</v>
      </c>
      <c r="V3" s="89">
        <v>8360</v>
      </c>
      <c r="W3" s="89">
        <v>29640</v>
      </c>
    </row>
    <row r="4" spans="1:23" ht="15.75" customHeight="1">
      <c r="A4" t="s">
        <v>644</v>
      </c>
      <c r="B4" t="s">
        <v>645</v>
      </c>
      <c r="C4" s="88">
        <v>46173.049710648149</v>
      </c>
      <c r="D4" t="s">
        <v>105</v>
      </c>
      <c r="E4" t="s">
        <v>106</v>
      </c>
      <c r="F4" t="s">
        <v>646</v>
      </c>
      <c r="G4" t="s">
        <v>647</v>
      </c>
      <c r="H4" t="s">
        <v>646</v>
      </c>
      <c r="I4" s="88">
        <v>46164.444837962961</v>
      </c>
      <c r="J4" t="s">
        <v>107</v>
      </c>
      <c r="K4" t="s">
        <v>108</v>
      </c>
      <c r="L4" t="s">
        <v>648</v>
      </c>
      <c r="M4" s="88">
        <v>46165.547256944439</v>
      </c>
      <c r="N4" t="s">
        <v>637</v>
      </c>
      <c r="O4" t="s">
        <v>112</v>
      </c>
      <c r="P4" t="s">
        <v>111</v>
      </c>
      <c r="Q4" t="s">
        <v>638</v>
      </c>
      <c r="R4">
        <v>6</v>
      </c>
      <c r="S4" s="89">
        <v>9500</v>
      </c>
      <c r="T4" s="89">
        <v>0</v>
      </c>
      <c r="U4" s="89">
        <v>19980</v>
      </c>
      <c r="V4" s="89">
        <v>19980</v>
      </c>
      <c r="W4" s="89">
        <v>37020</v>
      </c>
    </row>
    <row r="5" spans="1:23" ht="15.75" customHeight="1">
      <c r="A5" t="s">
        <v>649</v>
      </c>
      <c r="B5" t="s">
        <v>650</v>
      </c>
      <c r="C5" s="88">
        <v>46172.945462962962</v>
      </c>
      <c r="D5" t="s">
        <v>105</v>
      </c>
      <c r="E5" t="s">
        <v>106</v>
      </c>
      <c r="F5" t="s">
        <v>651</v>
      </c>
      <c r="G5" t="s">
        <v>652</v>
      </c>
      <c r="H5" t="s">
        <v>653</v>
      </c>
      <c r="I5" s="88">
        <v>46168.437893518523</v>
      </c>
      <c r="J5" t="s">
        <v>107</v>
      </c>
      <c r="K5" t="s">
        <v>108</v>
      </c>
      <c r="L5" t="s">
        <v>654</v>
      </c>
      <c r="M5" s="88">
        <v>46169.552812499998</v>
      </c>
      <c r="N5" t="s">
        <v>637</v>
      </c>
      <c r="O5" t="s">
        <v>112</v>
      </c>
      <c r="P5" t="s">
        <v>111</v>
      </c>
      <c r="Q5" t="s">
        <v>638</v>
      </c>
      <c r="R5">
        <v>4</v>
      </c>
      <c r="S5" s="89">
        <v>9500</v>
      </c>
      <c r="T5" s="89">
        <v>0</v>
      </c>
      <c r="U5" s="89">
        <v>8360</v>
      </c>
      <c r="V5" s="89">
        <v>8360</v>
      </c>
      <c r="W5" s="89">
        <v>29640</v>
      </c>
    </row>
    <row r="6" spans="1:23" ht="15.75" customHeight="1">
      <c r="A6" t="s">
        <v>655</v>
      </c>
      <c r="B6" t="s">
        <v>656</v>
      </c>
      <c r="C6" s="88">
        <v>46172.873136574075</v>
      </c>
      <c r="D6" t="s">
        <v>105</v>
      </c>
      <c r="E6" t="s">
        <v>106</v>
      </c>
      <c r="F6" t="s">
        <v>657</v>
      </c>
      <c r="G6" t="s">
        <v>658</v>
      </c>
      <c r="H6" t="s">
        <v>657</v>
      </c>
      <c r="I6" s="88">
        <v>46168.437893518523</v>
      </c>
      <c r="J6" t="s">
        <v>107</v>
      </c>
      <c r="K6" t="s">
        <v>108</v>
      </c>
      <c r="L6" t="s">
        <v>659</v>
      </c>
      <c r="M6" s="88">
        <v>46169.689259259263</v>
      </c>
      <c r="N6" t="s">
        <v>637</v>
      </c>
      <c r="O6" t="s">
        <v>112</v>
      </c>
      <c r="P6" t="s">
        <v>111</v>
      </c>
      <c r="Q6" t="s">
        <v>638</v>
      </c>
      <c r="R6">
        <v>6</v>
      </c>
      <c r="S6" s="89">
        <v>9500</v>
      </c>
      <c r="T6" s="89">
        <v>0</v>
      </c>
      <c r="U6" s="89">
        <v>19980</v>
      </c>
      <c r="V6" s="89">
        <v>19980</v>
      </c>
      <c r="W6" s="89">
        <v>37020</v>
      </c>
    </row>
    <row r="7" spans="1:23" ht="15.75" customHeight="1">
      <c r="A7" t="s">
        <v>660</v>
      </c>
      <c r="B7" t="s">
        <v>661</v>
      </c>
      <c r="C7" s="88">
        <v>46172.534594907411</v>
      </c>
      <c r="D7" t="s">
        <v>105</v>
      </c>
      <c r="E7" t="s">
        <v>106</v>
      </c>
      <c r="F7" t="s">
        <v>662</v>
      </c>
      <c r="G7" t="s">
        <v>663</v>
      </c>
      <c r="H7" t="s">
        <v>662</v>
      </c>
      <c r="I7" s="88">
        <v>46168.437893518523</v>
      </c>
      <c r="J7" t="s">
        <v>107</v>
      </c>
      <c r="K7" t="s">
        <v>108</v>
      </c>
      <c r="L7" t="s">
        <v>664</v>
      </c>
      <c r="M7" s="88">
        <v>46169.969513888893</v>
      </c>
      <c r="N7" t="s">
        <v>637</v>
      </c>
      <c r="O7" t="s">
        <v>112</v>
      </c>
      <c r="P7" t="s">
        <v>111</v>
      </c>
      <c r="Q7" t="s">
        <v>638</v>
      </c>
      <c r="R7">
        <v>6</v>
      </c>
      <c r="S7" s="89">
        <v>9500</v>
      </c>
      <c r="T7" s="89">
        <v>0</v>
      </c>
      <c r="U7" s="89">
        <v>19980</v>
      </c>
      <c r="V7" s="89">
        <v>19980</v>
      </c>
      <c r="W7" s="89">
        <v>37020</v>
      </c>
    </row>
    <row r="8" spans="1:23" ht="15.75" customHeight="1">
      <c r="A8" t="s">
        <v>665</v>
      </c>
      <c r="B8" t="s">
        <v>666</v>
      </c>
      <c r="C8" s="88">
        <v>46172.104120370372</v>
      </c>
      <c r="D8" t="s">
        <v>105</v>
      </c>
      <c r="E8" t="s">
        <v>106</v>
      </c>
      <c r="F8" t="s">
        <v>667</v>
      </c>
      <c r="G8" t="s">
        <v>668</v>
      </c>
      <c r="H8" t="s">
        <v>667</v>
      </c>
      <c r="I8" s="88">
        <v>46163.632395833338</v>
      </c>
      <c r="J8" t="s">
        <v>107</v>
      </c>
      <c r="K8" t="s">
        <v>108</v>
      </c>
      <c r="L8" t="s">
        <v>669</v>
      </c>
      <c r="M8" s="88">
        <v>46164.550810185188</v>
      </c>
      <c r="N8" t="s">
        <v>637</v>
      </c>
      <c r="O8" t="s">
        <v>670</v>
      </c>
      <c r="P8" t="s">
        <v>109</v>
      </c>
      <c r="Q8" t="s">
        <v>670</v>
      </c>
      <c r="R8">
        <v>1</v>
      </c>
      <c r="S8" s="89">
        <v>21060</v>
      </c>
      <c r="T8" s="89">
        <v>0</v>
      </c>
      <c r="U8" s="89">
        <v>0</v>
      </c>
      <c r="V8" s="89">
        <v>0</v>
      </c>
      <c r="W8" s="89">
        <v>21060</v>
      </c>
    </row>
    <row r="9" spans="1:23" ht="15.75" customHeight="1">
      <c r="A9" t="s">
        <v>671</v>
      </c>
      <c r="B9" t="s">
        <v>666</v>
      </c>
      <c r="C9" s="88">
        <v>46172.104120370372</v>
      </c>
      <c r="D9" t="s">
        <v>105</v>
      </c>
      <c r="E9" t="s">
        <v>106</v>
      </c>
      <c r="F9" t="s">
        <v>667</v>
      </c>
      <c r="G9" t="s">
        <v>668</v>
      </c>
      <c r="H9" t="s">
        <v>667</v>
      </c>
      <c r="I9" s="88">
        <v>46163.632395833338</v>
      </c>
      <c r="J9" t="s">
        <v>107</v>
      </c>
      <c r="K9" t="s">
        <v>108</v>
      </c>
      <c r="L9" t="s">
        <v>669</v>
      </c>
      <c r="M9" s="88">
        <v>46164.550810185188</v>
      </c>
      <c r="N9" t="s">
        <v>637</v>
      </c>
      <c r="O9" t="s">
        <v>112</v>
      </c>
      <c r="P9" t="s">
        <v>111</v>
      </c>
      <c r="Q9" t="s">
        <v>638</v>
      </c>
      <c r="R9">
        <v>1</v>
      </c>
      <c r="S9" s="89">
        <v>9500</v>
      </c>
      <c r="T9" s="89">
        <v>0</v>
      </c>
      <c r="U9" s="89">
        <v>2090</v>
      </c>
      <c r="V9" s="89">
        <v>2090</v>
      </c>
      <c r="W9" s="89">
        <v>7410</v>
      </c>
    </row>
    <row r="10" spans="1:23" ht="15.75" customHeight="1">
      <c r="A10" t="s">
        <v>672</v>
      </c>
      <c r="B10" t="s">
        <v>673</v>
      </c>
      <c r="C10" s="88">
        <v>46172.103935185187</v>
      </c>
      <c r="D10" t="s">
        <v>105</v>
      </c>
      <c r="E10" t="s">
        <v>106</v>
      </c>
      <c r="F10" t="s">
        <v>674</v>
      </c>
      <c r="G10" t="s">
        <v>675</v>
      </c>
      <c r="H10" t="s">
        <v>674</v>
      </c>
      <c r="I10" s="88">
        <v>46163.632395833338</v>
      </c>
      <c r="J10" t="s">
        <v>107</v>
      </c>
      <c r="K10" t="s">
        <v>108</v>
      </c>
      <c r="L10" t="s">
        <v>676</v>
      </c>
      <c r="M10" s="88">
        <v>46164.467800925922</v>
      </c>
      <c r="N10" t="s">
        <v>637</v>
      </c>
      <c r="O10" t="s">
        <v>112</v>
      </c>
      <c r="P10" t="s">
        <v>111</v>
      </c>
      <c r="Q10" t="s">
        <v>638</v>
      </c>
      <c r="R10">
        <v>1</v>
      </c>
      <c r="S10" s="89">
        <v>9500</v>
      </c>
      <c r="T10" s="89">
        <v>0</v>
      </c>
      <c r="U10" s="89">
        <v>2090</v>
      </c>
      <c r="V10" s="89">
        <v>2090</v>
      </c>
      <c r="W10" s="89">
        <v>7410</v>
      </c>
    </row>
    <row r="11" spans="1:23" ht="15.75" customHeight="1">
      <c r="A11" t="s">
        <v>677</v>
      </c>
      <c r="B11" t="s">
        <v>678</v>
      </c>
      <c r="C11" s="88">
        <v>46172.084270833337</v>
      </c>
      <c r="D11" t="s">
        <v>105</v>
      </c>
      <c r="E11" t="s">
        <v>106</v>
      </c>
      <c r="F11" t="s">
        <v>266</v>
      </c>
      <c r="G11" t="s">
        <v>679</v>
      </c>
      <c r="H11" t="s">
        <v>266</v>
      </c>
      <c r="I11" s="88">
        <v>46163.632395833338</v>
      </c>
      <c r="J11" t="s">
        <v>107</v>
      </c>
      <c r="K11" t="s">
        <v>108</v>
      </c>
      <c r="L11" t="s">
        <v>680</v>
      </c>
      <c r="M11" s="88">
        <v>46164.674456018518</v>
      </c>
      <c r="N11" t="s">
        <v>637</v>
      </c>
      <c r="O11" t="s">
        <v>112</v>
      </c>
      <c r="P11" t="s">
        <v>111</v>
      </c>
      <c r="Q11" t="s">
        <v>638</v>
      </c>
      <c r="R11">
        <v>2</v>
      </c>
      <c r="S11" s="89">
        <v>9500</v>
      </c>
      <c r="T11" s="89">
        <v>0</v>
      </c>
      <c r="U11" s="89">
        <v>4180</v>
      </c>
      <c r="V11" s="89">
        <v>4180</v>
      </c>
      <c r="W11" s="89">
        <v>14820</v>
      </c>
    </row>
    <row r="12" spans="1:23" ht="15.75" customHeight="1">
      <c r="A12" t="s">
        <v>681</v>
      </c>
      <c r="B12" t="s">
        <v>682</v>
      </c>
      <c r="C12" s="88">
        <v>46172.060416666667</v>
      </c>
      <c r="D12" t="s">
        <v>105</v>
      </c>
      <c r="E12" t="s">
        <v>106</v>
      </c>
      <c r="F12" t="s">
        <v>683</v>
      </c>
      <c r="G12" t="s">
        <v>684</v>
      </c>
      <c r="H12" t="s">
        <v>683</v>
      </c>
      <c r="I12" s="88">
        <v>46163.444768518515</v>
      </c>
      <c r="J12" t="s">
        <v>107</v>
      </c>
      <c r="K12" t="s">
        <v>108</v>
      </c>
      <c r="L12" t="s">
        <v>685</v>
      </c>
      <c r="M12" s="88">
        <v>46164.5465625</v>
      </c>
      <c r="N12" t="s">
        <v>637</v>
      </c>
      <c r="O12" t="s">
        <v>112</v>
      </c>
      <c r="P12" t="s">
        <v>111</v>
      </c>
      <c r="Q12" t="s">
        <v>638</v>
      </c>
      <c r="R12">
        <v>1</v>
      </c>
      <c r="S12" s="89">
        <v>9500</v>
      </c>
      <c r="T12" s="89">
        <v>0</v>
      </c>
      <c r="U12" s="89">
        <v>2090</v>
      </c>
      <c r="V12" s="89">
        <v>2090</v>
      </c>
      <c r="W12" s="89">
        <v>7410</v>
      </c>
    </row>
    <row r="13" spans="1:23" ht="15.75" customHeight="1">
      <c r="A13" t="s">
        <v>686</v>
      </c>
      <c r="B13" t="s">
        <v>687</v>
      </c>
      <c r="C13" s="88">
        <v>46172.052349537036</v>
      </c>
      <c r="D13" t="s">
        <v>105</v>
      </c>
      <c r="E13" t="s">
        <v>106</v>
      </c>
      <c r="F13" t="s">
        <v>688</v>
      </c>
      <c r="G13" t="s">
        <v>689</v>
      </c>
      <c r="H13" t="s">
        <v>688</v>
      </c>
      <c r="I13" s="88">
        <v>46163.444768518515</v>
      </c>
      <c r="J13" t="s">
        <v>107</v>
      </c>
      <c r="K13" t="s">
        <v>108</v>
      </c>
      <c r="L13" t="s">
        <v>690</v>
      </c>
      <c r="M13" s="88">
        <v>46164.733217592591</v>
      </c>
      <c r="N13" t="s">
        <v>637</v>
      </c>
      <c r="O13" t="s">
        <v>112</v>
      </c>
      <c r="P13" t="s">
        <v>111</v>
      </c>
      <c r="Q13" t="s">
        <v>638</v>
      </c>
      <c r="R13">
        <v>2</v>
      </c>
      <c r="S13" s="89">
        <v>9500</v>
      </c>
      <c r="T13" s="89">
        <v>0</v>
      </c>
      <c r="U13" s="89">
        <v>4180</v>
      </c>
      <c r="V13" s="89">
        <v>4180</v>
      </c>
      <c r="W13" s="89">
        <v>14820</v>
      </c>
    </row>
    <row r="14" spans="1:23" ht="15.75" customHeight="1">
      <c r="A14" t="s">
        <v>691</v>
      </c>
      <c r="B14" t="s">
        <v>692</v>
      </c>
      <c r="C14" s="88">
        <v>46172.051863425921</v>
      </c>
      <c r="D14" t="s">
        <v>105</v>
      </c>
      <c r="E14" t="s">
        <v>106</v>
      </c>
      <c r="F14" t="s">
        <v>693</v>
      </c>
      <c r="G14" t="s">
        <v>694</v>
      </c>
      <c r="H14" t="s">
        <v>693</v>
      </c>
      <c r="I14" s="88">
        <v>46163.444768518515</v>
      </c>
      <c r="J14" t="s">
        <v>107</v>
      </c>
      <c r="K14" t="s">
        <v>108</v>
      </c>
      <c r="L14" t="s">
        <v>695</v>
      </c>
      <c r="M14" s="88">
        <v>46164.539363425924</v>
      </c>
      <c r="N14" t="s">
        <v>637</v>
      </c>
      <c r="O14" t="s">
        <v>112</v>
      </c>
      <c r="P14" t="s">
        <v>111</v>
      </c>
      <c r="Q14" t="s">
        <v>638</v>
      </c>
      <c r="R14">
        <v>6</v>
      </c>
      <c r="S14" s="89">
        <v>9500</v>
      </c>
      <c r="T14" s="89">
        <v>0</v>
      </c>
      <c r="U14" s="89">
        <v>19980</v>
      </c>
      <c r="V14" s="89">
        <v>19980</v>
      </c>
      <c r="W14" s="89">
        <v>37020</v>
      </c>
    </row>
    <row r="15" spans="1:23" ht="15.75" customHeight="1">
      <c r="A15" t="s">
        <v>696</v>
      </c>
      <c r="B15" t="s">
        <v>697</v>
      </c>
      <c r="C15" s="88">
        <v>46172.051851851851</v>
      </c>
      <c r="D15" t="s">
        <v>105</v>
      </c>
      <c r="E15" t="s">
        <v>106</v>
      </c>
      <c r="F15" t="s">
        <v>698</v>
      </c>
      <c r="G15" t="s">
        <v>699</v>
      </c>
      <c r="H15" t="s">
        <v>698</v>
      </c>
      <c r="I15" s="88">
        <v>46163.444768518515</v>
      </c>
      <c r="J15" t="s">
        <v>107</v>
      </c>
      <c r="K15" t="s">
        <v>108</v>
      </c>
      <c r="L15" t="s">
        <v>700</v>
      </c>
      <c r="M15" s="88">
        <v>46164.439976851849</v>
      </c>
      <c r="N15" t="s">
        <v>637</v>
      </c>
      <c r="O15" t="s">
        <v>112</v>
      </c>
      <c r="P15" t="s">
        <v>111</v>
      </c>
      <c r="Q15" t="s">
        <v>638</v>
      </c>
      <c r="R15">
        <v>6</v>
      </c>
      <c r="S15" s="89">
        <v>9500</v>
      </c>
      <c r="T15" s="89">
        <v>0</v>
      </c>
      <c r="U15" s="89">
        <v>19980</v>
      </c>
      <c r="V15" s="89">
        <v>19980</v>
      </c>
      <c r="W15" s="89">
        <v>37020</v>
      </c>
    </row>
    <row r="16" spans="1:23" ht="15.75" customHeight="1">
      <c r="A16" t="s">
        <v>701</v>
      </c>
      <c r="B16" t="s">
        <v>702</v>
      </c>
      <c r="C16" s="88">
        <v>46172.051851851851</v>
      </c>
      <c r="D16" t="s">
        <v>105</v>
      </c>
      <c r="E16" t="s">
        <v>106</v>
      </c>
      <c r="F16" t="s">
        <v>703</v>
      </c>
      <c r="G16" t="s">
        <v>704</v>
      </c>
      <c r="H16" t="s">
        <v>705</v>
      </c>
      <c r="I16" s="88">
        <v>46163.444768518515</v>
      </c>
      <c r="J16" t="s">
        <v>107</v>
      </c>
      <c r="K16" t="s">
        <v>108</v>
      </c>
      <c r="L16" t="s">
        <v>706</v>
      </c>
      <c r="M16" s="88">
        <v>46164.675729166665</v>
      </c>
      <c r="N16" t="s">
        <v>637</v>
      </c>
      <c r="O16" t="s">
        <v>670</v>
      </c>
      <c r="P16" t="s">
        <v>109</v>
      </c>
      <c r="Q16" t="s">
        <v>670</v>
      </c>
      <c r="R16">
        <v>4</v>
      </c>
      <c r="S16" s="89">
        <v>21060</v>
      </c>
      <c r="T16" s="89">
        <v>0</v>
      </c>
      <c r="U16" s="89">
        <v>0</v>
      </c>
      <c r="V16" s="89">
        <v>0</v>
      </c>
      <c r="W16" s="89">
        <v>84240</v>
      </c>
    </row>
    <row r="17" spans="1:23" ht="15.75" customHeight="1">
      <c r="A17" t="s">
        <v>707</v>
      </c>
      <c r="B17" t="s">
        <v>702</v>
      </c>
      <c r="C17" s="88">
        <v>46172.051851851851</v>
      </c>
      <c r="D17" t="s">
        <v>105</v>
      </c>
      <c r="E17" t="s">
        <v>106</v>
      </c>
      <c r="F17" t="s">
        <v>703</v>
      </c>
      <c r="G17" t="s">
        <v>704</v>
      </c>
      <c r="H17" t="s">
        <v>705</v>
      </c>
      <c r="I17" s="88">
        <v>46163.444768518515</v>
      </c>
      <c r="J17" t="s">
        <v>107</v>
      </c>
      <c r="K17" t="s">
        <v>108</v>
      </c>
      <c r="L17" t="s">
        <v>706</v>
      </c>
      <c r="M17" s="88">
        <v>46164.675729166665</v>
      </c>
      <c r="N17" t="s">
        <v>637</v>
      </c>
      <c r="O17" t="s">
        <v>112</v>
      </c>
      <c r="P17" t="s">
        <v>111</v>
      </c>
      <c r="Q17" t="s">
        <v>638</v>
      </c>
      <c r="R17">
        <v>10</v>
      </c>
      <c r="S17" s="89">
        <v>9500</v>
      </c>
      <c r="T17" s="89">
        <v>0</v>
      </c>
      <c r="U17" s="89">
        <v>38300</v>
      </c>
      <c r="V17" s="89">
        <v>33300</v>
      </c>
      <c r="W17" s="89">
        <v>56700</v>
      </c>
    </row>
    <row r="18" spans="1:23" ht="15.75" customHeight="1">
      <c r="A18" t="s">
        <v>708</v>
      </c>
      <c r="B18" t="s">
        <v>709</v>
      </c>
      <c r="C18" s="88">
        <v>46172.03197916667</v>
      </c>
      <c r="D18" t="s">
        <v>105</v>
      </c>
      <c r="E18" t="s">
        <v>106</v>
      </c>
      <c r="F18" t="s">
        <v>710</v>
      </c>
      <c r="G18" t="s">
        <v>711</v>
      </c>
      <c r="H18" t="s">
        <v>710</v>
      </c>
      <c r="I18" s="88">
        <v>46170.59065972222</v>
      </c>
      <c r="J18" t="s">
        <v>107</v>
      </c>
      <c r="K18" t="s">
        <v>108</v>
      </c>
      <c r="L18" t="s">
        <v>712</v>
      </c>
      <c r="M18" s="88">
        <v>46171.705034722225</v>
      </c>
      <c r="N18" t="s">
        <v>637</v>
      </c>
      <c r="O18" t="s">
        <v>112</v>
      </c>
      <c r="P18" t="s">
        <v>111</v>
      </c>
      <c r="Q18" t="s">
        <v>638</v>
      </c>
      <c r="R18">
        <v>4</v>
      </c>
      <c r="S18" s="89">
        <v>9500</v>
      </c>
      <c r="T18" s="89">
        <v>0</v>
      </c>
      <c r="U18" s="89">
        <v>8360</v>
      </c>
      <c r="V18" s="89">
        <v>8360</v>
      </c>
      <c r="W18" s="89">
        <v>29640</v>
      </c>
    </row>
    <row r="19" spans="1:23" ht="15.75" customHeight="1">
      <c r="A19" t="s">
        <v>713</v>
      </c>
      <c r="B19" t="s">
        <v>714</v>
      </c>
      <c r="C19" s="88">
        <v>46171.906736111108</v>
      </c>
      <c r="D19" t="s">
        <v>105</v>
      </c>
      <c r="E19" t="s">
        <v>106</v>
      </c>
      <c r="F19" t="s">
        <v>653</v>
      </c>
      <c r="G19" t="s">
        <v>715</v>
      </c>
      <c r="H19" t="s">
        <v>653</v>
      </c>
      <c r="I19" s="88">
        <v>46168.437893518523</v>
      </c>
      <c r="J19" t="s">
        <v>107</v>
      </c>
      <c r="K19" t="s">
        <v>108</v>
      </c>
      <c r="L19" t="s">
        <v>716</v>
      </c>
      <c r="M19" s="88">
        <v>46169.772905092592</v>
      </c>
      <c r="N19" t="s">
        <v>637</v>
      </c>
      <c r="O19" t="s">
        <v>112</v>
      </c>
      <c r="P19" t="s">
        <v>111</v>
      </c>
      <c r="Q19" t="s">
        <v>638</v>
      </c>
      <c r="R19">
        <v>6</v>
      </c>
      <c r="S19" s="89">
        <v>9500</v>
      </c>
      <c r="T19" s="89">
        <v>0</v>
      </c>
      <c r="U19" s="89">
        <v>19980</v>
      </c>
      <c r="V19" s="89">
        <v>19980</v>
      </c>
      <c r="W19" s="89">
        <v>37020</v>
      </c>
    </row>
    <row r="20" spans="1:23" ht="15.75" customHeight="1">
      <c r="A20" t="s">
        <v>717</v>
      </c>
      <c r="B20" t="s">
        <v>718</v>
      </c>
      <c r="C20" s="88">
        <v>46171.896064814813</v>
      </c>
      <c r="D20" t="s">
        <v>105</v>
      </c>
      <c r="E20" t="s">
        <v>106</v>
      </c>
      <c r="F20" t="s">
        <v>719</v>
      </c>
      <c r="G20" t="s">
        <v>720</v>
      </c>
      <c r="H20" t="s">
        <v>719</v>
      </c>
      <c r="I20" s="88">
        <v>46168.437893518523</v>
      </c>
      <c r="J20" t="s">
        <v>107</v>
      </c>
      <c r="K20" t="s">
        <v>108</v>
      </c>
      <c r="L20" t="s">
        <v>721</v>
      </c>
      <c r="M20" s="88">
        <v>46169.552928240737</v>
      </c>
      <c r="N20" t="s">
        <v>637</v>
      </c>
      <c r="O20" t="s">
        <v>112</v>
      </c>
      <c r="P20" t="s">
        <v>111</v>
      </c>
      <c r="Q20" t="s">
        <v>638</v>
      </c>
      <c r="R20">
        <v>4</v>
      </c>
      <c r="S20" s="89">
        <v>9500</v>
      </c>
      <c r="T20" s="89">
        <v>0</v>
      </c>
      <c r="U20" s="89">
        <v>8360</v>
      </c>
      <c r="V20" s="89">
        <v>8360</v>
      </c>
      <c r="W20" s="89">
        <v>29640</v>
      </c>
    </row>
    <row r="21" spans="1:23" ht="15.75" customHeight="1">
      <c r="A21" t="s">
        <v>722</v>
      </c>
      <c r="B21" t="s">
        <v>723</v>
      </c>
      <c r="C21" s="88">
        <v>46171.588449074072</v>
      </c>
      <c r="D21" t="s">
        <v>105</v>
      </c>
      <c r="E21" t="s">
        <v>106</v>
      </c>
      <c r="F21" t="s">
        <v>724</v>
      </c>
      <c r="G21" t="s">
        <v>725</v>
      </c>
      <c r="H21" t="s">
        <v>724</v>
      </c>
      <c r="I21" s="88">
        <v>46169.42396990741</v>
      </c>
      <c r="J21" t="s">
        <v>107</v>
      </c>
      <c r="K21" t="s">
        <v>108</v>
      </c>
      <c r="L21" t="s">
        <v>726</v>
      </c>
      <c r="M21" s="88">
        <v>46170.482534722221</v>
      </c>
      <c r="N21" t="s">
        <v>637</v>
      </c>
      <c r="O21" t="s">
        <v>112</v>
      </c>
      <c r="P21" t="s">
        <v>111</v>
      </c>
      <c r="Q21" t="s">
        <v>638</v>
      </c>
      <c r="R21">
        <v>2</v>
      </c>
      <c r="S21" s="89">
        <v>9500</v>
      </c>
      <c r="T21" s="89">
        <v>0</v>
      </c>
      <c r="U21" s="89">
        <v>4180</v>
      </c>
      <c r="V21" s="89">
        <v>4180</v>
      </c>
      <c r="W21" s="89">
        <v>14820</v>
      </c>
    </row>
    <row r="22" spans="1:23" ht="15.75" customHeight="1">
      <c r="A22" t="s">
        <v>727</v>
      </c>
      <c r="B22" t="s">
        <v>728</v>
      </c>
      <c r="C22" s="88">
        <v>46171.338206018518</v>
      </c>
      <c r="D22" t="s">
        <v>105</v>
      </c>
      <c r="E22" t="s">
        <v>106</v>
      </c>
      <c r="F22" t="s">
        <v>729</v>
      </c>
      <c r="G22" t="s">
        <v>730</v>
      </c>
      <c r="H22" t="s">
        <v>729</v>
      </c>
      <c r="I22" s="88">
        <v>46164.444837962961</v>
      </c>
      <c r="J22" t="s">
        <v>107</v>
      </c>
      <c r="K22" t="s">
        <v>108</v>
      </c>
      <c r="L22" t="s">
        <v>731</v>
      </c>
      <c r="M22" s="88">
        <v>46165.679189814815</v>
      </c>
      <c r="N22" t="s">
        <v>637</v>
      </c>
      <c r="O22" t="s">
        <v>112</v>
      </c>
      <c r="P22" t="s">
        <v>111</v>
      </c>
      <c r="Q22" t="s">
        <v>638</v>
      </c>
      <c r="R22">
        <v>10</v>
      </c>
      <c r="S22" s="89">
        <v>9500</v>
      </c>
      <c r="T22" s="89">
        <v>0</v>
      </c>
      <c r="U22" s="89">
        <v>33300</v>
      </c>
      <c r="V22" s="89">
        <v>33300</v>
      </c>
      <c r="W22" s="89">
        <v>61700</v>
      </c>
    </row>
    <row r="23" spans="1:23" ht="15.75" customHeight="1">
      <c r="A23" t="s">
        <v>732</v>
      </c>
      <c r="B23" t="s">
        <v>733</v>
      </c>
      <c r="C23" s="88">
        <v>46171.082013888888</v>
      </c>
      <c r="D23" t="s">
        <v>105</v>
      </c>
      <c r="E23" t="s">
        <v>106</v>
      </c>
      <c r="F23" t="s">
        <v>734</v>
      </c>
      <c r="G23" t="s">
        <v>735</v>
      </c>
      <c r="H23" t="s">
        <v>734</v>
      </c>
      <c r="I23" s="88">
        <v>46162.59756944445</v>
      </c>
      <c r="J23" t="s">
        <v>107</v>
      </c>
      <c r="K23" t="s">
        <v>108</v>
      </c>
      <c r="L23" t="s">
        <v>736</v>
      </c>
      <c r="M23" s="88">
        <v>46163.470972222218</v>
      </c>
      <c r="N23" t="s">
        <v>637</v>
      </c>
      <c r="O23" t="s">
        <v>112</v>
      </c>
      <c r="P23" t="s">
        <v>111</v>
      </c>
      <c r="Q23" t="s">
        <v>638</v>
      </c>
      <c r="R23">
        <v>3</v>
      </c>
      <c r="S23" s="89">
        <v>9500</v>
      </c>
      <c r="T23" s="89">
        <v>0</v>
      </c>
      <c r="U23" s="89">
        <v>6270</v>
      </c>
      <c r="V23" s="89">
        <v>6270</v>
      </c>
      <c r="W23" s="89">
        <v>22230</v>
      </c>
    </row>
    <row r="24" spans="1:23" ht="15.75" customHeight="1">
      <c r="A24" t="s">
        <v>737</v>
      </c>
      <c r="B24" t="s">
        <v>738</v>
      </c>
      <c r="C24" s="88">
        <v>46171.055636574078</v>
      </c>
      <c r="D24" t="s">
        <v>105</v>
      </c>
      <c r="E24" t="s">
        <v>106</v>
      </c>
      <c r="F24" t="s">
        <v>739</v>
      </c>
      <c r="G24" t="s">
        <v>740</v>
      </c>
      <c r="H24" t="s">
        <v>739</v>
      </c>
      <c r="I24" s="88">
        <v>46162.45888888889</v>
      </c>
      <c r="J24" t="s">
        <v>107</v>
      </c>
      <c r="K24" t="s">
        <v>108</v>
      </c>
      <c r="L24" t="s">
        <v>741</v>
      </c>
      <c r="M24" s="88">
        <v>46163.469837962963</v>
      </c>
      <c r="N24" t="s">
        <v>637</v>
      </c>
      <c r="O24" t="s">
        <v>112</v>
      </c>
      <c r="P24" t="s">
        <v>111</v>
      </c>
      <c r="Q24" t="s">
        <v>638</v>
      </c>
      <c r="R24">
        <v>6</v>
      </c>
      <c r="S24" s="89">
        <v>9500</v>
      </c>
      <c r="T24" s="89">
        <v>0</v>
      </c>
      <c r="U24" s="89">
        <v>19980</v>
      </c>
      <c r="V24" s="89">
        <v>19980</v>
      </c>
      <c r="W24" s="89">
        <v>37020</v>
      </c>
    </row>
    <row r="25" spans="1:23" ht="15.75" customHeight="1">
      <c r="A25" t="s">
        <v>742</v>
      </c>
      <c r="B25" t="s">
        <v>743</v>
      </c>
      <c r="C25" s="88">
        <v>46170.930925925924</v>
      </c>
      <c r="D25" t="s">
        <v>105</v>
      </c>
      <c r="E25" t="s">
        <v>106</v>
      </c>
      <c r="F25" t="s">
        <v>744</v>
      </c>
      <c r="G25" t="s">
        <v>745</v>
      </c>
      <c r="H25" t="s">
        <v>744</v>
      </c>
      <c r="I25" s="88">
        <v>46168.437905092593</v>
      </c>
      <c r="J25" t="s">
        <v>107</v>
      </c>
      <c r="K25" t="s">
        <v>108</v>
      </c>
      <c r="L25" t="s">
        <v>746</v>
      </c>
      <c r="M25" s="88">
        <v>46169.518252314811</v>
      </c>
      <c r="N25" t="s">
        <v>637</v>
      </c>
      <c r="O25" t="s">
        <v>112</v>
      </c>
      <c r="P25" t="s">
        <v>111</v>
      </c>
      <c r="Q25" t="s">
        <v>638</v>
      </c>
      <c r="R25">
        <v>1</v>
      </c>
      <c r="S25" s="89">
        <v>9500</v>
      </c>
      <c r="T25" s="89">
        <v>0</v>
      </c>
      <c r="U25" s="89">
        <v>2090</v>
      </c>
      <c r="V25" s="89">
        <v>2090</v>
      </c>
      <c r="W25" s="89">
        <v>7410</v>
      </c>
    </row>
    <row r="26" spans="1:23" ht="15.75" customHeight="1">
      <c r="A26" t="s">
        <v>747</v>
      </c>
      <c r="B26" t="s">
        <v>748</v>
      </c>
      <c r="C26" s="88">
        <v>46170.921701388885</v>
      </c>
      <c r="D26" t="s">
        <v>105</v>
      </c>
      <c r="E26" t="s">
        <v>106</v>
      </c>
      <c r="F26" t="s">
        <v>249</v>
      </c>
      <c r="G26" t="s">
        <v>250</v>
      </c>
      <c r="H26" t="s">
        <v>249</v>
      </c>
      <c r="I26" s="88">
        <v>46168.639247685191</v>
      </c>
      <c r="J26" t="s">
        <v>107</v>
      </c>
      <c r="K26" t="s">
        <v>108</v>
      </c>
      <c r="L26" t="s">
        <v>749</v>
      </c>
      <c r="M26" s="88">
        <v>46169.777800925927</v>
      </c>
      <c r="N26" t="s">
        <v>637</v>
      </c>
      <c r="O26" t="s">
        <v>112</v>
      </c>
      <c r="P26" t="s">
        <v>111</v>
      </c>
      <c r="Q26" t="s">
        <v>638</v>
      </c>
      <c r="R26">
        <v>10</v>
      </c>
      <c r="S26" s="89">
        <v>9500</v>
      </c>
      <c r="T26" s="89">
        <v>0</v>
      </c>
      <c r="U26" s="89">
        <v>33300</v>
      </c>
      <c r="V26" s="89">
        <v>33300</v>
      </c>
      <c r="W26" s="89">
        <v>61700</v>
      </c>
    </row>
    <row r="27" spans="1:23" ht="15.75" customHeight="1">
      <c r="A27" t="s">
        <v>750</v>
      </c>
      <c r="B27" t="s">
        <v>751</v>
      </c>
      <c r="C27" s="88">
        <v>46170.63989583333</v>
      </c>
      <c r="D27" t="s">
        <v>105</v>
      </c>
      <c r="E27" t="s">
        <v>106</v>
      </c>
      <c r="F27" t="s">
        <v>752</v>
      </c>
      <c r="G27" t="s">
        <v>753</v>
      </c>
      <c r="H27" t="s">
        <v>752</v>
      </c>
      <c r="I27" s="88">
        <v>46168.437893518523</v>
      </c>
      <c r="J27" t="s">
        <v>107</v>
      </c>
      <c r="K27" t="s">
        <v>108</v>
      </c>
      <c r="L27" t="s">
        <v>754</v>
      </c>
      <c r="M27" s="88">
        <v>46169.68549768519</v>
      </c>
      <c r="N27" t="s">
        <v>637</v>
      </c>
      <c r="O27" t="s">
        <v>112</v>
      </c>
      <c r="P27" t="s">
        <v>111</v>
      </c>
      <c r="Q27" t="s">
        <v>638</v>
      </c>
      <c r="R27">
        <v>2</v>
      </c>
      <c r="S27" s="89">
        <v>9500</v>
      </c>
      <c r="T27" s="89">
        <v>0</v>
      </c>
      <c r="U27" s="89">
        <v>4180</v>
      </c>
      <c r="V27" s="89">
        <v>4180</v>
      </c>
      <c r="W27" s="89">
        <v>14820</v>
      </c>
    </row>
    <row r="28" spans="1:23" ht="15.75" customHeight="1">
      <c r="A28" t="s">
        <v>755</v>
      </c>
      <c r="B28" t="s">
        <v>756</v>
      </c>
      <c r="C28" s="88">
        <v>46170.530057870375</v>
      </c>
      <c r="D28" t="s">
        <v>105</v>
      </c>
      <c r="E28" t="s">
        <v>106</v>
      </c>
      <c r="F28" t="s">
        <v>330</v>
      </c>
      <c r="G28" t="s">
        <v>757</v>
      </c>
      <c r="H28" t="s">
        <v>330</v>
      </c>
      <c r="I28" s="88">
        <v>46168.569849537038</v>
      </c>
      <c r="J28" t="s">
        <v>107</v>
      </c>
      <c r="K28" t="s">
        <v>108</v>
      </c>
      <c r="L28" t="s">
        <v>758</v>
      </c>
      <c r="M28" s="88">
        <v>46169.686516203699</v>
      </c>
      <c r="N28" t="s">
        <v>637</v>
      </c>
      <c r="O28" t="s">
        <v>112</v>
      </c>
      <c r="P28" t="s">
        <v>111</v>
      </c>
      <c r="Q28" t="s">
        <v>638</v>
      </c>
      <c r="R28">
        <v>4</v>
      </c>
      <c r="S28" s="89">
        <v>9500</v>
      </c>
      <c r="T28" s="89">
        <v>0</v>
      </c>
      <c r="U28" s="89">
        <v>8360</v>
      </c>
      <c r="V28" s="89">
        <v>8360</v>
      </c>
      <c r="W28" s="89">
        <v>29640</v>
      </c>
    </row>
    <row r="29" spans="1:23" ht="15.75" customHeight="1">
      <c r="A29" t="s">
        <v>759</v>
      </c>
      <c r="B29" t="s">
        <v>760</v>
      </c>
      <c r="C29" s="88">
        <v>46170.487534722226</v>
      </c>
      <c r="D29" t="s">
        <v>105</v>
      </c>
      <c r="E29" t="s">
        <v>106</v>
      </c>
      <c r="F29" t="s">
        <v>761</v>
      </c>
      <c r="G29" t="s">
        <v>762</v>
      </c>
      <c r="H29" t="s">
        <v>761</v>
      </c>
      <c r="I29" s="88">
        <v>46168.437893518523</v>
      </c>
      <c r="J29" t="s">
        <v>107</v>
      </c>
      <c r="K29" t="s">
        <v>108</v>
      </c>
      <c r="L29" t="s">
        <v>763</v>
      </c>
      <c r="M29" s="88">
        <v>46169.963425925926</v>
      </c>
      <c r="N29" t="s">
        <v>637</v>
      </c>
      <c r="O29" t="s">
        <v>112</v>
      </c>
      <c r="P29" t="s">
        <v>111</v>
      </c>
      <c r="Q29" t="s">
        <v>638</v>
      </c>
      <c r="R29">
        <v>4</v>
      </c>
      <c r="S29" s="89">
        <v>9500</v>
      </c>
      <c r="T29" s="89">
        <v>0</v>
      </c>
      <c r="U29" s="89">
        <v>8360</v>
      </c>
      <c r="V29" s="89">
        <v>8360</v>
      </c>
      <c r="W29" s="89">
        <v>29640</v>
      </c>
    </row>
    <row r="30" spans="1:23" ht="15.75" customHeight="1">
      <c r="A30" t="s">
        <v>764</v>
      </c>
      <c r="B30" t="s">
        <v>765</v>
      </c>
      <c r="C30" s="88">
        <v>46170.09878472222</v>
      </c>
      <c r="D30" t="s">
        <v>105</v>
      </c>
      <c r="E30" t="s">
        <v>106</v>
      </c>
      <c r="F30" t="s">
        <v>766</v>
      </c>
      <c r="G30" t="s">
        <v>767</v>
      </c>
      <c r="H30" t="s">
        <v>766</v>
      </c>
      <c r="I30" s="88">
        <v>46161.63244212963</v>
      </c>
      <c r="J30" t="s">
        <v>107</v>
      </c>
      <c r="K30" t="s">
        <v>108</v>
      </c>
      <c r="L30" t="s">
        <v>768</v>
      </c>
      <c r="M30" s="88">
        <v>46162.541643518518</v>
      </c>
      <c r="N30" t="s">
        <v>637</v>
      </c>
      <c r="O30" t="s">
        <v>112</v>
      </c>
      <c r="P30" t="s">
        <v>111</v>
      </c>
      <c r="Q30" t="s">
        <v>638</v>
      </c>
      <c r="R30">
        <v>10</v>
      </c>
      <c r="S30" s="89">
        <v>9500</v>
      </c>
      <c r="T30" s="89">
        <v>0</v>
      </c>
      <c r="U30" s="89">
        <v>33300</v>
      </c>
      <c r="V30" s="89">
        <v>33300</v>
      </c>
      <c r="W30" s="89">
        <v>61700</v>
      </c>
    </row>
    <row r="31" spans="1:23" ht="15.75" customHeight="1">
      <c r="A31" t="s">
        <v>769</v>
      </c>
      <c r="B31" t="s">
        <v>770</v>
      </c>
      <c r="C31" s="88">
        <v>46170.059178240743</v>
      </c>
      <c r="D31" t="s">
        <v>105</v>
      </c>
      <c r="E31" t="s">
        <v>106</v>
      </c>
      <c r="F31" t="s">
        <v>771</v>
      </c>
      <c r="G31" t="s">
        <v>772</v>
      </c>
      <c r="H31" t="s">
        <v>771</v>
      </c>
      <c r="I31" s="88">
        <v>46161.396319444444</v>
      </c>
      <c r="J31" t="s">
        <v>107</v>
      </c>
      <c r="K31" t="s">
        <v>108</v>
      </c>
      <c r="L31" t="s">
        <v>773</v>
      </c>
      <c r="M31" s="88">
        <v>46162.487662037034</v>
      </c>
      <c r="N31" t="s">
        <v>637</v>
      </c>
      <c r="O31" t="s">
        <v>112</v>
      </c>
      <c r="P31" t="s">
        <v>111</v>
      </c>
      <c r="Q31" t="s">
        <v>638</v>
      </c>
      <c r="R31">
        <v>2</v>
      </c>
      <c r="S31" s="89">
        <v>9500</v>
      </c>
      <c r="T31" s="89">
        <v>0</v>
      </c>
      <c r="U31" s="89">
        <v>4180</v>
      </c>
      <c r="V31" s="89">
        <v>4180</v>
      </c>
      <c r="W31" s="89">
        <v>14820</v>
      </c>
    </row>
    <row r="32" spans="1:23" ht="15.75" customHeight="1">
      <c r="A32" t="s">
        <v>774</v>
      </c>
      <c r="B32" t="s">
        <v>775</v>
      </c>
      <c r="C32" s="88">
        <v>46170.051712962959</v>
      </c>
      <c r="D32" t="s">
        <v>105</v>
      </c>
      <c r="E32" t="s">
        <v>106</v>
      </c>
      <c r="F32" t="s">
        <v>356</v>
      </c>
      <c r="G32" t="s">
        <v>776</v>
      </c>
      <c r="H32" t="s">
        <v>356</v>
      </c>
      <c r="I32" s="88">
        <v>46161.396319444444</v>
      </c>
      <c r="J32" t="s">
        <v>107</v>
      </c>
      <c r="K32" t="s">
        <v>108</v>
      </c>
      <c r="L32" t="s">
        <v>777</v>
      </c>
      <c r="M32" s="88">
        <v>46162.5465625</v>
      </c>
      <c r="N32" t="s">
        <v>637</v>
      </c>
      <c r="O32" t="s">
        <v>112</v>
      </c>
      <c r="P32" t="s">
        <v>111</v>
      </c>
      <c r="Q32" t="s">
        <v>638</v>
      </c>
      <c r="R32">
        <v>1</v>
      </c>
      <c r="S32" s="89">
        <v>9500</v>
      </c>
      <c r="T32" s="89">
        <v>0</v>
      </c>
      <c r="U32" s="89">
        <v>2090</v>
      </c>
      <c r="V32" s="89">
        <v>2090</v>
      </c>
      <c r="W32" s="89">
        <v>7410</v>
      </c>
    </row>
    <row r="33" spans="1:23" ht="15.75" customHeight="1">
      <c r="A33" t="s">
        <v>778</v>
      </c>
      <c r="B33" t="s">
        <v>779</v>
      </c>
      <c r="C33" s="88">
        <v>46170.051712962959</v>
      </c>
      <c r="D33" t="s">
        <v>105</v>
      </c>
      <c r="E33" t="s">
        <v>106</v>
      </c>
      <c r="F33" t="s">
        <v>780</v>
      </c>
      <c r="G33" t="s">
        <v>781</v>
      </c>
      <c r="H33" t="s">
        <v>780</v>
      </c>
      <c r="I33" s="88">
        <v>46161.396319444444</v>
      </c>
      <c r="J33" t="s">
        <v>107</v>
      </c>
      <c r="K33" t="s">
        <v>108</v>
      </c>
      <c r="L33" t="s">
        <v>782</v>
      </c>
      <c r="M33" s="88">
        <v>46162.546574074076</v>
      </c>
      <c r="N33" t="s">
        <v>637</v>
      </c>
      <c r="O33" t="s">
        <v>112</v>
      </c>
      <c r="P33" t="s">
        <v>111</v>
      </c>
      <c r="Q33" t="s">
        <v>638</v>
      </c>
      <c r="R33">
        <v>3</v>
      </c>
      <c r="S33" s="89">
        <v>9500</v>
      </c>
      <c r="T33" s="89">
        <v>0</v>
      </c>
      <c r="U33" s="89">
        <v>6270</v>
      </c>
      <c r="V33" s="89">
        <v>6270</v>
      </c>
      <c r="W33" s="89">
        <v>22230</v>
      </c>
    </row>
    <row r="34" spans="1:23" ht="15.75" customHeight="1">
      <c r="A34" t="s">
        <v>783</v>
      </c>
      <c r="B34" t="s">
        <v>784</v>
      </c>
      <c r="C34" s="88">
        <v>46170.030023148152</v>
      </c>
      <c r="D34" t="s">
        <v>105</v>
      </c>
      <c r="E34" t="s">
        <v>106</v>
      </c>
      <c r="F34" t="s">
        <v>785</v>
      </c>
      <c r="G34" t="s">
        <v>786</v>
      </c>
      <c r="H34" t="s">
        <v>785</v>
      </c>
      <c r="I34" s="88">
        <v>46160.403287037036</v>
      </c>
      <c r="J34" t="s">
        <v>107</v>
      </c>
      <c r="K34" t="s">
        <v>108</v>
      </c>
      <c r="L34" t="s">
        <v>787</v>
      </c>
      <c r="M34" s="88">
        <v>46162.462500000001</v>
      </c>
      <c r="N34" t="s">
        <v>788</v>
      </c>
      <c r="O34" t="s">
        <v>789</v>
      </c>
      <c r="P34" t="s">
        <v>111</v>
      </c>
      <c r="Q34" t="s">
        <v>790</v>
      </c>
      <c r="R34">
        <v>2</v>
      </c>
      <c r="S34" s="89">
        <v>27000</v>
      </c>
      <c r="T34" s="89">
        <v>0</v>
      </c>
      <c r="U34" s="89">
        <v>11880</v>
      </c>
      <c r="V34" s="89">
        <v>11880</v>
      </c>
      <c r="W34" s="89">
        <v>42120</v>
      </c>
    </row>
    <row r="35" spans="1:23" ht="15.75" customHeight="1">
      <c r="A35" t="s">
        <v>791</v>
      </c>
      <c r="B35" t="s">
        <v>792</v>
      </c>
      <c r="C35" s="88">
        <v>46169.989918981482</v>
      </c>
      <c r="D35" t="s">
        <v>105</v>
      </c>
      <c r="E35" t="s">
        <v>106</v>
      </c>
      <c r="F35" t="s">
        <v>793</v>
      </c>
      <c r="G35" t="s">
        <v>794</v>
      </c>
      <c r="H35" t="s">
        <v>793</v>
      </c>
      <c r="I35" s="88">
        <v>46168.437893518523</v>
      </c>
      <c r="J35" t="s">
        <v>107</v>
      </c>
      <c r="K35" t="s">
        <v>108</v>
      </c>
      <c r="L35" t="s">
        <v>795</v>
      </c>
      <c r="M35" s="88">
        <v>46169.554270833338</v>
      </c>
      <c r="N35" t="s">
        <v>637</v>
      </c>
      <c r="O35" t="s">
        <v>112</v>
      </c>
      <c r="P35" t="s">
        <v>111</v>
      </c>
      <c r="Q35" t="s">
        <v>638</v>
      </c>
      <c r="R35">
        <v>1</v>
      </c>
      <c r="S35" s="89">
        <v>9500</v>
      </c>
      <c r="T35" s="89">
        <v>0</v>
      </c>
      <c r="U35" s="89">
        <v>2090</v>
      </c>
      <c r="V35" s="89">
        <v>2090</v>
      </c>
      <c r="W35" s="89">
        <v>7410</v>
      </c>
    </row>
    <row r="36" spans="1:23" ht="15.75" customHeight="1">
      <c r="A36" t="s">
        <v>796</v>
      </c>
      <c r="B36" t="s">
        <v>797</v>
      </c>
      <c r="C36" s="88">
        <v>46169.793090277773</v>
      </c>
      <c r="D36" t="s">
        <v>105</v>
      </c>
      <c r="E36" t="s">
        <v>106</v>
      </c>
      <c r="F36" t="s">
        <v>496</v>
      </c>
      <c r="G36" t="s">
        <v>798</v>
      </c>
      <c r="H36" t="s">
        <v>496</v>
      </c>
      <c r="I36" s="88">
        <v>46168.437893518523</v>
      </c>
      <c r="J36" t="s">
        <v>107</v>
      </c>
      <c r="K36" t="s">
        <v>108</v>
      </c>
      <c r="L36" t="s">
        <v>799</v>
      </c>
      <c r="M36" s="88">
        <v>46169.672962962963</v>
      </c>
      <c r="N36" t="s">
        <v>637</v>
      </c>
      <c r="O36" t="s">
        <v>670</v>
      </c>
      <c r="P36" t="s">
        <v>109</v>
      </c>
      <c r="Q36" t="s">
        <v>670</v>
      </c>
      <c r="R36">
        <v>1</v>
      </c>
      <c r="S36" s="89">
        <v>21060</v>
      </c>
      <c r="T36" s="89">
        <v>0</v>
      </c>
      <c r="U36" s="89">
        <v>0</v>
      </c>
      <c r="V36" s="89">
        <v>0</v>
      </c>
      <c r="W36" s="89">
        <v>21060</v>
      </c>
    </row>
    <row r="37" spans="1:23" ht="15.75" customHeight="1">
      <c r="A37" t="s">
        <v>800</v>
      </c>
      <c r="B37" t="s">
        <v>797</v>
      </c>
      <c r="C37" s="88">
        <v>46169.793090277773</v>
      </c>
      <c r="D37" t="s">
        <v>105</v>
      </c>
      <c r="E37" t="s">
        <v>106</v>
      </c>
      <c r="F37" t="s">
        <v>496</v>
      </c>
      <c r="G37" t="s">
        <v>798</v>
      </c>
      <c r="H37" t="s">
        <v>496</v>
      </c>
      <c r="I37" s="88">
        <v>46168.437893518523</v>
      </c>
      <c r="J37" t="s">
        <v>107</v>
      </c>
      <c r="K37" t="s">
        <v>108</v>
      </c>
      <c r="L37" t="s">
        <v>799</v>
      </c>
      <c r="M37" s="88">
        <v>46169.672962962963</v>
      </c>
      <c r="N37" t="s">
        <v>637</v>
      </c>
      <c r="O37" t="s">
        <v>112</v>
      </c>
      <c r="P37" t="s">
        <v>111</v>
      </c>
      <c r="Q37" t="s">
        <v>638</v>
      </c>
      <c r="R37">
        <v>2</v>
      </c>
      <c r="S37" s="89">
        <v>9500</v>
      </c>
      <c r="T37" s="89">
        <v>0</v>
      </c>
      <c r="U37" s="89">
        <v>4180</v>
      </c>
      <c r="V37" s="89">
        <v>4180</v>
      </c>
      <c r="W37" s="89">
        <v>14820</v>
      </c>
    </row>
    <row r="38" spans="1:23" ht="15.75" customHeight="1">
      <c r="A38" t="s">
        <v>801</v>
      </c>
      <c r="B38" t="s">
        <v>802</v>
      </c>
      <c r="C38" s="88">
        <v>46169.7887962963</v>
      </c>
      <c r="D38" t="s">
        <v>105</v>
      </c>
      <c r="E38" t="s">
        <v>106</v>
      </c>
      <c r="F38" t="s">
        <v>284</v>
      </c>
      <c r="G38" t="s">
        <v>803</v>
      </c>
      <c r="H38" t="s">
        <v>284</v>
      </c>
      <c r="I38" s="88">
        <v>46168.437893518523</v>
      </c>
      <c r="J38" t="s">
        <v>107</v>
      </c>
      <c r="K38" t="s">
        <v>108</v>
      </c>
      <c r="L38" t="s">
        <v>804</v>
      </c>
      <c r="M38" s="88">
        <v>46169.689259259263</v>
      </c>
      <c r="N38" t="s">
        <v>637</v>
      </c>
      <c r="O38" t="s">
        <v>670</v>
      </c>
      <c r="P38" t="s">
        <v>109</v>
      </c>
      <c r="Q38" t="s">
        <v>670</v>
      </c>
      <c r="R38">
        <v>1</v>
      </c>
      <c r="S38" s="89">
        <v>21060</v>
      </c>
      <c r="T38" s="89">
        <v>0</v>
      </c>
      <c r="U38" s="89">
        <v>0</v>
      </c>
      <c r="V38" s="89">
        <v>0</v>
      </c>
      <c r="W38" s="89">
        <v>21060</v>
      </c>
    </row>
    <row r="39" spans="1:23" ht="15.75" customHeight="1">
      <c r="A39" t="s">
        <v>805</v>
      </c>
      <c r="B39" t="s">
        <v>802</v>
      </c>
      <c r="C39" s="88">
        <v>46169.7887962963</v>
      </c>
      <c r="D39" t="s">
        <v>105</v>
      </c>
      <c r="E39" t="s">
        <v>106</v>
      </c>
      <c r="F39" t="s">
        <v>284</v>
      </c>
      <c r="G39" t="s">
        <v>803</v>
      </c>
      <c r="H39" t="s">
        <v>284</v>
      </c>
      <c r="I39" s="88">
        <v>46168.437893518523</v>
      </c>
      <c r="J39" t="s">
        <v>107</v>
      </c>
      <c r="K39" t="s">
        <v>108</v>
      </c>
      <c r="L39" t="s">
        <v>804</v>
      </c>
      <c r="M39" s="88">
        <v>46169.689259259263</v>
      </c>
      <c r="N39" t="s">
        <v>637</v>
      </c>
      <c r="O39" t="s">
        <v>112</v>
      </c>
      <c r="P39" t="s">
        <v>111</v>
      </c>
      <c r="Q39" t="s">
        <v>638</v>
      </c>
      <c r="R39">
        <v>2</v>
      </c>
      <c r="S39" s="89">
        <v>9500</v>
      </c>
      <c r="T39" s="89">
        <v>0</v>
      </c>
      <c r="U39" s="89">
        <v>4180</v>
      </c>
      <c r="V39" s="89">
        <v>4180</v>
      </c>
      <c r="W39" s="89">
        <v>14820</v>
      </c>
    </row>
    <row r="40" spans="1:23" ht="15.75" customHeight="1">
      <c r="A40" t="s">
        <v>806</v>
      </c>
      <c r="B40" t="s">
        <v>807</v>
      </c>
      <c r="C40" s="88">
        <v>46169.73847222222</v>
      </c>
      <c r="D40" t="s">
        <v>105</v>
      </c>
      <c r="E40" t="s">
        <v>106</v>
      </c>
      <c r="F40" t="s">
        <v>808</v>
      </c>
      <c r="G40" t="s">
        <v>809</v>
      </c>
      <c r="H40" t="s">
        <v>808</v>
      </c>
      <c r="I40" s="88">
        <v>46164.444837962961</v>
      </c>
      <c r="J40" t="s">
        <v>107</v>
      </c>
      <c r="K40" t="s">
        <v>108</v>
      </c>
      <c r="L40" t="s">
        <v>810</v>
      </c>
      <c r="M40" s="88">
        <v>46164.469513888893</v>
      </c>
      <c r="N40" t="s">
        <v>637</v>
      </c>
      <c r="O40" t="s">
        <v>112</v>
      </c>
      <c r="P40" t="s">
        <v>111</v>
      </c>
      <c r="Q40" t="s">
        <v>638</v>
      </c>
      <c r="R40">
        <v>2</v>
      </c>
      <c r="S40" s="89">
        <v>9500</v>
      </c>
      <c r="T40" s="89">
        <v>0</v>
      </c>
      <c r="U40" s="89">
        <v>4180</v>
      </c>
      <c r="V40" s="89">
        <v>4180</v>
      </c>
      <c r="W40" s="89">
        <v>14820</v>
      </c>
    </row>
    <row r="41" spans="1:23" ht="15.75" customHeight="1">
      <c r="A41" t="s">
        <v>811</v>
      </c>
      <c r="B41" t="s">
        <v>812</v>
      </c>
      <c r="C41" s="88">
        <v>46169.599907407406</v>
      </c>
      <c r="D41" t="s">
        <v>105</v>
      </c>
      <c r="E41" t="s">
        <v>106</v>
      </c>
      <c r="F41" t="s">
        <v>813</v>
      </c>
      <c r="G41" t="s">
        <v>814</v>
      </c>
      <c r="H41" t="s">
        <v>813</v>
      </c>
      <c r="I41" s="88">
        <v>46168.437893518523</v>
      </c>
      <c r="J41" t="s">
        <v>107</v>
      </c>
      <c r="K41" t="s">
        <v>108</v>
      </c>
      <c r="L41" t="s">
        <v>815</v>
      </c>
      <c r="M41" s="88">
        <v>46169.554398148146</v>
      </c>
      <c r="N41" t="s">
        <v>637</v>
      </c>
      <c r="O41" t="s">
        <v>112</v>
      </c>
      <c r="P41" t="s">
        <v>111</v>
      </c>
      <c r="Q41" t="s">
        <v>638</v>
      </c>
      <c r="R41">
        <v>2</v>
      </c>
      <c r="S41" s="89">
        <v>9500</v>
      </c>
      <c r="T41" s="89">
        <v>0</v>
      </c>
      <c r="U41" s="89">
        <v>4180</v>
      </c>
      <c r="V41" s="89">
        <v>4180</v>
      </c>
      <c r="W41" s="89">
        <v>14820</v>
      </c>
    </row>
    <row r="42" spans="1:23" ht="15.75" customHeight="1">
      <c r="A42" t="s">
        <v>816</v>
      </c>
      <c r="B42" t="s">
        <v>817</v>
      </c>
      <c r="C42" s="88">
        <v>46169.138344907406</v>
      </c>
      <c r="D42" t="s">
        <v>105</v>
      </c>
      <c r="E42" t="s">
        <v>106</v>
      </c>
      <c r="F42" t="s">
        <v>818</v>
      </c>
      <c r="G42" t="s">
        <v>819</v>
      </c>
      <c r="H42" t="s">
        <v>818</v>
      </c>
      <c r="I42" s="88">
        <v>46160.62704861111</v>
      </c>
      <c r="J42" t="s">
        <v>107</v>
      </c>
      <c r="K42" t="s">
        <v>108</v>
      </c>
      <c r="L42" t="s">
        <v>820</v>
      </c>
      <c r="M42" s="88">
        <v>46161.573715277773</v>
      </c>
      <c r="N42" t="s">
        <v>637</v>
      </c>
      <c r="O42" t="s">
        <v>112</v>
      </c>
      <c r="P42" t="s">
        <v>111</v>
      </c>
      <c r="Q42" t="s">
        <v>638</v>
      </c>
      <c r="R42">
        <v>8</v>
      </c>
      <c r="S42" s="89">
        <v>9500</v>
      </c>
      <c r="T42" s="89">
        <v>0</v>
      </c>
      <c r="U42" s="89">
        <v>26640</v>
      </c>
      <c r="V42" s="89">
        <v>26640</v>
      </c>
      <c r="W42" s="89">
        <v>49360</v>
      </c>
    </row>
    <row r="43" spans="1:23" ht="15.75" customHeight="1">
      <c r="A43" t="s">
        <v>821</v>
      </c>
      <c r="B43" t="s">
        <v>822</v>
      </c>
      <c r="C43" s="88">
        <v>46169.07508101852</v>
      </c>
      <c r="D43" t="s">
        <v>105</v>
      </c>
      <c r="E43" t="s">
        <v>106</v>
      </c>
      <c r="F43" t="s">
        <v>823</v>
      </c>
      <c r="G43" t="s">
        <v>824</v>
      </c>
      <c r="H43" t="s">
        <v>823</v>
      </c>
      <c r="I43" s="88">
        <v>46160.410208333335</v>
      </c>
      <c r="J43" t="s">
        <v>107</v>
      </c>
      <c r="K43" t="s">
        <v>108</v>
      </c>
      <c r="L43" t="s">
        <v>825</v>
      </c>
      <c r="M43" s="88">
        <v>46161.547939814816</v>
      </c>
      <c r="N43" t="s">
        <v>637</v>
      </c>
      <c r="O43" t="s">
        <v>112</v>
      </c>
      <c r="P43" t="s">
        <v>111</v>
      </c>
      <c r="Q43" t="s">
        <v>638</v>
      </c>
      <c r="R43">
        <v>6</v>
      </c>
      <c r="S43" s="89">
        <v>9500</v>
      </c>
      <c r="T43" s="89">
        <v>0</v>
      </c>
      <c r="U43" s="89">
        <v>19980</v>
      </c>
      <c r="V43" s="89">
        <v>19980</v>
      </c>
      <c r="W43" s="89">
        <v>37020</v>
      </c>
    </row>
    <row r="44" spans="1:23" ht="15.75" customHeight="1">
      <c r="A44" t="s">
        <v>826</v>
      </c>
      <c r="B44" t="s">
        <v>827</v>
      </c>
      <c r="C44" s="88">
        <v>46169.074108796296</v>
      </c>
      <c r="D44" t="s">
        <v>105</v>
      </c>
      <c r="E44" t="s">
        <v>106</v>
      </c>
      <c r="F44" t="s">
        <v>828</v>
      </c>
      <c r="G44" t="s">
        <v>829</v>
      </c>
      <c r="H44" t="s">
        <v>828</v>
      </c>
      <c r="I44" s="88">
        <v>46160.410208333335</v>
      </c>
      <c r="J44" t="s">
        <v>107</v>
      </c>
      <c r="K44" t="s">
        <v>108</v>
      </c>
      <c r="L44" t="s">
        <v>830</v>
      </c>
      <c r="M44" s="88">
        <v>46161.626608796301</v>
      </c>
      <c r="N44" t="s">
        <v>637</v>
      </c>
      <c r="O44" t="s">
        <v>112</v>
      </c>
      <c r="P44" t="s">
        <v>111</v>
      </c>
      <c r="Q44" t="s">
        <v>638</v>
      </c>
      <c r="R44">
        <v>6</v>
      </c>
      <c r="S44" s="89">
        <v>9500</v>
      </c>
      <c r="T44" s="89">
        <v>0</v>
      </c>
      <c r="U44" s="89">
        <v>19980</v>
      </c>
      <c r="V44" s="89">
        <v>19980</v>
      </c>
      <c r="W44" s="89">
        <v>37020</v>
      </c>
    </row>
    <row r="45" spans="1:23" ht="15.75" customHeight="1">
      <c r="A45" t="s">
        <v>831</v>
      </c>
      <c r="B45" t="s">
        <v>832</v>
      </c>
      <c r="C45" s="88">
        <v>46169.073703703703</v>
      </c>
      <c r="D45" t="s">
        <v>105</v>
      </c>
      <c r="E45" t="s">
        <v>106</v>
      </c>
      <c r="F45" t="s">
        <v>833</v>
      </c>
      <c r="G45" t="s">
        <v>834</v>
      </c>
      <c r="H45" t="s">
        <v>833</v>
      </c>
      <c r="I45" s="88">
        <v>46160.410208333335</v>
      </c>
      <c r="J45" t="s">
        <v>107</v>
      </c>
      <c r="K45" t="s">
        <v>108</v>
      </c>
      <c r="L45" t="s">
        <v>835</v>
      </c>
      <c r="M45" s="88">
        <v>46161.671585648146</v>
      </c>
      <c r="N45" t="s">
        <v>637</v>
      </c>
      <c r="O45" t="s">
        <v>112</v>
      </c>
      <c r="P45" t="s">
        <v>111</v>
      </c>
      <c r="Q45" t="s">
        <v>638</v>
      </c>
      <c r="R45">
        <v>6</v>
      </c>
      <c r="S45" s="89">
        <v>9500</v>
      </c>
      <c r="T45" s="89">
        <v>0</v>
      </c>
      <c r="U45" s="89">
        <v>19980</v>
      </c>
      <c r="V45" s="89">
        <v>19980</v>
      </c>
      <c r="W45" s="89">
        <v>37020</v>
      </c>
    </row>
    <row r="46" spans="1:23" ht="15.75" customHeight="1">
      <c r="A46" t="s">
        <v>836</v>
      </c>
      <c r="B46" t="s">
        <v>837</v>
      </c>
      <c r="C46" s="88">
        <v>46169.070601851854</v>
      </c>
      <c r="D46" t="s">
        <v>105</v>
      </c>
      <c r="E46" t="s">
        <v>106</v>
      </c>
      <c r="F46" t="s">
        <v>838</v>
      </c>
      <c r="G46" t="s">
        <v>178</v>
      </c>
      <c r="H46" t="s">
        <v>838</v>
      </c>
      <c r="I46" s="88">
        <v>46160.403287037036</v>
      </c>
      <c r="J46" t="s">
        <v>107</v>
      </c>
      <c r="K46" t="s">
        <v>108</v>
      </c>
      <c r="L46" t="s">
        <v>839</v>
      </c>
      <c r="M46" s="88">
        <v>46161.755682870367</v>
      </c>
      <c r="N46" t="s">
        <v>637</v>
      </c>
      <c r="O46" t="s">
        <v>112</v>
      </c>
      <c r="P46" t="s">
        <v>111</v>
      </c>
      <c r="Q46" t="s">
        <v>638</v>
      </c>
      <c r="R46">
        <v>3</v>
      </c>
      <c r="S46" s="89">
        <v>9500</v>
      </c>
      <c r="T46" s="89">
        <v>0</v>
      </c>
      <c r="U46" s="89">
        <v>6270</v>
      </c>
      <c r="V46" s="89">
        <v>6270</v>
      </c>
      <c r="W46" s="89">
        <v>22230</v>
      </c>
    </row>
    <row r="47" spans="1:23" ht="15.75" customHeight="1">
      <c r="A47" t="s">
        <v>840</v>
      </c>
      <c r="B47" t="s">
        <v>841</v>
      </c>
      <c r="C47" s="88">
        <v>46169.070115740746</v>
      </c>
      <c r="D47" t="s">
        <v>105</v>
      </c>
      <c r="E47" t="s">
        <v>106</v>
      </c>
      <c r="F47" t="s">
        <v>842</v>
      </c>
      <c r="G47" t="s">
        <v>843</v>
      </c>
      <c r="H47" t="s">
        <v>844</v>
      </c>
      <c r="I47" s="88">
        <v>46160.403287037036</v>
      </c>
      <c r="J47" t="s">
        <v>107</v>
      </c>
      <c r="K47" t="s">
        <v>108</v>
      </c>
      <c r="L47" t="s">
        <v>845</v>
      </c>
      <c r="M47" s="88">
        <v>46161.52443287037</v>
      </c>
      <c r="N47" t="s">
        <v>637</v>
      </c>
      <c r="O47" t="s">
        <v>112</v>
      </c>
      <c r="P47" t="s">
        <v>111</v>
      </c>
      <c r="Q47" t="s">
        <v>638</v>
      </c>
      <c r="R47">
        <v>2</v>
      </c>
      <c r="S47" s="89">
        <v>9500</v>
      </c>
      <c r="T47" s="89">
        <v>0</v>
      </c>
      <c r="U47" s="89">
        <v>4180</v>
      </c>
      <c r="V47" s="89">
        <v>4180</v>
      </c>
      <c r="W47" s="89">
        <v>14820</v>
      </c>
    </row>
    <row r="48" spans="1:23" ht="15.75" customHeight="1">
      <c r="A48" t="s">
        <v>846</v>
      </c>
      <c r="B48" t="s">
        <v>847</v>
      </c>
      <c r="C48" s="88">
        <v>46169.069976851853</v>
      </c>
      <c r="D48" t="s">
        <v>105</v>
      </c>
      <c r="E48" t="s">
        <v>106</v>
      </c>
      <c r="F48" t="s">
        <v>848</v>
      </c>
      <c r="G48" t="s">
        <v>849</v>
      </c>
      <c r="H48" t="s">
        <v>848</v>
      </c>
      <c r="I48" s="88">
        <v>46160.403287037036</v>
      </c>
      <c r="J48" t="s">
        <v>107</v>
      </c>
      <c r="K48" t="s">
        <v>108</v>
      </c>
      <c r="L48" t="s">
        <v>850</v>
      </c>
      <c r="M48" s="88">
        <v>46161.5472337963</v>
      </c>
      <c r="N48" t="s">
        <v>637</v>
      </c>
      <c r="O48" t="s">
        <v>112</v>
      </c>
      <c r="P48" t="s">
        <v>111</v>
      </c>
      <c r="Q48" t="s">
        <v>638</v>
      </c>
      <c r="R48">
        <v>1</v>
      </c>
      <c r="S48" s="89">
        <v>9500</v>
      </c>
      <c r="T48" s="89">
        <v>0</v>
      </c>
      <c r="U48" s="89">
        <v>2090</v>
      </c>
      <c r="V48" s="89">
        <v>2090</v>
      </c>
      <c r="W48" s="89">
        <v>7410</v>
      </c>
    </row>
    <row r="49" spans="1:23" ht="15.75" customHeight="1">
      <c r="A49" t="s">
        <v>851</v>
      </c>
      <c r="B49" t="s">
        <v>852</v>
      </c>
      <c r="C49" s="88">
        <v>46169.069976851853</v>
      </c>
      <c r="D49" t="s">
        <v>105</v>
      </c>
      <c r="E49" t="s">
        <v>106</v>
      </c>
      <c r="F49" t="s">
        <v>853</v>
      </c>
      <c r="G49" t="s">
        <v>854</v>
      </c>
      <c r="H49" t="s">
        <v>853</v>
      </c>
      <c r="I49" s="88">
        <v>46160.403287037036</v>
      </c>
      <c r="J49" t="s">
        <v>107</v>
      </c>
      <c r="K49" t="s">
        <v>108</v>
      </c>
      <c r="L49" t="s">
        <v>855</v>
      </c>
      <c r="M49" s="88">
        <v>46161.626597222217</v>
      </c>
      <c r="N49" t="s">
        <v>637</v>
      </c>
      <c r="O49" t="s">
        <v>670</v>
      </c>
      <c r="P49" t="s">
        <v>109</v>
      </c>
      <c r="Q49" t="s">
        <v>670</v>
      </c>
      <c r="R49">
        <v>1</v>
      </c>
      <c r="S49" s="89">
        <v>21060</v>
      </c>
      <c r="T49" s="89">
        <v>0</v>
      </c>
      <c r="U49" s="89">
        <v>0</v>
      </c>
      <c r="V49" s="89">
        <v>0</v>
      </c>
      <c r="W49" s="89">
        <v>21060</v>
      </c>
    </row>
    <row r="50" spans="1:23" ht="15.75" customHeight="1">
      <c r="A50" t="s">
        <v>856</v>
      </c>
      <c r="B50" t="s">
        <v>852</v>
      </c>
      <c r="C50" s="88">
        <v>46169.069976851853</v>
      </c>
      <c r="D50" t="s">
        <v>105</v>
      </c>
      <c r="E50" t="s">
        <v>106</v>
      </c>
      <c r="F50" t="s">
        <v>853</v>
      </c>
      <c r="G50" t="s">
        <v>854</v>
      </c>
      <c r="H50" t="s">
        <v>853</v>
      </c>
      <c r="I50" s="88">
        <v>46160.403287037036</v>
      </c>
      <c r="J50" t="s">
        <v>107</v>
      </c>
      <c r="K50" t="s">
        <v>108</v>
      </c>
      <c r="L50" t="s">
        <v>855</v>
      </c>
      <c r="M50" s="88">
        <v>46161.626597222217</v>
      </c>
      <c r="N50" t="s">
        <v>637</v>
      </c>
      <c r="O50" t="s">
        <v>112</v>
      </c>
      <c r="P50" t="s">
        <v>111</v>
      </c>
      <c r="Q50" t="s">
        <v>638</v>
      </c>
      <c r="R50">
        <v>3</v>
      </c>
      <c r="S50" s="89">
        <v>9500</v>
      </c>
      <c r="T50" s="89">
        <v>0</v>
      </c>
      <c r="U50" s="89">
        <v>6270</v>
      </c>
      <c r="V50" s="89">
        <v>6270</v>
      </c>
      <c r="W50" s="89">
        <v>22230</v>
      </c>
    </row>
    <row r="51" spans="1:23" ht="13">
      <c r="A51" t="s">
        <v>857</v>
      </c>
      <c r="B51" t="s">
        <v>858</v>
      </c>
      <c r="C51" s="88">
        <v>46169.069131944445</v>
      </c>
      <c r="D51" t="s">
        <v>105</v>
      </c>
      <c r="E51" t="s">
        <v>106</v>
      </c>
      <c r="F51" t="s">
        <v>859</v>
      </c>
      <c r="G51" t="s">
        <v>860</v>
      </c>
      <c r="H51" t="s">
        <v>859</v>
      </c>
      <c r="I51" s="88">
        <v>46160.403287037036</v>
      </c>
      <c r="J51" t="s">
        <v>107</v>
      </c>
      <c r="K51" t="s">
        <v>108</v>
      </c>
      <c r="L51" t="s">
        <v>861</v>
      </c>
      <c r="M51" s="88">
        <v>46161.626608796301</v>
      </c>
      <c r="N51" t="s">
        <v>637</v>
      </c>
      <c r="O51" t="s">
        <v>112</v>
      </c>
      <c r="P51" t="s">
        <v>111</v>
      </c>
      <c r="Q51" t="s">
        <v>638</v>
      </c>
      <c r="R51">
        <v>2</v>
      </c>
      <c r="S51" s="89">
        <v>9500</v>
      </c>
      <c r="T51" s="89">
        <v>0</v>
      </c>
      <c r="U51" s="89">
        <v>4180</v>
      </c>
      <c r="V51" s="89">
        <v>4180</v>
      </c>
      <c r="W51" s="89">
        <v>14820</v>
      </c>
    </row>
    <row r="52" spans="1:23" ht="13">
      <c r="A52" t="s">
        <v>862</v>
      </c>
      <c r="B52" t="s">
        <v>863</v>
      </c>
      <c r="C52" s="88">
        <v>46169.063680555555</v>
      </c>
      <c r="D52" t="s">
        <v>105</v>
      </c>
      <c r="E52" t="s">
        <v>106</v>
      </c>
      <c r="F52" t="s">
        <v>864</v>
      </c>
      <c r="G52" t="s">
        <v>865</v>
      </c>
      <c r="H52" t="s">
        <v>864</v>
      </c>
      <c r="I52" s="88">
        <v>46160.410208333335</v>
      </c>
      <c r="J52" t="s">
        <v>107</v>
      </c>
      <c r="K52" t="s">
        <v>108</v>
      </c>
      <c r="L52" t="s">
        <v>866</v>
      </c>
      <c r="M52" s="88">
        <v>46161.679895833338</v>
      </c>
      <c r="N52" t="s">
        <v>637</v>
      </c>
      <c r="O52" t="s">
        <v>112</v>
      </c>
      <c r="P52" t="s">
        <v>111</v>
      </c>
      <c r="Q52" t="s">
        <v>638</v>
      </c>
      <c r="R52">
        <v>6</v>
      </c>
      <c r="S52" s="89">
        <v>9500</v>
      </c>
      <c r="T52" s="89">
        <v>0</v>
      </c>
      <c r="U52" s="89">
        <v>24880</v>
      </c>
      <c r="V52" s="89">
        <v>19980</v>
      </c>
      <c r="W52" s="89">
        <v>32120</v>
      </c>
    </row>
    <row r="53" spans="1:23" ht="13">
      <c r="A53" t="s">
        <v>867</v>
      </c>
      <c r="B53" t="s">
        <v>868</v>
      </c>
      <c r="C53" s="88">
        <v>46169.063530092593</v>
      </c>
      <c r="D53" t="s">
        <v>105</v>
      </c>
      <c r="E53" t="s">
        <v>106</v>
      </c>
      <c r="F53" t="s">
        <v>404</v>
      </c>
      <c r="G53" t="s">
        <v>869</v>
      </c>
      <c r="H53" t="s">
        <v>404</v>
      </c>
      <c r="I53" s="88">
        <v>46160.410208333335</v>
      </c>
      <c r="J53" t="s">
        <v>107</v>
      </c>
      <c r="K53" t="s">
        <v>108</v>
      </c>
      <c r="L53" t="s">
        <v>870</v>
      </c>
      <c r="M53" s="88">
        <v>46161.547268518523</v>
      </c>
      <c r="N53" t="s">
        <v>637</v>
      </c>
      <c r="O53" t="s">
        <v>112</v>
      </c>
      <c r="P53" t="s">
        <v>111</v>
      </c>
      <c r="Q53" t="s">
        <v>638</v>
      </c>
      <c r="R53">
        <v>6</v>
      </c>
      <c r="S53" s="89">
        <v>9500</v>
      </c>
      <c r="T53" s="89">
        <v>0</v>
      </c>
      <c r="U53" s="89">
        <v>22980</v>
      </c>
      <c r="V53" s="89">
        <v>19980</v>
      </c>
      <c r="W53" s="89">
        <v>34020</v>
      </c>
    </row>
    <row r="54" spans="1:23" ht="13">
      <c r="A54" t="s">
        <v>871</v>
      </c>
      <c r="B54" t="s">
        <v>872</v>
      </c>
      <c r="C54" s="88">
        <v>46169.060289351852</v>
      </c>
      <c r="D54" t="s">
        <v>105</v>
      </c>
      <c r="E54" t="s">
        <v>106</v>
      </c>
      <c r="F54" t="s">
        <v>873</v>
      </c>
      <c r="G54" t="s">
        <v>874</v>
      </c>
      <c r="H54" t="s">
        <v>873</v>
      </c>
      <c r="I54" s="88">
        <v>46160.403287037036</v>
      </c>
      <c r="J54" t="s">
        <v>107</v>
      </c>
      <c r="K54" t="s">
        <v>108</v>
      </c>
      <c r="L54" t="s">
        <v>875</v>
      </c>
      <c r="M54" s="88">
        <v>46161.768842592588</v>
      </c>
      <c r="N54" t="s">
        <v>637</v>
      </c>
      <c r="O54" t="s">
        <v>112</v>
      </c>
      <c r="P54" t="s">
        <v>111</v>
      </c>
      <c r="Q54" t="s">
        <v>638</v>
      </c>
      <c r="R54">
        <v>1</v>
      </c>
      <c r="S54" s="89">
        <v>9500</v>
      </c>
      <c r="T54" s="89">
        <v>0</v>
      </c>
      <c r="U54" s="89">
        <v>2090</v>
      </c>
      <c r="V54" s="89">
        <v>2090</v>
      </c>
      <c r="W54" s="89">
        <v>7410</v>
      </c>
    </row>
    <row r="55" spans="1:23" ht="13">
      <c r="A55" t="s">
        <v>876</v>
      </c>
      <c r="B55" t="s">
        <v>877</v>
      </c>
      <c r="C55" s="88">
        <v>46169.06013888889</v>
      </c>
      <c r="D55" t="s">
        <v>105</v>
      </c>
      <c r="E55" t="s">
        <v>106</v>
      </c>
      <c r="F55" t="s">
        <v>878</v>
      </c>
      <c r="G55" t="s">
        <v>879</v>
      </c>
      <c r="H55" t="s">
        <v>880</v>
      </c>
      <c r="I55" s="88">
        <v>46160.403287037036</v>
      </c>
      <c r="J55" t="s">
        <v>107</v>
      </c>
      <c r="K55" t="s">
        <v>108</v>
      </c>
      <c r="L55" t="s">
        <v>881</v>
      </c>
      <c r="M55" s="88">
        <v>46161.671574074076</v>
      </c>
      <c r="N55" t="s">
        <v>637</v>
      </c>
      <c r="O55" t="s">
        <v>112</v>
      </c>
      <c r="P55" t="s">
        <v>111</v>
      </c>
      <c r="Q55" t="s">
        <v>638</v>
      </c>
      <c r="R55">
        <v>3</v>
      </c>
      <c r="S55" s="89">
        <v>9500</v>
      </c>
      <c r="T55" s="89">
        <v>0</v>
      </c>
      <c r="U55" s="89">
        <v>6270</v>
      </c>
      <c r="V55" s="89">
        <v>6270</v>
      </c>
      <c r="W55" s="89">
        <v>22230</v>
      </c>
    </row>
    <row r="56" spans="1:23" ht="13">
      <c r="A56" t="s">
        <v>882</v>
      </c>
      <c r="B56" t="s">
        <v>883</v>
      </c>
      <c r="C56" s="88">
        <v>46169.059942129628</v>
      </c>
      <c r="D56" t="s">
        <v>105</v>
      </c>
      <c r="E56" t="s">
        <v>106</v>
      </c>
      <c r="F56" t="s">
        <v>884</v>
      </c>
      <c r="G56" t="s">
        <v>885</v>
      </c>
      <c r="H56" t="s">
        <v>884</v>
      </c>
      <c r="I56" s="88">
        <v>46160.403287037036</v>
      </c>
      <c r="J56" t="s">
        <v>107</v>
      </c>
      <c r="K56" t="s">
        <v>108</v>
      </c>
      <c r="L56" t="s">
        <v>886</v>
      </c>
      <c r="M56" s="88">
        <v>46161.6715625</v>
      </c>
      <c r="N56" t="s">
        <v>637</v>
      </c>
      <c r="O56" t="s">
        <v>112</v>
      </c>
      <c r="P56" t="s">
        <v>111</v>
      </c>
      <c r="Q56" t="s">
        <v>638</v>
      </c>
      <c r="R56">
        <v>2</v>
      </c>
      <c r="S56" s="89">
        <v>9500</v>
      </c>
      <c r="T56" s="89">
        <v>0</v>
      </c>
      <c r="U56" s="89">
        <v>4180</v>
      </c>
      <c r="V56" s="89">
        <v>4180</v>
      </c>
      <c r="W56" s="89">
        <v>14820</v>
      </c>
    </row>
    <row r="57" spans="1:23" ht="13">
      <c r="A57" t="s">
        <v>887</v>
      </c>
      <c r="B57" t="s">
        <v>888</v>
      </c>
      <c r="C57" s="88">
        <v>46169.059872685189</v>
      </c>
      <c r="D57" t="s">
        <v>105</v>
      </c>
      <c r="E57" t="s">
        <v>106</v>
      </c>
      <c r="F57" t="s">
        <v>889</v>
      </c>
      <c r="G57" t="s">
        <v>890</v>
      </c>
      <c r="H57" t="s">
        <v>889</v>
      </c>
      <c r="I57" s="88">
        <v>46160.403287037036</v>
      </c>
      <c r="J57" t="s">
        <v>107</v>
      </c>
      <c r="K57" t="s">
        <v>108</v>
      </c>
      <c r="L57" t="s">
        <v>891</v>
      </c>
      <c r="M57" s="88">
        <v>46161.83494212963</v>
      </c>
      <c r="N57" t="s">
        <v>637</v>
      </c>
      <c r="O57" t="s">
        <v>112</v>
      </c>
      <c r="P57" t="s">
        <v>111</v>
      </c>
      <c r="Q57" t="s">
        <v>638</v>
      </c>
      <c r="R57">
        <v>1</v>
      </c>
      <c r="S57" s="89">
        <v>9500</v>
      </c>
      <c r="T57" s="89">
        <v>0</v>
      </c>
      <c r="U57" s="89">
        <v>2090</v>
      </c>
      <c r="V57" s="89">
        <v>2090</v>
      </c>
      <c r="W57" s="89">
        <v>7410</v>
      </c>
    </row>
    <row r="58" spans="1:23" ht="13">
      <c r="A58" t="s">
        <v>892</v>
      </c>
      <c r="B58" t="s">
        <v>893</v>
      </c>
      <c r="C58" s="88">
        <v>46169.059606481482</v>
      </c>
      <c r="D58" t="s">
        <v>105</v>
      </c>
      <c r="E58" t="s">
        <v>106</v>
      </c>
      <c r="F58" t="s">
        <v>894</v>
      </c>
      <c r="G58" t="s">
        <v>895</v>
      </c>
      <c r="H58" t="s">
        <v>894</v>
      </c>
      <c r="I58" s="88">
        <v>46160.403287037036</v>
      </c>
      <c r="J58" t="s">
        <v>107</v>
      </c>
      <c r="K58" t="s">
        <v>108</v>
      </c>
      <c r="L58" t="s">
        <v>896</v>
      </c>
      <c r="M58" s="88">
        <v>46161.549328703702</v>
      </c>
      <c r="N58" t="s">
        <v>637</v>
      </c>
      <c r="O58" t="s">
        <v>112</v>
      </c>
      <c r="P58" t="s">
        <v>111</v>
      </c>
      <c r="Q58" t="s">
        <v>638</v>
      </c>
      <c r="R58">
        <v>1</v>
      </c>
      <c r="S58" s="89">
        <v>9500</v>
      </c>
      <c r="T58" s="89">
        <v>0</v>
      </c>
      <c r="U58" s="89">
        <v>2090</v>
      </c>
      <c r="V58" s="89">
        <v>2090</v>
      </c>
      <c r="W58" s="89">
        <v>7410</v>
      </c>
    </row>
    <row r="59" spans="1:23" ht="13">
      <c r="A59" t="s">
        <v>897</v>
      </c>
      <c r="B59" t="s">
        <v>898</v>
      </c>
      <c r="C59" s="88">
        <v>46169.059606481482</v>
      </c>
      <c r="D59" t="s">
        <v>105</v>
      </c>
      <c r="E59" t="s">
        <v>106</v>
      </c>
      <c r="F59" t="s">
        <v>899</v>
      </c>
      <c r="G59" t="s">
        <v>900</v>
      </c>
      <c r="H59" t="s">
        <v>899</v>
      </c>
      <c r="I59" s="88">
        <v>46160.403287037036</v>
      </c>
      <c r="J59" t="s">
        <v>107</v>
      </c>
      <c r="K59" t="s">
        <v>108</v>
      </c>
      <c r="L59" t="s">
        <v>901</v>
      </c>
      <c r="M59" s="88">
        <v>46161.962523148148</v>
      </c>
      <c r="N59" t="s">
        <v>637</v>
      </c>
      <c r="O59" t="s">
        <v>112</v>
      </c>
      <c r="P59" t="s">
        <v>111</v>
      </c>
      <c r="Q59" t="s">
        <v>638</v>
      </c>
      <c r="R59">
        <v>2</v>
      </c>
      <c r="S59" s="89">
        <v>9500</v>
      </c>
      <c r="T59" s="89">
        <v>0</v>
      </c>
      <c r="U59" s="89">
        <v>4180</v>
      </c>
      <c r="V59" s="89">
        <v>4180</v>
      </c>
      <c r="W59" s="89">
        <v>14820</v>
      </c>
    </row>
    <row r="60" spans="1:23" ht="13">
      <c r="A60" t="s">
        <v>902</v>
      </c>
      <c r="B60" t="s">
        <v>903</v>
      </c>
      <c r="C60" s="88">
        <v>46169.059432870374</v>
      </c>
      <c r="D60" t="s">
        <v>105</v>
      </c>
      <c r="E60" t="s">
        <v>106</v>
      </c>
      <c r="F60" t="s">
        <v>904</v>
      </c>
      <c r="G60" t="s">
        <v>905</v>
      </c>
      <c r="H60" t="s">
        <v>904</v>
      </c>
      <c r="I60" s="88">
        <v>46160.403287037036</v>
      </c>
      <c r="J60" t="s">
        <v>107</v>
      </c>
      <c r="K60" t="s">
        <v>108</v>
      </c>
      <c r="L60" t="s">
        <v>906</v>
      </c>
      <c r="M60" s="88">
        <v>46161.626597222217</v>
      </c>
      <c r="N60" t="s">
        <v>637</v>
      </c>
      <c r="O60" t="s">
        <v>112</v>
      </c>
      <c r="P60" t="s">
        <v>111</v>
      </c>
      <c r="Q60" t="s">
        <v>638</v>
      </c>
      <c r="R60">
        <v>5</v>
      </c>
      <c r="S60" s="89">
        <v>9500</v>
      </c>
      <c r="T60" s="89">
        <v>0</v>
      </c>
      <c r="U60" s="89">
        <v>11450</v>
      </c>
      <c r="V60" s="89">
        <v>10450</v>
      </c>
      <c r="W60" s="89">
        <v>36050</v>
      </c>
    </row>
    <row r="61" spans="1:23" ht="13">
      <c r="A61" t="s">
        <v>907</v>
      </c>
      <c r="B61" t="s">
        <v>908</v>
      </c>
      <c r="C61" s="88">
        <v>46169.05940972222</v>
      </c>
      <c r="D61" t="s">
        <v>105</v>
      </c>
      <c r="E61" t="s">
        <v>106</v>
      </c>
      <c r="F61" t="s">
        <v>909</v>
      </c>
      <c r="G61" t="s">
        <v>910</v>
      </c>
      <c r="H61" t="s">
        <v>909</v>
      </c>
      <c r="I61" s="88">
        <v>46160.403287037036</v>
      </c>
      <c r="J61" t="s">
        <v>107</v>
      </c>
      <c r="K61" t="s">
        <v>108</v>
      </c>
      <c r="L61" t="s">
        <v>911</v>
      </c>
      <c r="M61" s="88">
        <v>46161.962523148148</v>
      </c>
      <c r="N61" t="s">
        <v>637</v>
      </c>
      <c r="O61" t="s">
        <v>112</v>
      </c>
      <c r="P61" t="s">
        <v>111</v>
      </c>
      <c r="Q61" t="s">
        <v>638</v>
      </c>
      <c r="R61">
        <v>1</v>
      </c>
      <c r="S61" s="89">
        <v>9500</v>
      </c>
      <c r="T61" s="89">
        <v>0</v>
      </c>
      <c r="U61" s="89">
        <v>2090</v>
      </c>
      <c r="V61" s="89">
        <v>2090</v>
      </c>
      <c r="W61" s="89">
        <v>7410</v>
      </c>
    </row>
    <row r="62" spans="1:23" ht="13">
      <c r="A62" t="s">
        <v>912</v>
      </c>
      <c r="B62" t="s">
        <v>913</v>
      </c>
      <c r="C62" s="88">
        <v>46168.48228009259</v>
      </c>
      <c r="D62" t="s">
        <v>105</v>
      </c>
      <c r="E62" t="s">
        <v>106</v>
      </c>
      <c r="F62" t="s">
        <v>914</v>
      </c>
      <c r="G62" t="s">
        <v>915</v>
      </c>
      <c r="H62" t="s">
        <v>916</v>
      </c>
      <c r="I62" s="88">
        <v>46160.410208333335</v>
      </c>
      <c r="J62" t="s">
        <v>107</v>
      </c>
      <c r="K62" t="s">
        <v>108</v>
      </c>
      <c r="L62" t="s">
        <v>917</v>
      </c>
      <c r="M62" s="88">
        <v>46161.4143287037</v>
      </c>
      <c r="N62" t="s">
        <v>637</v>
      </c>
      <c r="O62" t="s">
        <v>112</v>
      </c>
      <c r="P62" t="s">
        <v>111</v>
      </c>
      <c r="Q62" t="s">
        <v>638</v>
      </c>
      <c r="R62">
        <v>6</v>
      </c>
      <c r="S62" s="89">
        <v>9500</v>
      </c>
      <c r="T62" s="89">
        <v>0</v>
      </c>
      <c r="U62" s="89">
        <v>19980</v>
      </c>
      <c r="V62" s="89">
        <v>19980</v>
      </c>
      <c r="W62" s="89">
        <v>37020</v>
      </c>
    </row>
    <row r="63" spans="1:23" ht="13">
      <c r="A63" t="s">
        <v>918</v>
      </c>
      <c r="B63" t="s">
        <v>919</v>
      </c>
      <c r="C63" s="88">
        <v>46168.346076388887</v>
      </c>
      <c r="D63" t="s">
        <v>105</v>
      </c>
      <c r="E63" t="s">
        <v>106</v>
      </c>
      <c r="F63" t="s">
        <v>920</v>
      </c>
      <c r="G63" t="s">
        <v>921</v>
      </c>
      <c r="H63" t="s">
        <v>920</v>
      </c>
      <c r="I63" s="88">
        <v>46164.444837962961</v>
      </c>
      <c r="J63" t="s">
        <v>107</v>
      </c>
      <c r="K63" t="s">
        <v>108</v>
      </c>
      <c r="L63" t="s">
        <v>922</v>
      </c>
      <c r="M63" s="88">
        <v>46165.675011574072</v>
      </c>
      <c r="N63" t="s">
        <v>637</v>
      </c>
      <c r="O63" t="s">
        <v>112</v>
      </c>
      <c r="P63" t="s">
        <v>111</v>
      </c>
      <c r="Q63" t="s">
        <v>638</v>
      </c>
      <c r="R63">
        <v>2</v>
      </c>
      <c r="S63" s="89">
        <v>9500</v>
      </c>
      <c r="T63" s="89">
        <v>0</v>
      </c>
      <c r="U63" s="89">
        <v>4180</v>
      </c>
      <c r="V63" s="89">
        <v>4180</v>
      </c>
      <c r="W63" s="89">
        <v>14820</v>
      </c>
    </row>
    <row r="64" spans="1:23" ht="13">
      <c r="A64" t="s">
        <v>923</v>
      </c>
      <c r="B64" t="s">
        <v>924</v>
      </c>
      <c r="C64" s="88">
        <v>46168.024953703702</v>
      </c>
      <c r="D64" t="s">
        <v>105</v>
      </c>
      <c r="E64" t="s">
        <v>106</v>
      </c>
      <c r="F64" t="s">
        <v>316</v>
      </c>
      <c r="G64" t="s">
        <v>925</v>
      </c>
      <c r="H64" t="s">
        <v>316</v>
      </c>
      <c r="I64" s="88">
        <v>46156.430960648147</v>
      </c>
      <c r="J64" t="s">
        <v>107</v>
      </c>
      <c r="K64" t="s">
        <v>108</v>
      </c>
      <c r="L64" t="s">
        <v>926</v>
      </c>
      <c r="M64" s="88">
        <v>46160.48400462963</v>
      </c>
      <c r="N64" t="s">
        <v>637</v>
      </c>
      <c r="O64" t="s">
        <v>670</v>
      </c>
      <c r="P64" t="s">
        <v>109</v>
      </c>
      <c r="Q64" t="s">
        <v>927</v>
      </c>
      <c r="R64">
        <v>1</v>
      </c>
      <c r="S64" s="89">
        <v>21060</v>
      </c>
      <c r="T64" s="89">
        <v>0</v>
      </c>
      <c r="U64" s="89">
        <v>0</v>
      </c>
      <c r="V64" s="89">
        <v>0</v>
      </c>
      <c r="W64" s="89">
        <v>21060</v>
      </c>
    </row>
    <row r="65" spans="1:23" ht="13">
      <c r="A65" t="s">
        <v>928</v>
      </c>
      <c r="B65" t="s">
        <v>924</v>
      </c>
      <c r="C65" s="88">
        <v>46168.024953703702</v>
      </c>
      <c r="D65" t="s">
        <v>105</v>
      </c>
      <c r="E65" t="s">
        <v>106</v>
      </c>
      <c r="F65" t="s">
        <v>316</v>
      </c>
      <c r="G65" t="s">
        <v>925</v>
      </c>
      <c r="H65" t="s">
        <v>316</v>
      </c>
      <c r="I65" s="88">
        <v>46156.430960648147</v>
      </c>
      <c r="J65" t="s">
        <v>107</v>
      </c>
      <c r="K65" t="s">
        <v>108</v>
      </c>
      <c r="L65" t="s">
        <v>926</v>
      </c>
      <c r="M65" s="88">
        <v>46160.48400462963</v>
      </c>
      <c r="N65" t="s">
        <v>637</v>
      </c>
      <c r="O65" t="s">
        <v>112</v>
      </c>
      <c r="P65" t="s">
        <v>111</v>
      </c>
      <c r="Q65" t="s">
        <v>929</v>
      </c>
      <c r="R65">
        <v>2</v>
      </c>
      <c r="S65" s="89">
        <v>9500</v>
      </c>
      <c r="T65" s="89">
        <v>0</v>
      </c>
      <c r="U65" s="89">
        <v>4180</v>
      </c>
      <c r="V65" s="89">
        <v>4180</v>
      </c>
      <c r="W65" s="89">
        <v>14820</v>
      </c>
    </row>
    <row r="66" spans="1:23" ht="13">
      <c r="A66" t="s">
        <v>930</v>
      </c>
      <c r="B66" t="s">
        <v>931</v>
      </c>
      <c r="C66" s="88">
        <v>46168.013287037036</v>
      </c>
      <c r="D66" t="s">
        <v>105</v>
      </c>
      <c r="E66" t="s">
        <v>106</v>
      </c>
      <c r="F66" t="s">
        <v>932</v>
      </c>
      <c r="G66" t="s">
        <v>933</v>
      </c>
      <c r="H66" t="s">
        <v>934</v>
      </c>
      <c r="I66" s="88">
        <v>46160.403287037036</v>
      </c>
      <c r="J66" t="s">
        <v>107</v>
      </c>
      <c r="K66" t="s">
        <v>108</v>
      </c>
      <c r="L66" t="s">
        <v>935</v>
      </c>
      <c r="M66" s="88">
        <v>46161.6715625</v>
      </c>
      <c r="N66" t="s">
        <v>637</v>
      </c>
      <c r="O66" t="s">
        <v>112</v>
      </c>
      <c r="P66" t="s">
        <v>111</v>
      </c>
      <c r="Q66" t="s">
        <v>638</v>
      </c>
      <c r="R66">
        <v>2</v>
      </c>
      <c r="S66" s="89">
        <v>9500</v>
      </c>
      <c r="T66" s="89">
        <v>0</v>
      </c>
      <c r="U66" s="89">
        <v>4180</v>
      </c>
      <c r="V66" s="89">
        <v>4180</v>
      </c>
      <c r="W66" s="89">
        <v>14820</v>
      </c>
    </row>
    <row r="67" spans="1:23" ht="13">
      <c r="A67" t="s">
        <v>936</v>
      </c>
      <c r="B67" t="s">
        <v>937</v>
      </c>
      <c r="C67" s="88">
        <v>46167.442442129628</v>
      </c>
      <c r="D67" t="s">
        <v>105</v>
      </c>
      <c r="E67" t="s">
        <v>106</v>
      </c>
      <c r="F67" t="s">
        <v>938</v>
      </c>
      <c r="G67" t="s">
        <v>939</v>
      </c>
      <c r="H67" t="s">
        <v>938</v>
      </c>
      <c r="I67" s="88">
        <v>46162.59756944445</v>
      </c>
      <c r="J67" t="s">
        <v>107</v>
      </c>
      <c r="K67" t="s">
        <v>108</v>
      </c>
      <c r="L67" t="s">
        <v>940</v>
      </c>
      <c r="M67" s="88">
        <v>46163.552199074074</v>
      </c>
      <c r="N67" t="s">
        <v>637</v>
      </c>
      <c r="O67" t="s">
        <v>112</v>
      </c>
      <c r="P67" t="s">
        <v>111</v>
      </c>
      <c r="Q67" t="s">
        <v>638</v>
      </c>
      <c r="R67">
        <v>2</v>
      </c>
      <c r="S67" s="89">
        <v>9500</v>
      </c>
      <c r="T67" s="89">
        <v>0</v>
      </c>
      <c r="U67" s="89">
        <v>4180</v>
      </c>
      <c r="V67" s="89">
        <v>4180</v>
      </c>
      <c r="W67" s="89">
        <v>14820</v>
      </c>
    </row>
    <row r="68" spans="1:23" ht="13">
      <c r="A68" t="s">
        <v>941</v>
      </c>
      <c r="B68" t="s">
        <v>942</v>
      </c>
      <c r="C68" s="88">
        <v>46167.423437500001</v>
      </c>
      <c r="D68" t="s">
        <v>105</v>
      </c>
      <c r="E68" t="s">
        <v>106</v>
      </c>
      <c r="F68" t="s">
        <v>943</v>
      </c>
      <c r="G68" t="s">
        <v>944</v>
      </c>
      <c r="H68" t="s">
        <v>943</v>
      </c>
      <c r="I68" s="88">
        <v>46162.45888888889</v>
      </c>
      <c r="J68" t="s">
        <v>107</v>
      </c>
      <c r="K68" t="s">
        <v>108</v>
      </c>
      <c r="L68" t="s">
        <v>945</v>
      </c>
      <c r="M68" s="88">
        <v>46163.657199074078</v>
      </c>
      <c r="N68" t="s">
        <v>637</v>
      </c>
      <c r="O68" t="s">
        <v>112</v>
      </c>
      <c r="P68" t="s">
        <v>111</v>
      </c>
      <c r="Q68" t="s">
        <v>638</v>
      </c>
      <c r="R68">
        <v>8</v>
      </c>
      <c r="S68" s="89">
        <v>9500</v>
      </c>
      <c r="T68" s="89">
        <v>0</v>
      </c>
      <c r="U68" s="89">
        <v>26640</v>
      </c>
      <c r="V68" s="89">
        <v>26640</v>
      </c>
      <c r="W68" s="89">
        <v>49360</v>
      </c>
    </row>
    <row r="69" spans="1:23" ht="13">
      <c r="A69" t="s">
        <v>946</v>
      </c>
      <c r="B69" t="s">
        <v>947</v>
      </c>
      <c r="C69" s="88">
        <v>46167.408530092594</v>
      </c>
      <c r="D69" t="s">
        <v>105</v>
      </c>
      <c r="E69" t="s">
        <v>106</v>
      </c>
      <c r="F69" t="s">
        <v>948</v>
      </c>
      <c r="G69" t="s">
        <v>949</v>
      </c>
      <c r="H69" t="s">
        <v>948</v>
      </c>
      <c r="I69" s="88">
        <v>46160.403287037036</v>
      </c>
      <c r="J69" t="s">
        <v>107</v>
      </c>
      <c r="K69" t="s">
        <v>108</v>
      </c>
      <c r="L69" t="s">
        <v>950</v>
      </c>
      <c r="M69" s="88">
        <v>46161.52443287037</v>
      </c>
      <c r="N69" t="s">
        <v>637</v>
      </c>
      <c r="O69" t="s">
        <v>112</v>
      </c>
      <c r="P69" t="s">
        <v>111</v>
      </c>
      <c r="Q69" t="s">
        <v>638</v>
      </c>
      <c r="R69">
        <v>7</v>
      </c>
      <c r="S69" s="89">
        <v>9500</v>
      </c>
      <c r="T69" s="89">
        <v>0</v>
      </c>
      <c r="U69" s="89">
        <v>23310</v>
      </c>
      <c r="V69" s="89">
        <v>23310</v>
      </c>
      <c r="W69" s="89">
        <v>43190</v>
      </c>
    </row>
    <row r="70" spans="1:23" ht="13">
      <c r="A70" t="s">
        <v>951</v>
      </c>
      <c r="B70" t="s">
        <v>952</v>
      </c>
      <c r="C70" s="88">
        <v>46167.313206018516</v>
      </c>
      <c r="D70" t="s">
        <v>105</v>
      </c>
      <c r="E70" t="s">
        <v>106</v>
      </c>
      <c r="F70" t="s">
        <v>179</v>
      </c>
      <c r="G70" t="s">
        <v>180</v>
      </c>
      <c r="H70" t="s">
        <v>179</v>
      </c>
      <c r="I70" s="88">
        <v>46160.62704861111</v>
      </c>
      <c r="J70" t="s">
        <v>107</v>
      </c>
      <c r="K70" t="s">
        <v>108</v>
      </c>
      <c r="L70" t="s">
        <v>953</v>
      </c>
      <c r="M70" s="88">
        <v>46161.626701388886</v>
      </c>
      <c r="N70" t="s">
        <v>637</v>
      </c>
      <c r="O70" t="s">
        <v>112</v>
      </c>
      <c r="P70" t="s">
        <v>111</v>
      </c>
      <c r="Q70" t="s">
        <v>638</v>
      </c>
      <c r="R70">
        <v>6</v>
      </c>
      <c r="S70" s="89">
        <v>9500</v>
      </c>
      <c r="T70" s="89">
        <v>0</v>
      </c>
      <c r="U70" s="89">
        <v>19980</v>
      </c>
      <c r="V70" s="89">
        <v>19980</v>
      </c>
      <c r="W70" s="89">
        <v>37020</v>
      </c>
    </row>
    <row r="71" spans="1:23" ht="13">
      <c r="A71" t="s">
        <v>954</v>
      </c>
      <c r="B71" t="s">
        <v>955</v>
      </c>
      <c r="C71" s="88">
        <v>46166.897094907406</v>
      </c>
      <c r="D71" t="s">
        <v>105</v>
      </c>
      <c r="E71" t="s">
        <v>106</v>
      </c>
      <c r="F71" t="s">
        <v>956</v>
      </c>
      <c r="G71" t="s">
        <v>957</v>
      </c>
      <c r="H71" t="s">
        <v>956</v>
      </c>
      <c r="I71" s="88">
        <v>46164.444837962961</v>
      </c>
      <c r="J71" t="s">
        <v>107</v>
      </c>
      <c r="K71" t="s">
        <v>108</v>
      </c>
      <c r="L71" t="s">
        <v>958</v>
      </c>
      <c r="M71" s="88">
        <v>46165.675000000003</v>
      </c>
      <c r="N71" t="s">
        <v>637</v>
      </c>
      <c r="O71" t="s">
        <v>112</v>
      </c>
      <c r="P71" t="s">
        <v>111</v>
      </c>
      <c r="Q71" t="s">
        <v>638</v>
      </c>
      <c r="R71">
        <v>1</v>
      </c>
      <c r="S71" s="89">
        <v>9500</v>
      </c>
      <c r="T71" s="89">
        <v>0</v>
      </c>
      <c r="U71" s="89">
        <v>2090</v>
      </c>
      <c r="V71" s="89">
        <v>2090</v>
      </c>
      <c r="W71" s="89">
        <v>7410</v>
      </c>
    </row>
    <row r="72" spans="1:23" ht="13">
      <c r="A72" t="s">
        <v>959</v>
      </c>
      <c r="B72" t="s">
        <v>960</v>
      </c>
      <c r="C72" s="88">
        <v>46166.838680555556</v>
      </c>
      <c r="D72" t="s">
        <v>105</v>
      </c>
      <c r="E72" t="s">
        <v>106</v>
      </c>
      <c r="F72" t="s">
        <v>961</v>
      </c>
      <c r="G72" t="s">
        <v>962</v>
      </c>
      <c r="H72" t="s">
        <v>961</v>
      </c>
      <c r="I72" s="88">
        <v>46161.396319444444</v>
      </c>
      <c r="J72" t="s">
        <v>107</v>
      </c>
      <c r="K72" t="s">
        <v>108</v>
      </c>
      <c r="L72" t="s">
        <v>963</v>
      </c>
      <c r="M72" s="88">
        <v>46162.636331018519</v>
      </c>
      <c r="N72" t="s">
        <v>637</v>
      </c>
      <c r="O72" t="s">
        <v>112</v>
      </c>
      <c r="P72" t="s">
        <v>111</v>
      </c>
      <c r="Q72" t="s">
        <v>638</v>
      </c>
      <c r="R72">
        <v>2</v>
      </c>
      <c r="S72" s="89">
        <v>9500</v>
      </c>
      <c r="T72" s="89">
        <v>0</v>
      </c>
      <c r="U72" s="89">
        <v>4180</v>
      </c>
      <c r="V72" s="89">
        <v>4180</v>
      </c>
      <c r="W72" s="89">
        <v>14820</v>
      </c>
    </row>
    <row r="73" spans="1:23" ht="13">
      <c r="A73" t="s">
        <v>964</v>
      </c>
      <c r="B73" t="s">
        <v>965</v>
      </c>
      <c r="C73" s="88">
        <v>46166.660474537042</v>
      </c>
      <c r="D73" t="s">
        <v>105</v>
      </c>
      <c r="E73" t="s">
        <v>106</v>
      </c>
      <c r="F73" t="s">
        <v>966</v>
      </c>
      <c r="G73" t="s">
        <v>967</v>
      </c>
      <c r="H73" t="s">
        <v>966</v>
      </c>
      <c r="I73" s="88">
        <v>46164.444837962961</v>
      </c>
      <c r="J73" t="s">
        <v>107</v>
      </c>
      <c r="K73" t="s">
        <v>108</v>
      </c>
      <c r="L73" t="s">
        <v>968</v>
      </c>
      <c r="M73" s="88">
        <v>46165.546631944446</v>
      </c>
      <c r="N73" t="s">
        <v>637</v>
      </c>
      <c r="O73" t="s">
        <v>112</v>
      </c>
      <c r="P73" t="s">
        <v>111</v>
      </c>
      <c r="Q73" t="s">
        <v>638</v>
      </c>
      <c r="R73">
        <v>4</v>
      </c>
      <c r="S73" s="89">
        <v>9500</v>
      </c>
      <c r="T73" s="89">
        <v>0</v>
      </c>
      <c r="U73" s="89">
        <v>8360</v>
      </c>
      <c r="V73" s="89">
        <v>8360</v>
      </c>
      <c r="W73" s="89">
        <v>29640</v>
      </c>
    </row>
    <row r="74" spans="1:23" ht="13">
      <c r="A74" t="s">
        <v>969</v>
      </c>
      <c r="B74" t="s">
        <v>970</v>
      </c>
      <c r="C74" s="88">
        <v>46166.551412037035</v>
      </c>
      <c r="D74" t="s">
        <v>105</v>
      </c>
      <c r="E74" t="s">
        <v>106</v>
      </c>
      <c r="F74" t="s">
        <v>971</v>
      </c>
      <c r="G74" t="s">
        <v>972</v>
      </c>
      <c r="H74" t="s">
        <v>971</v>
      </c>
      <c r="I74" s="88">
        <v>46163.444768518515</v>
      </c>
      <c r="J74" t="s">
        <v>107</v>
      </c>
      <c r="K74" t="s">
        <v>108</v>
      </c>
      <c r="L74" t="s">
        <v>973</v>
      </c>
      <c r="M74" s="88">
        <v>46164.452743055561</v>
      </c>
      <c r="N74" t="s">
        <v>637</v>
      </c>
      <c r="O74" t="s">
        <v>112</v>
      </c>
      <c r="P74" t="s">
        <v>111</v>
      </c>
      <c r="Q74" t="s">
        <v>638</v>
      </c>
      <c r="R74">
        <v>2</v>
      </c>
      <c r="S74" s="89">
        <v>9500</v>
      </c>
      <c r="T74" s="89">
        <v>0</v>
      </c>
      <c r="U74" s="89">
        <v>4180</v>
      </c>
      <c r="V74" s="89">
        <v>4180</v>
      </c>
      <c r="W74" s="89">
        <v>14820</v>
      </c>
    </row>
    <row r="75" spans="1:23" ht="13">
      <c r="A75" t="s">
        <v>974</v>
      </c>
      <c r="B75" t="s">
        <v>975</v>
      </c>
      <c r="C75" s="88">
        <v>46166.046909722223</v>
      </c>
      <c r="D75" t="s">
        <v>105</v>
      </c>
      <c r="E75" t="s">
        <v>106</v>
      </c>
      <c r="F75" t="s">
        <v>190</v>
      </c>
      <c r="G75" t="s">
        <v>976</v>
      </c>
      <c r="H75" t="s">
        <v>190</v>
      </c>
      <c r="I75" s="88">
        <v>46157.403136574074</v>
      </c>
      <c r="J75" t="s">
        <v>107</v>
      </c>
      <c r="K75" t="s">
        <v>108</v>
      </c>
      <c r="L75" t="s">
        <v>977</v>
      </c>
      <c r="M75" s="88">
        <v>46158.466122685189</v>
      </c>
      <c r="N75" t="s">
        <v>637</v>
      </c>
      <c r="O75" t="s">
        <v>112</v>
      </c>
      <c r="P75" t="s">
        <v>111</v>
      </c>
      <c r="Q75" t="s">
        <v>929</v>
      </c>
      <c r="R75">
        <v>6</v>
      </c>
      <c r="S75" s="89">
        <v>9500</v>
      </c>
      <c r="T75" s="89">
        <v>0</v>
      </c>
      <c r="U75" s="89">
        <v>20980</v>
      </c>
      <c r="V75" s="89">
        <v>19980</v>
      </c>
      <c r="W75" s="89">
        <v>36020</v>
      </c>
    </row>
    <row r="76" spans="1:23" ht="13">
      <c r="A76" t="s">
        <v>978</v>
      </c>
      <c r="B76" t="s">
        <v>979</v>
      </c>
      <c r="C76" s="88">
        <v>46166.046898148154</v>
      </c>
      <c r="D76" t="s">
        <v>105</v>
      </c>
      <c r="E76" t="s">
        <v>106</v>
      </c>
      <c r="F76" t="s">
        <v>980</v>
      </c>
      <c r="G76" t="s">
        <v>981</v>
      </c>
      <c r="H76" t="s">
        <v>980</v>
      </c>
      <c r="I76" s="88">
        <v>46157.403136574074</v>
      </c>
      <c r="J76" t="s">
        <v>107</v>
      </c>
      <c r="K76" t="s">
        <v>108</v>
      </c>
      <c r="L76" t="s">
        <v>982</v>
      </c>
      <c r="M76" s="88">
        <v>46158.546550925923</v>
      </c>
      <c r="N76" t="s">
        <v>637</v>
      </c>
      <c r="O76" t="s">
        <v>112</v>
      </c>
      <c r="P76" t="s">
        <v>111</v>
      </c>
      <c r="Q76" t="s">
        <v>929</v>
      </c>
      <c r="R76">
        <v>2</v>
      </c>
      <c r="S76" s="89">
        <v>9500</v>
      </c>
      <c r="T76" s="89">
        <v>0</v>
      </c>
      <c r="U76" s="89">
        <v>4180</v>
      </c>
      <c r="V76" s="89">
        <v>4180</v>
      </c>
      <c r="W76" s="89">
        <v>14820</v>
      </c>
    </row>
    <row r="77" spans="1:23" ht="13">
      <c r="A77" t="s">
        <v>983</v>
      </c>
      <c r="B77" t="s">
        <v>984</v>
      </c>
      <c r="C77" s="88">
        <v>46166.046782407408</v>
      </c>
      <c r="D77" t="s">
        <v>105</v>
      </c>
      <c r="E77" t="s">
        <v>106</v>
      </c>
      <c r="F77" t="s">
        <v>345</v>
      </c>
      <c r="G77" t="s">
        <v>985</v>
      </c>
      <c r="H77" t="s">
        <v>345</v>
      </c>
      <c r="I77" s="88">
        <v>46157.403136574074</v>
      </c>
      <c r="J77" t="s">
        <v>107</v>
      </c>
      <c r="K77" t="s">
        <v>108</v>
      </c>
      <c r="L77" t="s">
        <v>986</v>
      </c>
      <c r="M77" s="88">
        <v>46158.653194444443</v>
      </c>
      <c r="N77" t="s">
        <v>637</v>
      </c>
      <c r="O77" t="s">
        <v>112</v>
      </c>
      <c r="P77" t="s">
        <v>111</v>
      </c>
      <c r="Q77" t="s">
        <v>929</v>
      </c>
      <c r="R77">
        <v>3</v>
      </c>
      <c r="S77" s="89">
        <v>9500</v>
      </c>
      <c r="T77" s="89">
        <v>0</v>
      </c>
      <c r="U77" s="89">
        <v>6270</v>
      </c>
      <c r="V77" s="89">
        <v>6270</v>
      </c>
      <c r="W77" s="89">
        <v>22230</v>
      </c>
    </row>
    <row r="78" spans="1:23" ht="13">
      <c r="A78" t="s">
        <v>987</v>
      </c>
      <c r="B78" t="s">
        <v>988</v>
      </c>
      <c r="C78" s="88">
        <v>46166.046712962961</v>
      </c>
      <c r="D78" t="s">
        <v>105</v>
      </c>
      <c r="E78" t="s">
        <v>106</v>
      </c>
      <c r="F78" t="s">
        <v>989</v>
      </c>
      <c r="G78" t="s">
        <v>990</v>
      </c>
      <c r="H78" t="s">
        <v>989</v>
      </c>
      <c r="I78" s="88">
        <v>46157.403136574074</v>
      </c>
      <c r="J78" t="s">
        <v>107</v>
      </c>
      <c r="K78" t="s">
        <v>108</v>
      </c>
      <c r="L78" t="s">
        <v>991</v>
      </c>
      <c r="M78" s="88">
        <v>46158.463194444441</v>
      </c>
      <c r="N78" t="s">
        <v>637</v>
      </c>
      <c r="O78" t="s">
        <v>112</v>
      </c>
      <c r="P78" t="s">
        <v>111</v>
      </c>
      <c r="Q78" t="s">
        <v>929</v>
      </c>
      <c r="R78">
        <v>2</v>
      </c>
      <c r="S78" s="89">
        <v>9500</v>
      </c>
      <c r="T78" s="89">
        <v>0</v>
      </c>
      <c r="U78" s="89">
        <v>4180</v>
      </c>
      <c r="V78" s="89">
        <v>4180</v>
      </c>
      <c r="W78" s="89">
        <v>14820</v>
      </c>
    </row>
    <row r="79" spans="1:23" ht="13">
      <c r="A79" t="s">
        <v>992</v>
      </c>
      <c r="B79" t="s">
        <v>993</v>
      </c>
      <c r="C79" s="88">
        <v>46166.041168981479</v>
      </c>
      <c r="D79" t="s">
        <v>105</v>
      </c>
      <c r="E79" t="s">
        <v>106</v>
      </c>
      <c r="F79" t="s">
        <v>994</v>
      </c>
      <c r="G79" t="s">
        <v>995</v>
      </c>
      <c r="H79" t="s">
        <v>994</v>
      </c>
      <c r="I79" s="88">
        <v>46157.403136574074</v>
      </c>
      <c r="J79" t="s">
        <v>107</v>
      </c>
      <c r="K79" t="s">
        <v>108</v>
      </c>
      <c r="L79" t="s">
        <v>996</v>
      </c>
      <c r="M79" s="88">
        <v>46158.460092592592</v>
      </c>
      <c r="N79" t="s">
        <v>637</v>
      </c>
      <c r="O79" t="s">
        <v>112</v>
      </c>
      <c r="P79" t="s">
        <v>111</v>
      </c>
      <c r="Q79" t="s">
        <v>929</v>
      </c>
      <c r="R79">
        <v>1</v>
      </c>
      <c r="S79" s="89">
        <v>9500</v>
      </c>
      <c r="T79" s="89">
        <v>0</v>
      </c>
      <c r="U79" s="89">
        <v>2090</v>
      </c>
      <c r="V79" s="89">
        <v>2090</v>
      </c>
      <c r="W79" s="89">
        <v>7410</v>
      </c>
    </row>
    <row r="80" spans="1:23" ht="13">
      <c r="A80" t="s">
        <v>997</v>
      </c>
      <c r="B80" t="s">
        <v>998</v>
      </c>
      <c r="C80" s="88">
        <v>46166.040856481486</v>
      </c>
      <c r="D80" t="s">
        <v>105</v>
      </c>
      <c r="E80" t="s">
        <v>106</v>
      </c>
      <c r="F80" t="s">
        <v>999</v>
      </c>
      <c r="G80" t="s">
        <v>145</v>
      </c>
      <c r="H80" t="s">
        <v>1000</v>
      </c>
      <c r="I80" s="88">
        <v>46157.403136574074</v>
      </c>
      <c r="J80" t="s">
        <v>107</v>
      </c>
      <c r="K80" t="s">
        <v>108</v>
      </c>
      <c r="L80" t="s">
        <v>1001</v>
      </c>
      <c r="M80" s="88">
        <v>46158.676446759258</v>
      </c>
      <c r="N80" t="s">
        <v>637</v>
      </c>
      <c r="O80" t="s">
        <v>112</v>
      </c>
      <c r="P80" t="s">
        <v>111</v>
      </c>
      <c r="Q80" t="s">
        <v>929</v>
      </c>
      <c r="R80">
        <v>6</v>
      </c>
      <c r="S80" s="89">
        <v>9500</v>
      </c>
      <c r="T80" s="89">
        <v>0</v>
      </c>
      <c r="U80" s="89">
        <v>19980</v>
      </c>
      <c r="V80" s="89">
        <v>19980</v>
      </c>
      <c r="W80" s="89">
        <v>37020</v>
      </c>
    </row>
    <row r="81" spans="1:23" ht="13">
      <c r="A81" t="s">
        <v>1002</v>
      </c>
      <c r="B81" t="s">
        <v>1003</v>
      </c>
      <c r="C81" s="88">
        <v>46166.029942129629</v>
      </c>
      <c r="D81" t="s">
        <v>105</v>
      </c>
      <c r="E81" t="s">
        <v>106</v>
      </c>
      <c r="F81" t="s">
        <v>1004</v>
      </c>
      <c r="G81" t="s">
        <v>1005</v>
      </c>
      <c r="H81" t="s">
        <v>240</v>
      </c>
      <c r="I81" s="88">
        <v>46161.396319444444</v>
      </c>
      <c r="J81" t="s">
        <v>107</v>
      </c>
      <c r="K81" t="s">
        <v>108</v>
      </c>
      <c r="L81" t="s">
        <v>1006</v>
      </c>
      <c r="M81" s="88">
        <v>46162.5465625</v>
      </c>
      <c r="N81" t="s">
        <v>637</v>
      </c>
      <c r="O81" t="s">
        <v>112</v>
      </c>
      <c r="P81" t="s">
        <v>111</v>
      </c>
      <c r="Q81" t="s">
        <v>638</v>
      </c>
      <c r="R81">
        <v>1</v>
      </c>
      <c r="S81" s="89">
        <v>9500</v>
      </c>
      <c r="T81" s="89">
        <v>0</v>
      </c>
      <c r="U81" s="89">
        <v>2090</v>
      </c>
      <c r="V81" s="89">
        <v>2090</v>
      </c>
      <c r="W81" s="89">
        <v>7410</v>
      </c>
    </row>
    <row r="82" spans="1:23" ht="13">
      <c r="A82" t="s">
        <v>1007</v>
      </c>
      <c r="B82" t="s">
        <v>1008</v>
      </c>
      <c r="C82" s="88">
        <v>46165.671215277776</v>
      </c>
      <c r="D82" t="s">
        <v>105</v>
      </c>
      <c r="E82" t="s">
        <v>106</v>
      </c>
      <c r="F82" t="s">
        <v>1009</v>
      </c>
      <c r="G82" t="s">
        <v>1010</v>
      </c>
      <c r="H82" t="s">
        <v>1009</v>
      </c>
      <c r="I82" s="88">
        <v>46160.403287037036</v>
      </c>
      <c r="J82" t="s">
        <v>107</v>
      </c>
      <c r="K82" t="s">
        <v>108</v>
      </c>
      <c r="L82" t="s">
        <v>1011</v>
      </c>
      <c r="M82" s="88">
        <v>46161.5472337963</v>
      </c>
      <c r="N82" t="s">
        <v>637</v>
      </c>
      <c r="O82" t="s">
        <v>112</v>
      </c>
      <c r="P82" t="s">
        <v>111</v>
      </c>
      <c r="Q82" t="s">
        <v>638</v>
      </c>
      <c r="R82">
        <v>4</v>
      </c>
      <c r="S82" s="89">
        <v>9500</v>
      </c>
      <c r="T82" s="89">
        <v>0</v>
      </c>
      <c r="U82" s="89">
        <v>8360</v>
      </c>
      <c r="V82" s="89">
        <v>8360</v>
      </c>
      <c r="W82" s="89">
        <v>29640</v>
      </c>
    </row>
    <row r="83" spans="1:23" ht="13">
      <c r="A83" t="s">
        <v>1012</v>
      </c>
      <c r="B83" t="s">
        <v>1013</v>
      </c>
      <c r="C83" s="88">
        <v>46165.615856481483</v>
      </c>
      <c r="D83" t="s">
        <v>105</v>
      </c>
      <c r="E83" t="s">
        <v>106</v>
      </c>
      <c r="F83" t="s">
        <v>1014</v>
      </c>
      <c r="G83" t="s">
        <v>1015</v>
      </c>
      <c r="H83" t="s">
        <v>1014</v>
      </c>
      <c r="I83" s="88">
        <v>46162.45888888889</v>
      </c>
      <c r="J83" t="s">
        <v>107</v>
      </c>
      <c r="K83" t="s">
        <v>108</v>
      </c>
      <c r="L83" t="s">
        <v>1016</v>
      </c>
      <c r="M83" s="88">
        <v>46163.549375000002</v>
      </c>
      <c r="N83" t="s">
        <v>637</v>
      </c>
      <c r="O83" t="s">
        <v>112</v>
      </c>
      <c r="P83" t="s">
        <v>111</v>
      </c>
      <c r="Q83" t="s">
        <v>638</v>
      </c>
      <c r="R83">
        <v>1</v>
      </c>
      <c r="S83" s="89">
        <v>9500</v>
      </c>
      <c r="T83" s="89">
        <v>0</v>
      </c>
      <c r="U83" s="89">
        <v>2090</v>
      </c>
      <c r="V83" s="89">
        <v>2090</v>
      </c>
      <c r="W83" s="89">
        <v>7410</v>
      </c>
    </row>
    <row r="84" spans="1:23" ht="13">
      <c r="A84" t="s">
        <v>1017</v>
      </c>
      <c r="B84" t="s">
        <v>1018</v>
      </c>
      <c r="C84" s="88">
        <v>46165.513182870374</v>
      </c>
      <c r="D84" t="s">
        <v>105</v>
      </c>
      <c r="E84" t="s">
        <v>106</v>
      </c>
      <c r="F84" t="s">
        <v>1019</v>
      </c>
      <c r="G84" t="s">
        <v>1020</v>
      </c>
      <c r="H84" t="s">
        <v>1019</v>
      </c>
      <c r="I84" s="88">
        <v>46162.59756944445</v>
      </c>
      <c r="J84" t="s">
        <v>107</v>
      </c>
      <c r="K84" t="s">
        <v>108</v>
      </c>
      <c r="L84" t="s">
        <v>1021</v>
      </c>
      <c r="M84" s="88">
        <v>46163.470289351855</v>
      </c>
      <c r="N84" t="s">
        <v>637</v>
      </c>
      <c r="O84" t="s">
        <v>112</v>
      </c>
      <c r="P84" t="s">
        <v>111</v>
      </c>
      <c r="Q84" t="s">
        <v>638</v>
      </c>
      <c r="R84">
        <v>6</v>
      </c>
      <c r="S84" s="89">
        <v>9500</v>
      </c>
      <c r="T84" s="89">
        <v>0</v>
      </c>
      <c r="U84" s="89">
        <v>19980</v>
      </c>
      <c r="V84" s="89">
        <v>19980</v>
      </c>
      <c r="W84" s="89">
        <v>37020</v>
      </c>
    </row>
    <row r="85" spans="1:23" ht="13">
      <c r="A85" t="s">
        <v>1022</v>
      </c>
      <c r="B85" t="s">
        <v>1023</v>
      </c>
      <c r="C85" s="88">
        <v>46165.475671296299</v>
      </c>
      <c r="D85" t="s">
        <v>105</v>
      </c>
      <c r="E85" t="s">
        <v>106</v>
      </c>
      <c r="F85" t="s">
        <v>1024</v>
      </c>
      <c r="G85" t="s">
        <v>1025</v>
      </c>
      <c r="H85" t="s">
        <v>1024</v>
      </c>
      <c r="I85" s="88">
        <v>46163.444768518515</v>
      </c>
      <c r="J85" t="s">
        <v>107</v>
      </c>
      <c r="K85" t="s">
        <v>108</v>
      </c>
      <c r="L85" t="s">
        <v>1026</v>
      </c>
      <c r="M85" s="88">
        <v>46164.675740740742</v>
      </c>
      <c r="N85" t="s">
        <v>637</v>
      </c>
      <c r="O85" t="s">
        <v>112</v>
      </c>
      <c r="P85" t="s">
        <v>111</v>
      </c>
      <c r="Q85" t="s">
        <v>638</v>
      </c>
      <c r="R85">
        <v>2</v>
      </c>
      <c r="S85" s="89">
        <v>9500</v>
      </c>
      <c r="T85" s="89">
        <v>0</v>
      </c>
      <c r="U85" s="89">
        <v>4180</v>
      </c>
      <c r="V85" s="89">
        <v>4180</v>
      </c>
      <c r="W85" s="89">
        <v>14820</v>
      </c>
    </row>
    <row r="86" spans="1:23" ht="13">
      <c r="A86" t="s">
        <v>1027</v>
      </c>
      <c r="B86" t="s">
        <v>1028</v>
      </c>
      <c r="C86" s="88">
        <v>46165.073703703703</v>
      </c>
      <c r="D86" t="s">
        <v>105</v>
      </c>
      <c r="E86" t="s">
        <v>106</v>
      </c>
      <c r="F86" t="s">
        <v>1029</v>
      </c>
      <c r="G86" t="s">
        <v>1030</v>
      </c>
      <c r="H86" t="s">
        <v>1029</v>
      </c>
      <c r="I86" s="88">
        <v>46156.576747685191</v>
      </c>
      <c r="J86" t="s">
        <v>107</v>
      </c>
      <c r="K86" t="s">
        <v>108</v>
      </c>
      <c r="L86" t="s">
        <v>1031</v>
      </c>
      <c r="M86" s="88">
        <v>46157.550787037035</v>
      </c>
      <c r="N86" t="s">
        <v>637</v>
      </c>
      <c r="O86" t="s">
        <v>112</v>
      </c>
      <c r="P86" t="s">
        <v>111</v>
      </c>
      <c r="Q86" t="s">
        <v>929</v>
      </c>
      <c r="R86">
        <v>6</v>
      </c>
      <c r="S86" s="89">
        <v>9500</v>
      </c>
      <c r="T86" s="89">
        <v>0</v>
      </c>
      <c r="U86" s="89">
        <v>19980</v>
      </c>
      <c r="V86" s="89">
        <v>19980</v>
      </c>
      <c r="W86" s="89">
        <v>37020</v>
      </c>
    </row>
    <row r="87" spans="1:23" ht="13">
      <c r="A87" t="s">
        <v>1032</v>
      </c>
      <c r="B87" t="s">
        <v>1033</v>
      </c>
      <c r="C87" s="88">
        <v>46165.073379629626</v>
      </c>
      <c r="D87" t="s">
        <v>105</v>
      </c>
      <c r="E87" t="s">
        <v>106</v>
      </c>
      <c r="F87" t="s">
        <v>1034</v>
      </c>
      <c r="G87" t="s">
        <v>1035</v>
      </c>
      <c r="H87" t="s">
        <v>1034</v>
      </c>
      <c r="I87" s="88">
        <v>46156.576747685191</v>
      </c>
      <c r="J87" t="s">
        <v>107</v>
      </c>
      <c r="K87" t="s">
        <v>108</v>
      </c>
      <c r="L87" t="s">
        <v>1036</v>
      </c>
      <c r="M87" s="88">
        <v>46157.547986111109</v>
      </c>
      <c r="N87" t="s">
        <v>637</v>
      </c>
      <c r="O87" t="s">
        <v>112</v>
      </c>
      <c r="P87" t="s">
        <v>111</v>
      </c>
      <c r="Q87" t="s">
        <v>929</v>
      </c>
      <c r="R87">
        <v>2</v>
      </c>
      <c r="S87" s="89">
        <v>9500</v>
      </c>
      <c r="T87" s="89">
        <v>0</v>
      </c>
      <c r="U87" s="89">
        <v>4180</v>
      </c>
      <c r="V87" s="89">
        <v>4180</v>
      </c>
      <c r="W87" s="89">
        <v>14820</v>
      </c>
    </row>
    <row r="88" spans="1:23" ht="13">
      <c r="A88" t="s">
        <v>1037</v>
      </c>
      <c r="B88" t="s">
        <v>1038</v>
      </c>
      <c r="C88" s="88">
        <v>46165.058240740742</v>
      </c>
      <c r="D88" t="s">
        <v>105</v>
      </c>
      <c r="E88" t="s">
        <v>106</v>
      </c>
      <c r="F88" t="s">
        <v>348</v>
      </c>
      <c r="G88" t="s">
        <v>1039</v>
      </c>
      <c r="H88" t="s">
        <v>348</v>
      </c>
      <c r="I88" s="88">
        <v>46156.430949074071</v>
      </c>
      <c r="J88" t="s">
        <v>107</v>
      </c>
      <c r="K88" t="s">
        <v>108</v>
      </c>
      <c r="L88" t="s">
        <v>1040</v>
      </c>
      <c r="M88" s="88">
        <v>46157.550856481481</v>
      </c>
      <c r="N88" t="s">
        <v>637</v>
      </c>
      <c r="O88" t="s">
        <v>112</v>
      </c>
      <c r="P88" t="s">
        <v>111</v>
      </c>
      <c r="Q88" t="s">
        <v>929</v>
      </c>
      <c r="R88">
        <v>6</v>
      </c>
      <c r="S88" s="89">
        <v>9500</v>
      </c>
      <c r="T88" s="89">
        <v>0</v>
      </c>
      <c r="U88" s="89">
        <v>22980</v>
      </c>
      <c r="V88" s="89">
        <v>19980</v>
      </c>
      <c r="W88" s="89">
        <v>34020</v>
      </c>
    </row>
    <row r="89" spans="1:23" ht="13">
      <c r="A89" t="s">
        <v>1041</v>
      </c>
      <c r="B89" t="s">
        <v>1042</v>
      </c>
      <c r="C89" s="88">
        <v>46165.058240740742</v>
      </c>
      <c r="D89" t="s">
        <v>105</v>
      </c>
      <c r="E89" t="s">
        <v>106</v>
      </c>
      <c r="F89" t="s">
        <v>1043</v>
      </c>
      <c r="G89" t="s">
        <v>1044</v>
      </c>
      <c r="H89" t="s">
        <v>1043</v>
      </c>
      <c r="I89" s="88">
        <v>46156.430949074071</v>
      </c>
      <c r="J89" t="s">
        <v>107</v>
      </c>
      <c r="K89" t="s">
        <v>108</v>
      </c>
      <c r="L89" t="s">
        <v>1045</v>
      </c>
      <c r="M89" s="88">
        <v>46157.550856481481</v>
      </c>
      <c r="N89" t="s">
        <v>637</v>
      </c>
      <c r="O89" t="s">
        <v>112</v>
      </c>
      <c r="P89" t="s">
        <v>111</v>
      </c>
      <c r="Q89" t="s">
        <v>929</v>
      </c>
      <c r="R89">
        <v>6</v>
      </c>
      <c r="S89" s="89">
        <v>9500</v>
      </c>
      <c r="T89" s="89">
        <v>0</v>
      </c>
      <c r="U89" s="89">
        <v>19980</v>
      </c>
      <c r="V89" s="89">
        <v>19980</v>
      </c>
      <c r="W89" s="89">
        <v>37020</v>
      </c>
    </row>
    <row r="90" spans="1:23" ht="13">
      <c r="A90" t="s">
        <v>1046</v>
      </c>
      <c r="B90" t="s">
        <v>1047</v>
      </c>
      <c r="C90" s="88">
        <v>46165.057858796295</v>
      </c>
      <c r="D90" t="s">
        <v>105</v>
      </c>
      <c r="E90" t="s">
        <v>106</v>
      </c>
      <c r="F90" t="s">
        <v>354</v>
      </c>
      <c r="G90" t="s">
        <v>1048</v>
      </c>
      <c r="H90" t="s">
        <v>354</v>
      </c>
      <c r="I90" s="88">
        <v>46156.430960648147</v>
      </c>
      <c r="J90" t="s">
        <v>107</v>
      </c>
      <c r="K90" t="s">
        <v>108</v>
      </c>
      <c r="L90" t="s">
        <v>1049</v>
      </c>
      <c r="M90" s="88">
        <v>46157.546539351853</v>
      </c>
      <c r="N90" t="s">
        <v>637</v>
      </c>
      <c r="O90" t="s">
        <v>112</v>
      </c>
      <c r="P90" t="s">
        <v>111</v>
      </c>
      <c r="Q90" t="s">
        <v>929</v>
      </c>
      <c r="R90">
        <v>1</v>
      </c>
      <c r="S90" s="89">
        <v>9500</v>
      </c>
      <c r="T90" s="89">
        <v>0</v>
      </c>
      <c r="U90" s="89">
        <v>2090</v>
      </c>
      <c r="V90" s="89">
        <v>2090</v>
      </c>
      <c r="W90" s="89">
        <v>7410</v>
      </c>
    </row>
    <row r="91" spans="1:23" ht="13">
      <c r="A91" t="s">
        <v>1050</v>
      </c>
      <c r="B91" t="s">
        <v>1051</v>
      </c>
      <c r="C91" s="88">
        <v>46165.057847222226</v>
      </c>
      <c r="D91" t="s">
        <v>105</v>
      </c>
      <c r="E91" t="s">
        <v>106</v>
      </c>
      <c r="F91" t="s">
        <v>1052</v>
      </c>
      <c r="G91" t="s">
        <v>1053</v>
      </c>
      <c r="H91" t="s">
        <v>1052</v>
      </c>
      <c r="I91" s="88">
        <v>46156.430949074071</v>
      </c>
      <c r="J91" t="s">
        <v>107</v>
      </c>
      <c r="K91" t="s">
        <v>108</v>
      </c>
      <c r="L91" t="s">
        <v>1054</v>
      </c>
      <c r="M91" s="88">
        <v>46157.501956018517</v>
      </c>
      <c r="N91" t="s">
        <v>637</v>
      </c>
      <c r="O91" t="s">
        <v>112</v>
      </c>
      <c r="P91" t="s">
        <v>111</v>
      </c>
      <c r="Q91" t="s">
        <v>929</v>
      </c>
      <c r="R91">
        <v>2</v>
      </c>
      <c r="S91" s="89">
        <v>9500</v>
      </c>
      <c r="T91" s="89">
        <v>0</v>
      </c>
      <c r="U91" s="89">
        <v>4180</v>
      </c>
      <c r="V91" s="89">
        <v>4180</v>
      </c>
      <c r="W91" s="89">
        <v>14820</v>
      </c>
    </row>
    <row r="92" spans="1:23" ht="13">
      <c r="A92" t="s">
        <v>1055</v>
      </c>
      <c r="B92" t="s">
        <v>1056</v>
      </c>
      <c r="C92" s="88">
        <v>46165.057847222226</v>
      </c>
      <c r="D92" t="s">
        <v>105</v>
      </c>
      <c r="E92" t="s">
        <v>106</v>
      </c>
      <c r="F92" t="s">
        <v>1057</v>
      </c>
      <c r="G92" t="s">
        <v>1058</v>
      </c>
      <c r="H92" t="s">
        <v>1057</v>
      </c>
      <c r="I92" s="88">
        <v>46156.430949074071</v>
      </c>
      <c r="J92" t="s">
        <v>107</v>
      </c>
      <c r="K92" t="s">
        <v>108</v>
      </c>
      <c r="L92" t="s">
        <v>1059</v>
      </c>
      <c r="M92" s="88">
        <v>46157.501967592594</v>
      </c>
      <c r="N92" t="s">
        <v>637</v>
      </c>
      <c r="O92" t="s">
        <v>112</v>
      </c>
      <c r="P92" t="s">
        <v>111</v>
      </c>
      <c r="Q92" t="s">
        <v>929</v>
      </c>
      <c r="R92">
        <v>3</v>
      </c>
      <c r="S92" s="89">
        <v>9500</v>
      </c>
      <c r="T92" s="89">
        <v>0</v>
      </c>
      <c r="U92" s="89">
        <v>6270</v>
      </c>
      <c r="V92" s="89">
        <v>6270</v>
      </c>
      <c r="W92" s="89">
        <v>22230</v>
      </c>
    </row>
    <row r="93" spans="1:23" ht="13">
      <c r="A93" t="s">
        <v>1060</v>
      </c>
      <c r="B93" t="s">
        <v>1061</v>
      </c>
      <c r="C93" s="88">
        <v>46165.057847222226</v>
      </c>
      <c r="D93" t="s">
        <v>105</v>
      </c>
      <c r="E93" t="s">
        <v>106</v>
      </c>
      <c r="F93" t="s">
        <v>1062</v>
      </c>
      <c r="G93" t="s">
        <v>1063</v>
      </c>
      <c r="H93" t="s">
        <v>1062</v>
      </c>
      <c r="I93" s="88">
        <v>46156.430960648147</v>
      </c>
      <c r="J93" t="s">
        <v>107</v>
      </c>
      <c r="K93" t="s">
        <v>108</v>
      </c>
      <c r="L93" t="s">
        <v>1064</v>
      </c>
      <c r="M93" s="88">
        <v>46157.754861111112</v>
      </c>
      <c r="N93" t="s">
        <v>637</v>
      </c>
      <c r="O93" t="s">
        <v>112</v>
      </c>
      <c r="P93" t="s">
        <v>111</v>
      </c>
      <c r="Q93" t="s">
        <v>929</v>
      </c>
      <c r="R93">
        <v>2</v>
      </c>
      <c r="S93" s="89">
        <v>9500</v>
      </c>
      <c r="T93" s="89">
        <v>0</v>
      </c>
      <c r="U93" s="89">
        <v>4180</v>
      </c>
      <c r="V93" s="89">
        <v>4180</v>
      </c>
      <c r="W93" s="89">
        <v>14820</v>
      </c>
    </row>
    <row r="94" spans="1:23" ht="13">
      <c r="A94" t="s">
        <v>1065</v>
      </c>
      <c r="B94" t="s">
        <v>1066</v>
      </c>
      <c r="C94" s="88">
        <v>46165.057847222226</v>
      </c>
      <c r="D94" t="s">
        <v>105</v>
      </c>
      <c r="E94" t="s">
        <v>106</v>
      </c>
      <c r="F94" t="s">
        <v>1067</v>
      </c>
      <c r="G94" t="s">
        <v>1068</v>
      </c>
      <c r="H94" t="s">
        <v>1067</v>
      </c>
      <c r="I94" s="88">
        <v>46156.430949074071</v>
      </c>
      <c r="J94" t="s">
        <v>107</v>
      </c>
      <c r="K94" t="s">
        <v>108</v>
      </c>
      <c r="L94" t="s">
        <v>1069</v>
      </c>
      <c r="M94" s="88">
        <v>46157.547384259262</v>
      </c>
      <c r="N94" t="s">
        <v>637</v>
      </c>
      <c r="O94" t="s">
        <v>112</v>
      </c>
      <c r="P94" t="s">
        <v>111</v>
      </c>
      <c r="Q94" t="s">
        <v>929</v>
      </c>
      <c r="R94">
        <v>2</v>
      </c>
      <c r="S94" s="89">
        <v>9500</v>
      </c>
      <c r="T94" s="89">
        <v>0</v>
      </c>
      <c r="U94" s="89">
        <v>4180</v>
      </c>
      <c r="V94" s="89">
        <v>4180</v>
      </c>
      <c r="W94" s="89">
        <v>14820</v>
      </c>
    </row>
    <row r="95" spans="1:23" ht="13">
      <c r="A95" t="s">
        <v>1070</v>
      </c>
      <c r="B95" t="s">
        <v>1071</v>
      </c>
      <c r="C95" s="88">
        <v>46165.057581018518</v>
      </c>
      <c r="D95" t="s">
        <v>105</v>
      </c>
      <c r="E95" t="s">
        <v>106</v>
      </c>
      <c r="F95" t="s">
        <v>1072</v>
      </c>
      <c r="G95" t="s">
        <v>1073</v>
      </c>
      <c r="H95" t="s">
        <v>1072</v>
      </c>
      <c r="I95" s="88">
        <v>46156.430949074071</v>
      </c>
      <c r="J95" t="s">
        <v>107</v>
      </c>
      <c r="K95" t="s">
        <v>108</v>
      </c>
      <c r="L95" t="s">
        <v>1074</v>
      </c>
      <c r="M95" s="88">
        <v>46157.546550925923</v>
      </c>
      <c r="N95" t="s">
        <v>637</v>
      </c>
      <c r="O95" t="s">
        <v>112</v>
      </c>
      <c r="P95" t="s">
        <v>111</v>
      </c>
      <c r="Q95" t="s">
        <v>929</v>
      </c>
      <c r="R95">
        <v>6</v>
      </c>
      <c r="S95" s="89">
        <v>9500</v>
      </c>
      <c r="T95" s="89">
        <v>0</v>
      </c>
      <c r="U95" s="89">
        <v>19980</v>
      </c>
      <c r="V95" s="89">
        <v>19980</v>
      </c>
      <c r="W95" s="89">
        <v>37020</v>
      </c>
    </row>
    <row r="96" spans="1:23" ht="13">
      <c r="A96" t="s">
        <v>1075</v>
      </c>
      <c r="B96" t="s">
        <v>1076</v>
      </c>
      <c r="C96" s="88">
        <v>46165.056805555556</v>
      </c>
      <c r="D96" t="s">
        <v>105</v>
      </c>
      <c r="E96" t="s">
        <v>106</v>
      </c>
      <c r="F96" t="s">
        <v>1077</v>
      </c>
      <c r="G96" t="s">
        <v>1078</v>
      </c>
      <c r="H96" t="s">
        <v>1077</v>
      </c>
      <c r="I96" s="88">
        <v>46156.430960648147</v>
      </c>
      <c r="J96" t="s">
        <v>107</v>
      </c>
      <c r="K96" t="s">
        <v>108</v>
      </c>
      <c r="L96" t="s">
        <v>1079</v>
      </c>
      <c r="M96" s="88">
        <v>46157.643229166672</v>
      </c>
      <c r="N96" t="s">
        <v>637</v>
      </c>
      <c r="O96" t="s">
        <v>112</v>
      </c>
      <c r="P96" t="s">
        <v>111</v>
      </c>
      <c r="Q96" t="s">
        <v>929</v>
      </c>
      <c r="R96">
        <v>1</v>
      </c>
      <c r="S96" s="89">
        <v>9500</v>
      </c>
      <c r="T96" s="89">
        <v>0</v>
      </c>
      <c r="U96" s="89">
        <v>2090</v>
      </c>
      <c r="V96" s="89">
        <v>2090</v>
      </c>
      <c r="W96" s="89">
        <v>7410</v>
      </c>
    </row>
    <row r="97" spans="1:23" ht="13">
      <c r="A97" t="s">
        <v>1080</v>
      </c>
      <c r="B97" t="s">
        <v>1081</v>
      </c>
      <c r="C97" s="88">
        <v>46165.056793981479</v>
      </c>
      <c r="D97" t="s">
        <v>105</v>
      </c>
      <c r="E97" t="s">
        <v>106</v>
      </c>
      <c r="F97" t="s">
        <v>1082</v>
      </c>
      <c r="G97" t="s">
        <v>1083</v>
      </c>
      <c r="H97" t="s">
        <v>1082</v>
      </c>
      <c r="I97" s="88">
        <v>46156.430949074071</v>
      </c>
      <c r="J97" t="s">
        <v>107</v>
      </c>
      <c r="K97" t="s">
        <v>108</v>
      </c>
      <c r="L97" t="s">
        <v>1084</v>
      </c>
      <c r="M97" s="88">
        <v>46157.546539351853</v>
      </c>
      <c r="N97" t="s">
        <v>637</v>
      </c>
      <c r="O97" t="s">
        <v>112</v>
      </c>
      <c r="P97" t="s">
        <v>111</v>
      </c>
      <c r="Q97" t="s">
        <v>929</v>
      </c>
      <c r="R97">
        <v>7</v>
      </c>
      <c r="S97" s="89">
        <v>9500</v>
      </c>
      <c r="T97" s="89">
        <v>0</v>
      </c>
      <c r="U97" s="89">
        <v>23310</v>
      </c>
      <c r="V97" s="89">
        <v>23310</v>
      </c>
      <c r="W97" s="89">
        <v>43190</v>
      </c>
    </row>
    <row r="98" spans="1:23" ht="13">
      <c r="A98" t="s">
        <v>1085</v>
      </c>
      <c r="B98" t="s">
        <v>1086</v>
      </c>
      <c r="C98" s="88">
        <v>46165.056793981479</v>
      </c>
      <c r="D98" t="s">
        <v>105</v>
      </c>
      <c r="E98" t="s">
        <v>106</v>
      </c>
      <c r="F98" t="s">
        <v>1087</v>
      </c>
      <c r="G98" t="s">
        <v>1088</v>
      </c>
      <c r="H98" t="s">
        <v>1087</v>
      </c>
      <c r="I98" s="88">
        <v>46156.430949074071</v>
      </c>
      <c r="J98" t="s">
        <v>107</v>
      </c>
      <c r="K98" t="s">
        <v>108</v>
      </c>
      <c r="L98" t="s">
        <v>1089</v>
      </c>
      <c r="M98" s="88">
        <v>46157.6715162037</v>
      </c>
      <c r="N98" t="s">
        <v>637</v>
      </c>
      <c r="O98" t="s">
        <v>112</v>
      </c>
      <c r="P98" t="s">
        <v>111</v>
      </c>
      <c r="Q98" t="s">
        <v>929</v>
      </c>
      <c r="R98">
        <v>2</v>
      </c>
      <c r="S98" s="89">
        <v>9500</v>
      </c>
      <c r="T98" s="89">
        <v>0</v>
      </c>
      <c r="U98" s="89">
        <v>4280</v>
      </c>
      <c r="V98" s="89">
        <v>4280</v>
      </c>
      <c r="W98" s="89">
        <v>14720</v>
      </c>
    </row>
    <row r="99" spans="1:23" ht="13">
      <c r="A99" t="s">
        <v>1090</v>
      </c>
      <c r="B99" t="s">
        <v>1091</v>
      </c>
      <c r="C99" s="88">
        <v>46165.050358796296</v>
      </c>
      <c r="D99" t="s">
        <v>105</v>
      </c>
      <c r="E99" t="s">
        <v>106</v>
      </c>
      <c r="F99" t="s">
        <v>1092</v>
      </c>
      <c r="G99" t="s">
        <v>1093</v>
      </c>
      <c r="H99" t="s">
        <v>1092</v>
      </c>
      <c r="I99" s="88">
        <v>46156.430949074071</v>
      </c>
      <c r="J99" t="s">
        <v>107</v>
      </c>
      <c r="K99" t="s">
        <v>108</v>
      </c>
      <c r="L99" t="s">
        <v>1094</v>
      </c>
      <c r="M99" s="88">
        <v>46157.671527777777</v>
      </c>
      <c r="N99" t="s">
        <v>637</v>
      </c>
      <c r="O99" t="s">
        <v>112</v>
      </c>
      <c r="P99" t="s">
        <v>111</v>
      </c>
      <c r="Q99" t="s">
        <v>929</v>
      </c>
      <c r="R99">
        <v>2</v>
      </c>
      <c r="S99" s="89">
        <v>9500</v>
      </c>
      <c r="T99" s="89">
        <v>0</v>
      </c>
      <c r="U99" s="89">
        <v>4180</v>
      </c>
      <c r="V99" s="89">
        <v>4180</v>
      </c>
      <c r="W99" s="89">
        <v>14820</v>
      </c>
    </row>
    <row r="100" spans="1:23" ht="13">
      <c r="A100" t="s">
        <v>1095</v>
      </c>
      <c r="B100" t="s">
        <v>1096</v>
      </c>
      <c r="C100" s="88">
        <v>46165.050335648149</v>
      </c>
      <c r="D100" t="s">
        <v>105</v>
      </c>
      <c r="E100" t="s">
        <v>106</v>
      </c>
      <c r="F100" t="s">
        <v>295</v>
      </c>
      <c r="G100" t="s">
        <v>1097</v>
      </c>
      <c r="H100" t="s">
        <v>295</v>
      </c>
      <c r="I100" s="88">
        <v>46156.430949074071</v>
      </c>
      <c r="J100" t="s">
        <v>107</v>
      </c>
      <c r="K100" t="s">
        <v>108</v>
      </c>
      <c r="L100" t="s">
        <v>1098</v>
      </c>
      <c r="M100" s="88">
        <v>46157.671539351853</v>
      </c>
      <c r="N100" t="s">
        <v>637</v>
      </c>
      <c r="O100" t="s">
        <v>112</v>
      </c>
      <c r="P100" t="s">
        <v>111</v>
      </c>
      <c r="Q100" t="s">
        <v>929</v>
      </c>
      <c r="R100">
        <v>6</v>
      </c>
      <c r="S100" s="89">
        <v>9500</v>
      </c>
      <c r="T100" s="89">
        <v>0</v>
      </c>
      <c r="U100" s="89">
        <v>19980</v>
      </c>
      <c r="V100" s="89">
        <v>19980</v>
      </c>
      <c r="W100" s="89">
        <v>37020</v>
      </c>
    </row>
    <row r="101" spans="1:23" ht="13">
      <c r="A101" t="s">
        <v>1099</v>
      </c>
      <c r="B101" t="s">
        <v>1100</v>
      </c>
      <c r="C101" s="88">
        <v>46165.050335648149</v>
      </c>
      <c r="D101" t="s">
        <v>105</v>
      </c>
      <c r="E101" t="s">
        <v>106</v>
      </c>
      <c r="F101" t="s">
        <v>1101</v>
      </c>
      <c r="G101" t="s">
        <v>1102</v>
      </c>
      <c r="H101" t="s">
        <v>1103</v>
      </c>
      <c r="I101" s="88">
        <v>46156.430949074071</v>
      </c>
      <c r="J101" t="s">
        <v>107</v>
      </c>
      <c r="K101" t="s">
        <v>108</v>
      </c>
      <c r="L101" t="s">
        <v>1104</v>
      </c>
      <c r="M101" s="88">
        <v>46157.643229166672</v>
      </c>
      <c r="N101" t="s">
        <v>637</v>
      </c>
      <c r="O101" t="s">
        <v>112</v>
      </c>
      <c r="P101" t="s">
        <v>111</v>
      </c>
      <c r="Q101" t="s">
        <v>929</v>
      </c>
      <c r="R101">
        <v>6</v>
      </c>
      <c r="S101" s="89">
        <v>9500</v>
      </c>
      <c r="T101" s="89">
        <v>0</v>
      </c>
      <c r="U101" s="89">
        <v>19980</v>
      </c>
      <c r="V101" s="89">
        <v>19980</v>
      </c>
      <c r="W101" s="89">
        <v>37020</v>
      </c>
    </row>
    <row r="102" spans="1:23" ht="13">
      <c r="A102" t="s">
        <v>1105</v>
      </c>
      <c r="B102" t="s">
        <v>1106</v>
      </c>
      <c r="C102" s="88">
        <v>46165.050335648149</v>
      </c>
      <c r="D102" t="s">
        <v>105</v>
      </c>
      <c r="E102" t="s">
        <v>106</v>
      </c>
      <c r="F102" t="s">
        <v>1107</v>
      </c>
      <c r="G102" t="s">
        <v>1108</v>
      </c>
      <c r="H102" t="s">
        <v>1107</v>
      </c>
      <c r="I102" s="88">
        <v>46156.430949074071</v>
      </c>
      <c r="J102" t="s">
        <v>107</v>
      </c>
      <c r="K102" t="s">
        <v>108</v>
      </c>
      <c r="L102" t="s">
        <v>1109</v>
      </c>
      <c r="M102" s="88">
        <v>46157.463217592594</v>
      </c>
      <c r="N102" t="s">
        <v>637</v>
      </c>
      <c r="O102" t="s">
        <v>112</v>
      </c>
      <c r="P102" t="s">
        <v>111</v>
      </c>
      <c r="Q102" t="s">
        <v>929</v>
      </c>
      <c r="R102">
        <v>2</v>
      </c>
      <c r="S102" s="89">
        <v>9500</v>
      </c>
      <c r="T102" s="89">
        <v>0</v>
      </c>
      <c r="U102" s="89">
        <v>4180</v>
      </c>
      <c r="V102" s="89">
        <v>4180</v>
      </c>
      <c r="W102" s="89">
        <v>14820</v>
      </c>
    </row>
    <row r="103" spans="1:23" ht="13">
      <c r="A103" t="s">
        <v>1110</v>
      </c>
      <c r="B103" t="s">
        <v>1111</v>
      </c>
      <c r="C103" s="88">
        <v>46165.050081018519</v>
      </c>
      <c r="D103" t="s">
        <v>105</v>
      </c>
      <c r="E103" t="s">
        <v>106</v>
      </c>
      <c r="F103" t="s">
        <v>1112</v>
      </c>
      <c r="G103" t="s">
        <v>1113</v>
      </c>
      <c r="H103" t="s">
        <v>1112</v>
      </c>
      <c r="I103" s="88">
        <v>46156.430949074071</v>
      </c>
      <c r="J103" t="s">
        <v>107</v>
      </c>
      <c r="K103" t="s">
        <v>108</v>
      </c>
      <c r="L103" t="s">
        <v>1114</v>
      </c>
      <c r="M103" s="88">
        <v>46157.763321759259</v>
      </c>
      <c r="N103" t="s">
        <v>637</v>
      </c>
      <c r="O103" t="s">
        <v>112</v>
      </c>
      <c r="P103" t="s">
        <v>111</v>
      </c>
      <c r="Q103" t="s">
        <v>929</v>
      </c>
      <c r="R103">
        <v>2</v>
      </c>
      <c r="S103" s="89">
        <v>9500</v>
      </c>
      <c r="T103" s="89">
        <v>0</v>
      </c>
      <c r="U103" s="89">
        <v>4180</v>
      </c>
      <c r="V103" s="89">
        <v>4180</v>
      </c>
      <c r="W103" s="89">
        <v>14820</v>
      </c>
    </row>
    <row r="104" spans="1:23" ht="13">
      <c r="A104" t="s">
        <v>1115</v>
      </c>
      <c r="B104" t="s">
        <v>1116</v>
      </c>
      <c r="C104" s="88">
        <v>46165.049722222218</v>
      </c>
      <c r="D104" t="s">
        <v>105</v>
      </c>
      <c r="E104" t="s">
        <v>106</v>
      </c>
      <c r="F104" t="s">
        <v>1117</v>
      </c>
      <c r="G104" t="s">
        <v>1118</v>
      </c>
      <c r="H104" t="s">
        <v>1117</v>
      </c>
      <c r="I104" s="88">
        <v>46156.430960648147</v>
      </c>
      <c r="J104" t="s">
        <v>107</v>
      </c>
      <c r="K104" t="s">
        <v>108</v>
      </c>
      <c r="L104" t="s">
        <v>1119</v>
      </c>
      <c r="M104" s="88">
        <v>46157.595868055556</v>
      </c>
      <c r="N104" t="s">
        <v>637</v>
      </c>
      <c r="O104" t="s">
        <v>112</v>
      </c>
      <c r="P104" t="s">
        <v>111</v>
      </c>
      <c r="Q104" t="s">
        <v>929</v>
      </c>
      <c r="R104">
        <v>1</v>
      </c>
      <c r="S104" s="89">
        <v>9500</v>
      </c>
      <c r="T104" s="89">
        <v>0</v>
      </c>
      <c r="U104" s="89">
        <v>2090</v>
      </c>
      <c r="V104" s="89">
        <v>2090</v>
      </c>
      <c r="W104" s="89">
        <v>7410</v>
      </c>
    </row>
    <row r="105" spans="1:23" ht="13">
      <c r="A105" t="s">
        <v>1120</v>
      </c>
      <c r="B105" t="s">
        <v>1121</v>
      </c>
      <c r="C105" s="88">
        <v>46165.049722222218</v>
      </c>
      <c r="D105" t="s">
        <v>105</v>
      </c>
      <c r="E105" t="s">
        <v>106</v>
      </c>
      <c r="F105" t="s">
        <v>1122</v>
      </c>
      <c r="G105" t="s">
        <v>1123</v>
      </c>
      <c r="H105" t="s">
        <v>1122</v>
      </c>
      <c r="I105" s="88">
        <v>46156.430949074071</v>
      </c>
      <c r="J105" t="s">
        <v>107</v>
      </c>
      <c r="K105" t="s">
        <v>108</v>
      </c>
      <c r="L105" t="s">
        <v>1124</v>
      </c>
      <c r="M105" s="88">
        <v>46157.546539351853</v>
      </c>
      <c r="N105" t="s">
        <v>637</v>
      </c>
      <c r="O105" t="s">
        <v>112</v>
      </c>
      <c r="P105" t="s">
        <v>111</v>
      </c>
      <c r="Q105" t="s">
        <v>929</v>
      </c>
      <c r="R105">
        <v>2</v>
      </c>
      <c r="S105" s="89">
        <v>9500</v>
      </c>
      <c r="T105" s="89">
        <v>0</v>
      </c>
      <c r="U105" s="89">
        <v>4180</v>
      </c>
      <c r="V105" s="89">
        <v>4180</v>
      </c>
      <c r="W105" s="89">
        <v>14820</v>
      </c>
    </row>
    <row r="106" spans="1:23" ht="13">
      <c r="A106" t="s">
        <v>1125</v>
      </c>
      <c r="B106" t="s">
        <v>1126</v>
      </c>
      <c r="C106" s="88">
        <v>46165.049664351856</v>
      </c>
      <c r="D106" t="s">
        <v>105</v>
      </c>
      <c r="E106" t="s">
        <v>106</v>
      </c>
      <c r="F106" t="s">
        <v>1127</v>
      </c>
      <c r="G106" t="s">
        <v>1128</v>
      </c>
      <c r="H106" t="s">
        <v>1127</v>
      </c>
      <c r="I106" s="88">
        <v>46156.430960648147</v>
      </c>
      <c r="J106" t="s">
        <v>107</v>
      </c>
      <c r="K106" t="s">
        <v>108</v>
      </c>
      <c r="L106" t="s">
        <v>1129</v>
      </c>
      <c r="M106" s="88">
        <v>46157.463206018518</v>
      </c>
      <c r="N106" t="s">
        <v>637</v>
      </c>
      <c r="O106" t="s">
        <v>112</v>
      </c>
      <c r="P106" t="s">
        <v>111</v>
      </c>
      <c r="Q106" t="s">
        <v>929</v>
      </c>
      <c r="R106">
        <v>1</v>
      </c>
      <c r="S106" s="89">
        <v>9500</v>
      </c>
      <c r="T106" s="89">
        <v>0</v>
      </c>
      <c r="U106" s="89">
        <v>2090</v>
      </c>
      <c r="V106" s="89">
        <v>2090</v>
      </c>
      <c r="W106" s="89">
        <v>7410</v>
      </c>
    </row>
    <row r="107" spans="1:23" ht="13">
      <c r="A107" t="s">
        <v>1130</v>
      </c>
      <c r="B107" t="s">
        <v>1131</v>
      </c>
      <c r="C107" s="88">
        <v>46165.049664351856</v>
      </c>
      <c r="D107" t="s">
        <v>105</v>
      </c>
      <c r="E107" t="s">
        <v>106</v>
      </c>
      <c r="F107" t="s">
        <v>1132</v>
      </c>
      <c r="G107" t="s">
        <v>1133</v>
      </c>
      <c r="H107" t="s">
        <v>1134</v>
      </c>
      <c r="I107" s="88">
        <v>46156.430949074071</v>
      </c>
      <c r="J107" t="s">
        <v>107</v>
      </c>
      <c r="K107" t="s">
        <v>108</v>
      </c>
      <c r="L107" t="s">
        <v>1135</v>
      </c>
      <c r="M107" s="88">
        <v>46157.546539351853</v>
      </c>
      <c r="N107" t="s">
        <v>637</v>
      </c>
      <c r="O107" t="s">
        <v>112</v>
      </c>
      <c r="P107" t="s">
        <v>111</v>
      </c>
      <c r="Q107" t="s">
        <v>929</v>
      </c>
      <c r="R107">
        <v>2</v>
      </c>
      <c r="S107" s="89">
        <v>9500</v>
      </c>
      <c r="T107" s="89">
        <v>0</v>
      </c>
      <c r="U107" s="89">
        <v>4180</v>
      </c>
      <c r="V107" s="89">
        <v>4180</v>
      </c>
      <c r="W107" s="89">
        <v>14820</v>
      </c>
    </row>
    <row r="108" spans="1:23" ht="13">
      <c r="A108" t="s">
        <v>1136</v>
      </c>
      <c r="B108" t="s">
        <v>1137</v>
      </c>
      <c r="C108" s="88">
        <v>46165.049664351856</v>
      </c>
      <c r="D108" t="s">
        <v>105</v>
      </c>
      <c r="E108" t="s">
        <v>106</v>
      </c>
      <c r="F108" t="s">
        <v>1138</v>
      </c>
      <c r="G108" t="s">
        <v>1139</v>
      </c>
      <c r="H108" t="s">
        <v>1138</v>
      </c>
      <c r="I108" s="88">
        <v>46156.430949074071</v>
      </c>
      <c r="J108" t="s">
        <v>107</v>
      </c>
      <c r="K108" t="s">
        <v>108</v>
      </c>
      <c r="L108" t="s">
        <v>1140</v>
      </c>
      <c r="M108" s="88">
        <v>46157.463171296295</v>
      </c>
      <c r="N108" t="s">
        <v>637</v>
      </c>
      <c r="O108" t="s">
        <v>112</v>
      </c>
      <c r="P108" t="s">
        <v>111</v>
      </c>
      <c r="Q108" t="s">
        <v>929</v>
      </c>
      <c r="R108">
        <v>5</v>
      </c>
      <c r="S108" s="89">
        <v>9500</v>
      </c>
      <c r="T108" s="89">
        <v>0</v>
      </c>
      <c r="U108" s="89">
        <v>10450</v>
      </c>
      <c r="V108" s="89">
        <v>10450</v>
      </c>
      <c r="W108" s="89">
        <v>37050</v>
      </c>
    </row>
    <row r="109" spans="1:23" ht="13">
      <c r="A109" t="s">
        <v>1141</v>
      </c>
      <c r="B109" t="s">
        <v>1142</v>
      </c>
      <c r="C109" s="88">
        <v>46165.049629629633</v>
      </c>
      <c r="D109" t="s">
        <v>105</v>
      </c>
      <c r="E109" t="s">
        <v>106</v>
      </c>
      <c r="F109" t="s">
        <v>1143</v>
      </c>
      <c r="G109" t="s">
        <v>1144</v>
      </c>
      <c r="H109" t="s">
        <v>1143</v>
      </c>
      <c r="I109" s="88">
        <v>46156.430949074071</v>
      </c>
      <c r="J109" t="s">
        <v>107</v>
      </c>
      <c r="K109" t="s">
        <v>108</v>
      </c>
      <c r="L109" t="s">
        <v>1145</v>
      </c>
      <c r="M109" s="88">
        <v>46157.466782407406</v>
      </c>
      <c r="N109" t="s">
        <v>637</v>
      </c>
      <c r="O109" t="s">
        <v>112</v>
      </c>
      <c r="P109" t="s">
        <v>111</v>
      </c>
      <c r="Q109" t="s">
        <v>929</v>
      </c>
      <c r="R109">
        <v>2</v>
      </c>
      <c r="S109" s="89">
        <v>9500</v>
      </c>
      <c r="T109" s="89">
        <v>0</v>
      </c>
      <c r="U109" s="89">
        <v>4180</v>
      </c>
      <c r="V109" s="89">
        <v>4180</v>
      </c>
      <c r="W109" s="89">
        <v>14820</v>
      </c>
    </row>
    <row r="110" spans="1:23" ht="13">
      <c r="A110" t="s">
        <v>1146</v>
      </c>
      <c r="B110" t="s">
        <v>1147</v>
      </c>
      <c r="C110" s="88">
        <v>46165.049629629633</v>
      </c>
      <c r="D110" t="s">
        <v>105</v>
      </c>
      <c r="E110" t="s">
        <v>106</v>
      </c>
      <c r="F110" t="s">
        <v>1148</v>
      </c>
      <c r="G110" t="s">
        <v>1149</v>
      </c>
      <c r="H110" t="s">
        <v>1148</v>
      </c>
      <c r="I110" s="88">
        <v>46156.430949074071</v>
      </c>
      <c r="J110" t="s">
        <v>107</v>
      </c>
      <c r="K110" t="s">
        <v>108</v>
      </c>
      <c r="L110" t="s">
        <v>1150</v>
      </c>
      <c r="M110" s="88">
        <v>46157.546539351853</v>
      </c>
      <c r="N110" t="s">
        <v>637</v>
      </c>
      <c r="O110" t="s">
        <v>112</v>
      </c>
      <c r="P110" t="s">
        <v>111</v>
      </c>
      <c r="Q110" t="s">
        <v>929</v>
      </c>
      <c r="R110">
        <v>3</v>
      </c>
      <c r="S110" s="89">
        <v>9500</v>
      </c>
      <c r="T110" s="89">
        <v>0</v>
      </c>
      <c r="U110" s="89">
        <v>6370</v>
      </c>
      <c r="V110" s="89">
        <v>6370</v>
      </c>
      <c r="W110" s="89">
        <v>22130</v>
      </c>
    </row>
    <row r="111" spans="1:23" ht="13">
      <c r="A111" t="s">
        <v>1151</v>
      </c>
      <c r="B111" t="s">
        <v>1152</v>
      </c>
      <c r="C111" s="88">
        <v>46165.04959490741</v>
      </c>
      <c r="D111" t="s">
        <v>105</v>
      </c>
      <c r="E111" t="s">
        <v>106</v>
      </c>
      <c r="F111" t="s">
        <v>1153</v>
      </c>
      <c r="G111" t="s">
        <v>1154</v>
      </c>
      <c r="H111" t="s">
        <v>1153</v>
      </c>
      <c r="I111" s="88">
        <v>46156.430960648147</v>
      </c>
      <c r="J111" t="s">
        <v>107</v>
      </c>
      <c r="K111" t="s">
        <v>108</v>
      </c>
      <c r="L111" t="s">
        <v>1155</v>
      </c>
      <c r="M111" s="88">
        <v>46157.548611111109</v>
      </c>
      <c r="N111" t="s">
        <v>637</v>
      </c>
      <c r="O111" t="s">
        <v>112</v>
      </c>
      <c r="P111" t="s">
        <v>111</v>
      </c>
      <c r="Q111" t="s">
        <v>929</v>
      </c>
      <c r="R111">
        <v>2</v>
      </c>
      <c r="S111" s="89">
        <v>9500</v>
      </c>
      <c r="T111" s="89">
        <v>0</v>
      </c>
      <c r="U111" s="89">
        <v>4180</v>
      </c>
      <c r="V111" s="89">
        <v>4180</v>
      </c>
      <c r="W111" s="89">
        <v>14820</v>
      </c>
    </row>
    <row r="112" spans="1:23" ht="13">
      <c r="A112" t="s">
        <v>1156</v>
      </c>
      <c r="B112" t="s">
        <v>1157</v>
      </c>
      <c r="C112" s="88">
        <v>46165.04959490741</v>
      </c>
      <c r="D112" t="s">
        <v>105</v>
      </c>
      <c r="E112" t="s">
        <v>106</v>
      </c>
      <c r="F112" t="s">
        <v>1158</v>
      </c>
      <c r="G112" t="s">
        <v>1159</v>
      </c>
      <c r="H112" t="s">
        <v>1158</v>
      </c>
      <c r="I112" s="88">
        <v>46156.430949074071</v>
      </c>
      <c r="J112" t="s">
        <v>107</v>
      </c>
      <c r="K112" t="s">
        <v>108</v>
      </c>
      <c r="L112" t="s">
        <v>1160</v>
      </c>
      <c r="M112" s="88">
        <v>46157.550856481481</v>
      </c>
      <c r="N112" t="s">
        <v>637</v>
      </c>
      <c r="O112" t="s">
        <v>112</v>
      </c>
      <c r="P112" t="s">
        <v>111</v>
      </c>
      <c r="Q112" t="s">
        <v>929</v>
      </c>
      <c r="R112">
        <v>3</v>
      </c>
      <c r="S112" s="89">
        <v>9500</v>
      </c>
      <c r="T112" s="89">
        <v>0</v>
      </c>
      <c r="U112" s="89">
        <v>6270</v>
      </c>
      <c r="V112" s="89">
        <v>6270</v>
      </c>
      <c r="W112" s="89">
        <v>22230</v>
      </c>
    </row>
    <row r="113" spans="1:23" ht="13">
      <c r="A113" t="s">
        <v>1161</v>
      </c>
      <c r="B113" t="s">
        <v>1162</v>
      </c>
      <c r="C113" s="88">
        <v>46165.049513888887</v>
      </c>
      <c r="D113" t="s">
        <v>105</v>
      </c>
      <c r="E113" t="s">
        <v>106</v>
      </c>
      <c r="F113" t="s">
        <v>418</v>
      </c>
      <c r="G113" t="s">
        <v>1163</v>
      </c>
      <c r="H113" t="s">
        <v>418</v>
      </c>
      <c r="I113" s="88">
        <v>46156.430960648147</v>
      </c>
      <c r="J113" t="s">
        <v>107</v>
      </c>
      <c r="K113" t="s">
        <v>108</v>
      </c>
      <c r="L113" t="s">
        <v>1164</v>
      </c>
      <c r="M113" s="88">
        <v>46157.643229166672</v>
      </c>
      <c r="N113" t="s">
        <v>637</v>
      </c>
      <c r="O113" t="s">
        <v>112</v>
      </c>
      <c r="P113" t="s">
        <v>111</v>
      </c>
      <c r="Q113" t="s">
        <v>929</v>
      </c>
      <c r="R113">
        <v>1</v>
      </c>
      <c r="S113" s="89">
        <v>9500</v>
      </c>
      <c r="T113" s="89">
        <v>0</v>
      </c>
      <c r="U113" s="89">
        <v>2190</v>
      </c>
      <c r="V113" s="89">
        <v>2190</v>
      </c>
      <c r="W113" s="89">
        <v>7310</v>
      </c>
    </row>
    <row r="114" spans="1:23" ht="13">
      <c r="A114" t="s">
        <v>1165</v>
      </c>
      <c r="B114" t="s">
        <v>1166</v>
      </c>
      <c r="C114" s="88">
        <v>46165.049432870372</v>
      </c>
      <c r="D114" t="s">
        <v>105</v>
      </c>
      <c r="E114" t="s">
        <v>106</v>
      </c>
      <c r="F114" t="s">
        <v>1167</v>
      </c>
      <c r="G114" t="s">
        <v>1168</v>
      </c>
      <c r="H114" t="s">
        <v>1167</v>
      </c>
      <c r="I114" s="88">
        <v>46156.430949074071</v>
      </c>
      <c r="J114" t="s">
        <v>107</v>
      </c>
      <c r="K114" t="s">
        <v>108</v>
      </c>
      <c r="L114" t="s">
        <v>1169</v>
      </c>
      <c r="M114" s="88">
        <v>46157.678113425922</v>
      </c>
      <c r="N114" t="s">
        <v>637</v>
      </c>
      <c r="O114" t="s">
        <v>112</v>
      </c>
      <c r="P114" t="s">
        <v>111</v>
      </c>
      <c r="Q114" t="s">
        <v>929</v>
      </c>
      <c r="R114">
        <v>2</v>
      </c>
      <c r="S114" s="89">
        <v>9500</v>
      </c>
      <c r="T114" s="89">
        <v>0</v>
      </c>
      <c r="U114" s="89">
        <v>4180</v>
      </c>
      <c r="V114" s="89">
        <v>4180</v>
      </c>
      <c r="W114" s="89">
        <v>14820</v>
      </c>
    </row>
    <row r="115" spans="1:23" ht="13">
      <c r="A115" t="s">
        <v>1170</v>
      </c>
      <c r="B115" t="s">
        <v>1171</v>
      </c>
      <c r="C115" s="88">
        <v>46165.049432870372</v>
      </c>
      <c r="D115" t="s">
        <v>105</v>
      </c>
      <c r="E115" t="s">
        <v>106</v>
      </c>
      <c r="F115" t="s">
        <v>1172</v>
      </c>
      <c r="G115" t="s">
        <v>1173</v>
      </c>
      <c r="H115" t="s">
        <v>1172</v>
      </c>
      <c r="I115" s="88">
        <v>46156.430949074071</v>
      </c>
      <c r="J115" t="s">
        <v>107</v>
      </c>
      <c r="K115" t="s">
        <v>108</v>
      </c>
      <c r="L115" t="s">
        <v>1174</v>
      </c>
      <c r="M115" s="88">
        <v>46157.550856481481</v>
      </c>
      <c r="N115" t="s">
        <v>637</v>
      </c>
      <c r="O115" t="s">
        <v>112</v>
      </c>
      <c r="P115" t="s">
        <v>111</v>
      </c>
      <c r="Q115" t="s">
        <v>929</v>
      </c>
      <c r="R115">
        <v>6</v>
      </c>
      <c r="S115" s="89">
        <v>9500</v>
      </c>
      <c r="T115" s="89">
        <v>0</v>
      </c>
      <c r="U115" s="89">
        <v>19980</v>
      </c>
      <c r="V115" s="89">
        <v>19980</v>
      </c>
      <c r="W115" s="89">
        <v>37020</v>
      </c>
    </row>
    <row r="116" spans="1:23" ht="13">
      <c r="A116" t="s">
        <v>1175</v>
      </c>
      <c r="B116" t="s">
        <v>1176</v>
      </c>
      <c r="C116" s="88">
        <v>46165.049386574072</v>
      </c>
      <c r="D116" t="s">
        <v>105</v>
      </c>
      <c r="E116" t="s">
        <v>106</v>
      </c>
      <c r="F116" t="s">
        <v>1177</v>
      </c>
      <c r="G116" t="s">
        <v>1178</v>
      </c>
      <c r="H116" t="s">
        <v>1177</v>
      </c>
      <c r="I116" s="88">
        <v>46156.430960648147</v>
      </c>
      <c r="J116" t="s">
        <v>107</v>
      </c>
      <c r="K116" t="s">
        <v>108</v>
      </c>
      <c r="L116" t="s">
        <v>1179</v>
      </c>
      <c r="M116" s="88">
        <v>46157.673009259262</v>
      </c>
      <c r="N116" t="s">
        <v>637</v>
      </c>
      <c r="O116" t="s">
        <v>112</v>
      </c>
      <c r="P116" t="s">
        <v>111</v>
      </c>
      <c r="Q116" t="s">
        <v>929</v>
      </c>
      <c r="R116">
        <v>2</v>
      </c>
      <c r="S116" s="89">
        <v>9500</v>
      </c>
      <c r="T116" s="89">
        <v>0</v>
      </c>
      <c r="U116" s="89">
        <v>4180</v>
      </c>
      <c r="V116" s="89">
        <v>4180</v>
      </c>
      <c r="W116" s="89">
        <v>14820</v>
      </c>
    </row>
    <row r="117" spans="1:23" ht="13">
      <c r="A117" t="s">
        <v>1180</v>
      </c>
      <c r="B117" t="s">
        <v>1181</v>
      </c>
      <c r="C117" s="88">
        <v>46165.049386574072</v>
      </c>
      <c r="D117" t="s">
        <v>105</v>
      </c>
      <c r="E117" t="s">
        <v>106</v>
      </c>
      <c r="F117" t="s">
        <v>1182</v>
      </c>
      <c r="G117" t="s">
        <v>1183</v>
      </c>
      <c r="H117" t="s">
        <v>1182</v>
      </c>
      <c r="I117" s="88">
        <v>46156.430960648147</v>
      </c>
      <c r="J117" t="s">
        <v>107</v>
      </c>
      <c r="K117" t="s">
        <v>108</v>
      </c>
      <c r="L117" t="s">
        <v>1184</v>
      </c>
      <c r="M117" s="88">
        <v>46157.548622685186</v>
      </c>
      <c r="N117" t="s">
        <v>637</v>
      </c>
      <c r="O117" t="s">
        <v>112</v>
      </c>
      <c r="P117" t="s">
        <v>111</v>
      </c>
      <c r="Q117" t="s">
        <v>929</v>
      </c>
      <c r="R117">
        <v>3</v>
      </c>
      <c r="S117" s="89">
        <v>9500</v>
      </c>
      <c r="T117" s="89">
        <v>0</v>
      </c>
      <c r="U117" s="89">
        <v>6270</v>
      </c>
      <c r="V117" s="89">
        <v>6270</v>
      </c>
      <c r="W117" s="89">
        <v>22230</v>
      </c>
    </row>
    <row r="118" spans="1:23" ht="13">
      <c r="A118" t="s">
        <v>1185</v>
      </c>
      <c r="B118" t="s">
        <v>1186</v>
      </c>
      <c r="C118" s="88">
        <v>46165.049375000002</v>
      </c>
      <c r="D118" t="s">
        <v>105</v>
      </c>
      <c r="E118" t="s">
        <v>106</v>
      </c>
      <c r="F118" t="s">
        <v>1187</v>
      </c>
      <c r="G118" t="s">
        <v>1188</v>
      </c>
      <c r="H118" t="s">
        <v>1187</v>
      </c>
      <c r="I118" s="88">
        <v>46156.430949074071</v>
      </c>
      <c r="J118" t="s">
        <v>107</v>
      </c>
      <c r="K118" t="s">
        <v>108</v>
      </c>
      <c r="L118" t="s">
        <v>1189</v>
      </c>
      <c r="M118" s="88">
        <v>46157.671539351853</v>
      </c>
      <c r="N118" t="s">
        <v>637</v>
      </c>
      <c r="O118" t="s">
        <v>112</v>
      </c>
      <c r="P118" t="s">
        <v>111</v>
      </c>
      <c r="Q118" t="s">
        <v>929</v>
      </c>
      <c r="R118">
        <v>8</v>
      </c>
      <c r="S118" s="89">
        <v>9500</v>
      </c>
      <c r="T118" s="89">
        <v>0</v>
      </c>
      <c r="U118" s="89">
        <v>26640</v>
      </c>
      <c r="V118" s="89">
        <v>26640</v>
      </c>
      <c r="W118" s="89">
        <v>49360</v>
      </c>
    </row>
    <row r="119" spans="1:23" ht="13">
      <c r="A119" t="s">
        <v>1190</v>
      </c>
      <c r="B119" t="s">
        <v>1191</v>
      </c>
      <c r="C119" s="88">
        <v>46165.049375000002</v>
      </c>
      <c r="D119" t="s">
        <v>105</v>
      </c>
      <c r="E119" t="s">
        <v>106</v>
      </c>
      <c r="F119" t="s">
        <v>1192</v>
      </c>
      <c r="G119" t="s">
        <v>245</v>
      </c>
      <c r="H119" t="s">
        <v>1192</v>
      </c>
      <c r="I119" s="88">
        <v>46156.430949074071</v>
      </c>
      <c r="J119" t="s">
        <v>107</v>
      </c>
      <c r="K119" t="s">
        <v>108</v>
      </c>
      <c r="L119" t="s">
        <v>1193</v>
      </c>
      <c r="M119" s="88">
        <v>46157.67086805556</v>
      </c>
      <c r="N119" t="s">
        <v>637</v>
      </c>
      <c r="O119" t="s">
        <v>112</v>
      </c>
      <c r="P119" t="s">
        <v>111</v>
      </c>
      <c r="Q119" t="s">
        <v>929</v>
      </c>
      <c r="R119">
        <v>5</v>
      </c>
      <c r="S119" s="89">
        <v>9500</v>
      </c>
      <c r="T119" s="89">
        <v>0</v>
      </c>
      <c r="U119" s="89">
        <v>10450</v>
      </c>
      <c r="V119" s="89">
        <v>10450</v>
      </c>
      <c r="W119" s="89">
        <v>37050</v>
      </c>
    </row>
    <row r="120" spans="1:23" ht="13">
      <c r="A120" t="s">
        <v>1194</v>
      </c>
      <c r="B120" t="s">
        <v>1195</v>
      </c>
      <c r="C120" s="88">
        <v>46165.049363425926</v>
      </c>
      <c r="D120" t="s">
        <v>105</v>
      </c>
      <c r="E120" t="s">
        <v>106</v>
      </c>
      <c r="F120" t="s">
        <v>1196</v>
      </c>
      <c r="G120" t="s">
        <v>1197</v>
      </c>
      <c r="H120" t="s">
        <v>1196</v>
      </c>
      <c r="I120" s="88">
        <v>46156.430960648147</v>
      </c>
      <c r="J120" t="s">
        <v>107</v>
      </c>
      <c r="K120" t="s">
        <v>108</v>
      </c>
      <c r="L120" t="s">
        <v>1198</v>
      </c>
      <c r="M120" s="88">
        <v>46157.463206018518</v>
      </c>
      <c r="N120" t="s">
        <v>637</v>
      </c>
      <c r="O120" t="s">
        <v>112</v>
      </c>
      <c r="P120" t="s">
        <v>111</v>
      </c>
      <c r="Q120" t="s">
        <v>929</v>
      </c>
      <c r="R120">
        <v>2</v>
      </c>
      <c r="S120" s="89">
        <v>9500</v>
      </c>
      <c r="T120" s="89">
        <v>0</v>
      </c>
      <c r="U120" s="89">
        <v>4180</v>
      </c>
      <c r="V120" s="89">
        <v>4180</v>
      </c>
      <c r="W120" s="89">
        <v>14820</v>
      </c>
    </row>
    <row r="121" spans="1:23" ht="13">
      <c r="A121" t="s">
        <v>1199</v>
      </c>
      <c r="B121" t="s">
        <v>1200</v>
      </c>
      <c r="C121" s="88">
        <v>46165.049363425926</v>
      </c>
      <c r="D121" t="s">
        <v>105</v>
      </c>
      <c r="E121" t="s">
        <v>106</v>
      </c>
      <c r="F121" t="s">
        <v>1201</v>
      </c>
      <c r="G121" t="s">
        <v>1202</v>
      </c>
      <c r="H121" t="s">
        <v>1201</v>
      </c>
      <c r="I121" s="88">
        <v>46156.430960648147</v>
      </c>
      <c r="J121" t="s">
        <v>107</v>
      </c>
      <c r="K121" t="s">
        <v>108</v>
      </c>
      <c r="L121" t="s">
        <v>1203</v>
      </c>
      <c r="M121" s="88">
        <v>46157.466782407406</v>
      </c>
      <c r="N121" t="s">
        <v>637</v>
      </c>
      <c r="O121" t="s">
        <v>112</v>
      </c>
      <c r="P121" t="s">
        <v>111</v>
      </c>
      <c r="Q121" t="s">
        <v>929</v>
      </c>
      <c r="R121">
        <v>6</v>
      </c>
      <c r="S121" s="89">
        <v>9500</v>
      </c>
      <c r="T121" s="89">
        <v>0</v>
      </c>
      <c r="U121" s="89">
        <v>19980</v>
      </c>
      <c r="V121" s="89">
        <v>19980</v>
      </c>
      <c r="W121" s="89">
        <v>37020</v>
      </c>
    </row>
    <row r="122" spans="1:23" ht="13">
      <c r="A122" t="s">
        <v>1204</v>
      </c>
      <c r="B122" t="s">
        <v>1205</v>
      </c>
      <c r="C122" s="88">
        <v>46164.890428240746</v>
      </c>
      <c r="D122" t="s">
        <v>105</v>
      </c>
      <c r="E122" t="s">
        <v>106</v>
      </c>
      <c r="F122" t="s">
        <v>1206</v>
      </c>
      <c r="G122" t="s">
        <v>1207</v>
      </c>
      <c r="H122" t="s">
        <v>1206</v>
      </c>
      <c r="I122" s="88">
        <v>46162.45888888889</v>
      </c>
      <c r="J122" t="s">
        <v>107</v>
      </c>
      <c r="K122" t="s">
        <v>108</v>
      </c>
      <c r="L122" t="s">
        <v>1208</v>
      </c>
      <c r="M122" s="88">
        <v>46163.466377314813</v>
      </c>
      <c r="N122" t="s">
        <v>637</v>
      </c>
      <c r="O122" t="s">
        <v>112</v>
      </c>
      <c r="P122" t="s">
        <v>111</v>
      </c>
      <c r="Q122" t="s">
        <v>638</v>
      </c>
      <c r="R122">
        <v>6</v>
      </c>
      <c r="S122" s="89">
        <v>9500</v>
      </c>
      <c r="T122" s="89">
        <v>0</v>
      </c>
      <c r="U122" s="89">
        <v>19980</v>
      </c>
      <c r="V122" s="89">
        <v>19980</v>
      </c>
      <c r="W122" s="89">
        <v>37020</v>
      </c>
    </row>
    <row r="123" spans="1:23" ht="13">
      <c r="A123" t="s">
        <v>1209</v>
      </c>
      <c r="B123" t="s">
        <v>1210</v>
      </c>
      <c r="C123" s="88">
        <v>46164.801168981481</v>
      </c>
      <c r="D123" t="s">
        <v>105</v>
      </c>
      <c r="E123" t="s">
        <v>106</v>
      </c>
      <c r="F123" t="s">
        <v>190</v>
      </c>
      <c r="G123" t="s">
        <v>1211</v>
      </c>
      <c r="H123" t="s">
        <v>190</v>
      </c>
      <c r="I123" s="88">
        <v>46156.430949074071</v>
      </c>
      <c r="J123" t="s">
        <v>107</v>
      </c>
      <c r="K123" t="s">
        <v>108</v>
      </c>
      <c r="L123" t="s">
        <v>1212</v>
      </c>
      <c r="M123" s="88">
        <v>46157.550844907411</v>
      </c>
      <c r="N123" t="s">
        <v>637</v>
      </c>
      <c r="O123" t="s">
        <v>112</v>
      </c>
      <c r="P123" t="s">
        <v>111</v>
      </c>
      <c r="Q123" t="s">
        <v>929</v>
      </c>
      <c r="R123">
        <v>14</v>
      </c>
      <c r="S123" s="89">
        <v>9500</v>
      </c>
      <c r="T123" s="89">
        <v>0</v>
      </c>
      <c r="U123" s="89">
        <v>46620</v>
      </c>
      <c r="V123" s="89">
        <v>46620</v>
      </c>
      <c r="W123" s="89">
        <v>86380</v>
      </c>
    </row>
    <row r="124" spans="1:23" ht="13">
      <c r="A124" t="s">
        <v>1213</v>
      </c>
      <c r="B124" t="s">
        <v>1214</v>
      </c>
      <c r="C124" s="88">
        <v>46164.673842592594</v>
      </c>
      <c r="D124" t="s">
        <v>105</v>
      </c>
      <c r="E124" t="s">
        <v>106</v>
      </c>
      <c r="F124" t="s">
        <v>1215</v>
      </c>
      <c r="G124" t="s">
        <v>1216</v>
      </c>
      <c r="H124" t="s">
        <v>1215</v>
      </c>
      <c r="I124" s="88">
        <v>46160.410208333335</v>
      </c>
      <c r="J124" t="s">
        <v>107</v>
      </c>
      <c r="K124" t="s">
        <v>108</v>
      </c>
      <c r="L124" t="s">
        <v>1217</v>
      </c>
      <c r="M124" s="88">
        <v>46161.671585648146</v>
      </c>
      <c r="N124" t="s">
        <v>637</v>
      </c>
      <c r="O124" t="s">
        <v>112</v>
      </c>
      <c r="P124" t="s">
        <v>111</v>
      </c>
      <c r="Q124" t="s">
        <v>638</v>
      </c>
      <c r="R124">
        <v>6</v>
      </c>
      <c r="S124" s="89">
        <v>9500</v>
      </c>
      <c r="T124" s="89">
        <v>0</v>
      </c>
      <c r="U124" s="89">
        <v>19980</v>
      </c>
      <c r="V124" s="89">
        <v>19980</v>
      </c>
      <c r="W124" s="89">
        <v>37020</v>
      </c>
    </row>
    <row r="125" spans="1:23" ht="13">
      <c r="A125" t="s">
        <v>1218</v>
      </c>
      <c r="B125" t="s">
        <v>1219</v>
      </c>
      <c r="C125" s="88">
        <v>46164.484247685185</v>
      </c>
      <c r="D125" t="s">
        <v>105</v>
      </c>
      <c r="E125" t="s">
        <v>106</v>
      </c>
      <c r="F125" t="s">
        <v>514</v>
      </c>
      <c r="G125" t="s">
        <v>1220</v>
      </c>
      <c r="H125" t="s">
        <v>514</v>
      </c>
      <c r="I125" s="88">
        <v>46160.410208333335</v>
      </c>
      <c r="J125" t="s">
        <v>107</v>
      </c>
      <c r="K125" t="s">
        <v>108</v>
      </c>
      <c r="L125" t="s">
        <v>1221</v>
      </c>
      <c r="M125" s="88">
        <v>46161.547939814816</v>
      </c>
      <c r="N125" t="s">
        <v>637</v>
      </c>
      <c r="O125" t="s">
        <v>112</v>
      </c>
      <c r="P125" t="s">
        <v>111</v>
      </c>
      <c r="Q125" t="s">
        <v>638</v>
      </c>
      <c r="R125">
        <v>6</v>
      </c>
      <c r="S125" s="89">
        <v>9500</v>
      </c>
      <c r="T125" s="89">
        <v>0</v>
      </c>
      <c r="U125" s="89">
        <v>19980</v>
      </c>
      <c r="V125" s="89">
        <v>19980</v>
      </c>
      <c r="W125" s="89">
        <v>37020</v>
      </c>
    </row>
    <row r="126" spans="1:23" ht="13">
      <c r="A126" t="s">
        <v>1222</v>
      </c>
      <c r="B126" t="s">
        <v>1223</v>
      </c>
      <c r="C126" s="88">
        <v>46164.069120370375</v>
      </c>
      <c r="D126" t="s">
        <v>105</v>
      </c>
      <c r="E126" t="s">
        <v>106</v>
      </c>
      <c r="F126" t="s">
        <v>1224</v>
      </c>
      <c r="G126" t="s">
        <v>1225</v>
      </c>
      <c r="H126" t="s">
        <v>1224</v>
      </c>
      <c r="I126" s="88">
        <v>46155.528182870374</v>
      </c>
      <c r="J126" t="s">
        <v>107</v>
      </c>
      <c r="K126" t="s">
        <v>108</v>
      </c>
      <c r="L126" t="s">
        <v>1226</v>
      </c>
      <c r="M126" s="88">
        <v>46156.547939814816</v>
      </c>
      <c r="N126" t="s">
        <v>788</v>
      </c>
      <c r="O126" t="s">
        <v>789</v>
      </c>
      <c r="P126" t="s">
        <v>111</v>
      </c>
      <c r="Q126" t="s">
        <v>790</v>
      </c>
      <c r="R126">
        <v>2</v>
      </c>
      <c r="S126" s="89">
        <v>27000</v>
      </c>
      <c r="T126" s="89">
        <v>0</v>
      </c>
      <c r="U126" s="89">
        <v>11880</v>
      </c>
      <c r="V126" s="89">
        <v>11880</v>
      </c>
      <c r="W126" s="89">
        <v>42120</v>
      </c>
    </row>
    <row r="127" spans="1:23" ht="13">
      <c r="A127" t="s">
        <v>1227</v>
      </c>
      <c r="B127" t="s">
        <v>1228</v>
      </c>
      <c r="C127" s="88">
        <v>46163.927719907406</v>
      </c>
      <c r="D127" t="s">
        <v>105</v>
      </c>
      <c r="E127" t="s">
        <v>106</v>
      </c>
      <c r="F127" t="s">
        <v>1229</v>
      </c>
      <c r="G127" t="s">
        <v>1230</v>
      </c>
      <c r="H127" t="s">
        <v>1229</v>
      </c>
      <c r="I127" s="88">
        <v>46156.430960648147</v>
      </c>
      <c r="J127" t="s">
        <v>107</v>
      </c>
      <c r="K127" t="s">
        <v>108</v>
      </c>
      <c r="L127" t="s">
        <v>1231</v>
      </c>
      <c r="M127" s="88">
        <v>46157.754861111112</v>
      </c>
      <c r="N127" t="s">
        <v>637</v>
      </c>
      <c r="O127" t="s">
        <v>112</v>
      </c>
      <c r="P127" t="s">
        <v>111</v>
      </c>
      <c r="Q127" t="s">
        <v>929</v>
      </c>
      <c r="R127">
        <v>4</v>
      </c>
      <c r="S127" s="89">
        <v>9500</v>
      </c>
      <c r="T127" s="89">
        <v>0</v>
      </c>
      <c r="U127" s="89">
        <v>8360</v>
      </c>
      <c r="V127" s="89">
        <v>8360</v>
      </c>
      <c r="W127" s="89">
        <v>29640</v>
      </c>
    </row>
    <row r="128" spans="1:23" ht="13">
      <c r="A128" t="s">
        <v>1232</v>
      </c>
      <c r="B128" t="s">
        <v>1233</v>
      </c>
      <c r="C128" s="88">
        <v>46163.864444444444</v>
      </c>
      <c r="D128" t="s">
        <v>105</v>
      </c>
      <c r="E128" t="s">
        <v>106</v>
      </c>
      <c r="F128" t="s">
        <v>1234</v>
      </c>
      <c r="G128" t="s">
        <v>1235</v>
      </c>
      <c r="H128" t="s">
        <v>1234</v>
      </c>
      <c r="I128" s="88">
        <v>46162.45888888889</v>
      </c>
      <c r="J128" t="s">
        <v>107</v>
      </c>
      <c r="K128" t="s">
        <v>108</v>
      </c>
      <c r="L128" t="s">
        <v>1236</v>
      </c>
      <c r="M128" s="88">
        <v>46163.681932870371</v>
      </c>
      <c r="N128" t="s">
        <v>637</v>
      </c>
      <c r="O128" t="s">
        <v>112</v>
      </c>
      <c r="P128" t="s">
        <v>111</v>
      </c>
      <c r="Q128" t="s">
        <v>638</v>
      </c>
      <c r="R128">
        <v>4</v>
      </c>
      <c r="S128" s="89">
        <v>9500</v>
      </c>
      <c r="T128" s="89">
        <v>0</v>
      </c>
      <c r="U128" s="89">
        <v>8360</v>
      </c>
      <c r="V128" s="89">
        <v>8360</v>
      </c>
      <c r="W128" s="89">
        <v>29640</v>
      </c>
    </row>
    <row r="129" spans="1:23" ht="13">
      <c r="A129" t="s">
        <v>1237</v>
      </c>
      <c r="B129" t="s">
        <v>1238</v>
      </c>
      <c r="C129" s="88">
        <v>46163.864224537036</v>
      </c>
      <c r="D129" t="s">
        <v>105</v>
      </c>
      <c r="E129" t="s">
        <v>106</v>
      </c>
      <c r="F129" t="s">
        <v>1004</v>
      </c>
      <c r="G129" t="s">
        <v>1005</v>
      </c>
      <c r="H129" t="s">
        <v>1004</v>
      </c>
      <c r="I129" s="88">
        <v>46160.403287037036</v>
      </c>
      <c r="J129" t="s">
        <v>107</v>
      </c>
      <c r="K129" t="s">
        <v>108</v>
      </c>
      <c r="L129" t="s">
        <v>1239</v>
      </c>
      <c r="M129" s="88">
        <v>46161.685555555552</v>
      </c>
      <c r="N129" t="s">
        <v>637</v>
      </c>
      <c r="O129" t="s">
        <v>112</v>
      </c>
      <c r="P129" t="s">
        <v>111</v>
      </c>
      <c r="Q129" t="s">
        <v>638</v>
      </c>
      <c r="R129">
        <v>1</v>
      </c>
      <c r="S129" s="89">
        <v>9500</v>
      </c>
      <c r="T129" s="89">
        <v>0</v>
      </c>
      <c r="U129" s="89">
        <v>2090</v>
      </c>
      <c r="V129" s="89">
        <v>2090</v>
      </c>
      <c r="W129" s="89">
        <v>7410</v>
      </c>
    </row>
    <row r="130" spans="1:23" ht="13">
      <c r="A130" t="s">
        <v>1240</v>
      </c>
      <c r="B130" t="s">
        <v>1241</v>
      </c>
      <c r="C130" s="88">
        <v>46163.652129629627</v>
      </c>
      <c r="D130" t="s">
        <v>105</v>
      </c>
      <c r="E130" t="s">
        <v>106</v>
      </c>
      <c r="F130" t="s">
        <v>1242</v>
      </c>
      <c r="G130" t="s">
        <v>1243</v>
      </c>
      <c r="H130" t="s">
        <v>1242</v>
      </c>
      <c r="I130" s="88">
        <v>46161.396319444444</v>
      </c>
      <c r="J130" t="s">
        <v>107</v>
      </c>
      <c r="K130" t="s">
        <v>108</v>
      </c>
      <c r="L130" t="s">
        <v>1244</v>
      </c>
      <c r="M130" s="88">
        <v>46162.541550925926</v>
      </c>
      <c r="N130" t="s">
        <v>637</v>
      </c>
      <c r="O130" t="s">
        <v>112</v>
      </c>
      <c r="P130" t="s">
        <v>111</v>
      </c>
      <c r="Q130" t="s">
        <v>638</v>
      </c>
      <c r="R130">
        <v>2</v>
      </c>
      <c r="S130" s="89">
        <v>9500</v>
      </c>
      <c r="T130" s="89">
        <v>0</v>
      </c>
      <c r="U130" s="89">
        <v>4180</v>
      </c>
      <c r="V130" s="89">
        <v>4180</v>
      </c>
      <c r="W130" s="89">
        <v>14820</v>
      </c>
    </row>
    <row r="131" spans="1:23" ht="13">
      <c r="A131" t="s">
        <v>1245</v>
      </c>
      <c r="B131" t="s">
        <v>1246</v>
      </c>
      <c r="C131" s="88">
        <v>46163.627835648149</v>
      </c>
      <c r="D131" t="s">
        <v>105</v>
      </c>
      <c r="E131" t="s">
        <v>106</v>
      </c>
      <c r="F131" t="s">
        <v>1247</v>
      </c>
      <c r="G131" t="s">
        <v>1248</v>
      </c>
      <c r="H131" t="s">
        <v>1247</v>
      </c>
      <c r="I131" s="88">
        <v>46160.410208333335</v>
      </c>
      <c r="J131" t="s">
        <v>107</v>
      </c>
      <c r="K131" t="s">
        <v>108</v>
      </c>
      <c r="L131" t="s">
        <v>1249</v>
      </c>
      <c r="M131" s="88">
        <v>46161.671550925923</v>
      </c>
      <c r="N131" t="s">
        <v>637</v>
      </c>
      <c r="O131" t="s">
        <v>112</v>
      </c>
      <c r="P131" t="s">
        <v>111</v>
      </c>
      <c r="Q131" t="s">
        <v>638</v>
      </c>
      <c r="R131">
        <v>6</v>
      </c>
      <c r="S131" s="89">
        <v>9500</v>
      </c>
      <c r="T131" s="89">
        <v>0</v>
      </c>
      <c r="U131" s="89">
        <v>19980</v>
      </c>
      <c r="V131" s="89">
        <v>19980</v>
      </c>
      <c r="W131" s="89">
        <v>37020</v>
      </c>
    </row>
    <row r="132" spans="1:23" ht="13">
      <c r="A132" t="s">
        <v>1250</v>
      </c>
      <c r="B132" t="s">
        <v>1251</v>
      </c>
      <c r="C132" s="88">
        <v>46163.61619212963</v>
      </c>
      <c r="D132" t="s">
        <v>105</v>
      </c>
      <c r="E132" t="s">
        <v>106</v>
      </c>
      <c r="F132" t="s">
        <v>1252</v>
      </c>
      <c r="G132" t="s">
        <v>1253</v>
      </c>
      <c r="H132" t="s">
        <v>1252</v>
      </c>
      <c r="I132" s="88">
        <v>46162.45888888889</v>
      </c>
      <c r="J132" t="s">
        <v>107</v>
      </c>
      <c r="K132" t="s">
        <v>108</v>
      </c>
      <c r="L132" t="s">
        <v>1254</v>
      </c>
      <c r="M132" s="88">
        <v>46163.560960648145</v>
      </c>
      <c r="N132" t="s">
        <v>637</v>
      </c>
      <c r="O132" t="s">
        <v>112</v>
      </c>
      <c r="P132" t="s">
        <v>111</v>
      </c>
      <c r="Q132" t="s">
        <v>638</v>
      </c>
      <c r="R132">
        <v>2</v>
      </c>
      <c r="S132" s="89">
        <v>9500</v>
      </c>
      <c r="T132" s="89">
        <v>0</v>
      </c>
      <c r="U132" s="89">
        <v>4180</v>
      </c>
      <c r="V132" s="89">
        <v>4180</v>
      </c>
      <c r="W132" s="89">
        <v>14820</v>
      </c>
    </row>
    <row r="133" spans="1:23" ht="13">
      <c r="A133" t="s">
        <v>1255</v>
      </c>
      <c r="B133" t="s">
        <v>1256</v>
      </c>
      <c r="C133" s="88">
        <v>46163.496134259258</v>
      </c>
      <c r="D133" t="s">
        <v>105</v>
      </c>
      <c r="E133" t="s">
        <v>106</v>
      </c>
      <c r="F133" t="s">
        <v>1257</v>
      </c>
      <c r="G133" t="s">
        <v>1258</v>
      </c>
      <c r="H133" t="s">
        <v>1257</v>
      </c>
      <c r="I133" s="88">
        <v>46160.410208333335</v>
      </c>
      <c r="J133" t="s">
        <v>107</v>
      </c>
      <c r="K133" t="s">
        <v>108</v>
      </c>
      <c r="L133" t="s">
        <v>1259</v>
      </c>
      <c r="M133" s="88">
        <v>46161.552106481482</v>
      </c>
      <c r="N133" t="s">
        <v>637</v>
      </c>
      <c r="O133" t="s">
        <v>112</v>
      </c>
      <c r="P133" t="s">
        <v>111</v>
      </c>
      <c r="Q133" t="s">
        <v>638</v>
      </c>
      <c r="R133">
        <v>6</v>
      </c>
      <c r="S133" s="89">
        <v>9500</v>
      </c>
      <c r="T133" s="89">
        <v>0</v>
      </c>
      <c r="U133" s="89">
        <v>19980</v>
      </c>
      <c r="V133" s="89">
        <v>19980</v>
      </c>
      <c r="W133" s="89">
        <v>37020</v>
      </c>
    </row>
    <row r="134" spans="1:23" ht="13">
      <c r="A134" t="s">
        <v>1260</v>
      </c>
      <c r="B134" t="s">
        <v>1261</v>
      </c>
      <c r="C134" s="88">
        <v>46163.380439814813</v>
      </c>
      <c r="D134" t="s">
        <v>105</v>
      </c>
      <c r="E134" t="s">
        <v>106</v>
      </c>
      <c r="F134" t="s">
        <v>1262</v>
      </c>
      <c r="G134" t="s">
        <v>1263</v>
      </c>
      <c r="H134" t="s">
        <v>1262</v>
      </c>
      <c r="I134" s="88">
        <v>46161.63244212963</v>
      </c>
      <c r="J134" t="s">
        <v>107</v>
      </c>
      <c r="K134" t="s">
        <v>108</v>
      </c>
      <c r="L134" t="s">
        <v>1264</v>
      </c>
      <c r="M134" s="88">
        <v>46162.541643518518</v>
      </c>
      <c r="N134" t="s">
        <v>637</v>
      </c>
      <c r="O134" t="s">
        <v>112</v>
      </c>
      <c r="P134" t="s">
        <v>111</v>
      </c>
      <c r="Q134" t="s">
        <v>638</v>
      </c>
      <c r="R134">
        <v>2</v>
      </c>
      <c r="S134" s="89">
        <v>9500</v>
      </c>
      <c r="T134" s="89">
        <v>0</v>
      </c>
      <c r="U134" s="89">
        <v>4180</v>
      </c>
      <c r="V134" s="89">
        <v>4180</v>
      </c>
      <c r="W134" s="89">
        <v>14820</v>
      </c>
    </row>
    <row r="135" spans="1:23" ht="13">
      <c r="A135" t="s">
        <v>1265</v>
      </c>
      <c r="B135" t="s">
        <v>1266</v>
      </c>
      <c r="C135" s="88">
        <v>46163.028900462959</v>
      </c>
      <c r="D135" t="s">
        <v>105</v>
      </c>
      <c r="E135" t="s">
        <v>106</v>
      </c>
      <c r="F135" t="s">
        <v>1267</v>
      </c>
      <c r="G135" t="s">
        <v>1268</v>
      </c>
      <c r="H135" t="s">
        <v>1267</v>
      </c>
      <c r="I135" s="88">
        <v>46153.424120370371</v>
      </c>
      <c r="J135" t="s">
        <v>107</v>
      </c>
      <c r="K135" t="s">
        <v>108</v>
      </c>
      <c r="L135" t="s">
        <v>1269</v>
      </c>
      <c r="M135" s="88">
        <v>46155.338888888888</v>
      </c>
      <c r="N135" t="s">
        <v>637</v>
      </c>
      <c r="O135" t="s">
        <v>112</v>
      </c>
      <c r="P135" t="s">
        <v>111</v>
      </c>
      <c r="Q135" t="s">
        <v>929</v>
      </c>
      <c r="R135">
        <v>1</v>
      </c>
      <c r="S135" s="89">
        <v>9500</v>
      </c>
      <c r="T135" s="89">
        <v>0</v>
      </c>
      <c r="U135" s="89">
        <v>2090</v>
      </c>
      <c r="V135" s="89">
        <v>2090</v>
      </c>
      <c r="W135" s="89">
        <v>7410</v>
      </c>
    </row>
    <row r="136" spans="1:23" ht="13">
      <c r="A136" t="s">
        <v>1270</v>
      </c>
      <c r="B136" t="s">
        <v>1271</v>
      </c>
      <c r="C136" s="88">
        <v>46162.809849537036</v>
      </c>
      <c r="D136" t="s">
        <v>105</v>
      </c>
      <c r="E136" t="s">
        <v>106</v>
      </c>
      <c r="F136" t="s">
        <v>1272</v>
      </c>
      <c r="G136" t="s">
        <v>1273</v>
      </c>
      <c r="H136" t="s">
        <v>1274</v>
      </c>
      <c r="I136" s="88">
        <v>46161.63244212963</v>
      </c>
      <c r="J136" t="s">
        <v>107</v>
      </c>
      <c r="K136" t="s">
        <v>108</v>
      </c>
      <c r="L136" t="s">
        <v>1275</v>
      </c>
      <c r="M136" s="88">
        <v>46162.688067129631</v>
      </c>
      <c r="N136" t="s">
        <v>637</v>
      </c>
      <c r="O136" t="s">
        <v>112</v>
      </c>
      <c r="P136" t="s">
        <v>111</v>
      </c>
      <c r="Q136" t="s">
        <v>638</v>
      </c>
      <c r="R136">
        <v>6</v>
      </c>
      <c r="S136" s="89">
        <v>9500</v>
      </c>
      <c r="T136" s="89">
        <v>0</v>
      </c>
      <c r="U136" s="89">
        <v>19980</v>
      </c>
      <c r="V136" s="89">
        <v>19980</v>
      </c>
      <c r="W136" s="89">
        <v>37020</v>
      </c>
    </row>
    <row r="137" spans="1:23" ht="13">
      <c r="A137" t="s">
        <v>1276</v>
      </c>
      <c r="B137" t="s">
        <v>1277</v>
      </c>
      <c r="C137" s="88">
        <v>46162.728703703702</v>
      </c>
      <c r="D137" t="s">
        <v>105</v>
      </c>
      <c r="E137" t="s">
        <v>106</v>
      </c>
      <c r="F137" t="s">
        <v>403</v>
      </c>
      <c r="G137" t="s">
        <v>1278</v>
      </c>
      <c r="H137" t="s">
        <v>403</v>
      </c>
      <c r="I137" s="88">
        <v>46161.396319444444</v>
      </c>
      <c r="J137" t="s">
        <v>107</v>
      </c>
      <c r="K137" t="s">
        <v>108</v>
      </c>
      <c r="L137" t="s">
        <v>1279</v>
      </c>
      <c r="M137" s="88">
        <v>46162.683541666665</v>
      </c>
      <c r="N137" t="s">
        <v>637</v>
      </c>
      <c r="O137" t="s">
        <v>112</v>
      </c>
      <c r="P137" t="s">
        <v>111</v>
      </c>
      <c r="Q137" t="s">
        <v>638</v>
      </c>
      <c r="R137">
        <v>6</v>
      </c>
      <c r="S137" s="89">
        <v>9500</v>
      </c>
      <c r="T137" s="89">
        <v>0</v>
      </c>
      <c r="U137" s="89">
        <v>19980</v>
      </c>
      <c r="V137" s="89">
        <v>19980</v>
      </c>
      <c r="W137" s="89">
        <v>37020</v>
      </c>
    </row>
    <row r="138" spans="1:23" ht="13">
      <c r="A138" t="s">
        <v>1280</v>
      </c>
      <c r="B138" t="s">
        <v>1281</v>
      </c>
      <c r="C138" s="88">
        <v>46162.654907407406</v>
      </c>
      <c r="D138" t="s">
        <v>105</v>
      </c>
      <c r="E138" t="s">
        <v>106</v>
      </c>
      <c r="F138" t="s">
        <v>1282</v>
      </c>
      <c r="G138" t="s">
        <v>1283</v>
      </c>
      <c r="H138" t="s">
        <v>1282</v>
      </c>
      <c r="I138" s="88">
        <v>46157.403136574074</v>
      </c>
      <c r="J138" t="s">
        <v>107</v>
      </c>
      <c r="K138" t="s">
        <v>108</v>
      </c>
      <c r="L138" t="s">
        <v>1284</v>
      </c>
      <c r="M138" s="88">
        <v>46158.36109953704</v>
      </c>
      <c r="N138" t="s">
        <v>637</v>
      </c>
      <c r="O138" t="s">
        <v>112</v>
      </c>
      <c r="P138" t="s">
        <v>111</v>
      </c>
      <c r="Q138" t="s">
        <v>929</v>
      </c>
      <c r="R138">
        <v>2</v>
      </c>
      <c r="S138" s="89">
        <v>9500</v>
      </c>
      <c r="T138" s="89">
        <v>0</v>
      </c>
      <c r="U138" s="89">
        <v>4180</v>
      </c>
      <c r="V138" s="89">
        <v>4180</v>
      </c>
      <c r="W138" s="89">
        <v>14820</v>
      </c>
    </row>
    <row r="139" spans="1:23" ht="13">
      <c r="A139" t="s">
        <v>1285</v>
      </c>
      <c r="B139" t="s">
        <v>1286</v>
      </c>
      <c r="C139" s="88">
        <v>46162.386064814811</v>
      </c>
      <c r="D139" t="s">
        <v>105</v>
      </c>
      <c r="E139" t="s">
        <v>106</v>
      </c>
      <c r="F139" t="s">
        <v>1287</v>
      </c>
      <c r="G139" t="s">
        <v>1288</v>
      </c>
      <c r="H139" t="s">
        <v>1287</v>
      </c>
      <c r="I139" s="88">
        <v>46160.403287037036</v>
      </c>
      <c r="J139" t="s">
        <v>107</v>
      </c>
      <c r="K139" t="s">
        <v>108</v>
      </c>
      <c r="L139" t="s">
        <v>1289</v>
      </c>
      <c r="M139" s="88">
        <v>46161.671550925923</v>
      </c>
      <c r="N139" t="s">
        <v>637</v>
      </c>
      <c r="O139" t="s">
        <v>112</v>
      </c>
      <c r="P139" t="s">
        <v>111</v>
      </c>
      <c r="Q139" t="s">
        <v>638</v>
      </c>
      <c r="R139">
        <v>3</v>
      </c>
      <c r="S139" s="89">
        <v>9500</v>
      </c>
      <c r="T139" s="89">
        <v>0</v>
      </c>
      <c r="U139" s="89">
        <v>6270</v>
      </c>
      <c r="V139" s="89">
        <v>6270</v>
      </c>
      <c r="W139" s="89">
        <v>22230</v>
      </c>
    </row>
    <row r="140" spans="1:23" ht="13">
      <c r="A140" t="s">
        <v>1290</v>
      </c>
      <c r="B140" t="s">
        <v>1291</v>
      </c>
      <c r="C140" s="88">
        <v>46162.274571759262</v>
      </c>
      <c r="D140" t="s">
        <v>105</v>
      </c>
      <c r="E140" t="s">
        <v>106</v>
      </c>
      <c r="F140" t="s">
        <v>1292</v>
      </c>
      <c r="G140" t="s">
        <v>1293</v>
      </c>
      <c r="H140" t="s">
        <v>1292</v>
      </c>
      <c r="I140" s="88">
        <v>46156.430949074071</v>
      </c>
      <c r="J140" t="s">
        <v>107</v>
      </c>
      <c r="K140" t="s">
        <v>108</v>
      </c>
      <c r="L140" t="s">
        <v>1294</v>
      </c>
      <c r="M140" s="88">
        <v>46157.546539351853</v>
      </c>
      <c r="N140" t="s">
        <v>637</v>
      </c>
      <c r="O140" t="s">
        <v>112</v>
      </c>
      <c r="P140" t="s">
        <v>111</v>
      </c>
      <c r="Q140" t="s">
        <v>929</v>
      </c>
      <c r="R140">
        <v>2</v>
      </c>
      <c r="S140" s="89">
        <v>9500</v>
      </c>
      <c r="T140" s="89">
        <v>0</v>
      </c>
      <c r="U140" s="89">
        <v>4180</v>
      </c>
      <c r="V140" s="89">
        <v>4180</v>
      </c>
      <c r="W140" s="89">
        <v>14820</v>
      </c>
    </row>
    <row r="141" spans="1:23" ht="13">
      <c r="A141" t="s">
        <v>1295</v>
      </c>
      <c r="B141" t="s">
        <v>1296</v>
      </c>
      <c r="C141" s="88">
        <v>46162.135092592594</v>
      </c>
      <c r="D141" t="s">
        <v>105</v>
      </c>
      <c r="E141" t="s">
        <v>106</v>
      </c>
      <c r="F141" t="s">
        <v>1297</v>
      </c>
      <c r="G141" t="s">
        <v>1298</v>
      </c>
      <c r="H141" t="s">
        <v>1297</v>
      </c>
      <c r="I141" s="88">
        <v>46153.625763888893</v>
      </c>
      <c r="J141" t="s">
        <v>107</v>
      </c>
      <c r="K141" t="s">
        <v>108</v>
      </c>
      <c r="L141" t="s">
        <v>1299</v>
      </c>
      <c r="M141" s="88">
        <v>46154.554201388892</v>
      </c>
      <c r="N141" t="s">
        <v>637</v>
      </c>
      <c r="O141" t="s">
        <v>670</v>
      </c>
      <c r="P141" t="s">
        <v>109</v>
      </c>
      <c r="Q141" t="s">
        <v>670</v>
      </c>
      <c r="R141">
        <v>1</v>
      </c>
      <c r="S141" s="89">
        <v>21060</v>
      </c>
      <c r="T141" s="89">
        <v>0</v>
      </c>
      <c r="U141" s="89">
        <v>0</v>
      </c>
      <c r="V141" s="89">
        <v>0</v>
      </c>
      <c r="W141" s="89">
        <v>21060</v>
      </c>
    </row>
    <row r="142" spans="1:23" ht="13">
      <c r="A142" t="s">
        <v>1300</v>
      </c>
      <c r="B142" t="s">
        <v>1296</v>
      </c>
      <c r="C142" s="88">
        <v>46162.135092592594</v>
      </c>
      <c r="D142" t="s">
        <v>105</v>
      </c>
      <c r="E142" t="s">
        <v>106</v>
      </c>
      <c r="F142" t="s">
        <v>1297</v>
      </c>
      <c r="G142" t="s">
        <v>1298</v>
      </c>
      <c r="H142" t="s">
        <v>1297</v>
      </c>
      <c r="I142" s="88">
        <v>46153.625763888893</v>
      </c>
      <c r="J142" t="s">
        <v>107</v>
      </c>
      <c r="K142" t="s">
        <v>108</v>
      </c>
      <c r="L142" t="s">
        <v>1299</v>
      </c>
      <c r="M142" s="88">
        <v>46154.554201388892</v>
      </c>
      <c r="N142" t="s">
        <v>637</v>
      </c>
      <c r="O142" t="s">
        <v>112</v>
      </c>
      <c r="P142" t="s">
        <v>111</v>
      </c>
      <c r="Q142" t="s">
        <v>929</v>
      </c>
      <c r="R142">
        <v>6</v>
      </c>
      <c r="S142" s="89">
        <v>9500</v>
      </c>
      <c r="T142" s="89">
        <v>0</v>
      </c>
      <c r="U142" s="89">
        <v>19980</v>
      </c>
      <c r="V142" s="89">
        <v>19980</v>
      </c>
      <c r="W142" s="89">
        <v>37020</v>
      </c>
    </row>
    <row r="143" spans="1:23" ht="13">
      <c r="A143" t="s">
        <v>1301</v>
      </c>
      <c r="B143" t="s">
        <v>1302</v>
      </c>
      <c r="C143" s="88">
        <v>46162.133379629631</v>
      </c>
      <c r="D143" t="s">
        <v>105</v>
      </c>
      <c r="E143" t="s">
        <v>106</v>
      </c>
      <c r="F143" t="s">
        <v>258</v>
      </c>
      <c r="G143" t="s">
        <v>1303</v>
      </c>
      <c r="H143" t="s">
        <v>1304</v>
      </c>
      <c r="I143" s="88">
        <v>46153.625763888893</v>
      </c>
      <c r="J143" t="s">
        <v>107</v>
      </c>
      <c r="K143" t="s">
        <v>108</v>
      </c>
      <c r="L143" t="s">
        <v>1305</v>
      </c>
      <c r="M143" s="88">
        <v>46154.679918981477</v>
      </c>
      <c r="N143" t="s">
        <v>637</v>
      </c>
      <c r="O143" t="s">
        <v>670</v>
      </c>
      <c r="P143" t="s">
        <v>109</v>
      </c>
      <c r="Q143" t="s">
        <v>670</v>
      </c>
      <c r="R143">
        <v>1</v>
      </c>
      <c r="S143" s="89">
        <v>21060</v>
      </c>
      <c r="T143" s="89">
        <v>0</v>
      </c>
      <c r="U143" s="89">
        <v>0</v>
      </c>
      <c r="V143" s="89">
        <v>0</v>
      </c>
      <c r="W143" s="89">
        <v>21060</v>
      </c>
    </row>
    <row r="144" spans="1:23" ht="13">
      <c r="A144" t="s">
        <v>1306</v>
      </c>
      <c r="B144" t="s">
        <v>1302</v>
      </c>
      <c r="C144" s="88">
        <v>46162.133379629631</v>
      </c>
      <c r="D144" t="s">
        <v>105</v>
      </c>
      <c r="E144" t="s">
        <v>106</v>
      </c>
      <c r="F144" t="s">
        <v>258</v>
      </c>
      <c r="G144" t="s">
        <v>1303</v>
      </c>
      <c r="H144" t="s">
        <v>1304</v>
      </c>
      <c r="I144" s="88">
        <v>46153.625763888893</v>
      </c>
      <c r="J144" t="s">
        <v>107</v>
      </c>
      <c r="K144" t="s">
        <v>108</v>
      </c>
      <c r="L144" t="s">
        <v>1305</v>
      </c>
      <c r="M144" s="88">
        <v>46154.679918981477</v>
      </c>
      <c r="N144" t="s">
        <v>637</v>
      </c>
      <c r="O144" t="s">
        <v>112</v>
      </c>
      <c r="P144" t="s">
        <v>111</v>
      </c>
      <c r="Q144" t="s">
        <v>929</v>
      </c>
      <c r="R144">
        <v>2</v>
      </c>
      <c r="S144" s="89">
        <v>9500</v>
      </c>
      <c r="T144" s="89">
        <v>0</v>
      </c>
      <c r="U144" s="89">
        <v>4180</v>
      </c>
      <c r="V144" s="89">
        <v>4180</v>
      </c>
      <c r="W144" s="89">
        <v>14820</v>
      </c>
    </row>
    <row r="145" spans="1:23" ht="13">
      <c r="A145" t="s">
        <v>1307</v>
      </c>
      <c r="B145" t="s">
        <v>1308</v>
      </c>
      <c r="C145" s="88">
        <v>46162.080972222218</v>
      </c>
      <c r="D145" t="s">
        <v>105</v>
      </c>
      <c r="E145" t="s">
        <v>106</v>
      </c>
      <c r="F145" t="s">
        <v>1309</v>
      </c>
      <c r="G145" t="s">
        <v>1310</v>
      </c>
      <c r="H145" t="s">
        <v>1309</v>
      </c>
      <c r="I145" s="88">
        <v>46153.424120370371</v>
      </c>
      <c r="J145" t="s">
        <v>107</v>
      </c>
      <c r="K145" t="s">
        <v>108</v>
      </c>
      <c r="L145" t="s">
        <v>1311</v>
      </c>
      <c r="M145" s="88">
        <v>46154.466238425928</v>
      </c>
      <c r="N145" t="s">
        <v>637</v>
      </c>
      <c r="O145" t="s">
        <v>112</v>
      </c>
      <c r="P145" t="s">
        <v>111</v>
      </c>
      <c r="Q145" t="s">
        <v>929</v>
      </c>
      <c r="R145">
        <v>2</v>
      </c>
      <c r="S145" s="89">
        <v>9500</v>
      </c>
      <c r="T145" s="89">
        <v>0</v>
      </c>
      <c r="U145" s="89">
        <v>4280</v>
      </c>
      <c r="V145" s="89">
        <v>4280</v>
      </c>
      <c r="W145" s="89">
        <v>14720</v>
      </c>
    </row>
    <row r="146" spans="1:23" ht="13">
      <c r="A146" t="s">
        <v>1312</v>
      </c>
      <c r="B146" t="s">
        <v>1313</v>
      </c>
      <c r="C146" s="88">
        <v>46162.080509259264</v>
      </c>
      <c r="D146" t="s">
        <v>105</v>
      </c>
      <c r="E146" t="s">
        <v>106</v>
      </c>
      <c r="F146" t="s">
        <v>236</v>
      </c>
      <c r="G146" t="s">
        <v>1314</v>
      </c>
      <c r="H146" t="s">
        <v>236</v>
      </c>
      <c r="I146" s="88">
        <v>46153.424120370371</v>
      </c>
      <c r="J146" t="s">
        <v>107</v>
      </c>
      <c r="K146" t="s">
        <v>108</v>
      </c>
      <c r="L146" t="s">
        <v>1315</v>
      </c>
      <c r="M146" s="88">
        <v>46154.466226851851</v>
      </c>
      <c r="N146" t="s">
        <v>637</v>
      </c>
      <c r="O146" t="s">
        <v>112</v>
      </c>
      <c r="P146" t="s">
        <v>111</v>
      </c>
      <c r="Q146" t="s">
        <v>929</v>
      </c>
      <c r="R146">
        <v>6</v>
      </c>
      <c r="S146" s="89">
        <v>9500</v>
      </c>
      <c r="T146" s="89">
        <v>0</v>
      </c>
      <c r="U146" s="89">
        <v>20080</v>
      </c>
      <c r="V146" s="89">
        <v>20080</v>
      </c>
      <c r="W146" s="89">
        <v>36920</v>
      </c>
    </row>
    <row r="147" spans="1:23" ht="13">
      <c r="A147" t="s">
        <v>1316</v>
      </c>
      <c r="B147" t="s">
        <v>1317</v>
      </c>
      <c r="C147" s="88">
        <v>46162.080208333333</v>
      </c>
      <c r="D147" t="s">
        <v>105</v>
      </c>
      <c r="E147" t="s">
        <v>106</v>
      </c>
      <c r="F147" t="s">
        <v>1318</v>
      </c>
      <c r="G147" t="s">
        <v>1319</v>
      </c>
      <c r="H147" t="s">
        <v>1318</v>
      </c>
      <c r="I147" s="88">
        <v>46153.424120370371</v>
      </c>
      <c r="J147" t="s">
        <v>107</v>
      </c>
      <c r="K147" t="s">
        <v>108</v>
      </c>
      <c r="L147" t="s">
        <v>1320</v>
      </c>
      <c r="M147" s="88">
        <v>46154.465995370367</v>
      </c>
      <c r="N147" t="s">
        <v>637</v>
      </c>
      <c r="O147" t="s">
        <v>112</v>
      </c>
      <c r="P147" t="s">
        <v>111</v>
      </c>
      <c r="Q147" t="s">
        <v>929</v>
      </c>
      <c r="R147">
        <v>3</v>
      </c>
      <c r="S147" s="89">
        <v>9500</v>
      </c>
      <c r="T147" s="89">
        <v>0</v>
      </c>
      <c r="U147" s="89">
        <v>8820</v>
      </c>
      <c r="V147" s="89">
        <v>6370</v>
      </c>
      <c r="W147" s="89">
        <v>19680</v>
      </c>
    </row>
    <row r="148" spans="1:23" ht="13">
      <c r="A148" t="s">
        <v>1321</v>
      </c>
      <c r="B148" t="s">
        <v>1322</v>
      </c>
      <c r="C148" s="88">
        <v>46162.080208333333</v>
      </c>
      <c r="D148" t="s">
        <v>105</v>
      </c>
      <c r="E148" t="s">
        <v>106</v>
      </c>
      <c r="F148" t="s">
        <v>1323</v>
      </c>
      <c r="G148" t="s">
        <v>1324</v>
      </c>
      <c r="H148" t="s">
        <v>1323</v>
      </c>
      <c r="I148" s="88">
        <v>46153.424120370371</v>
      </c>
      <c r="J148" t="s">
        <v>107</v>
      </c>
      <c r="K148" t="s">
        <v>108</v>
      </c>
      <c r="L148" t="s">
        <v>1325</v>
      </c>
      <c r="M148" s="88">
        <v>46154.549340277779</v>
      </c>
      <c r="N148" t="s">
        <v>637</v>
      </c>
      <c r="O148" t="s">
        <v>112</v>
      </c>
      <c r="P148" t="s">
        <v>111</v>
      </c>
      <c r="Q148" t="s">
        <v>929</v>
      </c>
      <c r="R148">
        <v>2</v>
      </c>
      <c r="S148" s="89">
        <v>9500</v>
      </c>
      <c r="T148" s="89">
        <v>0</v>
      </c>
      <c r="U148" s="89">
        <v>4280</v>
      </c>
      <c r="V148" s="89">
        <v>4280</v>
      </c>
      <c r="W148" s="89">
        <v>14720</v>
      </c>
    </row>
    <row r="149" spans="1:23" ht="13">
      <c r="A149" t="s">
        <v>1326</v>
      </c>
      <c r="B149" t="s">
        <v>1327</v>
      </c>
      <c r="C149" s="88">
        <v>46162.067557870367</v>
      </c>
      <c r="D149" t="s">
        <v>105</v>
      </c>
      <c r="E149" t="s">
        <v>106</v>
      </c>
      <c r="F149" t="s">
        <v>1328</v>
      </c>
      <c r="G149" t="s">
        <v>1329</v>
      </c>
      <c r="H149" t="s">
        <v>1330</v>
      </c>
      <c r="I149" s="88">
        <v>46153.424120370371</v>
      </c>
      <c r="J149" t="s">
        <v>107</v>
      </c>
      <c r="K149" t="s">
        <v>108</v>
      </c>
      <c r="L149" t="s">
        <v>1331</v>
      </c>
      <c r="M149" s="88">
        <v>46154.754884259259</v>
      </c>
      <c r="N149" t="s">
        <v>637</v>
      </c>
      <c r="O149" t="s">
        <v>112</v>
      </c>
      <c r="P149" t="s">
        <v>111</v>
      </c>
      <c r="Q149" t="s">
        <v>929</v>
      </c>
      <c r="R149">
        <v>5</v>
      </c>
      <c r="S149" s="89">
        <v>9500</v>
      </c>
      <c r="T149" s="89">
        <v>0</v>
      </c>
      <c r="U149" s="89">
        <v>10550</v>
      </c>
      <c r="V149" s="89">
        <v>10550</v>
      </c>
      <c r="W149" s="89">
        <v>36950</v>
      </c>
    </row>
    <row r="150" spans="1:23" ht="13">
      <c r="A150" t="s">
        <v>1332</v>
      </c>
      <c r="B150" t="s">
        <v>1333</v>
      </c>
      <c r="C150" s="88">
        <v>46162.067557870367</v>
      </c>
      <c r="D150" t="s">
        <v>105</v>
      </c>
      <c r="E150" t="s">
        <v>106</v>
      </c>
      <c r="F150" t="s">
        <v>1334</v>
      </c>
      <c r="G150" t="s">
        <v>1335</v>
      </c>
      <c r="H150" t="s">
        <v>1334</v>
      </c>
      <c r="I150" s="88">
        <v>46153.424120370371</v>
      </c>
      <c r="J150" t="s">
        <v>107</v>
      </c>
      <c r="K150" t="s">
        <v>108</v>
      </c>
      <c r="L150" t="s">
        <v>1336</v>
      </c>
      <c r="M150" s="88">
        <v>46154.602152777778</v>
      </c>
      <c r="N150" t="s">
        <v>637</v>
      </c>
      <c r="O150" t="s">
        <v>112</v>
      </c>
      <c r="P150" t="s">
        <v>111</v>
      </c>
      <c r="Q150" t="s">
        <v>929</v>
      </c>
      <c r="R150">
        <v>2</v>
      </c>
      <c r="S150" s="89">
        <v>9500</v>
      </c>
      <c r="T150" s="89">
        <v>0</v>
      </c>
      <c r="U150" s="89">
        <v>4180</v>
      </c>
      <c r="V150" s="89">
        <v>4180</v>
      </c>
      <c r="W150" s="89">
        <v>14820</v>
      </c>
    </row>
    <row r="151" spans="1:23" ht="13">
      <c r="A151" t="s">
        <v>1337</v>
      </c>
      <c r="B151" t="s">
        <v>1338</v>
      </c>
      <c r="C151" s="88">
        <v>46162.06722222222</v>
      </c>
      <c r="D151" t="s">
        <v>105</v>
      </c>
      <c r="E151" t="s">
        <v>106</v>
      </c>
      <c r="F151" t="s">
        <v>1339</v>
      </c>
      <c r="G151" t="s">
        <v>1340</v>
      </c>
      <c r="H151" t="s">
        <v>1339</v>
      </c>
      <c r="I151" s="88">
        <v>46153.424120370371</v>
      </c>
      <c r="J151" t="s">
        <v>107</v>
      </c>
      <c r="K151" t="s">
        <v>108</v>
      </c>
      <c r="L151" t="s">
        <v>1341</v>
      </c>
      <c r="M151" s="88">
        <v>46154.964953703704</v>
      </c>
      <c r="N151" t="s">
        <v>637</v>
      </c>
      <c r="O151" t="s">
        <v>112</v>
      </c>
      <c r="P151" t="s">
        <v>111</v>
      </c>
      <c r="Q151" t="s">
        <v>929</v>
      </c>
      <c r="R151">
        <v>2</v>
      </c>
      <c r="S151" s="89">
        <v>9500</v>
      </c>
      <c r="T151" s="89">
        <v>0</v>
      </c>
      <c r="U151" s="89">
        <v>4180</v>
      </c>
      <c r="V151" s="89">
        <v>4180</v>
      </c>
      <c r="W151" s="89">
        <v>14820</v>
      </c>
    </row>
    <row r="152" spans="1:23" ht="13">
      <c r="A152" t="s">
        <v>1342</v>
      </c>
      <c r="B152" t="s">
        <v>1343</v>
      </c>
      <c r="C152" s="88">
        <v>46162.06722222222</v>
      </c>
      <c r="D152" t="s">
        <v>105</v>
      </c>
      <c r="E152" t="s">
        <v>106</v>
      </c>
      <c r="F152" t="s">
        <v>1344</v>
      </c>
      <c r="G152" t="s">
        <v>1345</v>
      </c>
      <c r="H152" t="s">
        <v>1344</v>
      </c>
      <c r="I152" s="88">
        <v>46153.424120370371</v>
      </c>
      <c r="J152" t="s">
        <v>107</v>
      </c>
      <c r="K152" t="s">
        <v>108</v>
      </c>
      <c r="L152" t="s">
        <v>1346</v>
      </c>
      <c r="M152" s="88">
        <v>46154.675717592589</v>
      </c>
      <c r="N152" t="s">
        <v>637</v>
      </c>
      <c r="O152" t="s">
        <v>112</v>
      </c>
      <c r="P152" t="s">
        <v>111</v>
      </c>
      <c r="Q152" t="s">
        <v>929</v>
      </c>
      <c r="R152">
        <v>10</v>
      </c>
      <c r="S152" s="89">
        <v>9500</v>
      </c>
      <c r="T152" s="89">
        <v>0</v>
      </c>
      <c r="U152" s="89">
        <v>33300</v>
      </c>
      <c r="V152" s="89">
        <v>33300</v>
      </c>
      <c r="W152" s="89">
        <v>61700</v>
      </c>
    </row>
    <row r="153" spans="1:23" ht="13">
      <c r="A153" t="s">
        <v>1347</v>
      </c>
      <c r="B153" t="s">
        <v>1348</v>
      </c>
      <c r="C153" s="88">
        <v>46162.067071759258</v>
      </c>
      <c r="D153" t="s">
        <v>105</v>
      </c>
      <c r="E153" t="s">
        <v>106</v>
      </c>
      <c r="F153" t="s">
        <v>1349</v>
      </c>
      <c r="G153" t="s">
        <v>1350</v>
      </c>
      <c r="H153" t="s">
        <v>1349</v>
      </c>
      <c r="I153" s="88">
        <v>46153.424120370371</v>
      </c>
      <c r="J153" t="s">
        <v>107</v>
      </c>
      <c r="K153" t="s">
        <v>108</v>
      </c>
      <c r="L153" t="s">
        <v>1351</v>
      </c>
      <c r="M153" s="88">
        <v>46154.543749999997</v>
      </c>
      <c r="N153" t="s">
        <v>637</v>
      </c>
      <c r="O153" t="s">
        <v>112</v>
      </c>
      <c r="P153" t="s">
        <v>111</v>
      </c>
      <c r="Q153" t="s">
        <v>929</v>
      </c>
      <c r="R153">
        <v>2</v>
      </c>
      <c r="S153" s="89">
        <v>9500</v>
      </c>
      <c r="T153" s="89">
        <v>0</v>
      </c>
      <c r="U153" s="89">
        <v>4280</v>
      </c>
      <c r="V153" s="89">
        <v>4280</v>
      </c>
      <c r="W153" s="89">
        <v>14720</v>
      </c>
    </row>
    <row r="154" spans="1:23" ht="13">
      <c r="A154" t="s">
        <v>1352</v>
      </c>
      <c r="B154" t="s">
        <v>1353</v>
      </c>
      <c r="C154" s="88">
        <v>46161.944398148145</v>
      </c>
      <c r="D154" t="s">
        <v>105</v>
      </c>
      <c r="E154" t="s">
        <v>106</v>
      </c>
      <c r="F154" t="s">
        <v>1354</v>
      </c>
      <c r="G154" t="s">
        <v>1355</v>
      </c>
      <c r="H154" t="s">
        <v>1354</v>
      </c>
      <c r="I154" s="88">
        <v>46153.424120370371</v>
      </c>
      <c r="J154" t="s">
        <v>107</v>
      </c>
      <c r="K154" t="s">
        <v>108</v>
      </c>
      <c r="L154" t="s">
        <v>1356</v>
      </c>
      <c r="M154" s="88">
        <v>46154.549340277779</v>
      </c>
      <c r="N154" t="s">
        <v>637</v>
      </c>
      <c r="O154" t="s">
        <v>112</v>
      </c>
      <c r="P154" t="s">
        <v>111</v>
      </c>
      <c r="Q154" t="s">
        <v>929</v>
      </c>
      <c r="R154">
        <v>5</v>
      </c>
      <c r="S154" s="89">
        <v>9500</v>
      </c>
      <c r="T154" s="89">
        <v>0</v>
      </c>
      <c r="U154" s="89">
        <v>10550</v>
      </c>
      <c r="V154" s="89">
        <v>10550</v>
      </c>
      <c r="W154" s="89">
        <v>36950</v>
      </c>
    </row>
    <row r="155" spans="1:23" ht="13">
      <c r="A155" t="s">
        <v>1357</v>
      </c>
      <c r="B155" t="s">
        <v>1358</v>
      </c>
      <c r="C155" s="88">
        <v>46161.888113425928</v>
      </c>
      <c r="D155" t="s">
        <v>105</v>
      </c>
      <c r="E155" t="s">
        <v>106</v>
      </c>
      <c r="F155" t="s">
        <v>1359</v>
      </c>
      <c r="G155" t="s">
        <v>1360</v>
      </c>
      <c r="H155" t="s">
        <v>1359</v>
      </c>
      <c r="I155" s="88">
        <v>46156.430960648147</v>
      </c>
      <c r="J155" t="s">
        <v>107</v>
      </c>
      <c r="K155" t="s">
        <v>108</v>
      </c>
      <c r="L155" t="s">
        <v>1361</v>
      </c>
      <c r="M155" s="88">
        <v>46157.463182870371</v>
      </c>
      <c r="N155" t="s">
        <v>637</v>
      </c>
      <c r="O155" t="s">
        <v>112</v>
      </c>
      <c r="P155" t="s">
        <v>111</v>
      </c>
      <c r="Q155" t="s">
        <v>929</v>
      </c>
      <c r="R155">
        <v>1</v>
      </c>
      <c r="S155" s="89">
        <v>9500</v>
      </c>
      <c r="T155" s="89">
        <v>0</v>
      </c>
      <c r="U155" s="89">
        <v>2090</v>
      </c>
      <c r="V155" s="89">
        <v>2090</v>
      </c>
      <c r="W155" s="89">
        <v>7410</v>
      </c>
    </row>
    <row r="156" spans="1:23" ht="13">
      <c r="A156" t="s">
        <v>1362</v>
      </c>
      <c r="B156" t="s">
        <v>1363</v>
      </c>
      <c r="C156" s="88">
        <v>46161.700173611112</v>
      </c>
      <c r="D156" t="s">
        <v>105</v>
      </c>
      <c r="E156" t="s">
        <v>106</v>
      </c>
      <c r="F156" t="s">
        <v>1364</v>
      </c>
      <c r="G156" t="s">
        <v>1365</v>
      </c>
      <c r="H156" t="s">
        <v>1364</v>
      </c>
      <c r="I156" s="88">
        <v>46153.625763888893</v>
      </c>
      <c r="J156" t="s">
        <v>107</v>
      </c>
      <c r="K156" t="s">
        <v>108</v>
      </c>
      <c r="L156" t="s">
        <v>1366</v>
      </c>
      <c r="M156" s="88">
        <v>46154.682743055557</v>
      </c>
      <c r="N156" t="s">
        <v>637</v>
      </c>
      <c r="O156" t="s">
        <v>670</v>
      </c>
      <c r="P156" t="s">
        <v>109</v>
      </c>
      <c r="Q156" t="s">
        <v>670</v>
      </c>
      <c r="R156">
        <v>1</v>
      </c>
      <c r="S156" s="89">
        <v>21060</v>
      </c>
      <c r="T156" s="89">
        <v>0</v>
      </c>
      <c r="U156" s="89">
        <v>0</v>
      </c>
      <c r="V156" s="89">
        <v>0</v>
      </c>
      <c r="W156" s="89">
        <v>21060</v>
      </c>
    </row>
    <row r="157" spans="1:23" ht="13">
      <c r="A157" t="s">
        <v>1367</v>
      </c>
      <c r="B157" t="s">
        <v>1363</v>
      </c>
      <c r="C157" s="88">
        <v>46161.700173611112</v>
      </c>
      <c r="D157" t="s">
        <v>105</v>
      </c>
      <c r="E157" t="s">
        <v>106</v>
      </c>
      <c r="F157" t="s">
        <v>1364</v>
      </c>
      <c r="G157" t="s">
        <v>1365</v>
      </c>
      <c r="H157" t="s">
        <v>1364</v>
      </c>
      <c r="I157" s="88">
        <v>46153.625763888893</v>
      </c>
      <c r="J157" t="s">
        <v>107</v>
      </c>
      <c r="K157" t="s">
        <v>108</v>
      </c>
      <c r="L157" t="s">
        <v>1366</v>
      </c>
      <c r="M157" s="88">
        <v>46154.682743055557</v>
      </c>
      <c r="N157" t="s">
        <v>637</v>
      </c>
      <c r="O157" t="s">
        <v>112</v>
      </c>
      <c r="P157" t="s">
        <v>111</v>
      </c>
      <c r="Q157" t="s">
        <v>929</v>
      </c>
      <c r="R157">
        <v>2</v>
      </c>
      <c r="S157" s="89">
        <v>9500</v>
      </c>
      <c r="T157" s="89">
        <v>0</v>
      </c>
      <c r="U157" s="89">
        <v>4180</v>
      </c>
      <c r="V157" s="89">
        <v>4180</v>
      </c>
      <c r="W157" s="89">
        <v>14820</v>
      </c>
    </row>
    <row r="158" spans="1:23" ht="13">
      <c r="A158" t="s">
        <v>1368</v>
      </c>
      <c r="B158" t="s">
        <v>1369</v>
      </c>
      <c r="C158" s="88">
        <v>46161.655300925922</v>
      </c>
      <c r="D158" t="s">
        <v>105</v>
      </c>
      <c r="E158" t="s">
        <v>106</v>
      </c>
      <c r="F158" t="s">
        <v>1370</v>
      </c>
      <c r="G158" t="s">
        <v>1371</v>
      </c>
      <c r="H158" t="s">
        <v>1370</v>
      </c>
      <c r="I158" s="88">
        <v>46160.403287037036</v>
      </c>
      <c r="J158" t="s">
        <v>107</v>
      </c>
      <c r="K158" t="s">
        <v>108</v>
      </c>
      <c r="L158" t="s">
        <v>1372</v>
      </c>
      <c r="M158" s="88">
        <v>46161.549328703702</v>
      </c>
      <c r="N158" t="s">
        <v>788</v>
      </c>
      <c r="O158" t="s">
        <v>789</v>
      </c>
      <c r="P158" t="s">
        <v>111</v>
      </c>
      <c r="Q158" t="s">
        <v>790</v>
      </c>
      <c r="R158">
        <v>2</v>
      </c>
      <c r="S158" s="89">
        <v>27000</v>
      </c>
      <c r="T158" s="89">
        <v>0</v>
      </c>
      <c r="U158" s="89">
        <v>11880</v>
      </c>
      <c r="V158" s="89">
        <v>11880</v>
      </c>
      <c r="W158" s="89">
        <v>42120</v>
      </c>
    </row>
    <row r="159" spans="1:23" ht="13">
      <c r="A159" t="s">
        <v>1373</v>
      </c>
      <c r="B159" t="s">
        <v>1374</v>
      </c>
      <c r="C159" s="88">
        <v>46161.625254629631</v>
      </c>
      <c r="D159" t="s">
        <v>105</v>
      </c>
      <c r="E159" t="s">
        <v>106</v>
      </c>
      <c r="F159" t="s">
        <v>565</v>
      </c>
      <c r="G159" t="s">
        <v>1375</v>
      </c>
      <c r="H159" t="s">
        <v>565</v>
      </c>
      <c r="I159" s="88">
        <v>46160.403287037036</v>
      </c>
      <c r="J159" t="s">
        <v>107</v>
      </c>
      <c r="K159" t="s">
        <v>108</v>
      </c>
      <c r="L159" t="s">
        <v>1376</v>
      </c>
      <c r="M159" s="88">
        <v>46161.549328703702</v>
      </c>
      <c r="N159" t="s">
        <v>637</v>
      </c>
      <c r="O159" t="s">
        <v>112</v>
      </c>
      <c r="P159" t="s">
        <v>111</v>
      </c>
      <c r="Q159" t="s">
        <v>638</v>
      </c>
      <c r="R159">
        <v>4</v>
      </c>
      <c r="S159" s="89">
        <v>9500</v>
      </c>
      <c r="T159" s="89">
        <v>0</v>
      </c>
      <c r="U159" s="89">
        <v>8360</v>
      </c>
      <c r="V159" s="89">
        <v>8360</v>
      </c>
      <c r="W159" s="89">
        <v>29640</v>
      </c>
    </row>
    <row r="160" spans="1:23" ht="13">
      <c r="A160" t="s">
        <v>1377</v>
      </c>
      <c r="B160" t="s">
        <v>1374</v>
      </c>
      <c r="C160" s="88">
        <v>46161.625254629631</v>
      </c>
      <c r="D160" t="s">
        <v>105</v>
      </c>
      <c r="E160" t="s">
        <v>106</v>
      </c>
      <c r="F160" t="s">
        <v>565</v>
      </c>
      <c r="G160" t="s">
        <v>1375</v>
      </c>
      <c r="H160" t="s">
        <v>565</v>
      </c>
      <c r="I160" s="88">
        <v>46160.403287037036</v>
      </c>
      <c r="J160" t="s">
        <v>107</v>
      </c>
      <c r="K160" t="s">
        <v>108</v>
      </c>
      <c r="L160" t="s">
        <v>1376</v>
      </c>
      <c r="M160" s="88">
        <v>46161.549328703702</v>
      </c>
      <c r="N160" t="s">
        <v>788</v>
      </c>
      <c r="O160" t="s">
        <v>789</v>
      </c>
      <c r="P160" t="s">
        <v>111</v>
      </c>
      <c r="Q160" t="s">
        <v>790</v>
      </c>
      <c r="R160">
        <v>1</v>
      </c>
      <c r="S160" s="89">
        <v>27000</v>
      </c>
      <c r="T160" s="89">
        <v>0</v>
      </c>
      <c r="U160" s="89">
        <v>5940</v>
      </c>
      <c r="V160" s="89">
        <v>5940</v>
      </c>
      <c r="W160" s="89">
        <v>21060</v>
      </c>
    </row>
    <row r="161" spans="1:23" ht="13">
      <c r="A161" t="s">
        <v>1378</v>
      </c>
      <c r="B161" t="s">
        <v>1379</v>
      </c>
      <c r="C161" s="88">
        <v>46161.529143518521</v>
      </c>
      <c r="D161" t="s">
        <v>105</v>
      </c>
      <c r="E161" t="s">
        <v>106</v>
      </c>
      <c r="F161" t="s">
        <v>1380</v>
      </c>
      <c r="G161" t="s">
        <v>1381</v>
      </c>
      <c r="H161" t="s">
        <v>1380</v>
      </c>
      <c r="I161" s="88">
        <v>46156.430949074071</v>
      </c>
      <c r="J161" t="s">
        <v>107</v>
      </c>
      <c r="K161" t="s">
        <v>108</v>
      </c>
      <c r="L161" t="s">
        <v>1382</v>
      </c>
      <c r="M161" s="88">
        <v>46158.460393518515</v>
      </c>
      <c r="N161" t="s">
        <v>637</v>
      </c>
      <c r="O161" t="s">
        <v>670</v>
      </c>
      <c r="P161" t="s">
        <v>109</v>
      </c>
      <c r="Q161" t="s">
        <v>670</v>
      </c>
      <c r="R161">
        <v>1</v>
      </c>
      <c r="S161" s="89">
        <v>21060</v>
      </c>
      <c r="T161" s="89">
        <v>0</v>
      </c>
      <c r="U161" s="89">
        <v>0</v>
      </c>
      <c r="V161" s="89">
        <v>0</v>
      </c>
      <c r="W161" s="89">
        <v>21060</v>
      </c>
    </row>
    <row r="162" spans="1:23" ht="13">
      <c r="A162" t="s">
        <v>1383</v>
      </c>
      <c r="B162" t="s">
        <v>1379</v>
      </c>
      <c r="C162" s="88">
        <v>46161.529143518521</v>
      </c>
      <c r="D162" t="s">
        <v>105</v>
      </c>
      <c r="E162" t="s">
        <v>106</v>
      </c>
      <c r="F162" t="s">
        <v>1380</v>
      </c>
      <c r="G162" t="s">
        <v>1381</v>
      </c>
      <c r="H162" t="s">
        <v>1380</v>
      </c>
      <c r="I162" s="88">
        <v>46156.430949074071</v>
      </c>
      <c r="J162" t="s">
        <v>107</v>
      </c>
      <c r="K162" t="s">
        <v>108</v>
      </c>
      <c r="L162" t="s">
        <v>1382</v>
      </c>
      <c r="M162" s="88">
        <v>46158.460393518515</v>
      </c>
      <c r="N162" t="s">
        <v>637</v>
      </c>
      <c r="O162" t="s">
        <v>112</v>
      </c>
      <c r="P162" t="s">
        <v>111</v>
      </c>
      <c r="Q162" t="s">
        <v>929</v>
      </c>
      <c r="R162">
        <v>6</v>
      </c>
      <c r="S162" s="89">
        <v>9500</v>
      </c>
      <c r="T162" s="89">
        <v>0</v>
      </c>
      <c r="U162" s="89">
        <v>19980</v>
      </c>
      <c r="V162" s="89">
        <v>19980</v>
      </c>
      <c r="W162" s="89">
        <v>37020</v>
      </c>
    </row>
    <row r="163" spans="1:23" ht="13">
      <c r="A163" t="s">
        <v>1384</v>
      </c>
      <c r="B163" t="s">
        <v>1385</v>
      </c>
      <c r="C163" s="88">
        <v>46161.518819444449</v>
      </c>
      <c r="D163" t="s">
        <v>105</v>
      </c>
      <c r="E163" t="s">
        <v>106</v>
      </c>
      <c r="F163" t="s">
        <v>172</v>
      </c>
      <c r="G163" t="s">
        <v>1386</v>
      </c>
      <c r="H163" t="s">
        <v>172</v>
      </c>
      <c r="I163" s="88">
        <v>46156.430949074071</v>
      </c>
      <c r="J163" t="s">
        <v>107</v>
      </c>
      <c r="K163" t="s">
        <v>108</v>
      </c>
      <c r="L163" t="s">
        <v>1387</v>
      </c>
      <c r="M163" s="88">
        <v>46157.754155092596</v>
      </c>
      <c r="N163" t="s">
        <v>637</v>
      </c>
      <c r="O163" t="s">
        <v>112</v>
      </c>
      <c r="P163" t="s">
        <v>111</v>
      </c>
      <c r="Q163" t="s">
        <v>929</v>
      </c>
      <c r="R163">
        <v>6</v>
      </c>
      <c r="S163" s="89">
        <v>9500</v>
      </c>
      <c r="T163" s="89">
        <v>0</v>
      </c>
      <c r="U163" s="89">
        <v>19980</v>
      </c>
      <c r="V163" s="89">
        <v>19980</v>
      </c>
      <c r="W163" s="89">
        <v>37020</v>
      </c>
    </row>
    <row r="164" spans="1:23" ht="13">
      <c r="A164" t="s">
        <v>1388</v>
      </c>
      <c r="B164" t="s">
        <v>1389</v>
      </c>
      <c r="C164" s="88">
        <v>46161.511388888888</v>
      </c>
      <c r="D164" t="s">
        <v>105</v>
      </c>
      <c r="E164" t="s">
        <v>106</v>
      </c>
      <c r="F164" t="s">
        <v>190</v>
      </c>
      <c r="G164" t="s">
        <v>1390</v>
      </c>
      <c r="H164" t="s">
        <v>190</v>
      </c>
      <c r="I164" s="88">
        <v>46153.424120370371</v>
      </c>
      <c r="J164" t="s">
        <v>107</v>
      </c>
      <c r="K164" t="s">
        <v>108</v>
      </c>
      <c r="L164" t="s">
        <v>1391</v>
      </c>
      <c r="M164" s="88">
        <v>46154.675729166665</v>
      </c>
      <c r="N164" t="s">
        <v>637</v>
      </c>
      <c r="O164" t="s">
        <v>112</v>
      </c>
      <c r="P164" t="s">
        <v>111</v>
      </c>
      <c r="Q164" t="s">
        <v>929</v>
      </c>
      <c r="R164">
        <v>1</v>
      </c>
      <c r="S164" s="89">
        <v>9500</v>
      </c>
      <c r="T164" s="89">
        <v>0</v>
      </c>
      <c r="U164" s="89">
        <v>2090</v>
      </c>
      <c r="V164" s="89">
        <v>2090</v>
      </c>
      <c r="W164" s="89">
        <v>7410</v>
      </c>
    </row>
    <row r="165" spans="1:23" ht="13">
      <c r="A165" t="s">
        <v>1392</v>
      </c>
      <c r="B165" t="s">
        <v>1393</v>
      </c>
      <c r="C165" s="88">
        <v>46161.510416666672</v>
      </c>
      <c r="D165" t="s">
        <v>105</v>
      </c>
      <c r="E165" t="s">
        <v>106</v>
      </c>
      <c r="F165" t="s">
        <v>1394</v>
      </c>
      <c r="G165" t="s">
        <v>1395</v>
      </c>
      <c r="H165" t="s">
        <v>1394</v>
      </c>
      <c r="I165" s="88">
        <v>46156.430960648147</v>
      </c>
      <c r="J165" t="s">
        <v>107</v>
      </c>
      <c r="K165" t="s">
        <v>108</v>
      </c>
      <c r="L165" t="s">
        <v>1396</v>
      </c>
      <c r="M165" s="88">
        <v>46157.463206018518</v>
      </c>
      <c r="N165" t="s">
        <v>637</v>
      </c>
      <c r="O165" t="s">
        <v>112</v>
      </c>
      <c r="P165" t="s">
        <v>111</v>
      </c>
      <c r="Q165" t="s">
        <v>929</v>
      </c>
      <c r="R165">
        <v>3</v>
      </c>
      <c r="S165" s="89">
        <v>9500</v>
      </c>
      <c r="T165" s="89">
        <v>0</v>
      </c>
      <c r="U165" s="89">
        <v>6270</v>
      </c>
      <c r="V165" s="89">
        <v>6270</v>
      </c>
      <c r="W165" s="89">
        <v>22230</v>
      </c>
    </row>
    <row r="166" spans="1:23" ht="13">
      <c r="A166" t="s">
        <v>1397</v>
      </c>
      <c r="B166" t="s">
        <v>1398</v>
      </c>
      <c r="C166" s="88">
        <v>46161.445081018523</v>
      </c>
      <c r="D166" t="s">
        <v>105</v>
      </c>
      <c r="E166" t="s">
        <v>106</v>
      </c>
      <c r="F166" t="s">
        <v>130</v>
      </c>
      <c r="G166" t="s">
        <v>131</v>
      </c>
      <c r="H166" t="s">
        <v>130</v>
      </c>
      <c r="I166" s="88">
        <v>46157.625706018516</v>
      </c>
      <c r="J166" t="s">
        <v>107</v>
      </c>
      <c r="K166" t="s">
        <v>108</v>
      </c>
      <c r="L166" t="s">
        <v>1399</v>
      </c>
      <c r="M166" s="88">
        <v>46158.469872685186</v>
      </c>
      <c r="N166" t="s">
        <v>637</v>
      </c>
      <c r="O166" t="s">
        <v>670</v>
      </c>
      <c r="P166" t="s">
        <v>109</v>
      </c>
      <c r="Q166" t="s">
        <v>670</v>
      </c>
      <c r="R166">
        <v>1</v>
      </c>
      <c r="S166" s="89">
        <v>21060</v>
      </c>
      <c r="T166" s="89">
        <v>0</v>
      </c>
      <c r="U166" s="89">
        <v>0</v>
      </c>
      <c r="V166" s="89">
        <v>0</v>
      </c>
      <c r="W166" s="89">
        <v>21060</v>
      </c>
    </row>
    <row r="167" spans="1:23" ht="13">
      <c r="A167" t="s">
        <v>1400</v>
      </c>
      <c r="B167" t="s">
        <v>1398</v>
      </c>
      <c r="C167" s="88">
        <v>46161.445081018523</v>
      </c>
      <c r="D167" t="s">
        <v>105</v>
      </c>
      <c r="E167" t="s">
        <v>106</v>
      </c>
      <c r="F167" t="s">
        <v>130</v>
      </c>
      <c r="G167" t="s">
        <v>131</v>
      </c>
      <c r="H167" t="s">
        <v>130</v>
      </c>
      <c r="I167" s="88">
        <v>46157.625706018516</v>
      </c>
      <c r="J167" t="s">
        <v>107</v>
      </c>
      <c r="K167" t="s">
        <v>108</v>
      </c>
      <c r="L167" t="s">
        <v>1399</v>
      </c>
      <c r="M167" s="88">
        <v>46158.469872685186</v>
      </c>
      <c r="N167" t="s">
        <v>637</v>
      </c>
      <c r="O167" t="s">
        <v>112</v>
      </c>
      <c r="P167" t="s">
        <v>111</v>
      </c>
      <c r="Q167" t="s">
        <v>638</v>
      </c>
      <c r="R167">
        <v>6</v>
      </c>
      <c r="S167" s="89">
        <v>9500</v>
      </c>
      <c r="T167" s="89">
        <v>0</v>
      </c>
      <c r="U167" s="89">
        <v>19980</v>
      </c>
      <c r="V167" s="89">
        <v>19980</v>
      </c>
      <c r="W167" s="89">
        <v>37020</v>
      </c>
    </row>
    <row r="168" spans="1:23" ht="13">
      <c r="A168" t="s">
        <v>1401</v>
      </c>
      <c r="B168" t="s">
        <v>1402</v>
      </c>
      <c r="C168" s="88">
        <v>46161.418425925927</v>
      </c>
      <c r="D168" t="s">
        <v>105</v>
      </c>
      <c r="E168" t="s">
        <v>106</v>
      </c>
      <c r="F168" t="s">
        <v>1403</v>
      </c>
      <c r="G168" t="s">
        <v>1404</v>
      </c>
      <c r="H168" t="s">
        <v>1403</v>
      </c>
      <c r="I168" s="88">
        <v>46157.625706018516</v>
      </c>
      <c r="J168" t="s">
        <v>107</v>
      </c>
      <c r="K168" t="s">
        <v>108</v>
      </c>
      <c r="L168" t="s">
        <v>1405</v>
      </c>
      <c r="M168" s="88">
        <v>46158.677800925929</v>
      </c>
      <c r="N168" t="s">
        <v>637</v>
      </c>
      <c r="O168" t="s">
        <v>112</v>
      </c>
      <c r="P168" t="s">
        <v>111</v>
      </c>
      <c r="Q168" t="s">
        <v>638</v>
      </c>
      <c r="R168">
        <v>6</v>
      </c>
      <c r="S168" s="89">
        <v>9500</v>
      </c>
      <c r="T168" s="89">
        <v>0</v>
      </c>
      <c r="U168" s="89">
        <v>19980</v>
      </c>
      <c r="V168" s="89">
        <v>19980</v>
      </c>
      <c r="W168" s="89">
        <v>37020</v>
      </c>
    </row>
    <row r="169" spans="1:23" ht="13">
      <c r="A169" t="s">
        <v>1406</v>
      </c>
      <c r="B169" t="s">
        <v>1407</v>
      </c>
      <c r="C169" s="88">
        <v>46161.289918981478</v>
      </c>
      <c r="D169" t="s">
        <v>105</v>
      </c>
      <c r="E169" t="s">
        <v>106</v>
      </c>
      <c r="F169" t="s">
        <v>1408</v>
      </c>
      <c r="G169" t="s">
        <v>1409</v>
      </c>
      <c r="H169" t="s">
        <v>1408</v>
      </c>
      <c r="I169" s="88">
        <v>46153.424120370371</v>
      </c>
      <c r="J169" t="s">
        <v>107</v>
      </c>
      <c r="K169" t="s">
        <v>108</v>
      </c>
      <c r="L169" t="s">
        <v>1410</v>
      </c>
      <c r="M169" s="88">
        <v>46154.494432870371</v>
      </c>
      <c r="N169" t="s">
        <v>637</v>
      </c>
      <c r="O169" t="s">
        <v>112</v>
      </c>
      <c r="P169" t="s">
        <v>111</v>
      </c>
      <c r="Q169" t="s">
        <v>929</v>
      </c>
      <c r="R169">
        <v>6</v>
      </c>
      <c r="S169" s="89">
        <v>9500</v>
      </c>
      <c r="T169" s="89">
        <v>0</v>
      </c>
      <c r="U169" s="89">
        <v>20080</v>
      </c>
      <c r="V169" s="89">
        <v>20080</v>
      </c>
      <c r="W169" s="89">
        <v>36920</v>
      </c>
    </row>
    <row r="170" spans="1:23" ht="13">
      <c r="A170" t="s">
        <v>1411</v>
      </c>
      <c r="B170" t="s">
        <v>1412</v>
      </c>
      <c r="C170" s="88">
        <v>46161.02553240741</v>
      </c>
      <c r="D170" t="s">
        <v>105</v>
      </c>
      <c r="E170" t="s">
        <v>106</v>
      </c>
      <c r="F170" t="s">
        <v>1413</v>
      </c>
      <c r="G170" t="s">
        <v>1414</v>
      </c>
      <c r="H170" t="s">
        <v>1415</v>
      </c>
      <c r="I170" s="88">
        <v>46148.584108796298</v>
      </c>
      <c r="J170" t="s">
        <v>107</v>
      </c>
      <c r="K170" t="s">
        <v>108</v>
      </c>
      <c r="L170" t="s">
        <v>1416</v>
      </c>
      <c r="M170" s="88">
        <v>46149.554074074069</v>
      </c>
      <c r="N170" t="s">
        <v>637</v>
      </c>
      <c r="O170" t="s">
        <v>112</v>
      </c>
      <c r="P170" t="s">
        <v>111</v>
      </c>
      <c r="Q170" t="s">
        <v>1417</v>
      </c>
      <c r="R170">
        <v>1</v>
      </c>
      <c r="S170" s="89">
        <v>9500</v>
      </c>
      <c r="T170" s="89">
        <v>0</v>
      </c>
      <c r="U170" s="89">
        <v>2190</v>
      </c>
      <c r="V170" s="89">
        <v>20080</v>
      </c>
      <c r="W170" s="89">
        <v>7310</v>
      </c>
    </row>
    <row r="171" spans="1:23" ht="13">
      <c r="A171" t="s">
        <v>1418</v>
      </c>
      <c r="B171" t="s">
        <v>1419</v>
      </c>
      <c r="C171" s="88">
        <v>46160.572326388894</v>
      </c>
      <c r="D171" t="s">
        <v>105</v>
      </c>
      <c r="E171" t="s">
        <v>106</v>
      </c>
      <c r="F171" t="s">
        <v>1420</v>
      </c>
      <c r="G171" t="s">
        <v>1421</v>
      </c>
      <c r="H171" t="s">
        <v>1422</v>
      </c>
      <c r="I171" s="88">
        <v>46156.430949074071</v>
      </c>
      <c r="J171" t="s">
        <v>107</v>
      </c>
      <c r="K171" t="s">
        <v>108</v>
      </c>
      <c r="L171" t="s">
        <v>1423</v>
      </c>
      <c r="M171" s="88">
        <v>46157.6715162037</v>
      </c>
      <c r="N171" t="s">
        <v>637</v>
      </c>
      <c r="O171" t="s">
        <v>112</v>
      </c>
      <c r="P171" t="s">
        <v>111</v>
      </c>
      <c r="Q171" t="s">
        <v>929</v>
      </c>
      <c r="R171">
        <v>2</v>
      </c>
      <c r="S171" s="89">
        <v>9500</v>
      </c>
      <c r="T171" s="89">
        <v>0</v>
      </c>
      <c r="U171" s="89">
        <v>4180</v>
      </c>
      <c r="V171" s="89">
        <v>4180</v>
      </c>
      <c r="W171" s="89">
        <v>14820</v>
      </c>
    </row>
    <row r="172" spans="1:23" ht="13">
      <c r="A172" t="s">
        <v>1424</v>
      </c>
      <c r="B172" t="s">
        <v>1425</v>
      </c>
      <c r="C172" s="88">
        <v>46160.513726851852</v>
      </c>
      <c r="D172" t="s">
        <v>105</v>
      </c>
      <c r="E172" t="s">
        <v>106</v>
      </c>
      <c r="F172" t="s">
        <v>1426</v>
      </c>
      <c r="G172" t="s">
        <v>1427</v>
      </c>
      <c r="H172" t="s">
        <v>1426</v>
      </c>
      <c r="I172" s="88">
        <v>46156.430949074071</v>
      </c>
      <c r="J172" t="s">
        <v>107</v>
      </c>
      <c r="K172" t="s">
        <v>108</v>
      </c>
      <c r="L172" t="s">
        <v>1428</v>
      </c>
      <c r="M172" s="88">
        <v>46158.557650462964</v>
      </c>
      <c r="N172" t="s">
        <v>637</v>
      </c>
      <c r="O172" t="s">
        <v>670</v>
      </c>
      <c r="P172" t="s">
        <v>109</v>
      </c>
      <c r="Q172" t="s">
        <v>670</v>
      </c>
      <c r="R172">
        <v>2</v>
      </c>
      <c r="S172" s="89">
        <v>21060</v>
      </c>
      <c r="T172" s="89">
        <v>0</v>
      </c>
      <c r="U172" s="89">
        <v>0</v>
      </c>
      <c r="V172" s="89">
        <v>0</v>
      </c>
      <c r="W172" s="89">
        <v>42120</v>
      </c>
    </row>
    <row r="173" spans="1:23" ht="13">
      <c r="A173" t="s">
        <v>1429</v>
      </c>
      <c r="B173" t="s">
        <v>1425</v>
      </c>
      <c r="C173" s="88">
        <v>46160.513726851852</v>
      </c>
      <c r="D173" t="s">
        <v>105</v>
      </c>
      <c r="E173" t="s">
        <v>106</v>
      </c>
      <c r="F173" t="s">
        <v>1426</v>
      </c>
      <c r="G173" t="s">
        <v>1427</v>
      </c>
      <c r="H173" t="s">
        <v>1426</v>
      </c>
      <c r="I173" s="88">
        <v>46156.430949074071</v>
      </c>
      <c r="J173" t="s">
        <v>107</v>
      </c>
      <c r="K173" t="s">
        <v>108</v>
      </c>
      <c r="L173" t="s">
        <v>1428</v>
      </c>
      <c r="M173" s="88">
        <v>46158.557650462964</v>
      </c>
      <c r="N173" t="s">
        <v>637</v>
      </c>
      <c r="O173" t="s">
        <v>112</v>
      </c>
      <c r="P173" t="s">
        <v>111</v>
      </c>
      <c r="Q173" t="s">
        <v>929</v>
      </c>
      <c r="R173">
        <v>6</v>
      </c>
      <c r="S173" s="89">
        <v>9500</v>
      </c>
      <c r="T173" s="89">
        <v>0</v>
      </c>
      <c r="U173" s="89">
        <v>22980</v>
      </c>
      <c r="V173" s="89">
        <v>19980</v>
      </c>
      <c r="W173" s="89">
        <v>34020</v>
      </c>
    </row>
    <row r="174" spans="1:23" ht="13">
      <c r="A174" t="s">
        <v>1430</v>
      </c>
      <c r="B174" t="s">
        <v>1431</v>
      </c>
      <c r="C174" s="88">
        <v>46160.408668981487</v>
      </c>
      <c r="D174" t="s">
        <v>105</v>
      </c>
      <c r="E174" t="s">
        <v>106</v>
      </c>
      <c r="F174" t="s">
        <v>1432</v>
      </c>
      <c r="G174" t="s">
        <v>1433</v>
      </c>
      <c r="H174" t="s">
        <v>1432</v>
      </c>
      <c r="I174" s="88">
        <v>46156.430960648147</v>
      </c>
      <c r="J174" t="s">
        <v>107</v>
      </c>
      <c r="K174" t="s">
        <v>108</v>
      </c>
      <c r="L174" t="s">
        <v>1434</v>
      </c>
      <c r="M174" s="88">
        <v>46157.643229166672</v>
      </c>
      <c r="N174" t="s">
        <v>637</v>
      </c>
      <c r="O174" t="s">
        <v>112</v>
      </c>
      <c r="P174" t="s">
        <v>111</v>
      </c>
      <c r="Q174" t="s">
        <v>929</v>
      </c>
      <c r="R174">
        <v>1</v>
      </c>
      <c r="S174" s="89">
        <v>9500</v>
      </c>
      <c r="T174" s="89">
        <v>0</v>
      </c>
      <c r="U174" s="89">
        <v>2090</v>
      </c>
      <c r="V174" s="89">
        <v>2090</v>
      </c>
      <c r="W174" s="89">
        <v>7410</v>
      </c>
    </row>
    <row r="175" spans="1:23" ht="13">
      <c r="A175" t="s">
        <v>1435</v>
      </c>
      <c r="B175" t="s">
        <v>1436</v>
      </c>
      <c r="C175" s="88">
        <v>46160.408530092594</v>
      </c>
      <c r="D175" t="s">
        <v>105</v>
      </c>
      <c r="E175" t="s">
        <v>106</v>
      </c>
      <c r="F175" t="s">
        <v>1437</v>
      </c>
      <c r="G175" t="s">
        <v>1438</v>
      </c>
      <c r="H175" t="s">
        <v>1437</v>
      </c>
      <c r="I175" s="88">
        <v>46156.430960648147</v>
      </c>
      <c r="J175" t="s">
        <v>107</v>
      </c>
      <c r="K175" t="s">
        <v>108</v>
      </c>
      <c r="L175" t="s">
        <v>1439</v>
      </c>
      <c r="M175" s="88">
        <v>46157.643229166672</v>
      </c>
      <c r="N175" t="s">
        <v>637</v>
      </c>
      <c r="O175" t="s">
        <v>112</v>
      </c>
      <c r="P175" t="s">
        <v>111</v>
      </c>
      <c r="Q175" t="s">
        <v>929</v>
      </c>
      <c r="R175">
        <v>3</v>
      </c>
      <c r="S175" s="89">
        <v>9500</v>
      </c>
      <c r="T175" s="89">
        <v>0</v>
      </c>
      <c r="U175" s="89">
        <v>6270</v>
      </c>
      <c r="V175" s="89">
        <v>6270</v>
      </c>
      <c r="W175" s="89">
        <v>22230</v>
      </c>
    </row>
    <row r="176" spans="1:23" ht="13">
      <c r="A176" t="s">
        <v>1440</v>
      </c>
      <c r="B176" t="s">
        <v>1441</v>
      </c>
      <c r="C176" s="88">
        <v>46160.396168981482</v>
      </c>
      <c r="D176" t="s">
        <v>105</v>
      </c>
      <c r="E176" t="s">
        <v>106</v>
      </c>
      <c r="F176" t="s">
        <v>1442</v>
      </c>
      <c r="G176" t="s">
        <v>1443</v>
      </c>
      <c r="H176" t="s">
        <v>1442</v>
      </c>
      <c r="I176" s="88">
        <v>46156.430949074071</v>
      </c>
      <c r="J176" t="s">
        <v>107</v>
      </c>
      <c r="K176" t="s">
        <v>108</v>
      </c>
      <c r="L176" t="s">
        <v>1444</v>
      </c>
      <c r="M176" s="88">
        <v>46157.463206018518</v>
      </c>
      <c r="N176" t="s">
        <v>637</v>
      </c>
      <c r="O176" t="s">
        <v>112</v>
      </c>
      <c r="P176" t="s">
        <v>111</v>
      </c>
      <c r="Q176" t="s">
        <v>929</v>
      </c>
      <c r="R176">
        <v>7</v>
      </c>
      <c r="S176" s="89">
        <v>9500</v>
      </c>
      <c r="T176" s="89">
        <v>0</v>
      </c>
      <c r="U176" s="89">
        <v>23310</v>
      </c>
      <c r="V176" s="89">
        <v>23310</v>
      </c>
      <c r="W176" s="89">
        <v>43190</v>
      </c>
    </row>
    <row r="177" spans="1:23" ht="13">
      <c r="A177" t="s">
        <v>1445</v>
      </c>
      <c r="B177" t="s">
        <v>1446</v>
      </c>
      <c r="C177" s="88">
        <v>46160.392835648148</v>
      </c>
      <c r="D177" t="s">
        <v>105</v>
      </c>
      <c r="E177" t="s">
        <v>106</v>
      </c>
      <c r="F177" t="s">
        <v>1447</v>
      </c>
      <c r="G177" t="s">
        <v>1448</v>
      </c>
      <c r="H177" t="s">
        <v>1447</v>
      </c>
      <c r="I177" s="88">
        <v>46156.430949074071</v>
      </c>
      <c r="J177" t="s">
        <v>107</v>
      </c>
      <c r="K177" t="s">
        <v>108</v>
      </c>
      <c r="L177" t="s">
        <v>1449</v>
      </c>
      <c r="M177" s="88">
        <v>46157.673009259262</v>
      </c>
      <c r="N177" t="s">
        <v>637</v>
      </c>
      <c r="O177" t="s">
        <v>112</v>
      </c>
      <c r="P177" t="s">
        <v>111</v>
      </c>
      <c r="Q177" t="s">
        <v>929</v>
      </c>
      <c r="R177">
        <v>2</v>
      </c>
      <c r="S177" s="89">
        <v>9500</v>
      </c>
      <c r="T177" s="89">
        <v>0</v>
      </c>
      <c r="U177" s="89">
        <v>4180</v>
      </c>
      <c r="V177" s="89">
        <v>4180</v>
      </c>
      <c r="W177" s="89">
        <v>14820</v>
      </c>
    </row>
    <row r="178" spans="1:23" ht="13">
      <c r="A178" t="s">
        <v>1450</v>
      </c>
      <c r="B178" t="s">
        <v>1451</v>
      </c>
      <c r="C178" s="88">
        <v>46160.38212962963</v>
      </c>
      <c r="D178" t="s">
        <v>105</v>
      </c>
      <c r="E178" t="s">
        <v>106</v>
      </c>
      <c r="F178" t="s">
        <v>1452</v>
      </c>
      <c r="G178" t="s">
        <v>1453</v>
      </c>
      <c r="H178" t="s">
        <v>1452</v>
      </c>
      <c r="I178" s="88">
        <v>46156.430949074071</v>
      </c>
      <c r="J178" t="s">
        <v>107</v>
      </c>
      <c r="K178" t="s">
        <v>108</v>
      </c>
      <c r="L178" t="s">
        <v>1454</v>
      </c>
      <c r="M178" s="88">
        <v>46157.463206018518</v>
      </c>
      <c r="N178" t="s">
        <v>637</v>
      </c>
      <c r="O178" t="s">
        <v>112</v>
      </c>
      <c r="P178" t="s">
        <v>111</v>
      </c>
      <c r="Q178" t="s">
        <v>929</v>
      </c>
      <c r="R178">
        <v>2</v>
      </c>
      <c r="S178" s="89">
        <v>9500</v>
      </c>
      <c r="T178" s="89">
        <v>0</v>
      </c>
      <c r="U178" s="89">
        <v>4180</v>
      </c>
      <c r="V178" s="89">
        <v>4180</v>
      </c>
      <c r="W178" s="89">
        <v>14820</v>
      </c>
    </row>
    <row r="179" spans="1:23" ht="13">
      <c r="A179" t="s">
        <v>1455</v>
      </c>
      <c r="B179" t="s">
        <v>1456</v>
      </c>
      <c r="C179" s="88">
        <v>46160.358553240745</v>
      </c>
      <c r="D179" t="s">
        <v>105</v>
      </c>
      <c r="E179" t="s">
        <v>106</v>
      </c>
      <c r="F179" t="s">
        <v>1457</v>
      </c>
      <c r="G179" t="s">
        <v>1458</v>
      </c>
      <c r="H179" t="s">
        <v>1457</v>
      </c>
      <c r="I179" s="88">
        <v>46156.430949074071</v>
      </c>
      <c r="J179" t="s">
        <v>107</v>
      </c>
      <c r="K179" t="s">
        <v>108</v>
      </c>
      <c r="L179" t="s">
        <v>1459</v>
      </c>
      <c r="M179" s="88">
        <v>46157.67087962963</v>
      </c>
      <c r="N179" t="s">
        <v>637</v>
      </c>
      <c r="O179" t="s">
        <v>112</v>
      </c>
      <c r="P179" t="s">
        <v>111</v>
      </c>
      <c r="Q179" t="s">
        <v>929</v>
      </c>
      <c r="R179">
        <v>2</v>
      </c>
      <c r="S179" s="89">
        <v>9500</v>
      </c>
      <c r="T179" s="89">
        <v>0</v>
      </c>
      <c r="U179" s="89">
        <v>4180</v>
      </c>
      <c r="V179" s="89">
        <v>4180</v>
      </c>
      <c r="W179" s="89">
        <v>14820</v>
      </c>
    </row>
    <row r="180" spans="1:23" ht="13">
      <c r="A180" t="s">
        <v>1460</v>
      </c>
      <c r="B180" t="s">
        <v>1461</v>
      </c>
      <c r="C180" s="88">
        <v>46160.29106481481</v>
      </c>
      <c r="D180" t="s">
        <v>105</v>
      </c>
      <c r="E180" t="s">
        <v>106</v>
      </c>
      <c r="F180" t="s">
        <v>1462</v>
      </c>
      <c r="G180" t="s">
        <v>1463</v>
      </c>
      <c r="H180" t="s">
        <v>1462</v>
      </c>
      <c r="I180" s="88">
        <v>46156.430949074071</v>
      </c>
      <c r="J180" t="s">
        <v>107</v>
      </c>
      <c r="K180" t="s">
        <v>108</v>
      </c>
      <c r="L180" t="s">
        <v>1464</v>
      </c>
      <c r="M180" s="88">
        <v>46157.501956018517</v>
      </c>
      <c r="N180" t="s">
        <v>637</v>
      </c>
      <c r="O180" t="s">
        <v>112</v>
      </c>
      <c r="P180" t="s">
        <v>111</v>
      </c>
      <c r="Q180" t="s">
        <v>929</v>
      </c>
      <c r="R180">
        <v>3</v>
      </c>
      <c r="S180" s="89">
        <v>9500</v>
      </c>
      <c r="T180" s="89">
        <v>0</v>
      </c>
      <c r="U180" s="89">
        <v>6270</v>
      </c>
      <c r="V180" s="89">
        <v>6270</v>
      </c>
      <c r="W180" s="89">
        <v>22230</v>
      </c>
    </row>
    <row r="181" spans="1:23" ht="13">
      <c r="A181" t="s">
        <v>1465</v>
      </c>
      <c r="B181" t="s">
        <v>1466</v>
      </c>
      <c r="C181" s="88">
        <v>46160.148379629631</v>
      </c>
      <c r="D181" t="s">
        <v>105</v>
      </c>
      <c r="E181" t="s">
        <v>106</v>
      </c>
      <c r="F181" t="s">
        <v>1467</v>
      </c>
      <c r="G181" t="s">
        <v>1468</v>
      </c>
      <c r="H181" t="s">
        <v>1467</v>
      </c>
      <c r="I181" s="88">
        <v>46156.430960648147</v>
      </c>
      <c r="J181" t="s">
        <v>107</v>
      </c>
      <c r="K181" t="s">
        <v>108</v>
      </c>
      <c r="L181" t="s">
        <v>1469</v>
      </c>
      <c r="M181" s="88">
        <v>46157.5465625</v>
      </c>
      <c r="N181" t="s">
        <v>637</v>
      </c>
      <c r="O181" t="s">
        <v>112</v>
      </c>
      <c r="P181" t="s">
        <v>111</v>
      </c>
      <c r="Q181" t="s">
        <v>929</v>
      </c>
      <c r="R181">
        <v>3</v>
      </c>
      <c r="S181" s="89">
        <v>9500</v>
      </c>
      <c r="T181" s="89">
        <v>0</v>
      </c>
      <c r="U181" s="89">
        <v>6270</v>
      </c>
      <c r="V181" s="89">
        <v>6270</v>
      </c>
      <c r="W181" s="89">
        <v>22230</v>
      </c>
    </row>
    <row r="182" spans="1:23" ht="13">
      <c r="A182" t="s">
        <v>1470</v>
      </c>
      <c r="B182" t="s">
        <v>1471</v>
      </c>
      <c r="C182" s="88">
        <v>46159.960428240738</v>
      </c>
      <c r="D182" t="s">
        <v>105</v>
      </c>
      <c r="E182" t="s">
        <v>106</v>
      </c>
      <c r="F182" t="s">
        <v>1472</v>
      </c>
      <c r="G182" t="s">
        <v>1473</v>
      </c>
      <c r="H182" t="s">
        <v>1472</v>
      </c>
      <c r="I182" s="88">
        <v>46156.430949074071</v>
      </c>
      <c r="J182" t="s">
        <v>107</v>
      </c>
      <c r="K182" t="s">
        <v>108</v>
      </c>
      <c r="L182" t="s">
        <v>1474</v>
      </c>
      <c r="M182" s="88">
        <v>46157.550856481481</v>
      </c>
      <c r="N182" t="s">
        <v>637</v>
      </c>
      <c r="O182" t="s">
        <v>112</v>
      </c>
      <c r="P182" t="s">
        <v>111</v>
      </c>
      <c r="Q182" t="s">
        <v>929</v>
      </c>
      <c r="R182">
        <v>4</v>
      </c>
      <c r="S182" s="89">
        <v>9500</v>
      </c>
      <c r="T182" s="89">
        <v>0</v>
      </c>
      <c r="U182" s="89">
        <v>8360</v>
      </c>
      <c r="V182" s="89">
        <v>8360</v>
      </c>
      <c r="W182" s="89">
        <v>29640</v>
      </c>
    </row>
    <row r="183" spans="1:23" ht="13">
      <c r="A183" t="s">
        <v>1475</v>
      </c>
      <c r="B183" t="s">
        <v>1476</v>
      </c>
      <c r="C183" s="88">
        <v>46159.907916666663</v>
      </c>
      <c r="D183" t="s">
        <v>105</v>
      </c>
      <c r="E183" t="s">
        <v>106</v>
      </c>
      <c r="F183" t="s">
        <v>324</v>
      </c>
      <c r="G183" t="s">
        <v>1477</v>
      </c>
      <c r="H183" t="s">
        <v>324</v>
      </c>
      <c r="I183" s="88">
        <v>46157.403136574074</v>
      </c>
      <c r="J183" t="s">
        <v>107</v>
      </c>
      <c r="K183" t="s">
        <v>108</v>
      </c>
      <c r="L183" t="s">
        <v>1478</v>
      </c>
      <c r="M183" s="88">
        <v>46158.466122685189</v>
      </c>
      <c r="N183" t="s">
        <v>637</v>
      </c>
      <c r="O183" t="s">
        <v>112</v>
      </c>
      <c r="P183" t="s">
        <v>111</v>
      </c>
      <c r="Q183" t="s">
        <v>929</v>
      </c>
      <c r="R183">
        <v>20</v>
      </c>
      <c r="S183" s="89">
        <v>9500</v>
      </c>
      <c r="T183" s="89">
        <v>0</v>
      </c>
      <c r="U183" s="89">
        <v>66600</v>
      </c>
      <c r="V183" s="89">
        <v>66600</v>
      </c>
      <c r="W183" s="89">
        <v>123400</v>
      </c>
    </row>
    <row r="184" spans="1:23" ht="13">
      <c r="A184" t="s">
        <v>1479</v>
      </c>
      <c r="B184" t="s">
        <v>1480</v>
      </c>
      <c r="C184" s="88">
        <v>46159.575972222221</v>
      </c>
      <c r="D184" t="s">
        <v>105</v>
      </c>
      <c r="E184" t="s">
        <v>106</v>
      </c>
      <c r="F184" t="s">
        <v>1481</v>
      </c>
      <c r="G184" t="s">
        <v>1482</v>
      </c>
      <c r="H184" t="s">
        <v>1481</v>
      </c>
      <c r="I184" s="88">
        <v>46156.430949074071</v>
      </c>
      <c r="J184" t="s">
        <v>107</v>
      </c>
      <c r="K184" t="s">
        <v>108</v>
      </c>
      <c r="L184" t="s">
        <v>1483</v>
      </c>
      <c r="M184" s="88">
        <v>46157.595868055556</v>
      </c>
      <c r="N184" t="s">
        <v>637</v>
      </c>
      <c r="O184" t="s">
        <v>112</v>
      </c>
      <c r="P184" t="s">
        <v>111</v>
      </c>
      <c r="Q184" t="s">
        <v>929</v>
      </c>
      <c r="R184">
        <v>3</v>
      </c>
      <c r="S184" s="89">
        <v>9500</v>
      </c>
      <c r="T184" s="89">
        <v>0</v>
      </c>
      <c r="U184" s="89">
        <v>6270</v>
      </c>
      <c r="V184" s="89">
        <v>6270</v>
      </c>
      <c r="W184" s="89">
        <v>22230</v>
      </c>
    </row>
    <row r="185" spans="1:23" ht="13">
      <c r="A185" t="s">
        <v>1484</v>
      </c>
      <c r="B185" t="s">
        <v>1485</v>
      </c>
      <c r="C185" s="88">
        <v>46159.541990740741</v>
      </c>
      <c r="D185" t="s">
        <v>105</v>
      </c>
      <c r="E185" t="s">
        <v>106</v>
      </c>
      <c r="F185" t="s">
        <v>1486</v>
      </c>
      <c r="G185" t="s">
        <v>1487</v>
      </c>
      <c r="H185" t="s">
        <v>1486</v>
      </c>
      <c r="I185" s="88">
        <v>46156.430949074071</v>
      </c>
      <c r="J185" t="s">
        <v>107</v>
      </c>
      <c r="K185" t="s">
        <v>108</v>
      </c>
      <c r="L185" t="s">
        <v>1488</v>
      </c>
      <c r="M185" s="88">
        <v>46157.501956018517</v>
      </c>
      <c r="N185" t="s">
        <v>637</v>
      </c>
      <c r="O185" t="s">
        <v>112</v>
      </c>
      <c r="P185" t="s">
        <v>111</v>
      </c>
      <c r="Q185" t="s">
        <v>929</v>
      </c>
      <c r="R185">
        <v>3</v>
      </c>
      <c r="S185" s="89">
        <v>9500</v>
      </c>
      <c r="T185" s="89">
        <v>0</v>
      </c>
      <c r="U185" s="89">
        <v>6270</v>
      </c>
      <c r="V185" s="89">
        <v>6270</v>
      </c>
      <c r="W185" s="89">
        <v>22230</v>
      </c>
    </row>
    <row r="186" spans="1:23" ht="13">
      <c r="A186" t="s">
        <v>1489</v>
      </c>
      <c r="B186" t="s">
        <v>1490</v>
      </c>
      <c r="C186" s="88">
        <v>46159.075428240743</v>
      </c>
      <c r="D186" t="s">
        <v>105</v>
      </c>
      <c r="E186" t="s">
        <v>106</v>
      </c>
      <c r="F186" t="s">
        <v>1491</v>
      </c>
      <c r="G186" t="s">
        <v>1492</v>
      </c>
      <c r="H186" t="s">
        <v>1493</v>
      </c>
      <c r="I186" s="88">
        <v>46150.584062499998</v>
      </c>
      <c r="J186" t="s">
        <v>107</v>
      </c>
      <c r="K186" t="s">
        <v>108</v>
      </c>
      <c r="L186" t="s">
        <v>1494</v>
      </c>
      <c r="M186" s="88">
        <v>46151.607534722221</v>
      </c>
      <c r="N186" t="s">
        <v>637</v>
      </c>
      <c r="O186" t="s">
        <v>112</v>
      </c>
      <c r="P186" t="s">
        <v>111</v>
      </c>
      <c r="Q186" t="s">
        <v>1417</v>
      </c>
      <c r="R186">
        <v>2</v>
      </c>
      <c r="S186" s="89">
        <v>9500</v>
      </c>
      <c r="T186" s="89">
        <v>0</v>
      </c>
      <c r="U186" s="89">
        <v>4280</v>
      </c>
      <c r="V186" s="89">
        <v>4280</v>
      </c>
      <c r="W186" s="89">
        <v>14720</v>
      </c>
    </row>
    <row r="187" spans="1:23" ht="13">
      <c r="A187" t="s">
        <v>1495</v>
      </c>
      <c r="B187" t="s">
        <v>1496</v>
      </c>
      <c r="C187" s="88">
        <v>46158.862835648149</v>
      </c>
      <c r="D187" t="s">
        <v>105</v>
      </c>
      <c r="E187" t="s">
        <v>106</v>
      </c>
      <c r="F187" t="s">
        <v>420</v>
      </c>
      <c r="G187" t="s">
        <v>1497</v>
      </c>
      <c r="H187" t="s">
        <v>420</v>
      </c>
      <c r="I187" s="88">
        <v>46156.430949074071</v>
      </c>
      <c r="J187" t="s">
        <v>107</v>
      </c>
      <c r="K187" t="s">
        <v>108</v>
      </c>
      <c r="L187" t="s">
        <v>1498</v>
      </c>
      <c r="M187" s="88">
        <v>46158.653171296297</v>
      </c>
      <c r="N187" t="s">
        <v>637</v>
      </c>
      <c r="O187" t="s">
        <v>670</v>
      </c>
      <c r="P187" t="s">
        <v>109</v>
      </c>
      <c r="Q187" t="s">
        <v>670</v>
      </c>
      <c r="R187">
        <v>2</v>
      </c>
      <c r="S187" s="89">
        <v>21060</v>
      </c>
      <c r="T187" s="89">
        <v>0</v>
      </c>
      <c r="U187" s="89">
        <v>0</v>
      </c>
      <c r="V187" s="89">
        <v>0</v>
      </c>
      <c r="W187" s="89">
        <v>42120</v>
      </c>
    </row>
    <row r="188" spans="1:23" ht="13">
      <c r="A188" t="s">
        <v>1499</v>
      </c>
      <c r="B188" t="s">
        <v>1496</v>
      </c>
      <c r="C188" s="88">
        <v>46158.862835648149</v>
      </c>
      <c r="D188" t="s">
        <v>105</v>
      </c>
      <c r="E188" t="s">
        <v>106</v>
      </c>
      <c r="F188" t="s">
        <v>420</v>
      </c>
      <c r="G188" t="s">
        <v>1497</v>
      </c>
      <c r="H188" t="s">
        <v>420</v>
      </c>
      <c r="I188" s="88">
        <v>46156.430949074071</v>
      </c>
      <c r="J188" t="s">
        <v>107</v>
      </c>
      <c r="K188" t="s">
        <v>108</v>
      </c>
      <c r="L188" t="s">
        <v>1498</v>
      </c>
      <c r="M188" s="88">
        <v>46158.65315972222</v>
      </c>
      <c r="N188" t="s">
        <v>637</v>
      </c>
      <c r="O188" t="s">
        <v>112</v>
      </c>
      <c r="P188" t="s">
        <v>111</v>
      </c>
      <c r="Q188" t="s">
        <v>929</v>
      </c>
      <c r="R188">
        <v>2</v>
      </c>
      <c r="S188" s="89">
        <v>9500</v>
      </c>
      <c r="T188" s="89">
        <v>0</v>
      </c>
      <c r="U188" s="89">
        <v>4180</v>
      </c>
      <c r="V188" s="89">
        <v>4180</v>
      </c>
      <c r="W188" s="89">
        <v>14820</v>
      </c>
    </row>
    <row r="189" spans="1:23" ht="13">
      <c r="A189" t="s">
        <v>1500</v>
      </c>
      <c r="B189" t="s">
        <v>1501</v>
      </c>
      <c r="C189" s="88">
        <v>46158.384189814809</v>
      </c>
      <c r="D189" t="s">
        <v>105</v>
      </c>
      <c r="E189" t="s">
        <v>106</v>
      </c>
      <c r="F189" t="s">
        <v>1502</v>
      </c>
      <c r="G189" t="s">
        <v>1503</v>
      </c>
      <c r="H189" t="s">
        <v>1502</v>
      </c>
      <c r="I189" s="88">
        <v>46156.430949074071</v>
      </c>
      <c r="J189" t="s">
        <v>107</v>
      </c>
      <c r="K189" t="s">
        <v>108</v>
      </c>
      <c r="L189" t="s">
        <v>1504</v>
      </c>
      <c r="M189" s="88">
        <v>46157.67087962963</v>
      </c>
      <c r="N189" t="s">
        <v>637</v>
      </c>
      <c r="O189" t="s">
        <v>112</v>
      </c>
      <c r="P189" t="s">
        <v>111</v>
      </c>
      <c r="Q189" t="s">
        <v>929</v>
      </c>
      <c r="R189">
        <v>6</v>
      </c>
      <c r="S189" s="89">
        <v>9500</v>
      </c>
      <c r="T189" s="89">
        <v>0</v>
      </c>
      <c r="U189" s="89">
        <v>19980</v>
      </c>
      <c r="V189" s="89">
        <v>19980</v>
      </c>
      <c r="W189" s="89">
        <v>37020</v>
      </c>
    </row>
    <row r="190" spans="1:23" ht="13">
      <c r="A190" t="s">
        <v>1505</v>
      </c>
      <c r="B190" t="s">
        <v>1506</v>
      </c>
      <c r="C190" s="88">
        <v>46158.264131944445</v>
      </c>
      <c r="D190" t="s">
        <v>105</v>
      </c>
      <c r="E190" t="s">
        <v>106</v>
      </c>
      <c r="F190" t="s">
        <v>1507</v>
      </c>
      <c r="G190" t="s">
        <v>1508</v>
      </c>
      <c r="H190" t="s">
        <v>1507</v>
      </c>
      <c r="I190" s="88">
        <v>46156.430960648147</v>
      </c>
      <c r="J190" t="s">
        <v>107</v>
      </c>
      <c r="K190" t="s">
        <v>108</v>
      </c>
      <c r="L190" t="s">
        <v>1509</v>
      </c>
      <c r="M190" s="88">
        <v>46157.595868055556</v>
      </c>
      <c r="N190" t="s">
        <v>637</v>
      </c>
      <c r="O190" t="s">
        <v>112</v>
      </c>
      <c r="P190" t="s">
        <v>111</v>
      </c>
      <c r="Q190" t="s">
        <v>929</v>
      </c>
      <c r="R190">
        <v>6</v>
      </c>
      <c r="S190" s="89">
        <v>9500</v>
      </c>
      <c r="T190" s="89">
        <v>0</v>
      </c>
      <c r="U190" s="89">
        <v>19980</v>
      </c>
      <c r="V190" s="89">
        <v>19980</v>
      </c>
      <c r="W190" s="89">
        <v>37020</v>
      </c>
    </row>
    <row r="191" spans="1:23" ht="13">
      <c r="A191" t="s">
        <v>1510</v>
      </c>
      <c r="B191" t="s">
        <v>1511</v>
      </c>
      <c r="C191" s="88">
        <v>46158.126620370371</v>
      </c>
      <c r="D191" t="s">
        <v>105</v>
      </c>
      <c r="E191" t="s">
        <v>106</v>
      </c>
      <c r="F191" t="s">
        <v>1512</v>
      </c>
      <c r="G191" t="s">
        <v>1513</v>
      </c>
      <c r="H191" t="s">
        <v>1512</v>
      </c>
      <c r="I191" s="88">
        <v>46149.625798611116</v>
      </c>
      <c r="J191" t="s">
        <v>107</v>
      </c>
      <c r="K191" t="s">
        <v>108</v>
      </c>
      <c r="L191" t="s">
        <v>1514</v>
      </c>
      <c r="M191" s="88">
        <v>46150.552662037036</v>
      </c>
      <c r="N191" t="s">
        <v>637</v>
      </c>
      <c r="O191" t="s">
        <v>112</v>
      </c>
      <c r="P191" t="s">
        <v>111</v>
      </c>
      <c r="Q191" t="s">
        <v>1417</v>
      </c>
      <c r="R191">
        <v>6</v>
      </c>
      <c r="S191" s="89">
        <v>9500</v>
      </c>
      <c r="T191" s="89">
        <v>0</v>
      </c>
      <c r="U191" s="89">
        <v>20080</v>
      </c>
      <c r="V191" s="89">
        <v>20080</v>
      </c>
      <c r="W191" s="89">
        <v>36920</v>
      </c>
    </row>
    <row r="192" spans="1:23" ht="13">
      <c r="A192" t="s">
        <v>1515</v>
      </c>
      <c r="B192" t="s">
        <v>1516</v>
      </c>
      <c r="C192" s="88">
        <v>46158.126620370371</v>
      </c>
      <c r="D192" t="s">
        <v>105</v>
      </c>
      <c r="E192" t="s">
        <v>106</v>
      </c>
      <c r="F192" t="s">
        <v>354</v>
      </c>
      <c r="G192" t="s">
        <v>1517</v>
      </c>
      <c r="H192" t="s">
        <v>354</v>
      </c>
      <c r="I192" s="88">
        <v>46149.625798611116</v>
      </c>
      <c r="J192" t="s">
        <v>107</v>
      </c>
      <c r="K192" t="s">
        <v>108</v>
      </c>
      <c r="L192" t="s">
        <v>1518</v>
      </c>
      <c r="M192" s="88">
        <v>46150.550150462965</v>
      </c>
      <c r="N192" t="s">
        <v>637</v>
      </c>
      <c r="O192" t="s">
        <v>112</v>
      </c>
      <c r="P192" t="s">
        <v>111</v>
      </c>
      <c r="Q192" t="s">
        <v>1417</v>
      </c>
      <c r="R192">
        <v>10</v>
      </c>
      <c r="S192" s="89">
        <v>9500</v>
      </c>
      <c r="T192" s="89">
        <v>0</v>
      </c>
      <c r="U192" s="89">
        <v>33300</v>
      </c>
      <c r="V192" s="89">
        <v>33300</v>
      </c>
      <c r="W192" s="89">
        <v>61700</v>
      </c>
    </row>
    <row r="193" spans="1:23" ht="13">
      <c r="A193" t="s">
        <v>1519</v>
      </c>
      <c r="B193" t="s">
        <v>1520</v>
      </c>
      <c r="C193" s="88">
        <v>46158.10219907407</v>
      </c>
      <c r="D193" t="s">
        <v>105</v>
      </c>
      <c r="E193" t="s">
        <v>106</v>
      </c>
      <c r="F193" t="s">
        <v>332</v>
      </c>
      <c r="G193" t="s">
        <v>1521</v>
      </c>
      <c r="H193" t="s">
        <v>332</v>
      </c>
      <c r="I193" s="88">
        <v>46149.625798611116</v>
      </c>
      <c r="J193" t="s">
        <v>107</v>
      </c>
      <c r="K193" t="s">
        <v>108</v>
      </c>
      <c r="L193" t="s">
        <v>1522</v>
      </c>
      <c r="M193" s="88">
        <v>46150.681423611109</v>
      </c>
      <c r="N193" t="s">
        <v>637</v>
      </c>
      <c r="O193" t="s">
        <v>112</v>
      </c>
      <c r="P193" t="s">
        <v>111</v>
      </c>
      <c r="Q193" t="s">
        <v>1417</v>
      </c>
      <c r="R193">
        <v>6</v>
      </c>
      <c r="S193" s="89">
        <v>9500</v>
      </c>
      <c r="T193" s="89">
        <v>0</v>
      </c>
      <c r="U193" s="89">
        <v>20080</v>
      </c>
      <c r="V193" s="89">
        <v>20080</v>
      </c>
      <c r="W193" s="89">
        <v>36920</v>
      </c>
    </row>
    <row r="194" spans="1:23" ht="13">
      <c r="A194" t="s">
        <v>1523</v>
      </c>
      <c r="B194" t="s">
        <v>1524</v>
      </c>
      <c r="C194" s="88">
        <v>46158.101851851854</v>
      </c>
      <c r="D194" t="s">
        <v>105</v>
      </c>
      <c r="E194" t="s">
        <v>106</v>
      </c>
      <c r="F194" t="s">
        <v>1525</v>
      </c>
      <c r="G194" t="s">
        <v>1526</v>
      </c>
      <c r="H194" t="s">
        <v>1525</v>
      </c>
      <c r="I194" s="88">
        <v>46149.625798611116</v>
      </c>
      <c r="J194" t="s">
        <v>107</v>
      </c>
      <c r="K194" t="s">
        <v>108</v>
      </c>
      <c r="L194" t="s">
        <v>1527</v>
      </c>
      <c r="M194" s="88">
        <v>46150.469097222223</v>
      </c>
      <c r="N194" t="s">
        <v>637</v>
      </c>
      <c r="O194" t="s">
        <v>112</v>
      </c>
      <c r="P194" t="s">
        <v>111</v>
      </c>
      <c r="Q194" t="s">
        <v>1417</v>
      </c>
      <c r="R194">
        <v>3</v>
      </c>
      <c r="S194" s="89">
        <v>9500</v>
      </c>
      <c r="T194" s="89">
        <v>0</v>
      </c>
      <c r="U194" s="89">
        <v>6370</v>
      </c>
      <c r="V194" s="89">
        <v>6370</v>
      </c>
      <c r="W194" s="89">
        <v>22130</v>
      </c>
    </row>
    <row r="195" spans="1:23" ht="13">
      <c r="A195" t="s">
        <v>1528</v>
      </c>
      <c r="B195" t="s">
        <v>1529</v>
      </c>
      <c r="C195" s="88">
        <v>46158.101469907408</v>
      </c>
      <c r="D195" t="s">
        <v>105</v>
      </c>
      <c r="E195" t="s">
        <v>106</v>
      </c>
      <c r="F195" t="s">
        <v>1530</v>
      </c>
      <c r="G195" t="s">
        <v>1531</v>
      </c>
      <c r="H195" t="s">
        <v>1530</v>
      </c>
      <c r="I195" s="88">
        <v>46149.625798611116</v>
      </c>
      <c r="J195" t="s">
        <v>107</v>
      </c>
      <c r="K195" t="s">
        <v>108</v>
      </c>
      <c r="L195" t="s">
        <v>1532</v>
      </c>
      <c r="M195" s="88">
        <v>46150.476990740739</v>
      </c>
      <c r="N195" t="s">
        <v>637</v>
      </c>
      <c r="O195" t="s">
        <v>112</v>
      </c>
      <c r="P195" t="s">
        <v>111</v>
      </c>
      <c r="Q195" t="s">
        <v>1417</v>
      </c>
      <c r="R195">
        <v>2</v>
      </c>
      <c r="S195" s="89">
        <v>9500</v>
      </c>
      <c r="T195" s="89">
        <v>0</v>
      </c>
      <c r="U195" s="89">
        <v>4180</v>
      </c>
      <c r="V195" s="89">
        <v>4180</v>
      </c>
      <c r="W195" s="89">
        <v>14820</v>
      </c>
    </row>
    <row r="196" spans="1:23" ht="13">
      <c r="A196" t="s">
        <v>1533</v>
      </c>
      <c r="B196" t="s">
        <v>1534</v>
      </c>
      <c r="C196" s="88">
        <v>46158.101469907408</v>
      </c>
      <c r="D196" t="s">
        <v>105</v>
      </c>
      <c r="E196" t="s">
        <v>106</v>
      </c>
      <c r="F196" t="s">
        <v>1535</v>
      </c>
      <c r="G196" t="s">
        <v>1536</v>
      </c>
      <c r="H196" t="s">
        <v>1535</v>
      </c>
      <c r="I196" s="88">
        <v>46149.625798611116</v>
      </c>
      <c r="J196" t="s">
        <v>107</v>
      </c>
      <c r="K196" t="s">
        <v>108</v>
      </c>
      <c r="L196" t="s">
        <v>1537</v>
      </c>
      <c r="M196" s="88">
        <v>46150.625462962962</v>
      </c>
      <c r="N196" t="s">
        <v>637</v>
      </c>
      <c r="O196" t="s">
        <v>112</v>
      </c>
      <c r="P196" t="s">
        <v>111</v>
      </c>
      <c r="Q196" t="s">
        <v>1417</v>
      </c>
      <c r="R196">
        <v>2</v>
      </c>
      <c r="S196" s="89">
        <v>9500</v>
      </c>
      <c r="T196" s="89">
        <v>0</v>
      </c>
      <c r="U196" s="89">
        <v>4280</v>
      </c>
      <c r="V196" s="89">
        <v>4280</v>
      </c>
      <c r="W196" s="89">
        <v>14720</v>
      </c>
    </row>
    <row r="197" spans="1:23" ht="13">
      <c r="A197" t="s">
        <v>1538</v>
      </c>
      <c r="B197" t="s">
        <v>1539</v>
      </c>
      <c r="C197" s="88">
        <v>46158.101469907408</v>
      </c>
      <c r="D197" t="s">
        <v>105</v>
      </c>
      <c r="E197" t="s">
        <v>106</v>
      </c>
      <c r="F197" t="s">
        <v>1540</v>
      </c>
      <c r="G197" t="s">
        <v>1541</v>
      </c>
      <c r="H197" t="s">
        <v>1540</v>
      </c>
      <c r="I197" s="88">
        <v>46149.625798611116</v>
      </c>
      <c r="J197" t="s">
        <v>107</v>
      </c>
      <c r="K197" t="s">
        <v>108</v>
      </c>
      <c r="L197" t="s">
        <v>1542</v>
      </c>
      <c r="M197" s="88">
        <v>46150.625462962962</v>
      </c>
      <c r="N197" t="s">
        <v>637</v>
      </c>
      <c r="O197" t="s">
        <v>112</v>
      </c>
      <c r="P197" t="s">
        <v>111</v>
      </c>
      <c r="Q197" t="s">
        <v>1417</v>
      </c>
      <c r="R197">
        <v>6</v>
      </c>
      <c r="S197" s="89">
        <v>9500</v>
      </c>
      <c r="T197" s="89">
        <v>0</v>
      </c>
      <c r="U197" s="89">
        <v>20080</v>
      </c>
      <c r="V197" s="89">
        <v>20080</v>
      </c>
      <c r="W197" s="89">
        <v>36920</v>
      </c>
    </row>
    <row r="198" spans="1:23" ht="13">
      <c r="A198" t="s">
        <v>1543</v>
      </c>
      <c r="B198" t="s">
        <v>1544</v>
      </c>
      <c r="C198" s="88">
        <v>46158.100844907407</v>
      </c>
      <c r="D198" t="s">
        <v>105</v>
      </c>
      <c r="E198" t="s">
        <v>106</v>
      </c>
      <c r="F198" t="s">
        <v>1545</v>
      </c>
      <c r="G198" t="s">
        <v>1546</v>
      </c>
      <c r="H198" t="s">
        <v>1545</v>
      </c>
      <c r="I198" s="88">
        <v>46149.625798611116</v>
      </c>
      <c r="J198" t="s">
        <v>107</v>
      </c>
      <c r="K198" t="s">
        <v>108</v>
      </c>
      <c r="L198" t="s">
        <v>1547</v>
      </c>
      <c r="M198" s="88">
        <v>46150.526701388888</v>
      </c>
      <c r="N198" t="s">
        <v>637</v>
      </c>
      <c r="O198" t="s">
        <v>112</v>
      </c>
      <c r="P198" t="s">
        <v>111</v>
      </c>
      <c r="Q198" t="s">
        <v>1417</v>
      </c>
      <c r="R198">
        <v>8</v>
      </c>
      <c r="S198" s="89">
        <v>9500</v>
      </c>
      <c r="T198" s="89">
        <v>0</v>
      </c>
      <c r="U198" s="89">
        <v>26640</v>
      </c>
      <c r="V198" s="89">
        <v>26640</v>
      </c>
      <c r="W198" s="89">
        <v>49360</v>
      </c>
    </row>
    <row r="199" spans="1:23" ht="13">
      <c r="A199" t="s">
        <v>1548</v>
      </c>
      <c r="B199" t="s">
        <v>1549</v>
      </c>
      <c r="C199" s="88">
        <v>46158.100844907407</v>
      </c>
      <c r="D199" t="s">
        <v>105</v>
      </c>
      <c r="E199" t="s">
        <v>106</v>
      </c>
      <c r="F199" t="s">
        <v>1550</v>
      </c>
      <c r="G199" t="s">
        <v>1551</v>
      </c>
      <c r="H199" t="s">
        <v>1552</v>
      </c>
      <c r="I199" s="88">
        <v>46149.625798611116</v>
      </c>
      <c r="J199" t="s">
        <v>107</v>
      </c>
      <c r="K199" t="s">
        <v>108</v>
      </c>
      <c r="L199" t="s">
        <v>1553</v>
      </c>
      <c r="M199" s="88">
        <v>46150.602048611108</v>
      </c>
      <c r="N199" t="s">
        <v>637</v>
      </c>
      <c r="O199" t="s">
        <v>112</v>
      </c>
      <c r="P199" t="s">
        <v>111</v>
      </c>
      <c r="Q199" t="s">
        <v>1417</v>
      </c>
      <c r="R199">
        <v>6</v>
      </c>
      <c r="S199" s="89">
        <v>9500</v>
      </c>
      <c r="T199" s="89">
        <v>0</v>
      </c>
      <c r="U199" s="89">
        <v>20080</v>
      </c>
      <c r="V199" s="89">
        <v>20080</v>
      </c>
      <c r="W199" s="89">
        <v>36920</v>
      </c>
    </row>
    <row r="200" spans="1:23" ht="13">
      <c r="A200" t="s">
        <v>1554</v>
      </c>
      <c r="B200" t="s">
        <v>1555</v>
      </c>
      <c r="C200" s="88">
        <v>46158.100601851853</v>
      </c>
      <c r="D200" t="s">
        <v>105</v>
      </c>
      <c r="E200" t="s">
        <v>106</v>
      </c>
      <c r="F200" t="s">
        <v>1556</v>
      </c>
      <c r="G200" t="s">
        <v>1557</v>
      </c>
      <c r="H200" t="s">
        <v>1556</v>
      </c>
      <c r="I200" s="88">
        <v>46149.625798611116</v>
      </c>
      <c r="J200" t="s">
        <v>107</v>
      </c>
      <c r="K200" t="s">
        <v>108</v>
      </c>
      <c r="L200" t="s">
        <v>1558</v>
      </c>
      <c r="M200" s="88">
        <v>46150.765405092592</v>
      </c>
      <c r="N200" t="s">
        <v>637</v>
      </c>
      <c r="O200" t="s">
        <v>112</v>
      </c>
      <c r="P200" t="s">
        <v>111</v>
      </c>
      <c r="Q200" t="s">
        <v>1417</v>
      </c>
      <c r="R200">
        <v>6</v>
      </c>
      <c r="S200" s="89">
        <v>9500</v>
      </c>
      <c r="T200" s="89">
        <v>0</v>
      </c>
      <c r="U200" s="89">
        <v>20080</v>
      </c>
      <c r="V200" s="89">
        <v>20080</v>
      </c>
      <c r="W200" s="89">
        <v>36920</v>
      </c>
    </row>
    <row r="201" spans="1:23" ht="13">
      <c r="A201" t="s">
        <v>1559</v>
      </c>
      <c r="B201" t="s">
        <v>1560</v>
      </c>
      <c r="C201" s="88">
        <v>46158.0471412037</v>
      </c>
      <c r="D201" t="s">
        <v>105</v>
      </c>
      <c r="E201" t="s">
        <v>106</v>
      </c>
      <c r="F201" t="s">
        <v>146</v>
      </c>
      <c r="G201" t="s">
        <v>147</v>
      </c>
      <c r="H201" t="s">
        <v>146</v>
      </c>
      <c r="I201" s="88">
        <v>46148.709178240737</v>
      </c>
      <c r="J201" t="s">
        <v>107</v>
      </c>
      <c r="K201" t="s">
        <v>108</v>
      </c>
      <c r="L201" t="s">
        <v>1561</v>
      </c>
      <c r="M201" s="88">
        <v>46150.025150462963</v>
      </c>
      <c r="N201" t="s">
        <v>1562</v>
      </c>
      <c r="O201" t="s">
        <v>123</v>
      </c>
      <c r="P201" t="s">
        <v>111</v>
      </c>
      <c r="Q201" t="s">
        <v>1563</v>
      </c>
      <c r="R201">
        <v>1</v>
      </c>
      <c r="S201" s="89">
        <v>22000</v>
      </c>
      <c r="T201" s="89">
        <v>0</v>
      </c>
      <c r="U201" s="89">
        <v>6600</v>
      </c>
      <c r="V201" s="89">
        <v>6600</v>
      </c>
      <c r="W201" s="89">
        <v>15400</v>
      </c>
    </row>
    <row r="202" spans="1:23" ht="13">
      <c r="A202" t="s">
        <v>1564</v>
      </c>
      <c r="B202" t="s">
        <v>1565</v>
      </c>
      <c r="C202" s="88">
        <v>46158.040636574078</v>
      </c>
      <c r="D202" t="s">
        <v>105</v>
      </c>
      <c r="E202" t="s">
        <v>106</v>
      </c>
      <c r="F202" t="s">
        <v>1566</v>
      </c>
      <c r="G202" t="s">
        <v>1567</v>
      </c>
      <c r="H202" t="s">
        <v>1566</v>
      </c>
      <c r="I202" s="88">
        <v>46148.584097222221</v>
      </c>
      <c r="J202" t="s">
        <v>107</v>
      </c>
      <c r="K202" t="s">
        <v>108</v>
      </c>
      <c r="L202" t="s">
        <v>1568</v>
      </c>
      <c r="M202" s="88">
        <v>46150.42086805556</v>
      </c>
      <c r="N202" t="s">
        <v>637</v>
      </c>
      <c r="O202" t="s">
        <v>112</v>
      </c>
      <c r="P202" t="s">
        <v>111</v>
      </c>
      <c r="Q202" t="s">
        <v>1417</v>
      </c>
      <c r="R202">
        <v>6</v>
      </c>
      <c r="S202" s="89">
        <v>9500</v>
      </c>
      <c r="T202" s="89">
        <v>0</v>
      </c>
      <c r="U202" s="89">
        <v>19980</v>
      </c>
      <c r="V202" s="89">
        <v>19980</v>
      </c>
      <c r="W202" s="89">
        <v>37020</v>
      </c>
    </row>
    <row r="203" spans="1:23" ht="13">
      <c r="A203" t="s">
        <v>1569</v>
      </c>
      <c r="B203" t="s">
        <v>1570</v>
      </c>
      <c r="C203" s="88">
        <v>46158.036446759259</v>
      </c>
      <c r="D203" t="s">
        <v>105</v>
      </c>
      <c r="E203" t="s">
        <v>106</v>
      </c>
      <c r="F203" t="s">
        <v>1571</v>
      </c>
      <c r="G203" t="s">
        <v>699</v>
      </c>
      <c r="H203" t="s">
        <v>1571</v>
      </c>
      <c r="I203" s="88">
        <v>46148.584108796298</v>
      </c>
      <c r="J203" t="s">
        <v>107</v>
      </c>
      <c r="K203" t="s">
        <v>108</v>
      </c>
      <c r="L203" t="s">
        <v>1572</v>
      </c>
      <c r="M203" s="88">
        <v>46150.879826388889</v>
      </c>
      <c r="N203" t="s">
        <v>637</v>
      </c>
      <c r="O203" t="s">
        <v>112</v>
      </c>
      <c r="P203" t="s">
        <v>111</v>
      </c>
      <c r="Q203" t="s">
        <v>1417</v>
      </c>
      <c r="R203">
        <v>2</v>
      </c>
      <c r="S203" s="89">
        <v>9500</v>
      </c>
      <c r="T203" s="89">
        <v>0</v>
      </c>
      <c r="U203" s="89">
        <v>4180</v>
      </c>
      <c r="V203" s="89">
        <v>4180</v>
      </c>
      <c r="W203" s="89">
        <v>14820</v>
      </c>
    </row>
    <row r="204" spans="1:23" ht="13">
      <c r="A204" t="s">
        <v>1573</v>
      </c>
      <c r="B204" t="s">
        <v>1574</v>
      </c>
      <c r="C204" s="88">
        <v>46158.036446759259</v>
      </c>
      <c r="D204" t="s">
        <v>105</v>
      </c>
      <c r="E204" t="s">
        <v>106</v>
      </c>
      <c r="F204" t="s">
        <v>1575</v>
      </c>
      <c r="G204" t="s">
        <v>1576</v>
      </c>
      <c r="H204" t="s">
        <v>1575</v>
      </c>
      <c r="I204" s="88">
        <v>46148.584097222221</v>
      </c>
      <c r="J204" t="s">
        <v>107</v>
      </c>
      <c r="K204" t="s">
        <v>108</v>
      </c>
      <c r="L204" t="s">
        <v>1577</v>
      </c>
      <c r="M204" s="88">
        <v>46150.338888888888</v>
      </c>
      <c r="N204" t="s">
        <v>637</v>
      </c>
      <c r="O204" t="s">
        <v>112</v>
      </c>
      <c r="P204" t="s">
        <v>111</v>
      </c>
      <c r="Q204" t="s">
        <v>1417</v>
      </c>
      <c r="R204">
        <v>6</v>
      </c>
      <c r="S204" s="89">
        <v>9500</v>
      </c>
      <c r="T204" s="89">
        <v>0</v>
      </c>
      <c r="U204" s="89">
        <v>20080</v>
      </c>
      <c r="V204" s="89">
        <v>20080</v>
      </c>
      <c r="W204" s="89">
        <v>36920</v>
      </c>
    </row>
    <row r="205" spans="1:23" ht="13">
      <c r="A205" t="s">
        <v>1578</v>
      </c>
      <c r="B205" t="s">
        <v>1579</v>
      </c>
      <c r="C205" s="88">
        <v>46158.03606481482</v>
      </c>
      <c r="D205" t="s">
        <v>105</v>
      </c>
      <c r="E205" t="s">
        <v>106</v>
      </c>
      <c r="F205" t="s">
        <v>1580</v>
      </c>
      <c r="G205" t="s">
        <v>1581</v>
      </c>
      <c r="H205" t="s">
        <v>1580</v>
      </c>
      <c r="I205" s="88">
        <v>46148.584108796298</v>
      </c>
      <c r="J205" t="s">
        <v>107</v>
      </c>
      <c r="K205" t="s">
        <v>108</v>
      </c>
      <c r="L205" t="s">
        <v>1582</v>
      </c>
      <c r="M205" s="88">
        <v>46150.465648148151</v>
      </c>
      <c r="N205" t="s">
        <v>637</v>
      </c>
      <c r="O205" t="s">
        <v>112</v>
      </c>
      <c r="P205" t="s">
        <v>111</v>
      </c>
      <c r="Q205" t="s">
        <v>1417</v>
      </c>
      <c r="R205">
        <v>6</v>
      </c>
      <c r="S205" s="89">
        <v>9500</v>
      </c>
      <c r="T205" s="89">
        <v>0</v>
      </c>
      <c r="U205" s="89">
        <v>19980</v>
      </c>
      <c r="V205" s="89">
        <v>19980</v>
      </c>
      <c r="W205" s="89">
        <v>37020</v>
      </c>
    </row>
    <row r="206" spans="1:23" ht="13">
      <c r="A206" t="s">
        <v>1583</v>
      </c>
      <c r="B206" t="s">
        <v>1584</v>
      </c>
      <c r="C206" s="88">
        <v>46158.025821759264</v>
      </c>
      <c r="D206" t="s">
        <v>105</v>
      </c>
      <c r="E206" t="s">
        <v>106</v>
      </c>
      <c r="F206" t="s">
        <v>340</v>
      </c>
      <c r="G206" t="s">
        <v>1585</v>
      </c>
      <c r="H206" t="s">
        <v>340</v>
      </c>
      <c r="I206" s="88">
        <v>46146.715717592597</v>
      </c>
      <c r="J206" t="s">
        <v>107</v>
      </c>
      <c r="K206" t="s">
        <v>108</v>
      </c>
      <c r="L206" t="s">
        <v>1586</v>
      </c>
      <c r="M206" s="88">
        <v>46150.173657407402</v>
      </c>
      <c r="N206" t="s">
        <v>637</v>
      </c>
      <c r="O206" t="s">
        <v>112</v>
      </c>
      <c r="P206" t="s">
        <v>111</v>
      </c>
      <c r="Q206" t="s">
        <v>1587</v>
      </c>
      <c r="R206">
        <v>1</v>
      </c>
      <c r="S206" s="89">
        <v>9500</v>
      </c>
      <c r="T206" s="89">
        <v>0</v>
      </c>
      <c r="U206" s="89">
        <v>2190</v>
      </c>
      <c r="V206" s="89">
        <v>2190</v>
      </c>
      <c r="W206" s="89">
        <v>7310</v>
      </c>
    </row>
    <row r="207" spans="1:23" ht="13">
      <c r="A207" t="s">
        <v>1588</v>
      </c>
      <c r="B207" t="s">
        <v>1589</v>
      </c>
      <c r="C207" s="88">
        <v>46158.018553240741</v>
      </c>
      <c r="D207" t="s">
        <v>105</v>
      </c>
      <c r="E207" t="s">
        <v>106</v>
      </c>
      <c r="F207" t="s">
        <v>1590</v>
      </c>
      <c r="G207" t="s">
        <v>1591</v>
      </c>
      <c r="H207" t="s">
        <v>1592</v>
      </c>
      <c r="I207" s="88">
        <v>46156.430949074071</v>
      </c>
      <c r="J207" t="s">
        <v>107</v>
      </c>
      <c r="K207" t="s">
        <v>108</v>
      </c>
      <c r="L207" t="s">
        <v>1593</v>
      </c>
      <c r="M207" s="88">
        <v>46157.546550925923</v>
      </c>
      <c r="N207" t="s">
        <v>637</v>
      </c>
      <c r="O207" t="s">
        <v>112</v>
      </c>
      <c r="P207" t="s">
        <v>111</v>
      </c>
      <c r="Q207" t="s">
        <v>929</v>
      </c>
      <c r="R207">
        <v>3</v>
      </c>
      <c r="S207" s="89">
        <v>9500</v>
      </c>
      <c r="T207" s="89">
        <v>0</v>
      </c>
      <c r="U207" s="89">
        <v>6270</v>
      </c>
      <c r="V207" s="89">
        <v>6270</v>
      </c>
      <c r="W207" s="89">
        <v>22230</v>
      </c>
    </row>
    <row r="208" spans="1:23" ht="13">
      <c r="A208" t="s">
        <v>1594</v>
      </c>
      <c r="B208" t="s">
        <v>1595</v>
      </c>
      <c r="C208" s="88">
        <v>46158.009722222225</v>
      </c>
      <c r="D208" t="s">
        <v>105</v>
      </c>
      <c r="E208" t="s">
        <v>106</v>
      </c>
      <c r="F208" t="s">
        <v>1596</v>
      </c>
      <c r="G208" t="s">
        <v>1597</v>
      </c>
      <c r="H208" t="s">
        <v>1596</v>
      </c>
      <c r="I208" s="88">
        <v>46156.430949074071</v>
      </c>
      <c r="J208" t="s">
        <v>107</v>
      </c>
      <c r="K208" t="s">
        <v>108</v>
      </c>
      <c r="L208" t="s">
        <v>1598</v>
      </c>
      <c r="M208" s="88">
        <v>46157.678113425922</v>
      </c>
      <c r="N208" t="s">
        <v>637</v>
      </c>
      <c r="O208" t="s">
        <v>112</v>
      </c>
      <c r="P208" t="s">
        <v>111</v>
      </c>
      <c r="Q208" t="s">
        <v>929</v>
      </c>
      <c r="R208">
        <v>6</v>
      </c>
      <c r="S208" s="89">
        <v>9500</v>
      </c>
      <c r="T208" s="89">
        <v>0</v>
      </c>
      <c r="U208" s="89">
        <v>19980</v>
      </c>
      <c r="V208" s="89">
        <v>19980</v>
      </c>
      <c r="W208" s="89">
        <v>37020</v>
      </c>
    </row>
    <row r="209" spans="1:23" ht="13">
      <c r="A209" t="s">
        <v>1599</v>
      </c>
      <c r="B209" t="s">
        <v>1600</v>
      </c>
      <c r="C209" s="88">
        <v>46157.98028935185</v>
      </c>
      <c r="D209" t="s">
        <v>105</v>
      </c>
      <c r="E209" t="s">
        <v>106</v>
      </c>
      <c r="F209" t="s">
        <v>1601</v>
      </c>
      <c r="G209" t="s">
        <v>1602</v>
      </c>
      <c r="H209" t="s">
        <v>1601</v>
      </c>
      <c r="I209" s="88">
        <v>46148.584108796298</v>
      </c>
      <c r="J209" t="s">
        <v>107</v>
      </c>
      <c r="K209" t="s">
        <v>108</v>
      </c>
      <c r="L209" t="s">
        <v>1603</v>
      </c>
      <c r="M209" s="88">
        <v>46150.759050925924</v>
      </c>
      <c r="N209" t="s">
        <v>637</v>
      </c>
      <c r="O209" t="s">
        <v>112</v>
      </c>
      <c r="P209" t="s">
        <v>111</v>
      </c>
      <c r="Q209" t="s">
        <v>1417</v>
      </c>
      <c r="R209">
        <v>6</v>
      </c>
      <c r="S209" s="89">
        <v>9500</v>
      </c>
      <c r="T209" s="89">
        <v>0</v>
      </c>
      <c r="U209" s="89">
        <v>20080</v>
      </c>
      <c r="V209" s="89">
        <v>20080</v>
      </c>
      <c r="W209" s="89">
        <v>36920</v>
      </c>
    </row>
    <row r="210" spans="1:23" ht="13">
      <c r="A210" t="s">
        <v>1604</v>
      </c>
      <c r="B210" t="s">
        <v>1605</v>
      </c>
      <c r="C210" s="88">
        <v>46157.953148148154</v>
      </c>
      <c r="D210" t="s">
        <v>105</v>
      </c>
      <c r="E210" t="s">
        <v>106</v>
      </c>
      <c r="F210" t="s">
        <v>1606</v>
      </c>
      <c r="G210" t="s">
        <v>1607</v>
      </c>
      <c r="H210" t="s">
        <v>1606</v>
      </c>
      <c r="I210" s="88">
        <v>46156.430960648147</v>
      </c>
      <c r="J210" t="s">
        <v>107</v>
      </c>
      <c r="K210" t="s">
        <v>108</v>
      </c>
      <c r="L210" t="s">
        <v>1608</v>
      </c>
      <c r="M210" s="88">
        <v>46157.67086805556</v>
      </c>
      <c r="N210" t="s">
        <v>637</v>
      </c>
      <c r="O210" t="s">
        <v>112</v>
      </c>
      <c r="P210" t="s">
        <v>111</v>
      </c>
      <c r="Q210" t="s">
        <v>929</v>
      </c>
      <c r="R210">
        <v>6</v>
      </c>
      <c r="S210" s="89">
        <v>9500</v>
      </c>
      <c r="T210" s="89">
        <v>0</v>
      </c>
      <c r="U210" s="89">
        <v>19980</v>
      </c>
      <c r="V210" s="89">
        <v>19980</v>
      </c>
      <c r="W210" s="89">
        <v>37020</v>
      </c>
    </row>
    <row r="211" spans="1:23" ht="13">
      <c r="A211" t="s">
        <v>1609</v>
      </c>
      <c r="B211" t="s">
        <v>1610</v>
      </c>
      <c r="C211" s="88">
        <v>46157.891840277778</v>
      </c>
      <c r="D211" t="s">
        <v>105</v>
      </c>
      <c r="E211" t="s">
        <v>106</v>
      </c>
      <c r="F211" t="s">
        <v>273</v>
      </c>
      <c r="G211" t="s">
        <v>1611</v>
      </c>
      <c r="H211" t="s">
        <v>273</v>
      </c>
      <c r="I211" s="88">
        <v>46156.430949074071</v>
      </c>
      <c r="J211" t="s">
        <v>107</v>
      </c>
      <c r="K211" t="s">
        <v>108</v>
      </c>
      <c r="L211" t="s">
        <v>1612</v>
      </c>
      <c r="M211" s="88">
        <v>46157.671539351853</v>
      </c>
      <c r="N211" t="s">
        <v>637</v>
      </c>
      <c r="O211" t="s">
        <v>112</v>
      </c>
      <c r="P211" t="s">
        <v>111</v>
      </c>
      <c r="Q211" t="s">
        <v>929</v>
      </c>
      <c r="R211">
        <v>2</v>
      </c>
      <c r="S211" s="89">
        <v>9500</v>
      </c>
      <c r="T211" s="89">
        <v>0</v>
      </c>
      <c r="U211" s="89">
        <v>4180</v>
      </c>
      <c r="V211" s="89">
        <v>4180</v>
      </c>
      <c r="W211" s="89">
        <v>14820</v>
      </c>
    </row>
    <row r="212" spans="1:23" ht="13">
      <c r="A212" t="s">
        <v>1613</v>
      </c>
      <c r="B212" t="s">
        <v>1614</v>
      </c>
      <c r="C212" s="88">
        <v>46157.882060185184</v>
      </c>
      <c r="D212" t="s">
        <v>105</v>
      </c>
      <c r="E212" t="s">
        <v>106</v>
      </c>
      <c r="F212" t="s">
        <v>1615</v>
      </c>
      <c r="G212" t="s">
        <v>1616</v>
      </c>
      <c r="H212" t="s">
        <v>1615</v>
      </c>
      <c r="I212" s="88">
        <v>46156.430960648147</v>
      </c>
      <c r="J212" t="s">
        <v>107</v>
      </c>
      <c r="K212" t="s">
        <v>108</v>
      </c>
      <c r="L212" t="s">
        <v>1617</v>
      </c>
      <c r="M212" s="88">
        <v>46157.449270833335</v>
      </c>
      <c r="N212" t="s">
        <v>637</v>
      </c>
      <c r="O212" t="s">
        <v>112</v>
      </c>
      <c r="P212" t="s">
        <v>111</v>
      </c>
      <c r="Q212" t="s">
        <v>929</v>
      </c>
      <c r="R212">
        <v>4</v>
      </c>
      <c r="S212" s="89">
        <v>9500</v>
      </c>
      <c r="T212" s="89">
        <v>0</v>
      </c>
      <c r="U212" s="89">
        <v>8360</v>
      </c>
      <c r="V212" s="89">
        <v>8360</v>
      </c>
      <c r="W212" s="89">
        <v>29640</v>
      </c>
    </row>
    <row r="213" spans="1:23" ht="13">
      <c r="A213" t="s">
        <v>1618</v>
      </c>
      <c r="B213" t="s">
        <v>1619</v>
      </c>
      <c r="C213" s="88">
        <v>46157.823680555557</v>
      </c>
      <c r="D213" t="s">
        <v>105</v>
      </c>
      <c r="E213" t="s">
        <v>106</v>
      </c>
      <c r="F213" t="s">
        <v>1620</v>
      </c>
      <c r="G213" t="s">
        <v>1621</v>
      </c>
      <c r="H213" t="s">
        <v>1622</v>
      </c>
      <c r="I213" s="88">
        <v>46156.430960648147</v>
      </c>
      <c r="J213" t="s">
        <v>107</v>
      </c>
      <c r="K213" t="s">
        <v>108</v>
      </c>
      <c r="L213" t="s">
        <v>1623</v>
      </c>
      <c r="M213" s="88">
        <v>46157.501956018517</v>
      </c>
      <c r="N213" t="s">
        <v>637</v>
      </c>
      <c r="O213" t="s">
        <v>112</v>
      </c>
      <c r="P213" t="s">
        <v>111</v>
      </c>
      <c r="Q213" t="s">
        <v>929</v>
      </c>
      <c r="R213">
        <v>1</v>
      </c>
      <c r="S213" s="89">
        <v>9500</v>
      </c>
      <c r="T213" s="89">
        <v>0</v>
      </c>
      <c r="U213" s="89">
        <v>2090</v>
      </c>
      <c r="V213" s="89">
        <v>2090</v>
      </c>
      <c r="W213" s="89">
        <v>7410</v>
      </c>
    </row>
    <row r="214" spans="1:23" ht="13">
      <c r="A214" t="s">
        <v>1624</v>
      </c>
      <c r="B214" t="s">
        <v>1625</v>
      </c>
      <c r="C214" s="88">
        <v>46157.723356481481</v>
      </c>
      <c r="D214" t="s">
        <v>105</v>
      </c>
      <c r="E214" t="s">
        <v>106</v>
      </c>
      <c r="F214" t="s">
        <v>1626</v>
      </c>
      <c r="G214" t="s">
        <v>1627</v>
      </c>
      <c r="H214" t="s">
        <v>1626</v>
      </c>
      <c r="I214" s="88">
        <v>46156.430949074071</v>
      </c>
      <c r="J214" t="s">
        <v>107</v>
      </c>
      <c r="K214" t="s">
        <v>108</v>
      </c>
      <c r="L214" t="s">
        <v>1628</v>
      </c>
      <c r="M214" s="88">
        <v>46157.550856481481</v>
      </c>
      <c r="N214" t="s">
        <v>637</v>
      </c>
      <c r="O214" t="s">
        <v>112</v>
      </c>
      <c r="P214" t="s">
        <v>111</v>
      </c>
      <c r="Q214" t="s">
        <v>929</v>
      </c>
      <c r="R214">
        <v>3</v>
      </c>
      <c r="S214" s="89">
        <v>9500</v>
      </c>
      <c r="T214" s="89">
        <v>0</v>
      </c>
      <c r="U214" s="89">
        <v>6270</v>
      </c>
      <c r="V214" s="89">
        <v>6270</v>
      </c>
      <c r="W214" s="89">
        <v>22230</v>
      </c>
    </row>
    <row r="215" spans="1:23" ht="13">
      <c r="A215" t="s">
        <v>1629</v>
      </c>
      <c r="B215" t="s">
        <v>1630</v>
      </c>
      <c r="C215" s="88">
        <v>46157.71292824074</v>
      </c>
      <c r="D215" t="s">
        <v>105</v>
      </c>
      <c r="E215" t="s">
        <v>106</v>
      </c>
      <c r="F215" t="s">
        <v>251</v>
      </c>
      <c r="G215" t="s">
        <v>252</v>
      </c>
      <c r="H215" t="s">
        <v>251</v>
      </c>
      <c r="I215" s="88">
        <v>46156.430949074071</v>
      </c>
      <c r="J215" t="s">
        <v>107</v>
      </c>
      <c r="K215" t="s">
        <v>108</v>
      </c>
      <c r="L215" t="s">
        <v>1631</v>
      </c>
      <c r="M215" s="88">
        <v>46157.5465625</v>
      </c>
      <c r="N215" t="s">
        <v>637</v>
      </c>
      <c r="O215" t="s">
        <v>112</v>
      </c>
      <c r="P215" t="s">
        <v>111</v>
      </c>
      <c r="Q215" t="s">
        <v>929</v>
      </c>
      <c r="R215">
        <v>6</v>
      </c>
      <c r="S215" s="89">
        <v>9500</v>
      </c>
      <c r="T215" s="89">
        <v>0</v>
      </c>
      <c r="U215" s="89">
        <v>19980</v>
      </c>
      <c r="V215" s="89">
        <v>19980</v>
      </c>
      <c r="W215" s="89">
        <v>37020</v>
      </c>
    </row>
    <row r="216" spans="1:23" ht="13">
      <c r="A216" t="s">
        <v>1632</v>
      </c>
      <c r="B216" t="s">
        <v>1633</v>
      </c>
      <c r="C216" s="88">
        <v>46157.702650462961</v>
      </c>
      <c r="D216" t="s">
        <v>105</v>
      </c>
      <c r="E216" t="s">
        <v>106</v>
      </c>
      <c r="F216" t="s">
        <v>1634</v>
      </c>
      <c r="G216" t="s">
        <v>1635</v>
      </c>
      <c r="H216" t="s">
        <v>1634</v>
      </c>
      <c r="I216" s="88">
        <v>46156.430949074071</v>
      </c>
      <c r="J216" t="s">
        <v>107</v>
      </c>
      <c r="K216" t="s">
        <v>108</v>
      </c>
      <c r="L216" t="s">
        <v>1636</v>
      </c>
      <c r="M216" s="88">
        <v>46157.501967592594</v>
      </c>
      <c r="N216" t="s">
        <v>637</v>
      </c>
      <c r="O216" t="s">
        <v>112</v>
      </c>
      <c r="P216" t="s">
        <v>111</v>
      </c>
      <c r="Q216" t="s">
        <v>929</v>
      </c>
      <c r="R216">
        <v>6</v>
      </c>
      <c r="S216" s="89">
        <v>9500</v>
      </c>
      <c r="T216" s="89">
        <v>0</v>
      </c>
      <c r="U216" s="89">
        <v>19980</v>
      </c>
      <c r="V216" s="89">
        <v>19980</v>
      </c>
      <c r="W216" s="89">
        <v>37020</v>
      </c>
    </row>
    <row r="217" spans="1:23" ht="13">
      <c r="A217" t="s">
        <v>1637</v>
      </c>
      <c r="B217" t="s">
        <v>1638</v>
      </c>
      <c r="C217" s="88">
        <v>46157.67967592593</v>
      </c>
      <c r="D217" t="s">
        <v>105</v>
      </c>
      <c r="E217" t="s">
        <v>106</v>
      </c>
      <c r="F217" t="s">
        <v>1639</v>
      </c>
      <c r="G217" t="s">
        <v>1640</v>
      </c>
      <c r="H217" t="s">
        <v>1639</v>
      </c>
      <c r="I217" s="88">
        <v>46156.430949074071</v>
      </c>
      <c r="J217" t="s">
        <v>107</v>
      </c>
      <c r="K217" t="s">
        <v>108</v>
      </c>
      <c r="L217" t="s">
        <v>1641</v>
      </c>
      <c r="M217" s="88">
        <v>46157.546527777777</v>
      </c>
      <c r="N217" t="s">
        <v>637</v>
      </c>
      <c r="O217" t="s">
        <v>112</v>
      </c>
      <c r="P217" t="s">
        <v>111</v>
      </c>
      <c r="Q217" t="s">
        <v>929</v>
      </c>
      <c r="R217">
        <v>4</v>
      </c>
      <c r="S217" s="89">
        <v>9500</v>
      </c>
      <c r="T217" s="89">
        <v>0</v>
      </c>
      <c r="U217" s="89">
        <v>8360</v>
      </c>
      <c r="V217" s="89">
        <v>8360</v>
      </c>
      <c r="W217" s="89">
        <v>29640</v>
      </c>
    </row>
    <row r="218" spans="1:23" ht="13">
      <c r="A218" t="s">
        <v>1642</v>
      </c>
      <c r="B218" t="s">
        <v>1643</v>
      </c>
      <c r="C218" s="88">
        <v>46157.554270833338</v>
      </c>
      <c r="D218" t="s">
        <v>105</v>
      </c>
      <c r="E218" t="s">
        <v>106</v>
      </c>
      <c r="F218" t="s">
        <v>1644</v>
      </c>
      <c r="G218" t="s">
        <v>1645</v>
      </c>
      <c r="H218" t="s">
        <v>1646</v>
      </c>
      <c r="I218" s="88">
        <v>46153.424120370371</v>
      </c>
      <c r="J218" t="s">
        <v>107</v>
      </c>
      <c r="K218" t="s">
        <v>108</v>
      </c>
      <c r="L218" t="s">
        <v>1647</v>
      </c>
      <c r="M218" s="88">
        <v>46155.67086805556</v>
      </c>
      <c r="N218" t="s">
        <v>637</v>
      </c>
      <c r="O218" t="s">
        <v>112</v>
      </c>
      <c r="P218" t="s">
        <v>111</v>
      </c>
      <c r="Q218" t="s">
        <v>929</v>
      </c>
      <c r="R218">
        <v>6</v>
      </c>
      <c r="S218" s="89">
        <v>9500</v>
      </c>
      <c r="T218" s="89">
        <v>0</v>
      </c>
      <c r="U218" s="89">
        <v>19980</v>
      </c>
      <c r="V218" s="89">
        <v>19980</v>
      </c>
      <c r="W218" s="89">
        <v>37020</v>
      </c>
    </row>
    <row r="219" spans="1:23" ht="13">
      <c r="A219" t="s">
        <v>1648</v>
      </c>
      <c r="B219" t="s">
        <v>1649</v>
      </c>
      <c r="C219" s="88">
        <v>46157.445532407408</v>
      </c>
      <c r="D219" t="s">
        <v>105</v>
      </c>
      <c r="E219" t="s">
        <v>106</v>
      </c>
      <c r="F219" t="s">
        <v>132</v>
      </c>
      <c r="G219" t="s">
        <v>133</v>
      </c>
      <c r="H219" t="s">
        <v>134</v>
      </c>
      <c r="I219" s="88">
        <v>46153.625763888893</v>
      </c>
      <c r="J219" t="s">
        <v>107</v>
      </c>
      <c r="K219" t="s">
        <v>108</v>
      </c>
      <c r="L219" t="s">
        <v>1650</v>
      </c>
      <c r="M219" s="88">
        <v>46154.602222222224</v>
      </c>
      <c r="N219" t="s">
        <v>637</v>
      </c>
      <c r="O219" t="s">
        <v>670</v>
      </c>
      <c r="P219" t="s">
        <v>109</v>
      </c>
      <c r="Q219" t="s">
        <v>670</v>
      </c>
      <c r="R219">
        <v>1</v>
      </c>
      <c r="S219" s="89">
        <v>21060</v>
      </c>
      <c r="T219" s="89">
        <v>0</v>
      </c>
      <c r="U219" s="89">
        <v>0</v>
      </c>
      <c r="V219" s="89">
        <v>0</v>
      </c>
      <c r="W219" s="89">
        <v>21060</v>
      </c>
    </row>
    <row r="220" spans="1:23" ht="13">
      <c r="A220" t="s">
        <v>1651</v>
      </c>
      <c r="B220" t="s">
        <v>1649</v>
      </c>
      <c r="C220" s="88">
        <v>46157.445532407408</v>
      </c>
      <c r="D220" t="s">
        <v>105</v>
      </c>
      <c r="E220" t="s">
        <v>106</v>
      </c>
      <c r="F220" t="s">
        <v>132</v>
      </c>
      <c r="G220" t="s">
        <v>133</v>
      </c>
      <c r="H220" t="s">
        <v>134</v>
      </c>
      <c r="I220" s="88">
        <v>46153.625763888893</v>
      </c>
      <c r="J220" t="s">
        <v>107</v>
      </c>
      <c r="K220" t="s">
        <v>108</v>
      </c>
      <c r="L220" t="s">
        <v>1650</v>
      </c>
      <c r="M220" s="88">
        <v>46154.602222222224</v>
      </c>
      <c r="N220" t="s">
        <v>637</v>
      </c>
      <c r="O220" t="s">
        <v>112</v>
      </c>
      <c r="P220" t="s">
        <v>111</v>
      </c>
      <c r="Q220" t="s">
        <v>929</v>
      </c>
      <c r="R220">
        <v>2</v>
      </c>
      <c r="S220" s="89">
        <v>9500</v>
      </c>
      <c r="T220" s="89">
        <v>0</v>
      </c>
      <c r="U220" s="89">
        <v>4180</v>
      </c>
      <c r="V220" s="89">
        <v>4180</v>
      </c>
      <c r="W220" s="89">
        <v>14820</v>
      </c>
    </row>
    <row r="221" spans="1:23" ht="13">
      <c r="A221" t="s">
        <v>1652</v>
      </c>
      <c r="B221" t="s">
        <v>1653</v>
      </c>
      <c r="C221" s="88">
        <v>46157.198287037041</v>
      </c>
      <c r="D221" t="s">
        <v>105</v>
      </c>
      <c r="E221" t="s">
        <v>106</v>
      </c>
      <c r="F221" t="s">
        <v>373</v>
      </c>
      <c r="G221" t="s">
        <v>1654</v>
      </c>
      <c r="H221" t="s">
        <v>373</v>
      </c>
      <c r="I221" s="88">
        <v>46148.709178240737</v>
      </c>
      <c r="J221" t="s">
        <v>107</v>
      </c>
      <c r="K221" t="s">
        <v>108</v>
      </c>
      <c r="L221" t="s">
        <v>1655</v>
      </c>
      <c r="M221" s="88">
        <v>46149.772291666668</v>
      </c>
      <c r="N221" t="s">
        <v>1656</v>
      </c>
      <c r="O221" t="s">
        <v>127</v>
      </c>
      <c r="P221" t="s">
        <v>111</v>
      </c>
      <c r="Q221" t="s">
        <v>1657</v>
      </c>
      <c r="R221">
        <v>1</v>
      </c>
      <c r="S221" s="89">
        <v>19000</v>
      </c>
      <c r="T221" s="89">
        <v>0</v>
      </c>
      <c r="U221" s="89">
        <v>5800</v>
      </c>
      <c r="V221" s="89">
        <v>5800</v>
      </c>
      <c r="W221" s="89">
        <v>13200</v>
      </c>
    </row>
    <row r="222" spans="1:23" ht="13">
      <c r="A222" t="s">
        <v>1658</v>
      </c>
      <c r="B222" t="s">
        <v>1659</v>
      </c>
      <c r="C222" s="88">
        <v>46157.198229166665</v>
      </c>
      <c r="D222" t="s">
        <v>105</v>
      </c>
      <c r="E222" t="s">
        <v>106</v>
      </c>
      <c r="F222" t="s">
        <v>1660</v>
      </c>
      <c r="G222" t="s">
        <v>177</v>
      </c>
      <c r="H222" t="s">
        <v>1661</v>
      </c>
      <c r="I222" s="88">
        <v>46148.709189814814</v>
      </c>
      <c r="J222" t="s">
        <v>107</v>
      </c>
      <c r="K222" t="s">
        <v>108</v>
      </c>
      <c r="L222" t="s">
        <v>1662</v>
      </c>
      <c r="M222" s="88">
        <v>46149.609340277777</v>
      </c>
      <c r="N222" t="s">
        <v>1562</v>
      </c>
      <c r="O222" t="s">
        <v>123</v>
      </c>
      <c r="P222" t="s">
        <v>111</v>
      </c>
      <c r="Q222" t="s">
        <v>60</v>
      </c>
      <c r="R222">
        <v>1</v>
      </c>
      <c r="S222" s="89">
        <v>22000</v>
      </c>
      <c r="T222" s="89">
        <v>0</v>
      </c>
      <c r="U222" s="89">
        <v>6600</v>
      </c>
      <c r="V222" s="89">
        <v>6600</v>
      </c>
      <c r="W222" s="89">
        <v>15400</v>
      </c>
    </row>
    <row r="223" spans="1:23" ht="13">
      <c r="A223" t="s">
        <v>1663</v>
      </c>
      <c r="B223" t="s">
        <v>1659</v>
      </c>
      <c r="C223" s="88">
        <v>46157.198229166665</v>
      </c>
      <c r="D223" t="s">
        <v>105</v>
      </c>
      <c r="E223" t="s">
        <v>106</v>
      </c>
      <c r="F223" t="s">
        <v>1660</v>
      </c>
      <c r="G223" t="s">
        <v>177</v>
      </c>
      <c r="H223" t="s">
        <v>1661</v>
      </c>
      <c r="I223" s="88">
        <v>46148.709178240737</v>
      </c>
      <c r="J223" t="s">
        <v>107</v>
      </c>
      <c r="K223" t="s">
        <v>108</v>
      </c>
      <c r="L223" t="s">
        <v>1662</v>
      </c>
      <c r="M223" s="88">
        <v>46149.609340277777</v>
      </c>
      <c r="N223" t="s">
        <v>1656</v>
      </c>
      <c r="O223" t="s">
        <v>127</v>
      </c>
      <c r="P223" t="s">
        <v>111</v>
      </c>
      <c r="Q223" t="s">
        <v>1664</v>
      </c>
      <c r="R223">
        <v>1</v>
      </c>
      <c r="S223" s="89">
        <v>19000</v>
      </c>
      <c r="T223" s="89">
        <v>0</v>
      </c>
      <c r="U223" s="89">
        <v>5800</v>
      </c>
      <c r="V223" s="89">
        <v>5800</v>
      </c>
      <c r="W223" s="89">
        <v>13200</v>
      </c>
    </row>
    <row r="224" spans="1:23" ht="13">
      <c r="A224" t="s">
        <v>1665</v>
      </c>
      <c r="B224" t="s">
        <v>1666</v>
      </c>
      <c r="C224" s="88">
        <v>46157.167129629626</v>
      </c>
      <c r="D224" t="s">
        <v>105</v>
      </c>
      <c r="E224" t="s">
        <v>106</v>
      </c>
      <c r="F224" t="s">
        <v>1667</v>
      </c>
      <c r="G224" t="s">
        <v>1668</v>
      </c>
      <c r="H224" t="s">
        <v>1667</v>
      </c>
      <c r="I224" s="88">
        <v>46148.626018518524</v>
      </c>
      <c r="J224" t="s">
        <v>107</v>
      </c>
      <c r="K224" t="s">
        <v>108</v>
      </c>
      <c r="L224" t="s">
        <v>1669</v>
      </c>
      <c r="M224" s="88">
        <v>46149.676377314812</v>
      </c>
      <c r="N224" t="s">
        <v>637</v>
      </c>
      <c r="O224" t="s">
        <v>112</v>
      </c>
      <c r="P224" t="s">
        <v>111</v>
      </c>
      <c r="Q224" t="s">
        <v>1417</v>
      </c>
      <c r="R224">
        <v>3</v>
      </c>
      <c r="S224" s="89">
        <v>9500</v>
      </c>
      <c r="T224" s="89">
        <v>0</v>
      </c>
      <c r="U224" s="89">
        <v>6270</v>
      </c>
      <c r="V224" s="89">
        <v>6270</v>
      </c>
      <c r="W224" s="89">
        <v>22230</v>
      </c>
    </row>
    <row r="225" spans="1:23" ht="13">
      <c r="A225" t="s">
        <v>1670</v>
      </c>
      <c r="B225" t="s">
        <v>1671</v>
      </c>
      <c r="C225" s="88">
        <v>46157.166238425925</v>
      </c>
      <c r="D225" t="s">
        <v>105</v>
      </c>
      <c r="E225" t="s">
        <v>106</v>
      </c>
      <c r="F225" t="s">
        <v>1580</v>
      </c>
      <c r="G225" t="s">
        <v>1672</v>
      </c>
      <c r="H225" t="s">
        <v>1580</v>
      </c>
      <c r="I225" s="88">
        <v>46148.626018518524</v>
      </c>
      <c r="J225" t="s">
        <v>107</v>
      </c>
      <c r="K225" t="s">
        <v>108</v>
      </c>
      <c r="L225" t="s">
        <v>1673</v>
      </c>
      <c r="M225" s="88">
        <v>46149.555879629625</v>
      </c>
      <c r="N225" t="s">
        <v>637</v>
      </c>
      <c r="O225" t="s">
        <v>112</v>
      </c>
      <c r="P225" t="s">
        <v>111</v>
      </c>
      <c r="Q225" t="s">
        <v>1417</v>
      </c>
      <c r="R225">
        <v>9</v>
      </c>
      <c r="S225" s="89">
        <v>9500</v>
      </c>
      <c r="T225" s="89">
        <v>0</v>
      </c>
      <c r="U225" s="89">
        <v>29970</v>
      </c>
      <c r="V225" s="89">
        <v>29970</v>
      </c>
      <c r="W225" s="89">
        <v>55530</v>
      </c>
    </row>
    <row r="226" spans="1:23" ht="13">
      <c r="A226" t="s">
        <v>1674</v>
      </c>
      <c r="B226" t="s">
        <v>197</v>
      </c>
      <c r="C226" s="88">
        <v>46157.157291666663</v>
      </c>
      <c r="D226" t="s">
        <v>105</v>
      </c>
      <c r="E226" t="s">
        <v>106</v>
      </c>
      <c r="F226" t="s">
        <v>198</v>
      </c>
      <c r="G226" t="s">
        <v>199</v>
      </c>
      <c r="H226" t="s">
        <v>198</v>
      </c>
      <c r="I226" s="88">
        <v>46148.709178240737</v>
      </c>
      <c r="J226" t="s">
        <v>107</v>
      </c>
      <c r="K226" t="s">
        <v>108</v>
      </c>
      <c r="L226" t="s">
        <v>1675</v>
      </c>
      <c r="M226" s="88">
        <v>46149.660451388889</v>
      </c>
      <c r="N226" t="s">
        <v>1656</v>
      </c>
      <c r="O226" t="s">
        <v>127</v>
      </c>
      <c r="P226" t="s">
        <v>111</v>
      </c>
      <c r="Q226" t="s">
        <v>1664</v>
      </c>
      <c r="R226">
        <v>1</v>
      </c>
      <c r="S226" s="89">
        <v>19000</v>
      </c>
      <c r="T226" s="89">
        <v>0</v>
      </c>
      <c r="U226" s="89">
        <v>5800</v>
      </c>
      <c r="V226" s="89">
        <v>5800</v>
      </c>
      <c r="W226" s="89">
        <v>13200</v>
      </c>
    </row>
    <row r="227" spans="1:23" ht="13">
      <c r="A227" t="s">
        <v>1676</v>
      </c>
      <c r="B227" t="s">
        <v>1677</v>
      </c>
      <c r="C227" s="88">
        <v>46157.150624999995</v>
      </c>
      <c r="D227" t="s">
        <v>105</v>
      </c>
      <c r="E227" t="s">
        <v>106</v>
      </c>
      <c r="F227" t="s">
        <v>1678</v>
      </c>
      <c r="G227" t="s">
        <v>1679</v>
      </c>
      <c r="H227" t="s">
        <v>1678</v>
      </c>
      <c r="I227" s="88">
        <v>46148.584131944444</v>
      </c>
      <c r="J227" t="s">
        <v>107</v>
      </c>
      <c r="K227" t="s">
        <v>108</v>
      </c>
      <c r="L227" t="s">
        <v>1680</v>
      </c>
      <c r="M227" s="88">
        <v>46149.674305555556</v>
      </c>
      <c r="N227" t="s">
        <v>637</v>
      </c>
      <c r="O227" t="s">
        <v>112</v>
      </c>
      <c r="P227" t="s">
        <v>111</v>
      </c>
      <c r="Q227" t="s">
        <v>1417</v>
      </c>
      <c r="R227">
        <v>1</v>
      </c>
      <c r="S227" s="89">
        <v>9500</v>
      </c>
      <c r="T227" s="89">
        <v>0</v>
      </c>
      <c r="U227" s="89">
        <v>2090</v>
      </c>
      <c r="V227" s="89">
        <v>2090</v>
      </c>
      <c r="W227" s="89">
        <v>7410</v>
      </c>
    </row>
    <row r="228" spans="1:23" ht="13">
      <c r="A228" t="s">
        <v>1681</v>
      </c>
      <c r="B228" t="s">
        <v>1682</v>
      </c>
      <c r="C228" s="88">
        <v>46157.150613425925</v>
      </c>
      <c r="D228" t="s">
        <v>105</v>
      </c>
      <c r="E228" t="s">
        <v>106</v>
      </c>
      <c r="F228" t="s">
        <v>1683</v>
      </c>
      <c r="G228" t="s">
        <v>1684</v>
      </c>
      <c r="H228" t="s">
        <v>1683</v>
      </c>
      <c r="I228" s="88">
        <v>46148.584108796298</v>
      </c>
      <c r="J228" t="s">
        <v>107</v>
      </c>
      <c r="K228" t="s">
        <v>108</v>
      </c>
      <c r="L228" t="s">
        <v>1685</v>
      </c>
      <c r="M228" s="88">
        <v>46149.55363425926</v>
      </c>
      <c r="N228" t="s">
        <v>637</v>
      </c>
      <c r="O228" t="s">
        <v>112</v>
      </c>
      <c r="P228" t="s">
        <v>111</v>
      </c>
      <c r="Q228" t="s">
        <v>1417</v>
      </c>
      <c r="R228">
        <v>2</v>
      </c>
      <c r="S228" s="89">
        <v>9500</v>
      </c>
      <c r="T228" s="89">
        <v>0</v>
      </c>
      <c r="U228" s="89">
        <v>4180</v>
      </c>
      <c r="V228" s="89">
        <v>4180</v>
      </c>
      <c r="W228" s="89">
        <v>14820</v>
      </c>
    </row>
    <row r="229" spans="1:23" ht="13">
      <c r="A229" t="s">
        <v>1686</v>
      </c>
      <c r="B229" t="s">
        <v>1687</v>
      </c>
      <c r="C229" s="88">
        <v>46157.150613425925</v>
      </c>
      <c r="D229" t="s">
        <v>105</v>
      </c>
      <c r="E229" t="s">
        <v>106</v>
      </c>
      <c r="F229" t="s">
        <v>239</v>
      </c>
      <c r="G229" t="s">
        <v>1688</v>
      </c>
      <c r="H229" t="s">
        <v>239</v>
      </c>
      <c r="I229" s="88">
        <v>46148.584108796298</v>
      </c>
      <c r="J229" t="s">
        <v>107</v>
      </c>
      <c r="K229" t="s">
        <v>108</v>
      </c>
      <c r="L229" t="s">
        <v>1689</v>
      </c>
      <c r="M229" s="88">
        <v>46149.660416666666</v>
      </c>
      <c r="N229" t="s">
        <v>637</v>
      </c>
      <c r="O229" t="s">
        <v>112</v>
      </c>
      <c r="P229" t="s">
        <v>111</v>
      </c>
      <c r="Q229" t="s">
        <v>1417</v>
      </c>
      <c r="R229">
        <v>7</v>
      </c>
      <c r="S229" s="89">
        <v>9500</v>
      </c>
      <c r="T229" s="89">
        <v>0</v>
      </c>
      <c r="U229" s="89">
        <v>23410</v>
      </c>
      <c r="V229" s="89">
        <v>23410</v>
      </c>
      <c r="W229" s="89">
        <v>43090</v>
      </c>
    </row>
    <row r="230" spans="1:23" ht="13">
      <c r="A230" t="s">
        <v>1690</v>
      </c>
      <c r="B230" t="s">
        <v>1691</v>
      </c>
      <c r="C230" s="88">
        <v>46157.150104166663</v>
      </c>
      <c r="D230" t="s">
        <v>105</v>
      </c>
      <c r="E230" t="s">
        <v>106</v>
      </c>
      <c r="F230" t="s">
        <v>287</v>
      </c>
      <c r="G230" t="s">
        <v>1692</v>
      </c>
      <c r="H230" t="s">
        <v>287</v>
      </c>
      <c r="I230" s="88">
        <v>46148.584108796298</v>
      </c>
      <c r="J230" t="s">
        <v>107</v>
      </c>
      <c r="K230" t="s">
        <v>108</v>
      </c>
      <c r="L230" t="s">
        <v>1693</v>
      </c>
      <c r="M230" s="88">
        <v>46149.675717592589</v>
      </c>
      <c r="N230" t="s">
        <v>637</v>
      </c>
      <c r="O230" t="s">
        <v>112</v>
      </c>
      <c r="P230" t="s">
        <v>111</v>
      </c>
      <c r="Q230" t="s">
        <v>1417</v>
      </c>
      <c r="R230">
        <v>1</v>
      </c>
      <c r="S230" s="89">
        <v>9500</v>
      </c>
      <c r="T230" s="89">
        <v>0</v>
      </c>
      <c r="U230" s="89">
        <v>2090</v>
      </c>
      <c r="V230" s="89">
        <v>2090</v>
      </c>
      <c r="W230" s="89">
        <v>7410</v>
      </c>
    </row>
    <row r="231" spans="1:23" ht="13">
      <c r="A231" t="s">
        <v>1694</v>
      </c>
      <c r="B231" t="s">
        <v>1695</v>
      </c>
      <c r="C231" s="88">
        <v>46157.150092592594</v>
      </c>
      <c r="D231" t="s">
        <v>105</v>
      </c>
      <c r="E231" t="s">
        <v>106</v>
      </c>
      <c r="F231" t="s">
        <v>258</v>
      </c>
      <c r="G231" t="s">
        <v>1696</v>
      </c>
      <c r="H231" t="s">
        <v>258</v>
      </c>
      <c r="I231" s="88">
        <v>46148.584108796298</v>
      </c>
      <c r="J231" t="s">
        <v>107</v>
      </c>
      <c r="K231" t="s">
        <v>108</v>
      </c>
      <c r="L231" t="s">
        <v>1697</v>
      </c>
      <c r="M231" s="88">
        <v>46149.822187500002</v>
      </c>
      <c r="N231" t="s">
        <v>637</v>
      </c>
      <c r="O231" t="s">
        <v>112</v>
      </c>
      <c r="P231" t="s">
        <v>111</v>
      </c>
      <c r="Q231" t="s">
        <v>1417</v>
      </c>
      <c r="R231">
        <v>2</v>
      </c>
      <c r="S231" s="89">
        <v>9500</v>
      </c>
      <c r="T231" s="89">
        <v>0</v>
      </c>
      <c r="U231" s="89">
        <v>4180</v>
      </c>
      <c r="V231" s="89">
        <v>4180</v>
      </c>
      <c r="W231" s="89">
        <v>14820</v>
      </c>
    </row>
    <row r="232" spans="1:23" ht="13">
      <c r="A232" t="s">
        <v>1698</v>
      </c>
      <c r="B232" t="s">
        <v>1699</v>
      </c>
      <c r="C232" s="88">
        <v>46157.150092592594</v>
      </c>
      <c r="D232" t="s">
        <v>105</v>
      </c>
      <c r="E232" t="s">
        <v>106</v>
      </c>
      <c r="F232" t="s">
        <v>1700</v>
      </c>
      <c r="G232" t="s">
        <v>1701</v>
      </c>
      <c r="H232" t="s">
        <v>1700</v>
      </c>
      <c r="I232" s="88">
        <v>46148.584108796298</v>
      </c>
      <c r="J232" t="s">
        <v>107</v>
      </c>
      <c r="K232" t="s">
        <v>108</v>
      </c>
      <c r="L232" t="s">
        <v>1702</v>
      </c>
      <c r="M232" s="88">
        <v>46149.926851851851</v>
      </c>
      <c r="N232" t="s">
        <v>637</v>
      </c>
      <c r="O232" t="s">
        <v>112</v>
      </c>
      <c r="P232" t="s">
        <v>111</v>
      </c>
      <c r="Q232" t="s">
        <v>1417</v>
      </c>
      <c r="R232">
        <v>6</v>
      </c>
      <c r="S232" s="89">
        <v>9500</v>
      </c>
      <c r="T232" s="89">
        <v>0</v>
      </c>
      <c r="U232" s="89">
        <v>19980</v>
      </c>
      <c r="V232" s="89">
        <v>19980</v>
      </c>
      <c r="W232" s="89">
        <v>37020</v>
      </c>
    </row>
    <row r="233" spans="1:23" ht="13">
      <c r="A233" t="s">
        <v>1703</v>
      </c>
      <c r="B233" t="s">
        <v>1704</v>
      </c>
      <c r="C233" s="88">
        <v>46157.150092592594</v>
      </c>
      <c r="D233" t="s">
        <v>105</v>
      </c>
      <c r="E233" t="s">
        <v>106</v>
      </c>
      <c r="F233" t="s">
        <v>174</v>
      </c>
      <c r="G233" t="s">
        <v>1705</v>
      </c>
      <c r="H233" t="s">
        <v>174</v>
      </c>
      <c r="I233" s="88">
        <v>46148.584108796298</v>
      </c>
      <c r="J233" t="s">
        <v>107</v>
      </c>
      <c r="K233" t="s">
        <v>108</v>
      </c>
      <c r="L233" t="s">
        <v>1706</v>
      </c>
      <c r="M233" s="88">
        <v>46149.472430555557</v>
      </c>
      <c r="N233" t="s">
        <v>637</v>
      </c>
      <c r="O233" t="s">
        <v>112</v>
      </c>
      <c r="P233" t="s">
        <v>111</v>
      </c>
      <c r="Q233" t="s">
        <v>1417</v>
      </c>
      <c r="R233">
        <v>7</v>
      </c>
      <c r="S233" s="89">
        <v>9500</v>
      </c>
      <c r="T233" s="89">
        <v>0</v>
      </c>
      <c r="U233" s="89">
        <v>23410</v>
      </c>
      <c r="V233" s="89">
        <v>23410</v>
      </c>
      <c r="W233" s="89">
        <v>43090</v>
      </c>
    </row>
    <row r="234" spans="1:23" ht="13">
      <c r="A234" t="s">
        <v>1707</v>
      </c>
      <c r="B234" t="s">
        <v>1708</v>
      </c>
      <c r="C234" s="88">
        <v>46157.150081018517</v>
      </c>
      <c r="D234" t="s">
        <v>105</v>
      </c>
      <c r="E234" t="s">
        <v>106</v>
      </c>
      <c r="F234" t="s">
        <v>1224</v>
      </c>
      <c r="G234" t="s">
        <v>1225</v>
      </c>
      <c r="H234" t="s">
        <v>1224</v>
      </c>
      <c r="I234" s="88">
        <v>46148.584108796298</v>
      </c>
      <c r="J234" t="s">
        <v>107</v>
      </c>
      <c r="K234" t="s">
        <v>108</v>
      </c>
      <c r="L234" t="s">
        <v>1709</v>
      </c>
      <c r="M234" s="88">
        <v>46149.675706018519</v>
      </c>
      <c r="N234" t="s">
        <v>637</v>
      </c>
      <c r="O234" t="s">
        <v>112</v>
      </c>
      <c r="P234" t="s">
        <v>111</v>
      </c>
      <c r="Q234" t="s">
        <v>1417</v>
      </c>
      <c r="R234">
        <v>6</v>
      </c>
      <c r="S234" s="89">
        <v>9500</v>
      </c>
      <c r="T234" s="89">
        <v>0</v>
      </c>
      <c r="U234" s="89">
        <v>20080</v>
      </c>
      <c r="V234" s="89">
        <v>20080</v>
      </c>
      <c r="W234" s="89">
        <v>36920</v>
      </c>
    </row>
    <row r="235" spans="1:23" ht="13">
      <c r="A235" t="s">
        <v>1710</v>
      </c>
      <c r="B235" t="s">
        <v>1711</v>
      </c>
      <c r="C235" s="88">
        <v>46157.150081018517</v>
      </c>
      <c r="D235" t="s">
        <v>105</v>
      </c>
      <c r="E235" t="s">
        <v>106</v>
      </c>
      <c r="F235" t="s">
        <v>1712</v>
      </c>
      <c r="G235" t="s">
        <v>1713</v>
      </c>
      <c r="H235" t="s">
        <v>1712</v>
      </c>
      <c r="I235" s="88">
        <v>46148.584097222221</v>
      </c>
      <c r="J235" t="s">
        <v>107</v>
      </c>
      <c r="K235" t="s">
        <v>108</v>
      </c>
      <c r="L235" t="s">
        <v>1714</v>
      </c>
      <c r="M235" s="88">
        <v>46149.499930555554</v>
      </c>
      <c r="N235" t="s">
        <v>637</v>
      </c>
      <c r="O235" t="s">
        <v>112</v>
      </c>
      <c r="P235" t="s">
        <v>111</v>
      </c>
      <c r="Q235" t="s">
        <v>1417</v>
      </c>
      <c r="R235">
        <v>3</v>
      </c>
      <c r="S235" s="89">
        <v>9500</v>
      </c>
      <c r="T235" s="89">
        <v>0</v>
      </c>
      <c r="U235" s="89">
        <v>6270</v>
      </c>
      <c r="V235" s="89">
        <v>6270</v>
      </c>
      <c r="W235" s="89">
        <v>22230</v>
      </c>
    </row>
    <row r="236" spans="1:23" ht="13">
      <c r="A236" t="s">
        <v>1715</v>
      </c>
      <c r="B236" t="s">
        <v>1716</v>
      </c>
      <c r="C236" s="88">
        <v>46157.15</v>
      </c>
      <c r="D236" t="s">
        <v>105</v>
      </c>
      <c r="E236" t="s">
        <v>106</v>
      </c>
      <c r="F236" t="s">
        <v>1717</v>
      </c>
      <c r="G236" t="s">
        <v>1718</v>
      </c>
      <c r="H236" t="s">
        <v>1717</v>
      </c>
      <c r="I236" s="88">
        <v>46148.584131944444</v>
      </c>
      <c r="J236" t="s">
        <v>107</v>
      </c>
      <c r="K236" t="s">
        <v>108</v>
      </c>
      <c r="L236" t="s">
        <v>1719</v>
      </c>
      <c r="M236" s="88">
        <v>46149.679270833338</v>
      </c>
      <c r="N236" t="s">
        <v>637</v>
      </c>
      <c r="O236" t="s">
        <v>112</v>
      </c>
      <c r="P236" t="s">
        <v>111</v>
      </c>
      <c r="Q236" t="s">
        <v>1417</v>
      </c>
      <c r="R236">
        <v>1</v>
      </c>
      <c r="S236" s="89">
        <v>9500</v>
      </c>
      <c r="T236" s="89">
        <v>0</v>
      </c>
      <c r="U236" s="89">
        <v>2090</v>
      </c>
      <c r="V236" s="89">
        <v>2090</v>
      </c>
      <c r="W236" s="89">
        <v>7410</v>
      </c>
    </row>
    <row r="237" spans="1:23" ht="13">
      <c r="A237" t="s">
        <v>1720</v>
      </c>
      <c r="B237" t="s">
        <v>1721</v>
      </c>
      <c r="C237" s="88">
        <v>46157.15</v>
      </c>
      <c r="D237" t="s">
        <v>105</v>
      </c>
      <c r="E237" t="s">
        <v>106</v>
      </c>
      <c r="F237" t="s">
        <v>1722</v>
      </c>
      <c r="G237" t="s">
        <v>1723</v>
      </c>
      <c r="H237" t="s">
        <v>1722</v>
      </c>
      <c r="I237" s="88">
        <v>46148.584131944444</v>
      </c>
      <c r="J237" t="s">
        <v>107</v>
      </c>
      <c r="K237" t="s">
        <v>108</v>
      </c>
      <c r="L237" t="s">
        <v>1724</v>
      </c>
      <c r="M237" s="88">
        <v>46149.679224537038</v>
      </c>
      <c r="N237" t="s">
        <v>637</v>
      </c>
      <c r="O237" t="s">
        <v>112</v>
      </c>
      <c r="P237" t="s">
        <v>111</v>
      </c>
      <c r="Q237" t="s">
        <v>1417</v>
      </c>
      <c r="R237">
        <v>6</v>
      </c>
      <c r="S237" s="89">
        <v>9500</v>
      </c>
      <c r="T237" s="89">
        <v>0</v>
      </c>
      <c r="U237" s="89">
        <v>20080</v>
      </c>
      <c r="V237" s="89">
        <v>20080</v>
      </c>
      <c r="W237" s="89">
        <v>36920</v>
      </c>
    </row>
    <row r="238" spans="1:23" ht="13">
      <c r="A238" t="s">
        <v>1725</v>
      </c>
      <c r="B238" t="s">
        <v>1726</v>
      </c>
      <c r="C238" s="88">
        <v>46157.149988425925</v>
      </c>
      <c r="D238" t="s">
        <v>105</v>
      </c>
      <c r="E238" t="s">
        <v>106</v>
      </c>
      <c r="F238" t="s">
        <v>351</v>
      </c>
      <c r="G238" t="s">
        <v>1727</v>
      </c>
      <c r="H238" t="s">
        <v>351</v>
      </c>
      <c r="I238" s="88">
        <v>46148.584108796298</v>
      </c>
      <c r="J238" t="s">
        <v>107</v>
      </c>
      <c r="K238" t="s">
        <v>108</v>
      </c>
      <c r="L238" t="s">
        <v>1728</v>
      </c>
      <c r="M238" s="88">
        <v>46149.550787037035</v>
      </c>
      <c r="N238" t="s">
        <v>637</v>
      </c>
      <c r="O238" t="s">
        <v>112</v>
      </c>
      <c r="P238" t="s">
        <v>111</v>
      </c>
      <c r="Q238" t="s">
        <v>1417</v>
      </c>
      <c r="R238">
        <v>3</v>
      </c>
      <c r="S238" s="89">
        <v>9500</v>
      </c>
      <c r="T238" s="89">
        <v>0</v>
      </c>
      <c r="U238" s="89">
        <v>6370</v>
      </c>
      <c r="V238" s="89">
        <v>6370</v>
      </c>
      <c r="W238" s="89">
        <v>22130</v>
      </c>
    </row>
    <row r="239" spans="1:23" ht="13">
      <c r="A239" t="s">
        <v>1729</v>
      </c>
      <c r="B239" t="s">
        <v>1730</v>
      </c>
      <c r="C239" s="88">
        <v>46157.149988425925</v>
      </c>
      <c r="D239" t="s">
        <v>105</v>
      </c>
      <c r="E239" t="s">
        <v>106</v>
      </c>
      <c r="F239" t="s">
        <v>1731</v>
      </c>
      <c r="G239" t="s">
        <v>1732</v>
      </c>
      <c r="H239" t="s">
        <v>1731</v>
      </c>
      <c r="I239" s="88">
        <v>46148.584108796298</v>
      </c>
      <c r="J239" t="s">
        <v>107</v>
      </c>
      <c r="K239" t="s">
        <v>108</v>
      </c>
      <c r="L239" t="s">
        <v>1733</v>
      </c>
      <c r="M239" s="88">
        <v>46149.96674768519</v>
      </c>
      <c r="N239" t="s">
        <v>637</v>
      </c>
      <c r="O239" t="s">
        <v>112</v>
      </c>
      <c r="P239" t="s">
        <v>111</v>
      </c>
      <c r="Q239" t="s">
        <v>1417</v>
      </c>
      <c r="R239">
        <v>2</v>
      </c>
      <c r="S239" s="89">
        <v>9500</v>
      </c>
      <c r="T239" s="89">
        <v>0</v>
      </c>
      <c r="U239" s="89">
        <v>4180</v>
      </c>
      <c r="V239" s="89">
        <v>4180</v>
      </c>
      <c r="W239" s="89">
        <v>14820</v>
      </c>
    </row>
    <row r="240" spans="1:23" ht="13">
      <c r="A240" t="s">
        <v>1734</v>
      </c>
      <c r="B240" t="s">
        <v>1735</v>
      </c>
      <c r="C240" s="88">
        <v>46157.149988425925</v>
      </c>
      <c r="D240" t="s">
        <v>105</v>
      </c>
      <c r="E240" t="s">
        <v>106</v>
      </c>
      <c r="F240" t="s">
        <v>1736</v>
      </c>
      <c r="G240" t="s">
        <v>1737</v>
      </c>
      <c r="H240" t="s">
        <v>1736</v>
      </c>
      <c r="I240" s="88">
        <v>46148.584097222221</v>
      </c>
      <c r="J240" t="s">
        <v>107</v>
      </c>
      <c r="K240" t="s">
        <v>108</v>
      </c>
      <c r="L240" t="s">
        <v>1738</v>
      </c>
      <c r="M240" s="88">
        <v>46149.71674768519</v>
      </c>
      <c r="N240" t="s">
        <v>637</v>
      </c>
      <c r="O240" t="s">
        <v>112</v>
      </c>
      <c r="P240" t="s">
        <v>111</v>
      </c>
      <c r="Q240" t="s">
        <v>1417</v>
      </c>
      <c r="R240">
        <v>4</v>
      </c>
      <c r="S240" s="89">
        <v>9500</v>
      </c>
      <c r="T240" s="89">
        <v>0</v>
      </c>
      <c r="U240" s="89">
        <v>8460</v>
      </c>
      <c r="V240" s="89">
        <v>8460</v>
      </c>
      <c r="W240" s="89">
        <v>29540</v>
      </c>
    </row>
    <row r="241" spans="1:23" ht="13">
      <c r="A241" t="s">
        <v>1739</v>
      </c>
      <c r="B241" t="s">
        <v>1740</v>
      </c>
      <c r="C241" s="88">
        <v>46157.149652777778</v>
      </c>
      <c r="D241" t="s">
        <v>105</v>
      </c>
      <c r="E241" t="s">
        <v>106</v>
      </c>
      <c r="F241" t="s">
        <v>1741</v>
      </c>
      <c r="G241" t="s">
        <v>1742</v>
      </c>
      <c r="H241" t="s">
        <v>1741</v>
      </c>
      <c r="I241" s="88">
        <v>46148.584131944444</v>
      </c>
      <c r="J241" t="s">
        <v>107</v>
      </c>
      <c r="K241" t="s">
        <v>108</v>
      </c>
      <c r="L241" t="s">
        <v>1743</v>
      </c>
      <c r="M241" s="88">
        <v>46149.342337962968</v>
      </c>
      <c r="N241" t="s">
        <v>637</v>
      </c>
      <c r="O241" t="s">
        <v>112</v>
      </c>
      <c r="P241" t="s">
        <v>111</v>
      </c>
      <c r="Q241" t="s">
        <v>1417</v>
      </c>
      <c r="R241">
        <v>2</v>
      </c>
      <c r="S241" s="89">
        <v>9500</v>
      </c>
      <c r="T241" s="89">
        <v>0</v>
      </c>
      <c r="U241" s="89">
        <v>4180</v>
      </c>
      <c r="V241" s="89">
        <v>4180</v>
      </c>
      <c r="W241" s="89">
        <v>14820</v>
      </c>
    </row>
    <row r="242" spans="1:23" ht="13">
      <c r="A242" t="s">
        <v>1744</v>
      </c>
      <c r="B242" t="s">
        <v>1745</v>
      </c>
      <c r="C242" s="88">
        <v>46157.149641203709</v>
      </c>
      <c r="D242" t="s">
        <v>105</v>
      </c>
      <c r="E242" t="s">
        <v>106</v>
      </c>
      <c r="F242" t="s">
        <v>236</v>
      </c>
      <c r="G242" t="s">
        <v>1746</v>
      </c>
      <c r="H242" t="s">
        <v>236</v>
      </c>
      <c r="I242" s="88">
        <v>46148.584131944444</v>
      </c>
      <c r="J242" t="s">
        <v>107</v>
      </c>
      <c r="K242" t="s">
        <v>108</v>
      </c>
      <c r="L242" t="s">
        <v>1747</v>
      </c>
      <c r="M242" s="88">
        <v>46149.963530092587</v>
      </c>
      <c r="N242" t="s">
        <v>637</v>
      </c>
      <c r="O242" t="s">
        <v>112</v>
      </c>
      <c r="P242" t="s">
        <v>111</v>
      </c>
      <c r="Q242" t="s">
        <v>1417</v>
      </c>
      <c r="R242">
        <v>2</v>
      </c>
      <c r="S242" s="89">
        <v>9500</v>
      </c>
      <c r="T242" s="89">
        <v>0</v>
      </c>
      <c r="U242" s="89">
        <v>4180</v>
      </c>
      <c r="V242" s="89">
        <v>4180</v>
      </c>
      <c r="W242" s="89">
        <v>14820</v>
      </c>
    </row>
    <row r="243" spans="1:23" ht="13">
      <c r="A243" t="s">
        <v>1748</v>
      </c>
      <c r="B243" t="s">
        <v>1749</v>
      </c>
      <c r="C243" s="88">
        <v>46157.149629629625</v>
      </c>
      <c r="D243" t="s">
        <v>105</v>
      </c>
      <c r="E243" t="s">
        <v>106</v>
      </c>
      <c r="F243" t="s">
        <v>386</v>
      </c>
      <c r="G243" t="s">
        <v>1750</v>
      </c>
      <c r="H243" t="s">
        <v>386</v>
      </c>
      <c r="I243" s="88">
        <v>46148.584097222221</v>
      </c>
      <c r="J243" t="s">
        <v>107</v>
      </c>
      <c r="K243" t="s">
        <v>108</v>
      </c>
      <c r="L243" t="s">
        <v>1751</v>
      </c>
      <c r="M243" s="88">
        <v>46149.553657407407</v>
      </c>
      <c r="N243" t="s">
        <v>637</v>
      </c>
      <c r="O243" t="s">
        <v>112</v>
      </c>
      <c r="P243" t="s">
        <v>111</v>
      </c>
      <c r="Q243" t="s">
        <v>1417</v>
      </c>
      <c r="R243">
        <v>6</v>
      </c>
      <c r="S243" s="89">
        <v>9500</v>
      </c>
      <c r="T243" s="89">
        <v>0</v>
      </c>
      <c r="U243" s="89">
        <v>19980</v>
      </c>
      <c r="V243" s="89">
        <v>19980</v>
      </c>
      <c r="W243" s="89">
        <v>37020</v>
      </c>
    </row>
    <row r="244" spans="1:23" ht="13">
      <c r="A244" t="s">
        <v>1752</v>
      </c>
      <c r="B244" t="s">
        <v>1753</v>
      </c>
      <c r="C244" s="88">
        <v>46157.149525462963</v>
      </c>
      <c r="D244" t="s">
        <v>105</v>
      </c>
      <c r="E244" t="s">
        <v>106</v>
      </c>
      <c r="F244" t="s">
        <v>1754</v>
      </c>
      <c r="G244" t="s">
        <v>1755</v>
      </c>
      <c r="H244" t="s">
        <v>1756</v>
      </c>
      <c r="I244" s="88">
        <v>46148.584143518514</v>
      </c>
      <c r="J244" t="s">
        <v>107</v>
      </c>
      <c r="K244" t="s">
        <v>108</v>
      </c>
      <c r="L244" t="s">
        <v>1757</v>
      </c>
      <c r="M244" s="88">
        <v>46149.55232638889</v>
      </c>
      <c r="N244" t="s">
        <v>637</v>
      </c>
      <c r="O244" t="s">
        <v>112</v>
      </c>
      <c r="P244" t="s">
        <v>111</v>
      </c>
      <c r="Q244" t="s">
        <v>1417</v>
      </c>
      <c r="R244">
        <v>1</v>
      </c>
      <c r="S244" s="89">
        <v>9500</v>
      </c>
      <c r="T244" s="89">
        <v>0</v>
      </c>
      <c r="U244" s="89">
        <v>2090</v>
      </c>
      <c r="V244" s="89">
        <v>2090</v>
      </c>
      <c r="W244" s="89">
        <v>7410</v>
      </c>
    </row>
    <row r="245" spans="1:23" ht="13">
      <c r="A245" t="s">
        <v>1758</v>
      </c>
      <c r="B245" t="s">
        <v>1759</v>
      </c>
      <c r="C245" s="88">
        <v>46157.149513888886</v>
      </c>
      <c r="D245" t="s">
        <v>105</v>
      </c>
      <c r="E245" t="s">
        <v>106</v>
      </c>
      <c r="F245" t="s">
        <v>1760</v>
      </c>
      <c r="G245" t="s">
        <v>1761</v>
      </c>
      <c r="H245" t="s">
        <v>1760</v>
      </c>
      <c r="I245" s="88">
        <v>46148.584108796298</v>
      </c>
      <c r="J245" t="s">
        <v>107</v>
      </c>
      <c r="K245" t="s">
        <v>108</v>
      </c>
      <c r="L245" t="s">
        <v>1762</v>
      </c>
      <c r="M245" s="88">
        <v>46149.55668981481</v>
      </c>
      <c r="N245" t="s">
        <v>637</v>
      </c>
      <c r="O245" t="s">
        <v>112</v>
      </c>
      <c r="P245" t="s">
        <v>111</v>
      </c>
      <c r="Q245" t="s">
        <v>1417</v>
      </c>
      <c r="R245">
        <v>3</v>
      </c>
      <c r="S245" s="89">
        <v>9500</v>
      </c>
      <c r="T245" s="89">
        <v>0</v>
      </c>
      <c r="U245" s="89">
        <v>6370</v>
      </c>
      <c r="V245" s="89">
        <v>6370</v>
      </c>
      <c r="W245" s="89">
        <v>22130</v>
      </c>
    </row>
    <row r="246" spans="1:23" ht="13">
      <c r="A246" t="s">
        <v>1763</v>
      </c>
      <c r="B246" t="s">
        <v>1764</v>
      </c>
      <c r="C246" s="88">
        <v>46157.149513888886</v>
      </c>
      <c r="D246" t="s">
        <v>105</v>
      </c>
      <c r="E246" t="s">
        <v>106</v>
      </c>
      <c r="F246" t="s">
        <v>1765</v>
      </c>
      <c r="G246" t="s">
        <v>1766</v>
      </c>
      <c r="H246" t="s">
        <v>1765</v>
      </c>
      <c r="I246" s="88">
        <v>46148.584108796298</v>
      </c>
      <c r="J246" t="s">
        <v>107</v>
      </c>
      <c r="K246" t="s">
        <v>108</v>
      </c>
      <c r="L246" t="s">
        <v>1767</v>
      </c>
      <c r="M246" s="88">
        <v>46149.682835648149</v>
      </c>
      <c r="N246" t="s">
        <v>637</v>
      </c>
      <c r="O246" t="s">
        <v>112</v>
      </c>
      <c r="P246" t="s">
        <v>111</v>
      </c>
      <c r="Q246" t="s">
        <v>1417</v>
      </c>
      <c r="R246">
        <v>2</v>
      </c>
      <c r="S246" s="89">
        <v>9500</v>
      </c>
      <c r="T246" s="89">
        <v>0</v>
      </c>
      <c r="U246" s="89">
        <v>4180</v>
      </c>
      <c r="V246" s="89">
        <v>4180</v>
      </c>
      <c r="W246" s="89">
        <v>14820</v>
      </c>
    </row>
    <row r="247" spans="1:23" ht="13">
      <c r="A247" t="s">
        <v>1768</v>
      </c>
      <c r="B247" t="s">
        <v>1769</v>
      </c>
      <c r="C247" s="88">
        <v>46157.149513888886</v>
      </c>
      <c r="D247" t="s">
        <v>105</v>
      </c>
      <c r="E247" t="s">
        <v>106</v>
      </c>
      <c r="F247" t="s">
        <v>1770</v>
      </c>
      <c r="G247" t="s">
        <v>1771</v>
      </c>
      <c r="H247" t="s">
        <v>1770</v>
      </c>
      <c r="I247" s="88">
        <v>46148.584108796298</v>
      </c>
      <c r="J247" t="s">
        <v>107</v>
      </c>
      <c r="K247" t="s">
        <v>108</v>
      </c>
      <c r="L247" t="s">
        <v>1772</v>
      </c>
      <c r="M247" s="88">
        <v>46149.684166666666</v>
      </c>
      <c r="N247" t="s">
        <v>637</v>
      </c>
      <c r="O247" t="s">
        <v>112</v>
      </c>
      <c r="P247" t="s">
        <v>111</v>
      </c>
      <c r="Q247" t="s">
        <v>1417</v>
      </c>
      <c r="R247">
        <v>6</v>
      </c>
      <c r="S247" s="89">
        <v>9500</v>
      </c>
      <c r="T247" s="89">
        <v>0</v>
      </c>
      <c r="U247" s="89">
        <v>20080</v>
      </c>
      <c r="V247" s="89">
        <v>20080</v>
      </c>
      <c r="W247" s="89">
        <v>36920</v>
      </c>
    </row>
    <row r="248" spans="1:23" ht="13">
      <c r="A248" t="s">
        <v>1773</v>
      </c>
      <c r="B248" t="s">
        <v>1774</v>
      </c>
      <c r="C248" s="88">
        <v>46157.149502314816</v>
      </c>
      <c r="D248" t="s">
        <v>105</v>
      </c>
      <c r="E248" t="s">
        <v>106</v>
      </c>
      <c r="F248" t="s">
        <v>1775</v>
      </c>
      <c r="G248" t="s">
        <v>1776</v>
      </c>
      <c r="H248" t="s">
        <v>1775</v>
      </c>
      <c r="I248" s="88">
        <v>46148.584108796298</v>
      </c>
      <c r="J248" t="s">
        <v>107</v>
      </c>
      <c r="K248" t="s">
        <v>108</v>
      </c>
      <c r="L248" t="s">
        <v>1777</v>
      </c>
      <c r="M248" s="88">
        <v>46149.679270833338</v>
      </c>
      <c r="N248" t="s">
        <v>637</v>
      </c>
      <c r="O248" t="s">
        <v>112</v>
      </c>
      <c r="P248" t="s">
        <v>111</v>
      </c>
      <c r="Q248" t="s">
        <v>1417</v>
      </c>
      <c r="R248">
        <v>2</v>
      </c>
      <c r="S248" s="89">
        <v>9500</v>
      </c>
      <c r="T248" s="89">
        <v>0</v>
      </c>
      <c r="U248" s="89">
        <v>4280</v>
      </c>
      <c r="V248" s="89">
        <v>4280</v>
      </c>
      <c r="W248" s="89">
        <v>14720</v>
      </c>
    </row>
    <row r="249" spans="1:23" ht="13">
      <c r="A249" t="s">
        <v>1778</v>
      </c>
      <c r="B249" t="s">
        <v>1779</v>
      </c>
      <c r="C249" s="88">
        <v>46157.149502314816</v>
      </c>
      <c r="D249" t="s">
        <v>105</v>
      </c>
      <c r="E249" t="s">
        <v>106</v>
      </c>
      <c r="F249" t="s">
        <v>257</v>
      </c>
      <c r="G249" t="s">
        <v>1780</v>
      </c>
      <c r="H249" t="s">
        <v>257</v>
      </c>
      <c r="I249" s="88">
        <v>46148.584097222221</v>
      </c>
      <c r="J249" t="s">
        <v>107</v>
      </c>
      <c r="K249" t="s">
        <v>108</v>
      </c>
      <c r="L249" t="s">
        <v>1781</v>
      </c>
      <c r="M249" s="88">
        <v>46149.679282407407</v>
      </c>
      <c r="N249" t="s">
        <v>637</v>
      </c>
      <c r="O249" t="s">
        <v>112</v>
      </c>
      <c r="P249" t="s">
        <v>111</v>
      </c>
      <c r="Q249" t="s">
        <v>1417</v>
      </c>
      <c r="R249">
        <v>6</v>
      </c>
      <c r="S249" s="89">
        <v>9500</v>
      </c>
      <c r="T249" s="89">
        <v>0</v>
      </c>
      <c r="U249" s="89">
        <v>20080</v>
      </c>
      <c r="V249" s="89">
        <v>20080</v>
      </c>
      <c r="W249" s="89">
        <v>36920</v>
      </c>
    </row>
    <row r="250" spans="1:23" ht="13">
      <c r="A250" t="s">
        <v>1782</v>
      </c>
      <c r="B250" t="s">
        <v>1783</v>
      </c>
      <c r="C250" s="88">
        <v>46157.149340277778</v>
      </c>
      <c r="D250" t="s">
        <v>105</v>
      </c>
      <c r="E250" t="s">
        <v>106</v>
      </c>
      <c r="F250" t="s">
        <v>1784</v>
      </c>
      <c r="G250" t="s">
        <v>1785</v>
      </c>
      <c r="H250" t="s">
        <v>1784</v>
      </c>
      <c r="I250" s="88">
        <v>46148.584108796298</v>
      </c>
      <c r="J250" t="s">
        <v>107</v>
      </c>
      <c r="K250" t="s">
        <v>108</v>
      </c>
      <c r="L250" t="s">
        <v>1786</v>
      </c>
      <c r="M250" s="88">
        <v>46149.975775462968</v>
      </c>
      <c r="N250" t="s">
        <v>637</v>
      </c>
      <c r="O250" t="s">
        <v>112</v>
      </c>
      <c r="P250" t="s">
        <v>111</v>
      </c>
      <c r="Q250" t="s">
        <v>1417</v>
      </c>
      <c r="R250">
        <v>1</v>
      </c>
      <c r="S250" s="89">
        <v>9500</v>
      </c>
      <c r="T250" s="89">
        <v>0</v>
      </c>
      <c r="U250" s="89">
        <v>2190</v>
      </c>
      <c r="V250" s="89">
        <v>2190</v>
      </c>
      <c r="W250" s="89">
        <v>7310</v>
      </c>
    </row>
    <row r="251" spans="1:23" ht="13">
      <c r="A251" t="s">
        <v>1787</v>
      </c>
      <c r="B251" t="s">
        <v>1788</v>
      </c>
      <c r="C251" s="88">
        <v>46157.149340277778</v>
      </c>
      <c r="D251" t="s">
        <v>105</v>
      </c>
      <c r="E251" t="s">
        <v>106</v>
      </c>
      <c r="F251" t="s">
        <v>1112</v>
      </c>
      <c r="G251" t="s">
        <v>1789</v>
      </c>
      <c r="H251" t="s">
        <v>1112</v>
      </c>
      <c r="I251" s="88">
        <v>46148.584097222221</v>
      </c>
      <c r="J251" t="s">
        <v>107</v>
      </c>
      <c r="K251" t="s">
        <v>108</v>
      </c>
      <c r="L251" t="s">
        <v>1790</v>
      </c>
      <c r="M251" s="88">
        <v>46149.552314814813</v>
      </c>
      <c r="N251" t="s">
        <v>637</v>
      </c>
      <c r="O251" t="s">
        <v>112</v>
      </c>
      <c r="P251" t="s">
        <v>111</v>
      </c>
      <c r="Q251" t="s">
        <v>1417</v>
      </c>
      <c r="R251">
        <v>2</v>
      </c>
      <c r="S251" s="89">
        <v>9500</v>
      </c>
      <c r="T251" s="89">
        <v>0</v>
      </c>
      <c r="U251" s="89">
        <v>4280</v>
      </c>
      <c r="V251" s="89">
        <v>4280</v>
      </c>
      <c r="W251" s="89">
        <v>14720</v>
      </c>
    </row>
    <row r="252" spans="1:23" ht="13">
      <c r="A252" t="s">
        <v>1791</v>
      </c>
      <c r="B252" t="s">
        <v>1792</v>
      </c>
      <c r="C252" s="88">
        <v>46157.149340277778</v>
      </c>
      <c r="D252" t="s">
        <v>105</v>
      </c>
      <c r="E252" t="s">
        <v>106</v>
      </c>
      <c r="F252" t="s">
        <v>240</v>
      </c>
      <c r="G252" t="s">
        <v>1793</v>
      </c>
      <c r="H252" t="s">
        <v>240</v>
      </c>
      <c r="I252" s="88">
        <v>46148.584097222221</v>
      </c>
      <c r="J252" t="s">
        <v>107</v>
      </c>
      <c r="K252" t="s">
        <v>108</v>
      </c>
      <c r="L252" t="s">
        <v>1794</v>
      </c>
      <c r="M252" s="88">
        <v>46149.822187500002</v>
      </c>
      <c r="N252" t="s">
        <v>637</v>
      </c>
      <c r="O252" t="s">
        <v>112</v>
      </c>
      <c r="P252" t="s">
        <v>111</v>
      </c>
      <c r="Q252" t="s">
        <v>1417</v>
      </c>
      <c r="R252">
        <v>8</v>
      </c>
      <c r="S252" s="89">
        <v>9500</v>
      </c>
      <c r="T252" s="89">
        <v>0</v>
      </c>
      <c r="U252" s="89">
        <v>26740</v>
      </c>
      <c r="V252" s="89">
        <v>26740</v>
      </c>
      <c r="W252" s="89">
        <v>49260</v>
      </c>
    </row>
    <row r="253" spans="1:23" ht="13">
      <c r="A253" t="s">
        <v>1795</v>
      </c>
      <c r="B253" t="s">
        <v>1796</v>
      </c>
      <c r="C253" s="88">
        <v>46157.148356481484</v>
      </c>
      <c r="D253" t="s">
        <v>105</v>
      </c>
      <c r="E253" t="s">
        <v>106</v>
      </c>
      <c r="F253" t="s">
        <v>1797</v>
      </c>
      <c r="G253" t="s">
        <v>1798</v>
      </c>
      <c r="H253" t="s">
        <v>1797</v>
      </c>
      <c r="I253" s="88">
        <v>46148.584131944444</v>
      </c>
      <c r="J253" t="s">
        <v>107</v>
      </c>
      <c r="K253" t="s">
        <v>108</v>
      </c>
      <c r="L253" t="s">
        <v>1799</v>
      </c>
      <c r="M253" s="88">
        <v>46149.684062500004</v>
      </c>
      <c r="N253" t="s">
        <v>637</v>
      </c>
      <c r="O253" t="s">
        <v>112</v>
      </c>
      <c r="P253" t="s">
        <v>111</v>
      </c>
      <c r="Q253" t="s">
        <v>1417</v>
      </c>
      <c r="R253">
        <v>1</v>
      </c>
      <c r="S253" s="89">
        <v>9500</v>
      </c>
      <c r="T253" s="89">
        <v>0</v>
      </c>
      <c r="U253" s="89">
        <v>2090</v>
      </c>
      <c r="V253" s="89">
        <v>2090</v>
      </c>
      <c r="W253" s="89">
        <v>7410</v>
      </c>
    </row>
    <row r="254" spans="1:23" ht="13">
      <c r="A254" t="s">
        <v>1800</v>
      </c>
      <c r="B254" t="s">
        <v>1801</v>
      </c>
      <c r="C254" s="88">
        <v>46157.148356481484</v>
      </c>
      <c r="D254" t="s">
        <v>105</v>
      </c>
      <c r="E254" t="s">
        <v>106</v>
      </c>
      <c r="F254" t="s">
        <v>346</v>
      </c>
      <c r="G254" t="s">
        <v>1802</v>
      </c>
      <c r="H254" t="s">
        <v>346</v>
      </c>
      <c r="I254" s="88">
        <v>46148.584131944444</v>
      </c>
      <c r="J254" t="s">
        <v>107</v>
      </c>
      <c r="K254" t="s">
        <v>108</v>
      </c>
      <c r="L254" t="s">
        <v>1803</v>
      </c>
      <c r="M254" s="88">
        <v>46149.470416666663</v>
      </c>
      <c r="N254" t="s">
        <v>637</v>
      </c>
      <c r="O254" t="s">
        <v>112</v>
      </c>
      <c r="P254" t="s">
        <v>111</v>
      </c>
      <c r="Q254" t="s">
        <v>1417</v>
      </c>
      <c r="R254">
        <v>6</v>
      </c>
      <c r="S254" s="89">
        <v>9500</v>
      </c>
      <c r="T254" s="89">
        <v>0</v>
      </c>
      <c r="U254" s="89">
        <v>21080</v>
      </c>
      <c r="V254" s="89">
        <v>20080</v>
      </c>
      <c r="W254" s="89">
        <v>35920</v>
      </c>
    </row>
    <row r="255" spans="1:23" ht="13">
      <c r="A255" t="s">
        <v>1804</v>
      </c>
      <c r="B255" t="s">
        <v>1805</v>
      </c>
      <c r="C255" s="88">
        <v>46157.148356481484</v>
      </c>
      <c r="D255" t="s">
        <v>105</v>
      </c>
      <c r="E255" t="s">
        <v>106</v>
      </c>
      <c r="F255" t="s">
        <v>1806</v>
      </c>
      <c r="G255" t="s">
        <v>1807</v>
      </c>
      <c r="H255" t="s">
        <v>1806</v>
      </c>
      <c r="I255" s="88">
        <v>46148.584131944444</v>
      </c>
      <c r="J255" t="s">
        <v>107</v>
      </c>
      <c r="K255" t="s">
        <v>108</v>
      </c>
      <c r="L255" t="s">
        <v>1808</v>
      </c>
      <c r="M255" s="88">
        <v>46149.684050925927</v>
      </c>
      <c r="N255" t="s">
        <v>637</v>
      </c>
      <c r="O255" t="s">
        <v>112</v>
      </c>
      <c r="P255" t="s">
        <v>111</v>
      </c>
      <c r="Q255" t="s">
        <v>1417</v>
      </c>
      <c r="R255">
        <v>3</v>
      </c>
      <c r="S255" s="89">
        <v>9500</v>
      </c>
      <c r="T255" s="89">
        <v>0</v>
      </c>
      <c r="U255" s="89">
        <v>6370</v>
      </c>
      <c r="V255" s="89">
        <v>6370</v>
      </c>
      <c r="W255" s="89">
        <v>22130</v>
      </c>
    </row>
    <row r="256" spans="1:23" ht="13">
      <c r="A256" t="s">
        <v>1809</v>
      </c>
      <c r="B256" t="s">
        <v>1810</v>
      </c>
      <c r="C256" s="88">
        <v>46157.148344907408</v>
      </c>
      <c r="D256" t="s">
        <v>105</v>
      </c>
      <c r="E256" t="s">
        <v>106</v>
      </c>
      <c r="F256" t="s">
        <v>1811</v>
      </c>
      <c r="G256" t="s">
        <v>1812</v>
      </c>
      <c r="H256" t="s">
        <v>1811</v>
      </c>
      <c r="I256" s="88">
        <v>46148.584108796298</v>
      </c>
      <c r="J256" t="s">
        <v>107</v>
      </c>
      <c r="K256" t="s">
        <v>108</v>
      </c>
      <c r="L256" t="s">
        <v>1813</v>
      </c>
      <c r="M256" s="88">
        <v>46149.608958333338</v>
      </c>
      <c r="N256" t="s">
        <v>637</v>
      </c>
      <c r="O256" t="s">
        <v>112</v>
      </c>
      <c r="P256" t="s">
        <v>111</v>
      </c>
      <c r="Q256" t="s">
        <v>1417</v>
      </c>
      <c r="R256">
        <v>6</v>
      </c>
      <c r="S256" s="89">
        <v>9500</v>
      </c>
      <c r="T256" s="89">
        <v>0</v>
      </c>
      <c r="U256" s="89">
        <v>20080</v>
      </c>
      <c r="V256" s="89">
        <v>20080</v>
      </c>
      <c r="W256" s="89">
        <v>36920</v>
      </c>
    </row>
    <row r="257" spans="1:23" ht="13">
      <c r="A257" t="s">
        <v>1814</v>
      </c>
      <c r="B257" t="s">
        <v>1815</v>
      </c>
      <c r="C257" s="88">
        <v>46157.148344907408</v>
      </c>
      <c r="D257" t="s">
        <v>105</v>
      </c>
      <c r="E257" t="s">
        <v>106</v>
      </c>
      <c r="F257" t="s">
        <v>1816</v>
      </c>
      <c r="G257" t="s">
        <v>1817</v>
      </c>
      <c r="H257" t="s">
        <v>1029</v>
      </c>
      <c r="I257" s="88">
        <v>46148.584108796298</v>
      </c>
      <c r="J257" t="s">
        <v>107</v>
      </c>
      <c r="K257" t="s">
        <v>108</v>
      </c>
      <c r="L257" t="s">
        <v>1818</v>
      </c>
      <c r="M257" s="88">
        <v>46149.770543981482</v>
      </c>
      <c r="N257" t="s">
        <v>637</v>
      </c>
      <c r="O257" t="s">
        <v>112</v>
      </c>
      <c r="P257" t="s">
        <v>111</v>
      </c>
      <c r="Q257" t="s">
        <v>1417</v>
      </c>
      <c r="R257">
        <v>3</v>
      </c>
      <c r="S257" s="89">
        <v>9500</v>
      </c>
      <c r="T257" s="89">
        <v>0</v>
      </c>
      <c r="U257" s="89">
        <v>6270</v>
      </c>
      <c r="V257" s="89">
        <v>6270</v>
      </c>
      <c r="W257" s="89">
        <v>22230</v>
      </c>
    </row>
    <row r="258" spans="1:23" ht="13">
      <c r="A258" t="s">
        <v>1819</v>
      </c>
      <c r="B258" t="s">
        <v>1820</v>
      </c>
      <c r="C258" s="88">
        <v>46157.148344907408</v>
      </c>
      <c r="D258" t="s">
        <v>105</v>
      </c>
      <c r="E258" t="s">
        <v>106</v>
      </c>
      <c r="F258" t="s">
        <v>1821</v>
      </c>
      <c r="G258" t="s">
        <v>1822</v>
      </c>
      <c r="H258" t="s">
        <v>1821</v>
      </c>
      <c r="I258" s="88">
        <v>46148.584108796298</v>
      </c>
      <c r="J258" t="s">
        <v>107</v>
      </c>
      <c r="K258" t="s">
        <v>108</v>
      </c>
      <c r="L258" t="s">
        <v>1823</v>
      </c>
      <c r="M258" s="88">
        <v>46149.608958333338</v>
      </c>
      <c r="N258" t="s">
        <v>637</v>
      </c>
      <c r="O258" t="s">
        <v>112</v>
      </c>
      <c r="P258" t="s">
        <v>111</v>
      </c>
      <c r="Q258" t="s">
        <v>1417</v>
      </c>
      <c r="R258">
        <v>7</v>
      </c>
      <c r="S258" s="89">
        <v>9500</v>
      </c>
      <c r="T258" s="89">
        <v>0</v>
      </c>
      <c r="U258" s="89">
        <v>23310</v>
      </c>
      <c r="V258" s="89">
        <v>23310</v>
      </c>
      <c r="W258" s="89">
        <v>43190</v>
      </c>
    </row>
    <row r="259" spans="1:23" ht="13">
      <c r="A259" t="s">
        <v>1824</v>
      </c>
      <c r="B259" t="s">
        <v>1825</v>
      </c>
      <c r="C259" s="88">
        <v>46157.148344907408</v>
      </c>
      <c r="D259" t="s">
        <v>105</v>
      </c>
      <c r="E259" t="s">
        <v>106</v>
      </c>
      <c r="F259" t="s">
        <v>291</v>
      </c>
      <c r="G259" t="s">
        <v>1826</v>
      </c>
      <c r="H259" t="s">
        <v>291</v>
      </c>
      <c r="I259" s="88">
        <v>46148.584108796298</v>
      </c>
      <c r="J259" t="s">
        <v>107</v>
      </c>
      <c r="K259" t="s">
        <v>108</v>
      </c>
      <c r="L259" t="s">
        <v>1827</v>
      </c>
      <c r="M259" s="88">
        <v>46149.963414351849</v>
      </c>
      <c r="N259" t="s">
        <v>637</v>
      </c>
      <c r="O259" t="s">
        <v>112</v>
      </c>
      <c r="P259" t="s">
        <v>111</v>
      </c>
      <c r="Q259" t="s">
        <v>1417</v>
      </c>
      <c r="R259">
        <v>6</v>
      </c>
      <c r="S259" s="89">
        <v>9500</v>
      </c>
      <c r="T259" s="89">
        <v>0</v>
      </c>
      <c r="U259" s="89">
        <v>19980</v>
      </c>
      <c r="V259" s="89">
        <v>19980</v>
      </c>
      <c r="W259" s="89">
        <v>37020</v>
      </c>
    </row>
    <row r="260" spans="1:23" ht="13">
      <c r="A260" t="s">
        <v>1828</v>
      </c>
      <c r="B260" t="s">
        <v>1829</v>
      </c>
      <c r="C260" s="88">
        <v>46157.148333333331</v>
      </c>
      <c r="D260" t="s">
        <v>105</v>
      </c>
      <c r="E260" t="s">
        <v>106</v>
      </c>
      <c r="F260" t="s">
        <v>258</v>
      </c>
      <c r="G260" t="s">
        <v>1830</v>
      </c>
      <c r="H260" t="s">
        <v>258</v>
      </c>
      <c r="I260" s="88">
        <v>46148.584097222221</v>
      </c>
      <c r="J260" t="s">
        <v>107</v>
      </c>
      <c r="K260" t="s">
        <v>108</v>
      </c>
      <c r="L260" t="s">
        <v>1831</v>
      </c>
      <c r="M260" s="88">
        <v>46149.674305555556</v>
      </c>
      <c r="N260" t="s">
        <v>637</v>
      </c>
      <c r="O260" t="s">
        <v>112</v>
      </c>
      <c r="P260" t="s">
        <v>111</v>
      </c>
      <c r="Q260" t="s">
        <v>1417</v>
      </c>
      <c r="R260">
        <v>6</v>
      </c>
      <c r="S260" s="89">
        <v>9500</v>
      </c>
      <c r="T260" s="89">
        <v>0</v>
      </c>
      <c r="U260" s="89">
        <v>20080</v>
      </c>
      <c r="V260" s="89">
        <v>20080</v>
      </c>
      <c r="W260" s="89">
        <v>36920</v>
      </c>
    </row>
    <row r="261" spans="1:23" ht="13">
      <c r="A261" t="s">
        <v>1832</v>
      </c>
      <c r="B261" t="s">
        <v>1833</v>
      </c>
      <c r="C261" s="88">
        <v>46157.148333333331</v>
      </c>
      <c r="D261" t="s">
        <v>105</v>
      </c>
      <c r="E261" t="s">
        <v>106</v>
      </c>
      <c r="F261" t="s">
        <v>1834</v>
      </c>
      <c r="G261" t="s">
        <v>1835</v>
      </c>
      <c r="H261" t="s">
        <v>1834</v>
      </c>
      <c r="I261" s="88">
        <v>46148.584097222221</v>
      </c>
      <c r="J261" t="s">
        <v>107</v>
      </c>
      <c r="K261" t="s">
        <v>108</v>
      </c>
      <c r="L261" t="s">
        <v>1836</v>
      </c>
      <c r="M261" s="88">
        <v>46149.554074074069</v>
      </c>
      <c r="N261" t="s">
        <v>637</v>
      </c>
      <c r="O261" t="s">
        <v>112</v>
      </c>
      <c r="P261" t="s">
        <v>111</v>
      </c>
      <c r="Q261" t="s">
        <v>1417</v>
      </c>
      <c r="R261">
        <v>6</v>
      </c>
      <c r="S261" s="89">
        <v>9500</v>
      </c>
      <c r="T261" s="89">
        <v>0</v>
      </c>
      <c r="U261" s="89">
        <v>20080</v>
      </c>
      <c r="V261" s="89">
        <v>20080</v>
      </c>
      <c r="W261" s="89">
        <v>36920</v>
      </c>
    </row>
    <row r="262" spans="1:23" ht="13">
      <c r="A262" t="s">
        <v>1837</v>
      </c>
      <c r="B262" t="s">
        <v>1838</v>
      </c>
      <c r="C262" s="88">
        <v>46157.12122685185</v>
      </c>
      <c r="D262" t="s">
        <v>105</v>
      </c>
      <c r="E262" t="s">
        <v>106</v>
      </c>
      <c r="F262" t="s">
        <v>1839</v>
      </c>
      <c r="G262" t="s">
        <v>1840</v>
      </c>
      <c r="H262" t="s">
        <v>1839</v>
      </c>
      <c r="I262" s="88">
        <v>46148.584131944444</v>
      </c>
      <c r="J262" t="s">
        <v>107</v>
      </c>
      <c r="K262" t="s">
        <v>108</v>
      </c>
      <c r="L262" t="s">
        <v>1841</v>
      </c>
      <c r="M262" s="88">
        <v>46149.556655092594</v>
      </c>
      <c r="N262" t="s">
        <v>637</v>
      </c>
      <c r="O262" t="s">
        <v>112</v>
      </c>
      <c r="P262" t="s">
        <v>111</v>
      </c>
      <c r="Q262" t="s">
        <v>1417</v>
      </c>
      <c r="R262">
        <v>2</v>
      </c>
      <c r="S262" s="89">
        <v>9500</v>
      </c>
      <c r="T262" s="89">
        <v>0</v>
      </c>
      <c r="U262" s="89">
        <v>4280</v>
      </c>
      <c r="V262" s="89">
        <v>4280</v>
      </c>
      <c r="W262" s="89">
        <v>14720</v>
      </c>
    </row>
    <row r="263" spans="1:23" ht="13">
      <c r="A263" t="s">
        <v>1842</v>
      </c>
      <c r="B263" t="s">
        <v>1843</v>
      </c>
      <c r="C263" s="88">
        <v>46157.12122685185</v>
      </c>
      <c r="D263" t="s">
        <v>105</v>
      </c>
      <c r="E263" t="s">
        <v>106</v>
      </c>
      <c r="F263" t="s">
        <v>1844</v>
      </c>
      <c r="G263" t="s">
        <v>1845</v>
      </c>
      <c r="H263" t="s">
        <v>1844</v>
      </c>
      <c r="I263" s="88">
        <v>46148.584131944444</v>
      </c>
      <c r="J263" t="s">
        <v>107</v>
      </c>
      <c r="K263" t="s">
        <v>108</v>
      </c>
      <c r="L263" t="s">
        <v>1846</v>
      </c>
      <c r="M263" s="88">
        <v>46149.553576388891</v>
      </c>
      <c r="N263" t="s">
        <v>637</v>
      </c>
      <c r="O263" t="s">
        <v>112</v>
      </c>
      <c r="P263" t="s">
        <v>111</v>
      </c>
      <c r="Q263" t="s">
        <v>1417</v>
      </c>
      <c r="R263">
        <v>2</v>
      </c>
      <c r="S263" s="89">
        <v>9500</v>
      </c>
      <c r="T263" s="89">
        <v>0</v>
      </c>
      <c r="U263" s="89">
        <v>4180</v>
      </c>
      <c r="V263" s="89">
        <v>4180</v>
      </c>
      <c r="W263" s="89">
        <v>14820</v>
      </c>
    </row>
    <row r="264" spans="1:23" ht="13">
      <c r="A264" t="s">
        <v>1847</v>
      </c>
      <c r="B264" t="s">
        <v>1848</v>
      </c>
      <c r="C264" s="88">
        <v>46157.121215277773</v>
      </c>
      <c r="D264" t="s">
        <v>105</v>
      </c>
      <c r="E264" t="s">
        <v>106</v>
      </c>
      <c r="F264" t="s">
        <v>1849</v>
      </c>
      <c r="G264" t="s">
        <v>1850</v>
      </c>
      <c r="H264" t="s">
        <v>1849</v>
      </c>
      <c r="I264" s="88">
        <v>46148.584108796298</v>
      </c>
      <c r="J264" t="s">
        <v>107</v>
      </c>
      <c r="K264" t="s">
        <v>108</v>
      </c>
      <c r="L264" t="s">
        <v>1851</v>
      </c>
      <c r="M264" s="88">
        <v>46149.674988425926</v>
      </c>
      <c r="N264" t="s">
        <v>637</v>
      </c>
      <c r="O264" t="s">
        <v>112</v>
      </c>
      <c r="P264" t="s">
        <v>111</v>
      </c>
      <c r="Q264" t="s">
        <v>1417</v>
      </c>
      <c r="R264">
        <v>1</v>
      </c>
      <c r="S264" s="89">
        <v>9500</v>
      </c>
      <c r="T264" s="89">
        <v>0</v>
      </c>
      <c r="U264" s="89">
        <v>2190</v>
      </c>
      <c r="V264" s="89">
        <v>2190</v>
      </c>
      <c r="W264" s="89">
        <v>7310</v>
      </c>
    </row>
    <row r="265" spans="1:23" ht="13">
      <c r="A265" t="s">
        <v>1852</v>
      </c>
      <c r="B265" t="s">
        <v>1853</v>
      </c>
      <c r="C265" s="88">
        <v>46157.121215277773</v>
      </c>
      <c r="D265" t="s">
        <v>105</v>
      </c>
      <c r="E265" t="s">
        <v>106</v>
      </c>
      <c r="F265" t="s">
        <v>1854</v>
      </c>
      <c r="G265" t="s">
        <v>1855</v>
      </c>
      <c r="H265" t="s">
        <v>1854</v>
      </c>
      <c r="I265" s="88">
        <v>46148.584108796298</v>
      </c>
      <c r="J265" t="s">
        <v>107</v>
      </c>
      <c r="K265" t="s">
        <v>108</v>
      </c>
      <c r="L265" t="s">
        <v>1856</v>
      </c>
      <c r="M265" s="88">
        <v>46149.47252314815</v>
      </c>
      <c r="N265" t="s">
        <v>637</v>
      </c>
      <c r="O265" t="s">
        <v>112</v>
      </c>
      <c r="P265" t="s">
        <v>111</v>
      </c>
      <c r="Q265" t="s">
        <v>1417</v>
      </c>
      <c r="R265">
        <v>2</v>
      </c>
      <c r="S265" s="89">
        <v>9500</v>
      </c>
      <c r="T265" s="89">
        <v>0</v>
      </c>
      <c r="U265" s="89">
        <v>4180</v>
      </c>
      <c r="V265" s="89">
        <v>4180</v>
      </c>
      <c r="W265" s="89">
        <v>14820</v>
      </c>
    </row>
    <row r="266" spans="1:23" ht="13">
      <c r="A266" t="s">
        <v>1857</v>
      </c>
      <c r="B266" t="s">
        <v>1858</v>
      </c>
      <c r="C266" s="88">
        <v>46157.121215277773</v>
      </c>
      <c r="D266" t="s">
        <v>105</v>
      </c>
      <c r="E266" t="s">
        <v>106</v>
      </c>
      <c r="F266" t="s">
        <v>1859</v>
      </c>
      <c r="G266" t="s">
        <v>1860</v>
      </c>
      <c r="H266" t="s">
        <v>1859</v>
      </c>
      <c r="I266" s="88">
        <v>46148.584108796298</v>
      </c>
      <c r="J266" t="s">
        <v>107</v>
      </c>
      <c r="K266" t="s">
        <v>108</v>
      </c>
      <c r="L266" t="s">
        <v>1861</v>
      </c>
      <c r="M266" s="88">
        <v>46149.963425925926</v>
      </c>
      <c r="N266" t="s">
        <v>637</v>
      </c>
      <c r="O266" t="s">
        <v>112</v>
      </c>
      <c r="P266" t="s">
        <v>111</v>
      </c>
      <c r="Q266" t="s">
        <v>1417</v>
      </c>
      <c r="R266">
        <v>7</v>
      </c>
      <c r="S266" s="89">
        <v>9500</v>
      </c>
      <c r="T266" s="89">
        <v>0</v>
      </c>
      <c r="U266" s="89">
        <v>23310</v>
      </c>
      <c r="V266" s="89">
        <v>23310</v>
      </c>
      <c r="W266" s="89">
        <v>43190</v>
      </c>
    </row>
    <row r="267" spans="1:23" ht="13">
      <c r="A267" t="s">
        <v>1862</v>
      </c>
      <c r="B267" t="s">
        <v>1863</v>
      </c>
      <c r="C267" s="88">
        <v>46157.121215277773</v>
      </c>
      <c r="D267" t="s">
        <v>105</v>
      </c>
      <c r="E267" t="s">
        <v>106</v>
      </c>
      <c r="F267" t="s">
        <v>1864</v>
      </c>
      <c r="G267" t="s">
        <v>1865</v>
      </c>
      <c r="H267" t="s">
        <v>1864</v>
      </c>
      <c r="I267" s="88">
        <v>46148.584097222221</v>
      </c>
      <c r="J267" t="s">
        <v>107</v>
      </c>
      <c r="K267" t="s">
        <v>108</v>
      </c>
      <c r="L267" t="s">
        <v>1866</v>
      </c>
      <c r="M267" s="88">
        <v>46149.679247685184</v>
      </c>
      <c r="N267" t="s">
        <v>637</v>
      </c>
      <c r="O267" t="s">
        <v>112</v>
      </c>
      <c r="P267" t="s">
        <v>111</v>
      </c>
      <c r="Q267" t="s">
        <v>1417</v>
      </c>
      <c r="R267">
        <v>6</v>
      </c>
      <c r="S267" s="89">
        <v>9500</v>
      </c>
      <c r="T267" s="89">
        <v>0</v>
      </c>
      <c r="U267" s="89">
        <v>20980</v>
      </c>
      <c r="V267" s="89">
        <v>19980</v>
      </c>
      <c r="W267" s="89">
        <v>36020</v>
      </c>
    </row>
    <row r="268" spans="1:23" ht="13">
      <c r="A268" t="s">
        <v>1867</v>
      </c>
      <c r="B268" t="s">
        <v>1868</v>
      </c>
      <c r="C268" s="88">
        <v>46157.121215277773</v>
      </c>
      <c r="D268" t="s">
        <v>105</v>
      </c>
      <c r="E268" t="s">
        <v>106</v>
      </c>
      <c r="F268" t="s">
        <v>1869</v>
      </c>
      <c r="G268" t="s">
        <v>1870</v>
      </c>
      <c r="H268" t="s">
        <v>1869</v>
      </c>
      <c r="I268" s="88">
        <v>46148.584097222221</v>
      </c>
      <c r="J268" t="s">
        <v>107</v>
      </c>
      <c r="K268" t="s">
        <v>108</v>
      </c>
      <c r="L268" t="s">
        <v>1871</v>
      </c>
      <c r="M268" s="88">
        <v>46149.55667824074</v>
      </c>
      <c r="N268" t="s">
        <v>637</v>
      </c>
      <c r="O268" t="s">
        <v>112</v>
      </c>
      <c r="P268" t="s">
        <v>111</v>
      </c>
      <c r="Q268" t="s">
        <v>1417</v>
      </c>
      <c r="R268">
        <v>6</v>
      </c>
      <c r="S268" s="89">
        <v>9500</v>
      </c>
      <c r="T268" s="89">
        <v>0</v>
      </c>
      <c r="U268" s="89">
        <v>19980</v>
      </c>
      <c r="V268" s="89">
        <v>19980</v>
      </c>
      <c r="W268" s="89">
        <v>37020</v>
      </c>
    </row>
    <row r="269" spans="1:23" ht="13">
      <c r="A269" t="s">
        <v>1872</v>
      </c>
      <c r="B269" t="s">
        <v>1873</v>
      </c>
      <c r="C269" s="88">
        <v>46157.121041666665</v>
      </c>
      <c r="D269" t="s">
        <v>105</v>
      </c>
      <c r="E269" t="s">
        <v>106</v>
      </c>
      <c r="F269" t="s">
        <v>370</v>
      </c>
      <c r="G269" t="s">
        <v>1874</v>
      </c>
      <c r="H269" t="s">
        <v>370</v>
      </c>
      <c r="I269" s="88">
        <v>46148.584131944444</v>
      </c>
      <c r="J269" t="s">
        <v>107</v>
      </c>
      <c r="K269" t="s">
        <v>108</v>
      </c>
      <c r="L269" t="s">
        <v>1875</v>
      </c>
      <c r="M269" s="88">
        <v>46149.550740740742</v>
      </c>
      <c r="N269" t="s">
        <v>637</v>
      </c>
      <c r="O269" t="s">
        <v>112</v>
      </c>
      <c r="P269" t="s">
        <v>111</v>
      </c>
      <c r="Q269" t="s">
        <v>1417</v>
      </c>
      <c r="R269">
        <v>1</v>
      </c>
      <c r="S269" s="89">
        <v>9500</v>
      </c>
      <c r="T269" s="89">
        <v>0</v>
      </c>
      <c r="U269" s="89">
        <v>2090</v>
      </c>
      <c r="V269" s="89">
        <v>2090</v>
      </c>
      <c r="W269" s="89">
        <v>7410</v>
      </c>
    </row>
    <row r="270" spans="1:23" ht="13">
      <c r="A270" t="s">
        <v>1876</v>
      </c>
      <c r="B270" t="s">
        <v>1877</v>
      </c>
      <c r="C270" s="88">
        <v>46157.121041666665</v>
      </c>
      <c r="D270" t="s">
        <v>105</v>
      </c>
      <c r="E270" t="s">
        <v>106</v>
      </c>
      <c r="F270" t="s">
        <v>1878</v>
      </c>
      <c r="G270" t="s">
        <v>1879</v>
      </c>
      <c r="H270" t="s">
        <v>1878</v>
      </c>
      <c r="I270" s="88">
        <v>46148.584131944444</v>
      </c>
      <c r="J270" t="s">
        <v>107</v>
      </c>
      <c r="K270" t="s">
        <v>108</v>
      </c>
      <c r="L270" t="s">
        <v>1880</v>
      </c>
      <c r="M270" s="88">
        <v>46149.963541666672</v>
      </c>
      <c r="N270" t="s">
        <v>637</v>
      </c>
      <c r="O270" t="s">
        <v>112</v>
      </c>
      <c r="P270" t="s">
        <v>111</v>
      </c>
      <c r="Q270" t="s">
        <v>1417</v>
      </c>
      <c r="R270">
        <v>1</v>
      </c>
      <c r="S270" s="89">
        <v>9500</v>
      </c>
      <c r="T270" s="89">
        <v>0</v>
      </c>
      <c r="U270" s="89">
        <v>2190</v>
      </c>
      <c r="V270" s="89">
        <v>2190</v>
      </c>
      <c r="W270" s="89">
        <v>7310</v>
      </c>
    </row>
    <row r="271" spans="1:23" ht="13">
      <c r="A271" t="s">
        <v>1881</v>
      </c>
      <c r="B271" t="s">
        <v>1882</v>
      </c>
      <c r="C271" s="88">
        <v>46157.121030092589</v>
      </c>
      <c r="D271" t="s">
        <v>105</v>
      </c>
      <c r="E271" t="s">
        <v>106</v>
      </c>
      <c r="F271" t="s">
        <v>1883</v>
      </c>
      <c r="G271" t="s">
        <v>1884</v>
      </c>
      <c r="H271" t="s">
        <v>1885</v>
      </c>
      <c r="I271" s="88">
        <v>46148.584108796298</v>
      </c>
      <c r="J271" t="s">
        <v>107</v>
      </c>
      <c r="K271" t="s">
        <v>108</v>
      </c>
      <c r="L271" t="s">
        <v>1886</v>
      </c>
      <c r="M271" s="88">
        <v>46149.683136574073</v>
      </c>
      <c r="N271" t="s">
        <v>637</v>
      </c>
      <c r="O271" t="s">
        <v>112</v>
      </c>
      <c r="P271" t="s">
        <v>111</v>
      </c>
      <c r="Q271" t="s">
        <v>1417</v>
      </c>
      <c r="R271">
        <v>6</v>
      </c>
      <c r="S271" s="89">
        <v>9500</v>
      </c>
      <c r="T271" s="89">
        <v>0</v>
      </c>
      <c r="U271" s="89">
        <v>20080</v>
      </c>
      <c r="V271" s="89">
        <v>20080</v>
      </c>
      <c r="W271" s="89">
        <v>36920</v>
      </c>
    </row>
    <row r="272" spans="1:23" ht="13">
      <c r="A272" t="s">
        <v>1887</v>
      </c>
      <c r="B272" t="s">
        <v>1888</v>
      </c>
      <c r="C272" s="88">
        <v>46157.121030092589</v>
      </c>
      <c r="D272" t="s">
        <v>105</v>
      </c>
      <c r="E272" t="s">
        <v>106</v>
      </c>
      <c r="F272" t="s">
        <v>1889</v>
      </c>
      <c r="G272" t="s">
        <v>1890</v>
      </c>
      <c r="H272" t="s">
        <v>1889</v>
      </c>
      <c r="I272" s="88">
        <v>46148.584097222221</v>
      </c>
      <c r="J272" t="s">
        <v>107</v>
      </c>
      <c r="K272" t="s">
        <v>108</v>
      </c>
      <c r="L272" t="s">
        <v>1891</v>
      </c>
      <c r="M272" s="88">
        <v>46149.966990740737</v>
      </c>
      <c r="N272" t="s">
        <v>637</v>
      </c>
      <c r="O272" t="s">
        <v>112</v>
      </c>
      <c r="P272" t="s">
        <v>111</v>
      </c>
      <c r="Q272" t="s">
        <v>1417</v>
      </c>
      <c r="R272">
        <v>10</v>
      </c>
      <c r="S272" s="89">
        <v>9500</v>
      </c>
      <c r="T272" s="89">
        <v>0</v>
      </c>
      <c r="U272" s="89">
        <v>33300</v>
      </c>
      <c r="V272" s="89">
        <v>33300</v>
      </c>
      <c r="W272" s="89">
        <v>61700</v>
      </c>
    </row>
    <row r="273" spans="1:23" ht="13">
      <c r="A273" t="s">
        <v>1892</v>
      </c>
      <c r="B273" t="s">
        <v>1893</v>
      </c>
      <c r="C273" s="88">
        <v>46157.121018518519</v>
      </c>
      <c r="D273" t="s">
        <v>105</v>
      </c>
      <c r="E273" t="s">
        <v>106</v>
      </c>
      <c r="F273" t="s">
        <v>1894</v>
      </c>
      <c r="G273" t="s">
        <v>1895</v>
      </c>
      <c r="H273" t="s">
        <v>1894</v>
      </c>
      <c r="I273" s="88">
        <v>46148.584097222221</v>
      </c>
      <c r="J273" t="s">
        <v>107</v>
      </c>
      <c r="K273" t="s">
        <v>108</v>
      </c>
      <c r="L273" t="s">
        <v>1896</v>
      </c>
      <c r="M273" s="88">
        <v>46149.71674768519</v>
      </c>
      <c r="N273" t="s">
        <v>637</v>
      </c>
      <c r="O273" t="s">
        <v>112</v>
      </c>
      <c r="P273" t="s">
        <v>111</v>
      </c>
      <c r="Q273" t="s">
        <v>1417</v>
      </c>
      <c r="R273">
        <v>6</v>
      </c>
      <c r="S273" s="89">
        <v>9500</v>
      </c>
      <c r="T273" s="89">
        <v>0</v>
      </c>
      <c r="U273" s="89">
        <v>19980</v>
      </c>
      <c r="V273" s="89">
        <v>19980</v>
      </c>
      <c r="W273" s="89">
        <v>37020</v>
      </c>
    </row>
    <row r="274" spans="1:23" ht="13">
      <c r="A274" t="s">
        <v>1897</v>
      </c>
      <c r="B274" t="s">
        <v>1898</v>
      </c>
      <c r="C274" s="88">
        <v>46157.120266203703</v>
      </c>
      <c r="D274" t="s">
        <v>105</v>
      </c>
      <c r="E274" t="s">
        <v>106</v>
      </c>
      <c r="F274" t="s">
        <v>1899</v>
      </c>
      <c r="G274" t="s">
        <v>1900</v>
      </c>
      <c r="H274" t="s">
        <v>1899</v>
      </c>
      <c r="I274" s="88">
        <v>46148.584108796298</v>
      </c>
      <c r="J274" t="s">
        <v>107</v>
      </c>
      <c r="K274" t="s">
        <v>108</v>
      </c>
      <c r="L274" t="s">
        <v>1901</v>
      </c>
      <c r="M274" s="88">
        <v>46149.683078703703</v>
      </c>
      <c r="N274" t="s">
        <v>637</v>
      </c>
      <c r="O274" t="s">
        <v>112</v>
      </c>
      <c r="P274" t="s">
        <v>111</v>
      </c>
      <c r="Q274" t="s">
        <v>1417</v>
      </c>
      <c r="R274">
        <v>2</v>
      </c>
      <c r="S274" s="89">
        <v>9500</v>
      </c>
      <c r="T274" s="89">
        <v>0</v>
      </c>
      <c r="U274" s="89">
        <v>4280</v>
      </c>
      <c r="V274" s="89">
        <v>4280</v>
      </c>
      <c r="W274" s="89">
        <v>14720</v>
      </c>
    </row>
    <row r="275" spans="1:23" ht="13">
      <c r="A275" t="s">
        <v>1902</v>
      </c>
      <c r="B275" t="s">
        <v>1903</v>
      </c>
      <c r="C275" s="88">
        <v>46157.120254629626</v>
      </c>
      <c r="D275" t="s">
        <v>105</v>
      </c>
      <c r="E275" t="s">
        <v>106</v>
      </c>
      <c r="F275" t="s">
        <v>1904</v>
      </c>
      <c r="G275" t="s">
        <v>1905</v>
      </c>
      <c r="H275" t="s">
        <v>1904</v>
      </c>
      <c r="I275" s="88">
        <v>46148.584097222221</v>
      </c>
      <c r="J275" t="s">
        <v>107</v>
      </c>
      <c r="K275" t="s">
        <v>108</v>
      </c>
      <c r="L275" t="s">
        <v>1906</v>
      </c>
      <c r="M275" s="88">
        <v>46149.554074074069</v>
      </c>
      <c r="N275" t="s">
        <v>637</v>
      </c>
      <c r="O275" t="s">
        <v>112</v>
      </c>
      <c r="P275" t="s">
        <v>111</v>
      </c>
      <c r="Q275" t="s">
        <v>1417</v>
      </c>
      <c r="R275">
        <v>7</v>
      </c>
      <c r="S275" s="89">
        <v>9500</v>
      </c>
      <c r="T275" s="89">
        <v>0</v>
      </c>
      <c r="U275" s="89">
        <v>23310</v>
      </c>
      <c r="V275" s="89">
        <v>23310</v>
      </c>
      <c r="W275" s="89">
        <v>43190</v>
      </c>
    </row>
    <row r="276" spans="1:23" ht="13">
      <c r="A276" t="s">
        <v>1907</v>
      </c>
      <c r="B276" t="s">
        <v>1908</v>
      </c>
      <c r="C276" s="88">
        <v>46157.11996527778</v>
      </c>
      <c r="D276" t="s">
        <v>105</v>
      </c>
      <c r="E276" t="s">
        <v>106</v>
      </c>
      <c r="F276" t="s">
        <v>1909</v>
      </c>
      <c r="G276" t="s">
        <v>1910</v>
      </c>
      <c r="H276" t="s">
        <v>1909</v>
      </c>
      <c r="I276" s="88">
        <v>46148.584108796298</v>
      </c>
      <c r="J276" t="s">
        <v>107</v>
      </c>
      <c r="K276" t="s">
        <v>108</v>
      </c>
      <c r="L276" t="s">
        <v>1911</v>
      </c>
      <c r="M276" s="88">
        <v>46149.966736111106</v>
      </c>
      <c r="N276" t="s">
        <v>637</v>
      </c>
      <c r="O276" t="s">
        <v>112</v>
      </c>
      <c r="P276" t="s">
        <v>111</v>
      </c>
      <c r="Q276" t="s">
        <v>1417</v>
      </c>
      <c r="R276">
        <v>2</v>
      </c>
      <c r="S276" s="89">
        <v>9500</v>
      </c>
      <c r="T276" s="89">
        <v>0</v>
      </c>
      <c r="U276" s="89">
        <v>4280</v>
      </c>
      <c r="V276" s="89">
        <v>4280</v>
      </c>
      <c r="W276" s="89">
        <v>14720</v>
      </c>
    </row>
    <row r="277" spans="1:23" ht="13">
      <c r="A277" t="s">
        <v>1912</v>
      </c>
      <c r="B277" t="s">
        <v>1913</v>
      </c>
      <c r="C277" s="88">
        <v>46157.119803240741</v>
      </c>
      <c r="D277" t="s">
        <v>105</v>
      </c>
      <c r="E277" t="s">
        <v>106</v>
      </c>
      <c r="F277" t="s">
        <v>1914</v>
      </c>
      <c r="G277" t="s">
        <v>1915</v>
      </c>
      <c r="H277" t="s">
        <v>1914</v>
      </c>
      <c r="I277" s="88">
        <v>46148.584108796298</v>
      </c>
      <c r="J277" t="s">
        <v>107</v>
      </c>
      <c r="K277" t="s">
        <v>108</v>
      </c>
      <c r="L277" t="s">
        <v>1916</v>
      </c>
      <c r="M277" s="88">
        <v>46149.679293981477</v>
      </c>
      <c r="N277" t="s">
        <v>637</v>
      </c>
      <c r="O277" t="s">
        <v>112</v>
      </c>
      <c r="P277" t="s">
        <v>111</v>
      </c>
      <c r="Q277" t="s">
        <v>1417</v>
      </c>
      <c r="R277">
        <v>7</v>
      </c>
      <c r="S277" s="89">
        <v>9500</v>
      </c>
      <c r="T277" s="89">
        <v>0</v>
      </c>
      <c r="U277" s="89">
        <v>23410</v>
      </c>
      <c r="V277" s="89">
        <v>23410</v>
      </c>
      <c r="W277" s="89">
        <v>43090</v>
      </c>
    </row>
    <row r="278" spans="1:23" ht="13">
      <c r="A278" t="s">
        <v>1917</v>
      </c>
      <c r="B278" t="s">
        <v>1918</v>
      </c>
      <c r="C278" s="88">
        <v>46157.119525462964</v>
      </c>
      <c r="D278" t="s">
        <v>105</v>
      </c>
      <c r="E278" t="s">
        <v>106</v>
      </c>
      <c r="F278" t="s">
        <v>1919</v>
      </c>
      <c r="G278" t="s">
        <v>1920</v>
      </c>
      <c r="H278" t="s">
        <v>1919</v>
      </c>
      <c r="I278" s="88">
        <v>46148.584131944444</v>
      </c>
      <c r="J278" t="s">
        <v>107</v>
      </c>
      <c r="K278" t="s">
        <v>108</v>
      </c>
      <c r="L278" t="s">
        <v>1921</v>
      </c>
      <c r="M278" s="88">
        <v>46149.963414351849</v>
      </c>
      <c r="N278" t="s">
        <v>637</v>
      </c>
      <c r="O278" t="s">
        <v>112</v>
      </c>
      <c r="P278" t="s">
        <v>111</v>
      </c>
      <c r="Q278" t="s">
        <v>1417</v>
      </c>
      <c r="R278">
        <v>7</v>
      </c>
      <c r="S278" s="89">
        <v>9500</v>
      </c>
      <c r="T278" s="89">
        <v>0</v>
      </c>
      <c r="U278" s="89">
        <v>23410</v>
      </c>
      <c r="V278" s="89">
        <v>23410</v>
      </c>
      <c r="W278" s="89">
        <v>43090</v>
      </c>
    </row>
    <row r="279" spans="1:23" ht="13">
      <c r="A279" t="s">
        <v>1922</v>
      </c>
      <c r="B279" t="s">
        <v>1923</v>
      </c>
      <c r="C279" s="88">
        <v>46157.119513888887</v>
      </c>
      <c r="D279" t="s">
        <v>105</v>
      </c>
      <c r="E279" t="s">
        <v>106</v>
      </c>
      <c r="F279" t="s">
        <v>1924</v>
      </c>
      <c r="G279" t="s">
        <v>1925</v>
      </c>
      <c r="H279" t="s">
        <v>1926</v>
      </c>
      <c r="I279" s="88">
        <v>46148.584108796298</v>
      </c>
      <c r="J279" t="s">
        <v>107</v>
      </c>
      <c r="K279" t="s">
        <v>108</v>
      </c>
      <c r="L279" t="s">
        <v>1927</v>
      </c>
      <c r="M279" s="88">
        <v>46149.552233796298</v>
      </c>
      <c r="N279" t="s">
        <v>637</v>
      </c>
      <c r="O279" t="s">
        <v>112</v>
      </c>
      <c r="P279" t="s">
        <v>111</v>
      </c>
      <c r="Q279" t="s">
        <v>1417</v>
      </c>
      <c r="R279">
        <v>1</v>
      </c>
      <c r="S279" s="89">
        <v>9500</v>
      </c>
      <c r="T279" s="89">
        <v>0</v>
      </c>
      <c r="U279" s="89">
        <v>2190</v>
      </c>
      <c r="V279" s="89">
        <v>2190</v>
      </c>
      <c r="W279" s="89">
        <v>7310</v>
      </c>
    </row>
    <row r="280" spans="1:23" ht="13">
      <c r="A280" t="s">
        <v>1928</v>
      </c>
      <c r="B280" t="s">
        <v>1929</v>
      </c>
      <c r="C280" s="88">
        <v>46157.119513888887</v>
      </c>
      <c r="D280" t="s">
        <v>105</v>
      </c>
      <c r="E280" t="s">
        <v>106</v>
      </c>
      <c r="F280" t="s">
        <v>1930</v>
      </c>
      <c r="G280" t="s">
        <v>1931</v>
      </c>
      <c r="H280" t="s">
        <v>1932</v>
      </c>
      <c r="I280" s="88">
        <v>46148.584108796298</v>
      </c>
      <c r="J280" t="s">
        <v>107</v>
      </c>
      <c r="K280" t="s">
        <v>108</v>
      </c>
      <c r="L280" t="s">
        <v>1933</v>
      </c>
      <c r="M280" s="88">
        <v>46149.394097222219</v>
      </c>
      <c r="N280" t="s">
        <v>637</v>
      </c>
      <c r="O280" t="s">
        <v>112</v>
      </c>
      <c r="P280" t="s">
        <v>111</v>
      </c>
      <c r="Q280" t="s">
        <v>1417</v>
      </c>
      <c r="R280">
        <v>6</v>
      </c>
      <c r="S280" s="89">
        <v>9500</v>
      </c>
      <c r="T280" s="89">
        <v>0</v>
      </c>
      <c r="U280" s="89">
        <v>20080</v>
      </c>
      <c r="V280" s="89">
        <v>20080</v>
      </c>
      <c r="W280" s="89">
        <v>36920</v>
      </c>
    </row>
    <row r="281" spans="1:23" ht="13">
      <c r="A281" t="s">
        <v>1934</v>
      </c>
      <c r="B281" t="s">
        <v>1935</v>
      </c>
      <c r="C281" s="88">
        <v>46157.119513888887</v>
      </c>
      <c r="D281" t="s">
        <v>105</v>
      </c>
      <c r="E281" t="s">
        <v>106</v>
      </c>
      <c r="F281" t="s">
        <v>234</v>
      </c>
      <c r="G281" t="s">
        <v>1936</v>
      </c>
      <c r="H281" t="s">
        <v>234</v>
      </c>
      <c r="I281" s="88">
        <v>46148.584108796298</v>
      </c>
      <c r="J281" t="s">
        <v>107</v>
      </c>
      <c r="K281" t="s">
        <v>108</v>
      </c>
      <c r="L281" t="s">
        <v>1937</v>
      </c>
      <c r="M281" s="88">
        <v>46149.660416666666</v>
      </c>
      <c r="N281" t="s">
        <v>637</v>
      </c>
      <c r="O281" t="s">
        <v>112</v>
      </c>
      <c r="P281" t="s">
        <v>111</v>
      </c>
      <c r="Q281" t="s">
        <v>1417</v>
      </c>
      <c r="R281">
        <v>2</v>
      </c>
      <c r="S281" s="89">
        <v>9500</v>
      </c>
      <c r="T281" s="89">
        <v>0</v>
      </c>
      <c r="U281" s="89">
        <v>4280</v>
      </c>
      <c r="V281" s="89">
        <v>4280</v>
      </c>
      <c r="W281" s="89">
        <v>14720</v>
      </c>
    </row>
    <row r="282" spans="1:23" ht="13">
      <c r="A282" t="s">
        <v>1938</v>
      </c>
      <c r="B282" t="s">
        <v>1939</v>
      </c>
      <c r="C282" s="88">
        <v>46157.119513888887</v>
      </c>
      <c r="D282" t="s">
        <v>105</v>
      </c>
      <c r="E282" t="s">
        <v>106</v>
      </c>
      <c r="F282" t="s">
        <v>1940</v>
      </c>
      <c r="G282" t="s">
        <v>1941</v>
      </c>
      <c r="H282" t="s">
        <v>1940</v>
      </c>
      <c r="I282" s="88">
        <v>46148.584097222221</v>
      </c>
      <c r="J282" t="s">
        <v>107</v>
      </c>
      <c r="K282" t="s">
        <v>108</v>
      </c>
      <c r="L282" t="s">
        <v>1942</v>
      </c>
      <c r="M282" s="88">
        <v>46149.660416666666</v>
      </c>
      <c r="N282" t="s">
        <v>637</v>
      </c>
      <c r="O282" t="s">
        <v>112</v>
      </c>
      <c r="P282" t="s">
        <v>111</v>
      </c>
      <c r="Q282" t="s">
        <v>1417</v>
      </c>
      <c r="R282">
        <v>6</v>
      </c>
      <c r="S282" s="89">
        <v>9500</v>
      </c>
      <c r="T282" s="89">
        <v>0</v>
      </c>
      <c r="U282" s="89">
        <v>20080</v>
      </c>
      <c r="V282" s="89">
        <v>20080</v>
      </c>
      <c r="W282" s="89">
        <v>36920</v>
      </c>
    </row>
    <row r="283" spans="1:23" ht="13">
      <c r="A283" t="s">
        <v>1943</v>
      </c>
      <c r="B283" t="s">
        <v>1944</v>
      </c>
      <c r="C283" s="88">
        <v>46157.119444444441</v>
      </c>
      <c r="D283" t="s">
        <v>105</v>
      </c>
      <c r="E283" t="s">
        <v>106</v>
      </c>
      <c r="F283" t="s">
        <v>1945</v>
      </c>
      <c r="G283" t="s">
        <v>1946</v>
      </c>
      <c r="H283" t="s">
        <v>1945</v>
      </c>
      <c r="I283" s="88">
        <v>46148.584143518514</v>
      </c>
      <c r="J283" t="s">
        <v>107</v>
      </c>
      <c r="K283" t="s">
        <v>108</v>
      </c>
      <c r="L283" t="s">
        <v>1947</v>
      </c>
      <c r="M283" s="88">
        <v>46149.770543981482</v>
      </c>
      <c r="N283" t="s">
        <v>637</v>
      </c>
      <c r="O283" t="s">
        <v>112</v>
      </c>
      <c r="P283" t="s">
        <v>111</v>
      </c>
      <c r="Q283" t="s">
        <v>1417</v>
      </c>
      <c r="R283">
        <v>2</v>
      </c>
      <c r="S283" s="89">
        <v>9500</v>
      </c>
      <c r="T283" s="89">
        <v>0</v>
      </c>
      <c r="U283" s="89">
        <v>4180</v>
      </c>
      <c r="V283" s="89">
        <v>4180</v>
      </c>
      <c r="W283" s="89">
        <v>14820</v>
      </c>
    </row>
    <row r="284" spans="1:23" ht="13">
      <c r="A284" t="s">
        <v>1948</v>
      </c>
      <c r="B284" t="s">
        <v>1949</v>
      </c>
      <c r="C284" s="88">
        <v>46157.119432870371</v>
      </c>
      <c r="D284" t="s">
        <v>105</v>
      </c>
      <c r="E284" t="s">
        <v>106</v>
      </c>
      <c r="F284" t="s">
        <v>301</v>
      </c>
      <c r="G284" t="s">
        <v>1950</v>
      </c>
      <c r="H284" t="s">
        <v>301</v>
      </c>
      <c r="I284" s="88">
        <v>46148.584097222221</v>
      </c>
      <c r="J284" t="s">
        <v>107</v>
      </c>
      <c r="K284" t="s">
        <v>108</v>
      </c>
      <c r="L284" t="s">
        <v>1951</v>
      </c>
      <c r="M284" s="88">
        <v>46149.682858796295</v>
      </c>
      <c r="N284" t="s">
        <v>637</v>
      </c>
      <c r="O284" t="s">
        <v>112</v>
      </c>
      <c r="P284" t="s">
        <v>111</v>
      </c>
      <c r="Q284" t="s">
        <v>1417</v>
      </c>
      <c r="R284">
        <v>6</v>
      </c>
      <c r="S284" s="89">
        <v>9500</v>
      </c>
      <c r="T284" s="89">
        <v>0</v>
      </c>
      <c r="U284" s="89">
        <v>20080</v>
      </c>
      <c r="V284" s="89">
        <v>20080</v>
      </c>
      <c r="W284" s="89">
        <v>36920</v>
      </c>
    </row>
    <row r="285" spans="1:23" ht="13">
      <c r="A285" t="s">
        <v>1952</v>
      </c>
      <c r="B285" t="s">
        <v>1953</v>
      </c>
      <c r="C285" s="88">
        <v>46157.119432870371</v>
      </c>
      <c r="D285" t="s">
        <v>105</v>
      </c>
      <c r="E285" t="s">
        <v>106</v>
      </c>
      <c r="F285" t="s">
        <v>1954</v>
      </c>
      <c r="G285" t="s">
        <v>1955</v>
      </c>
      <c r="H285" t="s">
        <v>1954</v>
      </c>
      <c r="I285" s="88">
        <v>46148.584097222221</v>
      </c>
      <c r="J285" t="s">
        <v>107</v>
      </c>
      <c r="K285" t="s">
        <v>108</v>
      </c>
      <c r="L285" t="s">
        <v>1956</v>
      </c>
      <c r="M285" s="88">
        <v>46149.684050925927</v>
      </c>
      <c r="N285" t="s">
        <v>637</v>
      </c>
      <c r="O285" t="s">
        <v>112</v>
      </c>
      <c r="P285" t="s">
        <v>111</v>
      </c>
      <c r="Q285" t="s">
        <v>1417</v>
      </c>
      <c r="R285">
        <v>6</v>
      </c>
      <c r="S285" s="89">
        <v>9500</v>
      </c>
      <c r="T285" s="89">
        <v>0</v>
      </c>
      <c r="U285" s="89">
        <v>20080</v>
      </c>
      <c r="V285" s="89">
        <v>20080</v>
      </c>
      <c r="W285" s="89">
        <v>36920</v>
      </c>
    </row>
    <row r="286" spans="1:23" ht="13">
      <c r="A286" t="s">
        <v>1957</v>
      </c>
      <c r="B286" t="s">
        <v>1958</v>
      </c>
      <c r="C286" s="88">
        <v>46157.119409722218</v>
      </c>
      <c r="D286" t="s">
        <v>105</v>
      </c>
      <c r="E286" t="s">
        <v>106</v>
      </c>
      <c r="F286" t="s">
        <v>1959</v>
      </c>
      <c r="G286" t="s">
        <v>1960</v>
      </c>
      <c r="H286" t="s">
        <v>1959</v>
      </c>
      <c r="I286" s="88">
        <v>46148.584131944444</v>
      </c>
      <c r="J286" t="s">
        <v>107</v>
      </c>
      <c r="K286" t="s">
        <v>108</v>
      </c>
      <c r="L286" t="s">
        <v>1961</v>
      </c>
      <c r="M286" s="88">
        <v>46149.683078703703</v>
      </c>
      <c r="N286" t="s">
        <v>637</v>
      </c>
      <c r="O286" t="s">
        <v>112</v>
      </c>
      <c r="P286" t="s">
        <v>111</v>
      </c>
      <c r="Q286" t="s">
        <v>1417</v>
      </c>
      <c r="R286">
        <v>2</v>
      </c>
      <c r="S286" s="89">
        <v>9500</v>
      </c>
      <c r="T286" s="89">
        <v>0</v>
      </c>
      <c r="U286" s="89">
        <v>4180</v>
      </c>
      <c r="V286" s="89">
        <v>4180</v>
      </c>
      <c r="W286" s="89">
        <v>14820</v>
      </c>
    </row>
    <row r="287" spans="1:23" ht="13">
      <c r="A287" t="s">
        <v>1962</v>
      </c>
      <c r="B287" t="s">
        <v>1963</v>
      </c>
      <c r="C287" s="88">
        <v>46157.119409722218</v>
      </c>
      <c r="D287" t="s">
        <v>105</v>
      </c>
      <c r="E287" t="s">
        <v>106</v>
      </c>
      <c r="F287" t="s">
        <v>1964</v>
      </c>
      <c r="G287" t="s">
        <v>1965</v>
      </c>
      <c r="H287" t="s">
        <v>1964</v>
      </c>
      <c r="I287" s="88">
        <v>46148.584131944444</v>
      </c>
      <c r="J287" t="s">
        <v>107</v>
      </c>
      <c r="K287" t="s">
        <v>108</v>
      </c>
      <c r="L287" t="s">
        <v>1966</v>
      </c>
      <c r="M287" s="88">
        <v>46149.679212962961</v>
      </c>
      <c r="N287" t="s">
        <v>637</v>
      </c>
      <c r="O287" t="s">
        <v>112</v>
      </c>
      <c r="P287" t="s">
        <v>111</v>
      </c>
      <c r="Q287" t="s">
        <v>1417</v>
      </c>
      <c r="R287">
        <v>2</v>
      </c>
      <c r="S287" s="89">
        <v>9500</v>
      </c>
      <c r="T287" s="89">
        <v>0</v>
      </c>
      <c r="U287" s="89">
        <v>4280</v>
      </c>
      <c r="V287" s="89">
        <v>4280</v>
      </c>
      <c r="W287" s="89">
        <v>14720</v>
      </c>
    </row>
    <row r="288" spans="1:23" ht="13">
      <c r="A288" t="s">
        <v>1967</v>
      </c>
      <c r="B288" t="s">
        <v>1968</v>
      </c>
      <c r="C288" s="88">
        <v>46157.119409722218</v>
      </c>
      <c r="D288" t="s">
        <v>105</v>
      </c>
      <c r="E288" t="s">
        <v>106</v>
      </c>
      <c r="F288" t="s">
        <v>1969</v>
      </c>
      <c r="G288" t="s">
        <v>1970</v>
      </c>
      <c r="H288" t="s">
        <v>1969</v>
      </c>
      <c r="I288" s="88">
        <v>46148.584108796298</v>
      </c>
      <c r="J288" t="s">
        <v>107</v>
      </c>
      <c r="K288" t="s">
        <v>108</v>
      </c>
      <c r="L288" t="s">
        <v>1971</v>
      </c>
      <c r="M288" s="88">
        <v>46149.764143518521</v>
      </c>
      <c r="N288" t="s">
        <v>637</v>
      </c>
      <c r="O288" t="s">
        <v>112</v>
      </c>
      <c r="P288" t="s">
        <v>111</v>
      </c>
      <c r="Q288" t="s">
        <v>1417</v>
      </c>
      <c r="R288">
        <v>6</v>
      </c>
      <c r="S288" s="89">
        <v>9500</v>
      </c>
      <c r="T288" s="89">
        <v>0</v>
      </c>
      <c r="U288" s="89">
        <v>20080</v>
      </c>
      <c r="V288" s="89">
        <v>20080</v>
      </c>
      <c r="W288" s="89">
        <v>36920</v>
      </c>
    </row>
    <row r="289" spans="1:23" ht="13">
      <c r="A289" t="s">
        <v>1972</v>
      </c>
      <c r="B289" t="s">
        <v>1973</v>
      </c>
      <c r="C289" s="88">
        <v>46157.119409722218</v>
      </c>
      <c r="D289" t="s">
        <v>105</v>
      </c>
      <c r="E289" t="s">
        <v>106</v>
      </c>
      <c r="F289" t="s">
        <v>1974</v>
      </c>
      <c r="G289" t="s">
        <v>1975</v>
      </c>
      <c r="H289" t="s">
        <v>1974</v>
      </c>
      <c r="I289" s="88">
        <v>46148.584108796298</v>
      </c>
      <c r="J289" t="s">
        <v>107</v>
      </c>
      <c r="K289" t="s">
        <v>108</v>
      </c>
      <c r="L289" t="s">
        <v>1976</v>
      </c>
      <c r="M289" s="88">
        <v>46149.684062500004</v>
      </c>
      <c r="N289" t="s">
        <v>637</v>
      </c>
      <c r="O289" t="s">
        <v>112</v>
      </c>
      <c r="P289" t="s">
        <v>111</v>
      </c>
      <c r="Q289" t="s">
        <v>1417</v>
      </c>
      <c r="R289">
        <v>6</v>
      </c>
      <c r="S289" s="89">
        <v>9500</v>
      </c>
      <c r="T289" s="89">
        <v>0</v>
      </c>
      <c r="U289" s="89">
        <v>20080</v>
      </c>
      <c r="V289" s="89">
        <v>20080</v>
      </c>
      <c r="W289" s="89">
        <v>36920</v>
      </c>
    </row>
    <row r="290" spans="1:23" ht="13">
      <c r="A290" t="s">
        <v>1977</v>
      </c>
      <c r="B290" t="s">
        <v>1978</v>
      </c>
      <c r="C290" s="88">
        <v>46157.119398148148</v>
      </c>
      <c r="D290" t="s">
        <v>105</v>
      </c>
      <c r="E290" t="s">
        <v>106</v>
      </c>
      <c r="F290" t="s">
        <v>1979</v>
      </c>
      <c r="G290" t="s">
        <v>1980</v>
      </c>
      <c r="H290" t="s">
        <v>1979</v>
      </c>
      <c r="I290" s="88">
        <v>46148.584108796298</v>
      </c>
      <c r="J290" t="s">
        <v>107</v>
      </c>
      <c r="K290" t="s">
        <v>108</v>
      </c>
      <c r="L290" t="s">
        <v>1981</v>
      </c>
      <c r="M290" s="88">
        <v>46149.873715277776</v>
      </c>
      <c r="N290" t="s">
        <v>637</v>
      </c>
      <c r="O290" t="s">
        <v>112</v>
      </c>
      <c r="P290" t="s">
        <v>111</v>
      </c>
      <c r="Q290" t="s">
        <v>1417</v>
      </c>
      <c r="R290">
        <v>2</v>
      </c>
      <c r="S290" s="89">
        <v>9500</v>
      </c>
      <c r="T290" s="89">
        <v>0</v>
      </c>
      <c r="U290" s="89">
        <v>4280</v>
      </c>
      <c r="V290" s="89">
        <v>4280</v>
      </c>
      <c r="W290" s="89">
        <v>14720</v>
      </c>
    </row>
    <row r="291" spans="1:23" ht="13">
      <c r="A291" t="s">
        <v>1982</v>
      </c>
      <c r="B291" t="s">
        <v>1983</v>
      </c>
      <c r="C291" s="88">
        <v>46157.119131944448</v>
      </c>
      <c r="D291" t="s">
        <v>105</v>
      </c>
      <c r="E291" t="s">
        <v>106</v>
      </c>
      <c r="F291" t="s">
        <v>1984</v>
      </c>
      <c r="G291" t="s">
        <v>1985</v>
      </c>
      <c r="H291" t="s">
        <v>1984</v>
      </c>
      <c r="I291" s="88">
        <v>46148.584108796298</v>
      </c>
      <c r="J291" t="s">
        <v>107</v>
      </c>
      <c r="K291" t="s">
        <v>108</v>
      </c>
      <c r="L291" t="s">
        <v>1986</v>
      </c>
      <c r="M291" s="88">
        <v>46149.963414351849</v>
      </c>
      <c r="N291" t="s">
        <v>637</v>
      </c>
      <c r="O291" t="s">
        <v>112</v>
      </c>
      <c r="P291" t="s">
        <v>111</v>
      </c>
      <c r="Q291" t="s">
        <v>1417</v>
      </c>
      <c r="R291">
        <v>6</v>
      </c>
      <c r="S291" s="89">
        <v>9500</v>
      </c>
      <c r="T291" s="89">
        <v>0</v>
      </c>
      <c r="U291" s="89">
        <v>19980</v>
      </c>
      <c r="V291" s="89">
        <v>19980</v>
      </c>
      <c r="W291" s="89">
        <v>37020</v>
      </c>
    </row>
    <row r="292" spans="1:23" ht="13">
      <c r="A292" t="s">
        <v>1987</v>
      </c>
      <c r="B292" t="s">
        <v>1988</v>
      </c>
      <c r="C292" s="88">
        <v>46157.119085648148</v>
      </c>
      <c r="D292" t="s">
        <v>105</v>
      </c>
      <c r="E292" t="s">
        <v>106</v>
      </c>
      <c r="F292" t="s">
        <v>1989</v>
      </c>
      <c r="G292" t="s">
        <v>1990</v>
      </c>
      <c r="H292" t="s">
        <v>1989</v>
      </c>
      <c r="I292" s="88">
        <v>46148.576863425929</v>
      </c>
      <c r="J292" t="s">
        <v>107</v>
      </c>
      <c r="K292" t="s">
        <v>108</v>
      </c>
      <c r="L292" t="s">
        <v>1991</v>
      </c>
      <c r="M292" s="88">
        <v>46149.551585648151</v>
      </c>
      <c r="N292" t="s">
        <v>1992</v>
      </c>
      <c r="O292" t="s">
        <v>110</v>
      </c>
      <c r="P292" t="s">
        <v>111</v>
      </c>
      <c r="Q292" t="s">
        <v>1993</v>
      </c>
      <c r="R292">
        <v>1</v>
      </c>
      <c r="S292" s="89">
        <v>129000</v>
      </c>
      <c r="T292" s="89">
        <v>0</v>
      </c>
      <c r="U292" s="89">
        <v>29700</v>
      </c>
      <c r="V292" s="89">
        <v>29700</v>
      </c>
      <c r="W292" s="89">
        <v>99300</v>
      </c>
    </row>
    <row r="293" spans="1:23" ht="13">
      <c r="A293" t="s">
        <v>1994</v>
      </c>
      <c r="B293" t="s">
        <v>1995</v>
      </c>
      <c r="C293" s="88">
        <v>46157.118946759263</v>
      </c>
      <c r="D293" t="s">
        <v>105</v>
      </c>
      <c r="E293" t="s">
        <v>106</v>
      </c>
      <c r="F293" t="s">
        <v>1678</v>
      </c>
      <c r="G293" t="s">
        <v>1996</v>
      </c>
      <c r="H293" t="s">
        <v>1678</v>
      </c>
      <c r="I293" s="88">
        <v>46148.584131944444</v>
      </c>
      <c r="J293" t="s">
        <v>107</v>
      </c>
      <c r="K293" t="s">
        <v>108</v>
      </c>
      <c r="L293" t="s">
        <v>1997</v>
      </c>
      <c r="M293" s="88">
        <v>46149.608958333338</v>
      </c>
      <c r="N293" t="s">
        <v>637</v>
      </c>
      <c r="O293" t="s">
        <v>112</v>
      </c>
      <c r="P293" t="s">
        <v>111</v>
      </c>
      <c r="Q293" t="s">
        <v>1417</v>
      </c>
      <c r="R293">
        <v>6</v>
      </c>
      <c r="S293" s="89">
        <v>9500</v>
      </c>
      <c r="T293" s="89">
        <v>0</v>
      </c>
      <c r="U293" s="89">
        <v>20080</v>
      </c>
      <c r="V293" s="89">
        <v>20080</v>
      </c>
      <c r="W293" s="89">
        <v>36920</v>
      </c>
    </row>
    <row r="294" spans="1:23" ht="13">
      <c r="A294" t="s">
        <v>1998</v>
      </c>
      <c r="B294" t="s">
        <v>1999</v>
      </c>
      <c r="C294" s="88">
        <v>46157.118935185186</v>
      </c>
      <c r="D294" t="s">
        <v>105</v>
      </c>
      <c r="E294" t="s">
        <v>106</v>
      </c>
      <c r="F294" t="s">
        <v>439</v>
      </c>
      <c r="G294" t="s">
        <v>162</v>
      </c>
      <c r="H294" t="s">
        <v>439</v>
      </c>
      <c r="I294" s="88">
        <v>46148.584108796298</v>
      </c>
      <c r="J294" t="s">
        <v>107</v>
      </c>
      <c r="K294" t="s">
        <v>108</v>
      </c>
      <c r="L294" t="s">
        <v>2000</v>
      </c>
      <c r="M294" s="88">
        <v>46149.963414351849</v>
      </c>
      <c r="N294" t="s">
        <v>637</v>
      </c>
      <c r="O294" t="s">
        <v>112</v>
      </c>
      <c r="P294" t="s">
        <v>111</v>
      </c>
      <c r="Q294" t="s">
        <v>1417</v>
      </c>
      <c r="R294">
        <v>3</v>
      </c>
      <c r="S294" s="89">
        <v>9500</v>
      </c>
      <c r="T294" s="89">
        <v>0</v>
      </c>
      <c r="U294" s="89">
        <v>6270</v>
      </c>
      <c r="V294" s="89">
        <v>6270</v>
      </c>
      <c r="W294" s="89">
        <v>22230</v>
      </c>
    </row>
    <row r="295" spans="1:23" ht="13">
      <c r="A295" t="s">
        <v>2001</v>
      </c>
      <c r="B295" t="s">
        <v>2002</v>
      </c>
      <c r="C295" s="88">
        <v>46157.11881944444</v>
      </c>
      <c r="D295" t="s">
        <v>105</v>
      </c>
      <c r="E295" t="s">
        <v>106</v>
      </c>
      <c r="F295" t="s">
        <v>2003</v>
      </c>
      <c r="G295" t="s">
        <v>2004</v>
      </c>
      <c r="H295" t="s">
        <v>2003</v>
      </c>
      <c r="I295" s="88">
        <v>46148.584131944444</v>
      </c>
      <c r="J295" t="s">
        <v>107</v>
      </c>
      <c r="K295" t="s">
        <v>108</v>
      </c>
      <c r="L295" t="s">
        <v>2005</v>
      </c>
      <c r="M295" s="88">
        <v>46149.552210648151</v>
      </c>
      <c r="N295" t="s">
        <v>637</v>
      </c>
      <c r="O295" t="s">
        <v>112</v>
      </c>
      <c r="P295" t="s">
        <v>111</v>
      </c>
      <c r="Q295" t="s">
        <v>1417</v>
      </c>
      <c r="R295">
        <v>2</v>
      </c>
      <c r="S295" s="89">
        <v>9500</v>
      </c>
      <c r="T295" s="89">
        <v>0</v>
      </c>
      <c r="U295" s="89">
        <v>4280</v>
      </c>
      <c r="V295" s="89">
        <v>4280</v>
      </c>
      <c r="W295" s="89">
        <v>14720</v>
      </c>
    </row>
    <row r="296" spans="1:23" ht="13">
      <c r="A296" t="s">
        <v>2006</v>
      </c>
      <c r="B296" t="s">
        <v>2007</v>
      </c>
      <c r="C296" s="88">
        <v>46157.118807870371</v>
      </c>
      <c r="D296" t="s">
        <v>105</v>
      </c>
      <c r="E296" t="s">
        <v>106</v>
      </c>
      <c r="F296" t="s">
        <v>2008</v>
      </c>
      <c r="G296" t="s">
        <v>2009</v>
      </c>
      <c r="H296" t="s">
        <v>2008</v>
      </c>
      <c r="I296" s="88">
        <v>46148.584131944444</v>
      </c>
      <c r="J296" t="s">
        <v>107</v>
      </c>
      <c r="K296" t="s">
        <v>108</v>
      </c>
      <c r="L296" t="s">
        <v>2010</v>
      </c>
      <c r="M296" s="88">
        <v>46149.553668981476</v>
      </c>
      <c r="N296" t="s">
        <v>637</v>
      </c>
      <c r="O296" t="s">
        <v>112</v>
      </c>
      <c r="P296" t="s">
        <v>111</v>
      </c>
      <c r="Q296" t="s">
        <v>1417</v>
      </c>
      <c r="R296">
        <v>2</v>
      </c>
      <c r="S296" s="89">
        <v>9500</v>
      </c>
      <c r="T296" s="89">
        <v>0</v>
      </c>
      <c r="U296" s="89">
        <v>4280</v>
      </c>
      <c r="V296" s="89">
        <v>4280</v>
      </c>
      <c r="W296" s="89">
        <v>14720</v>
      </c>
    </row>
    <row r="297" spans="1:23" ht="13">
      <c r="A297" t="s">
        <v>2011</v>
      </c>
      <c r="B297" t="s">
        <v>2012</v>
      </c>
      <c r="C297" s="88">
        <v>46157.118796296301</v>
      </c>
      <c r="D297" t="s">
        <v>105</v>
      </c>
      <c r="E297" t="s">
        <v>106</v>
      </c>
      <c r="F297" t="s">
        <v>2013</v>
      </c>
      <c r="G297" t="s">
        <v>2014</v>
      </c>
      <c r="H297" t="s">
        <v>2013</v>
      </c>
      <c r="I297" s="88">
        <v>46148.584097222221</v>
      </c>
      <c r="J297" t="s">
        <v>107</v>
      </c>
      <c r="K297" t="s">
        <v>108</v>
      </c>
      <c r="L297" t="s">
        <v>2015</v>
      </c>
      <c r="M297" s="88">
        <v>46149.873703703706</v>
      </c>
      <c r="N297" t="s">
        <v>637</v>
      </c>
      <c r="O297" t="s">
        <v>112</v>
      </c>
      <c r="P297" t="s">
        <v>111</v>
      </c>
      <c r="Q297" t="s">
        <v>1417</v>
      </c>
      <c r="R297">
        <v>2</v>
      </c>
      <c r="S297" s="89">
        <v>9500</v>
      </c>
      <c r="T297" s="89">
        <v>0</v>
      </c>
      <c r="U297" s="89">
        <v>4180</v>
      </c>
      <c r="V297" s="89">
        <v>4180</v>
      </c>
      <c r="W297" s="89">
        <v>14820</v>
      </c>
    </row>
    <row r="298" spans="1:23" ht="13">
      <c r="A298" t="s">
        <v>2016</v>
      </c>
      <c r="B298" t="s">
        <v>2017</v>
      </c>
      <c r="C298" s="88">
        <v>46157.118078703701</v>
      </c>
      <c r="D298" t="s">
        <v>105</v>
      </c>
      <c r="E298" t="s">
        <v>106</v>
      </c>
      <c r="F298" t="s">
        <v>331</v>
      </c>
      <c r="G298" t="s">
        <v>2018</v>
      </c>
      <c r="H298" t="s">
        <v>331</v>
      </c>
      <c r="I298" s="88">
        <v>46148.584131944444</v>
      </c>
      <c r="J298" t="s">
        <v>107</v>
      </c>
      <c r="K298" t="s">
        <v>108</v>
      </c>
      <c r="L298" t="s">
        <v>2019</v>
      </c>
      <c r="M298" s="88">
        <v>46149.675717592589</v>
      </c>
      <c r="N298" t="s">
        <v>637</v>
      </c>
      <c r="O298" t="s">
        <v>112</v>
      </c>
      <c r="P298" t="s">
        <v>111</v>
      </c>
      <c r="Q298" t="s">
        <v>1417</v>
      </c>
      <c r="R298">
        <v>1</v>
      </c>
      <c r="S298" s="89">
        <v>9500</v>
      </c>
      <c r="T298" s="89">
        <v>0</v>
      </c>
      <c r="U298" s="89">
        <v>2090</v>
      </c>
      <c r="V298" s="89">
        <v>2090</v>
      </c>
      <c r="W298" s="89">
        <v>7410</v>
      </c>
    </row>
    <row r="299" spans="1:23" ht="13">
      <c r="A299" t="s">
        <v>2020</v>
      </c>
      <c r="B299" t="s">
        <v>2021</v>
      </c>
      <c r="C299" s="88">
        <v>46157.118067129632</v>
      </c>
      <c r="D299" t="s">
        <v>105</v>
      </c>
      <c r="E299" t="s">
        <v>106</v>
      </c>
      <c r="F299" t="s">
        <v>2022</v>
      </c>
      <c r="G299" t="s">
        <v>2023</v>
      </c>
      <c r="H299" t="s">
        <v>2022</v>
      </c>
      <c r="I299" s="88">
        <v>46148.584131944444</v>
      </c>
      <c r="J299" t="s">
        <v>107</v>
      </c>
      <c r="K299" t="s">
        <v>108</v>
      </c>
      <c r="L299" t="s">
        <v>2024</v>
      </c>
      <c r="M299" s="88">
        <v>46149.67931712963</v>
      </c>
      <c r="N299" t="s">
        <v>637</v>
      </c>
      <c r="O299" t="s">
        <v>112</v>
      </c>
      <c r="P299" t="s">
        <v>111</v>
      </c>
      <c r="Q299" t="s">
        <v>1417</v>
      </c>
      <c r="R299">
        <v>6</v>
      </c>
      <c r="S299" s="89">
        <v>9500</v>
      </c>
      <c r="T299" s="89">
        <v>0</v>
      </c>
      <c r="U299" s="89">
        <v>20080</v>
      </c>
      <c r="V299" s="89">
        <v>20080</v>
      </c>
      <c r="W299" s="89">
        <v>36920</v>
      </c>
    </row>
    <row r="300" spans="1:23" ht="13">
      <c r="A300" t="s">
        <v>2025</v>
      </c>
      <c r="B300" t="s">
        <v>2026</v>
      </c>
      <c r="C300" s="88">
        <v>46157.118067129632</v>
      </c>
      <c r="D300" t="s">
        <v>105</v>
      </c>
      <c r="E300" t="s">
        <v>106</v>
      </c>
      <c r="F300" t="s">
        <v>2027</v>
      </c>
      <c r="G300" t="s">
        <v>2028</v>
      </c>
      <c r="H300" t="s">
        <v>2027</v>
      </c>
      <c r="I300" s="88">
        <v>46148.584131944444</v>
      </c>
      <c r="J300" t="s">
        <v>107</v>
      </c>
      <c r="K300" t="s">
        <v>108</v>
      </c>
      <c r="L300" t="s">
        <v>2029</v>
      </c>
      <c r="M300" s="88">
        <v>46149.554166666669</v>
      </c>
      <c r="N300" t="s">
        <v>637</v>
      </c>
      <c r="O300" t="s">
        <v>112</v>
      </c>
      <c r="P300" t="s">
        <v>111</v>
      </c>
      <c r="Q300" t="s">
        <v>1417</v>
      </c>
      <c r="R300">
        <v>1</v>
      </c>
      <c r="S300" s="89">
        <v>9500</v>
      </c>
      <c r="T300" s="89">
        <v>0</v>
      </c>
      <c r="U300" s="89">
        <v>2190</v>
      </c>
      <c r="V300" s="89">
        <v>2190</v>
      </c>
      <c r="W300" s="89">
        <v>7310</v>
      </c>
    </row>
    <row r="301" spans="1:23" ht="13">
      <c r="A301" t="s">
        <v>2030</v>
      </c>
      <c r="B301" t="s">
        <v>2031</v>
      </c>
      <c r="C301" s="88">
        <v>46157.118055555555</v>
      </c>
      <c r="D301" t="s">
        <v>105</v>
      </c>
      <c r="E301" t="s">
        <v>106</v>
      </c>
      <c r="F301" t="s">
        <v>2032</v>
      </c>
      <c r="G301" t="s">
        <v>2033</v>
      </c>
      <c r="H301" t="s">
        <v>2032</v>
      </c>
      <c r="I301" s="88">
        <v>46148.584131944444</v>
      </c>
      <c r="J301" t="s">
        <v>107</v>
      </c>
      <c r="K301" t="s">
        <v>108</v>
      </c>
      <c r="L301" t="s">
        <v>2034</v>
      </c>
      <c r="M301" s="88">
        <v>46149.552222222221</v>
      </c>
      <c r="N301" t="s">
        <v>637</v>
      </c>
      <c r="O301" t="s">
        <v>112</v>
      </c>
      <c r="P301" t="s">
        <v>111</v>
      </c>
      <c r="Q301" t="s">
        <v>1417</v>
      </c>
      <c r="R301">
        <v>6</v>
      </c>
      <c r="S301" s="89">
        <v>9500</v>
      </c>
      <c r="T301" s="89">
        <v>0</v>
      </c>
      <c r="U301" s="89">
        <v>20080</v>
      </c>
      <c r="V301" s="89">
        <v>20080</v>
      </c>
      <c r="W301" s="89">
        <v>36920</v>
      </c>
    </row>
    <row r="302" spans="1:23" ht="13">
      <c r="A302" t="s">
        <v>2035</v>
      </c>
      <c r="B302" t="s">
        <v>2036</v>
      </c>
      <c r="C302" s="88">
        <v>46157.118032407408</v>
      </c>
      <c r="D302" t="s">
        <v>105</v>
      </c>
      <c r="E302" t="s">
        <v>106</v>
      </c>
      <c r="F302" t="s">
        <v>389</v>
      </c>
      <c r="G302" t="s">
        <v>2037</v>
      </c>
      <c r="H302" t="s">
        <v>389</v>
      </c>
      <c r="I302" s="88">
        <v>46148.584108796298</v>
      </c>
      <c r="J302" t="s">
        <v>107</v>
      </c>
      <c r="K302" t="s">
        <v>108</v>
      </c>
      <c r="L302" t="s">
        <v>2038</v>
      </c>
      <c r="M302" s="88">
        <v>46149.554074074069</v>
      </c>
      <c r="N302" t="s">
        <v>637</v>
      </c>
      <c r="O302" t="s">
        <v>112</v>
      </c>
      <c r="P302" t="s">
        <v>111</v>
      </c>
      <c r="Q302" t="s">
        <v>1417</v>
      </c>
      <c r="R302">
        <v>4</v>
      </c>
      <c r="S302" s="89">
        <v>9500</v>
      </c>
      <c r="T302" s="89">
        <v>0</v>
      </c>
      <c r="U302" s="89">
        <v>8460</v>
      </c>
      <c r="V302" s="89">
        <v>8460</v>
      </c>
      <c r="W302" s="89">
        <v>29540</v>
      </c>
    </row>
    <row r="303" spans="1:23" ht="13">
      <c r="A303" t="s">
        <v>2039</v>
      </c>
      <c r="B303" t="s">
        <v>2040</v>
      </c>
      <c r="C303" s="88">
        <v>46157.118032407408</v>
      </c>
      <c r="D303" t="s">
        <v>105</v>
      </c>
      <c r="E303" t="s">
        <v>106</v>
      </c>
      <c r="F303" t="s">
        <v>2041</v>
      </c>
      <c r="G303" t="s">
        <v>2042</v>
      </c>
      <c r="H303" t="s">
        <v>2041</v>
      </c>
      <c r="I303" s="88">
        <v>46148.584097222221</v>
      </c>
      <c r="J303" t="s">
        <v>107</v>
      </c>
      <c r="K303" t="s">
        <v>108</v>
      </c>
      <c r="L303" t="s">
        <v>2043</v>
      </c>
      <c r="M303" s="88">
        <v>46149.71674768519</v>
      </c>
      <c r="N303" t="s">
        <v>637</v>
      </c>
      <c r="O303" t="s">
        <v>112</v>
      </c>
      <c r="P303" t="s">
        <v>111</v>
      </c>
      <c r="Q303" t="s">
        <v>1417</v>
      </c>
      <c r="R303">
        <v>7</v>
      </c>
      <c r="S303" s="89">
        <v>9500</v>
      </c>
      <c r="T303" s="89">
        <v>0</v>
      </c>
      <c r="U303" s="89">
        <v>23410</v>
      </c>
      <c r="V303" s="89">
        <v>23410</v>
      </c>
      <c r="W303" s="89">
        <v>43090</v>
      </c>
    </row>
    <row r="304" spans="1:23" ht="13">
      <c r="A304" t="s">
        <v>2044</v>
      </c>
      <c r="B304" t="s">
        <v>2045</v>
      </c>
      <c r="C304" s="88">
        <v>46157.118032407408</v>
      </c>
      <c r="D304" t="s">
        <v>105</v>
      </c>
      <c r="E304" t="s">
        <v>106</v>
      </c>
      <c r="F304" t="s">
        <v>2046</v>
      </c>
      <c r="G304" t="s">
        <v>2047</v>
      </c>
      <c r="H304" t="s">
        <v>2046</v>
      </c>
      <c r="I304" s="88">
        <v>46148.584097222221</v>
      </c>
      <c r="J304" t="s">
        <v>107</v>
      </c>
      <c r="K304" t="s">
        <v>108</v>
      </c>
      <c r="L304" t="s">
        <v>2048</v>
      </c>
      <c r="M304" s="88">
        <v>46149.552280092597</v>
      </c>
      <c r="N304" t="s">
        <v>637</v>
      </c>
      <c r="O304" t="s">
        <v>112</v>
      </c>
      <c r="P304" t="s">
        <v>111</v>
      </c>
      <c r="Q304" t="s">
        <v>1417</v>
      </c>
      <c r="R304">
        <v>10</v>
      </c>
      <c r="S304" s="89">
        <v>9500</v>
      </c>
      <c r="T304" s="89">
        <v>0</v>
      </c>
      <c r="U304" s="89">
        <v>33300</v>
      </c>
      <c r="V304" s="89">
        <v>33300</v>
      </c>
      <c r="W304" s="89">
        <v>61700</v>
      </c>
    </row>
    <row r="305" spans="1:23" ht="13">
      <c r="A305" t="s">
        <v>2049</v>
      </c>
      <c r="B305" t="s">
        <v>2050</v>
      </c>
      <c r="C305" s="88">
        <v>46157.118032407408</v>
      </c>
      <c r="D305" t="s">
        <v>105</v>
      </c>
      <c r="E305" t="s">
        <v>106</v>
      </c>
      <c r="F305" t="s">
        <v>2051</v>
      </c>
      <c r="G305" t="s">
        <v>2052</v>
      </c>
      <c r="H305" t="s">
        <v>2051</v>
      </c>
      <c r="I305" s="88">
        <v>46148.584097222221</v>
      </c>
      <c r="J305" t="s">
        <v>107</v>
      </c>
      <c r="K305" t="s">
        <v>108</v>
      </c>
      <c r="L305" t="s">
        <v>2053</v>
      </c>
      <c r="M305" s="88">
        <v>46149.679259259261</v>
      </c>
      <c r="N305" t="s">
        <v>637</v>
      </c>
      <c r="O305" t="s">
        <v>112</v>
      </c>
      <c r="P305" t="s">
        <v>111</v>
      </c>
      <c r="Q305" t="s">
        <v>1417</v>
      </c>
      <c r="R305">
        <v>2</v>
      </c>
      <c r="S305" s="89">
        <v>9500</v>
      </c>
      <c r="T305" s="89">
        <v>0</v>
      </c>
      <c r="U305" s="89">
        <v>4280</v>
      </c>
      <c r="V305" s="89">
        <v>4280</v>
      </c>
      <c r="W305" s="89">
        <v>14720</v>
      </c>
    </row>
    <row r="306" spans="1:23" ht="13">
      <c r="A306" t="s">
        <v>2054</v>
      </c>
      <c r="B306" t="s">
        <v>2055</v>
      </c>
      <c r="C306" s="88">
        <v>46157.033888888887</v>
      </c>
      <c r="D306" t="s">
        <v>105</v>
      </c>
      <c r="E306" t="s">
        <v>106</v>
      </c>
      <c r="F306" t="s">
        <v>314</v>
      </c>
      <c r="G306" t="s">
        <v>2056</v>
      </c>
      <c r="H306" t="s">
        <v>314</v>
      </c>
      <c r="I306" s="88">
        <v>46146.715717592597</v>
      </c>
      <c r="J306" t="s">
        <v>107</v>
      </c>
      <c r="K306" t="s">
        <v>108</v>
      </c>
      <c r="L306" t="s">
        <v>2057</v>
      </c>
      <c r="M306" s="88">
        <v>46149.715949074074</v>
      </c>
      <c r="N306" t="s">
        <v>637</v>
      </c>
      <c r="O306" t="s">
        <v>112</v>
      </c>
      <c r="P306" t="s">
        <v>111</v>
      </c>
      <c r="Q306" t="s">
        <v>1587</v>
      </c>
      <c r="R306">
        <v>1</v>
      </c>
      <c r="S306" s="89">
        <v>9500</v>
      </c>
      <c r="T306" s="89">
        <v>0</v>
      </c>
      <c r="U306" s="89">
        <v>2090</v>
      </c>
      <c r="V306" s="89">
        <v>2090</v>
      </c>
      <c r="W306" s="89">
        <v>7410</v>
      </c>
    </row>
    <row r="307" spans="1:23" ht="13">
      <c r="A307" t="s">
        <v>2058</v>
      </c>
      <c r="B307" t="s">
        <v>2059</v>
      </c>
      <c r="C307" s="88">
        <v>46156.844201388885</v>
      </c>
      <c r="D307" t="s">
        <v>105</v>
      </c>
      <c r="E307" t="s">
        <v>106</v>
      </c>
      <c r="F307" t="s">
        <v>308</v>
      </c>
      <c r="G307" t="s">
        <v>2060</v>
      </c>
      <c r="H307" t="s">
        <v>308</v>
      </c>
      <c r="I307" s="88">
        <v>46148.584131944444</v>
      </c>
      <c r="J307" t="s">
        <v>107</v>
      </c>
      <c r="K307" t="s">
        <v>108</v>
      </c>
      <c r="L307" t="s">
        <v>2061</v>
      </c>
      <c r="M307" s="88">
        <v>46149.660416666666</v>
      </c>
      <c r="N307" t="s">
        <v>637</v>
      </c>
      <c r="O307" t="s">
        <v>112</v>
      </c>
      <c r="P307" t="s">
        <v>111</v>
      </c>
      <c r="Q307" t="s">
        <v>1417</v>
      </c>
      <c r="R307">
        <v>6</v>
      </c>
      <c r="S307" s="89">
        <v>9500</v>
      </c>
      <c r="T307" s="89">
        <v>0</v>
      </c>
      <c r="U307" s="89">
        <v>20080</v>
      </c>
      <c r="V307" s="89">
        <v>20080</v>
      </c>
      <c r="W307" s="89">
        <v>36920</v>
      </c>
    </row>
    <row r="308" spans="1:23" ht="13">
      <c r="A308" t="s">
        <v>2062</v>
      </c>
      <c r="B308" t="s">
        <v>2063</v>
      </c>
      <c r="C308" s="88">
        <v>46156.590902777782</v>
      </c>
      <c r="D308" t="s">
        <v>105</v>
      </c>
      <c r="E308" t="s">
        <v>106</v>
      </c>
      <c r="F308" t="s">
        <v>2064</v>
      </c>
      <c r="G308" t="s">
        <v>2065</v>
      </c>
      <c r="H308" t="s">
        <v>2064</v>
      </c>
      <c r="I308" s="88">
        <v>46148.584097222221</v>
      </c>
      <c r="J308" t="s">
        <v>107</v>
      </c>
      <c r="K308" t="s">
        <v>108</v>
      </c>
      <c r="L308" t="s">
        <v>2066</v>
      </c>
      <c r="M308" s="88">
        <v>46149.679247685184</v>
      </c>
      <c r="N308" t="s">
        <v>637</v>
      </c>
      <c r="O308" t="s">
        <v>112</v>
      </c>
      <c r="P308" t="s">
        <v>111</v>
      </c>
      <c r="Q308" t="s">
        <v>1417</v>
      </c>
      <c r="R308">
        <v>6</v>
      </c>
      <c r="S308" s="89">
        <v>9500</v>
      </c>
      <c r="T308" s="89">
        <v>0</v>
      </c>
      <c r="U308" s="89">
        <v>19980</v>
      </c>
      <c r="V308" s="89">
        <v>19980</v>
      </c>
      <c r="W308" s="89">
        <v>37020</v>
      </c>
    </row>
    <row r="309" spans="1:23" ht="13">
      <c r="A309" t="s">
        <v>2067</v>
      </c>
      <c r="B309" t="s">
        <v>2068</v>
      </c>
      <c r="C309" s="88">
        <v>46156.470046296294</v>
      </c>
      <c r="D309" t="s">
        <v>105</v>
      </c>
      <c r="E309" t="s">
        <v>106</v>
      </c>
      <c r="F309" t="s">
        <v>2069</v>
      </c>
      <c r="G309" t="s">
        <v>2070</v>
      </c>
      <c r="H309" t="s">
        <v>2069</v>
      </c>
      <c r="I309" s="88">
        <v>46148.584131944444</v>
      </c>
      <c r="J309" t="s">
        <v>107</v>
      </c>
      <c r="K309" t="s">
        <v>108</v>
      </c>
      <c r="L309" t="s">
        <v>2071</v>
      </c>
      <c r="M309" s="88">
        <v>46149.675706018519</v>
      </c>
      <c r="N309" t="s">
        <v>637</v>
      </c>
      <c r="O309" t="s">
        <v>112</v>
      </c>
      <c r="P309" t="s">
        <v>111</v>
      </c>
      <c r="Q309" t="s">
        <v>1417</v>
      </c>
      <c r="R309">
        <v>4</v>
      </c>
      <c r="S309" s="89">
        <v>9500</v>
      </c>
      <c r="T309" s="89">
        <v>0</v>
      </c>
      <c r="U309" s="89">
        <v>8460</v>
      </c>
      <c r="V309" s="89">
        <v>8460</v>
      </c>
      <c r="W309" s="89">
        <v>29540</v>
      </c>
    </row>
    <row r="310" spans="1:23" ht="13">
      <c r="A310" t="s">
        <v>2072</v>
      </c>
      <c r="B310" t="s">
        <v>2073</v>
      </c>
      <c r="C310" s="88">
        <v>46156.124664351853</v>
      </c>
      <c r="D310" t="s">
        <v>105</v>
      </c>
      <c r="E310" t="s">
        <v>106</v>
      </c>
      <c r="F310" t="s">
        <v>2074</v>
      </c>
      <c r="G310" t="s">
        <v>2075</v>
      </c>
      <c r="H310" t="s">
        <v>2074</v>
      </c>
      <c r="I310" s="88">
        <v>46146.729618055557</v>
      </c>
      <c r="J310" t="s">
        <v>107</v>
      </c>
      <c r="K310" t="s">
        <v>108</v>
      </c>
      <c r="L310" t="s">
        <v>2076</v>
      </c>
      <c r="M310" s="88">
        <v>46148.556712962964</v>
      </c>
      <c r="N310" t="s">
        <v>637</v>
      </c>
      <c r="O310" t="s">
        <v>112</v>
      </c>
      <c r="P310" t="s">
        <v>111</v>
      </c>
      <c r="Q310" t="s">
        <v>1417</v>
      </c>
      <c r="R310">
        <v>5</v>
      </c>
      <c r="S310" s="89">
        <v>9500</v>
      </c>
      <c r="T310" s="89">
        <v>0</v>
      </c>
      <c r="U310" s="89">
        <v>10450</v>
      </c>
      <c r="V310" s="89">
        <v>10450</v>
      </c>
      <c r="W310" s="89">
        <v>37050</v>
      </c>
    </row>
    <row r="311" spans="1:23" ht="13">
      <c r="A311" t="s">
        <v>2077</v>
      </c>
      <c r="B311" t="s">
        <v>2078</v>
      </c>
      <c r="C311" s="88">
        <v>46156.123055555552</v>
      </c>
      <c r="D311" t="s">
        <v>105</v>
      </c>
      <c r="E311" t="s">
        <v>106</v>
      </c>
      <c r="F311" t="s">
        <v>117</v>
      </c>
      <c r="G311" t="s">
        <v>2079</v>
      </c>
      <c r="H311" t="s">
        <v>117</v>
      </c>
      <c r="I311" s="88">
        <v>46146.729618055557</v>
      </c>
      <c r="J311" t="s">
        <v>107</v>
      </c>
      <c r="K311" t="s">
        <v>108</v>
      </c>
      <c r="L311" t="s">
        <v>2080</v>
      </c>
      <c r="M311" s="88">
        <v>46148.653310185182</v>
      </c>
      <c r="N311" t="s">
        <v>637</v>
      </c>
      <c r="O311" t="s">
        <v>112</v>
      </c>
      <c r="P311" t="s">
        <v>111</v>
      </c>
      <c r="Q311" t="s">
        <v>1417</v>
      </c>
      <c r="R311">
        <v>6</v>
      </c>
      <c r="S311" s="89">
        <v>9500</v>
      </c>
      <c r="T311" s="89">
        <v>0</v>
      </c>
      <c r="U311" s="89">
        <v>19980</v>
      </c>
      <c r="V311" s="89">
        <v>19980</v>
      </c>
      <c r="W311" s="89">
        <v>37020</v>
      </c>
    </row>
    <row r="312" spans="1:23" ht="13">
      <c r="A312" t="s">
        <v>2081</v>
      </c>
      <c r="B312" t="s">
        <v>2082</v>
      </c>
      <c r="C312" s="88">
        <v>46156.122060185182</v>
      </c>
      <c r="D312" t="s">
        <v>105</v>
      </c>
      <c r="E312" t="s">
        <v>106</v>
      </c>
      <c r="F312" t="s">
        <v>499</v>
      </c>
      <c r="G312" t="s">
        <v>2083</v>
      </c>
      <c r="H312" t="s">
        <v>499</v>
      </c>
      <c r="I312" s="88">
        <v>46146.715717592597</v>
      </c>
      <c r="J312" t="s">
        <v>107</v>
      </c>
      <c r="K312" t="s">
        <v>108</v>
      </c>
      <c r="L312" t="s">
        <v>2084</v>
      </c>
      <c r="M312" s="88">
        <v>46148.68340277778</v>
      </c>
      <c r="N312" t="s">
        <v>637</v>
      </c>
      <c r="O312" t="s">
        <v>112</v>
      </c>
      <c r="P312" t="s">
        <v>111</v>
      </c>
      <c r="Q312" t="s">
        <v>2085</v>
      </c>
      <c r="R312">
        <v>6</v>
      </c>
      <c r="S312" s="89">
        <v>9500</v>
      </c>
      <c r="T312" s="89">
        <v>0</v>
      </c>
      <c r="U312" s="89">
        <v>20080</v>
      </c>
      <c r="V312" s="89">
        <v>20080</v>
      </c>
      <c r="W312" s="89">
        <v>36920</v>
      </c>
    </row>
    <row r="313" spans="1:23" ht="13">
      <c r="A313" t="s">
        <v>2086</v>
      </c>
      <c r="B313" t="s">
        <v>2087</v>
      </c>
      <c r="C313" s="88">
        <v>46156.122060185182</v>
      </c>
      <c r="D313" t="s">
        <v>105</v>
      </c>
      <c r="E313" t="s">
        <v>106</v>
      </c>
      <c r="F313" t="s">
        <v>238</v>
      </c>
      <c r="G313" t="s">
        <v>196</v>
      </c>
      <c r="H313" t="s">
        <v>238</v>
      </c>
      <c r="I313" s="88">
        <v>46146.715717592597</v>
      </c>
      <c r="J313" t="s">
        <v>107</v>
      </c>
      <c r="K313" t="s">
        <v>108</v>
      </c>
      <c r="L313" t="s">
        <v>2088</v>
      </c>
      <c r="M313" s="88">
        <v>46148.687754629631</v>
      </c>
      <c r="N313" t="s">
        <v>637</v>
      </c>
      <c r="O313" t="s">
        <v>112</v>
      </c>
      <c r="P313" t="s">
        <v>111</v>
      </c>
      <c r="Q313" t="s">
        <v>2085</v>
      </c>
      <c r="R313">
        <v>6</v>
      </c>
      <c r="S313" s="89">
        <v>9500</v>
      </c>
      <c r="T313" s="89">
        <v>0</v>
      </c>
      <c r="U313" s="89">
        <v>20080</v>
      </c>
      <c r="V313" s="89">
        <v>20080</v>
      </c>
      <c r="W313" s="89">
        <v>36920</v>
      </c>
    </row>
    <row r="314" spans="1:23" ht="13">
      <c r="A314" t="s">
        <v>2089</v>
      </c>
      <c r="B314" t="s">
        <v>2090</v>
      </c>
      <c r="C314" s="88">
        <v>46156.121967592597</v>
      </c>
      <c r="D314" t="s">
        <v>105</v>
      </c>
      <c r="E314" t="s">
        <v>106</v>
      </c>
      <c r="F314" t="s">
        <v>2091</v>
      </c>
      <c r="G314" t="s">
        <v>2092</v>
      </c>
      <c r="H314" t="s">
        <v>2093</v>
      </c>
      <c r="I314" s="88">
        <v>46146.715717592597</v>
      </c>
      <c r="J314" t="s">
        <v>107</v>
      </c>
      <c r="K314" t="s">
        <v>108</v>
      </c>
      <c r="L314" t="s">
        <v>2094</v>
      </c>
      <c r="M314" s="88">
        <v>46148.552951388891</v>
      </c>
      <c r="N314" t="s">
        <v>637</v>
      </c>
      <c r="O314" t="s">
        <v>112</v>
      </c>
      <c r="P314" t="s">
        <v>111</v>
      </c>
      <c r="Q314" t="s">
        <v>1587</v>
      </c>
      <c r="R314">
        <v>5</v>
      </c>
      <c r="S314" s="89">
        <v>9500</v>
      </c>
      <c r="T314" s="89">
        <v>0</v>
      </c>
      <c r="U314" s="89">
        <v>10550</v>
      </c>
      <c r="V314" s="89">
        <v>10550</v>
      </c>
      <c r="W314" s="89">
        <v>36950</v>
      </c>
    </row>
    <row r="315" spans="1:23" ht="13">
      <c r="A315" t="s">
        <v>2095</v>
      </c>
      <c r="B315" t="s">
        <v>2096</v>
      </c>
      <c r="C315" s="88">
        <v>46156.102210648147</v>
      </c>
      <c r="D315" t="s">
        <v>105</v>
      </c>
      <c r="E315" t="s">
        <v>106</v>
      </c>
      <c r="F315" t="s">
        <v>2097</v>
      </c>
      <c r="G315" t="s">
        <v>2098</v>
      </c>
      <c r="H315" t="s">
        <v>2097</v>
      </c>
      <c r="I315" s="88">
        <v>46146.729618055557</v>
      </c>
      <c r="J315" t="s">
        <v>107</v>
      </c>
      <c r="K315" t="s">
        <v>108</v>
      </c>
      <c r="L315" t="s">
        <v>2099</v>
      </c>
      <c r="M315" s="88">
        <v>46148.676099537042</v>
      </c>
      <c r="N315" t="s">
        <v>637</v>
      </c>
      <c r="O315" t="s">
        <v>112</v>
      </c>
      <c r="P315" t="s">
        <v>111</v>
      </c>
      <c r="Q315" t="s">
        <v>1417</v>
      </c>
      <c r="R315">
        <v>6</v>
      </c>
      <c r="S315" s="89">
        <v>9500</v>
      </c>
      <c r="T315" s="89">
        <v>0</v>
      </c>
      <c r="U315" s="89">
        <v>20080</v>
      </c>
      <c r="V315" s="89">
        <v>20080</v>
      </c>
      <c r="W315" s="89">
        <v>36920</v>
      </c>
    </row>
    <row r="316" spans="1:23" ht="13">
      <c r="A316" t="s">
        <v>2100</v>
      </c>
      <c r="B316" t="s">
        <v>2101</v>
      </c>
      <c r="C316" s="88">
        <v>46156.101319444446</v>
      </c>
      <c r="D316" t="s">
        <v>105</v>
      </c>
      <c r="E316" t="s">
        <v>106</v>
      </c>
      <c r="F316" t="s">
        <v>361</v>
      </c>
      <c r="G316" t="s">
        <v>2102</v>
      </c>
      <c r="H316" t="s">
        <v>361</v>
      </c>
      <c r="I316" s="88">
        <v>46146.729618055557</v>
      </c>
      <c r="J316" t="s">
        <v>107</v>
      </c>
      <c r="K316" t="s">
        <v>108</v>
      </c>
      <c r="L316" t="s">
        <v>2103</v>
      </c>
      <c r="M316" s="88">
        <v>46148.470497685186</v>
      </c>
      <c r="N316" t="s">
        <v>637</v>
      </c>
      <c r="O316" t="s">
        <v>112</v>
      </c>
      <c r="P316" t="s">
        <v>111</v>
      </c>
      <c r="Q316" t="s">
        <v>1417</v>
      </c>
      <c r="R316">
        <v>6</v>
      </c>
      <c r="S316" s="89">
        <v>9500</v>
      </c>
      <c r="T316" s="89">
        <v>0</v>
      </c>
      <c r="U316" s="89">
        <v>20080</v>
      </c>
      <c r="V316" s="89">
        <v>20080</v>
      </c>
      <c r="W316" s="89">
        <v>36920</v>
      </c>
    </row>
    <row r="317" spans="1:23" ht="13">
      <c r="A317" t="s">
        <v>2104</v>
      </c>
      <c r="B317" t="s">
        <v>2105</v>
      </c>
      <c r="C317" s="88">
        <v>46156.101168981477</v>
      </c>
      <c r="D317" t="s">
        <v>105</v>
      </c>
      <c r="E317" t="s">
        <v>106</v>
      </c>
      <c r="F317" t="s">
        <v>373</v>
      </c>
      <c r="G317" t="s">
        <v>1654</v>
      </c>
      <c r="H317" t="s">
        <v>373</v>
      </c>
      <c r="I317" s="88">
        <v>46146.715717592597</v>
      </c>
      <c r="J317" t="s">
        <v>107</v>
      </c>
      <c r="K317" t="s">
        <v>108</v>
      </c>
      <c r="L317" t="s">
        <v>2106</v>
      </c>
      <c r="M317" s="88">
        <v>46148.682071759264</v>
      </c>
      <c r="N317" t="s">
        <v>637</v>
      </c>
      <c r="O317" t="s">
        <v>112</v>
      </c>
      <c r="P317" t="s">
        <v>111</v>
      </c>
      <c r="Q317" t="s">
        <v>2085</v>
      </c>
      <c r="R317">
        <v>6</v>
      </c>
      <c r="S317" s="89">
        <v>9500</v>
      </c>
      <c r="T317" s="89">
        <v>0</v>
      </c>
      <c r="U317" s="89">
        <v>22980</v>
      </c>
      <c r="V317" s="89">
        <v>19980</v>
      </c>
      <c r="W317" s="89">
        <v>34020</v>
      </c>
    </row>
    <row r="318" spans="1:23" ht="13">
      <c r="A318" t="s">
        <v>2107</v>
      </c>
      <c r="B318" t="s">
        <v>2108</v>
      </c>
      <c r="C318" s="88">
        <v>46156.10083333333</v>
      </c>
      <c r="D318" t="s">
        <v>105</v>
      </c>
      <c r="E318" t="s">
        <v>106</v>
      </c>
      <c r="F318" t="s">
        <v>248</v>
      </c>
      <c r="G318" t="s">
        <v>2109</v>
      </c>
      <c r="H318" t="s">
        <v>248</v>
      </c>
      <c r="I318" s="88">
        <v>46146.715717592597</v>
      </c>
      <c r="J318" t="s">
        <v>107</v>
      </c>
      <c r="K318" t="s">
        <v>108</v>
      </c>
      <c r="L318" t="s">
        <v>2110</v>
      </c>
      <c r="M318" s="88">
        <v>46148.552881944444</v>
      </c>
      <c r="N318" t="s">
        <v>637</v>
      </c>
      <c r="O318" t="s">
        <v>112</v>
      </c>
      <c r="P318" t="s">
        <v>111</v>
      </c>
      <c r="Q318" t="s">
        <v>2085</v>
      </c>
      <c r="R318">
        <v>6</v>
      </c>
      <c r="S318" s="89">
        <v>9500</v>
      </c>
      <c r="T318" s="89">
        <v>0</v>
      </c>
      <c r="U318" s="89">
        <v>20080</v>
      </c>
      <c r="V318" s="89">
        <v>20080</v>
      </c>
      <c r="W318" s="89">
        <v>36920</v>
      </c>
    </row>
    <row r="319" spans="1:23" ht="13">
      <c r="A319" t="s">
        <v>2111</v>
      </c>
      <c r="B319" t="s">
        <v>2112</v>
      </c>
      <c r="C319" s="88">
        <v>46156.100752314815</v>
      </c>
      <c r="D319" t="s">
        <v>105</v>
      </c>
      <c r="E319" t="s">
        <v>106</v>
      </c>
      <c r="F319" t="s">
        <v>2113</v>
      </c>
      <c r="G319" t="s">
        <v>2114</v>
      </c>
      <c r="H319" t="s">
        <v>2113</v>
      </c>
      <c r="I319" s="88">
        <v>46146.715717592597</v>
      </c>
      <c r="J319" t="s">
        <v>107</v>
      </c>
      <c r="K319" t="s">
        <v>108</v>
      </c>
      <c r="L319" t="s">
        <v>2115</v>
      </c>
      <c r="M319" s="88">
        <v>46148.552951388891</v>
      </c>
      <c r="N319" t="s">
        <v>637</v>
      </c>
      <c r="O319" t="s">
        <v>112</v>
      </c>
      <c r="P319" t="s">
        <v>111</v>
      </c>
      <c r="Q319" t="s">
        <v>1587</v>
      </c>
      <c r="R319">
        <v>3</v>
      </c>
      <c r="S319" s="89">
        <v>9500</v>
      </c>
      <c r="T319" s="89">
        <v>0</v>
      </c>
      <c r="U319" s="89">
        <v>6270</v>
      </c>
      <c r="V319" s="89">
        <v>6270</v>
      </c>
      <c r="W319" s="89">
        <v>22230</v>
      </c>
    </row>
    <row r="320" spans="1:23" ht="13">
      <c r="A320" t="s">
        <v>2116</v>
      </c>
      <c r="B320" t="s">
        <v>2117</v>
      </c>
      <c r="C320" s="88">
        <v>46156.099849537037</v>
      </c>
      <c r="D320" t="s">
        <v>105</v>
      </c>
      <c r="E320" t="s">
        <v>106</v>
      </c>
      <c r="F320" t="s">
        <v>2118</v>
      </c>
      <c r="G320" t="s">
        <v>2119</v>
      </c>
      <c r="H320" t="s">
        <v>2118</v>
      </c>
      <c r="I320" s="88">
        <v>46146.729618055557</v>
      </c>
      <c r="J320" t="s">
        <v>107</v>
      </c>
      <c r="K320" t="s">
        <v>108</v>
      </c>
      <c r="L320" t="s">
        <v>2120</v>
      </c>
      <c r="M320" s="88">
        <v>46148.683831018519</v>
      </c>
      <c r="N320" t="s">
        <v>637</v>
      </c>
      <c r="O320" t="s">
        <v>112</v>
      </c>
      <c r="P320" t="s">
        <v>111</v>
      </c>
      <c r="Q320" t="s">
        <v>1417</v>
      </c>
      <c r="R320">
        <v>6</v>
      </c>
      <c r="S320" s="89">
        <v>9500</v>
      </c>
      <c r="T320" s="89">
        <v>0</v>
      </c>
      <c r="U320" s="89">
        <v>20080</v>
      </c>
      <c r="V320" s="89">
        <v>20080</v>
      </c>
      <c r="W320" s="89">
        <v>36920</v>
      </c>
    </row>
    <row r="321" spans="1:23" ht="13">
      <c r="A321" t="s">
        <v>2121</v>
      </c>
      <c r="B321" t="s">
        <v>2122</v>
      </c>
      <c r="C321" s="88">
        <v>46156.098969907413</v>
      </c>
      <c r="D321" t="s">
        <v>105</v>
      </c>
      <c r="E321" t="s">
        <v>106</v>
      </c>
      <c r="F321" t="s">
        <v>2123</v>
      </c>
      <c r="G321" t="s">
        <v>2124</v>
      </c>
      <c r="H321" t="s">
        <v>2123</v>
      </c>
      <c r="I321" s="88">
        <v>46146.715717592597</v>
      </c>
      <c r="J321" t="s">
        <v>107</v>
      </c>
      <c r="K321" t="s">
        <v>108</v>
      </c>
      <c r="L321" t="s">
        <v>2125</v>
      </c>
      <c r="M321" s="88">
        <v>46148.767094907409</v>
      </c>
      <c r="N321" t="s">
        <v>637</v>
      </c>
      <c r="O321" t="s">
        <v>112</v>
      </c>
      <c r="P321" t="s">
        <v>111</v>
      </c>
      <c r="Q321" t="s">
        <v>1587</v>
      </c>
      <c r="R321">
        <v>6</v>
      </c>
      <c r="S321" s="89">
        <v>9500</v>
      </c>
      <c r="T321" s="89">
        <v>0</v>
      </c>
      <c r="U321" s="89">
        <v>19980</v>
      </c>
      <c r="V321" s="89">
        <v>19980</v>
      </c>
      <c r="W321" s="89">
        <v>37020</v>
      </c>
    </row>
    <row r="322" spans="1:23" ht="13">
      <c r="A322" t="s">
        <v>2126</v>
      </c>
      <c r="B322" t="s">
        <v>2127</v>
      </c>
      <c r="C322" s="88">
        <v>46156.098969907413</v>
      </c>
      <c r="D322" t="s">
        <v>105</v>
      </c>
      <c r="E322" t="s">
        <v>106</v>
      </c>
      <c r="F322" t="s">
        <v>2128</v>
      </c>
      <c r="G322" t="s">
        <v>2129</v>
      </c>
      <c r="H322" t="s">
        <v>2128</v>
      </c>
      <c r="I322" s="88">
        <v>46146.715717592597</v>
      </c>
      <c r="J322" t="s">
        <v>107</v>
      </c>
      <c r="K322" t="s">
        <v>108</v>
      </c>
      <c r="L322" t="s">
        <v>2130</v>
      </c>
      <c r="M322" s="88">
        <v>46148.557037037041</v>
      </c>
      <c r="N322" t="s">
        <v>637</v>
      </c>
      <c r="O322" t="s">
        <v>112</v>
      </c>
      <c r="P322" t="s">
        <v>111</v>
      </c>
      <c r="Q322" t="s">
        <v>2085</v>
      </c>
      <c r="R322">
        <v>6</v>
      </c>
      <c r="S322" s="89">
        <v>9500</v>
      </c>
      <c r="T322" s="89">
        <v>0</v>
      </c>
      <c r="U322" s="89">
        <v>20080</v>
      </c>
      <c r="V322" s="89">
        <v>20080</v>
      </c>
      <c r="W322" s="89">
        <v>36920</v>
      </c>
    </row>
    <row r="323" spans="1:23" ht="13">
      <c r="A323" t="s">
        <v>2131</v>
      </c>
      <c r="B323" t="s">
        <v>2132</v>
      </c>
      <c r="C323" s="88">
        <v>46156.098877314813</v>
      </c>
      <c r="D323" t="s">
        <v>105</v>
      </c>
      <c r="E323" t="s">
        <v>106</v>
      </c>
      <c r="F323" t="s">
        <v>2133</v>
      </c>
      <c r="G323" t="s">
        <v>2134</v>
      </c>
      <c r="H323" t="s">
        <v>2133</v>
      </c>
      <c r="I323" s="88">
        <v>46146.715717592597</v>
      </c>
      <c r="J323" t="s">
        <v>107</v>
      </c>
      <c r="K323" t="s">
        <v>108</v>
      </c>
      <c r="L323" t="s">
        <v>2135</v>
      </c>
      <c r="M323" s="88">
        <v>46148.683391203704</v>
      </c>
      <c r="N323" t="s">
        <v>637</v>
      </c>
      <c r="O323" t="s">
        <v>112</v>
      </c>
      <c r="P323" t="s">
        <v>111</v>
      </c>
      <c r="Q323" t="s">
        <v>2085</v>
      </c>
      <c r="R323">
        <v>6</v>
      </c>
      <c r="S323" s="89">
        <v>9500</v>
      </c>
      <c r="T323" s="89">
        <v>0</v>
      </c>
      <c r="U323" s="89">
        <v>19980</v>
      </c>
      <c r="V323" s="89">
        <v>19980</v>
      </c>
      <c r="W323" s="89">
        <v>37020</v>
      </c>
    </row>
    <row r="324" spans="1:23" ht="13">
      <c r="A324" t="s">
        <v>2136</v>
      </c>
      <c r="B324" t="s">
        <v>2137</v>
      </c>
      <c r="C324" s="88">
        <v>46156.098622685182</v>
      </c>
      <c r="D324" t="s">
        <v>105</v>
      </c>
      <c r="E324" t="s">
        <v>106</v>
      </c>
      <c r="F324" t="s">
        <v>2138</v>
      </c>
      <c r="G324" t="s">
        <v>2139</v>
      </c>
      <c r="H324" t="s">
        <v>2138</v>
      </c>
      <c r="I324" s="88">
        <v>46146.715717592597</v>
      </c>
      <c r="J324" t="s">
        <v>107</v>
      </c>
      <c r="K324" t="s">
        <v>108</v>
      </c>
      <c r="L324" t="s">
        <v>2140</v>
      </c>
      <c r="M324" s="88">
        <v>46148.552858796298</v>
      </c>
      <c r="N324" t="s">
        <v>637</v>
      </c>
      <c r="O324" t="s">
        <v>112</v>
      </c>
      <c r="P324" t="s">
        <v>111</v>
      </c>
      <c r="Q324" t="s">
        <v>2085</v>
      </c>
      <c r="R324">
        <v>6</v>
      </c>
      <c r="S324" s="89">
        <v>9500</v>
      </c>
      <c r="T324" s="89">
        <v>0</v>
      </c>
      <c r="U324" s="89">
        <v>19980</v>
      </c>
      <c r="V324" s="89">
        <v>19980</v>
      </c>
      <c r="W324" s="89">
        <v>37020</v>
      </c>
    </row>
    <row r="325" spans="1:23" ht="13">
      <c r="A325" t="s">
        <v>2141</v>
      </c>
      <c r="B325" t="s">
        <v>119</v>
      </c>
      <c r="C325" s="88">
        <v>46156.02553240741</v>
      </c>
      <c r="D325" t="s">
        <v>105</v>
      </c>
      <c r="E325" t="s">
        <v>106</v>
      </c>
      <c r="F325" t="s">
        <v>120</v>
      </c>
      <c r="G325" t="s">
        <v>121</v>
      </c>
      <c r="H325" t="s">
        <v>120</v>
      </c>
      <c r="I325" s="88">
        <v>46143.714699074073</v>
      </c>
      <c r="J325" t="s">
        <v>107</v>
      </c>
      <c r="K325" t="s">
        <v>108</v>
      </c>
      <c r="L325" t="s">
        <v>2142</v>
      </c>
      <c r="M325" s="88">
        <v>46148.486851851849</v>
      </c>
      <c r="N325" t="s">
        <v>637</v>
      </c>
      <c r="O325" t="s">
        <v>112</v>
      </c>
      <c r="P325" t="s">
        <v>111</v>
      </c>
      <c r="Q325" t="s">
        <v>1417</v>
      </c>
      <c r="R325">
        <v>6</v>
      </c>
      <c r="S325" s="89">
        <v>9500</v>
      </c>
      <c r="T325" s="89">
        <v>0</v>
      </c>
      <c r="U325" s="89">
        <v>19980</v>
      </c>
      <c r="V325" s="89">
        <v>19980</v>
      </c>
      <c r="W325" s="89">
        <v>37020</v>
      </c>
    </row>
    <row r="326" spans="1:23" ht="13">
      <c r="A326" t="s">
        <v>2143</v>
      </c>
      <c r="B326" t="s">
        <v>2144</v>
      </c>
      <c r="C326" s="88">
        <v>46155.90424768519</v>
      </c>
      <c r="D326" t="s">
        <v>105</v>
      </c>
      <c r="E326" t="s">
        <v>106</v>
      </c>
      <c r="F326" t="s">
        <v>2145</v>
      </c>
      <c r="G326" t="s">
        <v>772</v>
      </c>
      <c r="H326" t="s">
        <v>2145</v>
      </c>
      <c r="I326" s="88">
        <v>46146.729618055557</v>
      </c>
      <c r="J326" t="s">
        <v>107</v>
      </c>
      <c r="K326" t="s">
        <v>108</v>
      </c>
      <c r="L326" t="s">
        <v>2146</v>
      </c>
      <c r="M326" s="88">
        <v>46148.540868055556</v>
      </c>
      <c r="N326" t="s">
        <v>637</v>
      </c>
      <c r="O326" t="s">
        <v>112</v>
      </c>
      <c r="P326" t="s">
        <v>111</v>
      </c>
      <c r="Q326" t="s">
        <v>1417</v>
      </c>
      <c r="R326">
        <v>6</v>
      </c>
      <c r="S326" s="89">
        <v>9500</v>
      </c>
      <c r="T326" s="89">
        <v>0</v>
      </c>
      <c r="U326" s="89">
        <v>20080</v>
      </c>
      <c r="V326" s="89">
        <v>20080</v>
      </c>
      <c r="W326" s="89">
        <v>36920</v>
      </c>
    </row>
    <row r="327" spans="1:23" ht="13">
      <c r="A327" t="s">
        <v>2147</v>
      </c>
      <c r="B327" t="s">
        <v>2148</v>
      </c>
      <c r="C327" s="88">
        <v>46155.677812499998</v>
      </c>
      <c r="D327" t="s">
        <v>105</v>
      </c>
      <c r="E327" t="s">
        <v>106</v>
      </c>
      <c r="F327" t="s">
        <v>2149</v>
      </c>
      <c r="G327" t="s">
        <v>2150</v>
      </c>
      <c r="H327" t="s">
        <v>2149</v>
      </c>
      <c r="I327" s="88">
        <v>46148.584108796298</v>
      </c>
      <c r="J327" t="s">
        <v>107</v>
      </c>
      <c r="K327" t="s">
        <v>108</v>
      </c>
      <c r="L327" t="s">
        <v>2151</v>
      </c>
      <c r="M327" s="88">
        <v>46149.552256944444</v>
      </c>
      <c r="N327" t="s">
        <v>637</v>
      </c>
      <c r="O327" t="s">
        <v>112</v>
      </c>
      <c r="P327" t="s">
        <v>111</v>
      </c>
      <c r="Q327" t="s">
        <v>1417</v>
      </c>
      <c r="R327">
        <v>6</v>
      </c>
      <c r="S327" s="89">
        <v>9500</v>
      </c>
      <c r="T327" s="89">
        <v>0</v>
      </c>
      <c r="U327" s="89">
        <v>20080</v>
      </c>
      <c r="V327" s="89">
        <v>20080</v>
      </c>
      <c r="W327" s="89">
        <v>36920</v>
      </c>
    </row>
    <row r="328" spans="1:23" ht="13">
      <c r="A328" t="s">
        <v>2152</v>
      </c>
      <c r="B328" t="s">
        <v>2153</v>
      </c>
      <c r="C328" s="88">
        <v>46155.642800925925</v>
      </c>
      <c r="D328" t="s">
        <v>105</v>
      </c>
      <c r="E328" t="s">
        <v>106</v>
      </c>
      <c r="F328" t="s">
        <v>2154</v>
      </c>
      <c r="G328" t="s">
        <v>2155</v>
      </c>
      <c r="H328" t="s">
        <v>2154</v>
      </c>
      <c r="I328" s="88">
        <v>46148.576863425929</v>
      </c>
      <c r="J328" t="s">
        <v>107</v>
      </c>
      <c r="K328" t="s">
        <v>108</v>
      </c>
      <c r="L328" t="s">
        <v>2156</v>
      </c>
      <c r="M328" s="88">
        <v>46149.681620370371</v>
      </c>
      <c r="N328" t="s">
        <v>637</v>
      </c>
      <c r="O328" t="s">
        <v>112</v>
      </c>
      <c r="P328" t="s">
        <v>111</v>
      </c>
      <c r="Q328" t="s">
        <v>1417</v>
      </c>
      <c r="R328">
        <v>12</v>
      </c>
      <c r="S328" s="89">
        <v>9500</v>
      </c>
      <c r="T328" s="89">
        <v>0</v>
      </c>
      <c r="U328" s="89">
        <v>40060</v>
      </c>
      <c r="V328" s="89">
        <v>40060</v>
      </c>
      <c r="W328" s="89">
        <v>73940</v>
      </c>
    </row>
    <row r="329" spans="1:23" ht="13">
      <c r="A329" t="s">
        <v>2157</v>
      </c>
      <c r="B329" t="s">
        <v>2158</v>
      </c>
      <c r="C329" s="88">
        <v>46154.995648148149</v>
      </c>
      <c r="D329" t="s">
        <v>105</v>
      </c>
      <c r="E329" t="s">
        <v>106</v>
      </c>
      <c r="F329" t="s">
        <v>122</v>
      </c>
      <c r="G329" t="s">
        <v>2159</v>
      </c>
      <c r="H329" t="s">
        <v>122</v>
      </c>
      <c r="I329" s="88">
        <v>46153.424120370371</v>
      </c>
      <c r="J329" t="s">
        <v>107</v>
      </c>
      <c r="K329" t="s">
        <v>108</v>
      </c>
      <c r="L329" t="s">
        <v>2160</v>
      </c>
      <c r="M329" s="88">
        <v>46154.962534722217</v>
      </c>
      <c r="N329" t="s">
        <v>637</v>
      </c>
      <c r="O329" t="s">
        <v>112</v>
      </c>
      <c r="P329" t="s">
        <v>111</v>
      </c>
      <c r="Q329" t="s">
        <v>929</v>
      </c>
      <c r="R329">
        <v>6</v>
      </c>
      <c r="S329" s="89">
        <v>9500</v>
      </c>
      <c r="T329" s="89">
        <v>0</v>
      </c>
      <c r="U329" s="89">
        <v>19980</v>
      </c>
      <c r="V329" s="89">
        <v>19980</v>
      </c>
      <c r="W329" s="89">
        <v>37020</v>
      </c>
    </row>
    <row r="330" spans="1:23" ht="13">
      <c r="A330" t="s">
        <v>2161</v>
      </c>
      <c r="B330" t="s">
        <v>2162</v>
      </c>
      <c r="C330" s="88">
        <v>46154.881967592592</v>
      </c>
      <c r="D330" t="s">
        <v>105</v>
      </c>
      <c r="E330" t="s">
        <v>106</v>
      </c>
      <c r="F330" t="s">
        <v>394</v>
      </c>
      <c r="G330" t="s">
        <v>2163</v>
      </c>
      <c r="H330" t="s">
        <v>394</v>
      </c>
      <c r="I330" s="88">
        <v>46148.584097222221</v>
      </c>
      <c r="J330" t="s">
        <v>107</v>
      </c>
      <c r="K330" t="s">
        <v>108</v>
      </c>
      <c r="L330" t="s">
        <v>2164</v>
      </c>
      <c r="M330" s="88">
        <v>46149.71674768519</v>
      </c>
      <c r="N330" t="s">
        <v>637</v>
      </c>
      <c r="O330" t="s">
        <v>112</v>
      </c>
      <c r="P330" t="s">
        <v>111</v>
      </c>
      <c r="Q330" t="s">
        <v>1417</v>
      </c>
      <c r="R330">
        <v>6</v>
      </c>
      <c r="S330" s="89">
        <v>9500</v>
      </c>
      <c r="T330" s="89">
        <v>0</v>
      </c>
      <c r="U330" s="89">
        <v>20080</v>
      </c>
      <c r="V330" s="89">
        <v>20080</v>
      </c>
      <c r="W330" s="89">
        <v>36920</v>
      </c>
    </row>
    <row r="331" spans="1:23" ht="13">
      <c r="A331" t="s">
        <v>2165</v>
      </c>
      <c r="B331" t="s">
        <v>2166</v>
      </c>
      <c r="C331" s="88">
        <v>46154.801875000005</v>
      </c>
      <c r="D331" t="s">
        <v>105</v>
      </c>
      <c r="E331" t="s">
        <v>106</v>
      </c>
      <c r="F331" t="s">
        <v>2167</v>
      </c>
      <c r="G331" t="s">
        <v>2168</v>
      </c>
      <c r="H331" t="s">
        <v>2167</v>
      </c>
      <c r="I331" s="88">
        <v>46141.639583333337</v>
      </c>
      <c r="J331" t="s">
        <v>107</v>
      </c>
      <c r="K331" t="s">
        <v>108</v>
      </c>
      <c r="L331" t="s">
        <v>2169</v>
      </c>
      <c r="M331" s="88">
        <v>46148.640277777777</v>
      </c>
      <c r="N331" t="s">
        <v>1992</v>
      </c>
      <c r="O331" t="s">
        <v>110</v>
      </c>
      <c r="P331" t="s">
        <v>111</v>
      </c>
      <c r="Q331" t="s">
        <v>2170</v>
      </c>
      <c r="R331">
        <v>1</v>
      </c>
      <c r="S331" s="89">
        <v>129000</v>
      </c>
      <c r="T331" s="89">
        <v>0</v>
      </c>
      <c r="U331" s="89">
        <v>29700</v>
      </c>
      <c r="V331" s="89">
        <v>29700</v>
      </c>
      <c r="W331" s="89">
        <v>99300</v>
      </c>
    </row>
    <row r="332" spans="1:23" ht="13">
      <c r="A332" t="s">
        <v>2171</v>
      </c>
      <c r="B332" t="s">
        <v>2172</v>
      </c>
      <c r="C332" s="88">
        <v>46154.57649305556</v>
      </c>
      <c r="D332" t="s">
        <v>105</v>
      </c>
      <c r="E332" t="s">
        <v>106</v>
      </c>
      <c r="F332" t="s">
        <v>2173</v>
      </c>
      <c r="G332" t="s">
        <v>2174</v>
      </c>
      <c r="H332" t="s">
        <v>2173</v>
      </c>
      <c r="I332" s="88">
        <v>46153.424120370371</v>
      </c>
      <c r="J332" t="s">
        <v>107</v>
      </c>
      <c r="K332" t="s">
        <v>108</v>
      </c>
      <c r="L332" t="s">
        <v>2175</v>
      </c>
      <c r="M332" s="88">
        <v>46154.602152777778</v>
      </c>
      <c r="N332" t="s">
        <v>637</v>
      </c>
      <c r="O332" t="s">
        <v>112</v>
      </c>
      <c r="P332" t="s">
        <v>111</v>
      </c>
      <c r="Q332" t="s">
        <v>929</v>
      </c>
      <c r="R332">
        <v>2</v>
      </c>
      <c r="S332" s="89">
        <v>9500</v>
      </c>
      <c r="T332" s="89">
        <v>0</v>
      </c>
      <c r="U332" s="89">
        <v>4180</v>
      </c>
      <c r="V332" s="89">
        <v>4180</v>
      </c>
      <c r="W332" s="89">
        <v>14820</v>
      </c>
    </row>
    <row r="333" spans="1:23" ht="13">
      <c r="A333" t="s">
        <v>2176</v>
      </c>
      <c r="B333" t="s">
        <v>2177</v>
      </c>
      <c r="C333" s="88">
        <v>46154.537685185191</v>
      </c>
      <c r="D333" t="s">
        <v>105</v>
      </c>
      <c r="E333" t="s">
        <v>106</v>
      </c>
      <c r="F333" t="s">
        <v>188</v>
      </c>
      <c r="G333" t="s">
        <v>189</v>
      </c>
      <c r="H333" t="s">
        <v>188</v>
      </c>
      <c r="I333" s="88">
        <v>46153.389421296291</v>
      </c>
      <c r="J333" t="s">
        <v>107</v>
      </c>
      <c r="K333" t="s">
        <v>108</v>
      </c>
      <c r="L333" t="s">
        <v>2178</v>
      </c>
      <c r="M333" s="88">
        <v>46154.538854166662</v>
      </c>
      <c r="N333" t="s">
        <v>788</v>
      </c>
      <c r="O333" t="s">
        <v>789</v>
      </c>
      <c r="P333" t="s">
        <v>111</v>
      </c>
      <c r="Q333" t="s">
        <v>790</v>
      </c>
      <c r="R333">
        <v>3</v>
      </c>
      <c r="S333" s="89">
        <v>27000</v>
      </c>
      <c r="T333" s="89">
        <v>0</v>
      </c>
      <c r="U333" s="89">
        <v>17820</v>
      </c>
      <c r="V333" s="89">
        <v>17820</v>
      </c>
      <c r="W333" s="89">
        <v>63180</v>
      </c>
    </row>
    <row r="334" spans="1:23" ht="13">
      <c r="A334" t="s">
        <v>2179</v>
      </c>
      <c r="B334" t="s">
        <v>2180</v>
      </c>
      <c r="C334" s="88">
        <v>46154.502037037033</v>
      </c>
      <c r="D334" t="s">
        <v>105</v>
      </c>
      <c r="E334" t="s">
        <v>106</v>
      </c>
      <c r="F334" t="s">
        <v>195</v>
      </c>
      <c r="G334" t="s">
        <v>2181</v>
      </c>
      <c r="H334" t="s">
        <v>195</v>
      </c>
      <c r="I334" s="88">
        <v>46148.584097222221</v>
      </c>
      <c r="J334" t="s">
        <v>107</v>
      </c>
      <c r="K334" t="s">
        <v>108</v>
      </c>
      <c r="L334" t="s">
        <v>2182</v>
      </c>
      <c r="M334" s="88">
        <v>46149.963541666672</v>
      </c>
      <c r="N334" t="s">
        <v>637</v>
      </c>
      <c r="O334" t="s">
        <v>112</v>
      </c>
      <c r="P334" t="s">
        <v>111</v>
      </c>
      <c r="Q334" t="s">
        <v>1417</v>
      </c>
      <c r="R334">
        <v>6</v>
      </c>
      <c r="S334" s="89">
        <v>9500</v>
      </c>
      <c r="T334" s="89">
        <v>0</v>
      </c>
      <c r="U334" s="89">
        <v>20080</v>
      </c>
      <c r="V334" s="89">
        <v>20080</v>
      </c>
      <c r="W334" s="89">
        <v>36920</v>
      </c>
    </row>
    <row r="335" spans="1:23" ht="13">
      <c r="A335" t="s">
        <v>2183</v>
      </c>
      <c r="B335" t="s">
        <v>2184</v>
      </c>
      <c r="C335" s="88">
        <v>46154.499652777777</v>
      </c>
      <c r="D335" t="s">
        <v>105</v>
      </c>
      <c r="E335" t="s">
        <v>106</v>
      </c>
      <c r="F335" t="s">
        <v>2185</v>
      </c>
      <c r="G335" t="s">
        <v>2186</v>
      </c>
      <c r="H335" t="s">
        <v>2187</v>
      </c>
      <c r="I335" s="88">
        <v>46148.584108796298</v>
      </c>
      <c r="J335" t="s">
        <v>107</v>
      </c>
      <c r="K335" t="s">
        <v>108</v>
      </c>
      <c r="L335" t="s">
        <v>2188</v>
      </c>
      <c r="M335" s="88">
        <v>46149.554074074069</v>
      </c>
      <c r="N335" t="s">
        <v>637</v>
      </c>
      <c r="O335" t="s">
        <v>112</v>
      </c>
      <c r="P335" t="s">
        <v>111</v>
      </c>
      <c r="Q335" t="s">
        <v>1417</v>
      </c>
      <c r="R335">
        <v>2</v>
      </c>
      <c r="S335" s="89">
        <v>9500</v>
      </c>
      <c r="T335" s="89">
        <v>0</v>
      </c>
      <c r="U335" s="89">
        <v>4280</v>
      </c>
      <c r="V335" s="89">
        <v>4280</v>
      </c>
      <c r="W335" s="89">
        <v>14720</v>
      </c>
    </row>
    <row r="336" spans="1:23" ht="13">
      <c r="A336" t="s">
        <v>2189</v>
      </c>
      <c r="B336" t="s">
        <v>2190</v>
      </c>
      <c r="C336" s="88">
        <v>46154.427789351852</v>
      </c>
      <c r="D336" t="s">
        <v>105</v>
      </c>
      <c r="E336" t="s">
        <v>106</v>
      </c>
      <c r="F336" t="s">
        <v>2191</v>
      </c>
      <c r="G336" t="s">
        <v>2192</v>
      </c>
      <c r="H336" t="s">
        <v>2191</v>
      </c>
      <c r="I336" s="88">
        <v>46150.584062499998</v>
      </c>
      <c r="J336" t="s">
        <v>107</v>
      </c>
      <c r="K336" t="s">
        <v>108</v>
      </c>
      <c r="L336" t="s">
        <v>2193</v>
      </c>
      <c r="M336" s="88">
        <v>46151.466689814813</v>
      </c>
      <c r="N336" t="s">
        <v>637</v>
      </c>
      <c r="O336" t="s">
        <v>112</v>
      </c>
      <c r="P336" t="s">
        <v>111</v>
      </c>
      <c r="Q336" t="s">
        <v>929</v>
      </c>
      <c r="R336">
        <v>2</v>
      </c>
      <c r="S336" s="89">
        <v>9500</v>
      </c>
      <c r="T336" s="89">
        <v>0</v>
      </c>
      <c r="U336" s="89">
        <v>4280</v>
      </c>
      <c r="V336" s="89">
        <v>4280</v>
      </c>
      <c r="W336" s="89">
        <v>14720</v>
      </c>
    </row>
    <row r="337" spans="1:23" ht="13">
      <c r="A337" t="s">
        <v>2194</v>
      </c>
      <c r="B337" t="s">
        <v>2195</v>
      </c>
      <c r="C337" s="88">
        <v>46154.392361111109</v>
      </c>
      <c r="D337" t="s">
        <v>105</v>
      </c>
      <c r="E337" t="s">
        <v>106</v>
      </c>
      <c r="F337" t="s">
        <v>2196</v>
      </c>
      <c r="G337" t="s">
        <v>2197</v>
      </c>
      <c r="H337" t="s">
        <v>2196</v>
      </c>
      <c r="I337" s="88">
        <v>46148.584097222221</v>
      </c>
      <c r="J337" t="s">
        <v>107</v>
      </c>
      <c r="K337" t="s">
        <v>108</v>
      </c>
      <c r="L337" t="s">
        <v>2198</v>
      </c>
      <c r="M337" s="88">
        <v>46149.679270833338</v>
      </c>
      <c r="N337" t="s">
        <v>637</v>
      </c>
      <c r="O337" t="s">
        <v>112</v>
      </c>
      <c r="P337" t="s">
        <v>111</v>
      </c>
      <c r="Q337" t="s">
        <v>1417</v>
      </c>
      <c r="R337">
        <v>2</v>
      </c>
      <c r="S337" s="89">
        <v>9500</v>
      </c>
      <c r="T337" s="89">
        <v>0</v>
      </c>
      <c r="U337" s="89">
        <v>4180</v>
      </c>
      <c r="V337" s="89">
        <v>4180</v>
      </c>
      <c r="W337" s="89">
        <v>14820</v>
      </c>
    </row>
    <row r="338" spans="1:23" ht="13">
      <c r="A338" t="s">
        <v>2199</v>
      </c>
      <c r="B338" t="s">
        <v>2200</v>
      </c>
      <c r="C338" s="88">
        <v>46154.306006944447</v>
      </c>
      <c r="D338" t="s">
        <v>105</v>
      </c>
      <c r="E338" t="s">
        <v>106</v>
      </c>
      <c r="F338" t="s">
        <v>2201</v>
      </c>
      <c r="G338" t="s">
        <v>2202</v>
      </c>
      <c r="H338" t="s">
        <v>2201</v>
      </c>
      <c r="I338" s="88">
        <v>46143.714699074073</v>
      </c>
      <c r="J338" t="s">
        <v>107</v>
      </c>
      <c r="K338" t="s">
        <v>108</v>
      </c>
      <c r="L338" t="s">
        <v>2203</v>
      </c>
      <c r="M338" s="88">
        <v>46148.932847222226</v>
      </c>
      <c r="N338" t="s">
        <v>637</v>
      </c>
      <c r="O338" t="s">
        <v>112</v>
      </c>
      <c r="P338" t="s">
        <v>111</v>
      </c>
      <c r="Q338" t="s">
        <v>2085</v>
      </c>
      <c r="R338">
        <v>6</v>
      </c>
      <c r="S338" s="89">
        <v>9500</v>
      </c>
      <c r="T338" s="89">
        <v>0</v>
      </c>
      <c r="U338" s="89">
        <v>20080</v>
      </c>
      <c r="V338" s="89">
        <v>20080</v>
      </c>
      <c r="W338" s="89">
        <v>36920</v>
      </c>
    </row>
    <row r="339" spans="1:23" ht="13">
      <c r="A339" t="s">
        <v>2204</v>
      </c>
      <c r="B339" t="s">
        <v>2205</v>
      </c>
      <c r="C339" s="88">
        <v>46154.071689814809</v>
      </c>
      <c r="D339" t="s">
        <v>105</v>
      </c>
      <c r="E339" t="s">
        <v>106</v>
      </c>
      <c r="F339" t="s">
        <v>2206</v>
      </c>
      <c r="G339" t="s">
        <v>2207</v>
      </c>
      <c r="H339" t="s">
        <v>2206</v>
      </c>
      <c r="I339" s="88">
        <v>46148.576863425929</v>
      </c>
      <c r="J339" t="s">
        <v>107</v>
      </c>
      <c r="K339" t="s">
        <v>108</v>
      </c>
      <c r="L339" t="s">
        <v>2208</v>
      </c>
      <c r="M339" s="88">
        <v>46149.770509259259</v>
      </c>
      <c r="N339" t="s">
        <v>637</v>
      </c>
      <c r="O339" t="s">
        <v>112</v>
      </c>
      <c r="P339" t="s">
        <v>111</v>
      </c>
      <c r="Q339" t="s">
        <v>1417</v>
      </c>
      <c r="R339">
        <v>10</v>
      </c>
      <c r="S339" s="89">
        <v>9500</v>
      </c>
      <c r="T339" s="89">
        <v>0</v>
      </c>
      <c r="U339" s="89">
        <v>33400</v>
      </c>
      <c r="V339" s="89">
        <v>33400</v>
      </c>
      <c r="W339" s="89">
        <v>61600</v>
      </c>
    </row>
    <row r="340" spans="1:23" ht="13">
      <c r="A340" t="s">
        <v>2209</v>
      </c>
      <c r="B340" t="s">
        <v>2210</v>
      </c>
      <c r="C340" s="88">
        <v>46154.03288194444</v>
      </c>
      <c r="D340" t="s">
        <v>105</v>
      </c>
      <c r="E340" t="s">
        <v>106</v>
      </c>
      <c r="F340" t="s">
        <v>2211</v>
      </c>
      <c r="G340" t="s">
        <v>2212</v>
      </c>
      <c r="H340" t="s">
        <v>2213</v>
      </c>
      <c r="I340" s="88">
        <v>46143.714768518519</v>
      </c>
      <c r="J340" t="s">
        <v>107</v>
      </c>
      <c r="K340" t="s">
        <v>108</v>
      </c>
      <c r="L340" t="s">
        <v>2214</v>
      </c>
      <c r="M340" s="88">
        <v>46146.443032407406</v>
      </c>
      <c r="N340" t="s">
        <v>637</v>
      </c>
      <c r="O340" t="s">
        <v>112</v>
      </c>
      <c r="P340" t="s">
        <v>111</v>
      </c>
      <c r="Q340" t="s">
        <v>2085</v>
      </c>
      <c r="R340">
        <v>1</v>
      </c>
      <c r="S340" s="89">
        <v>9500</v>
      </c>
      <c r="T340" s="89">
        <v>0</v>
      </c>
      <c r="U340" s="89">
        <v>2090</v>
      </c>
      <c r="V340" s="89">
        <v>2090</v>
      </c>
      <c r="W340" s="89">
        <v>7410</v>
      </c>
    </row>
    <row r="341" spans="1:23" ht="13">
      <c r="A341" t="s">
        <v>2215</v>
      </c>
      <c r="B341" t="s">
        <v>2216</v>
      </c>
      <c r="C341" s="88">
        <v>46154.03288194444</v>
      </c>
      <c r="D341" t="s">
        <v>105</v>
      </c>
      <c r="E341" t="s">
        <v>106</v>
      </c>
      <c r="F341" t="s">
        <v>275</v>
      </c>
      <c r="G341" t="s">
        <v>1513</v>
      </c>
      <c r="H341" t="s">
        <v>275</v>
      </c>
      <c r="I341" s="88">
        <v>46143.71475694445</v>
      </c>
      <c r="J341" t="s">
        <v>107</v>
      </c>
      <c r="K341" t="s">
        <v>108</v>
      </c>
      <c r="L341" t="s">
        <v>2217</v>
      </c>
      <c r="M341" s="88">
        <v>46146.443032407406</v>
      </c>
      <c r="N341" t="s">
        <v>637</v>
      </c>
      <c r="O341" t="s">
        <v>112</v>
      </c>
      <c r="P341" t="s">
        <v>111</v>
      </c>
      <c r="Q341" t="s">
        <v>1587</v>
      </c>
      <c r="R341">
        <v>6</v>
      </c>
      <c r="S341" s="89">
        <v>9500</v>
      </c>
      <c r="T341" s="89">
        <v>0</v>
      </c>
      <c r="U341" s="89">
        <v>20080</v>
      </c>
      <c r="V341" s="89">
        <v>20080</v>
      </c>
      <c r="W341" s="89">
        <v>36920</v>
      </c>
    </row>
    <row r="342" spans="1:23" ht="13">
      <c r="A342" t="s">
        <v>2218</v>
      </c>
      <c r="B342" t="s">
        <v>2219</v>
      </c>
      <c r="C342" s="88">
        <v>46154.03288194444</v>
      </c>
      <c r="D342" t="s">
        <v>105</v>
      </c>
      <c r="E342" t="s">
        <v>106</v>
      </c>
      <c r="F342" t="s">
        <v>2220</v>
      </c>
      <c r="G342" t="s">
        <v>2221</v>
      </c>
      <c r="H342" t="s">
        <v>2220</v>
      </c>
      <c r="I342" s="88">
        <v>46143.714699074073</v>
      </c>
      <c r="J342" t="s">
        <v>107</v>
      </c>
      <c r="K342" t="s">
        <v>108</v>
      </c>
      <c r="L342" t="s">
        <v>2222</v>
      </c>
      <c r="M342" s="88">
        <v>46146.555509259255</v>
      </c>
      <c r="N342" t="s">
        <v>637</v>
      </c>
      <c r="O342" t="s">
        <v>112</v>
      </c>
      <c r="P342" t="s">
        <v>111</v>
      </c>
      <c r="Q342" t="s">
        <v>2085</v>
      </c>
      <c r="R342">
        <v>3</v>
      </c>
      <c r="S342" s="89">
        <v>9500</v>
      </c>
      <c r="T342" s="89">
        <v>0</v>
      </c>
      <c r="U342" s="89">
        <v>6270</v>
      </c>
      <c r="V342" s="89">
        <v>6270</v>
      </c>
      <c r="W342" s="89">
        <v>22230</v>
      </c>
    </row>
    <row r="343" spans="1:23" ht="13">
      <c r="A343" t="s">
        <v>2223</v>
      </c>
      <c r="B343" t="s">
        <v>2224</v>
      </c>
      <c r="C343" s="88">
        <v>46154.032870370371</v>
      </c>
      <c r="D343" t="s">
        <v>105</v>
      </c>
      <c r="E343" t="s">
        <v>106</v>
      </c>
      <c r="F343" t="s">
        <v>2225</v>
      </c>
      <c r="G343" t="s">
        <v>2226</v>
      </c>
      <c r="H343" t="s">
        <v>2225</v>
      </c>
      <c r="I343" s="88">
        <v>46143.714687500003</v>
      </c>
      <c r="J343" t="s">
        <v>107</v>
      </c>
      <c r="K343" t="s">
        <v>108</v>
      </c>
      <c r="L343" t="s">
        <v>2227</v>
      </c>
      <c r="M343" s="88">
        <v>46146.507650462961</v>
      </c>
      <c r="N343" t="s">
        <v>637</v>
      </c>
      <c r="O343" t="s">
        <v>112</v>
      </c>
      <c r="P343" t="s">
        <v>111</v>
      </c>
      <c r="Q343" t="s">
        <v>2085</v>
      </c>
      <c r="R343">
        <v>2</v>
      </c>
      <c r="S343" s="89">
        <v>9500</v>
      </c>
      <c r="T343" s="89">
        <v>0</v>
      </c>
      <c r="U343" s="89">
        <v>4180</v>
      </c>
      <c r="V343" s="89">
        <v>4180</v>
      </c>
      <c r="W343" s="89">
        <v>14820</v>
      </c>
    </row>
    <row r="344" spans="1:23" ht="13">
      <c r="A344" t="s">
        <v>2228</v>
      </c>
      <c r="B344" t="s">
        <v>2229</v>
      </c>
      <c r="C344" s="88">
        <v>46154.032870370371</v>
      </c>
      <c r="D344" t="s">
        <v>105</v>
      </c>
      <c r="E344" t="s">
        <v>106</v>
      </c>
      <c r="F344" t="s">
        <v>2230</v>
      </c>
      <c r="G344" t="s">
        <v>2231</v>
      </c>
      <c r="H344" t="s">
        <v>2230</v>
      </c>
      <c r="I344" s="88">
        <v>46143.71475694445</v>
      </c>
      <c r="J344" t="s">
        <v>107</v>
      </c>
      <c r="K344" t="s">
        <v>108</v>
      </c>
      <c r="L344" t="s">
        <v>2232</v>
      </c>
      <c r="M344" s="88">
        <v>46146.507638888885</v>
      </c>
      <c r="N344" t="s">
        <v>637</v>
      </c>
      <c r="O344" t="s">
        <v>112</v>
      </c>
      <c r="P344" t="s">
        <v>111</v>
      </c>
      <c r="Q344" t="s">
        <v>1587</v>
      </c>
      <c r="R344">
        <v>15</v>
      </c>
      <c r="S344" s="89">
        <v>9500</v>
      </c>
      <c r="T344" s="89">
        <v>0</v>
      </c>
      <c r="U344" s="89">
        <v>50050</v>
      </c>
      <c r="V344" s="89">
        <v>50050</v>
      </c>
      <c r="W344" s="89">
        <v>92450</v>
      </c>
    </row>
    <row r="345" spans="1:23" ht="13">
      <c r="A345" t="s">
        <v>2233</v>
      </c>
      <c r="B345" t="s">
        <v>2234</v>
      </c>
      <c r="C345" s="88">
        <v>46154.032870370371</v>
      </c>
      <c r="D345" t="s">
        <v>105</v>
      </c>
      <c r="E345" t="s">
        <v>106</v>
      </c>
      <c r="F345" t="s">
        <v>297</v>
      </c>
      <c r="G345" t="s">
        <v>2235</v>
      </c>
      <c r="H345" t="s">
        <v>297</v>
      </c>
      <c r="I345" s="88">
        <v>46143.714733796296</v>
      </c>
      <c r="J345" t="s">
        <v>107</v>
      </c>
      <c r="K345" t="s">
        <v>108</v>
      </c>
      <c r="L345" t="s">
        <v>2236</v>
      </c>
      <c r="M345" s="88">
        <v>46146.41134259259</v>
      </c>
      <c r="N345" t="s">
        <v>637</v>
      </c>
      <c r="O345" t="s">
        <v>112</v>
      </c>
      <c r="P345" t="s">
        <v>111</v>
      </c>
      <c r="Q345" t="s">
        <v>1587</v>
      </c>
      <c r="R345">
        <v>2</v>
      </c>
      <c r="S345" s="89">
        <v>9500</v>
      </c>
      <c r="T345" s="89">
        <v>0</v>
      </c>
      <c r="U345" s="89">
        <v>4180</v>
      </c>
      <c r="V345" s="89">
        <v>4180</v>
      </c>
      <c r="W345" s="89">
        <v>14820</v>
      </c>
    </row>
    <row r="346" spans="1:23" ht="13">
      <c r="A346" t="s">
        <v>2237</v>
      </c>
      <c r="B346" t="s">
        <v>2238</v>
      </c>
      <c r="C346" s="88">
        <v>46154.032858796301</v>
      </c>
      <c r="D346" t="s">
        <v>105</v>
      </c>
      <c r="E346" t="s">
        <v>106</v>
      </c>
      <c r="F346" t="s">
        <v>2239</v>
      </c>
      <c r="G346" t="s">
        <v>2240</v>
      </c>
      <c r="H346" t="s">
        <v>2239</v>
      </c>
      <c r="I346" s="88">
        <v>46143.714722222227</v>
      </c>
      <c r="J346" t="s">
        <v>107</v>
      </c>
      <c r="K346" t="s">
        <v>108</v>
      </c>
      <c r="L346" t="s">
        <v>2241</v>
      </c>
      <c r="M346" s="88">
        <v>46146.442384259259</v>
      </c>
      <c r="N346" t="s">
        <v>637</v>
      </c>
      <c r="O346" t="s">
        <v>112</v>
      </c>
      <c r="P346" t="s">
        <v>111</v>
      </c>
      <c r="Q346" t="s">
        <v>1587</v>
      </c>
      <c r="R346">
        <v>2</v>
      </c>
      <c r="S346" s="89">
        <v>9500</v>
      </c>
      <c r="T346" s="89">
        <v>0</v>
      </c>
      <c r="U346" s="89">
        <v>4280</v>
      </c>
      <c r="V346" s="89">
        <v>4280</v>
      </c>
      <c r="W346" s="89">
        <v>14720</v>
      </c>
    </row>
    <row r="347" spans="1:23" ht="13">
      <c r="A347" t="s">
        <v>2242</v>
      </c>
      <c r="B347" t="s">
        <v>2243</v>
      </c>
      <c r="C347" s="88">
        <v>46154.032858796301</v>
      </c>
      <c r="D347" t="s">
        <v>105</v>
      </c>
      <c r="E347" t="s">
        <v>106</v>
      </c>
      <c r="F347" t="s">
        <v>2244</v>
      </c>
      <c r="G347" t="s">
        <v>2245</v>
      </c>
      <c r="H347" t="s">
        <v>2246</v>
      </c>
      <c r="I347" s="88">
        <v>46143.714722222227</v>
      </c>
      <c r="J347" t="s">
        <v>107</v>
      </c>
      <c r="K347" t="s">
        <v>108</v>
      </c>
      <c r="L347" t="s">
        <v>2247</v>
      </c>
      <c r="M347" s="88">
        <v>46146.509016203709</v>
      </c>
      <c r="N347" t="s">
        <v>637</v>
      </c>
      <c r="O347" t="s">
        <v>112</v>
      </c>
      <c r="P347" t="s">
        <v>111</v>
      </c>
      <c r="Q347" t="s">
        <v>1587</v>
      </c>
      <c r="R347">
        <v>3</v>
      </c>
      <c r="S347" s="89">
        <v>9500</v>
      </c>
      <c r="T347" s="89">
        <v>0</v>
      </c>
      <c r="U347" s="89">
        <v>6270</v>
      </c>
      <c r="V347" s="89">
        <v>6270</v>
      </c>
      <c r="W347" s="89">
        <v>22230</v>
      </c>
    </row>
    <row r="348" spans="1:23" ht="13">
      <c r="A348" t="s">
        <v>2248</v>
      </c>
      <c r="B348" t="s">
        <v>2249</v>
      </c>
      <c r="C348" s="88">
        <v>46154.032858796301</v>
      </c>
      <c r="D348" t="s">
        <v>105</v>
      </c>
      <c r="E348" t="s">
        <v>106</v>
      </c>
      <c r="F348" t="s">
        <v>2250</v>
      </c>
      <c r="G348" t="s">
        <v>2251</v>
      </c>
      <c r="H348" t="s">
        <v>2250</v>
      </c>
      <c r="I348" s="88">
        <v>46143.71471064815</v>
      </c>
      <c r="J348" t="s">
        <v>107</v>
      </c>
      <c r="K348" t="s">
        <v>108</v>
      </c>
      <c r="L348" t="s">
        <v>2252</v>
      </c>
      <c r="M348" s="88">
        <v>46146.507650462961</v>
      </c>
      <c r="N348" t="s">
        <v>637</v>
      </c>
      <c r="O348" t="s">
        <v>112</v>
      </c>
      <c r="P348" t="s">
        <v>111</v>
      </c>
      <c r="Q348" t="s">
        <v>1587</v>
      </c>
      <c r="R348">
        <v>5</v>
      </c>
      <c r="S348" s="89">
        <v>9500</v>
      </c>
      <c r="T348" s="89">
        <v>0</v>
      </c>
      <c r="U348" s="89">
        <v>10550</v>
      </c>
      <c r="V348" s="89">
        <v>10550</v>
      </c>
      <c r="W348" s="89">
        <v>36950</v>
      </c>
    </row>
    <row r="349" spans="1:23" ht="13">
      <c r="A349" t="s">
        <v>2253</v>
      </c>
      <c r="B349" t="s">
        <v>2254</v>
      </c>
      <c r="C349" s="88">
        <v>46154.032858796301</v>
      </c>
      <c r="D349" t="s">
        <v>105</v>
      </c>
      <c r="E349" t="s">
        <v>106</v>
      </c>
      <c r="F349" t="s">
        <v>2255</v>
      </c>
      <c r="G349" t="s">
        <v>2256</v>
      </c>
      <c r="H349" t="s">
        <v>2255</v>
      </c>
      <c r="I349" s="88">
        <v>46143.714699074073</v>
      </c>
      <c r="J349" t="s">
        <v>107</v>
      </c>
      <c r="K349" t="s">
        <v>108</v>
      </c>
      <c r="L349" t="s">
        <v>2257</v>
      </c>
      <c r="M349" s="88">
        <v>46146.443113425921</v>
      </c>
      <c r="N349" t="s">
        <v>637</v>
      </c>
      <c r="O349" t="s">
        <v>112</v>
      </c>
      <c r="P349" t="s">
        <v>111</v>
      </c>
      <c r="Q349" t="s">
        <v>1587</v>
      </c>
      <c r="R349">
        <v>6</v>
      </c>
      <c r="S349" s="89">
        <v>9500</v>
      </c>
      <c r="T349" s="89">
        <v>0</v>
      </c>
      <c r="U349" s="89">
        <v>19980</v>
      </c>
      <c r="V349" s="89">
        <v>19980</v>
      </c>
      <c r="W349" s="89">
        <v>37020</v>
      </c>
    </row>
    <row r="350" spans="1:23" ht="13">
      <c r="A350" t="s">
        <v>2258</v>
      </c>
      <c r="B350" t="s">
        <v>2259</v>
      </c>
      <c r="C350" s="88">
        <v>46154.032858796301</v>
      </c>
      <c r="D350" t="s">
        <v>105</v>
      </c>
      <c r="E350" t="s">
        <v>106</v>
      </c>
      <c r="F350" t="s">
        <v>2260</v>
      </c>
      <c r="G350" t="s">
        <v>2261</v>
      </c>
      <c r="H350" t="s">
        <v>2260</v>
      </c>
      <c r="I350" s="88">
        <v>46143.714699074073</v>
      </c>
      <c r="J350" t="s">
        <v>107</v>
      </c>
      <c r="K350" t="s">
        <v>108</v>
      </c>
      <c r="L350" t="s">
        <v>2262</v>
      </c>
      <c r="M350" s="88">
        <v>46146.460648148146</v>
      </c>
      <c r="N350" t="s">
        <v>637</v>
      </c>
      <c r="O350" t="s">
        <v>112</v>
      </c>
      <c r="P350" t="s">
        <v>111</v>
      </c>
      <c r="Q350" t="s">
        <v>1587</v>
      </c>
      <c r="R350">
        <v>2</v>
      </c>
      <c r="S350" s="89">
        <v>9500</v>
      </c>
      <c r="T350" s="89">
        <v>0</v>
      </c>
      <c r="U350" s="89">
        <v>4280</v>
      </c>
      <c r="V350" s="89">
        <v>4280</v>
      </c>
      <c r="W350" s="89">
        <v>14720</v>
      </c>
    </row>
    <row r="351" spans="1:23" ht="13">
      <c r="A351" t="s">
        <v>2263</v>
      </c>
      <c r="B351" t="s">
        <v>2264</v>
      </c>
      <c r="C351" s="88">
        <v>46154.032847222217</v>
      </c>
      <c r="D351" t="s">
        <v>105</v>
      </c>
      <c r="E351" t="s">
        <v>106</v>
      </c>
      <c r="F351" t="s">
        <v>2265</v>
      </c>
      <c r="G351" t="s">
        <v>2266</v>
      </c>
      <c r="H351" t="s">
        <v>2265</v>
      </c>
      <c r="I351" s="88">
        <v>46143.714699074073</v>
      </c>
      <c r="J351" t="s">
        <v>107</v>
      </c>
      <c r="K351" t="s">
        <v>108</v>
      </c>
      <c r="L351" t="s">
        <v>2267</v>
      </c>
      <c r="M351" s="88">
        <v>46146.507662037038</v>
      </c>
      <c r="N351" t="s">
        <v>637</v>
      </c>
      <c r="O351" t="s">
        <v>112</v>
      </c>
      <c r="P351" t="s">
        <v>111</v>
      </c>
      <c r="Q351" t="s">
        <v>2085</v>
      </c>
      <c r="R351">
        <v>14</v>
      </c>
      <c r="S351" s="89">
        <v>9500</v>
      </c>
      <c r="T351" s="89">
        <v>0</v>
      </c>
      <c r="U351" s="89">
        <v>46720</v>
      </c>
      <c r="V351" s="89">
        <v>46720</v>
      </c>
      <c r="W351" s="89">
        <v>86280</v>
      </c>
    </row>
    <row r="352" spans="1:23" ht="13">
      <c r="A352" t="s">
        <v>2268</v>
      </c>
      <c r="B352" t="s">
        <v>2269</v>
      </c>
      <c r="C352" s="88">
        <v>46154.032847222217</v>
      </c>
      <c r="D352" t="s">
        <v>105</v>
      </c>
      <c r="E352" t="s">
        <v>106</v>
      </c>
      <c r="F352" t="s">
        <v>2270</v>
      </c>
      <c r="G352" t="s">
        <v>2271</v>
      </c>
      <c r="H352" t="s">
        <v>2272</v>
      </c>
      <c r="I352" s="88">
        <v>46143.714687500003</v>
      </c>
      <c r="J352" t="s">
        <v>107</v>
      </c>
      <c r="K352" t="s">
        <v>108</v>
      </c>
      <c r="L352" t="s">
        <v>2273</v>
      </c>
      <c r="M352" s="88">
        <v>46146.650462962964</v>
      </c>
      <c r="N352" t="s">
        <v>637</v>
      </c>
      <c r="O352" t="s">
        <v>112</v>
      </c>
      <c r="P352" t="s">
        <v>111</v>
      </c>
      <c r="Q352" t="s">
        <v>2085</v>
      </c>
      <c r="R352">
        <v>2</v>
      </c>
      <c r="S352" s="89">
        <v>9500</v>
      </c>
      <c r="T352" s="89">
        <v>0</v>
      </c>
      <c r="U352" s="89">
        <v>4180</v>
      </c>
      <c r="V352" s="89">
        <v>4180</v>
      </c>
      <c r="W352" s="89">
        <v>14820</v>
      </c>
    </row>
    <row r="353" spans="1:23" ht="13">
      <c r="A353" t="s">
        <v>2274</v>
      </c>
      <c r="B353" t="s">
        <v>2275</v>
      </c>
      <c r="C353" s="88">
        <v>46154.032835648148</v>
      </c>
      <c r="D353" t="s">
        <v>105</v>
      </c>
      <c r="E353" t="s">
        <v>106</v>
      </c>
      <c r="F353" t="s">
        <v>2276</v>
      </c>
      <c r="G353" t="s">
        <v>2277</v>
      </c>
      <c r="H353" t="s">
        <v>2278</v>
      </c>
      <c r="I353" s="88">
        <v>46143.714768518519</v>
      </c>
      <c r="J353" t="s">
        <v>107</v>
      </c>
      <c r="K353" t="s">
        <v>108</v>
      </c>
      <c r="L353" t="s">
        <v>2279</v>
      </c>
      <c r="M353" s="88">
        <v>46146.603854166664</v>
      </c>
      <c r="N353" t="s">
        <v>637</v>
      </c>
      <c r="O353" t="s">
        <v>112</v>
      </c>
      <c r="P353" t="s">
        <v>111</v>
      </c>
      <c r="Q353" t="s">
        <v>1587</v>
      </c>
      <c r="R353">
        <v>1</v>
      </c>
      <c r="S353" s="89">
        <v>9500</v>
      </c>
      <c r="T353" s="89">
        <v>0</v>
      </c>
      <c r="U353" s="89">
        <v>2090</v>
      </c>
      <c r="V353" s="89">
        <v>2090</v>
      </c>
      <c r="W353" s="89">
        <v>7410</v>
      </c>
    </row>
    <row r="354" spans="1:23" ht="13">
      <c r="A354" t="s">
        <v>2280</v>
      </c>
      <c r="B354" t="s">
        <v>2281</v>
      </c>
      <c r="C354" s="88">
        <v>46154.032835648148</v>
      </c>
      <c r="D354" t="s">
        <v>105</v>
      </c>
      <c r="E354" t="s">
        <v>106</v>
      </c>
      <c r="F354" t="s">
        <v>2282</v>
      </c>
      <c r="G354" t="s">
        <v>2283</v>
      </c>
      <c r="H354" t="s">
        <v>2284</v>
      </c>
      <c r="I354" s="88">
        <v>46143.714733796296</v>
      </c>
      <c r="J354" t="s">
        <v>107</v>
      </c>
      <c r="K354" t="s">
        <v>108</v>
      </c>
      <c r="L354" t="s">
        <v>2285</v>
      </c>
      <c r="M354" s="88">
        <v>46146.631249999999</v>
      </c>
      <c r="N354" t="s">
        <v>637</v>
      </c>
      <c r="O354" t="s">
        <v>112</v>
      </c>
      <c r="P354" t="s">
        <v>111</v>
      </c>
      <c r="Q354" t="s">
        <v>1587</v>
      </c>
      <c r="R354">
        <v>2</v>
      </c>
      <c r="S354" s="89">
        <v>9500</v>
      </c>
      <c r="T354" s="89">
        <v>0</v>
      </c>
      <c r="U354" s="89">
        <v>4180</v>
      </c>
      <c r="V354" s="89">
        <v>4180</v>
      </c>
      <c r="W354" s="89">
        <v>14820</v>
      </c>
    </row>
    <row r="355" spans="1:23" ht="13">
      <c r="A355" t="s">
        <v>2286</v>
      </c>
      <c r="B355" t="s">
        <v>2287</v>
      </c>
      <c r="C355" s="88">
        <v>46154.032835648148</v>
      </c>
      <c r="D355" t="s">
        <v>105</v>
      </c>
      <c r="E355" t="s">
        <v>106</v>
      </c>
      <c r="F355" t="s">
        <v>2288</v>
      </c>
      <c r="G355" t="s">
        <v>2289</v>
      </c>
      <c r="H355" t="s">
        <v>2290</v>
      </c>
      <c r="I355" s="88">
        <v>46143.714733796296</v>
      </c>
      <c r="J355" t="s">
        <v>107</v>
      </c>
      <c r="K355" t="s">
        <v>108</v>
      </c>
      <c r="L355" t="s">
        <v>2291</v>
      </c>
      <c r="M355" s="88">
        <v>46146.443101851852</v>
      </c>
      <c r="N355" t="s">
        <v>637</v>
      </c>
      <c r="O355" t="s">
        <v>112</v>
      </c>
      <c r="P355" t="s">
        <v>111</v>
      </c>
      <c r="Q355" t="s">
        <v>1587</v>
      </c>
      <c r="R355">
        <v>7</v>
      </c>
      <c r="S355" s="89">
        <v>9500</v>
      </c>
      <c r="T355" s="89">
        <v>0</v>
      </c>
      <c r="U355" s="89">
        <v>23410</v>
      </c>
      <c r="V355" s="89">
        <v>23410</v>
      </c>
      <c r="W355" s="89">
        <v>43090</v>
      </c>
    </row>
    <row r="356" spans="1:23" ht="13">
      <c r="A356" t="s">
        <v>2292</v>
      </c>
      <c r="B356" t="s">
        <v>2293</v>
      </c>
      <c r="C356" s="88">
        <v>46154.032835648148</v>
      </c>
      <c r="D356" t="s">
        <v>105</v>
      </c>
      <c r="E356" t="s">
        <v>106</v>
      </c>
      <c r="F356" t="s">
        <v>280</v>
      </c>
      <c r="G356" t="s">
        <v>2294</v>
      </c>
      <c r="H356" t="s">
        <v>280</v>
      </c>
      <c r="I356" s="88">
        <v>46143.714722222227</v>
      </c>
      <c r="J356" t="s">
        <v>107</v>
      </c>
      <c r="K356" t="s">
        <v>108</v>
      </c>
      <c r="L356" t="s">
        <v>2295</v>
      </c>
      <c r="M356" s="88">
        <v>46146.507650462961</v>
      </c>
      <c r="N356" t="s">
        <v>637</v>
      </c>
      <c r="O356" t="s">
        <v>112</v>
      </c>
      <c r="P356" t="s">
        <v>111</v>
      </c>
      <c r="Q356" t="s">
        <v>1587</v>
      </c>
      <c r="R356">
        <v>6</v>
      </c>
      <c r="S356" s="89">
        <v>9500</v>
      </c>
      <c r="T356" s="89">
        <v>0</v>
      </c>
      <c r="U356" s="89">
        <v>19980</v>
      </c>
      <c r="V356" s="89">
        <v>19980</v>
      </c>
      <c r="W356" s="89">
        <v>37020</v>
      </c>
    </row>
    <row r="357" spans="1:23" ht="13">
      <c r="A357" t="s">
        <v>2296</v>
      </c>
      <c r="B357" t="s">
        <v>2297</v>
      </c>
      <c r="C357" s="88">
        <v>46154.032835648148</v>
      </c>
      <c r="D357" t="s">
        <v>105</v>
      </c>
      <c r="E357" t="s">
        <v>106</v>
      </c>
      <c r="F357" t="s">
        <v>2298</v>
      </c>
      <c r="G357" t="s">
        <v>1073</v>
      </c>
      <c r="H357" t="s">
        <v>2298</v>
      </c>
      <c r="I357" s="88">
        <v>46143.71471064815</v>
      </c>
      <c r="J357" t="s">
        <v>107</v>
      </c>
      <c r="K357" t="s">
        <v>108</v>
      </c>
      <c r="L357" t="s">
        <v>2299</v>
      </c>
      <c r="M357" s="88">
        <v>46146.631249999999</v>
      </c>
      <c r="N357" t="s">
        <v>637</v>
      </c>
      <c r="O357" t="s">
        <v>112</v>
      </c>
      <c r="P357" t="s">
        <v>111</v>
      </c>
      <c r="Q357" t="s">
        <v>1587</v>
      </c>
      <c r="R357">
        <v>10</v>
      </c>
      <c r="S357" s="89">
        <v>9500</v>
      </c>
      <c r="T357" s="89">
        <v>0</v>
      </c>
      <c r="U357" s="89">
        <v>33400</v>
      </c>
      <c r="V357" s="89">
        <v>33400</v>
      </c>
      <c r="W357" s="89">
        <v>61600</v>
      </c>
    </row>
    <row r="358" spans="1:23" ht="13">
      <c r="A358" t="s">
        <v>2300</v>
      </c>
      <c r="B358" t="s">
        <v>2301</v>
      </c>
      <c r="C358" s="88">
        <v>46154.032835648148</v>
      </c>
      <c r="D358" t="s">
        <v>105</v>
      </c>
      <c r="E358" t="s">
        <v>106</v>
      </c>
      <c r="F358" t="s">
        <v>2302</v>
      </c>
      <c r="G358" t="s">
        <v>2303</v>
      </c>
      <c r="H358" t="s">
        <v>2302</v>
      </c>
      <c r="I358" s="88">
        <v>46143.714699074073</v>
      </c>
      <c r="J358" t="s">
        <v>107</v>
      </c>
      <c r="K358" t="s">
        <v>108</v>
      </c>
      <c r="L358" t="s">
        <v>2304</v>
      </c>
      <c r="M358" s="88">
        <v>46146.460636574076</v>
      </c>
      <c r="N358" t="s">
        <v>637</v>
      </c>
      <c r="O358" t="s">
        <v>112</v>
      </c>
      <c r="P358" t="s">
        <v>111</v>
      </c>
      <c r="Q358" t="s">
        <v>1587</v>
      </c>
      <c r="R358">
        <v>3</v>
      </c>
      <c r="S358" s="89">
        <v>9500</v>
      </c>
      <c r="T358" s="89">
        <v>0</v>
      </c>
      <c r="U358" s="89">
        <v>6370</v>
      </c>
      <c r="V358" s="89">
        <v>6370</v>
      </c>
      <c r="W358" s="89">
        <v>22130</v>
      </c>
    </row>
    <row r="359" spans="1:23" ht="13">
      <c r="A359" t="s">
        <v>2305</v>
      </c>
      <c r="B359" t="s">
        <v>2306</v>
      </c>
      <c r="C359" s="88">
        <v>46154.032835648148</v>
      </c>
      <c r="D359" t="s">
        <v>105</v>
      </c>
      <c r="E359" t="s">
        <v>106</v>
      </c>
      <c r="F359" t="s">
        <v>2307</v>
      </c>
      <c r="G359" t="s">
        <v>2308</v>
      </c>
      <c r="H359" t="s">
        <v>2307</v>
      </c>
      <c r="I359" s="88">
        <v>46143.714699074073</v>
      </c>
      <c r="J359" t="s">
        <v>107</v>
      </c>
      <c r="K359" t="s">
        <v>108</v>
      </c>
      <c r="L359" t="s">
        <v>2309</v>
      </c>
      <c r="M359" s="88">
        <v>46146.443067129629</v>
      </c>
      <c r="N359" t="s">
        <v>637</v>
      </c>
      <c r="O359" t="s">
        <v>112</v>
      </c>
      <c r="P359" t="s">
        <v>111</v>
      </c>
      <c r="Q359" t="s">
        <v>2085</v>
      </c>
      <c r="R359">
        <v>2</v>
      </c>
      <c r="S359" s="89">
        <v>9500</v>
      </c>
      <c r="T359" s="89">
        <v>0</v>
      </c>
      <c r="U359" s="89">
        <v>4280</v>
      </c>
      <c r="V359" s="89">
        <v>4280</v>
      </c>
      <c r="W359" s="89">
        <v>14720</v>
      </c>
    </row>
    <row r="360" spans="1:23" ht="13">
      <c r="A360" t="s">
        <v>2310</v>
      </c>
      <c r="B360" t="s">
        <v>2311</v>
      </c>
      <c r="C360" s="88">
        <v>46154.032824074078</v>
      </c>
      <c r="D360" t="s">
        <v>105</v>
      </c>
      <c r="E360" t="s">
        <v>106</v>
      </c>
      <c r="F360" t="s">
        <v>2312</v>
      </c>
      <c r="G360" t="s">
        <v>2313</v>
      </c>
      <c r="H360" t="s">
        <v>2312</v>
      </c>
      <c r="I360" s="88">
        <v>46143.714687500003</v>
      </c>
      <c r="J360" t="s">
        <v>107</v>
      </c>
      <c r="K360" t="s">
        <v>108</v>
      </c>
      <c r="L360" t="s">
        <v>2314</v>
      </c>
      <c r="M360" s="88">
        <v>46146.507650462961</v>
      </c>
      <c r="N360" t="s">
        <v>637</v>
      </c>
      <c r="O360" t="s">
        <v>112</v>
      </c>
      <c r="P360" t="s">
        <v>111</v>
      </c>
      <c r="Q360" t="s">
        <v>1587</v>
      </c>
      <c r="R360">
        <v>10</v>
      </c>
      <c r="S360" s="89">
        <v>9500</v>
      </c>
      <c r="T360" s="89">
        <v>0</v>
      </c>
      <c r="U360" s="89">
        <v>33400</v>
      </c>
      <c r="V360" s="89">
        <v>33400</v>
      </c>
      <c r="W360" s="89">
        <v>61600</v>
      </c>
    </row>
    <row r="361" spans="1:23" ht="13">
      <c r="A361" t="s">
        <v>2315</v>
      </c>
      <c r="B361" t="s">
        <v>2316</v>
      </c>
      <c r="C361" s="88">
        <v>46154.032789351855</v>
      </c>
      <c r="D361" t="s">
        <v>105</v>
      </c>
      <c r="E361" t="s">
        <v>106</v>
      </c>
      <c r="F361" t="s">
        <v>2317</v>
      </c>
      <c r="G361" t="s">
        <v>2318</v>
      </c>
      <c r="H361" t="s">
        <v>2319</v>
      </c>
      <c r="I361" s="88">
        <v>46143.714768518519</v>
      </c>
      <c r="J361" t="s">
        <v>107</v>
      </c>
      <c r="K361" t="s">
        <v>108</v>
      </c>
      <c r="L361" t="s">
        <v>2320</v>
      </c>
      <c r="M361" s="88">
        <v>46146.506990740745</v>
      </c>
      <c r="N361" t="s">
        <v>637</v>
      </c>
      <c r="O361" t="s">
        <v>112</v>
      </c>
      <c r="P361" t="s">
        <v>111</v>
      </c>
      <c r="Q361" t="s">
        <v>1587</v>
      </c>
      <c r="R361">
        <v>1</v>
      </c>
      <c r="S361" s="89">
        <v>9500</v>
      </c>
      <c r="T361" s="89">
        <v>0</v>
      </c>
      <c r="U361" s="89">
        <v>2190</v>
      </c>
      <c r="V361" s="89">
        <v>2190</v>
      </c>
      <c r="W361" s="89">
        <v>7310</v>
      </c>
    </row>
    <row r="362" spans="1:23" ht="13">
      <c r="A362" t="s">
        <v>2321</v>
      </c>
      <c r="B362" t="s">
        <v>2322</v>
      </c>
      <c r="C362" s="88">
        <v>46154.032789351855</v>
      </c>
      <c r="D362" t="s">
        <v>105</v>
      </c>
      <c r="E362" t="s">
        <v>106</v>
      </c>
      <c r="F362" t="s">
        <v>2323</v>
      </c>
      <c r="G362" t="s">
        <v>2324</v>
      </c>
      <c r="H362" t="s">
        <v>2323</v>
      </c>
      <c r="I362" s="88">
        <v>46143.714768518519</v>
      </c>
      <c r="J362" t="s">
        <v>107</v>
      </c>
      <c r="K362" t="s">
        <v>108</v>
      </c>
      <c r="L362" t="s">
        <v>2325</v>
      </c>
      <c r="M362" s="88">
        <v>46146.443125000005</v>
      </c>
      <c r="N362" t="s">
        <v>637</v>
      </c>
      <c r="O362" t="s">
        <v>112</v>
      </c>
      <c r="P362" t="s">
        <v>111</v>
      </c>
      <c r="Q362" t="s">
        <v>1587</v>
      </c>
      <c r="R362">
        <v>1</v>
      </c>
      <c r="S362" s="89">
        <v>9500</v>
      </c>
      <c r="T362" s="89">
        <v>0</v>
      </c>
      <c r="U362" s="89">
        <v>2190</v>
      </c>
      <c r="V362" s="89">
        <v>2190</v>
      </c>
      <c r="W362" s="89">
        <v>7310</v>
      </c>
    </row>
    <row r="363" spans="1:23" ht="13">
      <c r="A363" t="s">
        <v>2326</v>
      </c>
      <c r="B363" t="s">
        <v>2327</v>
      </c>
      <c r="C363" s="88">
        <v>46154.032789351855</v>
      </c>
      <c r="D363" t="s">
        <v>105</v>
      </c>
      <c r="E363" t="s">
        <v>106</v>
      </c>
      <c r="F363" t="s">
        <v>2328</v>
      </c>
      <c r="G363" t="s">
        <v>2329</v>
      </c>
      <c r="H363" t="s">
        <v>2330</v>
      </c>
      <c r="I363" s="88">
        <v>46143.71475694445</v>
      </c>
      <c r="J363" t="s">
        <v>107</v>
      </c>
      <c r="K363" t="s">
        <v>108</v>
      </c>
      <c r="L363" t="s">
        <v>2331</v>
      </c>
      <c r="M363" s="88">
        <v>46146.711782407408</v>
      </c>
      <c r="N363" t="s">
        <v>637</v>
      </c>
      <c r="O363" t="s">
        <v>112</v>
      </c>
      <c r="P363" t="s">
        <v>111</v>
      </c>
      <c r="Q363" t="s">
        <v>1587</v>
      </c>
      <c r="R363">
        <v>2</v>
      </c>
      <c r="S363" s="89">
        <v>9500</v>
      </c>
      <c r="T363" s="89">
        <v>0</v>
      </c>
      <c r="U363" s="89">
        <v>4180</v>
      </c>
      <c r="V363" s="89">
        <v>4180</v>
      </c>
      <c r="W363" s="89">
        <v>14820</v>
      </c>
    </row>
    <row r="364" spans="1:23" ht="13">
      <c r="A364" t="s">
        <v>2332</v>
      </c>
      <c r="B364" t="s">
        <v>2333</v>
      </c>
      <c r="C364" s="88">
        <v>46154.032789351855</v>
      </c>
      <c r="D364" t="s">
        <v>105</v>
      </c>
      <c r="E364" t="s">
        <v>106</v>
      </c>
      <c r="F364" t="s">
        <v>2334</v>
      </c>
      <c r="G364" t="s">
        <v>2335</v>
      </c>
      <c r="H364" t="s">
        <v>2334</v>
      </c>
      <c r="I364" s="88">
        <v>46143.714733796296</v>
      </c>
      <c r="J364" t="s">
        <v>107</v>
      </c>
      <c r="K364" t="s">
        <v>108</v>
      </c>
      <c r="L364" t="s">
        <v>2336</v>
      </c>
      <c r="M364" s="88">
        <v>46146.41134259259</v>
      </c>
      <c r="N364" t="s">
        <v>637</v>
      </c>
      <c r="O364" t="s">
        <v>112</v>
      </c>
      <c r="P364" t="s">
        <v>111</v>
      </c>
      <c r="Q364" t="s">
        <v>1587</v>
      </c>
      <c r="R364">
        <v>4</v>
      </c>
      <c r="S364" s="89">
        <v>9500</v>
      </c>
      <c r="T364" s="89">
        <v>0</v>
      </c>
      <c r="U364" s="89">
        <v>11430</v>
      </c>
      <c r="V364" s="89">
        <v>8460</v>
      </c>
      <c r="W364" s="89">
        <v>26570</v>
      </c>
    </row>
    <row r="365" spans="1:23" ht="13">
      <c r="A365" t="s">
        <v>2337</v>
      </c>
      <c r="B365" t="s">
        <v>2338</v>
      </c>
      <c r="C365" s="88">
        <v>46154.032789351855</v>
      </c>
      <c r="D365" t="s">
        <v>105</v>
      </c>
      <c r="E365" t="s">
        <v>106</v>
      </c>
      <c r="F365" t="s">
        <v>2339</v>
      </c>
      <c r="G365" t="s">
        <v>2340</v>
      </c>
      <c r="H365" t="s">
        <v>2341</v>
      </c>
      <c r="I365" s="88">
        <v>46143.714733796296</v>
      </c>
      <c r="J365" t="s">
        <v>107</v>
      </c>
      <c r="K365" t="s">
        <v>108</v>
      </c>
      <c r="L365" t="s">
        <v>2342</v>
      </c>
      <c r="M365" s="88">
        <v>46146.443032407406</v>
      </c>
      <c r="N365" t="s">
        <v>637</v>
      </c>
      <c r="O365" t="s">
        <v>112</v>
      </c>
      <c r="P365" t="s">
        <v>111</v>
      </c>
      <c r="Q365" t="s">
        <v>1417</v>
      </c>
      <c r="R365">
        <v>2</v>
      </c>
      <c r="S365" s="89">
        <v>9500</v>
      </c>
      <c r="T365" s="89">
        <v>0</v>
      </c>
      <c r="U365" s="89">
        <v>4280</v>
      </c>
      <c r="V365" s="89">
        <v>4280</v>
      </c>
      <c r="W365" s="89">
        <v>14720</v>
      </c>
    </row>
    <row r="366" spans="1:23" ht="13">
      <c r="A366" t="s">
        <v>2343</v>
      </c>
      <c r="B366" t="s">
        <v>2344</v>
      </c>
      <c r="C366" s="88">
        <v>46154.032777777778</v>
      </c>
      <c r="D366" t="s">
        <v>105</v>
      </c>
      <c r="E366" t="s">
        <v>106</v>
      </c>
      <c r="F366" t="s">
        <v>2345</v>
      </c>
      <c r="G366" t="s">
        <v>2346</v>
      </c>
      <c r="H366" t="s">
        <v>2345</v>
      </c>
      <c r="I366" s="88">
        <v>46143.714733796296</v>
      </c>
      <c r="J366" t="s">
        <v>107</v>
      </c>
      <c r="K366" t="s">
        <v>108</v>
      </c>
      <c r="L366" t="s">
        <v>2347</v>
      </c>
      <c r="M366" s="88">
        <v>46146.507650462961</v>
      </c>
      <c r="N366" t="s">
        <v>637</v>
      </c>
      <c r="O366" t="s">
        <v>112</v>
      </c>
      <c r="P366" t="s">
        <v>111</v>
      </c>
      <c r="Q366" t="s">
        <v>1587</v>
      </c>
      <c r="R366">
        <v>2</v>
      </c>
      <c r="S366" s="89">
        <v>9500</v>
      </c>
      <c r="T366" s="89">
        <v>0</v>
      </c>
      <c r="U366" s="89">
        <v>4180</v>
      </c>
      <c r="V366" s="89">
        <v>4180</v>
      </c>
      <c r="W366" s="89">
        <v>14820</v>
      </c>
    </row>
    <row r="367" spans="1:23" ht="13">
      <c r="A367" t="s">
        <v>2348</v>
      </c>
      <c r="B367" t="s">
        <v>2349</v>
      </c>
      <c r="C367" s="88">
        <v>46154.032777777778</v>
      </c>
      <c r="D367" t="s">
        <v>105</v>
      </c>
      <c r="E367" t="s">
        <v>106</v>
      </c>
      <c r="F367" t="s">
        <v>2350</v>
      </c>
      <c r="G367" t="s">
        <v>2351</v>
      </c>
      <c r="H367" t="s">
        <v>2350</v>
      </c>
      <c r="I367" s="88">
        <v>46143.714722222227</v>
      </c>
      <c r="J367" t="s">
        <v>107</v>
      </c>
      <c r="K367" t="s">
        <v>108</v>
      </c>
      <c r="L367" t="s">
        <v>2352</v>
      </c>
      <c r="M367" s="88">
        <v>46146.711793981478</v>
      </c>
      <c r="N367" t="s">
        <v>637</v>
      </c>
      <c r="O367" t="s">
        <v>112</v>
      </c>
      <c r="P367" t="s">
        <v>111</v>
      </c>
      <c r="Q367" t="s">
        <v>1587</v>
      </c>
      <c r="R367">
        <v>6</v>
      </c>
      <c r="S367" s="89">
        <v>9500</v>
      </c>
      <c r="T367" s="89">
        <v>0</v>
      </c>
      <c r="U367" s="89">
        <v>20080</v>
      </c>
      <c r="V367" s="89">
        <v>20080</v>
      </c>
      <c r="W367" s="89">
        <v>36920</v>
      </c>
    </row>
    <row r="368" spans="1:23" ht="13">
      <c r="A368" t="s">
        <v>2353</v>
      </c>
      <c r="B368" t="s">
        <v>2354</v>
      </c>
      <c r="C368" s="88">
        <v>46154.032777777778</v>
      </c>
      <c r="D368" t="s">
        <v>105</v>
      </c>
      <c r="E368" t="s">
        <v>106</v>
      </c>
      <c r="F368" t="s">
        <v>2355</v>
      </c>
      <c r="G368" t="s">
        <v>2356</v>
      </c>
      <c r="H368" t="s">
        <v>2355</v>
      </c>
      <c r="I368" s="88">
        <v>46143.714722222227</v>
      </c>
      <c r="J368" t="s">
        <v>107</v>
      </c>
      <c r="K368" t="s">
        <v>108</v>
      </c>
      <c r="L368" t="s">
        <v>2357</v>
      </c>
      <c r="M368" s="88">
        <v>46146.507650462961</v>
      </c>
      <c r="N368" t="s">
        <v>637</v>
      </c>
      <c r="O368" t="s">
        <v>112</v>
      </c>
      <c r="P368" t="s">
        <v>111</v>
      </c>
      <c r="Q368" t="s">
        <v>1587</v>
      </c>
      <c r="R368">
        <v>6</v>
      </c>
      <c r="S368" s="89">
        <v>9500</v>
      </c>
      <c r="T368" s="89">
        <v>0</v>
      </c>
      <c r="U368" s="89">
        <v>20080</v>
      </c>
      <c r="V368" s="89">
        <v>20080</v>
      </c>
      <c r="W368" s="89">
        <v>36920</v>
      </c>
    </row>
    <row r="369" spans="1:23" ht="13">
      <c r="A369" t="s">
        <v>2358</v>
      </c>
      <c r="B369" t="s">
        <v>2359</v>
      </c>
      <c r="C369" s="88">
        <v>46154.032777777778</v>
      </c>
      <c r="D369" t="s">
        <v>105</v>
      </c>
      <c r="E369" t="s">
        <v>106</v>
      </c>
      <c r="F369" t="s">
        <v>2360</v>
      </c>
      <c r="G369" t="s">
        <v>2361</v>
      </c>
      <c r="H369" t="s">
        <v>2362</v>
      </c>
      <c r="I369" s="88">
        <v>46143.714699074073</v>
      </c>
      <c r="J369" t="s">
        <v>107</v>
      </c>
      <c r="K369" t="s">
        <v>108</v>
      </c>
      <c r="L369" t="s">
        <v>2363</v>
      </c>
      <c r="M369" s="88">
        <v>46146.443032407406</v>
      </c>
      <c r="N369" t="s">
        <v>637</v>
      </c>
      <c r="O369" t="s">
        <v>112</v>
      </c>
      <c r="P369" t="s">
        <v>111</v>
      </c>
      <c r="Q369" t="s">
        <v>1587</v>
      </c>
      <c r="R369">
        <v>2</v>
      </c>
      <c r="S369" s="89">
        <v>9500</v>
      </c>
      <c r="T369" s="89">
        <v>0</v>
      </c>
      <c r="U369" s="89">
        <v>4180</v>
      </c>
      <c r="V369" s="89">
        <v>4180</v>
      </c>
      <c r="W369" s="89">
        <v>14820</v>
      </c>
    </row>
    <row r="370" spans="1:23" ht="13">
      <c r="A370" t="s">
        <v>2364</v>
      </c>
      <c r="B370" t="s">
        <v>2365</v>
      </c>
      <c r="C370" s="88">
        <v>46154.032777777778</v>
      </c>
      <c r="D370" t="s">
        <v>105</v>
      </c>
      <c r="E370" t="s">
        <v>106</v>
      </c>
      <c r="F370" t="s">
        <v>2366</v>
      </c>
      <c r="G370" t="s">
        <v>2367</v>
      </c>
      <c r="H370" t="s">
        <v>2366</v>
      </c>
      <c r="I370" s="88">
        <v>46143.714699074073</v>
      </c>
      <c r="J370" t="s">
        <v>107</v>
      </c>
      <c r="K370" t="s">
        <v>108</v>
      </c>
      <c r="L370" t="s">
        <v>2368</v>
      </c>
      <c r="M370" s="88">
        <v>46146.41134259259</v>
      </c>
      <c r="N370" t="s">
        <v>637</v>
      </c>
      <c r="O370" t="s">
        <v>112</v>
      </c>
      <c r="P370" t="s">
        <v>111</v>
      </c>
      <c r="Q370" t="s">
        <v>1587</v>
      </c>
      <c r="R370">
        <v>3</v>
      </c>
      <c r="S370" s="89">
        <v>9500</v>
      </c>
      <c r="T370" s="89">
        <v>0</v>
      </c>
      <c r="U370" s="89">
        <v>6370</v>
      </c>
      <c r="V370" s="89">
        <v>6370</v>
      </c>
      <c r="W370" s="89">
        <v>22130</v>
      </c>
    </row>
    <row r="371" spans="1:23" ht="13">
      <c r="A371" t="s">
        <v>2369</v>
      </c>
      <c r="B371" t="s">
        <v>2370</v>
      </c>
      <c r="C371" s="88">
        <v>46154.032696759255</v>
      </c>
      <c r="D371" t="s">
        <v>105</v>
      </c>
      <c r="E371" t="s">
        <v>106</v>
      </c>
      <c r="F371" t="s">
        <v>2371</v>
      </c>
      <c r="G371" t="s">
        <v>2372</v>
      </c>
      <c r="H371" t="s">
        <v>2371</v>
      </c>
      <c r="I371" s="88">
        <v>46143.714768518519</v>
      </c>
      <c r="J371" t="s">
        <v>107</v>
      </c>
      <c r="K371" t="s">
        <v>108</v>
      </c>
      <c r="L371" t="s">
        <v>2373</v>
      </c>
      <c r="M371" s="88">
        <v>46146.701018518521</v>
      </c>
      <c r="N371" t="s">
        <v>637</v>
      </c>
      <c r="O371" t="s">
        <v>112</v>
      </c>
      <c r="P371" t="s">
        <v>111</v>
      </c>
      <c r="Q371" t="s">
        <v>2085</v>
      </c>
      <c r="R371">
        <v>1</v>
      </c>
      <c r="S371" s="89">
        <v>9500</v>
      </c>
      <c r="T371" s="89">
        <v>0</v>
      </c>
      <c r="U371" s="89">
        <v>2090</v>
      </c>
      <c r="V371" s="89">
        <v>2090</v>
      </c>
      <c r="W371" s="89">
        <v>7410</v>
      </c>
    </row>
    <row r="372" spans="1:23" ht="13">
      <c r="A372" t="s">
        <v>2374</v>
      </c>
      <c r="B372" t="s">
        <v>2375</v>
      </c>
      <c r="C372" s="88">
        <v>46154.032696759255</v>
      </c>
      <c r="D372" t="s">
        <v>105</v>
      </c>
      <c r="E372" t="s">
        <v>106</v>
      </c>
      <c r="F372" t="s">
        <v>2376</v>
      </c>
      <c r="G372" t="s">
        <v>2377</v>
      </c>
      <c r="H372" t="s">
        <v>2378</v>
      </c>
      <c r="I372" s="88">
        <v>46143.714768518519</v>
      </c>
      <c r="J372" t="s">
        <v>107</v>
      </c>
      <c r="K372" t="s">
        <v>108</v>
      </c>
      <c r="L372" t="s">
        <v>2379</v>
      </c>
      <c r="M372" s="88">
        <v>46146.443043981482</v>
      </c>
      <c r="N372" t="s">
        <v>637</v>
      </c>
      <c r="O372" t="s">
        <v>112</v>
      </c>
      <c r="P372" t="s">
        <v>111</v>
      </c>
      <c r="Q372" t="s">
        <v>1417</v>
      </c>
      <c r="R372">
        <v>3</v>
      </c>
      <c r="S372" s="89">
        <v>9500</v>
      </c>
      <c r="T372" s="89">
        <v>0</v>
      </c>
      <c r="U372" s="89">
        <v>6370</v>
      </c>
      <c r="V372" s="89">
        <v>6370</v>
      </c>
      <c r="W372" s="89">
        <v>22130</v>
      </c>
    </row>
    <row r="373" spans="1:23" ht="13">
      <c r="A373" t="s">
        <v>2380</v>
      </c>
      <c r="B373" t="s">
        <v>2381</v>
      </c>
      <c r="C373" s="88">
        <v>46154.032696759255</v>
      </c>
      <c r="D373" t="s">
        <v>105</v>
      </c>
      <c r="E373" t="s">
        <v>106</v>
      </c>
      <c r="F373" t="s">
        <v>2382</v>
      </c>
      <c r="G373" t="s">
        <v>2383</v>
      </c>
      <c r="H373" t="s">
        <v>2382</v>
      </c>
      <c r="I373" s="88">
        <v>46143.71475694445</v>
      </c>
      <c r="J373" t="s">
        <v>107</v>
      </c>
      <c r="K373" t="s">
        <v>108</v>
      </c>
      <c r="L373" t="s">
        <v>2384</v>
      </c>
      <c r="M373" s="88">
        <v>46146.443043981482</v>
      </c>
      <c r="N373" t="s">
        <v>637</v>
      </c>
      <c r="O373" t="s">
        <v>112</v>
      </c>
      <c r="P373" t="s">
        <v>111</v>
      </c>
      <c r="Q373" t="s">
        <v>1587</v>
      </c>
      <c r="R373">
        <v>6</v>
      </c>
      <c r="S373" s="89">
        <v>9500</v>
      </c>
      <c r="T373" s="89">
        <v>0</v>
      </c>
      <c r="U373" s="89">
        <v>20080</v>
      </c>
      <c r="V373" s="89">
        <v>20080</v>
      </c>
      <c r="W373" s="89">
        <v>36920</v>
      </c>
    </row>
    <row r="374" spans="1:23" ht="13">
      <c r="A374" t="s">
        <v>2385</v>
      </c>
      <c r="B374" t="s">
        <v>2386</v>
      </c>
      <c r="C374" s="88">
        <v>46154.032696759255</v>
      </c>
      <c r="D374" t="s">
        <v>105</v>
      </c>
      <c r="E374" t="s">
        <v>106</v>
      </c>
      <c r="F374" t="s">
        <v>2387</v>
      </c>
      <c r="G374" t="s">
        <v>2388</v>
      </c>
      <c r="H374" t="s">
        <v>2387</v>
      </c>
      <c r="I374" s="88">
        <v>46143.714733796296</v>
      </c>
      <c r="J374" t="s">
        <v>107</v>
      </c>
      <c r="K374" t="s">
        <v>108</v>
      </c>
      <c r="L374" t="s">
        <v>2389</v>
      </c>
      <c r="M374" s="88">
        <v>46146.509004629625</v>
      </c>
      <c r="N374" t="s">
        <v>637</v>
      </c>
      <c r="O374" t="s">
        <v>112</v>
      </c>
      <c r="P374" t="s">
        <v>111</v>
      </c>
      <c r="Q374" t="s">
        <v>1587</v>
      </c>
      <c r="R374">
        <v>3</v>
      </c>
      <c r="S374" s="89">
        <v>9500</v>
      </c>
      <c r="T374" s="89">
        <v>0</v>
      </c>
      <c r="U374" s="89">
        <v>6270</v>
      </c>
      <c r="V374" s="89">
        <v>6270</v>
      </c>
      <c r="W374" s="89">
        <v>22230</v>
      </c>
    </row>
    <row r="375" spans="1:23" ht="13">
      <c r="A375" t="s">
        <v>2390</v>
      </c>
      <c r="B375" t="s">
        <v>2391</v>
      </c>
      <c r="C375" s="88">
        <v>46154.032696759255</v>
      </c>
      <c r="D375" t="s">
        <v>105</v>
      </c>
      <c r="E375" t="s">
        <v>106</v>
      </c>
      <c r="F375" t="s">
        <v>404</v>
      </c>
      <c r="G375" t="s">
        <v>869</v>
      </c>
      <c r="H375" t="s">
        <v>404</v>
      </c>
      <c r="I375" s="88">
        <v>46143.714722222227</v>
      </c>
      <c r="J375" t="s">
        <v>107</v>
      </c>
      <c r="K375" t="s">
        <v>108</v>
      </c>
      <c r="L375" t="s">
        <v>2392</v>
      </c>
      <c r="M375" s="88">
        <v>46146.443067129629</v>
      </c>
      <c r="N375" t="s">
        <v>637</v>
      </c>
      <c r="O375" t="s">
        <v>112</v>
      </c>
      <c r="P375" t="s">
        <v>111</v>
      </c>
      <c r="Q375" t="s">
        <v>1587</v>
      </c>
      <c r="R375">
        <v>6</v>
      </c>
      <c r="S375" s="89">
        <v>9500</v>
      </c>
      <c r="T375" s="89">
        <v>0</v>
      </c>
      <c r="U375" s="89">
        <v>20080</v>
      </c>
      <c r="V375" s="89">
        <v>20080</v>
      </c>
      <c r="W375" s="89">
        <v>36920</v>
      </c>
    </row>
    <row r="376" spans="1:23" ht="13">
      <c r="A376" t="s">
        <v>2393</v>
      </c>
      <c r="B376" t="s">
        <v>2394</v>
      </c>
      <c r="C376" s="88">
        <v>46154.032696759255</v>
      </c>
      <c r="D376" t="s">
        <v>105</v>
      </c>
      <c r="E376" t="s">
        <v>106</v>
      </c>
      <c r="F376" t="s">
        <v>2395</v>
      </c>
      <c r="G376" t="s">
        <v>2396</v>
      </c>
      <c r="H376" t="s">
        <v>2395</v>
      </c>
      <c r="I376" s="88">
        <v>46143.71471064815</v>
      </c>
      <c r="J376" t="s">
        <v>107</v>
      </c>
      <c r="K376" t="s">
        <v>108</v>
      </c>
      <c r="L376" t="s">
        <v>2397</v>
      </c>
      <c r="M376" s="88">
        <v>46146.629861111112</v>
      </c>
      <c r="N376" t="s">
        <v>637</v>
      </c>
      <c r="O376" t="s">
        <v>112</v>
      </c>
      <c r="P376" t="s">
        <v>111</v>
      </c>
      <c r="Q376" t="s">
        <v>1587</v>
      </c>
      <c r="R376">
        <v>6</v>
      </c>
      <c r="S376" s="89">
        <v>9500</v>
      </c>
      <c r="T376" s="89">
        <v>0</v>
      </c>
      <c r="U376" s="89">
        <v>20080</v>
      </c>
      <c r="V376" s="89">
        <v>20080</v>
      </c>
      <c r="W376" s="89">
        <v>36920</v>
      </c>
    </row>
    <row r="377" spans="1:23" ht="13">
      <c r="A377" t="s">
        <v>2398</v>
      </c>
      <c r="B377" t="s">
        <v>2399</v>
      </c>
      <c r="C377" s="88">
        <v>46154.032696759255</v>
      </c>
      <c r="D377" t="s">
        <v>105</v>
      </c>
      <c r="E377" t="s">
        <v>106</v>
      </c>
      <c r="F377" t="s">
        <v>2400</v>
      </c>
      <c r="G377" t="s">
        <v>2401</v>
      </c>
      <c r="H377" t="s">
        <v>2400</v>
      </c>
      <c r="I377" s="88">
        <v>46143.714699074073</v>
      </c>
      <c r="J377" t="s">
        <v>107</v>
      </c>
      <c r="K377" t="s">
        <v>108</v>
      </c>
      <c r="L377" t="s">
        <v>2402</v>
      </c>
      <c r="M377" s="88">
        <v>46146.442384259259</v>
      </c>
      <c r="N377" t="s">
        <v>637</v>
      </c>
      <c r="O377" t="s">
        <v>112</v>
      </c>
      <c r="P377" t="s">
        <v>111</v>
      </c>
      <c r="Q377" t="s">
        <v>2085</v>
      </c>
      <c r="R377">
        <v>6</v>
      </c>
      <c r="S377" s="89">
        <v>9500</v>
      </c>
      <c r="T377" s="89">
        <v>0</v>
      </c>
      <c r="U377" s="89">
        <v>20080</v>
      </c>
      <c r="V377" s="89">
        <v>20080</v>
      </c>
      <c r="W377" s="89">
        <v>36920</v>
      </c>
    </row>
    <row r="378" spans="1:23" ht="13">
      <c r="A378" t="s">
        <v>2403</v>
      </c>
      <c r="B378" t="s">
        <v>2404</v>
      </c>
      <c r="C378" s="88">
        <v>46154.032685185186</v>
      </c>
      <c r="D378" t="s">
        <v>105</v>
      </c>
      <c r="E378" t="s">
        <v>106</v>
      </c>
      <c r="F378" t="s">
        <v>2405</v>
      </c>
      <c r="G378" t="s">
        <v>2406</v>
      </c>
      <c r="H378" t="s">
        <v>2405</v>
      </c>
      <c r="I378" s="88">
        <v>46143.714699074073</v>
      </c>
      <c r="J378" t="s">
        <v>107</v>
      </c>
      <c r="K378" t="s">
        <v>108</v>
      </c>
      <c r="L378" t="s">
        <v>2407</v>
      </c>
      <c r="M378" s="88">
        <v>46146.629155092596</v>
      </c>
      <c r="N378" t="s">
        <v>637</v>
      </c>
      <c r="O378" t="s">
        <v>112</v>
      </c>
      <c r="P378" t="s">
        <v>111</v>
      </c>
      <c r="Q378" t="s">
        <v>2085</v>
      </c>
      <c r="R378">
        <v>20</v>
      </c>
      <c r="S378" s="89">
        <v>9500</v>
      </c>
      <c r="T378" s="89">
        <v>0</v>
      </c>
      <c r="U378" s="89">
        <v>66700</v>
      </c>
      <c r="V378" s="89">
        <v>66700</v>
      </c>
      <c r="W378" s="89">
        <v>123300</v>
      </c>
    </row>
    <row r="379" spans="1:23" ht="13">
      <c r="A379" t="s">
        <v>2408</v>
      </c>
      <c r="B379" t="s">
        <v>2409</v>
      </c>
      <c r="C379" s="88">
        <v>46154.032685185186</v>
      </c>
      <c r="D379" t="s">
        <v>105</v>
      </c>
      <c r="E379" t="s">
        <v>106</v>
      </c>
      <c r="F379" t="s">
        <v>2410</v>
      </c>
      <c r="G379" t="s">
        <v>2411</v>
      </c>
      <c r="H379" t="s">
        <v>292</v>
      </c>
      <c r="I379" s="88">
        <v>46143.714699074073</v>
      </c>
      <c r="J379" t="s">
        <v>107</v>
      </c>
      <c r="K379" t="s">
        <v>108</v>
      </c>
      <c r="L379" t="s">
        <v>2412</v>
      </c>
      <c r="M379" s="88">
        <v>46146.442384259259</v>
      </c>
      <c r="N379" t="s">
        <v>637</v>
      </c>
      <c r="O379" t="s">
        <v>112</v>
      </c>
      <c r="P379" t="s">
        <v>111</v>
      </c>
      <c r="Q379" t="s">
        <v>1587</v>
      </c>
      <c r="R379">
        <v>6</v>
      </c>
      <c r="S379" s="89">
        <v>9500</v>
      </c>
      <c r="T379" s="89">
        <v>0</v>
      </c>
      <c r="U379" s="89">
        <v>20080</v>
      </c>
      <c r="V379" s="89">
        <v>20080</v>
      </c>
      <c r="W379" s="89">
        <v>36920</v>
      </c>
    </row>
    <row r="380" spans="1:23" ht="13">
      <c r="A380" t="s">
        <v>2413</v>
      </c>
      <c r="B380" t="s">
        <v>2414</v>
      </c>
      <c r="C380" s="88">
        <v>46154.032557870371</v>
      </c>
      <c r="D380" t="s">
        <v>105</v>
      </c>
      <c r="E380" t="s">
        <v>106</v>
      </c>
      <c r="F380" t="s">
        <v>2415</v>
      </c>
      <c r="G380" t="s">
        <v>2416</v>
      </c>
      <c r="H380" t="s">
        <v>2415</v>
      </c>
      <c r="I380" s="88">
        <v>46143.71475694445</v>
      </c>
      <c r="J380" t="s">
        <v>107</v>
      </c>
      <c r="K380" t="s">
        <v>108</v>
      </c>
      <c r="L380" t="s">
        <v>2417</v>
      </c>
      <c r="M380" s="88">
        <v>46146.509016203709</v>
      </c>
      <c r="N380" t="s">
        <v>637</v>
      </c>
      <c r="O380" t="s">
        <v>112</v>
      </c>
      <c r="P380" t="s">
        <v>111</v>
      </c>
      <c r="Q380" t="s">
        <v>1587</v>
      </c>
      <c r="R380">
        <v>6</v>
      </c>
      <c r="S380" s="89">
        <v>9500</v>
      </c>
      <c r="T380" s="89">
        <v>0</v>
      </c>
      <c r="U380" s="89">
        <v>20080</v>
      </c>
      <c r="V380" s="89">
        <v>20080</v>
      </c>
      <c r="W380" s="89">
        <v>36920</v>
      </c>
    </row>
    <row r="381" spans="1:23" ht="13">
      <c r="A381" t="s">
        <v>2418</v>
      </c>
      <c r="B381" t="s">
        <v>2419</v>
      </c>
      <c r="C381" s="88">
        <v>46154.032557870371</v>
      </c>
      <c r="D381" t="s">
        <v>105</v>
      </c>
      <c r="E381" t="s">
        <v>106</v>
      </c>
      <c r="F381" t="s">
        <v>317</v>
      </c>
      <c r="G381" t="s">
        <v>2420</v>
      </c>
      <c r="H381" t="s">
        <v>317</v>
      </c>
      <c r="I381" s="88">
        <v>46143.71475694445</v>
      </c>
      <c r="J381" t="s">
        <v>107</v>
      </c>
      <c r="K381" t="s">
        <v>108</v>
      </c>
      <c r="L381" t="s">
        <v>2421</v>
      </c>
      <c r="M381" s="88">
        <v>46146.411354166667</v>
      </c>
      <c r="N381" t="s">
        <v>637</v>
      </c>
      <c r="O381" t="s">
        <v>112</v>
      </c>
      <c r="P381" t="s">
        <v>111</v>
      </c>
      <c r="Q381" t="s">
        <v>1587</v>
      </c>
      <c r="R381">
        <v>6</v>
      </c>
      <c r="S381" s="89">
        <v>9500</v>
      </c>
      <c r="T381" s="89">
        <v>0</v>
      </c>
      <c r="U381" s="89">
        <v>19980</v>
      </c>
      <c r="V381" s="89">
        <v>19980</v>
      </c>
      <c r="W381" s="89">
        <v>37020</v>
      </c>
    </row>
    <row r="382" spans="1:23" ht="13">
      <c r="A382" t="s">
        <v>2422</v>
      </c>
      <c r="B382" t="s">
        <v>2423</v>
      </c>
      <c r="C382" s="88">
        <v>46154.032557870371</v>
      </c>
      <c r="D382" t="s">
        <v>105</v>
      </c>
      <c r="E382" t="s">
        <v>106</v>
      </c>
      <c r="F382" t="s">
        <v>2424</v>
      </c>
      <c r="G382" t="s">
        <v>2425</v>
      </c>
      <c r="H382" t="s">
        <v>2424</v>
      </c>
      <c r="I382" s="88">
        <v>46143.714722222227</v>
      </c>
      <c r="J382" t="s">
        <v>107</v>
      </c>
      <c r="K382" t="s">
        <v>108</v>
      </c>
      <c r="L382" t="s">
        <v>2426</v>
      </c>
      <c r="M382" s="88">
        <v>46146.748483796298</v>
      </c>
      <c r="N382" t="s">
        <v>637</v>
      </c>
      <c r="O382" t="s">
        <v>112</v>
      </c>
      <c r="P382" t="s">
        <v>111</v>
      </c>
      <c r="Q382" t="s">
        <v>1587</v>
      </c>
      <c r="R382">
        <v>3</v>
      </c>
      <c r="S382" s="89">
        <v>9500</v>
      </c>
      <c r="T382" s="89">
        <v>0</v>
      </c>
      <c r="U382" s="89">
        <v>6270</v>
      </c>
      <c r="V382" s="89">
        <v>6270</v>
      </c>
      <c r="W382" s="89">
        <v>22230</v>
      </c>
    </row>
    <row r="383" spans="1:23" ht="13">
      <c r="A383" t="s">
        <v>2427</v>
      </c>
      <c r="B383" t="s">
        <v>2428</v>
      </c>
      <c r="C383" s="88">
        <v>46154.032557870371</v>
      </c>
      <c r="D383" t="s">
        <v>105</v>
      </c>
      <c r="E383" t="s">
        <v>106</v>
      </c>
      <c r="F383" t="s">
        <v>2429</v>
      </c>
      <c r="G383" t="s">
        <v>2430</v>
      </c>
      <c r="H383" t="s">
        <v>2429</v>
      </c>
      <c r="I383" s="88">
        <v>46143.714722222227</v>
      </c>
      <c r="J383" t="s">
        <v>107</v>
      </c>
      <c r="K383" t="s">
        <v>108</v>
      </c>
      <c r="L383" t="s">
        <v>2431</v>
      </c>
      <c r="M383" s="88">
        <v>46146.443090277782</v>
      </c>
      <c r="N383" t="s">
        <v>637</v>
      </c>
      <c r="O383" t="s">
        <v>112</v>
      </c>
      <c r="P383" t="s">
        <v>111</v>
      </c>
      <c r="Q383" t="s">
        <v>1587</v>
      </c>
      <c r="R383">
        <v>6</v>
      </c>
      <c r="S383" s="89">
        <v>9500</v>
      </c>
      <c r="T383" s="89">
        <v>0</v>
      </c>
      <c r="U383" s="89">
        <v>20080</v>
      </c>
      <c r="V383" s="89">
        <v>20080</v>
      </c>
      <c r="W383" s="89">
        <v>36920</v>
      </c>
    </row>
    <row r="384" spans="1:23" ht="13">
      <c r="A384" t="s">
        <v>2432</v>
      </c>
      <c r="B384" t="s">
        <v>2433</v>
      </c>
      <c r="C384" s="88">
        <v>46154.032546296294</v>
      </c>
      <c r="D384" t="s">
        <v>105</v>
      </c>
      <c r="E384" t="s">
        <v>106</v>
      </c>
      <c r="F384" t="s">
        <v>2434</v>
      </c>
      <c r="G384" t="s">
        <v>1303</v>
      </c>
      <c r="H384" t="s">
        <v>2434</v>
      </c>
      <c r="I384" s="88">
        <v>46143.71471064815</v>
      </c>
      <c r="J384" t="s">
        <v>107</v>
      </c>
      <c r="K384" t="s">
        <v>108</v>
      </c>
      <c r="L384" t="s">
        <v>2435</v>
      </c>
      <c r="M384" s="88">
        <v>46146.631249999999</v>
      </c>
      <c r="N384" t="s">
        <v>637</v>
      </c>
      <c r="O384" t="s">
        <v>112</v>
      </c>
      <c r="P384" t="s">
        <v>111</v>
      </c>
      <c r="Q384" t="s">
        <v>1587</v>
      </c>
      <c r="R384">
        <v>6</v>
      </c>
      <c r="S384" s="89">
        <v>9500</v>
      </c>
      <c r="T384" s="89">
        <v>0</v>
      </c>
      <c r="U384" s="89">
        <v>20080</v>
      </c>
      <c r="V384" s="89">
        <v>20080</v>
      </c>
      <c r="W384" s="89">
        <v>36920</v>
      </c>
    </row>
    <row r="385" spans="1:23" ht="13">
      <c r="A385" t="s">
        <v>2436</v>
      </c>
      <c r="B385" t="s">
        <v>2437</v>
      </c>
      <c r="C385" s="88">
        <v>46154.032546296294</v>
      </c>
      <c r="D385" t="s">
        <v>105</v>
      </c>
      <c r="E385" t="s">
        <v>106</v>
      </c>
      <c r="F385" t="s">
        <v>2438</v>
      </c>
      <c r="G385" t="s">
        <v>2439</v>
      </c>
      <c r="H385" t="s">
        <v>2438</v>
      </c>
      <c r="I385" s="88">
        <v>46143.714699074073</v>
      </c>
      <c r="J385" t="s">
        <v>107</v>
      </c>
      <c r="K385" t="s">
        <v>108</v>
      </c>
      <c r="L385" t="s">
        <v>2440</v>
      </c>
      <c r="M385" s="88">
        <v>46146.633344907408</v>
      </c>
      <c r="N385" t="s">
        <v>637</v>
      </c>
      <c r="O385" t="s">
        <v>112</v>
      </c>
      <c r="P385" t="s">
        <v>111</v>
      </c>
      <c r="Q385" t="s">
        <v>1587</v>
      </c>
      <c r="R385">
        <v>2</v>
      </c>
      <c r="S385" s="89">
        <v>9500</v>
      </c>
      <c r="T385" s="89">
        <v>0</v>
      </c>
      <c r="U385" s="89">
        <v>4280</v>
      </c>
      <c r="V385" s="89">
        <v>4280</v>
      </c>
      <c r="W385" s="89">
        <v>14720</v>
      </c>
    </row>
    <row r="386" spans="1:23" ht="13">
      <c r="A386" t="s">
        <v>2441</v>
      </c>
      <c r="B386" t="s">
        <v>2442</v>
      </c>
      <c r="C386" s="88">
        <v>46154.032546296294</v>
      </c>
      <c r="D386" t="s">
        <v>105</v>
      </c>
      <c r="E386" t="s">
        <v>106</v>
      </c>
      <c r="F386" t="s">
        <v>2443</v>
      </c>
      <c r="G386" t="s">
        <v>2444</v>
      </c>
      <c r="H386" t="s">
        <v>2443</v>
      </c>
      <c r="I386" s="88">
        <v>46143.714699074073</v>
      </c>
      <c r="J386" t="s">
        <v>107</v>
      </c>
      <c r="K386" t="s">
        <v>108</v>
      </c>
      <c r="L386" t="s">
        <v>2445</v>
      </c>
      <c r="M386" s="88">
        <v>46146.443113425921</v>
      </c>
      <c r="N386" t="s">
        <v>637</v>
      </c>
      <c r="O386" t="s">
        <v>112</v>
      </c>
      <c r="P386" t="s">
        <v>111</v>
      </c>
      <c r="Q386" t="s">
        <v>2085</v>
      </c>
      <c r="R386">
        <v>2</v>
      </c>
      <c r="S386" s="89">
        <v>9500</v>
      </c>
      <c r="T386" s="89">
        <v>0</v>
      </c>
      <c r="U386" s="89">
        <v>4180</v>
      </c>
      <c r="V386" s="89">
        <v>4180</v>
      </c>
      <c r="W386" s="89">
        <v>14820</v>
      </c>
    </row>
    <row r="387" spans="1:23" ht="13">
      <c r="A387" t="s">
        <v>2446</v>
      </c>
      <c r="B387" t="s">
        <v>2447</v>
      </c>
      <c r="C387" s="88">
        <v>46154.032349537039</v>
      </c>
      <c r="D387" t="s">
        <v>105</v>
      </c>
      <c r="E387" t="s">
        <v>106</v>
      </c>
      <c r="F387" t="s">
        <v>2448</v>
      </c>
      <c r="G387" t="s">
        <v>2449</v>
      </c>
      <c r="H387" t="s">
        <v>2448</v>
      </c>
      <c r="I387" s="88">
        <v>46143.71475694445</v>
      </c>
      <c r="J387" t="s">
        <v>107</v>
      </c>
      <c r="K387" t="s">
        <v>108</v>
      </c>
      <c r="L387" t="s">
        <v>2450</v>
      </c>
      <c r="M387" s="88">
        <v>46146.442372685182</v>
      </c>
      <c r="N387" t="s">
        <v>637</v>
      </c>
      <c r="O387" t="s">
        <v>112</v>
      </c>
      <c r="P387" t="s">
        <v>111</v>
      </c>
      <c r="Q387" t="s">
        <v>1587</v>
      </c>
      <c r="R387">
        <v>10</v>
      </c>
      <c r="S387" s="89">
        <v>9500</v>
      </c>
      <c r="T387" s="89">
        <v>0</v>
      </c>
      <c r="U387" s="89">
        <v>33400</v>
      </c>
      <c r="V387" s="89">
        <v>33400</v>
      </c>
      <c r="W387" s="89">
        <v>61600</v>
      </c>
    </row>
    <row r="388" spans="1:23" ht="13">
      <c r="A388" t="s">
        <v>2451</v>
      </c>
      <c r="B388" t="s">
        <v>2452</v>
      </c>
      <c r="C388" s="88">
        <v>46154.032337962963</v>
      </c>
      <c r="D388" t="s">
        <v>105</v>
      </c>
      <c r="E388" t="s">
        <v>106</v>
      </c>
      <c r="F388" t="s">
        <v>2453</v>
      </c>
      <c r="G388" t="s">
        <v>2454</v>
      </c>
      <c r="H388" t="s">
        <v>2453</v>
      </c>
      <c r="I388" s="88">
        <v>46143.71475694445</v>
      </c>
      <c r="J388" t="s">
        <v>107</v>
      </c>
      <c r="K388" t="s">
        <v>108</v>
      </c>
      <c r="L388" t="s">
        <v>2455</v>
      </c>
      <c r="M388" s="88">
        <v>46146.650462962964</v>
      </c>
      <c r="N388" t="s">
        <v>637</v>
      </c>
      <c r="O388" t="s">
        <v>112</v>
      </c>
      <c r="P388" t="s">
        <v>111</v>
      </c>
      <c r="Q388" t="s">
        <v>1587</v>
      </c>
      <c r="R388">
        <v>2</v>
      </c>
      <c r="S388" s="89">
        <v>9500</v>
      </c>
      <c r="T388" s="89">
        <v>0</v>
      </c>
      <c r="U388" s="89">
        <v>4180</v>
      </c>
      <c r="V388" s="89">
        <v>4180</v>
      </c>
      <c r="W388" s="89">
        <v>14820</v>
      </c>
    </row>
    <row r="389" spans="1:23" ht="13">
      <c r="A389" t="s">
        <v>2456</v>
      </c>
      <c r="B389" t="s">
        <v>2457</v>
      </c>
      <c r="C389" s="88">
        <v>46154.032337962963</v>
      </c>
      <c r="D389" t="s">
        <v>105</v>
      </c>
      <c r="E389" t="s">
        <v>106</v>
      </c>
      <c r="F389" t="s">
        <v>2458</v>
      </c>
      <c r="G389" t="s">
        <v>2459</v>
      </c>
      <c r="H389" t="s">
        <v>2458</v>
      </c>
      <c r="I389" s="88">
        <v>46143.714722222227</v>
      </c>
      <c r="J389" t="s">
        <v>107</v>
      </c>
      <c r="K389" t="s">
        <v>108</v>
      </c>
      <c r="L389" t="s">
        <v>2460</v>
      </c>
      <c r="M389" s="88">
        <v>46146.629155092596</v>
      </c>
      <c r="N389" t="s">
        <v>637</v>
      </c>
      <c r="O389" t="s">
        <v>112</v>
      </c>
      <c r="P389" t="s">
        <v>111</v>
      </c>
      <c r="Q389" t="s">
        <v>1587</v>
      </c>
      <c r="R389">
        <v>2</v>
      </c>
      <c r="S389" s="89">
        <v>9500</v>
      </c>
      <c r="T389" s="89">
        <v>0</v>
      </c>
      <c r="U389" s="89">
        <v>4280</v>
      </c>
      <c r="V389" s="89">
        <v>4280</v>
      </c>
      <c r="W389" s="89">
        <v>14720</v>
      </c>
    </row>
    <row r="390" spans="1:23" ht="13">
      <c r="A390" t="s">
        <v>2461</v>
      </c>
      <c r="B390" t="s">
        <v>2462</v>
      </c>
      <c r="C390" s="88">
        <v>46154.032337962963</v>
      </c>
      <c r="D390" t="s">
        <v>105</v>
      </c>
      <c r="E390" t="s">
        <v>106</v>
      </c>
      <c r="F390" t="s">
        <v>2463</v>
      </c>
      <c r="G390" t="s">
        <v>2464</v>
      </c>
      <c r="H390" t="s">
        <v>2463</v>
      </c>
      <c r="I390" s="88">
        <v>46143.71471064815</v>
      </c>
      <c r="J390" t="s">
        <v>107</v>
      </c>
      <c r="K390" t="s">
        <v>108</v>
      </c>
      <c r="L390" t="s">
        <v>2465</v>
      </c>
      <c r="M390" s="88">
        <v>46146.629861111112</v>
      </c>
      <c r="N390" t="s">
        <v>637</v>
      </c>
      <c r="O390" t="s">
        <v>112</v>
      </c>
      <c r="P390" t="s">
        <v>111</v>
      </c>
      <c r="Q390" t="s">
        <v>1587</v>
      </c>
      <c r="R390">
        <v>3</v>
      </c>
      <c r="S390" s="89">
        <v>9500</v>
      </c>
      <c r="T390" s="89">
        <v>0</v>
      </c>
      <c r="U390" s="89">
        <v>6270</v>
      </c>
      <c r="V390" s="89">
        <v>6270</v>
      </c>
      <c r="W390" s="89">
        <v>22230</v>
      </c>
    </row>
    <row r="391" spans="1:23" ht="13">
      <c r="A391" t="s">
        <v>2466</v>
      </c>
      <c r="B391" t="s">
        <v>2467</v>
      </c>
      <c r="C391" s="88">
        <v>46154.032337962963</v>
      </c>
      <c r="D391" t="s">
        <v>105</v>
      </c>
      <c r="E391" t="s">
        <v>106</v>
      </c>
      <c r="F391" t="s">
        <v>2468</v>
      </c>
      <c r="G391" t="s">
        <v>1386</v>
      </c>
      <c r="H391" t="s">
        <v>2468</v>
      </c>
      <c r="I391" s="88">
        <v>46143.71471064815</v>
      </c>
      <c r="J391" t="s">
        <v>107</v>
      </c>
      <c r="K391" t="s">
        <v>108</v>
      </c>
      <c r="L391" t="s">
        <v>2469</v>
      </c>
      <c r="M391" s="88">
        <v>46146.507650462961</v>
      </c>
      <c r="N391" t="s">
        <v>637</v>
      </c>
      <c r="O391" t="s">
        <v>112</v>
      </c>
      <c r="P391" t="s">
        <v>111</v>
      </c>
      <c r="Q391" t="s">
        <v>1587</v>
      </c>
      <c r="R391">
        <v>2</v>
      </c>
      <c r="S391" s="89">
        <v>9500</v>
      </c>
      <c r="T391" s="89">
        <v>0</v>
      </c>
      <c r="U391" s="89">
        <v>4180</v>
      </c>
      <c r="V391" s="89">
        <v>4180</v>
      </c>
      <c r="W391" s="89">
        <v>14820</v>
      </c>
    </row>
    <row r="392" spans="1:23" ht="13">
      <c r="A392" t="s">
        <v>2470</v>
      </c>
      <c r="B392" t="s">
        <v>2471</v>
      </c>
      <c r="C392" s="88">
        <v>46154.032337962963</v>
      </c>
      <c r="D392" t="s">
        <v>105</v>
      </c>
      <c r="E392" t="s">
        <v>106</v>
      </c>
      <c r="F392" t="s">
        <v>2472</v>
      </c>
      <c r="G392" t="s">
        <v>2473</v>
      </c>
      <c r="H392" t="s">
        <v>2472</v>
      </c>
      <c r="I392" s="88">
        <v>46143.714699074073</v>
      </c>
      <c r="J392" t="s">
        <v>107</v>
      </c>
      <c r="K392" t="s">
        <v>108</v>
      </c>
      <c r="L392" t="s">
        <v>2474</v>
      </c>
      <c r="M392" s="88">
        <v>46146.443067129629</v>
      </c>
      <c r="N392" t="s">
        <v>637</v>
      </c>
      <c r="O392" t="s">
        <v>112</v>
      </c>
      <c r="P392" t="s">
        <v>111</v>
      </c>
      <c r="Q392" t="s">
        <v>1587</v>
      </c>
      <c r="R392">
        <v>6</v>
      </c>
      <c r="S392" s="89">
        <v>9500</v>
      </c>
      <c r="T392" s="89">
        <v>0</v>
      </c>
      <c r="U392" s="89">
        <v>20080</v>
      </c>
      <c r="V392" s="89">
        <v>20080</v>
      </c>
      <c r="W392" s="89">
        <v>36920</v>
      </c>
    </row>
    <row r="393" spans="1:23" ht="13">
      <c r="A393" t="s">
        <v>2475</v>
      </c>
      <c r="B393" t="s">
        <v>2476</v>
      </c>
      <c r="C393" s="88">
        <v>46154.032337962963</v>
      </c>
      <c r="D393" t="s">
        <v>105</v>
      </c>
      <c r="E393" t="s">
        <v>106</v>
      </c>
      <c r="F393" t="s">
        <v>2477</v>
      </c>
      <c r="G393" t="s">
        <v>2478</v>
      </c>
      <c r="H393" t="s">
        <v>2477</v>
      </c>
      <c r="I393" s="88">
        <v>46143.714699074073</v>
      </c>
      <c r="J393" t="s">
        <v>107</v>
      </c>
      <c r="K393" t="s">
        <v>108</v>
      </c>
      <c r="L393" t="s">
        <v>2479</v>
      </c>
      <c r="M393" s="88">
        <v>46146.41134259259</v>
      </c>
      <c r="N393" t="s">
        <v>637</v>
      </c>
      <c r="O393" t="s">
        <v>112</v>
      </c>
      <c r="P393" t="s">
        <v>111</v>
      </c>
      <c r="Q393" t="s">
        <v>1587</v>
      </c>
      <c r="R393">
        <v>6</v>
      </c>
      <c r="S393" s="89">
        <v>9500</v>
      </c>
      <c r="T393" s="89">
        <v>0</v>
      </c>
      <c r="U393" s="89">
        <v>19980</v>
      </c>
      <c r="V393" s="89">
        <v>19980</v>
      </c>
      <c r="W393" s="89">
        <v>37020</v>
      </c>
    </row>
    <row r="394" spans="1:23" ht="13">
      <c r="A394" t="s">
        <v>2480</v>
      </c>
      <c r="B394" t="s">
        <v>2481</v>
      </c>
      <c r="C394" s="88">
        <v>46154.032326388886</v>
      </c>
      <c r="D394" t="s">
        <v>105</v>
      </c>
      <c r="E394" t="s">
        <v>106</v>
      </c>
      <c r="F394" t="s">
        <v>2482</v>
      </c>
      <c r="G394" t="s">
        <v>2483</v>
      </c>
      <c r="H394" t="s">
        <v>2482</v>
      </c>
      <c r="I394" s="88">
        <v>46143.714699074073</v>
      </c>
      <c r="J394" t="s">
        <v>107</v>
      </c>
      <c r="K394" t="s">
        <v>108</v>
      </c>
      <c r="L394" t="s">
        <v>2484</v>
      </c>
      <c r="M394" s="88">
        <v>46146.443067129629</v>
      </c>
      <c r="N394" t="s">
        <v>637</v>
      </c>
      <c r="O394" t="s">
        <v>112</v>
      </c>
      <c r="P394" t="s">
        <v>111</v>
      </c>
      <c r="Q394" t="s">
        <v>1587</v>
      </c>
      <c r="R394">
        <v>6</v>
      </c>
      <c r="S394" s="89">
        <v>9500</v>
      </c>
      <c r="T394" s="89">
        <v>0</v>
      </c>
      <c r="U394" s="89">
        <v>20080</v>
      </c>
      <c r="V394" s="89">
        <v>20080</v>
      </c>
      <c r="W394" s="89">
        <v>36920</v>
      </c>
    </row>
    <row r="395" spans="1:23" ht="13">
      <c r="A395" t="s">
        <v>2485</v>
      </c>
      <c r="B395" t="s">
        <v>2486</v>
      </c>
      <c r="C395" s="88">
        <v>46154.032118055555</v>
      </c>
      <c r="D395" t="s">
        <v>105</v>
      </c>
      <c r="E395" t="s">
        <v>106</v>
      </c>
      <c r="F395" t="s">
        <v>1272</v>
      </c>
      <c r="G395" t="s">
        <v>2487</v>
      </c>
      <c r="H395" t="s">
        <v>1272</v>
      </c>
      <c r="I395" s="88">
        <v>46143.714733796296</v>
      </c>
      <c r="J395" t="s">
        <v>107</v>
      </c>
      <c r="K395" t="s">
        <v>108</v>
      </c>
      <c r="L395" t="s">
        <v>2488</v>
      </c>
      <c r="M395" s="88">
        <v>46146.41134259259</v>
      </c>
      <c r="N395" t="s">
        <v>637</v>
      </c>
      <c r="O395" t="s">
        <v>112</v>
      </c>
      <c r="P395" t="s">
        <v>111</v>
      </c>
      <c r="Q395" t="s">
        <v>1587</v>
      </c>
      <c r="R395">
        <v>7</v>
      </c>
      <c r="S395" s="89">
        <v>9500</v>
      </c>
      <c r="T395" s="89">
        <v>0</v>
      </c>
      <c r="U395" s="89">
        <v>23410</v>
      </c>
      <c r="V395" s="89">
        <v>23410</v>
      </c>
      <c r="W395" s="89">
        <v>43090</v>
      </c>
    </row>
    <row r="396" spans="1:23" ht="13">
      <c r="A396" t="s">
        <v>2489</v>
      </c>
      <c r="B396" t="s">
        <v>2490</v>
      </c>
      <c r="C396" s="88">
        <v>46154.032118055555</v>
      </c>
      <c r="D396" t="s">
        <v>105</v>
      </c>
      <c r="E396" t="s">
        <v>106</v>
      </c>
      <c r="F396" t="s">
        <v>2491</v>
      </c>
      <c r="G396" t="s">
        <v>1879</v>
      </c>
      <c r="H396" t="s">
        <v>2492</v>
      </c>
      <c r="I396" s="88">
        <v>46143.71471064815</v>
      </c>
      <c r="J396" t="s">
        <v>107</v>
      </c>
      <c r="K396" t="s">
        <v>108</v>
      </c>
      <c r="L396" t="s">
        <v>2493</v>
      </c>
      <c r="M396" s="88">
        <v>46146.507662037038</v>
      </c>
      <c r="N396" t="s">
        <v>637</v>
      </c>
      <c r="O396" t="s">
        <v>112</v>
      </c>
      <c r="P396" t="s">
        <v>111</v>
      </c>
      <c r="Q396" t="s">
        <v>1587</v>
      </c>
      <c r="R396">
        <v>6</v>
      </c>
      <c r="S396" s="89">
        <v>9500</v>
      </c>
      <c r="T396" s="89">
        <v>0</v>
      </c>
      <c r="U396" s="89">
        <v>20080</v>
      </c>
      <c r="V396" s="89">
        <v>20080</v>
      </c>
      <c r="W396" s="89">
        <v>36920</v>
      </c>
    </row>
    <row r="397" spans="1:23" ht="13">
      <c r="A397" t="s">
        <v>2494</v>
      </c>
      <c r="B397" t="s">
        <v>2495</v>
      </c>
      <c r="C397" s="88">
        <v>46154.032118055555</v>
      </c>
      <c r="D397" t="s">
        <v>105</v>
      </c>
      <c r="E397" t="s">
        <v>106</v>
      </c>
      <c r="F397" t="s">
        <v>239</v>
      </c>
      <c r="G397" t="s">
        <v>2496</v>
      </c>
      <c r="H397" t="s">
        <v>2497</v>
      </c>
      <c r="I397" s="88">
        <v>46143.714699074073</v>
      </c>
      <c r="J397" t="s">
        <v>107</v>
      </c>
      <c r="K397" t="s">
        <v>108</v>
      </c>
      <c r="L397" t="s">
        <v>2498</v>
      </c>
      <c r="M397" s="88">
        <v>46146.411354166667</v>
      </c>
      <c r="N397" t="s">
        <v>637</v>
      </c>
      <c r="O397" t="s">
        <v>112</v>
      </c>
      <c r="P397" t="s">
        <v>111</v>
      </c>
      <c r="Q397" t="s">
        <v>2085</v>
      </c>
      <c r="R397">
        <v>2</v>
      </c>
      <c r="S397" s="89">
        <v>9500</v>
      </c>
      <c r="T397" s="89">
        <v>0</v>
      </c>
      <c r="U397" s="89">
        <v>4180</v>
      </c>
      <c r="V397" s="89">
        <v>4180</v>
      </c>
      <c r="W397" s="89">
        <v>14820</v>
      </c>
    </row>
    <row r="398" spans="1:23" ht="13">
      <c r="A398" t="s">
        <v>2499</v>
      </c>
      <c r="B398" t="s">
        <v>2500</v>
      </c>
      <c r="C398" s="88">
        <v>46154.030682870369</v>
      </c>
      <c r="D398" t="s">
        <v>105</v>
      </c>
      <c r="E398" t="s">
        <v>106</v>
      </c>
      <c r="F398" t="s">
        <v>2501</v>
      </c>
      <c r="G398" t="s">
        <v>2502</v>
      </c>
      <c r="H398" t="s">
        <v>2501</v>
      </c>
      <c r="I398" s="88">
        <v>46143.714768518519</v>
      </c>
      <c r="J398" t="s">
        <v>107</v>
      </c>
      <c r="K398" t="s">
        <v>108</v>
      </c>
      <c r="L398" t="s">
        <v>2503</v>
      </c>
      <c r="M398" s="88">
        <v>46146.507650462961</v>
      </c>
      <c r="N398" t="s">
        <v>637</v>
      </c>
      <c r="O398" t="s">
        <v>112</v>
      </c>
      <c r="P398" t="s">
        <v>111</v>
      </c>
      <c r="Q398" t="s">
        <v>1587</v>
      </c>
      <c r="R398">
        <v>1</v>
      </c>
      <c r="S398" s="89">
        <v>9500</v>
      </c>
      <c r="T398" s="89">
        <v>0</v>
      </c>
      <c r="U398" s="89">
        <v>2190</v>
      </c>
      <c r="V398" s="89">
        <v>2190</v>
      </c>
      <c r="W398" s="89">
        <v>7310</v>
      </c>
    </row>
    <row r="399" spans="1:23" ht="13">
      <c r="A399" t="s">
        <v>2504</v>
      </c>
      <c r="B399" t="s">
        <v>2505</v>
      </c>
      <c r="C399" s="88">
        <v>46154.030682870369</v>
      </c>
      <c r="D399" t="s">
        <v>105</v>
      </c>
      <c r="E399" t="s">
        <v>106</v>
      </c>
      <c r="F399" t="s">
        <v>2506</v>
      </c>
      <c r="G399" t="s">
        <v>2507</v>
      </c>
      <c r="H399" t="s">
        <v>2508</v>
      </c>
      <c r="I399" s="88">
        <v>46143.714768518519</v>
      </c>
      <c r="J399" t="s">
        <v>107</v>
      </c>
      <c r="K399" t="s">
        <v>108</v>
      </c>
      <c r="L399" t="s">
        <v>2509</v>
      </c>
      <c r="M399" s="88">
        <v>46146.629849537036</v>
      </c>
      <c r="N399" t="s">
        <v>637</v>
      </c>
      <c r="O399" t="s">
        <v>112</v>
      </c>
      <c r="P399" t="s">
        <v>111</v>
      </c>
      <c r="Q399" t="s">
        <v>2085</v>
      </c>
      <c r="R399">
        <v>1</v>
      </c>
      <c r="S399" s="89">
        <v>9500</v>
      </c>
      <c r="T399" s="89">
        <v>0</v>
      </c>
      <c r="U399" s="89">
        <v>2090</v>
      </c>
      <c r="V399" s="89">
        <v>2090</v>
      </c>
      <c r="W399" s="89">
        <v>7410</v>
      </c>
    </row>
    <row r="400" spans="1:23" ht="13">
      <c r="A400" t="s">
        <v>2510</v>
      </c>
      <c r="B400" t="s">
        <v>2511</v>
      </c>
      <c r="C400" s="88">
        <v>46154.030671296292</v>
      </c>
      <c r="D400" t="s">
        <v>105</v>
      </c>
      <c r="E400" t="s">
        <v>106</v>
      </c>
      <c r="F400" t="s">
        <v>2512</v>
      </c>
      <c r="G400" t="s">
        <v>2513</v>
      </c>
      <c r="H400" t="s">
        <v>2512</v>
      </c>
      <c r="I400" s="88">
        <v>46143.71475694445</v>
      </c>
      <c r="J400" t="s">
        <v>107</v>
      </c>
      <c r="K400" t="s">
        <v>108</v>
      </c>
      <c r="L400" t="s">
        <v>2514</v>
      </c>
      <c r="M400" s="88">
        <v>46146.443101851852</v>
      </c>
      <c r="N400" t="s">
        <v>637</v>
      </c>
      <c r="O400" t="s">
        <v>112</v>
      </c>
      <c r="P400" t="s">
        <v>111</v>
      </c>
      <c r="Q400" t="s">
        <v>1587</v>
      </c>
      <c r="R400">
        <v>3</v>
      </c>
      <c r="S400" s="89">
        <v>9500</v>
      </c>
      <c r="T400" s="89">
        <v>0</v>
      </c>
      <c r="U400" s="89">
        <v>6270</v>
      </c>
      <c r="V400" s="89">
        <v>6270</v>
      </c>
      <c r="W400" s="89">
        <v>22230</v>
      </c>
    </row>
    <row r="401" spans="1:23" ht="13">
      <c r="A401" t="s">
        <v>2515</v>
      </c>
      <c r="B401" t="s">
        <v>2516</v>
      </c>
      <c r="C401" s="88">
        <v>46154.030671296292</v>
      </c>
      <c r="D401" t="s">
        <v>105</v>
      </c>
      <c r="E401" t="s">
        <v>106</v>
      </c>
      <c r="F401" t="s">
        <v>2517</v>
      </c>
      <c r="G401" t="s">
        <v>2518</v>
      </c>
      <c r="H401" t="s">
        <v>2517</v>
      </c>
      <c r="I401" s="88">
        <v>46143.714745370366</v>
      </c>
      <c r="J401" t="s">
        <v>107</v>
      </c>
      <c r="K401" t="s">
        <v>108</v>
      </c>
      <c r="L401" t="s">
        <v>2519</v>
      </c>
      <c r="M401" s="88">
        <v>46146.41134259259</v>
      </c>
      <c r="N401" t="s">
        <v>637</v>
      </c>
      <c r="O401" t="s">
        <v>112</v>
      </c>
      <c r="P401" t="s">
        <v>111</v>
      </c>
      <c r="Q401" t="s">
        <v>1587</v>
      </c>
      <c r="R401">
        <v>3</v>
      </c>
      <c r="S401" s="89">
        <v>9500</v>
      </c>
      <c r="T401" s="89">
        <v>0</v>
      </c>
      <c r="U401" s="89">
        <v>6270</v>
      </c>
      <c r="V401" s="89">
        <v>6270</v>
      </c>
      <c r="W401" s="89">
        <v>22230</v>
      </c>
    </row>
    <row r="402" spans="1:23" ht="13">
      <c r="A402" t="s">
        <v>2520</v>
      </c>
      <c r="B402" t="s">
        <v>2521</v>
      </c>
      <c r="C402" s="88">
        <v>46154.030671296292</v>
      </c>
      <c r="D402" t="s">
        <v>105</v>
      </c>
      <c r="E402" t="s">
        <v>106</v>
      </c>
      <c r="F402" t="s">
        <v>2522</v>
      </c>
      <c r="G402" t="s">
        <v>2523</v>
      </c>
      <c r="H402" t="s">
        <v>2522</v>
      </c>
      <c r="I402" s="88">
        <v>46143.714733796296</v>
      </c>
      <c r="J402" t="s">
        <v>107</v>
      </c>
      <c r="K402" t="s">
        <v>108</v>
      </c>
      <c r="L402" t="s">
        <v>2524</v>
      </c>
      <c r="M402" s="88">
        <v>46146.442395833335</v>
      </c>
      <c r="N402" t="s">
        <v>637</v>
      </c>
      <c r="O402" t="s">
        <v>112</v>
      </c>
      <c r="P402" t="s">
        <v>111</v>
      </c>
      <c r="Q402" t="s">
        <v>1587</v>
      </c>
      <c r="R402">
        <v>2</v>
      </c>
      <c r="S402" s="89">
        <v>9500</v>
      </c>
      <c r="T402" s="89">
        <v>0</v>
      </c>
      <c r="U402" s="89">
        <v>4280</v>
      </c>
      <c r="V402" s="89">
        <v>4280</v>
      </c>
      <c r="W402" s="89">
        <v>14720</v>
      </c>
    </row>
    <row r="403" spans="1:23" ht="13">
      <c r="A403" t="s">
        <v>2525</v>
      </c>
      <c r="B403" t="s">
        <v>2526</v>
      </c>
      <c r="C403" s="88">
        <v>46154.030671296292</v>
      </c>
      <c r="D403" t="s">
        <v>105</v>
      </c>
      <c r="E403" t="s">
        <v>106</v>
      </c>
      <c r="F403" t="s">
        <v>2527</v>
      </c>
      <c r="G403" t="s">
        <v>2528</v>
      </c>
      <c r="H403" t="s">
        <v>2527</v>
      </c>
      <c r="I403" s="88">
        <v>46143.714722222227</v>
      </c>
      <c r="J403" t="s">
        <v>107</v>
      </c>
      <c r="K403" t="s">
        <v>108</v>
      </c>
      <c r="L403" t="s">
        <v>2529</v>
      </c>
      <c r="M403" s="88">
        <v>46146.443090277782</v>
      </c>
      <c r="N403" t="s">
        <v>637</v>
      </c>
      <c r="O403" t="s">
        <v>112</v>
      </c>
      <c r="P403" t="s">
        <v>111</v>
      </c>
      <c r="Q403" t="s">
        <v>1587</v>
      </c>
      <c r="R403">
        <v>6</v>
      </c>
      <c r="S403" s="89">
        <v>9500</v>
      </c>
      <c r="T403" s="89">
        <v>0</v>
      </c>
      <c r="U403" s="89">
        <v>19980</v>
      </c>
      <c r="V403" s="89">
        <v>19980</v>
      </c>
      <c r="W403" s="89">
        <v>37020</v>
      </c>
    </row>
    <row r="404" spans="1:23" ht="13">
      <c r="A404" t="s">
        <v>2530</v>
      </c>
      <c r="B404" t="s">
        <v>2531</v>
      </c>
      <c r="C404" s="88">
        <v>46154.030671296292</v>
      </c>
      <c r="D404" t="s">
        <v>105</v>
      </c>
      <c r="E404" t="s">
        <v>106</v>
      </c>
      <c r="F404" t="s">
        <v>2532</v>
      </c>
      <c r="G404" t="s">
        <v>2533</v>
      </c>
      <c r="H404" t="s">
        <v>2532</v>
      </c>
      <c r="I404" s="88">
        <v>46143.71471064815</v>
      </c>
      <c r="J404" t="s">
        <v>107</v>
      </c>
      <c r="K404" t="s">
        <v>108</v>
      </c>
      <c r="L404" t="s">
        <v>2534</v>
      </c>
      <c r="M404" s="88">
        <v>46146.509016203709</v>
      </c>
      <c r="N404" t="s">
        <v>637</v>
      </c>
      <c r="O404" t="s">
        <v>112</v>
      </c>
      <c r="P404" t="s">
        <v>111</v>
      </c>
      <c r="Q404" t="s">
        <v>1587</v>
      </c>
      <c r="R404">
        <v>6</v>
      </c>
      <c r="S404" s="89">
        <v>9500</v>
      </c>
      <c r="T404" s="89">
        <v>0</v>
      </c>
      <c r="U404" s="89">
        <v>20080</v>
      </c>
      <c r="V404" s="89">
        <v>20080</v>
      </c>
      <c r="W404" s="89">
        <v>36920</v>
      </c>
    </row>
    <row r="405" spans="1:23" ht="13">
      <c r="A405" t="s">
        <v>2535</v>
      </c>
      <c r="B405" t="s">
        <v>2536</v>
      </c>
      <c r="C405" s="88">
        <v>46154.030671296292</v>
      </c>
      <c r="D405" t="s">
        <v>105</v>
      </c>
      <c r="E405" t="s">
        <v>106</v>
      </c>
      <c r="F405" t="s">
        <v>2537</v>
      </c>
      <c r="G405" t="s">
        <v>2538</v>
      </c>
      <c r="H405" t="s">
        <v>2537</v>
      </c>
      <c r="I405" s="88">
        <v>46143.71471064815</v>
      </c>
      <c r="J405" t="s">
        <v>107</v>
      </c>
      <c r="K405" t="s">
        <v>108</v>
      </c>
      <c r="L405" t="s">
        <v>2539</v>
      </c>
      <c r="M405" s="88">
        <v>46146.509016203709</v>
      </c>
      <c r="N405" t="s">
        <v>637</v>
      </c>
      <c r="O405" t="s">
        <v>112</v>
      </c>
      <c r="P405" t="s">
        <v>111</v>
      </c>
      <c r="Q405" t="s">
        <v>1587</v>
      </c>
      <c r="R405">
        <v>6</v>
      </c>
      <c r="S405" s="89">
        <v>9500</v>
      </c>
      <c r="T405" s="89">
        <v>0</v>
      </c>
      <c r="U405" s="89">
        <v>20080</v>
      </c>
      <c r="V405" s="89">
        <v>20080</v>
      </c>
      <c r="W405" s="89">
        <v>36920</v>
      </c>
    </row>
    <row r="406" spans="1:23" ht="13">
      <c r="A406" t="s">
        <v>2540</v>
      </c>
      <c r="B406" t="s">
        <v>2541</v>
      </c>
      <c r="C406" s="88">
        <v>46154.030671296292</v>
      </c>
      <c r="D406" t="s">
        <v>105</v>
      </c>
      <c r="E406" t="s">
        <v>106</v>
      </c>
      <c r="F406" t="s">
        <v>2542</v>
      </c>
      <c r="G406" t="s">
        <v>2543</v>
      </c>
      <c r="H406" t="s">
        <v>2542</v>
      </c>
      <c r="I406" s="88">
        <v>46143.71471064815</v>
      </c>
      <c r="J406" t="s">
        <v>107</v>
      </c>
      <c r="K406" t="s">
        <v>108</v>
      </c>
      <c r="L406" t="s">
        <v>2544</v>
      </c>
      <c r="M406" s="88">
        <v>46146.631261574075</v>
      </c>
      <c r="N406" t="s">
        <v>637</v>
      </c>
      <c r="O406" t="s">
        <v>112</v>
      </c>
      <c r="P406" t="s">
        <v>111</v>
      </c>
      <c r="Q406" t="s">
        <v>1587</v>
      </c>
      <c r="R406">
        <v>2</v>
      </c>
      <c r="S406" s="89">
        <v>9500</v>
      </c>
      <c r="T406" s="89">
        <v>0</v>
      </c>
      <c r="U406" s="89">
        <v>4180</v>
      </c>
      <c r="V406" s="89">
        <v>4180</v>
      </c>
      <c r="W406" s="89">
        <v>14820</v>
      </c>
    </row>
    <row r="407" spans="1:23" ht="13">
      <c r="A407" t="s">
        <v>2545</v>
      </c>
      <c r="B407" t="s">
        <v>2546</v>
      </c>
      <c r="C407" s="88">
        <v>46154.030671296292</v>
      </c>
      <c r="D407" t="s">
        <v>105</v>
      </c>
      <c r="E407" t="s">
        <v>106</v>
      </c>
      <c r="F407" t="s">
        <v>2547</v>
      </c>
      <c r="G407" t="s">
        <v>2548</v>
      </c>
      <c r="H407" t="s">
        <v>2547</v>
      </c>
      <c r="I407" s="88">
        <v>46143.714699074073</v>
      </c>
      <c r="J407" t="s">
        <v>107</v>
      </c>
      <c r="K407" t="s">
        <v>108</v>
      </c>
      <c r="L407" t="s">
        <v>2549</v>
      </c>
      <c r="M407" s="88">
        <v>46146.443032407406</v>
      </c>
      <c r="N407" t="s">
        <v>637</v>
      </c>
      <c r="O407" t="s">
        <v>112</v>
      </c>
      <c r="P407" t="s">
        <v>111</v>
      </c>
      <c r="Q407" t="s">
        <v>1587</v>
      </c>
      <c r="R407">
        <v>4</v>
      </c>
      <c r="S407" s="89">
        <v>9500</v>
      </c>
      <c r="T407" s="89">
        <v>0</v>
      </c>
      <c r="U407" s="89">
        <v>8360</v>
      </c>
      <c r="V407" s="89">
        <v>8360</v>
      </c>
      <c r="W407" s="89">
        <v>29640</v>
      </c>
    </row>
    <row r="408" spans="1:23" ht="13">
      <c r="A408" t="s">
        <v>2550</v>
      </c>
      <c r="B408" t="s">
        <v>2551</v>
      </c>
      <c r="C408" s="88">
        <v>46154.030659722222</v>
      </c>
      <c r="D408" t="s">
        <v>105</v>
      </c>
      <c r="E408" t="s">
        <v>106</v>
      </c>
      <c r="F408" t="s">
        <v>2552</v>
      </c>
      <c r="G408" t="s">
        <v>2553</v>
      </c>
      <c r="H408" t="s">
        <v>2552</v>
      </c>
      <c r="I408" s="88">
        <v>46143.714699074073</v>
      </c>
      <c r="J408" t="s">
        <v>107</v>
      </c>
      <c r="K408" t="s">
        <v>108</v>
      </c>
      <c r="L408" t="s">
        <v>2554</v>
      </c>
      <c r="M408" s="88">
        <v>46146.443113425921</v>
      </c>
      <c r="N408" t="s">
        <v>637</v>
      </c>
      <c r="O408" t="s">
        <v>112</v>
      </c>
      <c r="P408" t="s">
        <v>111</v>
      </c>
      <c r="Q408" t="s">
        <v>1587</v>
      </c>
      <c r="R408">
        <v>2</v>
      </c>
      <c r="S408" s="89">
        <v>9500</v>
      </c>
      <c r="T408" s="89">
        <v>0</v>
      </c>
      <c r="U408" s="89">
        <v>4180</v>
      </c>
      <c r="V408" s="89">
        <v>4180</v>
      </c>
      <c r="W408" s="89">
        <v>14820</v>
      </c>
    </row>
    <row r="409" spans="1:23" ht="13">
      <c r="A409" t="s">
        <v>2555</v>
      </c>
      <c r="B409" t="s">
        <v>2556</v>
      </c>
      <c r="C409" s="88">
        <v>46154.030393518522</v>
      </c>
      <c r="D409" t="s">
        <v>105</v>
      </c>
      <c r="E409" t="s">
        <v>106</v>
      </c>
      <c r="F409" t="s">
        <v>2557</v>
      </c>
      <c r="G409" t="s">
        <v>2558</v>
      </c>
      <c r="H409" t="s">
        <v>2557</v>
      </c>
      <c r="I409" s="88">
        <v>46143.71475694445</v>
      </c>
      <c r="J409" t="s">
        <v>107</v>
      </c>
      <c r="K409" t="s">
        <v>108</v>
      </c>
      <c r="L409" t="s">
        <v>2559</v>
      </c>
      <c r="M409" s="88">
        <v>46146.629861111112</v>
      </c>
      <c r="N409" t="s">
        <v>637</v>
      </c>
      <c r="O409" t="s">
        <v>112</v>
      </c>
      <c r="P409" t="s">
        <v>111</v>
      </c>
      <c r="Q409" t="s">
        <v>1587</v>
      </c>
      <c r="R409">
        <v>2</v>
      </c>
      <c r="S409" s="89">
        <v>9500</v>
      </c>
      <c r="T409" s="89">
        <v>0</v>
      </c>
      <c r="U409" s="89">
        <v>4280</v>
      </c>
      <c r="V409" s="89">
        <v>4280</v>
      </c>
      <c r="W409" s="89">
        <v>14720</v>
      </c>
    </row>
    <row r="410" spans="1:23" ht="13">
      <c r="A410" t="s">
        <v>2560</v>
      </c>
      <c r="B410" t="s">
        <v>2561</v>
      </c>
      <c r="C410" s="88">
        <v>46154.030393518522</v>
      </c>
      <c r="D410" t="s">
        <v>105</v>
      </c>
      <c r="E410" t="s">
        <v>106</v>
      </c>
      <c r="F410" t="s">
        <v>2562</v>
      </c>
      <c r="G410" t="s">
        <v>2563</v>
      </c>
      <c r="H410" t="s">
        <v>2562</v>
      </c>
      <c r="I410" s="88">
        <v>46143.71475694445</v>
      </c>
      <c r="J410" t="s">
        <v>107</v>
      </c>
      <c r="K410" t="s">
        <v>108</v>
      </c>
      <c r="L410" t="s">
        <v>2564</v>
      </c>
      <c r="M410" s="88">
        <v>46146.507002314815</v>
      </c>
      <c r="N410" t="s">
        <v>637</v>
      </c>
      <c r="O410" t="s">
        <v>112</v>
      </c>
      <c r="P410" t="s">
        <v>111</v>
      </c>
      <c r="Q410" t="s">
        <v>1587</v>
      </c>
      <c r="R410">
        <v>2</v>
      </c>
      <c r="S410" s="89">
        <v>9500</v>
      </c>
      <c r="T410" s="89">
        <v>0</v>
      </c>
      <c r="U410" s="89">
        <v>4280</v>
      </c>
      <c r="V410" s="89">
        <v>4280</v>
      </c>
      <c r="W410" s="89">
        <v>14720</v>
      </c>
    </row>
    <row r="411" spans="1:23" ht="13">
      <c r="A411" t="s">
        <v>2565</v>
      </c>
      <c r="B411" t="s">
        <v>2566</v>
      </c>
      <c r="C411" s="88">
        <v>46154.030393518522</v>
      </c>
      <c r="D411" t="s">
        <v>105</v>
      </c>
      <c r="E411" t="s">
        <v>106</v>
      </c>
      <c r="F411" t="s">
        <v>2567</v>
      </c>
      <c r="G411" t="s">
        <v>2568</v>
      </c>
      <c r="H411" t="s">
        <v>2567</v>
      </c>
      <c r="I411" s="88">
        <v>46143.71471064815</v>
      </c>
      <c r="J411" t="s">
        <v>107</v>
      </c>
      <c r="K411" t="s">
        <v>108</v>
      </c>
      <c r="L411" t="s">
        <v>2569</v>
      </c>
      <c r="M411" s="88">
        <v>46146.411354166667</v>
      </c>
      <c r="N411" t="s">
        <v>637</v>
      </c>
      <c r="O411" t="s">
        <v>112</v>
      </c>
      <c r="P411" t="s">
        <v>111</v>
      </c>
      <c r="Q411" t="s">
        <v>1587</v>
      </c>
      <c r="R411">
        <v>3</v>
      </c>
      <c r="S411" s="89">
        <v>9500</v>
      </c>
      <c r="T411" s="89">
        <v>0</v>
      </c>
      <c r="U411" s="89">
        <v>6270</v>
      </c>
      <c r="V411" s="89">
        <v>6270</v>
      </c>
      <c r="W411" s="89">
        <v>22230</v>
      </c>
    </row>
    <row r="412" spans="1:23" ht="13">
      <c r="A412" t="s">
        <v>2570</v>
      </c>
      <c r="B412" t="s">
        <v>2571</v>
      </c>
      <c r="C412" s="88">
        <v>46154.030393518522</v>
      </c>
      <c r="D412" t="s">
        <v>105</v>
      </c>
      <c r="E412" t="s">
        <v>106</v>
      </c>
      <c r="F412" t="s">
        <v>2572</v>
      </c>
      <c r="G412" t="s">
        <v>2573</v>
      </c>
      <c r="H412" t="s">
        <v>2572</v>
      </c>
      <c r="I412" s="88">
        <v>46143.71471064815</v>
      </c>
      <c r="J412" t="s">
        <v>107</v>
      </c>
      <c r="K412" t="s">
        <v>108</v>
      </c>
      <c r="L412" t="s">
        <v>2574</v>
      </c>
      <c r="M412" s="88">
        <v>46146.629155092596</v>
      </c>
      <c r="N412" t="s">
        <v>637</v>
      </c>
      <c r="O412" t="s">
        <v>112</v>
      </c>
      <c r="P412" t="s">
        <v>111</v>
      </c>
      <c r="Q412" t="s">
        <v>1587</v>
      </c>
      <c r="R412">
        <v>4</v>
      </c>
      <c r="S412" s="89">
        <v>9500</v>
      </c>
      <c r="T412" s="89">
        <v>0</v>
      </c>
      <c r="U412" s="89">
        <v>8460</v>
      </c>
      <c r="V412" s="89">
        <v>8460</v>
      </c>
      <c r="W412" s="89">
        <v>29540</v>
      </c>
    </row>
    <row r="413" spans="1:23" ht="13">
      <c r="A413" t="s">
        <v>2575</v>
      </c>
      <c r="B413" t="s">
        <v>2576</v>
      </c>
      <c r="C413" s="88">
        <v>46154.030381944445</v>
      </c>
      <c r="D413" t="s">
        <v>105</v>
      </c>
      <c r="E413" t="s">
        <v>106</v>
      </c>
      <c r="F413" t="s">
        <v>2577</v>
      </c>
      <c r="G413" t="s">
        <v>2578</v>
      </c>
      <c r="H413" t="s">
        <v>2579</v>
      </c>
      <c r="I413" s="88">
        <v>46143.71471064815</v>
      </c>
      <c r="J413" t="s">
        <v>107</v>
      </c>
      <c r="K413" t="s">
        <v>108</v>
      </c>
      <c r="L413" t="s">
        <v>2580</v>
      </c>
      <c r="M413" s="88">
        <v>46146.633344907408</v>
      </c>
      <c r="N413" t="s">
        <v>637</v>
      </c>
      <c r="O413" t="s">
        <v>112</v>
      </c>
      <c r="P413" t="s">
        <v>111</v>
      </c>
      <c r="Q413" t="s">
        <v>1587</v>
      </c>
      <c r="R413">
        <v>2</v>
      </c>
      <c r="S413" s="89">
        <v>9500</v>
      </c>
      <c r="T413" s="89">
        <v>0</v>
      </c>
      <c r="U413" s="89">
        <v>4280</v>
      </c>
      <c r="V413" s="89">
        <v>4280</v>
      </c>
      <c r="W413" s="89">
        <v>14720</v>
      </c>
    </row>
    <row r="414" spans="1:23" ht="13">
      <c r="A414" t="s">
        <v>2581</v>
      </c>
      <c r="B414" t="s">
        <v>2582</v>
      </c>
      <c r="C414" s="88">
        <v>46154.030381944445</v>
      </c>
      <c r="D414" t="s">
        <v>105</v>
      </c>
      <c r="E414" t="s">
        <v>106</v>
      </c>
      <c r="F414" t="s">
        <v>2583</v>
      </c>
      <c r="G414" t="s">
        <v>244</v>
      </c>
      <c r="H414" t="s">
        <v>2583</v>
      </c>
      <c r="I414" s="88">
        <v>46143.714687500003</v>
      </c>
      <c r="J414" t="s">
        <v>107</v>
      </c>
      <c r="K414" t="s">
        <v>108</v>
      </c>
      <c r="L414" t="s">
        <v>2584</v>
      </c>
      <c r="M414" s="88">
        <v>46146.443043981482</v>
      </c>
      <c r="N414" t="s">
        <v>637</v>
      </c>
      <c r="O414" t="s">
        <v>112</v>
      </c>
      <c r="P414" t="s">
        <v>111</v>
      </c>
      <c r="Q414" t="s">
        <v>2085</v>
      </c>
      <c r="R414">
        <v>2</v>
      </c>
      <c r="S414" s="89">
        <v>9500</v>
      </c>
      <c r="T414" s="89">
        <v>0</v>
      </c>
      <c r="U414" s="89">
        <v>4180</v>
      </c>
      <c r="V414" s="89">
        <v>4180</v>
      </c>
      <c r="W414" s="89">
        <v>14820</v>
      </c>
    </row>
    <row r="415" spans="1:23" ht="13">
      <c r="A415" t="s">
        <v>2585</v>
      </c>
      <c r="B415" t="s">
        <v>2586</v>
      </c>
      <c r="C415" s="88">
        <v>46154.030324074076</v>
      </c>
      <c r="D415" t="s">
        <v>105</v>
      </c>
      <c r="E415" t="s">
        <v>106</v>
      </c>
      <c r="F415" t="s">
        <v>2587</v>
      </c>
      <c r="G415" t="s">
        <v>2588</v>
      </c>
      <c r="H415" t="s">
        <v>2587</v>
      </c>
      <c r="I415" s="88">
        <v>46143.714768518519</v>
      </c>
      <c r="J415" t="s">
        <v>107</v>
      </c>
      <c r="K415" t="s">
        <v>108</v>
      </c>
      <c r="L415" t="s">
        <v>2589</v>
      </c>
      <c r="M415" s="88">
        <v>46146.509016203709</v>
      </c>
      <c r="N415" t="s">
        <v>637</v>
      </c>
      <c r="O415" t="s">
        <v>112</v>
      </c>
      <c r="P415" t="s">
        <v>111</v>
      </c>
      <c r="Q415" t="s">
        <v>1587</v>
      </c>
      <c r="R415">
        <v>1</v>
      </c>
      <c r="S415" s="89">
        <v>9500</v>
      </c>
      <c r="T415" s="89">
        <v>0</v>
      </c>
      <c r="U415" s="89">
        <v>2190</v>
      </c>
      <c r="V415" s="89">
        <v>2190</v>
      </c>
      <c r="W415" s="89">
        <v>7310</v>
      </c>
    </row>
    <row r="416" spans="1:23" ht="13">
      <c r="A416" t="s">
        <v>2590</v>
      </c>
      <c r="B416" t="s">
        <v>2591</v>
      </c>
      <c r="C416" s="88">
        <v>46154.030324074076</v>
      </c>
      <c r="D416" t="s">
        <v>105</v>
      </c>
      <c r="E416" t="s">
        <v>106</v>
      </c>
      <c r="F416" t="s">
        <v>287</v>
      </c>
      <c r="G416" t="s">
        <v>2592</v>
      </c>
      <c r="H416" t="s">
        <v>287</v>
      </c>
      <c r="I416" s="88">
        <v>46143.71475694445</v>
      </c>
      <c r="J416" t="s">
        <v>107</v>
      </c>
      <c r="K416" t="s">
        <v>108</v>
      </c>
      <c r="L416" t="s">
        <v>2593</v>
      </c>
      <c r="M416" s="88">
        <v>46146.411354166667</v>
      </c>
      <c r="N416" t="s">
        <v>637</v>
      </c>
      <c r="O416" t="s">
        <v>112</v>
      </c>
      <c r="P416" t="s">
        <v>111</v>
      </c>
      <c r="Q416" t="s">
        <v>1587</v>
      </c>
      <c r="R416">
        <v>7</v>
      </c>
      <c r="S416" s="89">
        <v>9500</v>
      </c>
      <c r="T416" s="89">
        <v>0</v>
      </c>
      <c r="U416" s="89">
        <v>23310</v>
      </c>
      <c r="V416" s="89">
        <v>23310</v>
      </c>
      <c r="W416" s="89">
        <v>43190</v>
      </c>
    </row>
    <row r="417" spans="1:23" ht="13">
      <c r="A417" t="s">
        <v>2594</v>
      </c>
      <c r="B417" t="s">
        <v>2595</v>
      </c>
      <c r="C417" s="88">
        <v>46154.030324074076</v>
      </c>
      <c r="D417" t="s">
        <v>105</v>
      </c>
      <c r="E417" t="s">
        <v>106</v>
      </c>
      <c r="F417" t="s">
        <v>2596</v>
      </c>
      <c r="G417" t="s">
        <v>2597</v>
      </c>
      <c r="H417" t="s">
        <v>2598</v>
      </c>
      <c r="I417" s="88">
        <v>46143.71475694445</v>
      </c>
      <c r="J417" t="s">
        <v>107</v>
      </c>
      <c r="K417" t="s">
        <v>108</v>
      </c>
      <c r="L417" t="s">
        <v>2599</v>
      </c>
      <c r="M417" s="88">
        <v>46146.443113425921</v>
      </c>
      <c r="N417" t="s">
        <v>637</v>
      </c>
      <c r="O417" t="s">
        <v>112</v>
      </c>
      <c r="P417" t="s">
        <v>111</v>
      </c>
      <c r="Q417" t="s">
        <v>1587</v>
      </c>
      <c r="R417">
        <v>5</v>
      </c>
      <c r="S417" s="89">
        <v>9500</v>
      </c>
      <c r="T417" s="89">
        <v>0</v>
      </c>
      <c r="U417" s="89">
        <v>10550</v>
      </c>
      <c r="V417" s="89">
        <v>10550</v>
      </c>
      <c r="W417" s="89">
        <v>36950</v>
      </c>
    </row>
    <row r="418" spans="1:23" ht="13">
      <c r="A418" t="s">
        <v>2600</v>
      </c>
      <c r="B418" t="s">
        <v>2601</v>
      </c>
      <c r="C418" s="88">
        <v>46154.030324074076</v>
      </c>
      <c r="D418" t="s">
        <v>105</v>
      </c>
      <c r="E418" t="s">
        <v>106</v>
      </c>
      <c r="F418" t="s">
        <v>2602</v>
      </c>
      <c r="G418" t="s">
        <v>143</v>
      </c>
      <c r="H418" t="s">
        <v>2602</v>
      </c>
      <c r="I418" s="88">
        <v>46143.71475694445</v>
      </c>
      <c r="J418" t="s">
        <v>107</v>
      </c>
      <c r="K418" t="s">
        <v>108</v>
      </c>
      <c r="L418" t="s">
        <v>2603</v>
      </c>
      <c r="M418" s="88">
        <v>46146.555509259255</v>
      </c>
      <c r="N418" t="s">
        <v>637</v>
      </c>
      <c r="O418" t="s">
        <v>112</v>
      </c>
      <c r="P418" t="s">
        <v>111</v>
      </c>
      <c r="Q418" t="s">
        <v>1587</v>
      </c>
      <c r="R418">
        <v>6</v>
      </c>
      <c r="S418" s="89">
        <v>9500</v>
      </c>
      <c r="T418" s="89">
        <v>0</v>
      </c>
      <c r="U418" s="89">
        <v>20080</v>
      </c>
      <c r="V418" s="89">
        <v>20080</v>
      </c>
      <c r="W418" s="89">
        <v>36920</v>
      </c>
    </row>
    <row r="419" spans="1:23" ht="13">
      <c r="A419" t="s">
        <v>2604</v>
      </c>
      <c r="B419" t="s">
        <v>2605</v>
      </c>
      <c r="C419" s="88">
        <v>46154.030312499999</v>
      </c>
      <c r="D419" t="s">
        <v>105</v>
      </c>
      <c r="E419" t="s">
        <v>106</v>
      </c>
      <c r="F419" t="s">
        <v>288</v>
      </c>
      <c r="G419" t="s">
        <v>2606</v>
      </c>
      <c r="H419" t="s">
        <v>288</v>
      </c>
      <c r="I419" s="88">
        <v>46143.714722222227</v>
      </c>
      <c r="J419" t="s">
        <v>107</v>
      </c>
      <c r="K419" t="s">
        <v>108</v>
      </c>
      <c r="L419" t="s">
        <v>2607</v>
      </c>
      <c r="M419" s="88">
        <v>46146.443101851852</v>
      </c>
      <c r="N419" t="s">
        <v>637</v>
      </c>
      <c r="O419" t="s">
        <v>112</v>
      </c>
      <c r="P419" t="s">
        <v>111</v>
      </c>
      <c r="Q419" t="s">
        <v>1587</v>
      </c>
      <c r="R419">
        <v>6</v>
      </c>
      <c r="S419" s="89">
        <v>9500</v>
      </c>
      <c r="T419" s="89">
        <v>0</v>
      </c>
      <c r="U419" s="89">
        <v>19980</v>
      </c>
      <c r="V419" s="89">
        <v>19980</v>
      </c>
      <c r="W419" s="89">
        <v>37020</v>
      </c>
    </row>
    <row r="420" spans="1:23" ht="13">
      <c r="A420" t="s">
        <v>2608</v>
      </c>
      <c r="B420" t="s">
        <v>2609</v>
      </c>
      <c r="C420" s="88">
        <v>46154.030312499999</v>
      </c>
      <c r="D420" t="s">
        <v>105</v>
      </c>
      <c r="E420" t="s">
        <v>106</v>
      </c>
      <c r="F420" t="s">
        <v>2610</v>
      </c>
      <c r="G420" t="s">
        <v>2611</v>
      </c>
      <c r="H420" t="s">
        <v>2610</v>
      </c>
      <c r="I420" s="88">
        <v>46143.71471064815</v>
      </c>
      <c r="J420" t="s">
        <v>107</v>
      </c>
      <c r="K420" t="s">
        <v>108</v>
      </c>
      <c r="L420" t="s">
        <v>2612</v>
      </c>
      <c r="M420" s="88">
        <v>46146.631249999999</v>
      </c>
      <c r="N420" t="s">
        <v>637</v>
      </c>
      <c r="O420" t="s">
        <v>112</v>
      </c>
      <c r="P420" t="s">
        <v>111</v>
      </c>
      <c r="Q420" t="s">
        <v>1587</v>
      </c>
      <c r="R420">
        <v>6</v>
      </c>
      <c r="S420" s="89">
        <v>9500</v>
      </c>
      <c r="T420" s="89">
        <v>0</v>
      </c>
      <c r="U420" s="89">
        <v>20080</v>
      </c>
      <c r="V420" s="89">
        <v>20080</v>
      </c>
      <c r="W420" s="89">
        <v>36920</v>
      </c>
    </row>
    <row r="421" spans="1:23" ht="13">
      <c r="A421" t="s">
        <v>2613</v>
      </c>
      <c r="B421" t="s">
        <v>2614</v>
      </c>
      <c r="C421" s="88">
        <v>46154.030312499999</v>
      </c>
      <c r="D421" t="s">
        <v>105</v>
      </c>
      <c r="E421" t="s">
        <v>106</v>
      </c>
      <c r="F421" t="s">
        <v>2615</v>
      </c>
      <c r="G421" t="s">
        <v>2616</v>
      </c>
      <c r="H421" t="s">
        <v>2615</v>
      </c>
      <c r="I421" s="88">
        <v>46143.714687500003</v>
      </c>
      <c r="J421" t="s">
        <v>107</v>
      </c>
      <c r="K421" t="s">
        <v>108</v>
      </c>
      <c r="L421" t="s">
        <v>2617</v>
      </c>
      <c r="M421" s="88">
        <v>46146.506990740745</v>
      </c>
      <c r="N421" t="s">
        <v>637</v>
      </c>
      <c r="O421" t="s">
        <v>112</v>
      </c>
      <c r="P421" t="s">
        <v>111</v>
      </c>
      <c r="Q421" t="s">
        <v>2085</v>
      </c>
      <c r="R421">
        <v>2</v>
      </c>
      <c r="S421" s="89">
        <v>9500</v>
      </c>
      <c r="T421" s="89">
        <v>0</v>
      </c>
      <c r="U421" s="89">
        <v>4180</v>
      </c>
      <c r="V421" s="89">
        <v>4180</v>
      </c>
      <c r="W421" s="89">
        <v>14820</v>
      </c>
    </row>
    <row r="422" spans="1:23" ht="13">
      <c r="A422" t="s">
        <v>2618</v>
      </c>
      <c r="B422" t="s">
        <v>2619</v>
      </c>
      <c r="C422" s="88">
        <v>46154.030289351853</v>
      </c>
      <c r="D422" t="s">
        <v>105</v>
      </c>
      <c r="E422" t="s">
        <v>106</v>
      </c>
      <c r="F422" t="s">
        <v>2620</v>
      </c>
      <c r="G422" t="s">
        <v>2621</v>
      </c>
      <c r="H422" t="s">
        <v>2620</v>
      </c>
      <c r="I422" s="88">
        <v>46143.714745370366</v>
      </c>
      <c r="J422" t="s">
        <v>107</v>
      </c>
      <c r="K422" t="s">
        <v>108</v>
      </c>
      <c r="L422" t="s">
        <v>2622</v>
      </c>
      <c r="M422" s="88">
        <v>46146.506990740745</v>
      </c>
      <c r="N422" t="s">
        <v>637</v>
      </c>
      <c r="O422" t="s">
        <v>112</v>
      </c>
      <c r="P422" t="s">
        <v>111</v>
      </c>
      <c r="Q422" t="s">
        <v>1587</v>
      </c>
      <c r="R422">
        <v>4</v>
      </c>
      <c r="S422" s="89">
        <v>9500</v>
      </c>
      <c r="T422" s="89">
        <v>0</v>
      </c>
      <c r="U422" s="89">
        <v>8360</v>
      </c>
      <c r="V422" s="89">
        <v>8360</v>
      </c>
      <c r="W422" s="89">
        <v>29640</v>
      </c>
    </row>
    <row r="423" spans="1:23" ht="13">
      <c r="A423" t="s">
        <v>2623</v>
      </c>
      <c r="B423" t="s">
        <v>2624</v>
      </c>
      <c r="C423" s="88">
        <v>46154.030289351853</v>
      </c>
      <c r="D423" t="s">
        <v>105</v>
      </c>
      <c r="E423" t="s">
        <v>106</v>
      </c>
      <c r="F423" t="s">
        <v>2625</v>
      </c>
      <c r="G423" t="s">
        <v>2626</v>
      </c>
      <c r="H423" t="s">
        <v>2625</v>
      </c>
      <c r="I423" s="88">
        <v>46143.71471064815</v>
      </c>
      <c r="J423" t="s">
        <v>107</v>
      </c>
      <c r="K423" t="s">
        <v>108</v>
      </c>
      <c r="L423" t="s">
        <v>2627</v>
      </c>
      <c r="M423" s="88">
        <v>46146.460648148146</v>
      </c>
      <c r="N423" t="s">
        <v>637</v>
      </c>
      <c r="O423" t="s">
        <v>112</v>
      </c>
      <c r="P423" t="s">
        <v>111</v>
      </c>
      <c r="Q423" t="s">
        <v>1587</v>
      </c>
      <c r="R423">
        <v>6</v>
      </c>
      <c r="S423" s="89">
        <v>9500</v>
      </c>
      <c r="T423" s="89">
        <v>0</v>
      </c>
      <c r="U423" s="89">
        <v>20080</v>
      </c>
      <c r="V423" s="89">
        <v>20080</v>
      </c>
      <c r="W423" s="89">
        <v>36920</v>
      </c>
    </row>
    <row r="424" spans="1:23" ht="13">
      <c r="A424" t="s">
        <v>2628</v>
      </c>
      <c r="B424" t="s">
        <v>2629</v>
      </c>
      <c r="C424" s="88">
        <v>46154.030289351853</v>
      </c>
      <c r="D424" t="s">
        <v>105</v>
      </c>
      <c r="E424" t="s">
        <v>106</v>
      </c>
      <c r="F424" t="s">
        <v>2630</v>
      </c>
      <c r="G424" t="s">
        <v>2631</v>
      </c>
      <c r="H424" t="s">
        <v>2630</v>
      </c>
      <c r="I424" s="88">
        <v>46143.71471064815</v>
      </c>
      <c r="J424" t="s">
        <v>107</v>
      </c>
      <c r="K424" t="s">
        <v>108</v>
      </c>
      <c r="L424" t="s">
        <v>2632</v>
      </c>
      <c r="M424" s="88">
        <v>46146.713854166665</v>
      </c>
      <c r="N424" t="s">
        <v>637</v>
      </c>
      <c r="O424" t="s">
        <v>112</v>
      </c>
      <c r="P424" t="s">
        <v>111</v>
      </c>
      <c r="Q424" t="s">
        <v>1587</v>
      </c>
      <c r="R424">
        <v>3</v>
      </c>
      <c r="S424" s="89">
        <v>9500</v>
      </c>
      <c r="T424" s="89">
        <v>0</v>
      </c>
      <c r="U424" s="89">
        <v>6370</v>
      </c>
      <c r="V424" s="89">
        <v>6370</v>
      </c>
      <c r="W424" s="89">
        <v>22130</v>
      </c>
    </row>
    <row r="425" spans="1:23" ht="13">
      <c r="A425" t="s">
        <v>2633</v>
      </c>
      <c r="B425" t="s">
        <v>2634</v>
      </c>
      <c r="C425" s="88">
        <v>46154.030289351853</v>
      </c>
      <c r="D425" t="s">
        <v>105</v>
      </c>
      <c r="E425" t="s">
        <v>106</v>
      </c>
      <c r="F425" t="s">
        <v>2635</v>
      </c>
      <c r="G425" t="s">
        <v>200</v>
      </c>
      <c r="H425" t="s">
        <v>2635</v>
      </c>
      <c r="I425" s="88">
        <v>46143.714699074073</v>
      </c>
      <c r="J425" t="s">
        <v>107</v>
      </c>
      <c r="K425" t="s">
        <v>108</v>
      </c>
      <c r="L425" t="s">
        <v>2636</v>
      </c>
      <c r="M425" s="88">
        <v>46146.629155092596</v>
      </c>
      <c r="N425" t="s">
        <v>637</v>
      </c>
      <c r="O425" t="s">
        <v>112</v>
      </c>
      <c r="P425" t="s">
        <v>111</v>
      </c>
      <c r="Q425" t="s">
        <v>1587</v>
      </c>
      <c r="R425">
        <v>2</v>
      </c>
      <c r="S425" s="89">
        <v>9500</v>
      </c>
      <c r="T425" s="89">
        <v>0</v>
      </c>
      <c r="U425" s="89">
        <v>4280</v>
      </c>
      <c r="V425" s="89">
        <v>4280</v>
      </c>
      <c r="W425" s="89">
        <v>14720</v>
      </c>
    </row>
    <row r="426" spans="1:23" ht="13">
      <c r="A426" t="s">
        <v>2637</v>
      </c>
      <c r="B426" t="s">
        <v>2638</v>
      </c>
      <c r="C426" s="88">
        <v>46154.030289351853</v>
      </c>
      <c r="D426" t="s">
        <v>105</v>
      </c>
      <c r="E426" t="s">
        <v>106</v>
      </c>
      <c r="F426" t="s">
        <v>285</v>
      </c>
      <c r="G426" t="s">
        <v>2639</v>
      </c>
      <c r="H426" t="s">
        <v>285</v>
      </c>
      <c r="I426" s="88">
        <v>46143.714699074073</v>
      </c>
      <c r="J426" t="s">
        <v>107</v>
      </c>
      <c r="K426" t="s">
        <v>108</v>
      </c>
      <c r="L426" t="s">
        <v>2640</v>
      </c>
      <c r="M426" s="88">
        <v>46146.443101851852</v>
      </c>
      <c r="N426" t="s">
        <v>637</v>
      </c>
      <c r="O426" t="s">
        <v>112</v>
      </c>
      <c r="P426" t="s">
        <v>111</v>
      </c>
      <c r="Q426" t="s">
        <v>1587</v>
      </c>
      <c r="R426">
        <v>6</v>
      </c>
      <c r="S426" s="89">
        <v>9500</v>
      </c>
      <c r="T426" s="89">
        <v>0</v>
      </c>
      <c r="U426" s="89">
        <v>20080</v>
      </c>
      <c r="V426" s="89">
        <v>20080</v>
      </c>
      <c r="W426" s="89">
        <v>36920</v>
      </c>
    </row>
    <row r="427" spans="1:23" ht="13">
      <c r="A427" t="s">
        <v>2641</v>
      </c>
      <c r="B427" t="s">
        <v>2642</v>
      </c>
      <c r="C427" s="88">
        <v>46154.030208333337</v>
      </c>
      <c r="D427" t="s">
        <v>105</v>
      </c>
      <c r="E427" t="s">
        <v>106</v>
      </c>
      <c r="F427" t="s">
        <v>2643</v>
      </c>
      <c r="G427" t="s">
        <v>2644</v>
      </c>
      <c r="H427" t="s">
        <v>2643</v>
      </c>
      <c r="I427" s="88">
        <v>46143.714768518519</v>
      </c>
      <c r="J427" t="s">
        <v>107</v>
      </c>
      <c r="K427" t="s">
        <v>108</v>
      </c>
      <c r="L427" t="s">
        <v>2645</v>
      </c>
      <c r="M427" s="88">
        <v>46146.507650462961</v>
      </c>
      <c r="N427" t="s">
        <v>637</v>
      </c>
      <c r="O427" t="s">
        <v>112</v>
      </c>
      <c r="P427" t="s">
        <v>111</v>
      </c>
      <c r="Q427" t="s">
        <v>1587</v>
      </c>
      <c r="R427">
        <v>1</v>
      </c>
      <c r="S427" s="89">
        <v>9500</v>
      </c>
      <c r="T427" s="89">
        <v>0</v>
      </c>
      <c r="U427" s="89">
        <v>2090</v>
      </c>
      <c r="V427" s="89">
        <v>2090</v>
      </c>
      <c r="W427" s="89">
        <v>7410</v>
      </c>
    </row>
    <row r="428" spans="1:23" ht="13">
      <c r="A428" t="s">
        <v>2646</v>
      </c>
      <c r="B428" t="s">
        <v>2647</v>
      </c>
      <c r="C428" s="88">
        <v>46154.030208333337</v>
      </c>
      <c r="D428" t="s">
        <v>105</v>
      </c>
      <c r="E428" t="s">
        <v>106</v>
      </c>
      <c r="F428" t="s">
        <v>2648</v>
      </c>
      <c r="G428" t="s">
        <v>2649</v>
      </c>
      <c r="H428" t="s">
        <v>2648</v>
      </c>
      <c r="I428" s="88">
        <v>46143.71475694445</v>
      </c>
      <c r="J428" t="s">
        <v>107</v>
      </c>
      <c r="K428" t="s">
        <v>108</v>
      </c>
      <c r="L428" t="s">
        <v>2650</v>
      </c>
      <c r="M428" s="88">
        <v>46146.507638888885</v>
      </c>
      <c r="N428" t="s">
        <v>637</v>
      </c>
      <c r="O428" t="s">
        <v>112</v>
      </c>
      <c r="P428" t="s">
        <v>111</v>
      </c>
      <c r="Q428" t="s">
        <v>1587</v>
      </c>
      <c r="R428">
        <v>10</v>
      </c>
      <c r="S428" s="89">
        <v>9500</v>
      </c>
      <c r="T428" s="89">
        <v>0</v>
      </c>
      <c r="U428" s="89">
        <v>33400</v>
      </c>
      <c r="V428" s="89">
        <v>33400</v>
      </c>
      <c r="W428" s="89">
        <v>61600</v>
      </c>
    </row>
    <row r="429" spans="1:23" ht="13">
      <c r="A429" t="s">
        <v>2651</v>
      </c>
      <c r="B429" t="s">
        <v>2652</v>
      </c>
      <c r="C429" s="88">
        <v>46154.03019675926</v>
      </c>
      <c r="D429" t="s">
        <v>105</v>
      </c>
      <c r="E429" t="s">
        <v>106</v>
      </c>
      <c r="F429" t="s">
        <v>159</v>
      </c>
      <c r="G429" t="s">
        <v>160</v>
      </c>
      <c r="H429" t="s">
        <v>161</v>
      </c>
      <c r="I429" s="88">
        <v>46143.714733796296</v>
      </c>
      <c r="J429" t="s">
        <v>107</v>
      </c>
      <c r="K429" t="s">
        <v>108</v>
      </c>
      <c r="L429" t="s">
        <v>2653</v>
      </c>
      <c r="M429" s="88">
        <v>46146.460636574076</v>
      </c>
      <c r="N429" t="s">
        <v>637</v>
      </c>
      <c r="O429" t="s">
        <v>112</v>
      </c>
      <c r="P429" t="s">
        <v>111</v>
      </c>
      <c r="Q429" t="s">
        <v>1587</v>
      </c>
      <c r="R429">
        <v>6</v>
      </c>
      <c r="S429" s="89">
        <v>9500</v>
      </c>
      <c r="T429" s="89">
        <v>0</v>
      </c>
      <c r="U429" s="89">
        <v>19980</v>
      </c>
      <c r="V429" s="89">
        <v>19980</v>
      </c>
      <c r="W429" s="89">
        <v>37020</v>
      </c>
    </row>
    <row r="430" spans="1:23" ht="13">
      <c r="A430" t="s">
        <v>2654</v>
      </c>
      <c r="B430" t="s">
        <v>2655</v>
      </c>
      <c r="C430" s="88">
        <v>46154.03019675926</v>
      </c>
      <c r="D430" t="s">
        <v>105</v>
      </c>
      <c r="E430" t="s">
        <v>106</v>
      </c>
      <c r="F430" t="s">
        <v>2656</v>
      </c>
      <c r="G430" t="s">
        <v>2657</v>
      </c>
      <c r="H430" t="s">
        <v>2656</v>
      </c>
      <c r="I430" s="88">
        <v>46143.714722222227</v>
      </c>
      <c r="J430" t="s">
        <v>107</v>
      </c>
      <c r="K430" t="s">
        <v>108</v>
      </c>
      <c r="L430" t="s">
        <v>2658</v>
      </c>
      <c r="M430" s="88">
        <v>46146.507650462961</v>
      </c>
      <c r="N430" t="s">
        <v>637</v>
      </c>
      <c r="O430" t="s">
        <v>112</v>
      </c>
      <c r="P430" t="s">
        <v>111</v>
      </c>
      <c r="Q430" t="s">
        <v>1587</v>
      </c>
      <c r="R430">
        <v>4</v>
      </c>
      <c r="S430" s="89">
        <v>9500</v>
      </c>
      <c r="T430" s="89">
        <v>0</v>
      </c>
      <c r="U430" s="89">
        <v>8360</v>
      </c>
      <c r="V430" s="89">
        <v>8360</v>
      </c>
      <c r="W430" s="89">
        <v>29640</v>
      </c>
    </row>
    <row r="431" spans="1:23" ht="13">
      <c r="A431" t="s">
        <v>2659</v>
      </c>
      <c r="B431" t="s">
        <v>2660</v>
      </c>
      <c r="C431" s="88">
        <v>46154.03019675926</v>
      </c>
      <c r="D431" t="s">
        <v>105</v>
      </c>
      <c r="E431" t="s">
        <v>106</v>
      </c>
      <c r="F431" t="s">
        <v>2661</v>
      </c>
      <c r="G431" t="s">
        <v>2662</v>
      </c>
      <c r="H431" t="s">
        <v>2661</v>
      </c>
      <c r="I431" s="88">
        <v>46143.714699074073</v>
      </c>
      <c r="J431" t="s">
        <v>107</v>
      </c>
      <c r="K431" t="s">
        <v>108</v>
      </c>
      <c r="L431" t="s">
        <v>2663</v>
      </c>
      <c r="M431" s="88">
        <v>46146.365046296298</v>
      </c>
      <c r="N431" t="s">
        <v>637</v>
      </c>
      <c r="O431" t="s">
        <v>112</v>
      </c>
      <c r="P431" t="s">
        <v>111</v>
      </c>
      <c r="Q431" t="s">
        <v>2085</v>
      </c>
      <c r="R431">
        <v>3</v>
      </c>
      <c r="S431" s="89">
        <v>9500</v>
      </c>
      <c r="T431" s="89">
        <v>0</v>
      </c>
      <c r="U431" s="89">
        <v>6270</v>
      </c>
      <c r="V431" s="89">
        <v>6270</v>
      </c>
      <c r="W431" s="89">
        <v>22230</v>
      </c>
    </row>
    <row r="432" spans="1:23" ht="13">
      <c r="A432" t="s">
        <v>2664</v>
      </c>
      <c r="B432" t="s">
        <v>2665</v>
      </c>
      <c r="C432" s="88">
        <v>46154.03019675926</v>
      </c>
      <c r="D432" t="s">
        <v>105</v>
      </c>
      <c r="E432" t="s">
        <v>106</v>
      </c>
      <c r="F432" t="s">
        <v>481</v>
      </c>
      <c r="G432" t="s">
        <v>2666</v>
      </c>
      <c r="H432" t="s">
        <v>481</v>
      </c>
      <c r="I432" s="88">
        <v>46143.714687500003</v>
      </c>
      <c r="J432" t="s">
        <v>107</v>
      </c>
      <c r="K432" t="s">
        <v>108</v>
      </c>
      <c r="L432" t="s">
        <v>2667</v>
      </c>
      <c r="M432" s="88">
        <v>46146.629861111112</v>
      </c>
      <c r="N432" t="s">
        <v>637</v>
      </c>
      <c r="O432" t="s">
        <v>112</v>
      </c>
      <c r="P432" t="s">
        <v>111</v>
      </c>
      <c r="Q432" t="s">
        <v>2085</v>
      </c>
      <c r="R432">
        <v>7</v>
      </c>
      <c r="S432" s="89">
        <v>9500</v>
      </c>
      <c r="T432" s="89">
        <v>0</v>
      </c>
      <c r="U432" s="89">
        <v>23410</v>
      </c>
      <c r="V432" s="89">
        <v>23410</v>
      </c>
      <c r="W432" s="89">
        <v>43090</v>
      </c>
    </row>
    <row r="433" spans="1:23" ht="13">
      <c r="A433" t="s">
        <v>2668</v>
      </c>
      <c r="B433" t="s">
        <v>2669</v>
      </c>
      <c r="C433" s="88">
        <v>46154.03019675926</v>
      </c>
      <c r="D433" t="s">
        <v>105</v>
      </c>
      <c r="E433" t="s">
        <v>106</v>
      </c>
      <c r="F433" t="s">
        <v>286</v>
      </c>
      <c r="G433" t="s">
        <v>185</v>
      </c>
      <c r="H433" t="s">
        <v>2670</v>
      </c>
      <c r="I433" s="88">
        <v>46143.714687500003</v>
      </c>
      <c r="J433" t="s">
        <v>107</v>
      </c>
      <c r="K433" t="s">
        <v>108</v>
      </c>
      <c r="L433" t="s">
        <v>2671</v>
      </c>
      <c r="M433" s="88">
        <v>46146.365046296298</v>
      </c>
      <c r="N433" t="s">
        <v>637</v>
      </c>
      <c r="O433" t="s">
        <v>112</v>
      </c>
      <c r="P433" t="s">
        <v>111</v>
      </c>
      <c r="Q433" t="s">
        <v>1587</v>
      </c>
      <c r="R433">
        <v>5</v>
      </c>
      <c r="S433" s="89">
        <v>9500</v>
      </c>
      <c r="T433" s="89">
        <v>0</v>
      </c>
      <c r="U433" s="89">
        <v>10450</v>
      </c>
      <c r="V433" s="89">
        <v>10450</v>
      </c>
      <c r="W433" s="89">
        <v>37050</v>
      </c>
    </row>
    <row r="434" spans="1:23" ht="13">
      <c r="A434" t="s">
        <v>2672</v>
      </c>
      <c r="B434" t="s">
        <v>2673</v>
      </c>
      <c r="C434" s="88">
        <v>46154.030162037037</v>
      </c>
      <c r="D434" t="s">
        <v>105</v>
      </c>
      <c r="E434" t="s">
        <v>106</v>
      </c>
      <c r="F434" t="s">
        <v>2674</v>
      </c>
      <c r="G434" t="s">
        <v>2675</v>
      </c>
      <c r="H434" t="s">
        <v>2674</v>
      </c>
      <c r="I434" s="88">
        <v>46143.714768518519</v>
      </c>
      <c r="J434" t="s">
        <v>107</v>
      </c>
      <c r="K434" t="s">
        <v>108</v>
      </c>
      <c r="L434" t="s">
        <v>2676</v>
      </c>
      <c r="M434" s="88">
        <v>46146.507638888885</v>
      </c>
      <c r="N434" t="s">
        <v>637</v>
      </c>
      <c r="O434" t="s">
        <v>112</v>
      </c>
      <c r="P434" t="s">
        <v>111</v>
      </c>
      <c r="Q434" t="s">
        <v>1587</v>
      </c>
      <c r="R434">
        <v>1</v>
      </c>
      <c r="S434" s="89">
        <v>9500</v>
      </c>
      <c r="T434" s="89">
        <v>0</v>
      </c>
      <c r="U434" s="89">
        <v>2190</v>
      </c>
      <c r="V434" s="89">
        <v>2190</v>
      </c>
      <c r="W434" s="89">
        <v>7310</v>
      </c>
    </row>
    <row r="435" spans="1:23" ht="13">
      <c r="A435" t="s">
        <v>2677</v>
      </c>
      <c r="B435" t="s">
        <v>2678</v>
      </c>
      <c r="C435" s="88">
        <v>46154.030162037037</v>
      </c>
      <c r="D435" t="s">
        <v>105</v>
      </c>
      <c r="E435" t="s">
        <v>106</v>
      </c>
      <c r="F435" t="s">
        <v>2679</v>
      </c>
      <c r="G435" t="s">
        <v>2680</v>
      </c>
      <c r="H435" t="s">
        <v>2679</v>
      </c>
      <c r="I435" s="88">
        <v>46143.714768518519</v>
      </c>
      <c r="J435" t="s">
        <v>107</v>
      </c>
      <c r="K435" t="s">
        <v>108</v>
      </c>
      <c r="L435" t="s">
        <v>2681</v>
      </c>
      <c r="M435" s="88">
        <v>46146.507638888885</v>
      </c>
      <c r="N435" t="s">
        <v>637</v>
      </c>
      <c r="O435" t="s">
        <v>112</v>
      </c>
      <c r="P435" t="s">
        <v>111</v>
      </c>
      <c r="Q435" t="s">
        <v>1587</v>
      </c>
      <c r="R435">
        <v>1</v>
      </c>
      <c r="S435" s="89">
        <v>9500</v>
      </c>
      <c r="T435" s="89">
        <v>0</v>
      </c>
      <c r="U435" s="89">
        <v>2090</v>
      </c>
      <c r="V435" s="89">
        <v>2090</v>
      </c>
      <c r="W435" s="89">
        <v>7410</v>
      </c>
    </row>
    <row r="436" spans="1:23" ht="13">
      <c r="A436" t="s">
        <v>2682</v>
      </c>
      <c r="B436" t="s">
        <v>2683</v>
      </c>
      <c r="C436" s="88">
        <v>46154.030162037037</v>
      </c>
      <c r="D436" t="s">
        <v>105</v>
      </c>
      <c r="E436" t="s">
        <v>106</v>
      </c>
      <c r="F436" t="s">
        <v>2684</v>
      </c>
      <c r="G436" t="s">
        <v>2685</v>
      </c>
      <c r="H436" t="s">
        <v>2684</v>
      </c>
      <c r="I436" s="88">
        <v>46143.714768518519</v>
      </c>
      <c r="J436" t="s">
        <v>107</v>
      </c>
      <c r="K436" t="s">
        <v>108</v>
      </c>
      <c r="L436" t="s">
        <v>2686</v>
      </c>
      <c r="M436" s="88">
        <v>46146.442372685182</v>
      </c>
      <c r="N436" t="s">
        <v>637</v>
      </c>
      <c r="O436" t="s">
        <v>112</v>
      </c>
      <c r="P436" t="s">
        <v>111</v>
      </c>
      <c r="Q436" t="s">
        <v>1417</v>
      </c>
      <c r="R436">
        <v>1</v>
      </c>
      <c r="S436" s="89">
        <v>9500</v>
      </c>
      <c r="T436" s="89">
        <v>0</v>
      </c>
      <c r="U436" s="89">
        <v>2090</v>
      </c>
      <c r="V436" s="89">
        <v>2090</v>
      </c>
      <c r="W436" s="89">
        <v>7410</v>
      </c>
    </row>
    <row r="437" spans="1:23" ht="13">
      <c r="A437" t="s">
        <v>2687</v>
      </c>
      <c r="B437" t="s">
        <v>2688</v>
      </c>
      <c r="C437" s="88">
        <v>46154.030162037037</v>
      </c>
      <c r="D437" t="s">
        <v>105</v>
      </c>
      <c r="E437" t="s">
        <v>106</v>
      </c>
      <c r="F437" t="s">
        <v>2689</v>
      </c>
      <c r="G437" t="s">
        <v>2690</v>
      </c>
      <c r="H437" t="s">
        <v>2689</v>
      </c>
      <c r="I437" s="88">
        <v>46143.714722222227</v>
      </c>
      <c r="J437" t="s">
        <v>107</v>
      </c>
      <c r="K437" t="s">
        <v>108</v>
      </c>
      <c r="L437" t="s">
        <v>2691</v>
      </c>
      <c r="M437" s="88">
        <v>46146.365046296298</v>
      </c>
      <c r="N437" t="s">
        <v>637</v>
      </c>
      <c r="O437" t="s">
        <v>112</v>
      </c>
      <c r="P437" t="s">
        <v>111</v>
      </c>
      <c r="Q437" t="s">
        <v>1587</v>
      </c>
      <c r="R437">
        <v>5</v>
      </c>
      <c r="S437" s="89">
        <v>9500</v>
      </c>
      <c r="T437" s="89">
        <v>0</v>
      </c>
      <c r="U437" s="89">
        <v>10450</v>
      </c>
      <c r="V437" s="89">
        <v>10450</v>
      </c>
      <c r="W437" s="89">
        <v>37050</v>
      </c>
    </row>
    <row r="438" spans="1:23" ht="13">
      <c r="A438" t="s">
        <v>2692</v>
      </c>
      <c r="B438" t="s">
        <v>2693</v>
      </c>
      <c r="C438" s="88">
        <v>46154.030162037037</v>
      </c>
      <c r="D438" t="s">
        <v>105</v>
      </c>
      <c r="E438" t="s">
        <v>106</v>
      </c>
      <c r="F438" t="s">
        <v>2694</v>
      </c>
      <c r="G438" t="s">
        <v>2695</v>
      </c>
      <c r="H438" t="s">
        <v>2694</v>
      </c>
      <c r="I438" s="88">
        <v>46143.714699074073</v>
      </c>
      <c r="J438" t="s">
        <v>107</v>
      </c>
      <c r="K438" t="s">
        <v>108</v>
      </c>
      <c r="L438" t="s">
        <v>2696</v>
      </c>
      <c r="M438" s="88">
        <v>46146.633344907408</v>
      </c>
      <c r="N438" t="s">
        <v>637</v>
      </c>
      <c r="O438" t="s">
        <v>112</v>
      </c>
      <c r="P438" t="s">
        <v>111</v>
      </c>
      <c r="Q438" t="s">
        <v>1587</v>
      </c>
      <c r="R438">
        <v>2</v>
      </c>
      <c r="S438" s="89">
        <v>9500</v>
      </c>
      <c r="T438" s="89">
        <v>0</v>
      </c>
      <c r="U438" s="89">
        <v>4280</v>
      </c>
      <c r="V438" s="89">
        <v>4280</v>
      </c>
      <c r="W438" s="89">
        <v>14720</v>
      </c>
    </row>
    <row r="439" spans="1:23" ht="13">
      <c r="A439" t="s">
        <v>2697</v>
      </c>
      <c r="B439" t="s">
        <v>2698</v>
      </c>
      <c r="C439" s="88">
        <v>46154.030162037037</v>
      </c>
      <c r="D439" t="s">
        <v>105</v>
      </c>
      <c r="E439" t="s">
        <v>106</v>
      </c>
      <c r="F439" t="s">
        <v>2699</v>
      </c>
      <c r="G439" t="s">
        <v>2700</v>
      </c>
      <c r="H439" t="s">
        <v>2699</v>
      </c>
      <c r="I439" s="88">
        <v>46143.714699074073</v>
      </c>
      <c r="J439" t="s">
        <v>107</v>
      </c>
      <c r="K439" t="s">
        <v>108</v>
      </c>
      <c r="L439" t="s">
        <v>2701</v>
      </c>
      <c r="M439" s="88">
        <v>46146.443125000005</v>
      </c>
      <c r="N439" t="s">
        <v>637</v>
      </c>
      <c r="O439" t="s">
        <v>112</v>
      </c>
      <c r="P439" t="s">
        <v>111</v>
      </c>
      <c r="Q439" t="s">
        <v>2085</v>
      </c>
      <c r="R439">
        <v>4</v>
      </c>
      <c r="S439" s="89">
        <v>9500</v>
      </c>
      <c r="T439" s="89">
        <v>0</v>
      </c>
      <c r="U439" s="89">
        <v>8460</v>
      </c>
      <c r="V439" s="89">
        <v>8460</v>
      </c>
      <c r="W439" s="89">
        <v>29540</v>
      </c>
    </row>
    <row r="440" spans="1:23" ht="13">
      <c r="A440" t="s">
        <v>2702</v>
      </c>
      <c r="B440" t="s">
        <v>2703</v>
      </c>
      <c r="C440" s="88">
        <v>46154.030150462961</v>
      </c>
      <c r="D440" t="s">
        <v>105</v>
      </c>
      <c r="E440" t="s">
        <v>106</v>
      </c>
      <c r="F440" t="s">
        <v>2704</v>
      </c>
      <c r="G440" t="s">
        <v>2705</v>
      </c>
      <c r="H440" t="s">
        <v>2704</v>
      </c>
      <c r="I440" s="88">
        <v>46143.714687500003</v>
      </c>
      <c r="J440" t="s">
        <v>107</v>
      </c>
      <c r="K440" t="s">
        <v>108</v>
      </c>
      <c r="L440" t="s">
        <v>2706</v>
      </c>
      <c r="M440" s="88">
        <v>46146.442384259259</v>
      </c>
      <c r="N440" t="s">
        <v>637</v>
      </c>
      <c r="O440" t="s">
        <v>112</v>
      </c>
      <c r="P440" t="s">
        <v>111</v>
      </c>
      <c r="Q440" t="s">
        <v>1587</v>
      </c>
      <c r="R440">
        <v>2</v>
      </c>
      <c r="S440" s="89">
        <v>9500</v>
      </c>
      <c r="T440" s="89">
        <v>0</v>
      </c>
      <c r="U440" s="89">
        <v>4280</v>
      </c>
      <c r="V440" s="89">
        <v>4280</v>
      </c>
      <c r="W440" s="89">
        <v>14720</v>
      </c>
    </row>
    <row r="441" spans="1:23" ht="13">
      <c r="A441" t="s">
        <v>2707</v>
      </c>
      <c r="B441" t="s">
        <v>2708</v>
      </c>
      <c r="C441" s="88">
        <v>46154.030150462961</v>
      </c>
      <c r="D441" t="s">
        <v>105</v>
      </c>
      <c r="E441" t="s">
        <v>106</v>
      </c>
      <c r="F441" t="s">
        <v>1571</v>
      </c>
      <c r="G441" t="s">
        <v>2709</v>
      </c>
      <c r="H441" t="s">
        <v>1571</v>
      </c>
      <c r="I441" s="88">
        <v>46143.714687500003</v>
      </c>
      <c r="J441" t="s">
        <v>107</v>
      </c>
      <c r="K441" t="s">
        <v>108</v>
      </c>
      <c r="L441" t="s">
        <v>2710</v>
      </c>
      <c r="M441" s="88">
        <v>46146.442395833335</v>
      </c>
      <c r="N441" t="s">
        <v>637</v>
      </c>
      <c r="O441" t="s">
        <v>112</v>
      </c>
      <c r="P441" t="s">
        <v>111</v>
      </c>
      <c r="Q441" t="s">
        <v>2085</v>
      </c>
      <c r="R441">
        <v>3</v>
      </c>
      <c r="S441" s="89">
        <v>9500</v>
      </c>
      <c r="T441" s="89">
        <v>0</v>
      </c>
      <c r="U441" s="89">
        <v>6370</v>
      </c>
      <c r="V441" s="89">
        <v>6370</v>
      </c>
      <c r="W441" s="89">
        <v>22130</v>
      </c>
    </row>
    <row r="442" spans="1:23" ht="13">
      <c r="A442" t="s">
        <v>2711</v>
      </c>
      <c r="B442" t="s">
        <v>2712</v>
      </c>
      <c r="C442" s="88">
        <v>46154.030127314814</v>
      </c>
      <c r="D442" t="s">
        <v>105</v>
      </c>
      <c r="E442" t="s">
        <v>106</v>
      </c>
      <c r="F442" t="s">
        <v>140</v>
      </c>
      <c r="G442" t="s">
        <v>2713</v>
      </c>
      <c r="H442" t="s">
        <v>140</v>
      </c>
      <c r="I442" s="88">
        <v>46143.714768518519</v>
      </c>
      <c r="J442" t="s">
        <v>107</v>
      </c>
      <c r="K442" t="s">
        <v>108</v>
      </c>
      <c r="L442" t="s">
        <v>2714</v>
      </c>
      <c r="M442" s="88">
        <v>46146.507638888885</v>
      </c>
      <c r="N442" t="s">
        <v>637</v>
      </c>
      <c r="O442" t="s">
        <v>112</v>
      </c>
      <c r="P442" t="s">
        <v>111</v>
      </c>
      <c r="Q442" t="s">
        <v>1587</v>
      </c>
      <c r="R442">
        <v>1</v>
      </c>
      <c r="S442" s="89">
        <v>9500</v>
      </c>
      <c r="T442" s="89">
        <v>0</v>
      </c>
      <c r="U442" s="89">
        <v>2090</v>
      </c>
      <c r="V442" s="89">
        <v>2090</v>
      </c>
      <c r="W442" s="89">
        <v>7410</v>
      </c>
    </row>
    <row r="443" spans="1:23" ht="13">
      <c r="A443" t="s">
        <v>2715</v>
      </c>
      <c r="B443" t="s">
        <v>2716</v>
      </c>
      <c r="C443" s="88">
        <v>46154.030127314814</v>
      </c>
      <c r="D443" t="s">
        <v>105</v>
      </c>
      <c r="E443" t="s">
        <v>106</v>
      </c>
      <c r="F443" t="s">
        <v>2717</v>
      </c>
      <c r="G443" t="s">
        <v>2718</v>
      </c>
      <c r="H443" t="s">
        <v>2717</v>
      </c>
      <c r="I443" s="88">
        <v>46143.714768518519</v>
      </c>
      <c r="J443" t="s">
        <v>107</v>
      </c>
      <c r="K443" t="s">
        <v>108</v>
      </c>
      <c r="L443" t="s">
        <v>2719</v>
      </c>
      <c r="M443" s="88">
        <v>46146.507650462961</v>
      </c>
      <c r="N443" t="s">
        <v>637</v>
      </c>
      <c r="O443" t="s">
        <v>112</v>
      </c>
      <c r="P443" t="s">
        <v>111</v>
      </c>
      <c r="Q443" t="s">
        <v>1587</v>
      </c>
      <c r="R443">
        <v>1</v>
      </c>
      <c r="S443" s="89">
        <v>9500</v>
      </c>
      <c r="T443" s="89">
        <v>0</v>
      </c>
      <c r="U443" s="89">
        <v>2090</v>
      </c>
      <c r="V443" s="89">
        <v>2090</v>
      </c>
      <c r="W443" s="89">
        <v>7410</v>
      </c>
    </row>
    <row r="444" spans="1:23" ht="13">
      <c r="A444" t="s">
        <v>2720</v>
      </c>
      <c r="B444" t="s">
        <v>2721</v>
      </c>
      <c r="C444" s="88">
        <v>46154.030127314814</v>
      </c>
      <c r="D444" t="s">
        <v>105</v>
      </c>
      <c r="E444" t="s">
        <v>106</v>
      </c>
      <c r="F444" t="s">
        <v>2722</v>
      </c>
      <c r="G444" t="s">
        <v>2723</v>
      </c>
      <c r="H444" t="s">
        <v>2722</v>
      </c>
      <c r="I444" s="88">
        <v>46143.714768518519</v>
      </c>
      <c r="J444" t="s">
        <v>107</v>
      </c>
      <c r="K444" t="s">
        <v>108</v>
      </c>
      <c r="L444" t="s">
        <v>2724</v>
      </c>
      <c r="M444" s="88">
        <v>46146.509004629625</v>
      </c>
      <c r="N444" t="s">
        <v>637</v>
      </c>
      <c r="O444" t="s">
        <v>112</v>
      </c>
      <c r="P444" t="s">
        <v>111</v>
      </c>
      <c r="Q444" t="s">
        <v>1587</v>
      </c>
      <c r="R444">
        <v>1</v>
      </c>
      <c r="S444" s="89">
        <v>9500</v>
      </c>
      <c r="T444" s="89">
        <v>0</v>
      </c>
      <c r="U444" s="89">
        <v>2090</v>
      </c>
      <c r="V444" s="89">
        <v>2090</v>
      </c>
      <c r="W444" s="89">
        <v>7410</v>
      </c>
    </row>
    <row r="445" spans="1:23" ht="13">
      <c r="A445" t="s">
        <v>2725</v>
      </c>
      <c r="B445" t="s">
        <v>2726</v>
      </c>
      <c r="C445" s="88">
        <v>46154.030127314814</v>
      </c>
      <c r="D445" t="s">
        <v>105</v>
      </c>
      <c r="E445" t="s">
        <v>106</v>
      </c>
      <c r="F445" t="s">
        <v>2727</v>
      </c>
      <c r="G445" t="s">
        <v>2728</v>
      </c>
      <c r="H445" t="s">
        <v>2727</v>
      </c>
      <c r="I445" s="88">
        <v>46143.714745370366</v>
      </c>
      <c r="J445" t="s">
        <v>107</v>
      </c>
      <c r="K445" t="s">
        <v>108</v>
      </c>
      <c r="L445" t="s">
        <v>2729</v>
      </c>
      <c r="M445" s="88">
        <v>46146.509004629625</v>
      </c>
      <c r="N445" t="s">
        <v>637</v>
      </c>
      <c r="O445" t="s">
        <v>112</v>
      </c>
      <c r="P445" t="s">
        <v>111</v>
      </c>
      <c r="Q445" t="s">
        <v>1587</v>
      </c>
      <c r="R445">
        <v>4</v>
      </c>
      <c r="S445" s="89">
        <v>9500</v>
      </c>
      <c r="T445" s="89">
        <v>0</v>
      </c>
      <c r="U445" s="89">
        <v>8360</v>
      </c>
      <c r="V445" s="89">
        <v>8360</v>
      </c>
      <c r="W445" s="89">
        <v>29640</v>
      </c>
    </row>
    <row r="446" spans="1:23" ht="13">
      <c r="A446" t="s">
        <v>2730</v>
      </c>
      <c r="B446" t="s">
        <v>2731</v>
      </c>
      <c r="C446" s="88">
        <v>46154.030127314814</v>
      </c>
      <c r="D446" t="s">
        <v>105</v>
      </c>
      <c r="E446" t="s">
        <v>106</v>
      </c>
      <c r="F446" t="s">
        <v>2732</v>
      </c>
      <c r="G446" t="s">
        <v>2733</v>
      </c>
      <c r="H446" t="s">
        <v>2732</v>
      </c>
      <c r="I446" s="88">
        <v>46143.714733796296</v>
      </c>
      <c r="J446" t="s">
        <v>107</v>
      </c>
      <c r="K446" t="s">
        <v>108</v>
      </c>
      <c r="L446" t="s">
        <v>2734</v>
      </c>
      <c r="M446" s="88">
        <v>46146.507638888885</v>
      </c>
      <c r="N446" t="s">
        <v>637</v>
      </c>
      <c r="O446" t="s">
        <v>112</v>
      </c>
      <c r="P446" t="s">
        <v>111</v>
      </c>
      <c r="Q446" t="s">
        <v>1587</v>
      </c>
      <c r="R446">
        <v>2</v>
      </c>
      <c r="S446" s="89">
        <v>9500</v>
      </c>
      <c r="T446" s="89">
        <v>0</v>
      </c>
      <c r="U446" s="89">
        <v>4280</v>
      </c>
      <c r="V446" s="89">
        <v>4280</v>
      </c>
      <c r="W446" s="89">
        <v>14720</v>
      </c>
    </row>
    <row r="447" spans="1:23" ht="13">
      <c r="A447" t="s">
        <v>2735</v>
      </c>
      <c r="B447" t="s">
        <v>2736</v>
      </c>
      <c r="C447" s="88">
        <v>46154.030127314814</v>
      </c>
      <c r="D447" t="s">
        <v>105</v>
      </c>
      <c r="E447" t="s">
        <v>106</v>
      </c>
      <c r="F447" t="s">
        <v>2737</v>
      </c>
      <c r="G447" t="s">
        <v>2738</v>
      </c>
      <c r="H447" t="s">
        <v>2737</v>
      </c>
      <c r="I447" s="88">
        <v>46143.714733796296</v>
      </c>
      <c r="J447" t="s">
        <v>107</v>
      </c>
      <c r="K447" t="s">
        <v>108</v>
      </c>
      <c r="L447" t="s">
        <v>2739</v>
      </c>
      <c r="M447" s="88">
        <v>46146.443043981482</v>
      </c>
      <c r="N447" t="s">
        <v>637</v>
      </c>
      <c r="O447" t="s">
        <v>112</v>
      </c>
      <c r="P447" t="s">
        <v>111</v>
      </c>
      <c r="Q447" t="s">
        <v>1587</v>
      </c>
      <c r="R447">
        <v>6</v>
      </c>
      <c r="S447" s="89">
        <v>9500</v>
      </c>
      <c r="T447" s="89">
        <v>0</v>
      </c>
      <c r="U447" s="89">
        <v>20080</v>
      </c>
      <c r="V447" s="89">
        <v>20080</v>
      </c>
      <c r="W447" s="89">
        <v>36920</v>
      </c>
    </row>
    <row r="448" spans="1:23" ht="13">
      <c r="A448" t="s">
        <v>2740</v>
      </c>
      <c r="B448" t="s">
        <v>2741</v>
      </c>
      <c r="C448" s="88">
        <v>46154.030127314814</v>
      </c>
      <c r="D448" t="s">
        <v>105</v>
      </c>
      <c r="E448" t="s">
        <v>106</v>
      </c>
      <c r="F448" t="s">
        <v>2742</v>
      </c>
      <c r="G448" t="s">
        <v>2743</v>
      </c>
      <c r="H448" t="s">
        <v>2742</v>
      </c>
      <c r="I448" s="88">
        <v>46143.71471064815</v>
      </c>
      <c r="J448" t="s">
        <v>107</v>
      </c>
      <c r="K448" t="s">
        <v>108</v>
      </c>
      <c r="L448" t="s">
        <v>2744</v>
      </c>
      <c r="M448" s="88">
        <v>46146.442384259259</v>
      </c>
      <c r="N448" t="s">
        <v>637</v>
      </c>
      <c r="O448" t="s">
        <v>112</v>
      </c>
      <c r="P448" t="s">
        <v>111</v>
      </c>
      <c r="Q448" t="s">
        <v>1587</v>
      </c>
      <c r="R448">
        <v>3</v>
      </c>
      <c r="S448" s="89">
        <v>9500</v>
      </c>
      <c r="T448" s="89">
        <v>0</v>
      </c>
      <c r="U448" s="89">
        <v>6370</v>
      </c>
      <c r="V448" s="89">
        <v>6370</v>
      </c>
      <c r="W448" s="89">
        <v>22130</v>
      </c>
    </row>
    <row r="449" spans="1:23" ht="13">
      <c r="A449" t="s">
        <v>2745</v>
      </c>
      <c r="B449" t="s">
        <v>2746</v>
      </c>
      <c r="C449" s="88">
        <v>46154.030115740738</v>
      </c>
      <c r="D449" t="s">
        <v>105</v>
      </c>
      <c r="E449" t="s">
        <v>106</v>
      </c>
      <c r="F449" t="s">
        <v>272</v>
      </c>
      <c r="G449" t="s">
        <v>2747</v>
      </c>
      <c r="H449" t="s">
        <v>272</v>
      </c>
      <c r="I449" s="88">
        <v>46143.714699074073</v>
      </c>
      <c r="J449" t="s">
        <v>107</v>
      </c>
      <c r="K449" t="s">
        <v>108</v>
      </c>
      <c r="L449" t="s">
        <v>2748</v>
      </c>
      <c r="M449" s="88">
        <v>46146.507650462961</v>
      </c>
      <c r="N449" t="s">
        <v>637</v>
      </c>
      <c r="O449" t="s">
        <v>112</v>
      </c>
      <c r="P449" t="s">
        <v>111</v>
      </c>
      <c r="Q449" t="s">
        <v>1587</v>
      </c>
      <c r="R449">
        <v>6</v>
      </c>
      <c r="S449" s="89">
        <v>9500</v>
      </c>
      <c r="T449" s="89">
        <v>0</v>
      </c>
      <c r="U449" s="89">
        <v>20080</v>
      </c>
      <c r="V449" s="89">
        <v>20080</v>
      </c>
      <c r="W449" s="89">
        <v>36920</v>
      </c>
    </row>
    <row r="450" spans="1:23" ht="13">
      <c r="A450" t="s">
        <v>2749</v>
      </c>
      <c r="B450" t="s">
        <v>2750</v>
      </c>
      <c r="C450" s="88">
        <v>46154.030115740738</v>
      </c>
      <c r="D450" t="s">
        <v>105</v>
      </c>
      <c r="E450" t="s">
        <v>106</v>
      </c>
      <c r="F450" t="s">
        <v>2167</v>
      </c>
      <c r="G450" t="s">
        <v>2168</v>
      </c>
      <c r="H450" t="s">
        <v>2167</v>
      </c>
      <c r="I450" s="88">
        <v>46143.714687500003</v>
      </c>
      <c r="J450" t="s">
        <v>107</v>
      </c>
      <c r="K450" t="s">
        <v>108</v>
      </c>
      <c r="L450" t="s">
        <v>2751</v>
      </c>
      <c r="M450" s="88">
        <v>46146.460636574076</v>
      </c>
      <c r="N450" t="s">
        <v>637</v>
      </c>
      <c r="O450" t="s">
        <v>112</v>
      </c>
      <c r="P450" t="s">
        <v>111</v>
      </c>
      <c r="Q450" t="s">
        <v>2085</v>
      </c>
      <c r="R450">
        <v>7</v>
      </c>
      <c r="S450" s="89">
        <v>9500</v>
      </c>
      <c r="T450" s="89">
        <v>0</v>
      </c>
      <c r="U450" s="89">
        <v>23410</v>
      </c>
      <c r="V450" s="89">
        <v>23410</v>
      </c>
      <c r="W450" s="89">
        <v>43090</v>
      </c>
    </row>
    <row r="451" spans="1:23" ht="13">
      <c r="A451" t="s">
        <v>2752</v>
      </c>
      <c r="B451" t="s">
        <v>2753</v>
      </c>
      <c r="C451" s="88">
        <v>46154.030115740738</v>
      </c>
      <c r="D451" t="s">
        <v>105</v>
      </c>
      <c r="E451" t="s">
        <v>106</v>
      </c>
      <c r="F451" t="s">
        <v>2754</v>
      </c>
      <c r="G451" t="s">
        <v>2755</v>
      </c>
      <c r="H451" t="s">
        <v>2754</v>
      </c>
      <c r="I451" s="88">
        <v>46143.714687500003</v>
      </c>
      <c r="J451" t="s">
        <v>107</v>
      </c>
      <c r="K451" t="s">
        <v>108</v>
      </c>
      <c r="L451" t="s">
        <v>2756</v>
      </c>
      <c r="M451" s="88">
        <v>46146.555497685185</v>
      </c>
      <c r="N451" t="s">
        <v>637</v>
      </c>
      <c r="O451" t="s">
        <v>112</v>
      </c>
      <c r="P451" t="s">
        <v>111</v>
      </c>
      <c r="Q451" t="s">
        <v>2085</v>
      </c>
      <c r="R451">
        <v>2</v>
      </c>
      <c r="S451" s="89">
        <v>9500</v>
      </c>
      <c r="T451" s="89">
        <v>0</v>
      </c>
      <c r="U451" s="89">
        <v>4280</v>
      </c>
      <c r="V451" s="89">
        <v>4280</v>
      </c>
      <c r="W451" s="89">
        <v>14720</v>
      </c>
    </row>
    <row r="452" spans="1:23" ht="13">
      <c r="A452" t="s">
        <v>2757</v>
      </c>
      <c r="B452" t="s">
        <v>2758</v>
      </c>
      <c r="C452" s="88">
        <v>46154.030104166668</v>
      </c>
      <c r="D452" t="s">
        <v>105</v>
      </c>
      <c r="E452" t="s">
        <v>106</v>
      </c>
      <c r="F452" t="s">
        <v>2759</v>
      </c>
      <c r="G452" t="s">
        <v>2760</v>
      </c>
      <c r="H452" t="s">
        <v>2759</v>
      </c>
      <c r="I452" s="88">
        <v>46143.71475694445</v>
      </c>
      <c r="J452" t="s">
        <v>107</v>
      </c>
      <c r="K452" t="s">
        <v>108</v>
      </c>
      <c r="L452" t="s">
        <v>2761</v>
      </c>
      <c r="M452" s="88">
        <v>46146.555509259255</v>
      </c>
      <c r="N452" t="s">
        <v>637</v>
      </c>
      <c r="O452" t="s">
        <v>112</v>
      </c>
      <c r="P452" t="s">
        <v>111</v>
      </c>
      <c r="Q452" t="s">
        <v>1587</v>
      </c>
      <c r="R452">
        <v>2</v>
      </c>
      <c r="S452" s="89">
        <v>9500</v>
      </c>
      <c r="T452" s="89">
        <v>0</v>
      </c>
      <c r="U452" s="89">
        <v>4180</v>
      </c>
      <c r="V452" s="89">
        <v>4180</v>
      </c>
      <c r="W452" s="89">
        <v>14820</v>
      </c>
    </row>
    <row r="453" spans="1:23" ht="13">
      <c r="A453" t="s">
        <v>2762</v>
      </c>
      <c r="B453" t="s">
        <v>2763</v>
      </c>
      <c r="C453" s="88">
        <v>46154.030104166668</v>
      </c>
      <c r="D453" t="s">
        <v>105</v>
      </c>
      <c r="E453" t="s">
        <v>106</v>
      </c>
      <c r="F453" t="s">
        <v>2764</v>
      </c>
      <c r="G453" t="s">
        <v>2765</v>
      </c>
      <c r="H453" t="s">
        <v>2764</v>
      </c>
      <c r="I453" s="88">
        <v>46143.714722222227</v>
      </c>
      <c r="J453" t="s">
        <v>107</v>
      </c>
      <c r="K453" t="s">
        <v>108</v>
      </c>
      <c r="L453" t="s">
        <v>2766</v>
      </c>
      <c r="M453" s="88">
        <v>46146.711782407408</v>
      </c>
      <c r="N453" t="s">
        <v>637</v>
      </c>
      <c r="O453" t="s">
        <v>112</v>
      </c>
      <c r="P453" t="s">
        <v>111</v>
      </c>
      <c r="Q453" t="s">
        <v>1587</v>
      </c>
      <c r="R453">
        <v>2</v>
      </c>
      <c r="S453" s="89">
        <v>9500</v>
      </c>
      <c r="T453" s="89">
        <v>0</v>
      </c>
      <c r="U453" s="89">
        <v>4280</v>
      </c>
      <c r="V453" s="89">
        <v>4280</v>
      </c>
      <c r="W453" s="89">
        <v>14720</v>
      </c>
    </row>
    <row r="454" spans="1:23" ht="13">
      <c r="A454" t="s">
        <v>2767</v>
      </c>
      <c r="B454" t="s">
        <v>2768</v>
      </c>
      <c r="C454" s="88">
        <v>46154.030092592591</v>
      </c>
      <c r="D454" t="s">
        <v>105</v>
      </c>
      <c r="E454" t="s">
        <v>106</v>
      </c>
      <c r="F454" t="s">
        <v>2769</v>
      </c>
      <c r="G454" t="s">
        <v>2770</v>
      </c>
      <c r="H454" t="s">
        <v>2769</v>
      </c>
      <c r="I454" s="88">
        <v>46143.714722222227</v>
      </c>
      <c r="J454" t="s">
        <v>107</v>
      </c>
      <c r="K454" t="s">
        <v>108</v>
      </c>
      <c r="L454" t="s">
        <v>2771</v>
      </c>
      <c r="M454" s="88">
        <v>46146.443113425921</v>
      </c>
      <c r="N454" t="s">
        <v>637</v>
      </c>
      <c r="O454" t="s">
        <v>112</v>
      </c>
      <c r="P454" t="s">
        <v>111</v>
      </c>
      <c r="Q454" t="s">
        <v>1587</v>
      </c>
      <c r="R454">
        <v>4</v>
      </c>
      <c r="S454" s="89">
        <v>9500</v>
      </c>
      <c r="T454" s="89">
        <v>0</v>
      </c>
      <c r="U454" s="89">
        <v>8360</v>
      </c>
      <c r="V454" s="89">
        <v>8360</v>
      </c>
      <c r="W454" s="89">
        <v>29640</v>
      </c>
    </row>
    <row r="455" spans="1:23" ht="13">
      <c r="A455" t="s">
        <v>2772</v>
      </c>
      <c r="B455" t="s">
        <v>2773</v>
      </c>
      <c r="C455" s="88">
        <v>46154.030092592591</v>
      </c>
      <c r="D455" t="s">
        <v>105</v>
      </c>
      <c r="E455" t="s">
        <v>106</v>
      </c>
      <c r="F455" t="s">
        <v>2774</v>
      </c>
      <c r="G455" t="s">
        <v>2775</v>
      </c>
      <c r="H455" t="s">
        <v>2774</v>
      </c>
      <c r="I455" s="88">
        <v>46143.714768518519</v>
      </c>
      <c r="J455" t="s">
        <v>107</v>
      </c>
      <c r="K455" t="s">
        <v>108</v>
      </c>
      <c r="L455" t="s">
        <v>2776</v>
      </c>
      <c r="M455" s="88">
        <v>46146.629155092596</v>
      </c>
      <c r="N455" t="s">
        <v>637</v>
      </c>
      <c r="O455" t="s">
        <v>112</v>
      </c>
      <c r="P455" t="s">
        <v>111</v>
      </c>
      <c r="Q455" t="s">
        <v>1587</v>
      </c>
      <c r="R455">
        <v>1</v>
      </c>
      <c r="S455" s="89">
        <v>9500</v>
      </c>
      <c r="T455" s="89">
        <v>0</v>
      </c>
      <c r="U455" s="89">
        <v>2090</v>
      </c>
      <c r="V455" s="89">
        <v>2090</v>
      </c>
      <c r="W455" s="89">
        <v>7410</v>
      </c>
    </row>
    <row r="456" spans="1:23" ht="13">
      <c r="A456" t="s">
        <v>2777</v>
      </c>
      <c r="B456" t="s">
        <v>2778</v>
      </c>
      <c r="C456" s="88">
        <v>46154.030092592591</v>
      </c>
      <c r="D456" t="s">
        <v>105</v>
      </c>
      <c r="E456" t="s">
        <v>106</v>
      </c>
      <c r="F456" t="s">
        <v>2779</v>
      </c>
      <c r="G456" t="s">
        <v>2780</v>
      </c>
      <c r="H456" t="s">
        <v>2779</v>
      </c>
      <c r="I456" s="88">
        <v>46143.714768518519</v>
      </c>
      <c r="J456" t="s">
        <v>107</v>
      </c>
      <c r="K456" t="s">
        <v>108</v>
      </c>
      <c r="L456" t="s">
        <v>2781</v>
      </c>
      <c r="M456" s="88">
        <v>46146.443032407406</v>
      </c>
      <c r="N456" t="s">
        <v>637</v>
      </c>
      <c r="O456" t="s">
        <v>112</v>
      </c>
      <c r="P456" t="s">
        <v>111</v>
      </c>
      <c r="Q456" t="s">
        <v>1587</v>
      </c>
      <c r="R456">
        <v>6</v>
      </c>
      <c r="S456" s="89">
        <v>9500</v>
      </c>
      <c r="T456" s="89">
        <v>0</v>
      </c>
      <c r="U456" s="89">
        <v>20080</v>
      </c>
      <c r="V456" s="89">
        <v>20080</v>
      </c>
      <c r="W456" s="89">
        <v>36920</v>
      </c>
    </row>
    <row r="457" spans="1:23" ht="13">
      <c r="A457" t="s">
        <v>2782</v>
      </c>
      <c r="B457" t="s">
        <v>2783</v>
      </c>
      <c r="C457" s="88">
        <v>46154.030092592591</v>
      </c>
      <c r="D457" t="s">
        <v>105</v>
      </c>
      <c r="E457" t="s">
        <v>106</v>
      </c>
      <c r="F457" t="s">
        <v>2784</v>
      </c>
      <c r="G457" t="s">
        <v>2785</v>
      </c>
      <c r="H457" t="s">
        <v>2784</v>
      </c>
      <c r="I457" s="88">
        <v>46143.714722222227</v>
      </c>
      <c r="J457" t="s">
        <v>107</v>
      </c>
      <c r="K457" t="s">
        <v>108</v>
      </c>
      <c r="L457" t="s">
        <v>2786</v>
      </c>
      <c r="M457" s="88">
        <v>46146.629849537036</v>
      </c>
      <c r="N457" t="s">
        <v>637</v>
      </c>
      <c r="O457" t="s">
        <v>112</v>
      </c>
      <c r="P457" t="s">
        <v>111</v>
      </c>
      <c r="Q457" t="s">
        <v>1587</v>
      </c>
      <c r="R457">
        <v>2</v>
      </c>
      <c r="S457" s="89">
        <v>9500</v>
      </c>
      <c r="T457" s="89">
        <v>0</v>
      </c>
      <c r="U457" s="89">
        <v>4280</v>
      </c>
      <c r="V457" s="89">
        <v>4280</v>
      </c>
      <c r="W457" s="89">
        <v>14720</v>
      </c>
    </row>
    <row r="458" spans="1:23" ht="13">
      <c r="A458" t="s">
        <v>2787</v>
      </c>
      <c r="B458" t="s">
        <v>2788</v>
      </c>
      <c r="C458" s="88">
        <v>46154.030092592591</v>
      </c>
      <c r="D458" t="s">
        <v>105</v>
      </c>
      <c r="E458" t="s">
        <v>106</v>
      </c>
      <c r="F458" t="s">
        <v>844</v>
      </c>
      <c r="G458" t="s">
        <v>2789</v>
      </c>
      <c r="H458" t="s">
        <v>844</v>
      </c>
      <c r="I458" s="88">
        <v>46143.714745370366</v>
      </c>
      <c r="J458" t="s">
        <v>107</v>
      </c>
      <c r="K458" t="s">
        <v>108</v>
      </c>
      <c r="L458" t="s">
        <v>2790</v>
      </c>
      <c r="M458" s="88">
        <v>46146.507638888885</v>
      </c>
      <c r="N458" t="s">
        <v>637</v>
      </c>
      <c r="O458" t="s">
        <v>112</v>
      </c>
      <c r="P458" t="s">
        <v>111</v>
      </c>
      <c r="Q458" t="s">
        <v>1587</v>
      </c>
      <c r="R458">
        <v>6</v>
      </c>
      <c r="S458" s="89">
        <v>9500</v>
      </c>
      <c r="T458" s="89">
        <v>0</v>
      </c>
      <c r="U458" s="89">
        <v>20080</v>
      </c>
      <c r="V458" s="89">
        <v>20080</v>
      </c>
      <c r="W458" s="89">
        <v>36920</v>
      </c>
    </row>
    <row r="459" spans="1:23" ht="13">
      <c r="A459" t="s">
        <v>2791</v>
      </c>
      <c r="B459" t="s">
        <v>2792</v>
      </c>
      <c r="C459" s="88">
        <v>46154.030092592591</v>
      </c>
      <c r="D459" t="s">
        <v>105</v>
      </c>
      <c r="E459" t="s">
        <v>106</v>
      </c>
      <c r="F459" t="s">
        <v>2793</v>
      </c>
      <c r="G459" t="s">
        <v>2794</v>
      </c>
      <c r="H459" t="s">
        <v>2793</v>
      </c>
      <c r="I459" s="88">
        <v>46143.714687500003</v>
      </c>
      <c r="J459" t="s">
        <v>107</v>
      </c>
      <c r="K459" t="s">
        <v>108</v>
      </c>
      <c r="L459" t="s">
        <v>2795</v>
      </c>
      <c r="M459" s="88">
        <v>46146.603854166664</v>
      </c>
      <c r="N459" t="s">
        <v>637</v>
      </c>
      <c r="O459" t="s">
        <v>112</v>
      </c>
      <c r="P459" t="s">
        <v>111</v>
      </c>
      <c r="Q459" t="s">
        <v>1587</v>
      </c>
      <c r="R459">
        <v>7</v>
      </c>
      <c r="S459" s="89">
        <v>9500</v>
      </c>
      <c r="T459" s="89">
        <v>0</v>
      </c>
      <c r="U459" s="89">
        <v>23410</v>
      </c>
      <c r="V459" s="89">
        <v>23410</v>
      </c>
      <c r="W459" s="89">
        <v>43090</v>
      </c>
    </row>
    <row r="460" spans="1:23" ht="13">
      <c r="A460" t="s">
        <v>2796</v>
      </c>
      <c r="B460" t="s">
        <v>2797</v>
      </c>
      <c r="C460" s="88">
        <v>46154.030092592591</v>
      </c>
      <c r="D460" t="s">
        <v>105</v>
      </c>
      <c r="E460" t="s">
        <v>106</v>
      </c>
      <c r="F460" t="s">
        <v>118</v>
      </c>
      <c r="G460" t="s">
        <v>2798</v>
      </c>
      <c r="H460" t="s">
        <v>118</v>
      </c>
      <c r="I460" s="88">
        <v>46143.71471064815</v>
      </c>
      <c r="J460" t="s">
        <v>107</v>
      </c>
      <c r="K460" t="s">
        <v>108</v>
      </c>
      <c r="L460" t="s">
        <v>2799</v>
      </c>
      <c r="M460" s="88">
        <v>46146.443090277782</v>
      </c>
      <c r="N460" t="s">
        <v>637</v>
      </c>
      <c r="O460" t="s">
        <v>112</v>
      </c>
      <c r="P460" t="s">
        <v>111</v>
      </c>
      <c r="Q460" t="s">
        <v>1587</v>
      </c>
      <c r="R460">
        <v>6</v>
      </c>
      <c r="S460" s="89">
        <v>9500</v>
      </c>
      <c r="T460" s="89">
        <v>0</v>
      </c>
      <c r="U460" s="89">
        <v>19980</v>
      </c>
      <c r="V460" s="89">
        <v>19980</v>
      </c>
      <c r="W460" s="89">
        <v>37020</v>
      </c>
    </row>
    <row r="461" spans="1:23" ht="13">
      <c r="A461" t="s">
        <v>2800</v>
      </c>
      <c r="B461" t="s">
        <v>2801</v>
      </c>
      <c r="C461" s="88">
        <v>46154.030092592591</v>
      </c>
      <c r="D461" t="s">
        <v>105</v>
      </c>
      <c r="E461" t="s">
        <v>106</v>
      </c>
      <c r="F461" t="s">
        <v>2802</v>
      </c>
      <c r="G461" t="s">
        <v>2803</v>
      </c>
      <c r="H461" t="s">
        <v>2802</v>
      </c>
      <c r="I461" s="88">
        <v>46143.714699074073</v>
      </c>
      <c r="J461" t="s">
        <v>107</v>
      </c>
      <c r="K461" t="s">
        <v>108</v>
      </c>
      <c r="L461" t="s">
        <v>2804</v>
      </c>
      <c r="M461" s="88">
        <v>46146.507650462961</v>
      </c>
      <c r="N461" t="s">
        <v>637</v>
      </c>
      <c r="O461" t="s">
        <v>112</v>
      </c>
      <c r="P461" t="s">
        <v>111</v>
      </c>
      <c r="Q461" t="s">
        <v>1587</v>
      </c>
      <c r="R461">
        <v>6</v>
      </c>
      <c r="S461" s="89">
        <v>9500</v>
      </c>
      <c r="T461" s="89">
        <v>0</v>
      </c>
      <c r="U461" s="89">
        <v>20080</v>
      </c>
      <c r="V461" s="89">
        <v>20080</v>
      </c>
      <c r="W461" s="89">
        <v>36920</v>
      </c>
    </row>
    <row r="462" spans="1:23" ht="13">
      <c r="A462" t="s">
        <v>2805</v>
      </c>
      <c r="B462" t="s">
        <v>2806</v>
      </c>
      <c r="C462" s="88">
        <v>46154.030092592591</v>
      </c>
      <c r="D462" t="s">
        <v>105</v>
      </c>
      <c r="E462" t="s">
        <v>106</v>
      </c>
      <c r="F462" t="s">
        <v>2807</v>
      </c>
      <c r="G462" t="s">
        <v>2808</v>
      </c>
      <c r="H462" t="s">
        <v>2807</v>
      </c>
      <c r="I462" s="88">
        <v>46143.714687500003</v>
      </c>
      <c r="J462" t="s">
        <v>107</v>
      </c>
      <c r="K462" t="s">
        <v>108</v>
      </c>
      <c r="L462" t="s">
        <v>2809</v>
      </c>
      <c r="M462" s="88">
        <v>46146.41134259259</v>
      </c>
      <c r="N462" t="s">
        <v>637</v>
      </c>
      <c r="O462" t="s">
        <v>112</v>
      </c>
      <c r="P462" t="s">
        <v>111</v>
      </c>
      <c r="Q462" t="s">
        <v>2085</v>
      </c>
      <c r="R462">
        <v>8</v>
      </c>
      <c r="S462" s="89">
        <v>9500</v>
      </c>
      <c r="T462" s="89">
        <v>0</v>
      </c>
      <c r="U462" s="89">
        <v>26740</v>
      </c>
      <c r="V462" s="89">
        <v>26740</v>
      </c>
      <c r="W462" s="89">
        <v>49260</v>
      </c>
    </row>
    <row r="463" spans="1:23" ht="13">
      <c r="A463" t="s">
        <v>2810</v>
      </c>
      <c r="B463" t="s">
        <v>2811</v>
      </c>
      <c r="C463" s="88">
        <v>46154.030081018514</v>
      </c>
      <c r="D463" t="s">
        <v>105</v>
      </c>
      <c r="E463" t="s">
        <v>106</v>
      </c>
      <c r="F463" t="s">
        <v>604</v>
      </c>
      <c r="G463" t="s">
        <v>2812</v>
      </c>
      <c r="H463" t="s">
        <v>604</v>
      </c>
      <c r="I463" s="88">
        <v>46143.714687500003</v>
      </c>
      <c r="J463" t="s">
        <v>107</v>
      </c>
      <c r="K463" t="s">
        <v>108</v>
      </c>
      <c r="L463" t="s">
        <v>2813</v>
      </c>
      <c r="M463" s="88">
        <v>46146.506990740745</v>
      </c>
      <c r="N463" t="s">
        <v>637</v>
      </c>
      <c r="O463" t="s">
        <v>112</v>
      </c>
      <c r="P463" t="s">
        <v>111</v>
      </c>
      <c r="Q463" t="s">
        <v>1587</v>
      </c>
      <c r="R463">
        <v>2</v>
      </c>
      <c r="S463" s="89">
        <v>9500</v>
      </c>
      <c r="T463" s="89">
        <v>0</v>
      </c>
      <c r="U463" s="89">
        <v>4280</v>
      </c>
      <c r="V463" s="89">
        <v>4280</v>
      </c>
      <c r="W463" s="89">
        <v>14720</v>
      </c>
    </row>
    <row r="464" spans="1:23" ht="13">
      <c r="A464" t="s">
        <v>2814</v>
      </c>
      <c r="B464" t="s">
        <v>2815</v>
      </c>
      <c r="C464" s="88">
        <v>46154.029953703706</v>
      </c>
      <c r="D464" t="s">
        <v>105</v>
      </c>
      <c r="E464" t="s">
        <v>106</v>
      </c>
      <c r="F464" t="s">
        <v>2816</v>
      </c>
      <c r="G464" t="s">
        <v>2817</v>
      </c>
      <c r="H464" t="s">
        <v>2816</v>
      </c>
      <c r="I464" s="88">
        <v>46143.714745370366</v>
      </c>
      <c r="J464" t="s">
        <v>107</v>
      </c>
      <c r="K464" t="s">
        <v>108</v>
      </c>
      <c r="L464" t="s">
        <v>2818</v>
      </c>
      <c r="M464" s="88">
        <v>46146.629861111112</v>
      </c>
      <c r="N464" t="s">
        <v>637</v>
      </c>
      <c r="O464" t="s">
        <v>112</v>
      </c>
      <c r="P464" t="s">
        <v>111</v>
      </c>
      <c r="Q464" t="s">
        <v>1587</v>
      </c>
      <c r="R464">
        <v>6</v>
      </c>
      <c r="S464" s="89">
        <v>9500</v>
      </c>
      <c r="T464" s="89">
        <v>0</v>
      </c>
      <c r="U464" s="89">
        <v>20080</v>
      </c>
      <c r="V464" s="89">
        <v>20080</v>
      </c>
      <c r="W464" s="89">
        <v>36920</v>
      </c>
    </row>
    <row r="465" spans="1:23" ht="13">
      <c r="A465" t="s">
        <v>2819</v>
      </c>
      <c r="B465" t="s">
        <v>2820</v>
      </c>
      <c r="C465" s="88">
        <v>46154.029953703706</v>
      </c>
      <c r="D465" t="s">
        <v>105</v>
      </c>
      <c r="E465" t="s">
        <v>106</v>
      </c>
      <c r="F465" t="s">
        <v>2821</v>
      </c>
      <c r="G465" t="s">
        <v>2822</v>
      </c>
      <c r="H465" t="s">
        <v>2821</v>
      </c>
      <c r="I465" s="88">
        <v>46143.714733796296</v>
      </c>
      <c r="J465" t="s">
        <v>107</v>
      </c>
      <c r="K465" t="s">
        <v>108</v>
      </c>
      <c r="L465" t="s">
        <v>2823</v>
      </c>
      <c r="M465" s="88">
        <v>46146.507662037038</v>
      </c>
      <c r="N465" t="s">
        <v>637</v>
      </c>
      <c r="O465" t="s">
        <v>112</v>
      </c>
      <c r="P465" t="s">
        <v>111</v>
      </c>
      <c r="Q465" t="s">
        <v>1587</v>
      </c>
      <c r="R465">
        <v>6</v>
      </c>
      <c r="S465" s="89">
        <v>9500</v>
      </c>
      <c r="T465" s="89">
        <v>0</v>
      </c>
      <c r="U465" s="89">
        <v>20080</v>
      </c>
      <c r="V465" s="89">
        <v>20080</v>
      </c>
      <c r="W465" s="89">
        <v>36920</v>
      </c>
    </row>
    <row r="466" spans="1:23" ht="13">
      <c r="A466" t="s">
        <v>2824</v>
      </c>
      <c r="B466" t="s">
        <v>2825</v>
      </c>
      <c r="C466" s="88">
        <v>46154.029953703706</v>
      </c>
      <c r="D466" t="s">
        <v>105</v>
      </c>
      <c r="E466" t="s">
        <v>106</v>
      </c>
      <c r="F466" t="s">
        <v>2826</v>
      </c>
      <c r="G466" t="s">
        <v>2827</v>
      </c>
      <c r="H466" t="s">
        <v>2826</v>
      </c>
      <c r="I466" s="88">
        <v>46143.714768518519</v>
      </c>
      <c r="J466" t="s">
        <v>107</v>
      </c>
      <c r="K466" t="s">
        <v>108</v>
      </c>
      <c r="L466" t="s">
        <v>2828</v>
      </c>
      <c r="M466" s="88">
        <v>46146.443113425921</v>
      </c>
      <c r="N466" t="s">
        <v>637</v>
      </c>
      <c r="O466" t="s">
        <v>112</v>
      </c>
      <c r="P466" t="s">
        <v>111</v>
      </c>
      <c r="Q466" t="s">
        <v>1587</v>
      </c>
      <c r="R466">
        <v>1</v>
      </c>
      <c r="S466" s="89">
        <v>9500</v>
      </c>
      <c r="T466" s="89">
        <v>0</v>
      </c>
      <c r="U466" s="89">
        <v>2090</v>
      </c>
      <c r="V466" s="89">
        <v>2090</v>
      </c>
      <c r="W466" s="89">
        <v>7410</v>
      </c>
    </row>
    <row r="467" spans="1:23" ht="13">
      <c r="A467" t="s">
        <v>2829</v>
      </c>
      <c r="B467" t="s">
        <v>2830</v>
      </c>
      <c r="C467" s="88">
        <v>46154.029953703706</v>
      </c>
      <c r="D467" t="s">
        <v>105</v>
      </c>
      <c r="E467" t="s">
        <v>106</v>
      </c>
      <c r="F467" t="s">
        <v>2831</v>
      </c>
      <c r="G467" t="s">
        <v>2832</v>
      </c>
      <c r="H467" t="s">
        <v>2831</v>
      </c>
      <c r="I467" s="88">
        <v>46143.714722222227</v>
      </c>
      <c r="J467" t="s">
        <v>107</v>
      </c>
      <c r="K467" t="s">
        <v>108</v>
      </c>
      <c r="L467" t="s">
        <v>2833</v>
      </c>
      <c r="M467" s="88">
        <v>46146.443067129629</v>
      </c>
      <c r="N467" t="s">
        <v>637</v>
      </c>
      <c r="O467" t="s">
        <v>112</v>
      </c>
      <c r="P467" t="s">
        <v>111</v>
      </c>
      <c r="Q467" t="s">
        <v>1587</v>
      </c>
      <c r="R467">
        <v>12</v>
      </c>
      <c r="S467" s="89">
        <v>9500</v>
      </c>
      <c r="T467" s="89">
        <v>0</v>
      </c>
      <c r="U467" s="89">
        <v>40060</v>
      </c>
      <c r="V467" s="89">
        <v>40060</v>
      </c>
      <c r="W467" s="89">
        <v>73940</v>
      </c>
    </row>
    <row r="468" spans="1:23" ht="13">
      <c r="A468" t="s">
        <v>2834</v>
      </c>
      <c r="B468" t="s">
        <v>2835</v>
      </c>
      <c r="C468" s="88">
        <v>46154.029953703706</v>
      </c>
      <c r="D468" t="s">
        <v>105</v>
      </c>
      <c r="E468" t="s">
        <v>106</v>
      </c>
      <c r="F468" t="s">
        <v>2836</v>
      </c>
      <c r="G468" t="s">
        <v>2837</v>
      </c>
      <c r="H468" t="s">
        <v>2836</v>
      </c>
      <c r="I468" s="88">
        <v>46143.714768518519</v>
      </c>
      <c r="J468" t="s">
        <v>107</v>
      </c>
      <c r="K468" t="s">
        <v>108</v>
      </c>
      <c r="L468" t="s">
        <v>2838</v>
      </c>
      <c r="M468" s="88">
        <v>46146.460648148146</v>
      </c>
      <c r="N468" t="s">
        <v>637</v>
      </c>
      <c r="O468" t="s">
        <v>112</v>
      </c>
      <c r="P468" t="s">
        <v>111</v>
      </c>
      <c r="Q468" t="s">
        <v>1587</v>
      </c>
      <c r="R468">
        <v>1</v>
      </c>
      <c r="S468" s="89">
        <v>9500</v>
      </c>
      <c r="T468" s="89">
        <v>0</v>
      </c>
      <c r="U468" s="89">
        <v>2090</v>
      </c>
      <c r="V468" s="89">
        <v>2090</v>
      </c>
      <c r="W468" s="89">
        <v>7410</v>
      </c>
    </row>
    <row r="469" spans="1:23" ht="13">
      <c r="A469" t="s">
        <v>2839</v>
      </c>
      <c r="B469" t="s">
        <v>2840</v>
      </c>
      <c r="C469" s="88">
        <v>46154.029953703706</v>
      </c>
      <c r="D469" t="s">
        <v>105</v>
      </c>
      <c r="E469" t="s">
        <v>106</v>
      </c>
      <c r="F469" t="s">
        <v>2841</v>
      </c>
      <c r="G469" t="s">
        <v>2842</v>
      </c>
      <c r="H469" t="s">
        <v>2841</v>
      </c>
      <c r="I469" s="88">
        <v>46143.71471064815</v>
      </c>
      <c r="J469" t="s">
        <v>107</v>
      </c>
      <c r="K469" t="s">
        <v>108</v>
      </c>
      <c r="L469" t="s">
        <v>2843</v>
      </c>
      <c r="M469" s="88">
        <v>46146.443090277782</v>
      </c>
      <c r="N469" t="s">
        <v>637</v>
      </c>
      <c r="O469" t="s">
        <v>112</v>
      </c>
      <c r="P469" t="s">
        <v>111</v>
      </c>
      <c r="Q469" t="s">
        <v>1587</v>
      </c>
      <c r="R469">
        <v>6</v>
      </c>
      <c r="S469" s="89">
        <v>9500</v>
      </c>
      <c r="T469" s="89">
        <v>0</v>
      </c>
      <c r="U469" s="89">
        <v>20080</v>
      </c>
      <c r="V469" s="89">
        <v>20080</v>
      </c>
      <c r="W469" s="89">
        <v>36920</v>
      </c>
    </row>
    <row r="470" spans="1:23" ht="13">
      <c r="A470" t="s">
        <v>2844</v>
      </c>
      <c r="B470" t="s">
        <v>2845</v>
      </c>
      <c r="C470" s="88">
        <v>46154.029953703706</v>
      </c>
      <c r="D470" t="s">
        <v>105</v>
      </c>
      <c r="E470" t="s">
        <v>106</v>
      </c>
      <c r="F470" t="s">
        <v>2846</v>
      </c>
      <c r="G470" t="s">
        <v>2847</v>
      </c>
      <c r="H470" t="s">
        <v>2846</v>
      </c>
      <c r="I470" s="88">
        <v>46143.714768518519</v>
      </c>
      <c r="J470" t="s">
        <v>107</v>
      </c>
      <c r="K470" t="s">
        <v>108</v>
      </c>
      <c r="L470" t="s">
        <v>2848</v>
      </c>
      <c r="M470" s="88">
        <v>46146.650462962964</v>
      </c>
      <c r="N470" t="s">
        <v>637</v>
      </c>
      <c r="O470" t="s">
        <v>112</v>
      </c>
      <c r="P470" t="s">
        <v>111</v>
      </c>
      <c r="Q470" t="s">
        <v>1417</v>
      </c>
      <c r="R470">
        <v>2</v>
      </c>
      <c r="S470" s="89">
        <v>9500</v>
      </c>
      <c r="T470" s="89">
        <v>0</v>
      </c>
      <c r="U470" s="89">
        <v>4280</v>
      </c>
      <c r="V470" s="89">
        <v>4280</v>
      </c>
      <c r="W470" s="89">
        <v>14720</v>
      </c>
    </row>
    <row r="471" spans="1:23" ht="13">
      <c r="A471" t="s">
        <v>2849</v>
      </c>
      <c r="B471" t="s">
        <v>2850</v>
      </c>
      <c r="C471" s="88">
        <v>46154.029953703706</v>
      </c>
      <c r="D471" t="s">
        <v>105</v>
      </c>
      <c r="E471" t="s">
        <v>106</v>
      </c>
      <c r="F471" t="s">
        <v>2851</v>
      </c>
      <c r="G471" t="s">
        <v>2852</v>
      </c>
      <c r="H471" t="s">
        <v>2851</v>
      </c>
      <c r="I471" s="88">
        <v>46143.714699074073</v>
      </c>
      <c r="J471" t="s">
        <v>107</v>
      </c>
      <c r="K471" t="s">
        <v>108</v>
      </c>
      <c r="L471" t="s">
        <v>2853</v>
      </c>
      <c r="M471" s="88">
        <v>46146.633344907408</v>
      </c>
      <c r="N471" t="s">
        <v>637</v>
      </c>
      <c r="O471" t="s">
        <v>112</v>
      </c>
      <c r="P471" t="s">
        <v>111</v>
      </c>
      <c r="Q471" t="s">
        <v>1587</v>
      </c>
      <c r="R471">
        <v>6</v>
      </c>
      <c r="S471" s="89">
        <v>9500</v>
      </c>
      <c r="T471" s="89">
        <v>0</v>
      </c>
      <c r="U471" s="89">
        <v>20080</v>
      </c>
      <c r="V471" s="89">
        <v>20080</v>
      </c>
      <c r="W471" s="89">
        <v>36920</v>
      </c>
    </row>
    <row r="472" spans="1:23" ht="13">
      <c r="A472" t="s">
        <v>2854</v>
      </c>
      <c r="B472" t="s">
        <v>2855</v>
      </c>
      <c r="C472" s="88">
        <v>46154.029953703706</v>
      </c>
      <c r="D472" t="s">
        <v>105</v>
      </c>
      <c r="E472" t="s">
        <v>106</v>
      </c>
      <c r="F472" t="s">
        <v>2856</v>
      </c>
      <c r="G472" t="s">
        <v>2857</v>
      </c>
      <c r="H472" t="s">
        <v>2856</v>
      </c>
      <c r="I472" s="88">
        <v>46143.714745370366</v>
      </c>
      <c r="J472" t="s">
        <v>107</v>
      </c>
      <c r="K472" t="s">
        <v>108</v>
      </c>
      <c r="L472" t="s">
        <v>2858</v>
      </c>
      <c r="M472" s="88">
        <v>46146.629155092596</v>
      </c>
      <c r="N472" t="s">
        <v>637</v>
      </c>
      <c r="O472" t="s">
        <v>112</v>
      </c>
      <c r="P472" t="s">
        <v>111</v>
      </c>
      <c r="Q472" t="s">
        <v>1587</v>
      </c>
      <c r="R472">
        <v>6</v>
      </c>
      <c r="S472" s="89">
        <v>9500</v>
      </c>
      <c r="T472" s="89">
        <v>0</v>
      </c>
      <c r="U472" s="89">
        <v>20080</v>
      </c>
      <c r="V472" s="89">
        <v>20080</v>
      </c>
      <c r="W472" s="89">
        <v>36920</v>
      </c>
    </row>
    <row r="473" spans="1:23" ht="13">
      <c r="A473" t="s">
        <v>2859</v>
      </c>
      <c r="B473" t="s">
        <v>2860</v>
      </c>
      <c r="C473" s="88">
        <v>46154.029953703706</v>
      </c>
      <c r="D473" t="s">
        <v>105</v>
      </c>
      <c r="E473" t="s">
        <v>106</v>
      </c>
      <c r="F473" t="s">
        <v>184</v>
      </c>
      <c r="G473" t="s">
        <v>2861</v>
      </c>
      <c r="H473" t="s">
        <v>184</v>
      </c>
      <c r="I473" s="88">
        <v>46143.714699074073</v>
      </c>
      <c r="J473" t="s">
        <v>107</v>
      </c>
      <c r="K473" t="s">
        <v>108</v>
      </c>
      <c r="L473" t="s">
        <v>2862</v>
      </c>
      <c r="M473" s="88">
        <v>46146.509004629625</v>
      </c>
      <c r="N473" t="s">
        <v>637</v>
      </c>
      <c r="O473" t="s">
        <v>112</v>
      </c>
      <c r="P473" t="s">
        <v>111</v>
      </c>
      <c r="Q473" t="s">
        <v>1587</v>
      </c>
      <c r="R473">
        <v>6</v>
      </c>
      <c r="S473" s="89">
        <v>9500</v>
      </c>
      <c r="T473" s="89">
        <v>0</v>
      </c>
      <c r="U473" s="89">
        <v>19980</v>
      </c>
      <c r="V473" s="89">
        <v>19980</v>
      </c>
      <c r="W473" s="89">
        <v>37020</v>
      </c>
    </row>
    <row r="474" spans="1:23" ht="13">
      <c r="A474" t="s">
        <v>2863</v>
      </c>
      <c r="B474" t="s">
        <v>2864</v>
      </c>
      <c r="C474" s="88">
        <v>46154.029953703706</v>
      </c>
      <c r="D474" t="s">
        <v>105</v>
      </c>
      <c r="E474" t="s">
        <v>106</v>
      </c>
      <c r="F474" t="s">
        <v>2865</v>
      </c>
      <c r="G474" t="s">
        <v>2866</v>
      </c>
      <c r="H474" t="s">
        <v>2867</v>
      </c>
      <c r="I474" s="88">
        <v>46143.714733796296</v>
      </c>
      <c r="J474" t="s">
        <v>107</v>
      </c>
      <c r="K474" t="s">
        <v>108</v>
      </c>
      <c r="L474" t="s">
        <v>2868</v>
      </c>
      <c r="M474" s="88">
        <v>46146.443125000005</v>
      </c>
      <c r="N474" t="s">
        <v>637</v>
      </c>
      <c r="O474" t="s">
        <v>112</v>
      </c>
      <c r="P474" t="s">
        <v>111</v>
      </c>
      <c r="Q474" t="s">
        <v>1587</v>
      </c>
      <c r="R474">
        <v>3</v>
      </c>
      <c r="S474" s="89">
        <v>9500</v>
      </c>
      <c r="T474" s="89">
        <v>0</v>
      </c>
      <c r="U474" s="89">
        <v>6270</v>
      </c>
      <c r="V474" s="89">
        <v>6270</v>
      </c>
      <c r="W474" s="89">
        <v>22230</v>
      </c>
    </row>
    <row r="475" spans="1:23" ht="13">
      <c r="A475" t="s">
        <v>2869</v>
      </c>
      <c r="B475" t="s">
        <v>2870</v>
      </c>
      <c r="C475" s="88">
        <v>46154.029953703706</v>
      </c>
      <c r="D475" t="s">
        <v>105</v>
      </c>
      <c r="E475" t="s">
        <v>106</v>
      </c>
      <c r="F475" t="s">
        <v>2871</v>
      </c>
      <c r="G475" t="s">
        <v>2872</v>
      </c>
      <c r="H475" t="s">
        <v>2871</v>
      </c>
      <c r="I475" s="88">
        <v>46143.714699074073</v>
      </c>
      <c r="J475" t="s">
        <v>107</v>
      </c>
      <c r="K475" t="s">
        <v>108</v>
      </c>
      <c r="L475" t="s">
        <v>2873</v>
      </c>
      <c r="M475" s="88">
        <v>46146.443032407406</v>
      </c>
      <c r="N475" t="s">
        <v>637</v>
      </c>
      <c r="O475" t="s">
        <v>112</v>
      </c>
      <c r="P475" t="s">
        <v>111</v>
      </c>
      <c r="Q475" t="s">
        <v>1587</v>
      </c>
      <c r="R475">
        <v>6</v>
      </c>
      <c r="S475" s="89">
        <v>9500</v>
      </c>
      <c r="T475" s="89">
        <v>0</v>
      </c>
      <c r="U475" s="89">
        <v>20080</v>
      </c>
      <c r="V475" s="89">
        <v>20080</v>
      </c>
      <c r="W475" s="89">
        <v>36920</v>
      </c>
    </row>
    <row r="476" spans="1:23" ht="13">
      <c r="A476" t="s">
        <v>2874</v>
      </c>
      <c r="B476" t="s">
        <v>2875</v>
      </c>
      <c r="C476" s="88">
        <v>46154.029953703706</v>
      </c>
      <c r="D476" t="s">
        <v>105</v>
      </c>
      <c r="E476" t="s">
        <v>106</v>
      </c>
      <c r="F476" t="s">
        <v>2876</v>
      </c>
      <c r="G476" t="s">
        <v>2877</v>
      </c>
      <c r="H476" t="s">
        <v>2876</v>
      </c>
      <c r="I476" s="88">
        <v>46143.714687500003</v>
      </c>
      <c r="J476" t="s">
        <v>107</v>
      </c>
      <c r="K476" t="s">
        <v>108</v>
      </c>
      <c r="L476" t="s">
        <v>2878</v>
      </c>
      <c r="M476" s="88">
        <v>46146.506990740745</v>
      </c>
      <c r="N476" t="s">
        <v>637</v>
      </c>
      <c r="O476" t="s">
        <v>112</v>
      </c>
      <c r="P476" t="s">
        <v>111</v>
      </c>
      <c r="Q476" t="s">
        <v>1587</v>
      </c>
      <c r="R476">
        <v>2</v>
      </c>
      <c r="S476" s="89">
        <v>9500</v>
      </c>
      <c r="T476" s="89">
        <v>0</v>
      </c>
      <c r="U476" s="89">
        <v>4280</v>
      </c>
      <c r="V476" s="89">
        <v>4280</v>
      </c>
      <c r="W476" s="89">
        <v>14720</v>
      </c>
    </row>
    <row r="477" spans="1:23" ht="13">
      <c r="A477" t="s">
        <v>2879</v>
      </c>
      <c r="B477" t="s">
        <v>2880</v>
      </c>
      <c r="C477" s="88">
        <v>46154.029733796298</v>
      </c>
      <c r="D477" t="s">
        <v>105</v>
      </c>
      <c r="E477" t="s">
        <v>106</v>
      </c>
      <c r="F477" t="s">
        <v>2881</v>
      </c>
      <c r="G477" t="s">
        <v>2882</v>
      </c>
      <c r="H477" t="s">
        <v>2883</v>
      </c>
      <c r="I477" s="88">
        <v>46143.714768518519</v>
      </c>
      <c r="J477" t="s">
        <v>107</v>
      </c>
      <c r="K477" t="s">
        <v>108</v>
      </c>
      <c r="L477" t="s">
        <v>2884</v>
      </c>
      <c r="M477" s="88">
        <v>46146.506990740745</v>
      </c>
      <c r="N477" t="s">
        <v>637</v>
      </c>
      <c r="O477" t="s">
        <v>112</v>
      </c>
      <c r="P477" t="s">
        <v>111</v>
      </c>
      <c r="Q477" t="s">
        <v>2085</v>
      </c>
      <c r="R477">
        <v>1</v>
      </c>
      <c r="S477" s="89">
        <v>9500</v>
      </c>
      <c r="T477" s="89">
        <v>0</v>
      </c>
      <c r="U477" s="89">
        <v>2190</v>
      </c>
      <c r="V477" s="89">
        <v>2190</v>
      </c>
      <c r="W477" s="89">
        <v>7310</v>
      </c>
    </row>
    <row r="478" spans="1:23" ht="13">
      <c r="A478" t="s">
        <v>2885</v>
      </c>
      <c r="B478" t="s">
        <v>2886</v>
      </c>
      <c r="C478" s="88">
        <v>46154.029733796298</v>
      </c>
      <c r="D478" t="s">
        <v>105</v>
      </c>
      <c r="E478" t="s">
        <v>106</v>
      </c>
      <c r="F478" t="s">
        <v>2887</v>
      </c>
      <c r="G478" t="s">
        <v>2888</v>
      </c>
      <c r="H478" t="s">
        <v>2887</v>
      </c>
      <c r="I478" s="88">
        <v>46143.714768518519</v>
      </c>
      <c r="J478" t="s">
        <v>107</v>
      </c>
      <c r="K478" t="s">
        <v>108</v>
      </c>
      <c r="L478" t="s">
        <v>2889</v>
      </c>
      <c r="M478" s="88">
        <v>46146.442384259259</v>
      </c>
      <c r="N478" t="s">
        <v>637</v>
      </c>
      <c r="O478" t="s">
        <v>112</v>
      </c>
      <c r="P478" t="s">
        <v>111</v>
      </c>
      <c r="Q478" t="s">
        <v>1587</v>
      </c>
      <c r="R478">
        <v>1</v>
      </c>
      <c r="S478" s="89">
        <v>9500</v>
      </c>
      <c r="T478" s="89">
        <v>0</v>
      </c>
      <c r="U478" s="89">
        <v>2190</v>
      </c>
      <c r="V478" s="89">
        <v>2190</v>
      </c>
      <c r="W478" s="89">
        <v>7310</v>
      </c>
    </row>
    <row r="479" spans="1:23" ht="13">
      <c r="A479" t="s">
        <v>2890</v>
      </c>
      <c r="B479" t="s">
        <v>2891</v>
      </c>
      <c r="C479" s="88">
        <v>46154.029733796298</v>
      </c>
      <c r="D479" t="s">
        <v>105</v>
      </c>
      <c r="E479" t="s">
        <v>106</v>
      </c>
      <c r="F479" t="s">
        <v>2892</v>
      </c>
      <c r="G479" t="s">
        <v>2893</v>
      </c>
      <c r="H479" t="s">
        <v>2892</v>
      </c>
      <c r="I479" s="88">
        <v>46143.714768518519</v>
      </c>
      <c r="J479" t="s">
        <v>107</v>
      </c>
      <c r="K479" t="s">
        <v>108</v>
      </c>
      <c r="L479" t="s">
        <v>2894</v>
      </c>
      <c r="M479" s="88">
        <v>46146.507662037038</v>
      </c>
      <c r="N479" t="s">
        <v>637</v>
      </c>
      <c r="O479" t="s">
        <v>112</v>
      </c>
      <c r="P479" t="s">
        <v>111</v>
      </c>
      <c r="Q479" t="s">
        <v>1587</v>
      </c>
      <c r="R479">
        <v>1</v>
      </c>
      <c r="S479" s="89">
        <v>9500</v>
      </c>
      <c r="T479" s="89">
        <v>0</v>
      </c>
      <c r="U479" s="89">
        <v>2190</v>
      </c>
      <c r="V479" s="89">
        <v>2190</v>
      </c>
      <c r="W479" s="89">
        <v>7310</v>
      </c>
    </row>
    <row r="480" spans="1:23" ht="13">
      <c r="A480" t="s">
        <v>2895</v>
      </c>
      <c r="B480" t="s">
        <v>2896</v>
      </c>
      <c r="C480" s="88">
        <v>46154.029733796298</v>
      </c>
      <c r="D480" t="s">
        <v>105</v>
      </c>
      <c r="E480" t="s">
        <v>106</v>
      </c>
      <c r="F480" t="s">
        <v>2897</v>
      </c>
      <c r="G480" t="s">
        <v>2898</v>
      </c>
      <c r="H480" t="s">
        <v>2897</v>
      </c>
      <c r="I480" s="88">
        <v>46143.714768518519</v>
      </c>
      <c r="J480" t="s">
        <v>107</v>
      </c>
      <c r="K480" t="s">
        <v>108</v>
      </c>
      <c r="L480" t="s">
        <v>2899</v>
      </c>
      <c r="M480" s="88">
        <v>46146.629861111112</v>
      </c>
      <c r="N480" t="s">
        <v>637</v>
      </c>
      <c r="O480" t="s">
        <v>112</v>
      </c>
      <c r="P480" t="s">
        <v>111</v>
      </c>
      <c r="Q480" t="s">
        <v>1587</v>
      </c>
      <c r="R480">
        <v>1</v>
      </c>
      <c r="S480" s="89">
        <v>9500</v>
      </c>
      <c r="T480" s="89">
        <v>0</v>
      </c>
      <c r="U480" s="89">
        <v>2190</v>
      </c>
      <c r="V480" s="89">
        <v>2190</v>
      </c>
      <c r="W480" s="89">
        <v>7310</v>
      </c>
    </row>
    <row r="481" spans="1:23" ht="13">
      <c r="A481" t="s">
        <v>2900</v>
      </c>
      <c r="B481" t="s">
        <v>2901</v>
      </c>
      <c r="C481" s="88">
        <v>46154.029733796298</v>
      </c>
      <c r="D481" t="s">
        <v>105</v>
      </c>
      <c r="E481" t="s">
        <v>106</v>
      </c>
      <c r="F481" t="s">
        <v>2902</v>
      </c>
      <c r="G481" t="s">
        <v>2903</v>
      </c>
      <c r="H481" t="s">
        <v>2902</v>
      </c>
      <c r="I481" s="88">
        <v>46143.71475694445</v>
      </c>
      <c r="J481" t="s">
        <v>107</v>
      </c>
      <c r="K481" t="s">
        <v>108</v>
      </c>
      <c r="L481" t="s">
        <v>2904</v>
      </c>
      <c r="M481" s="88">
        <v>46146.629861111112</v>
      </c>
      <c r="N481" t="s">
        <v>637</v>
      </c>
      <c r="O481" t="s">
        <v>112</v>
      </c>
      <c r="P481" t="s">
        <v>111</v>
      </c>
      <c r="Q481" t="s">
        <v>1587</v>
      </c>
      <c r="R481">
        <v>2</v>
      </c>
      <c r="S481" s="89">
        <v>9500</v>
      </c>
      <c r="T481" s="89">
        <v>0</v>
      </c>
      <c r="U481" s="89">
        <v>4280</v>
      </c>
      <c r="V481" s="89">
        <v>4280</v>
      </c>
      <c r="W481" s="89">
        <v>14720</v>
      </c>
    </row>
    <row r="482" spans="1:23" ht="13">
      <c r="A482" t="s">
        <v>2905</v>
      </c>
      <c r="B482" t="s">
        <v>2906</v>
      </c>
      <c r="C482" s="88">
        <v>46154.029733796298</v>
      </c>
      <c r="D482" t="s">
        <v>105</v>
      </c>
      <c r="E482" t="s">
        <v>106</v>
      </c>
      <c r="F482" t="s">
        <v>320</v>
      </c>
      <c r="G482" t="s">
        <v>2907</v>
      </c>
      <c r="H482" t="s">
        <v>320</v>
      </c>
      <c r="I482" s="88">
        <v>46143.714745370366</v>
      </c>
      <c r="J482" t="s">
        <v>107</v>
      </c>
      <c r="K482" t="s">
        <v>108</v>
      </c>
      <c r="L482" t="s">
        <v>2908</v>
      </c>
      <c r="M482" s="88">
        <v>46146.509004629625</v>
      </c>
      <c r="N482" t="s">
        <v>637</v>
      </c>
      <c r="O482" t="s">
        <v>112</v>
      </c>
      <c r="P482" t="s">
        <v>111</v>
      </c>
      <c r="Q482" t="s">
        <v>1587</v>
      </c>
      <c r="R482">
        <v>6</v>
      </c>
      <c r="S482" s="89">
        <v>9500</v>
      </c>
      <c r="T482" s="89">
        <v>0</v>
      </c>
      <c r="U482" s="89">
        <v>19980</v>
      </c>
      <c r="V482" s="89">
        <v>19980</v>
      </c>
      <c r="W482" s="89">
        <v>37020</v>
      </c>
    </row>
    <row r="483" spans="1:23" ht="13">
      <c r="A483" t="s">
        <v>2909</v>
      </c>
      <c r="B483" t="s">
        <v>2910</v>
      </c>
      <c r="C483" s="88">
        <v>46154.029733796298</v>
      </c>
      <c r="D483" t="s">
        <v>105</v>
      </c>
      <c r="E483" t="s">
        <v>106</v>
      </c>
      <c r="F483" t="s">
        <v>2911</v>
      </c>
      <c r="G483" t="s">
        <v>2912</v>
      </c>
      <c r="H483" t="s">
        <v>2911</v>
      </c>
      <c r="I483" s="88">
        <v>46143.714733796296</v>
      </c>
      <c r="J483" t="s">
        <v>107</v>
      </c>
      <c r="K483" t="s">
        <v>108</v>
      </c>
      <c r="L483" t="s">
        <v>2913</v>
      </c>
      <c r="M483" s="88">
        <v>46146.443067129629</v>
      </c>
      <c r="N483" t="s">
        <v>637</v>
      </c>
      <c r="O483" t="s">
        <v>112</v>
      </c>
      <c r="P483" t="s">
        <v>111</v>
      </c>
      <c r="Q483" t="s">
        <v>1587</v>
      </c>
      <c r="R483">
        <v>2</v>
      </c>
      <c r="S483" s="89">
        <v>9500</v>
      </c>
      <c r="T483" s="89">
        <v>0</v>
      </c>
      <c r="U483" s="89">
        <v>4180</v>
      </c>
      <c r="V483" s="89">
        <v>4180</v>
      </c>
      <c r="W483" s="89">
        <v>14820</v>
      </c>
    </row>
    <row r="484" spans="1:23" ht="13">
      <c r="A484" t="s">
        <v>2914</v>
      </c>
      <c r="B484" t="s">
        <v>2915</v>
      </c>
      <c r="C484" s="88">
        <v>46154.029733796298</v>
      </c>
      <c r="D484" t="s">
        <v>105</v>
      </c>
      <c r="E484" t="s">
        <v>106</v>
      </c>
      <c r="F484" t="s">
        <v>2916</v>
      </c>
      <c r="G484" t="s">
        <v>2917</v>
      </c>
      <c r="H484" t="s">
        <v>2916</v>
      </c>
      <c r="I484" s="88">
        <v>46143.714699074073</v>
      </c>
      <c r="J484" t="s">
        <v>107</v>
      </c>
      <c r="K484" t="s">
        <v>108</v>
      </c>
      <c r="L484" t="s">
        <v>2918</v>
      </c>
      <c r="M484" s="88">
        <v>46146.509016203709</v>
      </c>
      <c r="N484" t="s">
        <v>637</v>
      </c>
      <c r="O484" t="s">
        <v>112</v>
      </c>
      <c r="P484" t="s">
        <v>111</v>
      </c>
      <c r="Q484" t="s">
        <v>1587</v>
      </c>
      <c r="R484">
        <v>3</v>
      </c>
      <c r="S484" s="89">
        <v>9500</v>
      </c>
      <c r="T484" s="89">
        <v>0</v>
      </c>
      <c r="U484" s="89">
        <v>6270</v>
      </c>
      <c r="V484" s="89">
        <v>6270</v>
      </c>
      <c r="W484" s="89">
        <v>22230</v>
      </c>
    </row>
    <row r="485" spans="1:23" ht="13">
      <c r="A485" t="s">
        <v>2919</v>
      </c>
      <c r="B485" t="s">
        <v>209</v>
      </c>
      <c r="C485" s="88">
        <v>46154.029722222222</v>
      </c>
      <c r="D485" t="s">
        <v>105</v>
      </c>
      <c r="E485" t="s">
        <v>106</v>
      </c>
      <c r="F485" t="s">
        <v>210</v>
      </c>
      <c r="G485" t="s">
        <v>211</v>
      </c>
      <c r="H485" t="s">
        <v>212</v>
      </c>
      <c r="I485" s="88">
        <v>46143.714699074073</v>
      </c>
      <c r="J485" t="s">
        <v>107</v>
      </c>
      <c r="K485" t="s">
        <v>108</v>
      </c>
      <c r="L485" t="s">
        <v>2920</v>
      </c>
      <c r="M485" s="88">
        <v>46146.410381944443</v>
      </c>
      <c r="N485" t="s">
        <v>637</v>
      </c>
      <c r="O485" t="s">
        <v>112</v>
      </c>
      <c r="P485" t="s">
        <v>111</v>
      </c>
      <c r="Q485" t="s">
        <v>1587</v>
      </c>
      <c r="R485">
        <v>2</v>
      </c>
      <c r="S485" s="89">
        <v>9500</v>
      </c>
      <c r="T485" s="89">
        <v>0</v>
      </c>
      <c r="U485" s="89">
        <v>4280</v>
      </c>
      <c r="V485" s="89">
        <v>4280</v>
      </c>
      <c r="W485" s="89">
        <v>14720</v>
      </c>
    </row>
    <row r="486" spans="1:23" ht="13">
      <c r="A486" t="s">
        <v>2921</v>
      </c>
      <c r="B486" t="s">
        <v>2922</v>
      </c>
      <c r="C486" s="88">
        <v>46154.029722222222</v>
      </c>
      <c r="D486" t="s">
        <v>105</v>
      </c>
      <c r="E486" t="s">
        <v>106</v>
      </c>
      <c r="F486" t="s">
        <v>2923</v>
      </c>
      <c r="G486" t="s">
        <v>2924</v>
      </c>
      <c r="H486" t="s">
        <v>2923</v>
      </c>
      <c r="I486" s="88">
        <v>46143.714699074073</v>
      </c>
      <c r="J486" t="s">
        <v>107</v>
      </c>
      <c r="K486" t="s">
        <v>108</v>
      </c>
      <c r="L486" t="s">
        <v>2925</v>
      </c>
      <c r="M486" s="88">
        <v>46146.629155092596</v>
      </c>
      <c r="N486" t="s">
        <v>637</v>
      </c>
      <c r="O486" t="s">
        <v>112</v>
      </c>
      <c r="P486" t="s">
        <v>111</v>
      </c>
      <c r="Q486" t="s">
        <v>2085</v>
      </c>
      <c r="R486">
        <v>4</v>
      </c>
      <c r="S486" s="89">
        <v>9500</v>
      </c>
      <c r="T486" s="89">
        <v>0</v>
      </c>
      <c r="U486" s="89">
        <v>8360</v>
      </c>
      <c r="V486" s="89">
        <v>8360</v>
      </c>
      <c r="W486" s="89">
        <v>29640</v>
      </c>
    </row>
    <row r="487" spans="1:23" ht="13">
      <c r="A487" t="s">
        <v>2926</v>
      </c>
      <c r="B487" t="s">
        <v>2927</v>
      </c>
      <c r="C487" s="88">
        <v>46154.029722222222</v>
      </c>
      <c r="D487" t="s">
        <v>105</v>
      </c>
      <c r="E487" t="s">
        <v>106</v>
      </c>
      <c r="F487" t="s">
        <v>2928</v>
      </c>
      <c r="G487" t="s">
        <v>2929</v>
      </c>
      <c r="H487" t="s">
        <v>2928</v>
      </c>
      <c r="I487" s="88">
        <v>46143.714699074073</v>
      </c>
      <c r="J487" t="s">
        <v>107</v>
      </c>
      <c r="K487" t="s">
        <v>108</v>
      </c>
      <c r="L487" t="s">
        <v>2930</v>
      </c>
      <c r="M487" s="88">
        <v>46146.443032407406</v>
      </c>
      <c r="N487" t="s">
        <v>637</v>
      </c>
      <c r="O487" t="s">
        <v>112</v>
      </c>
      <c r="P487" t="s">
        <v>111</v>
      </c>
      <c r="Q487" t="s">
        <v>1587</v>
      </c>
      <c r="R487">
        <v>3</v>
      </c>
      <c r="S487" s="89">
        <v>9500</v>
      </c>
      <c r="T487" s="89">
        <v>0</v>
      </c>
      <c r="U487" s="89">
        <v>6370</v>
      </c>
      <c r="V487" s="89">
        <v>6370</v>
      </c>
      <c r="W487" s="89">
        <v>22130</v>
      </c>
    </row>
    <row r="488" spans="1:23" ht="13">
      <c r="A488" t="s">
        <v>2931</v>
      </c>
      <c r="B488" t="s">
        <v>2932</v>
      </c>
      <c r="C488" s="88">
        <v>46154.029722222222</v>
      </c>
      <c r="D488" t="s">
        <v>105</v>
      </c>
      <c r="E488" t="s">
        <v>106</v>
      </c>
      <c r="F488" t="s">
        <v>2933</v>
      </c>
      <c r="G488" t="s">
        <v>2934</v>
      </c>
      <c r="H488" t="s">
        <v>2933</v>
      </c>
      <c r="I488" s="88">
        <v>46143.714699074073</v>
      </c>
      <c r="J488" t="s">
        <v>107</v>
      </c>
      <c r="K488" t="s">
        <v>108</v>
      </c>
      <c r="L488" t="s">
        <v>2935</v>
      </c>
      <c r="M488" s="88">
        <v>46146.442384259259</v>
      </c>
      <c r="N488" t="s">
        <v>637</v>
      </c>
      <c r="O488" t="s">
        <v>112</v>
      </c>
      <c r="P488" t="s">
        <v>111</v>
      </c>
      <c r="Q488" t="s">
        <v>2085</v>
      </c>
      <c r="R488">
        <v>3</v>
      </c>
      <c r="S488" s="89">
        <v>9500</v>
      </c>
      <c r="T488" s="89">
        <v>0</v>
      </c>
      <c r="U488" s="89">
        <v>6270</v>
      </c>
      <c r="V488" s="89">
        <v>6270</v>
      </c>
      <c r="W488" s="89">
        <v>22230</v>
      </c>
    </row>
    <row r="489" spans="1:23" ht="13">
      <c r="A489" t="s">
        <v>2936</v>
      </c>
      <c r="B489" t="s">
        <v>2937</v>
      </c>
      <c r="C489" s="88">
        <v>46154.026331018518</v>
      </c>
      <c r="D489" t="s">
        <v>105</v>
      </c>
      <c r="E489" t="s">
        <v>106</v>
      </c>
      <c r="F489" t="s">
        <v>144</v>
      </c>
      <c r="G489" t="s">
        <v>2938</v>
      </c>
      <c r="H489" t="s">
        <v>144</v>
      </c>
      <c r="I489" s="88">
        <v>46141.596921296295</v>
      </c>
      <c r="J489" t="s">
        <v>107</v>
      </c>
      <c r="K489" t="s">
        <v>108</v>
      </c>
      <c r="L489" t="s">
        <v>2939</v>
      </c>
      <c r="M489" s="88">
        <v>46146.486817129626</v>
      </c>
      <c r="N489" t="s">
        <v>1992</v>
      </c>
      <c r="O489" t="s">
        <v>110</v>
      </c>
      <c r="P489" t="s">
        <v>111</v>
      </c>
      <c r="Q489" t="s">
        <v>2170</v>
      </c>
      <c r="R489">
        <v>1</v>
      </c>
      <c r="S489" s="89">
        <v>129000</v>
      </c>
      <c r="T489" s="89">
        <v>0</v>
      </c>
      <c r="U489" s="89">
        <v>29800</v>
      </c>
      <c r="V489" s="89">
        <v>29800</v>
      </c>
      <c r="W489" s="89">
        <v>99200</v>
      </c>
    </row>
    <row r="490" spans="1:23" ht="13">
      <c r="A490" t="s">
        <v>2940</v>
      </c>
      <c r="B490" t="s">
        <v>2941</v>
      </c>
      <c r="C490" s="88">
        <v>46153.990057870367</v>
      </c>
      <c r="D490" t="s">
        <v>105</v>
      </c>
      <c r="E490" t="s">
        <v>106</v>
      </c>
      <c r="F490" t="s">
        <v>729</v>
      </c>
      <c r="G490" t="s">
        <v>730</v>
      </c>
      <c r="H490" t="s">
        <v>729</v>
      </c>
      <c r="I490" s="88">
        <v>46143.714699074073</v>
      </c>
      <c r="J490" t="s">
        <v>107</v>
      </c>
      <c r="K490" t="s">
        <v>108</v>
      </c>
      <c r="L490" t="s">
        <v>2942</v>
      </c>
      <c r="M490" s="88">
        <v>46146.443032407406</v>
      </c>
      <c r="N490" t="s">
        <v>637</v>
      </c>
      <c r="O490" t="s">
        <v>112</v>
      </c>
      <c r="P490" t="s">
        <v>111</v>
      </c>
      <c r="Q490" t="s">
        <v>1587</v>
      </c>
      <c r="R490">
        <v>6</v>
      </c>
      <c r="S490" s="89">
        <v>9500</v>
      </c>
      <c r="T490" s="89">
        <v>0</v>
      </c>
      <c r="U490" s="89">
        <v>19980</v>
      </c>
      <c r="V490" s="89">
        <v>19980</v>
      </c>
      <c r="W490" s="89">
        <v>37020</v>
      </c>
    </row>
    <row r="491" spans="1:23" ht="13">
      <c r="A491" t="s">
        <v>2943</v>
      </c>
      <c r="B491" t="s">
        <v>2944</v>
      </c>
      <c r="C491" s="88">
        <v>46153.988159722227</v>
      </c>
      <c r="D491" t="s">
        <v>105</v>
      </c>
      <c r="E491" t="s">
        <v>106</v>
      </c>
      <c r="F491" t="s">
        <v>2945</v>
      </c>
      <c r="G491" t="s">
        <v>2946</v>
      </c>
      <c r="H491" t="s">
        <v>2945</v>
      </c>
      <c r="I491" s="88">
        <v>46148.584108796298</v>
      </c>
      <c r="J491" t="s">
        <v>107</v>
      </c>
      <c r="K491" t="s">
        <v>108</v>
      </c>
      <c r="L491" t="s">
        <v>2947</v>
      </c>
      <c r="M491" s="88">
        <v>46149.554074074069</v>
      </c>
      <c r="N491" t="s">
        <v>637</v>
      </c>
      <c r="O491" t="s">
        <v>112</v>
      </c>
      <c r="P491" t="s">
        <v>111</v>
      </c>
      <c r="Q491" t="s">
        <v>1417</v>
      </c>
      <c r="R491">
        <v>1</v>
      </c>
      <c r="S491" s="89">
        <v>9500</v>
      </c>
      <c r="T491" s="89">
        <v>0</v>
      </c>
      <c r="U491" s="89">
        <v>2190</v>
      </c>
      <c r="V491" s="89">
        <v>2190</v>
      </c>
      <c r="W491" s="89">
        <v>7310</v>
      </c>
    </row>
    <row r="492" spans="1:23" ht="13">
      <c r="A492" t="s">
        <v>2948</v>
      </c>
      <c r="B492" t="s">
        <v>2949</v>
      </c>
      <c r="C492" s="88">
        <v>46153.923194444447</v>
      </c>
      <c r="D492" t="s">
        <v>105</v>
      </c>
      <c r="E492" t="s">
        <v>106</v>
      </c>
      <c r="F492" t="s">
        <v>2950</v>
      </c>
      <c r="G492" t="s">
        <v>2951</v>
      </c>
      <c r="H492" t="s">
        <v>2950</v>
      </c>
      <c r="I492" s="88">
        <v>46148.584097222221</v>
      </c>
      <c r="J492" t="s">
        <v>107</v>
      </c>
      <c r="K492" t="s">
        <v>108</v>
      </c>
      <c r="L492" t="s">
        <v>2952</v>
      </c>
      <c r="M492" s="88">
        <v>46149.660416666666</v>
      </c>
      <c r="N492" t="s">
        <v>637</v>
      </c>
      <c r="O492" t="s">
        <v>112</v>
      </c>
      <c r="P492" t="s">
        <v>111</v>
      </c>
      <c r="Q492" t="s">
        <v>1417</v>
      </c>
      <c r="R492">
        <v>6</v>
      </c>
      <c r="S492" s="89">
        <v>9500</v>
      </c>
      <c r="T492" s="89">
        <v>0</v>
      </c>
      <c r="U492" s="89">
        <v>20080</v>
      </c>
      <c r="V492" s="89">
        <v>20080</v>
      </c>
      <c r="W492" s="89">
        <v>36920</v>
      </c>
    </row>
    <row r="493" spans="1:23" ht="13">
      <c r="A493" t="s">
        <v>2953</v>
      </c>
      <c r="B493" t="s">
        <v>2954</v>
      </c>
      <c r="C493" s="88">
        <v>46153.889594907407</v>
      </c>
      <c r="D493" t="s">
        <v>105</v>
      </c>
      <c r="E493" t="s">
        <v>106</v>
      </c>
      <c r="F493" t="s">
        <v>2955</v>
      </c>
      <c r="G493" t="s">
        <v>1672</v>
      </c>
      <c r="H493" t="s">
        <v>2955</v>
      </c>
      <c r="I493" s="88">
        <v>46143.714722222227</v>
      </c>
      <c r="J493" t="s">
        <v>107</v>
      </c>
      <c r="K493" t="s">
        <v>108</v>
      </c>
      <c r="L493" t="s">
        <v>2956</v>
      </c>
      <c r="M493" s="88">
        <v>46146.629849537036</v>
      </c>
      <c r="N493" t="s">
        <v>637</v>
      </c>
      <c r="O493" t="s">
        <v>112</v>
      </c>
      <c r="P493" t="s">
        <v>111</v>
      </c>
      <c r="Q493" t="s">
        <v>1587</v>
      </c>
      <c r="R493">
        <v>3</v>
      </c>
      <c r="S493" s="89">
        <v>9500</v>
      </c>
      <c r="T493" s="89">
        <v>0</v>
      </c>
      <c r="U493" s="89">
        <v>6370</v>
      </c>
      <c r="V493" s="89">
        <v>6370</v>
      </c>
      <c r="W493" s="89">
        <v>22130</v>
      </c>
    </row>
    <row r="494" spans="1:23" ht="13">
      <c r="A494" t="s">
        <v>2957</v>
      </c>
      <c r="B494" t="s">
        <v>2958</v>
      </c>
      <c r="C494" s="88">
        <v>46153.718935185185</v>
      </c>
      <c r="D494" t="s">
        <v>105</v>
      </c>
      <c r="E494" t="s">
        <v>106</v>
      </c>
      <c r="F494" t="s">
        <v>2959</v>
      </c>
      <c r="G494" t="s">
        <v>2960</v>
      </c>
      <c r="H494" t="s">
        <v>2959</v>
      </c>
      <c r="I494" s="88">
        <v>46143.714768518519</v>
      </c>
      <c r="J494" t="s">
        <v>107</v>
      </c>
      <c r="K494" t="s">
        <v>108</v>
      </c>
      <c r="L494" t="s">
        <v>2961</v>
      </c>
      <c r="M494" s="88">
        <v>46146.443090277782</v>
      </c>
      <c r="N494" t="s">
        <v>637</v>
      </c>
      <c r="O494" t="s">
        <v>112</v>
      </c>
      <c r="P494" t="s">
        <v>111</v>
      </c>
      <c r="Q494" t="s">
        <v>1417</v>
      </c>
      <c r="R494">
        <v>2</v>
      </c>
      <c r="S494" s="89">
        <v>9500</v>
      </c>
      <c r="T494" s="89">
        <v>0</v>
      </c>
      <c r="U494" s="89">
        <v>4280</v>
      </c>
      <c r="V494" s="89">
        <v>4280</v>
      </c>
      <c r="W494" s="89">
        <v>14720</v>
      </c>
    </row>
    <row r="495" spans="1:23" ht="13">
      <c r="A495" t="s">
        <v>2962</v>
      </c>
      <c r="B495" t="s">
        <v>2963</v>
      </c>
      <c r="C495" s="88">
        <v>46153.678703703699</v>
      </c>
      <c r="D495" t="s">
        <v>105</v>
      </c>
      <c r="E495" t="s">
        <v>106</v>
      </c>
      <c r="F495" t="s">
        <v>2964</v>
      </c>
      <c r="G495" t="s">
        <v>2965</v>
      </c>
      <c r="H495" t="s">
        <v>2966</v>
      </c>
      <c r="I495" s="88">
        <v>46148.626018518524</v>
      </c>
      <c r="J495" t="s">
        <v>107</v>
      </c>
      <c r="K495" t="s">
        <v>108</v>
      </c>
      <c r="L495" t="s">
        <v>2967</v>
      </c>
      <c r="M495" s="88">
        <v>46149.77071759259</v>
      </c>
      <c r="N495" t="s">
        <v>637</v>
      </c>
      <c r="O495" t="s">
        <v>112</v>
      </c>
      <c r="P495" t="s">
        <v>111</v>
      </c>
      <c r="Q495" t="s">
        <v>1417</v>
      </c>
      <c r="R495">
        <v>2</v>
      </c>
      <c r="S495" s="89">
        <v>9500</v>
      </c>
      <c r="T495" s="89">
        <v>0</v>
      </c>
      <c r="U495" s="89">
        <v>4180</v>
      </c>
      <c r="V495" s="89">
        <v>4180</v>
      </c>
      <c r="W495" s="89">
        <v>14820</v>
      </c>
    </row>
    <row r="496" spans="1:23" ht="13">
      <c r="A496" t="s">
        <v>2968</v>
      </c>
      <c r="B496" t="s">
        <v>2969</v>
      </c>
      <c r="C496" s="88">
        <v>46153.616967592592</v>
      </c>
      <c r="D496" t="s">
        <v>105</v>
      </c>
      <c r="E496" t="s">
        <v>106</v>
      </c>
      <c r="F496" t="s">
        <v>277</v>
      </c>
      <c r="G496" t="s">
        <v>2970</v>
      </c>
      <c r="H496" t="s">
        <v>277</v>
      </c>
      <c r="I496" s="88">
        <v>46143.714768518519</v>
      </c>
      <c r="J496" t="s">
        <v>107</v>
      </c>
      <c r="K496" t="s">
        <v>108</v>
      </c>
      <c r="L496" t="s">
        <v>2971</v>
      </c>
      <c r="M496" s="88">
        <v>46146.633344907408</v>
      </c>
      <c r="N496" t="s">
        <v>637</v>
      </c>
      <c r="O496" t="s">
        <v>112</v>
      </c>
      <c r="P496" t="s">
        <v>111</v>
      </c>
      <c r="Q496" t="s">
        <v>1417</v>
      </c>
      <c r="R496">
        <v>2</v>
      </c>
      <c r="S496" s="89">
        <v>9500</v>
      </c>
      <c r="T496" s="89">
        <v>0</v>
      </c>
      <c r="U496" s="89">
        <v>4180</v>
      </c>
      <c r="V496" s="89">
        <v>4180</v>
      </c>
      <c r="W496" s="89">
        <v>14820</v>
      </c>
    </row>
    <row r="497" spans="1:23" ht="13">
      <c r="A497" t="s">
        <v>2972</v>
      </c>
      <c r="B497" t="s">
        <v>2973</v>
      </c>
      <c r="C497" s="88">
        <v>46153.566284722227</v>
      </c>
      <c r="D497" t="s">
        <v>105</v>
      </c>
      <c r="E497" t="s">
        <v>106</v>
      </c>
      <c r="F497" t="s">
        <v>2974</v>
      </c>
      <c r="G497" t="s">
        <v>2975</v>
      </c>
      <c r="H497" t="s">
        <v>2974</v>
      </c>
      <c r="I497" s="88">
        <v>46149.625798611116</v>
      </c>
      <c r="J497" t="s">
        <v>107</v>
      </c>
      <c r="K497" t="s">
        <v>108</v>
      </c>
      <c r="L497" t="s">
        <v>2976</v>
      </c>
      <c r="M497" s="88">
        <v>46150.526701388888</v>
      </c>
      <c r="N497" t="s">
        <v>637</v>
      </c>
      <c r="O497" t="s">
        <v>112</v>
      </c>
      <c r="P497" t="s">
        <v>111</v>
      </c>
      <c r="Q497" t="s">
        <v>1417</v>
      </c>
      <c r="R497">
        <v>1</v>
      </c>
      <c r="S497" s="89">
        <v>9500</v>
      </c>
      <c r="T497" s="89">
        <v>0</v>
      </c>
      <c r="U497" s="89">
        <v>2090</v>
      </c>
      <c r="V497" s="89">
        <v>2090</v>
      </c>
      <c r="W497" s="89">
        <v>7410</v>
      </c>
    </row>
    <row r="498" spans="1:23" ht="13">
      <c r="A498" t="s">
        <v>2977</v>
      </c>
      <c r="B498" t="s">
        <v>2978</v>
      </c>
      <c r="C498" s="88">
        <v>46153.564282407402</v>
      </c>
      <c r="D498" t="s">
        <v>105</v>
      </c>
      <c r="E498" t="s">
        <v>106</v>
      </c>
      <c r="F498" t="s">
        <v>2979</v>
      </c>
      <c r="G498" t="s">
        <v>2980</v>
      </c>
      <c r="H498" t="s">
        <v>2979</v>
      </c>
      <c r="I498" s="88">
        <v>46143.71471064815</v>
      </c>
      <c r="J498" t="s">
        <v>107</v>
      </c>
      <c r="K498" t="s">
        <v>108</v>
      </c>
      <c r="L498" t="s">
        <v>2981</v>
      </c>
      <c r="M498" s="88">
        <v>46146.41134259259</v>
      </c>
      <c r="N498" t="s">
        <v>637</v>
      </c>
      <c r="O498" t="s">
        <v>112</v>
      </c>
      <c r="P498" t="s">
        <v>111</v>
      </c>
      <c r="Q498" t="s">
        <v>1587</v>
      </c>
      <c r="R498">
        <v>6</v>
      </c>
      <c r="S498" s="89">
        <v>9500</v>
      </c>
      <c r="T498" s="89">
        <v>0</v>
      </c>
      <c r="U498" s="89">
        <v>20080</v>
      </c>
      <c r="V498" s="89">
        <v>20080</v>
      </c>
      <c r="W498" s="89">
        <v>36920</v>
      </c>
    </row>
    <row r="499" spans="1:23" ht="13">
      <c r="A499" t="s">
        <v>2982</v>
      </c>
      <c r="B499" t="s">
        <v>2983</v>
      </c>
      <c r="C499" s="88">
        <v>46153.545810185184</v>
      </c>
      <c r="D499" t="s">
        <v>105</v>
      </c>
      <c r="E499" t="s">
        <v>106</v>
      </c>
      <c r="F499" t="s">
        <v>2984</v>
      </c>
      <c r="G499" t="s">
        <v>2985</v>
      </c>
      <c r="H499" t="s">
        <v>2984</v>
      </c>
      <c r="I499" s="88">
        <v>46143.714722222227</v>
      </c>
      <c r="J499" t="s">
        <v>107</v>
      </c>
      <c r="K499" t="s">
        <v>108</v>
      </c>
      <c r="L499" t="s">
        <v>2986</v>
      </c>
      <c r="M499" s="88">
        <v>46146.443125000005</v>
      </c>
      <c r="N499" t="s">
        <v>637</v>
      </c>
      <c r="O499" t="s">
        <v>112</v>
      </c>
      <c r="P499" t="s">
        <v>111</v>
      </c>
      <c r="Q499" t="s">
        <v>1587</v>
      </c>
      <c r="R499">
        <v>2</v>
      </c>
      <c r="S499" s="89">
        <v>9500</v>
      </c>
      <c r="T499" s="89">
        <v>0</v>
      </c>
      <c r="U499" s="89">
        <v>4180</v>
      </c>
      <c r="V499" s="89">
        <v>4180</v>
      </c>
      <c r="W499" s="89">
        <v>14820</v>
      </c>
    </row>
    <row r="500" spans="1:23" ht="13">
      <c r="A500" t="s">
        <v>2987</v>
      </c>
      <c r="B500" t="s">
        <v>2988</v>
      </c>
      <c r="C500" s="88">
        <v>46153.493634259255</v>
      </c>
      <c r="D500" t="s">
        <v>105</v>
      </c>
      <c r="E500" t="s">
        <v>106</v>
      </c>
      <c r="F500" t="s">
        <v>2989</v>
      </c>
      <c r="G500" t="s">
        <v>2990</v>
      </c>
      <c r="H500" t="s">
        <v>2989</v>
      </c>
      <c r="I500" s="88">
        <v>46143.71475694445</v>
      </c>
      <c r="J500" t="s">
        <v>107</v>
      </c>
      <c r="K500" t="s">
        <v>108</v>
      </c>
      <c r="L500" t="s">
        <v>2991</v>
      </c>
      <c r="M500" s="88">
        <v>46146.509016203709</v>
      </c>
      <c r="N500" t="s">
        <v>637</v>
      </c>
      <c r="O500" t="s">
        <v>112</v>
      </c>
      <c r="P500" t="s">
        <v>111</v>
      </c>
      <c r="Q500" t="s">
        <v>1587</v>
      </c>
      <c r="R500">
        <v>7</v>
      </c>
      <c r="S500" s="89">
        <v>9500</v>
      </c>
      <c r="T500" s="89">
        <v>0</v>
      </c>
      <c r="U500" s="89">
        <v>23410</v>
      </c>
      <c r="V500" s="89">
        <v>23410</v>
      </c>
      <c r="W500" s="89">
        <v>43090</v>
      </c>
    </row>
    <row r="501" spans="1:23" ht="13">
      <c r="A501" t="s">
        <v>2992</v>
      </c>
      <c r="B501" t="s">
        <v>2993</v>
      </c>
      <c r="C501" s="88">
        <v>46153.468819444446</v>
      </c>
      <c r="D501" t="s">
        <v>105</v>
      </c>
      <c r="E501" t="s">
        <v>106</v>
      </c>
      <c r="F501" t="s">
        <v>2994</v>
      </c>
      <c r="G501" t="s">
        <v>2995</v>
      </c>
      <c r="H501" t="s">
        <v>2996</v>
      </c>
      <c r="I501" s="88">
        <v>46149.625798611116</v>
      </c>
      <c r="J501" t="s">
        <v>107</v>
      </c>
      <c r="K501" t="s">
        <v>108</v>
      </c>
      <c r="L501" t="s">
        <v>2997</v>
      </c>
      <c r="M501" s="88">
        <v>46150.681712962964</v>
      </c>
      <c r="N501" t="s">
        <v>637</v>
      </c>
      <c r="O501" t="s">
        <v>112</v>
      </c>
      <c r="P501" t="s">
        <v>111</v>
      </c>
      <c r="Q501" t="s">
        <v>1417</v>
      </c>
      <c r="R501">
        <v>3</v>
      </c>
      <c r="S501" s="89">
        <v>9500</v>
      </c>
      <c r="T501" s="89">
        <v>0</v>
      </c>
      <c r="U501" s="89">
        <v>6370</v>
      </c>
      <c r="V501" s="89">
        <v>6370</v>
      </c>
      <c r="W501" s="89">
        <v>22130</v>
      </c>
    </row>
    <row r="502" spans="1:23" ht="13">
      <c r="A502" t="s">
        <v>2998</v>
      </c>
      <c r="B502" t="s">
        <v>2999</v>
      </c>
      <c r="C502" s="88">
        <v>46153.467164351852</v>
      </c>
      <c r="D502" t="s">
        <v>105</v>
      </c>
      <c r="E502" t="s">
        <v>106</v>
      </c>
      <c r="F502" t="s">
        <v>1072</v>
      </c>
      <c r="G502" t="s">
        <v>1073</v>
      </c>
      <c r="H502" t="s">
        <v>1072</v>
      </c>
      <c r="I502" s="88">
        <v>46148.584131944444</v>
      </c>
      <c r="J502" t="s">
        <v>107</v>
      </c>
      <c r="K502" t="s">
        <v>108</v>
      </c>
      <c r="L502" t="s">
        <v>3000</v>
      </c>
      <c r="M502" s="88">
        <v>46149.608958333338</v>
      </c>
      <c r="N502" t="s">
        <v>637</v>
      </c>
      <c r="O502" t="s">
        <v>112</v>
      </c>
      <c r="P502" t="s">
        <v>111</v>
      </c>
      <c r="Q502" t="s">
        <v>1417</v>
      </c>
      <c r="R502">
        <v>3</v>
      </c>
      <c r="S502" s="89">
        <v>9500</v>
      </c>
      <c r="T502" s="89">
        <v>0</v>
      </c>
      <c r="U502" s="89">
        <v>6270</v>
      </c>
      <c r="V502" s="89">
        <v>6270</v>
      </c>
      <c r="W502" s="89">
        <v>22230</v>
      </c>
    </row>
    <row r="503" spans="1:23" ht="13">
      <c r="A503" t="s">
        <v>3001</v>
      </c>
      <c r="B503" t="s">
        <v>3002</v>
      </c>
      <c r="C503" s="88">
        <v>46153.430428240739</v>
      </c>
      <c r="D503" t="s">
        <v>105</v>
      </c>
      <c r="E503" t="s">
        <v>106</v>
      </c>
      <c r="F503" t="s">
        <v>3003</v>
      </c>
      <c r="G503" t="s">
        <v>3004</v>
      </c>
      <c r="H503" t="s">
        <v>3003</v>
      </c>
      <c r="I503" s="88">
        <v>46148.584131944444</v>
      </c>
      <c r="J503" t="s">
        <v>107</v>
      </c>
      <c r="K503" t="s">
        <v>108</v>
      </c>
      <c r="L503" t="s">
        <v>3005</v>
      </c>
      <c r="M503" s="88">
        <v>46149.554074074069</v>
      </c>
      <c r="N503" t="s">
        <v>637</v>
      </c>
      <c r="O503" t="s">
        <v>112</v>
      </c>
      <c r="P503" t="s">
        <v>111</v>
      </c>
      <c r="Q503" t="s">
        <v>1417</v>
      </c>
      <c r="R503">
        <v>1</v>
      </c>
      <c r="S503" s="89">
        <v>9500</v>
      </c>
      <c r="T503" s="89">
        <v>0</v>
      </c>
      <c r="U503" s="89">
        <v>2190</v>
      </c>
      <c r="V503" s="89">
        <v>2190</v>
      </c>
      <c r="W503" s="89">
        <v>7310</v>
      </c>
    </row>
    <row r="504" spans="1:23" ht="13">
      <c r="A504" t="s">
        <v>3006</v>
      </c>
      <c r="B504" t="s">
        <v>3007</v>
      </c>
      <c r="C504" s="88">
        <v>46153.066134259258</v>
      </c>
      <c r="D504" t="s">
        <v>105</v>
      </c>
      <c r="E504" t="s">
        <v>106</v>
      </c>
      <c r="F504" t="s">
        <v>3008</v>
      </c>
      <c r="G504" t="s">
        <v>3009</v>
      </c>
      <c r="H504" t="s">
        <v>3008</v>
      </c>
      <c r="I504" s="88">
        <v>46143.714733796296</v>
      </c>
      <c r="J504" t="s">
        <v>107</v>
      </c>
      <c r="K504" t="s">
        <v>108</v>
      </c>
      <c r="L504" t="s">
        <v>3010</v>
      </c>
      <c r="M504" s="88">
        <v>46146.41134259259</v>
      </c>
      <c r="N504" t="s">
        <v>637</v>
      </c>
      <c r="O504" t="s">
        <v>112</v>
      </c>
      <c r="P504" t="s">
        <v>111</v>
      </c>
      <c r="Q504" t="s">
        <v>1587</v>
      </c>
      <c r="R504">
        <v>10</v>
      </c>
      <c r="S504" s="89">
        <v>9500</v>
      </c>
      <c r="T504" s="89">
        <v>0</v>
      </c>
      <c r="U504" s="89">
        <v>33300</v>
      </c>
      <c r="V504" s="89">
        <v>33300</v>
      </c>
      <c r="W504" s="89">
        <v>61700</v>
      </c>
    </row>
    <row r="505" spans="1:23" ht="13">
      <c r="A505" t="s">
        <v>3011</v>
      </c>
      <c r="B505" t="s">
        <v>3012</v>
      </c>
      <c r="C505" s="88">
        <v>46152.911678240736</v>
      </c>
      <c r="D505" t="s">
        <v>105</v>
      </c>
      <c r="E505" t="s">
        <v>106</v>
      </c>
      <c r="F505" t="s">
        <v>263</v>
      </c>
      <c r="G505" t="s">
        <v>264</v>
      </c>
      <c r="H505" t="s">
        <v>265</v>
      </c>
      <c r="I505" s="88">
        <v>46143.714733796296</v>
      </c>
      <c r="J505" t="s">
        <v>107</v>
      </c>
      <c r="K505" t="s">
        <v>108</v>
      </c>
      <c r="L505" t="s">
        <v>3013</v>
      </c>
      <c r="M505" s="88">
        <v>46146.460648148146</v>
      </c>
      <c r="N505" t="s">
        <v>637</v>
      </c>
      <c r="O505" t="s">
        <v>112</v>
      </c>
      <c r="P505" t="s">
        <v>111</v>
      </c>
      <c r="Q505" t="s">
        <v>1587</v>
      </c>
      <c r="R505">
        <v>6</v>
      </c>
      <c r="S505" s="89">
        <v>9500</v>
      </c>
      <c r="T505" s="89">
        <v>0</v>
      </c>
      <c r="U505" s="89">
        <v>19980</v>
      </c>
      <c r="V505" s="89">
        <v>19980</v>
      </c>
      <c r="W505" s="89">
        <v>37020</v>
      </c>
    </row>
    <row r="506" spans="1:23" ht="13">
      <c r="A506" t="s">
        <v>3014</v>
      </c>
      <c r="B506" t="s">
        <v>3015</v>
      </c>
      <c r="C506" s="88">
        <v>46152.910428240742</v>
      </c>
      <c r="D506" t="s">
        <v>105</v>
      </c>
      <c r="E506" t="s">
        <v>106</v>
      </c>
      <c r="F506" t="s">
        <v>3016</v>
      </c>
      <c r="G506" t="s">
        <v>3017</v>
      </c>
      <c r="H506" t="s">
        <v>3016</v>
      </c>
      <c r="I506" s="88">
        <v>46148.584097222221</v>
      </c>
      <c r="J506" t="s">
        <v>107</v>
      </c>
      <c r="K506" t="s">
        <v>108</v>
      </c>
      <c r="L506" t="s">
        <v>3018</v>
      </c>
      <c r="M506" s="88">
        <v>46149.679247685184</v>
      </c>
      <c r="N506" t="s">
        <v>637</v>
      </c>
      <c r="O506" t="s">
        <v>112</v>
      </c>
      <c r="P506" t="s">
        <v>111</v>
      </c>
      <c r="Q506" t="s">
        <v>1417</v>
      </c>
      <c r="R506">
        <v>6</v>
      </c>
      <c r="S506" s="89">
        <v>9500</v>
      </c>
      <c r="T506" s="89">
        <v>0</v>
      </c>
      <c r="U506" s="89">
        <v>20080</v>
      </c>
      <c r="V506" s="89">
        <v>20080</v>
      </c>
      <c r="W506" s="89">
        <v>36920</v>
      </c>
    </row>
    <row r="507" spans="1:23" ht="13">
      <c r="A507" t="s">
        <v>3019</v>
      </c>
      <c r="B507" t="s">
        <v>3020</v>
      </c>
      <c r="C507" s="88">
        <v>46152.87667824074</v>
      </c>
      <c r="D507" t="s">
        <v>105</v>
      </c>
      <c r="E507" t="s">
        <v>106</v>
      </c>
      <c r="F507" t="s">
        <v>3021</v>
      </c>
      <c r="G507" t="s">
        <v>3022</v>
      </c>
      <c r="H507" t="s">
        <v>3021</v>
      </c>
      <c r="I507" s="88">
        <v>46143.71471064815</v>
      </c>
      <c r="J507" t="s">
        <v>107</v>
      </c>
      <c r="K507" t="s">
        <v>108</v>
      </c>
      <c r="L507" t="s">
        <v>3023</v>
      </c>
      <c r="M507" s="88">
        <v>46146.507650462961</v>
      </c>
      <c r="N507" t="s">
        <v>637</v>
      </c>
      <c r="O507" t="s">
        <v>112</v>
      </c>
      <c r="P507" t="s">
        <v>111</v>
      </c>
      <c r="Q507" t="s">
        <v>1587</v>
      </c>
      <c r="R507">
        <v>2</v>
      </c>
      <c r="S507" s="89">
        <v>9500</v>
      </c>
      <c r="T507" s="89">
        <v>0</v>
      </c>
      <c r="U507" s="89">
        <v>4180</v>
      </c>
      <c r="V507" s="89">
        <v>4180</v>
      </c>
      <c r="W507" s="89">
        <v>14820</v>
      </c>
    </row>
    <row r="508" spans="1:23" ht="13">
      <c r="A508" t="s">
        <v>3024</v>
      </c>
      <c r="B508" t="s">
        <v>3025</v>
      </c>
      <c r="C508" s="88">
        <v>46152.853854166664</v>
      </c>
      <c r="D508" t="s">
        <v>105</v>
      </c>
      <c r="E508" t="s">
        <v>106</v>
      </c>
      <c r="F508" t="s">
        <v>3026</v>
      </c>
      <c r="G508" t="s">
        <v>3027</v>
      </c>
      <c r="H508" t="s">
        <v>3026</v>
      </c>
      <c r="I508" s="88">
        <v>46148.584097222221</v>
      </c>
      <c r="J508" t="s">
        <v>107</v>
      </c>
      <c r="K508" t="s">
        <v>108</v>
      </c>
      <c r="L508" t="s">
        <v>3028</v>
      </c>
      <c r="M508" s="88">
        <v>46150.338888888888</v>
      </c>
      <c r="N508" t="s">
        <v>637</v>
      </c>
      <c r="O508" t="s">
        <v>112</v>
      </c>
      <c r="P508" t="s">
        <v>111</v>
      </c>
      <c r="Q508" t="s">
        <v>1417</v>
      </c>
      <c r="R508">
        <v>6</v>
      </c>
      <c r="S508" s="89">
        <v>9500</v>
      </c>
      <c r="T508" s="89">
        <v>0</v>
      </c>
      <c r="U508" s="89">
        <v>20080</v>
      </c>
      <c r="V508" s="89">
        <v>20080</v>
      </c>
      <c r="W508" s="89">
        <v>36920</v>
      </c>
    </row>
    <row r="509" spans="1:23" ht="13">
      <c r="A509" t="s">
        <v>3029</v>
      </c>
      <c r="B509" t="s">
        <v>3030</v>
      </c>
      <c r="C509" s="88">
        <v>46152.729259259257</v>
      </c>
      <c r="D509" t="s">
        <v>105</v>
      </c>
      <c r="E509" t="s">
        <v>106</v>
      </c>
      <c r="F509" t="s">
        <v>3031</v>
      </c>
      <c r="G509" t="s">
        <v>3032</v>
      </c>
      <c r="H509" t="s">
        <v>3031</v>
      </c>
      <c r="I509" s="88">
        <v>46149.625798611116</v>
      </c>
      <c r="J509" t="s">
        <v>107</v>
      </c>
      <c r="K509" t="s">
        <v>108</v>
      </c>
      <c r="L509" t="s">
        <v>3033</v>
      </c>
      <c r="M509" s="88">
        <v>46150.469270833331</v>
      </c>
      <c r="N509" t="s">
        <v>637</v>
      </c>
      <c r="O509" t="s">
        <v>112</v>
      </c>
      <c r="P509" t="s">
        <v>111</v>
      </c>
      <c r="Q509" t="s">
        <v>1417</v>
      </c>
      <c r="R509">
        <v>3</v>
      </c>
      <c r="S509" s="89">
        <v>9500</v>
      </c>
      <c r="T509" s="89">
        <v>0</v>
      </c>
      <c r="U509" s="89">
        <v>6270</v>
      </c>
      <c r="V509" s="89">
        <v>6270</v>
      </c>
      <c r="W509" s="89">
        <v>22230</v>
      </c>
    </row>
    <row r="510" spans="1:23" ht="13">
      <c r="A510" t="s">
        <v>3034</v>
      </c>
      <c r="B510" t="s">
        <v>3035</v>
      </c>
      <c r="C510" s="88">
        <v>46152.678819444445</v>
      </c>
      <c r="D510" t="s">
        <v>105</v>
      </c>
      <c r="E510" t="s">
        <v>106</v>
      </c>
      <c r="F510" t="s">
        <v>3036</v>
      </c>
      <c r="G510" t="s">
        <v>3037</v>
      </c>
      <c r="H510" t="s">
        <v>3038</v>
      </c>
      <c r="I510" s="88">
        <v>46148.584108796298</v>
      </c>
      <c r="J510" t="s">
        <v>107</v>
      </c>
      <c r="K510" t="s">
        <v>108</v>
      </c>
      <c r="L510" t="s">
        <v>3039</v>
      </c>
      <c r="M510" s="88">
        <v>46149.679930555554</v>
      </c>
      <c r="N510" t="s">
        <v>637</v>
      </c>
      <c r="O510" t="s">
        <v>112</v>
      </c>
      <c r="P510" t="s">
        <v>111</v>
      </c>
      <c r="Q510" t="s">
        <v>1417</v>
      </c>
      <c r="R510">
        <v>6</v>
      </c>
      <c r="S510" s="89">
        <v>9500</v>
      </c>
      <c r="T510" s="89">
        <v>0</v>
      </c>
      <c r="U510" s="89">
        <v>20080</v>
      </c>
      <c r="V510" s="89">
        <v>20080</v>
      </c>
      <c r="W510" s="89">
        <v>36920</v>
      </c>
    </row>
    <row r="511" spans="1:23" ht="13">
      <c r="A511" t="s">
        <v>3040</v>
      </c>
      <c r="B511" t="s">
        <v>3041</v>
      </c>
      <c r="C511" s="88">
        <v>46152.672696759255</v>
      </c>
      <c r="D511" t="s">
        <v>105</v>
      </c>
      <c r="E511" t="s">
        <v>106</v>
      </c>
      <c r="F511" t="s">
        <v>3042</v>
      </c>
      <c r="G511" t="s">
        <v>1487</v>
      </c>
      <c r="H511" t="s">
        <v>3042</v>
      </c>
      <c r="I511" s="88">
        <v>46143.71471064815</v>
      </c>
      <c r="J511" t="s">
        <v>107</v>
      </c>
      <c r="K511" t="s">
        <v>108</v>
      </c>
      <c r="L511" t="s">
        <v>3043</v>
      </c>
      <c r="M511" s="88">
        <v>46146.507650462961</v>
      </c>
      <c r="N511" t="s">
        <v>637</v>
      </c>
      <c r="O511" t="s">
        <v>112</v>
      </c>
      <c r="P511" t="s">
        <v>111</v>
      </c>
      <c r="Q511" t="s">
        <v>1587</v>
      </c>
      <c r="R511">
        <v>6</v>
      </c>
      <c r="S511" s="89">
        <v>9500</v>
      </c>
      <c r="T511" s="89">
        <v>0</v>
      </c>
      <c r="U511" s="89">
        <v>20080</v>
      </c>
      <c r="V511" s="89">
        <v>20080</v>
      </c>
      <c r="W511" s="89">
        <v>36920</v>
      </c>
    </row>
    <row r="512" spans="1:23" ht="13">
      <c r="A512" t="s">
        <v>3044</v>
      </c>
      <c r="B512" t="s">
        <v>3045</v>
      </c>
      <c r="C512" s="88">
        <v>46152.672488425931</v>
      </c>
      <c r="D512" t="s">
        <v>105</v>
      </c>
      <c r="E512" t="s">
        <v>106</v>
      </c>
      <c r="F512" t="s">
        <v>3046</v>
      </c>
      <c r="G512" t="s">
        <v>3047</v>
      </c>
      <c r="H512" t="s">
        <v>3046</v>
      </c>
      <c r="I512" s="88">
        <v>46146.715717592597</v>
      </c>
      <c r="J512" t="s">
        <v>107</v>
      </c>
      <c r="K512" t="s">
        <v>108</v>
      </c>
      <c r="L512" t="s">
        <v>3048</v>
      </c>
      <c r="M512" s="88">
        <v>46148.552916666667</v>
      </c>
      <c r="N512" t="s">
        <v>637</v>
      </c>
      <c r="O512" t="s">
        <v>112</v>
      </c>
      <c r="P512" t="s">
        <v>111</v>
      </c>
      <c r="Q512" t="s">
        <v>1417</v>
      </c>
      <c r="R512">
        <v>5</v>
      </c>
      <c r="S512" s="89">
        <v>9500</v>
      </c>
      <c r="T512" s="89">
        <v>0</v>
      </c>
      <c r="U512" s="89">
        <v>10450</v>
      </c>
      <c r="V512" s="89">
        <v>10450</v>
      </c>
      <c r="W512" s="89">
        <v>37050</v>
      </c>
    </row>
    <row r="513" spans="1:23" ht="13">
      <c r="A513" t="s">
        <v>3049</v>
      </c>
      <c r="B513" t="s">
        <v>3050</v>
      </c>
      <c r="C513" s="88">
        <v>46152.666365740741</v>
      </c>
      <c r="D513" t="s">
        <v>105</v>
      </c>
      <c r="E513" t="s">
        <v>106</v>
      </c>
      <c r="F513" t="s">
        <v>3051</v>
      </c>
      <c r="G513" t="s">
        <v>3052</v>
      </c>
      <c r="H513" t="s">
        <v>3051</v>
      </c>
      <c r="I513" s="88">
        <v>46148.584143518514</v>
      </c>
      <c r="J513" t="s">
        <v>107</v>
      </c>
      <c r="K513" t="s">
        <v>108</v>
      </c>
      <c r="L513" t="s">
        <v>3053</v>
      </c>
      <c r="M513" s="88">
        <v>46149.761111111111</v>
      </c>
      <c r="N513" t="s">
        <v>637</v>
      </c>
      <c r="O513" t="s">
        <v>112</v>
      </c>
      <c r="P513" t="s">
        <v>111</v>
      </c>
      <c r="Q513" t="s">
        <v>1417</v>
      </c>
      <c r="R513">
        <v>1</v>
      </c>
      <c r="S513" s="89">
        <v>9500</v>
      </c>
      <c r="T513" s="89">
        <v>0</v>
      </c>
      <c r="U513" s="89">
        <v>2090</v>
      </c>
      <c r="V513" s="89">
        <v>2090</v>
      </c>
      <c r="W513" s="89">
        <v>7410</v>
      </c>
    </row>
    <row r="514" spans="1:23" ht="13">
      <c r="A514" t="s">
        <v>3054</v>
      </c>
      <c r="B514" t="s">
        <v>3055</v>
      </c>
      <c r="C514" s="88">
        <v>46152.638611111106</v>
      </c>
      <c r="D514" t="s">
        <v>105</v>
      </c>
      <c r="E514" t="s">
        <v>106</v>
      </c>
      <c r="F514" t="s">
        <v>3056</v>
      </c>
      <c r="G514" t="s">
        <v>3057</v>
      </c>
      <c r="H514" t="s">
        <v>3056</v>
      </c>
      <c r="I514" s="88">
        <v>46148.584108796298</v>
      </c>
      <c r="J514" t="s">
        <v>107</v>
      </c>
      <c r="K514" t="s">
        <v>108</v>
      </c>
      <c r="L514" t="s">
        <v>3058</v>
      </c>
      <c r="M514" s="88">
        <v>46149.67569444445</v>
      </c>
      <c r="N514" t="s">
        <v>637</v>
      </c>
      <c r="O514" t="s">
        <v>112</v>
      </c>
      <c r="P514" t="s">
        <v>111</v>
      </c>
      <c r="Q514" t="s">
        <v>1417</v>
      </c>
      <c r="R514">
        <v>3</v>
      </c>
      <c r="S514" s="89">
        <v>9500</v>
      </c>
      <c r="T514" s="89">
        <v>0</v>
      </c>
      <c r="U514" s="89">
        <v>6270</v>
      </c>
      <c r="V514" s="89">
        <v>6270</v>
      </c>
      <c r="W514" s="89">
        <v>22230</v>
      </c>
    </row>
    <row r="515" spans="1:23" ht="13">
      <c r="A515" t="s">
        <v>3059</v>
      </c>
      <c r="B515" t="s">
        <v>3060</v>
      </c>
      <c r="C515" s="88">
        <v>46152.62431712963</v>
      </c>
      <c r="D515" t="s">
        <v>105</v>
      </c>
      <c r="E515" t="s">
        <v>106</v>
      </c>
      <c r="F515" t="s">
        <v>418</v>
      </c>
      <c r="G515" t="s">
        <v>3061</v>
      </c>
      <c r="H515" t="s">
        <v>418</v>
      </c>
      <c r="I515" s="88">
        <v>46148.584131944444</v>
      </c>
      <c r="J515" t="s">
        <v>107</v>
      </c>
      <c r="K515" t="s">
        <v>108</v>
      </c>
      <c r="L515" t="s">
        <v>3062</v>
      </c>
      <c r="M515" s="88">
        <v>46149.963425925926</v>
      </c>
      <c r="N515" t="s">
        <v>637</v>
      </c>
      <c r="O515" t="s">
        <v>112</v>
      </c>
      <c r="P515" t="s">
        <v>111</v>
      </c>
      <c r="Q515" t="s">
        <v>1417</v>
      </c>
      <c r="R515">
        <v>2</v>
      </c>
      <c r="S515" s="89">
        <v>9500</v>
      </c>
      <c r="T515" s="89">
        <v>0</v>
      </c>
      <c r="U515" s="89">
        <v>4280</v>
      </c>
      <c r="V515" s="89">
        <v>4280</v>
      </c>
      <c r="W515" s="89">
        <v>14720</v>
      </c>
    </row>
    <row r="516" spans="1:23" ht="13">
      <c r="A516" t="s">
        <v>3063</v>
      </c>
      <c r="B516" t="s">
        <v>3064</v>
      </c>
      <c r="C516" s="88">
        <v>46152.546550925923</v>
      </c>
      <c r="D516" t="s">
        <v>105</v>
      </c>
      <c r="E516" t="s">
        <v>106</v>
      </c>
      <c r="F516" t="s">
        <v>3065</v>
      </c>
      <c r="G516" t="s">
        <v>160</v>
      </c>
      <c r="H516" t="s">
        <v>3065</v>
      </c>
      <c r="I516" s="88">
        <v>46148.584108796298</v>
      </c>
      <c r="J516" t="s">
        <v>107</v>
      </c>
      <c r="K516" t="s">
        <v>108</v>
      </c>
      <c r="L516" t="s">
        <v>3066</v>
      </c>
      <c r="M516" s="88">
        <v>46149.674988425926</v>
      </c>
      <c r="N516" t="s">
        <v>637</v>
      </c>
      <c r="O516" t="s">
        <v>112</v>
      </c>
      <c r="P516" t="s">
        <v>111</v>
      </c>
      <c r="Q516" t="s">
        <v>1417</v>
      </c>
      <c r="R516">
        <v>6</v>
      </c>
      <c r="S516" s="89">
        <v>9500</v>
      </c>
      <c r="T516" s="89">
        <v>0</v>
      </c>
      <c r="U516" s="89">
        <v>20080</v>
      </c>
      <c r="V516" s="89">
        <v>20080</v>
      </c>
      <c r="W516" s="89">
        <v>36920</v>
      </c>
    </row>
    <row r="517" spans="1:23" ht="13">
      <c r="A517" t="s">
        <v>3067</v>
      </c>
      <c r="B517" t="s">
        <v>3068</v>
      </c>
      <c r="C517" s="88">
        <v>46152.526759259257</v>
      </c>
      <c r="D517" t="s">
        <v>105</v>
      </c>
      <c r="E517" t="s">
        <v>106</v>
      </c>
      <c r="F517" t="s">
        <v>342</v>
      </c>
      <c r="G517" t="s">
        <v>3069</v>
      </c>
      <c r="H517" t="s">
        <v>342</v>
      </c>
      <c r="I517" s="88">
        <v>46148.584108796298</v>
      </c>
      <c r="J517" t="s">
        <v>107</v>
      </c>
      <c r="K517" t="s">
        <v>108</v>
      </c>
      <c r="L517" t="s">
        <v>3070</v>
      </c>
      <c r="M517" s="88">
        <v>46149.660416666666</v>
      </c>
      <c r="N517" t="s">
        <v>637</v>
      </c>
      <c r="O517" t="s">
        <v>112</v>
      </c>
      <c r="P517" t="s">
        <v>111</v>
      </c>
      <c r="Q517" t="s">
        <v>1417</v>
      </c>
      <c r="R517">
        <v>2</v>
      </c>
      <c r="S517" s="89">
        <v>9500</v>
      </c>
      <c r="T517" s="89">
        <v>0</v>
      </c>
      <c r="U517" s="89">
        <v>4280</v>
      </c>
      <c r="V517" s="89">
        <v>4280</v>
      </c>
      <c r="W517" s="89">
        <v>14720</v>
      </c>
    </row>
    <row r="518" spans="1:23" ht="13">
      <c r="A518" t="s">
        <v>3071</v>
      </c>
      <c r="B518" t="s">
        <v>3072</v>
      </c>
      <c r="C518" s="88">
        <v>46152.501041666663</v>
      </c>
      <c r="D518" t="s">
        <v>105</v>
      </c>
      <c r="E518" t="s">
        <v>106</v>
      </c>
      <c r="F518" t="s">
        <v>3073</v>
      </c>
      <c r="G518" t="s">
        <v>3074</v>
      </c>
      <c r="H518" t="s">
        <v>3073</v>
      </c>
      <c r="I518" s="88">
        <v>46143.714733796296</v>
      </c>
      <c r="J518" t="s">
        <v>107</v>
      </c>
      <c r="K518" t="s">
        <v>108</v>
      </c>
      <c r="L518" t="s">
        <v>3075</v>
      </c>
      <c r="M518" s="88">
        <v>46146.603854166664</v>
      </c>
      <c r="N518" t="s">
        <v>637</v>
      </c>
      <c r="O518" t="s">
        <v>112</v>
      </c>
      <c r="P518" t="s">
        <v>111</v>
      </c>
      <c r="Q518" t="s">
        <v>1587</v>
      </c>
      <c r="R518">
        <v>4</v>
      </c>
      <c r="S518" s="89">
        <v>9500</v>
      </c>
      <c r="T518" s="89">
        <v>0</v>
      </c>
      <c r="U518" s="89">
        <v>8460</v>
      </c>
      <c r="V518" s="89">
        <v>8460</v>
      </c>
      <c r="W518" s="89">
        <v>29540</v>
      </c>
    </row>
    <row r="519" spans="1:23" ht="13">
      <c r="A519" t="s">
        <v>3076</v>
      </c>
      <c r="B519" t="s">
        <v>3077</v>
      </c>
      <c r="C519" s="88">
        <v>46152.439745370371</v>
      </c>
      <c r="D519" t="s">
        <v>105</v>
      </c>
      <c r="E519" t="s">
        <v>106</v>
      </c>
      <c r="F519" t="s">
        <v>385</v>
      </c>
      <c r="G519" t="s">
        <v>3078</v>
      </c>
      <c r="H519" t="s">
        <v>385</v>
      </c>
      <c r="I519" s="88">
        <v>46143.714768518519</v>
      </c>
      <c r="J519" t="s">
        <v>107</v>
      </c>
      <c r="K519" t="s">
        <v>108</v>
      </c>
      <c r="L519" t="s">
        <v>3079</v>
      </c>
      <c r="M519" s="88">
        <v>46146.443043981482</v>
      </c>
      <c r="N519" t="s">
        <v>637</v>
      </c>
      <c r="O519" t="s">
        <v>112</v>
      </c>
      <c r="P519" t="s">
        <v>111</v>
      </c>
      <c r="Q519" t="s">
        <v>1417</v>
      </c>
      <c r="R519">
        <v>2</v>
      </c>
      <c r="S519" s="89">
        <v>9500</v>
      </c>
      <c r="T519" s="89">
        <v>0</v>
      </c>
      <c r="U519" s="89">
        <v>4280</v>
      </c>
      <c r="V519" s="89">
        <v>4280</v>
      </c>
      <c r="W519" s="89">
        <v>14720</v>
      </c>
    </row>
    <row r="520" spans="1:23" ht="13">
      <c r="A520" t="s">
        <v>3080</v>
      </c>
      <c r="B520" t="s">
        <v>3081</v>
      </c>
      <c r="C520" s="88">
        <v>46152.430833333332</v>
      </c>
      <c r="D520" t="s">
        <v>105</v>
      </c>
      <c r="E520" t="s">
        <v>106</v>
      </c>
      <c r="F520" t="s">
        <v>3082</v>
      </c>
      <c r="G520" t="s">
        <v>3083</v>
      </c>
      <c r="H520" t="s">
        <v>3082</v>
      </c>
      <c r="I520" s="88">
        <v>46148.584108796298</v>
      </c>
      <c r="J520" t="s">
        <v>107</v>
      </c>
      <c r="K520" t="s">
        <v>108</v>
      </c>
      <c r="L520" t="s">
        <v>3084</v>
      </c>
      <c r="M520" s="88">
        <v>46149.554247685184</v>
      </c>
      <c r="N520" t="s">
        <v>637</v>
      </c>
      <c r="O520" t="s">
        <v>112</v>
      </c>
      <c r="P520" t="s">
        <v>111</v>
      </c>
      <c r="Q520" t="s">
        <v>1417</v>
      </c>
      <c r="R520">
        <v>1</v>
      </c>
      <c r="S520" s="89">
        <v>9500</v>
      </c>
      <c r="T520" s="89">
        <v>0</v>
      </c>
      <c r="U520" s="89">
        <v>2190</v>
      </c>
      <c r="V520" s="89">
        <v>2190</v>
      </c>
      <c r="W520" s="89">
        <v>7310</v>
      </c>
    </row>
    <row r="521" spans="1:23" ht="13">
      <c r="A521" t="s">
        <v>3085</v>
      </c>
      <c r="B521" t="s">
        <v>3086</v>
      </c>
      <c r="C521" s="88">
        <v>46152.427233796298</v>
      </c>
      <c r="D521" t="s">
        <v>105</v>
      </c>
      <c r="E521" t="s">
        <v>106</v>
      </c>
      <c r="F521" t="s">
        <v>3087</v>
      </c>
      <c r="G521" t="s">
        <v>3088</v>
      </c>
      <c r="H521" t="s">
        <v>3087</v>
      </c>
      <c r="I521" s="88">
        <v>46148.584097222221</v>
      </c>
      <c r="J521" t="s">
        <v>107</v>
      </c>
      <c r="K521" t="s">
        <v>108</v>
      </c>
      <c r="L521" t="s">
        <v>3089</v>
      </c>
      <c r="M521" s="88">
        <v>46149.660416666666</v>
      </c>
      <c r="N521" t="s">
        <v>637</v>
      </c>
      <c r="O521" t="s">
        <v>112</v>
      </c>
      <c r="P521" t="s">
        <v>111</v>
      </c>
      <c r="Q521" t="s">
        <v>1417</v>
      </c>
      <c r="R521">
        <v>6</v>
      </c>
      <c r="S521" s="89">
        <v>9500</v>
      </c>
      <c r="T521" s="89">
        <v>0</v>
      </c>
      <c r="U521" s="89">
        <v>20080</v>
      </c>
      <c r="V521" s="89">
        <v>20080</v>
      </c>
      <c r="W521" s="89">
        <v>36920</v>
      </c>
    </row>
    <row r="522" spans="1:23" ht="13">
      <c r="A522" t="s">
        <v>3090</v>
      </c>
      <c r="B522" t="s">
        <v>3091</v>
      </c>
      <c r="C522" s="88">
        <v>46152.396990740745</v>
      </c>
      <c r="D522" t="s">
        <v>105</v>
      </c>
      <c r="E522" t="s">
        <v>106</v>
      </c>
      <c r="F522" t="s">
        <v>3092</v>
      </c>
      <c r="G522" t="s">
        <v>3093</v>
      </c>
      <c r="H522" t="s">
        <v>3092</v>
      </c>
      <c r="I522" s="88">
        <v>46148.584097222221</v>
      </c>
      <c r="J522" t="s">
        <v>107</v>
      </c>
      <c r="K522" t="s">
        <v>108</v>
      </c>
      <c r="L522" t="s">
        <v>3094</v>
      </c>
      <c r="M522" s="88">
        <v>46149.552233796298</v>
      </c>
      <c r="N522" t="s">
        <v>637</v>
      </c>
      <c r="O522" t="s">
        <v>112</v>
      </c>
      <c r="P522" t="s">
        <v>111</v>
      </c>
      <c r="Q522" t="s">
        <v>1417</v>
      </c>
      <c r="R522">
        <v>6</v>
      </c>
      <c r="S522" s="89">
        <v>9500</v>
      </c>
      <c r="T522" s="89">
        <v>0</v>
      </c>
      <c r="U522" s="89">
        <v>19980</v>
      </c>
      <c r="V522" s="89">
        <v>19980</v>
      </c>
      <c r="W522" s="89">
        <v>37020</v>
      </c>
    </row>
    <row r="523" spans="1:23" ht="13">
      <c r="A523" t="s">
        <v>3095</v>
      </c>
      <c r="B523" t="s">
        <v>3096</v>
      </c>
      <c r="C523" s="88">
        <v>46152.383784722224</v>
      </c>
      <c r="D523" t="s">
        <v>105</v>
      </c>
      <c r="E523" t="s">
        <v>106</v>
      </c>
      <c r="F523" t="s">
        <v>3097</v>
      </c>
      <c r="G523" t="s">
        <v>3098</v>
      </c>
      <c r="H523" t="s">
        <v>3097</v>
      </c>
      <c r="I523" s="88">
        <v>46148.584097222221</v>
      </c>
      <c r="J523" t="s">
        <v>107</v>
      </c>
      <c r="K523" t="s">
        <v>108</v>
      </c>
      <c r="L523" t="s">
        <v>3099</v>
      </c>
      <c r="M523" s="88">
        <v>46149.679224537038</v>
      </c>
      <c r="N523" t="s">
        <v>637</v>
      </c>
      <c r="O523" t="s">
        <v>112</v>
      </c>
      <c r="P523" t="s">
        <v>111</v>
      </c>
      <c r="Q523" t="s">
        <v>1417</v>
      </c>
      <c r="R523">
        <v>7</v>
      </c>
      <c r="S523" s="89">
        <v>9500</v>
      </c>
      <c r="T523" s="89">
        <v>0</v>
      </c>
      <c r="U523" s="89">
        <v>23410</v>
      </c>
      <c r="V523" s="89">
        <v>23410</v>
      </c>
      <c r="W523" s="89">
        <v>43090</v>
      </c>
    </row>
    <row r="524" spans="1:23" ht="13">
      <c r="A524" t="s">
        <v>3100</v>
      </c>
      <c r="B524" t="s">
        <v>3101</v>
      </c>
      <c r="C524" s="88">
        <v>46152.360208333332</v>
      </c>
      <c r="D524" t="s">
        <v>105</v>
      </c>
      <c r="E524" t="s">
        <v>106</v>
      </c>
      <c r="F524" t="s">
        <v>3102</v>
      </c>
      <c r="G524" t="s">
        <v>3103</v>
      </c>
      <c r="H524" t="s">
        <v>3102</v>
      </c>
      <c r="I524" s="88">
        <v>46143.71471064815</v>
      </c>
      <c r="J524" t="s">
        <v>107</v>
      </c>
      <c r="K524" t="s">
        <v>108</v>
      </c>
      <c r="L524" t="s">
        <v>3104</v>
      </c>
      <c r="M524" s="88">
        <v>46146.460636574076</v>
      </c>
      <c r="N524" t="s">
        <v>637</v>
      </c>
      <c r="O524" t="s">
        <v>112</v>
      </c>
      <c r="P524" t="s">
        <v>111</v>
      </c>
      <c r="Q524" t="s">
        <v>1587</v>
      </c>
      <c r="R524">
        <v>3</v>
      </c>
      <c r="S524" s="89">
        <v>9500</v>
      </c>
      <c r="T524" s="89">
        <v>0</v>
      </c>
      <c r="U524" s="89">
        <v>6270</v>
      </c>
      <c r="V524" s="89">
        <v>6270</v>
      </c>
      <c r="W524" s="89">
        <v>22230</v>
      </c>
    </row>
    <row r="525" spans="1:23" ht="13">
      <c r="A525" t="s">
        <v>3105</v>
      </c>
      <c r="B525" t="s">
        <v>3106</v>
      </c>
      <c r="C525" s="88">
        <v>46152.278692129628</v>
      </c>
      <c r="D525" t="s">
        <v>105</v>
      </c>
      <c r="E525" t="s">
        <v>106</v>
      </c>
      <c r="F525" t="s">
        <v>3107</v>
      </c>
      <c r="G525" t="s">
        <v>3108</v>
      </c>
      <c r="H525" t="s">
        <v>3109</v>
      </c>
      <c r="I525" s="88">
        <v>46148.584097222221</v>
      </c>
      <c r="J525" t="s">
        <v>107</v>
      </c>
      <c r="K525" t="s">
        <v>108</v>
      </c>
      <c r="L525" t="s">
        <v>3110</v>
      </c>
      <c r="M525" s="88">
        <v>46149.873703703706</v>
      </c>
      <c r="N525" t="s">
        <v>637</v>
      </c>
      <c r="O525" t="s">
        <v>112</v>
      </c>
      <c r="P525" t="s">
        <v>111</v>
      </c>
      <c r="Q525" t="s">
        <v>1417</v>
      </c>
      <c r="R525">
        <v>6</v>
      </c>
      <c r="S525" s="89">
        <v>9500</v>
      </c>
      <c r="T525" s="89">
        <v>0</v>
      </c>
      <c r="U525" s="89">
        <v>20080</v>
      </c>
      <c r="V525" s="89">
        <v>20080</v>
      </c>
      <c r="W525" s="89">
        <v>36920</v>
      </c>
    </row>
    <row r="526" spans="1:23" ht="13">
      <c r="A526" t="s">
        <v>3111</v>
      </c>
      <c r="B526" t="s">
        <v>3112</v>
      </c>
      <c r="C526" s="88">
        <v>46152.154629629629</v>
      </c>
      <c r="D526" t="s">
        <v>105</v>
      </c>
      <c r="E526" t="s">
        <v>106</v>
      </c>
      <c r="F526" t="s">
        <v>247</v>
      </c>
      <c r="G526" t="s">
        <v>3113</v>
      </c>
      <c r="H526" t="s">
        <v>247</v>
      </c>
      <c r="I526" s="88">
        <v>46143.714722222227</v>
      </c>
      <c r="J526" t="s">
        <v>107</v>
      </c>
      <c r="K526" t="s">
        <v>108</v>
      </c>
      <c r="L526" t="s">
        <v>3114</v>
      </c>
      <c r="M526" s="88">
        <v>46146.629861111112</v>
      </c>
      <c r="N526" t="s">
        <v>637</v>
      </c>
      <c r="O526" t="s">
        <v>112</v>
      </c>
      <c r="P526" t="s">
        <v>111</v>
      </c>
      <c r="Q526" t="s">
        <v>1587</v>
      </c>
      <c r="R526">
        <v>6</v>
      </c>
      <c r="S526" s="89">
        <v>9500</v>
      </c>
      <c r="T526" s="89">
        <v>0</v>
      </c>
      <c r="U526" s="89">
        <v>20080</v>
      </c>
      <c r="V526" s="89">
        <v>20080</v>
      </c>
      <c r="W526" s="89">
        <v>36920</v>
      </c>
    </row>
    <row r="527" spans="1:23" ht="13">
      <c r="A527" t="s">
        <v>3115</v>
      </c>
      <c r="B527" t="s">
        <v>3116</v>
      </c>
      <c r="C527" s="88">
        <v>46152.06287037037</v>
      </c>
      <c r="D527" t="s">
        <v>105</v>
      </c>
      <c r="E527" t="s">
        <v>106</v>
      </c>
      <c r="F527" t="s">
        <v>3117</v>
      </c>
      <c r="G527" t="s">
        <v>3118</v>
      </c>
      <c r="H527" t="s">
        <v>3117</v>
      </c>
      <c r="I527" s="88">
        <v>46143.714733796296</v>
      </c>
      <c r="J527" t="s">
        <v>107</v>
      </c>
      <c r="K527" t="s">
        <v>108</v>
      </c>
      <c r="L527" t="s">
        <v>3119</v>
      </c>
      <c r="M527" s="88">
        <v>46146.603854166664</v>
      </c>
      <c r="N527" t="s">
        <v>637</v>
      </c>
      <c r="O527" t="s">
        <v>112</v>
      </c>
      <c r="P527" t="s">
        <v>111</v>
      </c>
      <c r="Q527" t="s">
        <v>1417</v>
      </c>
      <c r="R527">
        <v>2</v>
      </c>
      <c r="S527" s="89">
        <v>9500</v>
      </c>
      <c r="T527" s="89">
        <v>0</v>
      </c>
      <c r="U527" s="89">
        <v>4280</v>
      </c>
      <c r="V527" s="89">
        <v>4280</v>
      </c>
      <c r="W527" s="89">
        <v>14720</v>
      </c>
    </row>
    <row r="528" spans="1:23" ht="13">
      <c r="A528" t="s">
        <v>3120</v>
      </c>
      <c r="B528" t="s">
        <v>3121</v>
      </c>
      <c r="C528" s="88">
        <v>46152.027233796296</v>
      </c>
      <c r="D528" t="s">
        <v>105</v>
      </c>
      <c r="E528" t="s">
        <v>106</v>
      </c>
      <c r="F528" t="s">
        <v>3122</v>
      </c>
      <c r="G528" t="s">
        <v>3123</v>
      </c>
      <c r="H528" t="s">
        <v>3122</v>
      </c>
      <c r="I528" s="88">
        <v>46141.751932870371</v>
      </c>
      <c r="J528" t="s">
        <v>107</v>
      </c>
      <c r="K528" t="s">
        <v>108</v>
      </c>
      <c r="L528" t="s">
        <v>3124</v>
      </c>
      <c r="M528" s="88">
        <v>46144.442337962959</v>
      </c>
      <c r="N528" t="s">
        <v>637</v>
      </c>
      <c r="O528" t="s">
        <v>112</v>
      </c>
      <c r="P528" t="s">
        <v>111</v>
      </c>
      <c r="Q528" t="s">
        <v>2085</v>
      </c>
      <c r="R528">
        <v>6</v>
      </c>
      <c r="S528" s="89">
        <v>9500</v>
      </c>
      <c r="T528" s="89">
        <v>0</v>
      </c>
      <c r="U528" s="89">
        <v>19980</v>
      </c>
      <c r="V528" s="89">
        <v>19980</v>
      </c>
      <c r="W528" s="89">
        <v>37020</v>
      </c>
    </row>
    <row r="529" spans="1:23" ht="13">
      <c r="A529" t="s">
        <v>3125</v>
      </c>
      <c r="B529" t="s">
        <v>3126</v>
      </c>
      <c r="C529" s="88">
        <v>46152.023773148147</v>
      </c>
      <c r="D529" t="s">
        <v>105</v>
      </c>
      <c r="E529" t="s">
        <v>106</v>
      </c>
      <c r="F529" t="s">
        <v>3127</v>
      </c>
      <c r="G529" t="s">
        <v>3128</v>
      </c>
      <c r="H529" t="s">
        <v>3127</v>
      </c>
      <c r="I529" s="88">
        <v>46140.633912037039</v>
      </c>
      <c r="J529" t="s">
        <v>107</v>
      </c>
      <c r="K529" t="s">
        <v>108</v>
      </c>
      <c r="L529" t="s">
        <v>3129</v>
      </c>
      <c r="M529" s="88">
        <v>46141.764583333337</v>
      </c>
      <c r="N529" t="s">
        <v>637</v>
      </c>
      <c r="O529" t="s">
        <v>112</v>
      </c>
      <c r="P529" t="s">
        <v>111</v>
      </c>
      <c r="Q529" t="s">
        <v>2085</v>
      </c>
      <c r="R529">
        <v>2</v>
      </c>
      <c r="S529" s="89">
        <v>9500</v>
      </c>
      <c r="T529" s="89">
        <v>0</v>
      </c>
      <c r="U529" s="89">
        <v>4280</v>
      </c>
      <c r="V529" s="89">
        <v>4280</v>
      </c>
      <c r="W529" s="89">
        <v>14720</v>
      </c>
    </row>
    <row r="530" spans="1:23" ht="13">
      <c r="A530" t="s">
        <v>3130</v>
      </c>
      <c r="B530" t="s">
        <v>3131</v>
      </c>
      <c r="C530" s="88">
        <v>46152.020879629628</v>
      </c>
      <c r="D530" t="s">
        <v>105</v>
      </c>
      <c r="E530" t="s">
        <v>106</v>
      </c>
      <c r="F530" t="s">
        <v>3132</v>
      </c>
      <c r="G530" t="s">
        <v>3133</v>
      </c>
      <c r="H530" t="s">
        <v>3132</v>
      </c>
      <c r="I530" s="88">
        <v>46148.576863425929</v>
      </c>
      <c r="J530" t="s">
        <v>107</v>
      </c>
      <c r="K530" t="s">
        <v>108</v>
      </c>
      <c r="L530" t="s">
        <v>3134</v>
      </c>
      <c r="M530" s="88">
        <v>46149.963391203702</v>
      </c>
      <c r="N530" t="s">
        <v>637</v>
      </c>
      <c r="O530" t="s">
        <v>112</v>
      </c>
      <c r="P530" t="s">
        <v>111</v>
      </c>
      <c r="Q530" t="s">
        <v>1417</v>
      </c>
      <c r="R530">
        <v>12</v>
      </c>
      <c r="S530" s="89">
        <v>9500</v>
      </c>
      <c r="T530" s="89">
        <v>0</v>
      </c>
      <c r="U530" s="89">
        <v>40060</v>
      </c>
      <c r="V530" s="89">
        <v>40060</v>
      </c>
      <c r="W530" s="89">
        <v>73940</v>
      </c>
    </row>
    <row r="531" spans="1:23" ht="13">
      <c r="A531" t="s">
        <v>3135</v>
      </c>
      <c r="B531" t="s">
        <v>3136</v>
      </c>
      <c r="C531" s="88">
        <v>46152.011747685188</v>
      </c>
      <c r="D531" t="s">
        <v>105</v>
      </c>
      <c r="E531" t="s">
        <v>106</v>
      </c>
      <c r="F531" t="s">
        <v>3137</v>
      </c>
      <c r="G531" t="s">
        <v>3138</v>
      </c>
      <c r="H531" t="s">
        <v>3137</v>
      </c>
      <c r="I531" s="88">
        <v>46143.71475694445</v>
      </c>
      <c r="J531" t="s">
        <v>107</v>
      </c>
      <c r="K531" t="s">
        <v>108</v>
      </c>
      <c r="L531" t="s">
        <v>3139</v>
      </c>
      <c r="M531" s="88">
        <v>46146.631261574075</v>
      </c>
      <c r="N531" t="s">
        <v>637</v>
      </c>
      <c r="O531" t="s">
        <v>112</v>
      </c>
      <c r="P531" t="s">
        <v>111</v>
      </c>
      <c r="Q531" t="s">
        <v>1587</v>
      </c>
      <c r="R531">
        <v>5</v>
      </c>
      <c r="S531" s="89">
        <v>9500</v>
      </c>
      <c r="T531" s="89">
        <v>0</v>
      </c>
      <c r="U531" s="89">
        <v>10550</v>
      </c>
      <c r="V531" s="89">
        <v>10550</v>
      </c>
      <c r="W531" s="89">
        <v>36950</v>
      </c>
    </row>
    <row r="532" spans="1:23" ht="13">
      <c r="A532" t="s">
        <v>3140</v>
      </c>
      <c r="B532" t="s">
        <v>3141</v>
      </c>
      <c r="C532" s="88">
        <v>46151.937557870369</v>
      </c>
      <c r="D532" t="s">
        <v>105</v>
      </c>
      <c r="E532" t="s">
        <v>106</v>
      </c>
      <c r="F532" t="s">
        <v>3142</v>
      </c>
      <c r="G532" t="s">
        <v>3143</v>
      </c>
      <c r="H532" t="s">
        <v>3142</v>
      </c>
      <c r="I532" s="88">
        <v>46146.715717592597</v>
      </c>
      <c r="J532" t="s">
        <v>107</v>
      </c>
      <c r="K532" t="s">
        <v>108</v>
      </c>
      <c r="L532" t="s">
        <v>3144</v>
      </c>
      <c r="M532" s="88">
        <v>46148.682337962964</v>
      </c>
      <c r="N532" t="s">
        <v>637</v>
      </c>
      <c r="O532" t="s">
        <v>112</v>
      </c>
      <c r="P532" t="s">
        <v>111</v>
      </c>
      <c r="Q532" t="s">
        <v>1587</v>
      </c>
      <c r="R532">
        <v>5</v>
      </c>
      <c r="S532" s="89">
        <v>9500</v>
      </c>
      <c r="T532" s="89">
        <v>0</v>
      </c>
      <c r="U532" s="89">
        <v>10450</v>
      </c>
      <c r="V532" s="89">
        <v>10450</v>
      </c>
      <c r="W532" s="89">
        <v>37050</v>
      </c>
    </row>
    <row r="533" spans="1:23" ht="13">
      <c r="A533" t="s">
        <v>3145</v>
      </c>
      <c r="B533" t="s">
        <v>3146</v>
      </c>
      <c r="C533" s="88">
        <v>46151.892847222218</v>
      </c>
      <c r="D533" t="s">
        <v>105</v>
      </c>
      <c r="E533" t="s">
        <v>106</v>
      </c>
      <c r="F533" t="s">
        <v>3147</v>
      </c>
      <c r="G533" t="s">
        <v>3148</v>
      </c>
      <c r="H533" t="s">
        <v>3147</v>
      </c>
      <c r="I533" s="88">
        <v>46143.714733796296</v>
      </c>
      <c r="J533" t="s">
        <v>107</v>
      </c>
      <c r="K533" t="s">
        <v>108</v>
      </c>
      <c r="L533" t="s">
        <v>3149</v>
      </c>
      <c r="M533" s="88">
        <v>46146.629143518519</v>
      </c>
      <c r="N533" t="s">
        <v>637</v>
      </c>
      <c r="O533" t="s">
        <v>112</v>
      </c>
      <c r="P533" t="s">
        <v>111</v>
      </c>
      <c r="Q533" t="s">
        <v>1587</v>
      </c>
      <c r="R533">
        <v>5</v>
      </c>
      <c r="S533" s="89">
        <v>9500</v>
      </c>
      <c r="T533" s="89">
        <v>0</v>
      </c>
      <c r="U533" s="89">
        <v>10450</v>
      </c>
      <c r="V533" s="89">
        <v>10450</v>
      </c>
      <c r="W533" s="89">
        <v>37050</v>
      </c>
    </row>
    <row r="534" spans="1:23" ht="13">
      <c r="A534" t="s">
        <v>3150</v>
      </c>
      <c r="B534" t="s">
        <v>3151</v>
      </c>
      <c r="C534" s="88">
        <v>46151.889155092591</v>
      </c>
      <c r="D534" t="s">
        <v>105</v>
      </c>
      <c r="E534" t="s">
        <v>106</v>
      </c>
      <c r="F534" t="s">
        <v>3152</v>
      </c>
      <c r="G534" t="s">
        <v>3153</v>
      </c>
      <c r="H534" t="s">
        <v>3152</v>
      </c>
      <c r="I534" s="88">
        <v>46148.584131944444</v>
      </c>
      <c r="J534" t="s">
        <v>107</v>
      </c>
      <c r="K534" t="s">
        <v>108</v>
      </c>
      <c r="L534" t="s">
        <v>3154</v>
      </c>
      <c r="M534" s="88">
        <v>46149.963541666672</v>
      </c>
      <c r="N534" t="s">
        <v>637</v>
      </c>
      <c r="O534" t="s">
        <v>112</v>
      </c>
      <c r="P534" t="s">
        <v>111</v>
      </c>
      <c r="Q534" t="s">
        <v>1417</v>
      </c>
      <c r="R534">
        <v>1</v>
      </c>
      <c r="S534" s="89">
        <v>9500</v>
      </c>
      <c r="T534" s="89">
        <v>0</v>
      </c>
      <c r="U534" s="89">
        <v>2190</v>
      </c>
      <c r="V534" s="89">
        <v>2190</v>
      </c>
      <c r="W534" s="89">
        <v>7310</v>
      </c>
    </row>
    <row r="535" spans="1:23" ht="13">
      <c r="A535" t="s">
        <v>3155</v>
      </c>
      <c r="B535" t="s">
        <v>3156</v>
      </c>
      <c r="C535" s="88">
        <v>46151.828981481478</v>
      </c>
      <c r="D535" t="s">
        <v>105</v>
      </c>
      <c r="E535" t="s">
        <v>106</v>
      </c>
      <c r="F535" t="s">
        <v>3157</v>
      </c>
      <c r="G535" t="s">
        <v>3158</v>
      </c>
      <c r="H535" t="s">
        <v>3159</v>
      </c>
      <c r="I535" s="88">
        <v>46143.714687500003</v>
      </c>
      <c r="J535" t="s">
        <v>107</v>
      </c>
      <c r="K535" t="s">
        <v>108</v>
      </c>
      <c r="L535" t="s">
        <v>3160</v>
      </c>
      <c r="M535" s="88">
        <v>46146.711782407408</v>
      </c>
      <c r="N535" t="s">
        <v>637</v>
      </c>
      <c r="O535" t="s">
        <v>112</v>
      </c>
      <c r="P535" t="s">
        <v>111</v>
      </c>
      <c r="Q535" t="s">
        <v>2085</v>
      </c>
      <c r="R535">
        <v>2</v>
      </c>
      <c r="S535" s="89">
        <v>9500</v>
      </c>
      <c r="T535" s="89">
        <v>0</v>
      </c>
      <c r="U535" s="89">
        <v>4180</v>
      </c>
      <c r="V535" s="89">
        <v>4180</v>
      </c>
      <c r="W535" s="89">
        <v>14820</v>
      </c>
    </row>
    <row r="536" spans="1:23" ht="13">
      <c r="A536" t="s">
        <v>3161</v>
      </c>
      <c r="B536" t="s">
        <v>3162</v>
      </c>
      <c r="C536" s="88">
        <v>46151.812222222223</v>
      </c>
      <c r="D536" t="s">
        <v>105</v>
      </c>
      <c r="E536" t="s">
        <v>106</v>
      </c>
      <c r="F536" t="s">
        <v>3163</v>
      </c>
      <c r="G536" t="s">
        <v>3164</v>
      </c>
      <c r="H536" t="s">
        <v>3163</v>
      </c>
      <c r="I536" s="88">
        <v>46143.714768518519</v>
      </c>
      <c r="J536" t="s">
        <v>107</v>
      </c>
      <c r="K536" t="s">
        <v>108</v>
      </c>
      <c r="L536" t="s">
        <v>3165</v>
      </c>
      <c r="M536" s="88">
        <v>46146.460648148146</v>
      </c>
      <c r="N536" t="s">
        <v>637</v>
      </c>
      <c r="O536" t="s">
        <v>112</v>
      </c>
      <c r="P536" t="s">
        <v>111</v>
      </c>
      <c r="Q536" t="s">
        <v>1587</v>
      </c>
      <c r="R536">
        <v>1</v>
      </c>
      <c r="S536" s="89">
        <v>9500</v>
      </c>
      <c r="T536" s="89">
        <v>0</v>
      </c>
      <c r="U536" s="89">
        <v>2190</v>
      </c>
      <c r="V536" s="89">
        <v>2190</v>
      </c>
      <c r="W536" s="89">
        <v>7310</v>
      </c>
    </row>
    <row r="537" spans="1:23" ht="13">
      <c r="A537" t="s">
        <v>3166</v>
      </c>
      <c r="B537" t="s">
        <v>3167</v>
      </c>
      <c r="C537" s="88">
        <v>46151.794745370367</v>
      </c>
      <c r="D537" t="s">
        <v>105</v>
      </c>
      <c r="E537" t="s">
        <v>106</v>
      </c>
      <c r="F537" t="s">
        <v>3168</v>
      </c>
      <c r="G537" t="s">
        <v>3169</v>
      </c>
      <c r="H537" t="s">
        <v>3168</v>
      </c>
      <c r="I537" s="88">
        <v>46148.584131944444</v>
      </c>
      <c r="J537" t="s">
        <v>107</v>
      </c>
      <c r="K537" t="s">
        <v>108</v>
      </c>
      <c r="L537" t="s">
        <v>3170</v>
      </c>
      <c r="M537" s="88">
        <v>46149.552256944444</v>
      </c>
      <c r="N537" t="s">
        <v>637</v>
      </c>
      <c r="O537" t="s">
        <v>112</v>
      </c>
      <c r="P537" t="s">
        <v>111</v>
      </c>
      <c r="Q537" t="s">
        <v>1417</v>
      </c>
      <c r="R537">
        <v>6</v>
      </c>
      <c r="S537" s="89">
        <v>9500</v>
      </c>
      <c r="T537" s="89">
        <v>0</v>
      </c>
      <c r="U537" s="89">
        <v>21080</v>
      </c>
      <c r="V537" s="89">
        <v>20080</v>
      </c>
      <c r="W537" s="89">
        <v>35920</v>
      </c>
    </row>
    <row r="538" spans="1:23" ht="13">
      <c r="A538" t="s">
        <v>3171</v>
      </c>
      <c r="B538" t="s">
        <v>205</v>
      </c>
      <c r="C538" s="88">
        <v>46151.659212962964</v>
      </c>
      <c r="D538" t="s">
        <v>105</v>
      </c>
      <c r="E538" t="s">
        <v>106</v>
      </c>
      <c r="F538" t="s">
        <v>150</v>
      </c>
      <c r="G538" t="s">
        <v>151</v>
      </c>
      <c r="H538" t="s">
        <v>150</v>
      </c>
      <c r="I538" s="88">
        <v>46148.709189814814</v>
      </c>
      <c r="J538" t="s">
        <v>107</v>
      </c>
      <c r="K538" t="s">
        <v>108</v>
      </c>
      <c r="L538" t="s">
        <v>3172</v>
      </c>
      <c r="M538" s="88">
        <v>46149.771585648152</v>
      </c>
      <c r="N538" t="s">
        <v>1562</v>
      </c>
      <c r="O538" t="s">
        <v>123</v>
      </c>
      <c r="P538" t="s">
        <v>111</v>
      </c>
      <c r="Q538" t="s">
        <v>1563</v>
      </c>
      <c r="R538">
        <v>1</v>
      </c>
      <c r="S538" s="89">
        <v>22000</v>
      </c>
      <c r="T538" s="89">
        <v>0</v>
      </c>
      <c r="U538" s="89">
        <v>6600</v>
      </c>
      <c r="V538" s="89">
        <v>6600</v>
      </c>
      <c r="W538" s="89">
        <v>15400</v>
      </c>
    </row>
    <row r="539" spans="1:23" ht="13">
      <c r="A539" t="s">
        <v>3173</v>
      </c>
      <c r="B539" t="s">
        <v>205</v>
      </c>
      <c r="C539" s="88">
        <v>46151.659212962964</v>
      </c>
      <c r="D539" t="s">
        <v>105</v>
      </c>
      <c r="E539" t="s">
        <v>106</v>
      </c>
      <c r="F539" t="s">
        <v>150</v>
      </c>
      <c r="G539" t="s">
        <v>151</v>
      </c>
      <c r="H539" t="s">
        <v>150</v>
      </c>
      <c r="I539" s="88">
        <v>46148.709178240737</v>
      </c>
      <c r="J539" t="s">
        <v>107</v>
      </c>
      <c r="K539" t="s">
        <v>108</v>
      </c>
      <c r="L539" t="s">
        <v>3172</v>
      </c>
      <c r="M539" s="88">
        <v>46149.771585648152</v>
      </c>
      <c r="N539" t="s">
        <v>1656</v>
      </c>
      <c r="O539" t="s">
        <v>127</v>
      </c>
      <c r="P539" t="s">
        <v>111</v>
      </c>
      <c r="Q539" t="s">
        <v>1657</v>
      </c>
      <c r="R539">
        <v>1</v>
      </c>
      <c r="S539" s="89">
        <v>19000</v>
      </c>
      <c r="T539" s="89">
        <v>0</v>
      </c>
      <c r="U539" s="89">
        <v>5700</v>
      </c>
      <c r="V539" s="89">
        <v>5700</v>
      </c>
      <c r="W539" s="89">
        <v>13300</v>
      </c>
    </row>
    <row r="540" spans="1:23" ht="13">
      <c r="A540" t="s">
        <v>3174</v>
      </c>
      <c r="B540" t="s">
        <v>3175</v>
      </c>
      <c r="C540" s="88">
        <v>46151.599363425921</v>
      </c>
      <c r="D540" t="s">
        <v>105</v>
      </c>
      <c r="E540" t="s">
        <v>106</v>
      </c>
      <c r="F540" t="s">
        <v>278</v>
      </c>
      <c r="G540" t="s">
        <v>3176</v>
      </c>
      <c r="H540" t="s">
        <v>278</v>
      </c>
      <c r="I540" s="88">
        <v>46143.714699074073</v>
      </c>
      <c r="J540" t="s">
        <v>107</v>
      </c>
      <c r="K540" t="s">
        <v>108</v>
      </c>
      <c r="L540" t="s">
        <v>3177</v>
      </c>
      <c r="M540" s="88">
        <v>46146.443101851852</v>
      </c>
      <c r="N540" t="s">
        <v>637</v>
      </c>
      <c r="O540" t="s">
        <v>112</v>
      </c>
      <c r="P540" t="s">
        <v>111</v>
      </c>
      <c r="Q540" t="s">
        <v>1587</v>
      </c>
      <c r="R540">
        <v>6</v>
      </c>
      <c r="S540" s="89">
        <v>9500</v>
      </c>
      <c r="T540" s="89">
        <v>0</v>
      </c>
      <c r="U540" s="89">
        <v>20080</v>
      </c>
      <c r="V540" s="89">
        <v>20080</v>
      </c>
      <c r="W540" s="89">
        <v>36920</v>
      </c>
    </row>
    <row r="541" spans="1:23" ht="13">
      <c r="A541" t="s">
        <v>3178</v>
      </c>
      <c r="B541" t="s">
        <v>3179</v>
      </c>
      <c r="C541" s="88">
        <v>46151.561168981483</v>
      </c>
      <c r="D541" t="s">
        <v>105</v>
      </c>
      <c r="E541" t="s">
        <v>106</v>
      </c>
      <c r="F541" t="s">
        <v>3180</v>
      </c>
      <c r="G541" t="s">
        <v>3181</v>
      </c>
      <c r="H541" t="s">
        <v>3180</v>
      </c>
      <c r="I541" s="88">
        <v>46148.584097222221</v>
      </c>
      <c r="J541" t="s">
        <v>107</v>
      </c>
      <c r="K541" t="s">
        <v>108</v>
      </c>
      <c r="L541" t="s">
        <v>3182</v>
      </c>
      <c r="M541" s="88">
        <v>46149.679236111115</v>
      </c>
      <c r="N541" t="s">
        <v>637</v>
      </c>
      <c r="O541" t="s">
        <v>112</v>
      </c>
      <c r="P541" t="s">
        <v>111</v>
      </c>
      <c r="Q541" t="s">
        <v>1417</v>
      </c>
      <c r="R541">
        <v>3</v>
      </c>
      <c r="S541" s="89">
        <v>9500</v>
      </c>
      <c r="T541" s="89">
        <v>0</v>
      </c>
      <c r="U541" s="89">
        <v>6270</v>
      </c>
      <c r="V541" s="89">
        <v>6270</v>
      </c>
      <c r="W541" s="89">
        <v>22230</v>
      </c>
    </row>
    <row r="542" spans="1:23" ht="13">
      <c r="A542" t="s">
        <v>3183</v>
      </c>
      <c r="B542" t="s">
        <v>3184</v>
      </c>
      <c r="C542" s="88">
        <v>46151.50135416667</v>
      </c>
      <c r="D542" t="s">
        <v>105</v>
      </c>
      <c r="E542" t="s">
        <v>106</v>
      </c>
      <c r="F542" t="s">
        <v>3185</v>
      </c>
      <c r="G542" t="s">
        <v>3186</v>
      </c>
      <c r="H542" t="s">
        <v>3187</v>
      </c>
      <c r="I542" s="88">
        <v>46148.709189814814</v>
      </c>
      <c r="J542" t="s">
        <v>107</v>
      </c>
      <c r="K542" t="s">
        <v>108</v>
      </c>
      <c r="L542" t="s">
        <v>3188</v>
      </c>
      <c r="M542" s="88">
        <v>46149.716863425929</v>
      </c>
      <c r="N542" t="s">
        <v>1562</v>
      </c>
      <c r="O542" t="s">
        <v>123</v>
      </c>
      <c r="P542" t="s">
        <v>111</v>
      </c>
      <c r="Q542" t="s">
        <v>59</v>
      </c>
      <c r="R542">
        <v>1</v>
      </c>
      <c r="S542" s="89">
        <v>22000</v>
      </c>
      <c r="T542" s="89">
        <v>0</v>
      </c>
      <c r="U542" s="89">
        <v>6600</v>
      </c>
      <c r="V542" s="89">
        <v>6600</v>
      </c>
      <c r="W542" s="89">
        <v>15400</v>
      </c>
    </row>
    <row r="543" spans="1:23" ht="13">
      <c r="A543" t="s">
        <v>3189</v>
      </c>
      <c r="B543" t="s">
        <v>3184</v>
      </c>
      <c r="C543" s="88">
        <v>46151.50135416667</v>
      </c>
      <c r="D543" t="s">
        <v>105</v>
      </c>
      <c r="E543" t="s">
        <v>106</v>
      </c>
      <c r="F543" t="s">
        <v>3185</v>
      </c>
      <c r="G543" t="s">
        <v>3186</v>
      </c>
      <c r="H543" t="s">
        <v>3187</v>
      </c>
      <c r="I543" s="88">
        <v>46148.709189814814</v>
      </c>
      <c r="J543" t="s">
        <v>107</v>
      </c>
      <c r="K543" t="s">
        <v>108</v>
      </c>
      <c r="L543" t="s">
        <v>3188</v>
      </c>
      <c r="M543" s="88">
        <v>46149.716863425929</v>
      </c>
      <c r="N543" t="s">
        <v>1562</v>
      </c>
      <c r="O543" t="s">
        <v>123</v>
      </c>
      <c r="P543" t="s">
        <v>111</v>
      </c>
      <c r="Q543" t="s">
        <v>61</v>
      </c>
      <c r="R543">
        <v>1</v>
      </c>
      <c r="S543" s="89">
        <v>22000</v>
      </c>
      <c r="T543" s="89">
        <v>0</v>
      </c>
      <c r="U543" s="89">
        <v>6600</v>
      </c>
      <c r="V543" s="89">
        <v>6600</v>
      </c>
      <c r="W543" s="89">
        <v>15400</v>
      </c>
    </row>
    <row r="544" spans="1:23" ht="13">
      <c r="A544" t="s">
        <v>3190</v>
      </c>
      <c r="B544" t="s">
        <v>3184</v>
      </c>
      <c r="C544" s="88">
        <v>46151.50135416667</v>
      </c>
      <c r="D544" t="s">
        <v>105</v>
      </c>
      <c r="E544" t="s">
        <v>106</v>
      </c>
      <c r="F544" t="s">
        <v>3185</v>
      </c>
      <c r="G544" t="s">
        <v>3186</v>
      </c>
      <c r="H544" t="s">
        <v>3187</v>
      </c>
      <c r="I544" s="88">
        <v>46148.709189814814</v>
      </c>
      <c r="J544" t="s">
        <v>107</v>
      </c>
      <c r="K544" t="s">
        <v>108</v>
      </c>
      <c r="L544" t="s">
        <v>3188</v>
      </c>
      <c r="M544" s="88">
        <v>46149.716863425929</v>
      </c>
      <c r="N544" t="s">
        <v>1656</v>
      </c>
      <c r="O544" t="s">
        <v>127</v>
      </c>
      <c r="P544" t="s">
        <v>111</v>
      </c>
      <c r="Q544" t="s">
        <v>3191</v>
      </c>
      <c r="R544">
        <v>1</v>
      </c>
      <c r="S544" s="89">
        <v>19000</v>
      </c>
      <c r="T544" s="89">
        <v>0</v>
      </c>
      <c r="U544" s="89">
        <v>5700</v>
      </c>
      <c r="V544" s="89">
        <v>5700</v>
      </c>
      <c r="W544" s="89">
        <v>13300</v>
      </c>
    </row>
    <row r="545" spans="1:23" ht="13">
      <c r="A545" t="s">
        <v>3192</v>
      </c>
      <c r="B545" t="s">
        <v>3184</v>
      </c>
      <c r="C545" s="88">
        <v>46151.50135416667</v>
      </c>
      <c r="D545" t="s">
        <v>105</v>
      </c>
      <c r="E545" t="s">
        <v>106</v>
      </c>
      <c r="F545" t="s">
        <v>3185</v>
      </c>
      <c r="G545" t="s">
        <v>3186</v>
      </c>
      <c r="H545" t="s">
        <v>3187</v>
      </c>
      <c r="I545" s="88">
        <v>46148.709178240737</v>
      </c>
      <c r="J545" t="s">
        <v>107</v>
      </c>
      <c r="K545" t="s">
        <v>108</v>
      </c>
      <c r="L545" t="s">
        <v>3188</v>
      </c>
      <c r="M545" s="88">
        <v>46149.716863425929</v>
      </c>
      <c r="N545" t="s">
        <v>1656</v>
      </c>
      <c r="O545" t="s">
        <v>127</v>
      </c>
      <c r="P545" t="s">
        <v>111</v>
      </c>
      <c r="Q545" t="s">
        <v>1657</v>
      </c>
      <c r="R545">
        <v>1</v>
      </c>
      <c r="S545" s="89">
        <v>19000</v>
      </c>
      <c r="T545" s="89">
        <v>0</v>
      </c>
      <c r="U545" s="89">
        <v>5700</v>
      </c>
      <c r="V545" s="89">
        <v>5700</v>
      </c>
      <c r="W545" s="89">
        <v>13300</v>
      </c>
    </row>
    <row r="546" spans="1:23" ht="13">
      <c r="A546" t="s">
        <v>3193</v>
      </c>
      <c r="B546" t="s">
        <v>3194</v>
      </c>
      <c r="C546" s="88">
        <v>46151.433888888889</v>
      </c>
      <c r="D546" t="s">
        <v>105</v>
      </c>
      <c r="E546" t="s">
        <v>106</v>
      </c>
      <c r="F546" t="s">
        <v>3195</v>
      </c>
      <c r="G546" t="s">
        <v>3196</v>
      </c>
      <c r="H546" t="s">
        <v>3195</v>
      </c>
      <c r="I546" s="88">
        <v>46148.584097222221</v>
      </c>
      <c r="J546" t="s">
        <v>107</v>
      </c>
      <c r="K546" t="s">
        <v>108</v>
      </c>
      <c r="L546" t="s">
        <v>3197</v>
      </c>
      <c r="M546" s="88">
        <v>46149.674988425926</v>
      </c>
      <c r="N546" t="s">
        <v>637</v>
      </c>
      <c r="O546" t="s">
        <v>112</v>
      </c>
      <c r="P546" t="s">
        <v>111</v>
      </c>
      <c r="Q546" t="s">
        <v>1417</v>
      </c>
      <c r="R546">
        <v>6</v>
      </c>
      <c r="S546" s="89">
        <v>9500</v>
      </c>
      <c r="T546" s="89">
        <v>0</v>
      </c>
      <c r="U546" s="89">
        <v>20080</v>
      </c>
      <c r="V546" s="89">
        <v>20080</v>
      </c>
      <c r="W546" s="89">
        <v>36920</v>
      </c>
    </row>
    <row r="547" spans="1:23" ht="13">
      <c r="A547" t="s">
        <v>3198</v>
      </c>
      <c r="B547" t="s">
        <v>3199</v>
      </c>
      <c r="C547" s="88">
        <v>46151.382118055553</v>
      </c>
      <c r="D547" t="s">
        <v>105</v>
      </c>
      <c r="E547" t="s">
        <v>106</v>
      </c>
      <c r="F547" t="s">
        <v>3200</v>
      </c>
      <c r="G547" t="s">
        <v>3201</v>
      </c>
      <c r="H547" t="s">
        <v>3200</v>
      </c>
      <c r="I547" s="88">
        <v>46146.715717592597</v>
      </c>
      <c r="J547" t="s">
        <v>107</v>
      </c>
      <c r="K547" t="s">
        <v>108</v>
      </c>
      <c r="L547" t="s">
        <v>3202</v>
      </c>
      <c r="M547" s="88">
        <v>46148.466782407406</v>
      </c>
      <c r="N547" t="s">
        <v>637</v>
      </c>
      <c r="O547" t="s">
        <v>112</v>
      </c>
      <c r="P547" t="s">
        <v>111</v>
      </c>
      <c r="Q547" t="s">
        <v>2085</v>
      </c>
      <c r="R547">
        <v>6</v>
      </c>
      <c r="S547" s="89">
        <v>9500</v>
      </c>
      <c r="T547" s="89">
        <v>0</v>
      </c>
      <c r="U547" s="89">
        <v>19980</v>
      </c>
      <c r="V547" s="89">
        <v>19980</v>
      </c>
      <c r="W547" s="89">
        <v>37020</v>
      </c>
    </row>
    <row r="548" spans="1:23" ht="13">
      <c r="A548" t="s">
        <v>3203</v>
      </c>
      <c r="B548" t="s">
        <v>3204</v>
      </c>
      <c r="C548" s="88">
        <v>46151.377326388887</v>
      </c>
      <c r="D548" t="s">
        <v>105</v>
      </c>
      <c r="E548" t="s">
        <v>106</v>
      </c>
      <c r="F548" t="s">
        <v>3205</v>
      </c>
      <c r="G548" t="s">
        <v>176</v>
      </c>
      <c r="H548" t="s">
        <v>3205</v>
      </c>
      <c r="I548" s="88">
        <v>46146.715717592597</v>
      </c>
      <c r="J548" t="s">
        <v>107</v>
      </c>
      <c r="K548" t="s">
        <v>108</v>
      </c>
      <c r="L548" t="s">
        <v>3206</v>
      </c>
      <c r="M548" s="88">
        <v>46148.777083333334</v>
      </c>
      <c r="N548" t="s">
        <v>637</v>
      </c>
      <c r="O548" t="s">
        <v>112</v>
      </c>
      <c r="P548" t="s">
        <v>111</v>
      </c>
      <c r="Q548" t="s">
        <v>2085</v>
      </c>
      <c r="R548">
        <v>6</v>
      </c>
      <c r="S548" s="89">
        <v>9500</v>
      </c>
      <c r="T548" s="89">
        <v>0</v>
      </c>
      <c r="U548" s="89">
        <v>20080</v>
      </c>
      <c r="V548" s="89">
        <v>20080</v>
      </c>
      <c r="W548" s="89">
        <v>36920</v>
      </c>
    </row>
    <row r="549" spans="1:23" ht="13">
      <c r="A549" t="s">
        <v>3207</v>
      </c>
      <c r="B549" t="s">
        <v>3208</v>
      </c>
      <c r="C549" s="88">
        <v>46151.254131944443</v>
      </c>
      <c r="D549" t="s">
        <v>105</v>
      </c>
      <c r="E549" t="s">
        <v>106</v>
      </c>
      <c r="F549" t="s">
        <v>3209</v>
      </c>
      <c r="G549" t="s">
        <v>3210</v>
      </c>
      <c r="H549" t="s">
        <v>3209</v>
      </c>
      <c r="I549" s="88">
        <v>46143.714733796296</v>
      </c>
      <c r="J549" t="s">
        <v>107</v>
      </c>
      <c r="K549" t="s">
        <v>108</v>
      </c>
      <c r="L549" t="s">
        <v>3211</v>
      </c>
      <c r="M549" s="88">
        <v>46146.509004629625</v>
      </c>
      <c r="N549" t="s">
        <v>637</v>
      </c>
      <c r="O549" t="s">
        <v>112</v>
      </c>
      <c r="P549" t="s">
        <v>111</v>
      </c>
      <c r="Q549" t="s">
        <v>1587</v>
      </c>
      <c r="R549">
        <v>3</v>
      </c>
      <c r="S549" s="89">
        <v>9500</v>
      </c>
      <c r="T549" s="89">
        <v>0</v>
      </c>
      <c r="U549" s="89">
        <v>6270</v>
      </c>
      <c r="V549" s="89">
        <v>6270</v>
      </c>
      <c r="W549" s="89">
        <v>22230</v>
      </c>
    </row>
    <row r="550" spans="1:23" ht="13">
      <c r="A550" t="s">
        <v>3212</v>
      </c>
      <c r="B550" t="s">
        <v>3213</v>
      </c>
      <c r="C550" s="88">
        <v>46151.052939814814</v>
      </c>
      <c r="D550" t="s">
        <v>105</v>
      </c>
      <c r="E550" t="s">
        <v>106</v>
      </c>
      <c r="F550" t="s">
        <v>3214</v>
      </c>
      <c r="G550" t="s">
        <v>3215</v>
      </c>
      <c r="H550" t="s">
        <v>3216</v>
      </c>
      <c r="I550" s="88">
        <v>46149.625798611116</v>
      </c>
      <c r="J550" t="s">
        <v>107</v>
      </c>
      <c r="K550" t="s">
        <v>108</v>
      </c>
      <c r="L550" t="s">
        <v>3217</v>
      </c>
      <c r="M550" s="88">
        <v>46150.765381944446</v>
      </c>
      <c r="N550" t="s">
        <v>637</v>
      </c>
      <c r="O550" t="s">
        <v>112</v>
      </c>
      <c r="P550" t="s">
        <v>111</v>
      </c>
      <c r="Q550" t="s">
        <v>1417</v>
      </c>
      <c r="R550">
        <v>6</v>
      </c>
      <c r="S550" s="89">
        <v>9500</v>
      </c>
      <c r="T550" s="89">
        <v>0</v>
      </c>
      <c r="U550" s="89">
        <v>20080</v>
      </c>
      <c r="V550" s="89">
        <v>20080</v>
      </c>
      <c r="W550" s="89">
        <v>36920</v>
      </c>
    </row>
    <row r="551" spans="1:23" ht="13">
      <c r="A551" t="s">
        <v>3218</v>
      </c>
      <c r="B551" t="s">
        <v>3219</v>
      </c>
      <c r="C551" s="88">
        <v>46151.029953703706</v>
      </c>
      <c r="D551" t="s">
        <v>105</v>
      </c>
      <c r="E551" t="s">
        <v>106</v>
      </c>
      <c r="F551" t="s">
        <v>3220</v>
      </c>
      <c r="G551" t="s">
        <v>3221</v>
      </c>
      <c r="H551" t="s">
        <v>3220</v>
      </c>
      <c r="I551" s="88">
        <v>46141.751956018517</v>
      </c>
      <c r="J551" t="s">
        <v>107</v>
      </c>
      <c r="K551" t="s">
        <v>108</v>
      </c>
      <c r="L551" t="s">
        <v>3222</v>
      </c>
      <c r="M551" s="88">
        <v>46143.54587962963</v>
      </c>
      <c r="N551" t="s">
        <v>637</v>
      </c>
      <c r="O551" t="s">
        <v>112</v>
      </c>
      <c r="P551" t="s">
        <v>111</v>
      </c>
      <c r="Q551" t="s">
        <v>2085</v>
      </c>
      <c r="R551">
        <v>6</v>
      </c>
      <c r="S551" s="89">
        <v>9500</v>
      </c>
      <c r="T551" s="89">
        <v>0</v>
      </c>
      <c r="U551" s="89">
        <v>20080</v>
      </c>
      <c r="V551" s="89">
        <v>20080</v>
      </c>
      <c r="W551" s="89">
        <v>36920</v>
      </c>
    </row>
    <row r="552" spans="1:23" ht="13">
      <c r="A552" t="s">
        <v>3223</v>
      </c>
      <c r="B552" t="s">
        <v>3224</v>
      </c>
      <c r="C552" s="88">
        <v>46151.029953703706</v>
      </c>
      <c r="D552" t="s">
        <v>105</v>
      </c>
      <c r="E552" t="s">
        <v>106</v>
      </c>
      <c r="F552" t="s">
        <v>608</v>
      </c>
      <c r="G552" t="s">
        <v>3225</v>
      </c>
      <c r="H552" t="s">
        <v>608</v>
      </c>
      <c r="I552" s="88">
        <v>46141.751956018517</v>
      </c>
      <c r="J552" t="s">
        <v>107</v>
      </c>
      <c r="K552" t="s">
        <v>108</v>
      </c>
      <c r="L552" t="s">
        <v>3226</v>
      </c>
      <c r="M552" s="88">
        <v>46143.671574074076</v>
      </c>
      <c r="N552" t="s">
        <v>637</v>
      </c>
      <c r="O552" t="s">
        <v>112</v>
      </c>
      <c r="P552" t="s">
        <v>111</v>
      </c>
      <c r="Q552" t="s">
        <v>2085</v>
      </c>
      <c r="R552">
        <v>8</v>
      </c>
      <c r="S552" s="89">
        <v>9500</v>
      </c>
      <c r="T552" s="89">
        <v>0</v>
      </c>
      <c r="U552" s="89">
        <v>26740</v>
      </c>
      <c r="V552" s="89">
        <v>26740</v>
      </c>
      <c r="W552" s="89">
        <v>49260</v>
      </c>
    </row>
    <row r="553" spans="1:23" ht="13">
      <c r="A553" t="s">
        <v>3227</v>
      </c>
      <c r="B553" t="s">
        <v>3228</v>
      </c>
      <c r="C553" s="88">
        <v>46151.029942129629</v>
      </c>
      <c r="D553" t="s">
        <v>105</v>
      </c>
      <c r="E553" t="s">
        <v>106</v>
      </c>
      <c r="F553" t="s">
        <v>347</v>
      </c>
      <c r="G553" t="s">
        <v>3229</v>
      </c>
      <c r="H553" t="s">
        <v>347</v>
      </c>
      <c r="I553" s="88">
        <v>46141.751956018517</v>
      </c>
      <c r="J553" t="s">
        <v>107</v>
      </c>
      <c r="K553" t="s">
        <v>108</v>
      </c>
      <c r="L553" t="s">
        <v>3230</v>
      </c>
      <c r="M553" s="88">
        <v>46143.54586805556</v>
      </c>
      <c r="N553" t="s">
        <v>637</v>
      </c>
      <c r="O553" t="s">
        <v>112</v>
      </c>
      <c r="P553" t="s">
        <v>111</v>
      </c>
      <c r="Q553" t="s">
        <v>2085</v>
      </c>
      <c r="R553">
        <v>2</v>
      </c>
      <c r="S553" s="89">
        <v>9500</v>
      </c>
      <c r="T553" s="89">
        <v>0</v>
      </c>
      <c r="U553" s="89">
        <v>4280</v>
      </c>
      <c r="V553" s="89">
        <v>4280</v>
      </c>
      <c r="W553" s="89">
        <v>14720</v>
      </c>
    </row>
    <row r="554" spans="1:23" ht="13">
      <c r="A554" t="s">
        <v>3231</v>
      </c>
      <c r="B554" t="s">
        <v>3232</v>
      </c>
      <c r="C554" s="88">
        <v>46151.029942129629</v>
      </c>
      <c r="D554" t="s">
        <v>105</v>
      </c>
      <c r="E554" t="s">
        <v>106</v>
      </c>
      <c r="F554" t="s">
        <v>3233</v>
      </c>
      <c r="G554" t="s">
        <v>3234</v>
      </c>
      <c r="H554" t="s">
        <v>3233</v>
      </c>
      <c r="I554" s="88">
        <v>46141.751956018517</v>
      </c>
      <c r="J554" t="s">
        <v>107</v>
      </c>
      <c r="K554" t="s">
        <v>108</v>
      </c>
      <c r="L554" t="s">
        <v>3235</v>
      </c>
      <c r="M554" s="88">
        <v>46143.54586805556</v>
      </c>
      <c r="N554" t="s">
        <v>637</v>
      </c>
      <c r="O554" t="s">
        <v>112</v>
      </c>
      <c r="P554" t="s">
        <v>111</v>
      </c>
      <c r="Q554" t="s">
        <v>2085</v>
      </c>
      <c r="R554">
        <v>1</v>
      </c>
      <c r="S554" s="89">
        <v>9500</v>
      </c>
      <c r="T554" s="89">
        <v>0</v>
      </c>
      <c r="U554" s="89">
        <v>2090</v>
      </c>
      <c r="V554" s="89">
        <v>2090</v>
      </c>
      <c r="W554" s="89">
        <v>7410</v>
      </c>
    </row>
    <row r="555" spans="1:23" ht="13">
      <c r="A555" t="s">
        <v>3236</v>
      </c>
      <c r="B555" t="s">
        <v>3237</v>
      </c>
      <c r="C555" s="88">
        <v>46151.029942129629</v>
      </c>
      <c r="D555" t="s">
        <v>105</v>
      </c>
      <c r="E555" t="s">
        <v>106</v>
      </c>
      <c r="F555" t="s">
        <v>230</v>
      </c>
      <c r="G555" t="s">
        <v>3238</v>
      </c>
      <c r="H555" t="s">
        <v>230</v>
      </c>
      <c r="I555" s="88">
        <v>46141.751956018517</v>
      </c>
      <c r="J555" t="s">
        <v>107</v>
      </c>
      <c r="K555" t="s">
        <v>108</v>
      </c>
      <c r="L555" t="s">
        <v>3239</v>
      </c>
      <c r="M555" s="88">
        <v>46143.545856481476</v>
      </c>
      <c r="N555" t="s">
        <v>637</v>
      </c>
      <c r="O555" t="s">
        <v>112</v>
      </c>
      <c r="P555" t="s">
        <v>111</v>
      </c>
      <c r="Q555" t="s">
        <v>2085</v>
      </c>
      <c r="R555">
        <v>2</v>
      </c>
      <c r="S555" s="89">
        <v>9500</v>
      </c>
      <c r="T555" s="89">
        <v>0</v>
      </c>
      <c r="U555" s="89">
        <v>4180</v>
      </c>
      <c r="V555" s="89">
        <v>4180</v>
      </c>
      <c r="W555" s="89">
        <v>14820</v>
      </c>
    </row>
    <row r="556" spans="1:23" ht="13">
      <c r="A556" t="s">
        <v>3240</v>
      </c>
      <c r="B556" t="s">
        <v>3241</v>
      </c>
      <c r="C556" s="88">
        <v>46151.029942129629</v>
      </c>
      <c r="D556" t="s">
        <v>105</v>
      </c>
      <c r="E556" t="s">
        <v>106</v>
      </c>
      <c r="F556" t="s">
        <v>116</v>
      </c>
      <c r="G556" t="s">
        <v>3242</v>
      </c>
      <c r="H556" t="s">
        <v>116</v>
      </c>
      <c r="I556" s="88">
        <v>46141.751932870371</v>
      </c>
      <c r="J556" t="s">
        <v>107</v>
      </c>
      <c r="K556" t="s">
        <v>108</v>
      </c>
      <c r="L556" t="s">
        <v>3243</v>
      </c>
      <c r="M556" s="88">
        <v>46143.463923611111</v>
      </c>
      <c r="N556" t="s">
        <v>637</v>
      </c>
      <c r="O556" t="s">
        <v>112</v>
      </c>
      <c r="P556" t="s">
        <v>111</v>
      </c>
      <c r="Q556" t="s">
        <v>2085</v>
      </c>
      <c r="R556">
        <v>6</v>
      </c>
      <c r="S556" s="89">
        <v>9500</v>
      </c>
      <c r="T556" s="89">
        <v>0</v>
      </c>
      <c r="U556" s="89">
        <v>19980</v>
      </c>
      <c r="V556" s="89">
        <v>19980</v>
      </c>
      <c r="W556" s="89">
        <v>37020</v>
      </c>
    </row>
    <row r="557" spans="1:23" ht="13">
      <c r="A557" t="s">
        <v>3244</v>
      </c>
      <c r="B557" t="s">
        <v>3245</v>
      </c>
      <c r="C557" s="88">
        <v>46151.029942129629</v>
      </c>
      <c r="D557" t="s">
        <v>105</v>
      </c>
      <c r="E557" t="s">
        <v>106</v>
      </c>
      <c r="F557" t="s">
        <v>3246</v>
      </c>
      <c r="G557" t="s">
        <v>3247</v>
      </c>
      <c r="H557" t="s">
        <v>3246</v>
      </c>
      <c r="I557" s="88">
        <v>46141.751909722225</v>
      </c>
      <c r="J557" t="s">
        <v>107</v>
      </c>
      <c r="K557" t="s">
        <v>108</v>
      </c>
      <c r="L557" t="s">
        <v>3248</v>
      </c>
      <c r="M557" s="88">
        <v>46143.54587962963</v>
      </c>
      <c r="N557" t="s">
        <v>637</v>
      </c>
      <c r="O557" t="s">
        <v>112</v>
      </c>
      <c r="P557" t="s">
        <v>111</v>
      </c>
      <c r="Q557" t="s">
        <v>2085</v>
      </c>
      <c r="R557">
        <v>1</v>
      </c>
      <c r="S557" s="89">
        <v>9500</v>
      </c>
      <c r="T557" s="89">
        <v>0</v>
      </c>
      <c r="U557" s="89">
        <v>2090</v>
      </c>
      <c r="V557" s="89">
        <v>2090</v>
      </c>
      <c r="W557" s="89">
        <v>7410</v>
      </c>
    </row>
    <row r="558" spans="1:23" ht="13">
      <c r="A558" t="s">
        <v>3249</v>
      </c>
      <c r="B558" t="s">
        <v>3250</v>
      </c>
      <c r="C558" s="88">
        <v>46151.029942129629</v>
      </c>
      <c r="D558" t="s">
        <v>105</v>
      </c>
      <c r="E558" t="s">
        <v>106</v>
      </c>
      <c r="F558" t="s">
        <v>2517</v>
      </c>
      <c r="G558" t="s">
        <v>3251</v>
      </c>
      <c r="H558" t="s">
        <v>2517</v>
      </c>
      <c r="I558" s="88">
        <v>46141.751909722225</v>
      </c>
      <c r="J558" t="s">
        <v>107</v>
      </c>
      <c r="K558" t="s">
        <v>108</v>
      </c>
      <c r="L558" t="s">
        <v>3252</v>
      </c>
      <c r="M558" s="88">
        <v>46143.670844907407</v>
      </c>
      <c r="N558" t="s">
        <v>637</v>
      </c>
      <c r="O558" t="s">
        <v>112</v>
      </c>
      <c r="P558" t="s">
        <v>111</v>
      </c>
      <c r="Q558" t="s">
        <v>2085</v>
      </c>
      <c r="R558">
        <v>7</v>
      </c>
      <c r="S558" s="89">
        <v>9500</v>
      </c>
      <c r="T558" s="89">
        <v>0</v>
      </c>
      <c r="U558" s="89">
        <v>23410</v>
      </c>
      <c r="V558" s="89">
        <v>23410</v>
      </c>
      <c r="W558" s="89">
        <v>43090</v>
      </c>
    </row>
    <row r="559" spans="1:23" ht="13">
      <c r="A559" t="s">
        <v>3253</v>
      </c>
      <c r="B559" t="s">
        <v>3254</v>
      </c>
      <c r="C559" s="88">
        <v>46151.029942129629</v>
      </c>
      <c r="D559" t="s">
        <v>105</v>
      </c>
      <c r="E559" t="s">
        <v>106</v>
      </c>
      <c r="F559" t="s">
        <v>3255</v>
      </c>
      <c r="G559" t="s">
        <v>3256</v>
      </c>
      <c r="H559" t="s">
        <v>3255</v>
      </c>
      <c r="I559" s="88">
        <v>46141.751886574071</v>
      </c>
      <c r="J559" t="s">
        <v>107</v>
      </c>
      <c r="K559" t="s">
        <v>108</v>
      </c>
      <c r="L559" t="s">
        <v>3257</v>
      </c>
      <c r="M559" s="88">
        <v>46143.461111111115</v>
      </c>
      <c r="N559" t="s">
        <v>637</v>
      </c>
      <c r="O559" t="s">
        <v>112</v>
      </c>
      <c r="P559" t="s">
        <v>111</v>
      </c>
      <c r="Q559" t="s">
        <v>2085</v>
      </c>
      <c r="R559">
        <v>2</v>
      </c>
      <c r="S559" s="89">
        <v>9500</v>
      </c>
      <c r="T559" s="89">
        <v>0</v>
      </c>
      <c r="U559" s="89">
        <v>4180</v>
      </c>
      <c r="V559" s="89">
        <v>4180</v>
      </c>
      <c r="W559" s="89">
        <v>14820</v>
      </c>
    </row>
    <row r="560" spans="1:23" ht="13">
      <c r="A560" t="s">
        <v>3258</v>
      </c>
      <c r="B560" t="s">
        <v>3259</v>
      </c>
      <c r="C560" s="88">
        <v>46151.029930555553</v>
      </c>
      <c r="D560" t="s">
        <v>105</v>
      </c>
      <c r="E560" t="s">
        <v>106</v>
      </c>
      <c r="F560" t="s">
        <v>337</v>
      </c>
      <c r="G560" t="s">
        <v>3260</v>
      </c>
      <c r="H560" t="s">
        <v>337</v>
      </c>
      <c r="I560" s="88">
        <v>46141.751851851848</v>
      </c>
      <c r="J560" t="s">
        <v>107</v>
      </c>
      <c r="K560" t="s">
        <v>108</v>
      </c>
      <c r="L560" t="s">
        <v>3261</v>
      </c>
      <c r="M560" s="88">
        <v>46143.476597222223</v>
      </c>
      <c r="N560" t="s">
        <v>637</v>
      </c>
      <c r="O560" t="s">
        <v>112</v>
      </c>
      <c r="P560" t="s">
        <v>111</v>
      </c>
      <c r="Q560" t="s">
        <v>2085</v>
      </c>
      <c r="R560">
        <v>3</v>
      </c>
      <c r="S560" s="89">
        <v>9500</v>
      </c>
      <c r="T560" s="89">
        <v>0</v>
      </c>
      <c r="U560" s="89">
        <v>6270</v>
      </c>
      <c r="V560" s="89">
        <v>6270</v>
      </c>
      <c r="W560" s="89">
        <v>22230</v>
      </c>
    </row>
    <row r="561" spans="1:23" ht="13">
      <c r="A561" t="s">
        <v>3262</v>
      </c>
      <c r="B561" t="s">
        <v>3263</v>
      </c>
      <c r="C561" s="88">
        <v>46151.029930555553</v>
      </c>
      <c r="D561" t="s">
        <v>105</v>
      </c>
      <c r="E561" t="s">
        <v>106</v>
      </c>
      <c r="F561" t="s">
        <v>379</v>
      </c>
      <c r="G561" t="s">
        <v>3264</v>
      </c>
      <c r="H561" t="s">
        <v>379</v>
      </c>
      <c r="I561" s="88">
        <v>46141.751851851848</v>
      </c>
      <c r="J561" t="s">
        <v>107</v>
      </c>
      <c r="K561" t="s">
        <v>108</v>
      </c>
      <c r="L561" t="s">
        <v>3265</v>
      </c>
      <c r="M561" s="88">
        <v>46143.461111111115</v>
      </c>
      <c r="N561" t="s">
        <v>637</v>
      </c>
      <c r="O561" t="s">
        <v>112</v>
      </c>
      <c r="P561" t="s">
        <v>111</v>
      </c>
      <c r="Q561" t="s">
        <v>2085</v>
      </c>
      <c r="R561">
        <v>2</v>
      </c>
      <c r="S561" s="89">
        <v>9500</v>
      </c>
      <c r="T561" s="89">
        <v>0</v>
      </c>
      <c r="U561" s="89">
        <v>4280</v>
      </c>
      <c r="V561" s="89">
        <v>4280</v>
      </c>
      <c r="W561" s="89">
        <v>14720</v>
      </c>
    </row>
    <row r="562" spans="1:23" ht="13">
      <c r="A562" t="s">
        <v>3266</v>
      </c>
      <c r="B562" t="s">
        <v>3267</v>
      </c>
      <c r="C562" s="88">
        <v>46151.029930555553</v>
      </c>
      <c r="D562" t="s">
        <v>105</v>
      </c>
      <c r="E562" t="s">
        <v>106</v>
      </c>
      <c r="F562" t="s">
        <v>3268</v>
      </c>
      <c r="G562" t="s">
        <v>3269</v>
      </c>
      <c r="H562" t="s">
        <v>3270</v>
      </c>
      <c r="I562" s="88">
        <v>46141.751840277779</v>
      </c>
      <c r="J562" t="s">
        <v>107</v>
      </c>
      <c r="K562" t="s">
        <v>108</v>
      </c>
      <c r="L562" t="s">
        <v>3271</v>
      </c>
      <c r="M562" s="88">
        <v>46143.549409722225</v>
      </c>
      <c r="N562" t="s">
        <v>637</v>
      </c>
      <c r="O562" t="s">
        <v>112</v>
      </c>
      <c r="P562" t="s">
        <v>111</v>
      </c>
      <c r="Q562" t="s">
        <v>2085</v>
      </c>
      <c r="R562">
        <v>3</v>
      </c>
      <c r="S562" s="89">
        <v>9500</v>
      </c>
      <c r="T562" s="89">
        <v>0</v>
      </c>
      <c r="U562" s="89">
        <v>6370</v>
      </c>
      <c r="V562" s="89">
        <v>6370</v>
      </c>
      <c r="W562" s="89">
        <v>22130</v>
      </c>
    </row>
    <row r="563" spans="1:23" ht="13">
      <c r="A563" t="s">
        <v>3272</v>
      </c>
      <c r="B563" t="s">
        <v>3273</v>
      </c>
      <c r="C563" s="88">
        <v>46151.029930555553</v>
      </c>
      <c r="D563" t="s">
        <v>105</v>
      </c>
      <c r="E563" t="s">
        <v>106</v>
      </c>
      <c r="F563" t="s">
        <v>287</v>
      </c>
      <c r="G563" t="s">
        <v>3274</v>
      </c>
      <c r="H563" t="s">
        <v>384</v>
      </c>
      <c r="I563" s="88">
        <v>46141.751840277779</v>
      </c>
      <c r="J563" t="s">
        <v>107</v>
      </c>
      <c r="K563" t="s">
        <v>108</v>
      </c>
      <c r="L563" t="s">
        <v>3275</v>
      </c>
      <c r="M563" s="88">
        <v>46143.54587962963</v>
      </c>
      <c r="N563" t="s">
        <v>637</v>
      </c>
      <c r="O563" t="s">
        <v>112</v>
      </c>
      <c r="P563" t="s">
        <v>111</v>
      </c>
      <c r="Q563" t="s">
        <v>2085</v>
      </c>
      <c r="R563">
        <v>6</v>
      </c>
      <c r="S563" s="89">
        <v>9500</v>
      </c>
      <c r="T563" s="89">
        <v>0</v>
      </c>
      <c r="U563" s="89">
        <v>20080</v>
      </c>
      <c r="V563" s="89">
        <v>20080</v>
      </c>
      <c r="W563" s="89">
        <v>36920</v>
      </c>
    </row>
    <row r="564" spans="1:23" ht="13">
      <c r="A564" t="s">
        <v>3276</v>
      </c>
      <c r="B564" t="s">
        <v>3277</v>
      </c>
      <c r="C564" s="88">
        <v>46151.029930555553</v>
      </c>
      <c r="D564" t="s">
        <v>105</v>
      </c>
      <c r="E564" t="s">
        <v>106</v>
      </c>
      <c r="F564" t="s">
        <v>3278</v>
      </c>
      <c r="G564" t="s">
        <v>3279</v>
      </c>
      <c r="H564" t="s">
        <v>3278</v>
      </c>
      <c r="I564" s="88">
        <v>46141.751828703702</v>
      </c>
      <c r="J564" t="s">
        <v>107</v>
      </c>
      <c r="K564" t="s">
        <v>108</v>
      </c>
      <c r="L564" t="s">
        <v>3280</v>
      </c>
      <c r="M564" s="88">
        <v>46143.463900462964</v>
      </c>
      <c r="N564" t="s">
        <v>637</v>
      </c>
      <c r="O564" t="s">
        <v>112</v>
      </c>
      <c r="P564" t="s">
        <v>111</v>
      </c>
      <c r="Q564" t="s">
        <v>2085</v>
      </c>
      <c r="R564">
        <v>6</v>
      </c>
      <c r="S564" s="89">
        <v>9500</v>
      </c>
      <c r="T564" s="89">
        <v>0</v>
      </c>
      <c r="U564" s="89">
        <v>19980</v>
      </c>
      <c r="V564" s="89">
        <v>19980</v>
      </c>
      <c r="W564" s="89">
        <v>37020</v>
      </c>
    </row>
    <row r="565" spans="1:23" ht="13">
      <c r="A565" t="s">
        <v>3281</v>
      </c>
      <c r="B565" t="s">
        <v>3282</v>
      </c>
      <c r="C565" s="88">
        <v>46151.029710648145</v>
      </c>
      <c r="D565" t="s">
        <v>105</v>
      </c>
      <c r="E565" t="s">
        <v>106</v>
      </c>
      <c r="F565" t="s">
        <v>326</v>
      </c>
      <c r="G565" t="s">
        <v>3283</v>
      </c>
      <c r="H565" t="s">
        <v>326</v>
      </c>
      <c r="I565" s="88">
        <v>46149.625798611116</v>
      </c>
      <c r="J565" t="s">
        <v>107</v>
      </c>
      <c r="K565" t="s">
        <v>108</v>
      </c>
      <c r="L565" t="s">
        <v>3284</v>
      </c>
      <c r="M565" s="88">
        <v>46150.526701388888</v>
      </c>
      <c r="N565" t="s">
        <v>637</v>
      </c>
      <c r="O565" t="s">
        <v>112</v>
      </c>
      <c r="P565" t="s">
        <v>111</v>
      </c>
      <c r="Q565" t="s">
        <v>1417</v>
      </c>
      <c r="R565">
        <v>4</v>
      </c>
      <c r="S565" s="89">
        <v>9500</v>
      </c>
      <c r="T565" s="89">
        <v>0</v>
      </c>
      <c r="U565" s="89">
        <v>8460</v>
      </c>
      <c r="V565" s="89">
        <v>8460</v>
      </c>
      <c r="W565" s="89">
        <v>29540</v>
      </c>
    </row>
    <row r="566" spans="1:23" ht="13">
      <c r="A566" t="s">
        <v>3285</v>
      </c>
      <c r="B566" t="s">
        <v>3286</v>
      </c>
      <c r="C566" s="88">
        <v>46151.029699074075</v>
      </c>
      <c r="D566" t="s">
        <v>105</v>
      </c>
      <c r="E566" t="s">
        <v>106</v>
      </c>
      <c r="F566" t="s">
        <v>3287</v>
      </c>
      <c r="G566" t="s">
        <v>3288</v>
      </c>
      <c r="H566" t="s">
        <v>3287</v>
      </c>
      <c r="I566" s="88">
        <v>46141.751956018517</v>
      </c>
      <c r="J566" t="s">
        <v>107</v>
      </c>
      <c r="K566" t="s">
        <v>108</v>
      </c>
      <c r="L566" t="s">
        <v>3289</v>
      </c>
      <c r="M566" s="88">
        <v>46143.671597222223</v>
      </c>
      <c r="N566" t="s">
        <v>637</v>
      </c>
      <c r="O566" t="s">
        <v>112</v>
      </c>
      <c r="P566" t="s">
        <v>111</v>
      </c>
      <c r="Q566" t="s">
        <v>2085</v>
      </c>
      <c r="R566">
        <v>10</v>
      </c>
      <c r="S566" s="89">
        <v>9500</v>
      </c>
      <c r="T566" s="89">
        <v>0</v>
      </c>
      <c r="U566" s="89">
        <v>33400</v>
      </c>
      <c r="V566" s="89">
        <v>33400</v>
      </c>
      <c r="W566" s="89">
        <v>61600</v>
      </c>
    </row>
    <row r="567" spans="1:23" ht="13">
      <c r="A567" t="s">
        <v>3290</v>
      </c>
      <c r="B567" t="s">
        <v>3291</v>
      </c>
      <c r="C567" s="88">
        <v>46151.029687499999</v>
      </c>
      <c r="D567" t="s">
        <v>105</v>
      </c>
      <c r="E567" t="s">
        <v>106</v>
      </c>
      <c r="F567" t="s">
        <v>3292</v>
      </c>
      <c r="G567" t="s">
        <v>3293</v>
      </c>
      <c r="H567" t="s">
        <v>3292</v>
      </c>
      <c r="I567" s="88">
        <v>46141.751956018517</v>
      </c>
      <c r="J567" t="s">
        <v>107</v>
      </c>
      <c r="K567" t="s">
        <v>108</v>
      </c>
      <c r="L567" t="s">
        <v>3294</v>
      </c>
      <c r="M567" s="88">
        <v>46143.461111111115</v>
      </c>
      <c r="N567" t="s">
        <v>637</v>
      </c>
      <c r="O567" t="s">
        <v>112</v>
      </c>
      <c r="P567" t="s">
        <v>111</v>
      </c>
      <c r="Q567" t="s">
        <v>2085</v>
      </c>
      <c r="R567">
        <v>10</v>
      </c>
      <c r="S567" s="89">
        <v>9500</v>
      </c>
      <c r="T567" s="89">
        <v>0</v>
      </c>
      <c r="U567" s="89">
        <v>33400</v>
      </c>
      <c r="V567" s="89">
        <v>33400</v>
      </c>
      <c r="W567" s="89">
        <v>61600</v>
      </c>
    </row>
    <row r="568" spans="1:23" ht="13">
      <c r="A568" t="s">
        <v>3295</v>
      </c>
      <c r="B568" t="s">
        <v>3296</v>
      </c>
      <c r="C568" s="88">
        <v>46151.029687499999</v>
      </c>
      <c r="D568" t="s">
        <v>105</v>
      </c>
      <c r="E568" t="s">
        <v>106</v>
      </c>
      <c r="F568" t="s">
        <v>3297</v>
      </c>
      <c r="G568" t="s">
        <v>3298</v>
      </c>
      <c r="H568" t="s">
        <v>3297</v>
      </c>
      <c r="I568" s="88">
        <v>46141.751956018517</v>
      </c>
      <c r="J568" t="s">
        <v>107</v>
      </c>
      <c r="K568" t="s">
        <v>108</v>
      </c>
      <c r="L568" t="s">
        <v>3299</v>
      </c>
      <c r="M568" s="88">
        <v>46143.672905092593</v>
      </c>
      <c r="N568" t="s">
        <v>637</v>
      </c>
      <c r="O568" t="s">
        <v>112</v>
      </c>
      <c r="P568" t="s">
        <v>111</v>
      </c>
      <c r="Q568" t="s">
        <v>2085</v>
      </c>
      <c r="R568">
        <v>6</v>
      </c>
      <c r="S568" s="89">
        <v>9500</v>
      </c>
      <c r="T568" s="89">
        <v>0</v>
      </c>
      <c r="U568" s="89">
        <v>20080</v>
      </c>
      <c r="V568" s="89">
        <v>20080</v>
      </c>
      <c r="W568" s="89">
        <v>36920</v>
      </c>
    </row>
    <row r="569" spans="1:23" ht="13">
      <c r="A569" t="s">
        <v>3300</v>
      </c>
      <c r="B569" t="s">
        <v>3301</v>
      </c>
      <c r="C569" s="88">
        <v>46151.029687499999</v>
      </c>
      <c r="D569" t="s">
        <v>105</v>
      </c>
      <c r="E569" t="s">
        <v>106</v>
      </c>
      <c r="F569" t="s">
        <v>118</v>
      </c>
      <c r="G569" t="s">
        <v>3302</v>
      </c>
      <c r="H569" t="s">
        <v>118</v>
      </c>
      <c r="I569" s="88">
        <v>46141.751932870371</v>
      </c>
      <c r="J569" t="s">
        <v>107</v>
      </c>
      <c r="K569" t="s">
        <v>108</v>
      </c>
      <c r="L569" t="s">
        <v>3303</v>
      </c>
      <c r="M569" s="88">
        <v>46143.670844907407</v>
      </c>
      <c r="N569" t="s">
        <v>637</v>
      </c>
      <c r="O569" t="s">
        <v>112</v>
      </c>
      <c r="P569" t="s">
        <v>111</v>
      </c>
      <c r="Q569" t="s">
        <v>2085</v>
      </c>
      <c r="R569">
        <v>7</v>
      </c>
      <c r="S569" s="89">
        <v>9500</v>
      </c>
      <c r="T569" s="89">
        <v>0</v>
      </c>
      <c r="U569" s="89">
        <v>23310</v>
      </c>
      <c r="V569" s="89">
        <v>23310</v>
      </c>
      <c r="W569" s="89">
        <v>43190</v>
      </c>
    </row>
    <row r="570" spans="1:23" ht="13">
      <c r="A570" t="s">
        <v>3304</v>
      </c>
      <c r="B570" t="s">
        <v>3305</v>
      </c>
      <c r="C570" s="88">
        <v>46151.029687499999</v>
      </c>
      <c r="D570" t="s">
        <v>105</v>
      </c>
      <c r="E570" t="s">
        <v>106</v>
      </c>
      <c r="F570" t="s">
        <v>3306</v>
      </c>
      <c r="G570" t="s">
        <v>3307</v>
      </c>
      <c r="H570" t="s">
        <v>3306</v>
      </c>
      <c r="I570" s="88">
        <v>46141.751932870371</v>
      </c>
      <c r="J570" t="s">
        <v>107</v>
      </c>
      <c r="K570" t="s">
        <v>108</v>
      </c>
      <c r="L570" t="s">
        <v>3308</v>
      </c>
      <c r="M570" s="88">
        <v>46143.713842592595</v>
      </c>
      <c r="N570" t="s">
        <v>637</v>
      </c>
      <c r="O570" t="s">
        <v>112</v>
      </c>
      <c r="P570" t="s">
        <v>111</v>
      </c>
      <c r="Q570" t="s">
        <v>2085</v>
      </c>
      <c r="R570">
        <v>2</v>
      </c>
      <c r="S570" s="89">
        <v>9500</v>
      </c>
      <c r="T570" s="89">
        <v>0</v>
      </c>
      <c r="U570" s="89">
        <v>4180</v>
      </c>
      <c r="V570" s="89">
        <v>4180</v>
      </c>
      <c r="W570" s="89">
        <v>14820</v>
      </c>
    </row>
    <row r="571" spans="1:23" ht="13">
      <c r="A571" t="s">
        <v>3309</v>
      </c>
      <c r="B571" t="s">
        <v>3310</v>
      </c>
      <c r="C571" s="88">
        <v>46151.029687499999</v>
      </c>
      <c r="D571" t="s">
        <v>105</v>
      </c>
      <c r="E571" t="s">
        <v>106</v>
      </c>
      <c r="F571" t="s">
        <v>3311</v>
      </c>
      <c r="G571" t="s">
        <v>3312</v>
      </c>
      <c r="H571" t="s">
        <v>3313</v>
      </c>
      <c r="I571" s="88">
        <v>46141.751932870371</v>
      </c>
      <c r="J571" t="s">
        <v>107</v>
      </c>
      <c r="K571" t="s">
        <v>108</v>
      </c>
      <c r="L571" t="s">
        <v>3314</v>
      </c>
      <c r="M571" s="88">
        <v>46143.54587962963</v>
      </c>
      <c r="N571" t="s">
        <v>637</v>
      </c>
      <c r="O571" t="s">
        <v>112</v>
      </c>
      <c r="P571" t="s">
        <v>111</v>
      </c>
      <c r="Q571" t="s">
        <v>2085</v>
      </c>
      <c r="R571">
        <v>3</v>
      </c>
      <c r="S571" s="89">
        <v>9500</v>
      </c>
      <c r="T571" s="89">
        <v>0</v>
      </c>
      <c r="U571" s="89">
        <v>6370</v>
      </c>
      <c r="V571" s="89">
        <v>6370</v>
      </c>
      <c r="W571" s="89">
        <v>22130</v>
      </c>
    </row>
    <row r="572" spans="1:23" ht="13">
      <c r="A572" t="s">
        <v>3315</v>
      </c>
      <c r="B572" t="s">
        <v>3316</v>
      </c>
      <c r="C572" s="88">
        <v>46151.029687499999</v>
      </c>
      <c r="D572" t="s">
        <v>105</v>
      </c>
      <c r="E572" t="s">
        <v>106</v>
      </c>
      <c r="F572" t="s">
        <v>3317</v>
      </c>
      <c r="G572" t="s">
        <v>3318</v>
      </c>
      <c r="H572" t="s">
        <v>3317</v>
      </c>
      <c r="I572" s="88">
        <v>46141.751932870371</v>
      </c>
      <c r="J572" t="s">
        <v>107</v>
      </c>
      <c r="K572" t="s">
        <v>108</v>
      </c>
      <c r="L572" t="s">
        <v>3319</v>
      </c>
      <c r="M572" s="88">
        <v>46143.674328703702</v>
      </c>
      <c r="N572" t="s">
        <v>637</v>
      </c>
      <c r="O572" t="s">
        <v>112</v>
      </c>
      <c r="P572" t="s">
        <v>111</v>
      </c>
      <c r="Q572" t="s">
        <v>2085</v>
      </c>
      <c r="R572">
        <v>7</v>
      </c>
      <c r="S572" s="89">
        <v>9500</v>
      </c>
      <c r="T572" s="89">
        <v>0</v>
      </c>
      <c r="U572" s="89">
        <v>23410</v>
      </c>
      <c r="V572" s="89">
        <v>23410</v>
      </c>
      <c r="W572" s="89">
        <v>43090</v>
      </c>
    </row>
    <row r="573" spans="1:23" ht="13">
      <c r="A573" t="s">
        <v>3320</v>
      </c>
      <c r="B573" t="s">
        <v>3321</v>
      </c>
      <c r="C573" s="88">
        <v>46151.029675925922</v>
      </c>
      <c r="D573" t="s">
        <v>105</v>
      </c>
      <c r="E573" t="s">
        <v>106</v>
      </c>
      <c r="F573" t="s">
        <v>3322</v>
      </c>
      <c r="G573" t="s">
        <v>3323</v>
      </c>
      <c r="H573" t="s">
        <v>3322</v>
      </c>
      <c r="I573" s="88">
        <v>46141.751932870371</v>
      </c>
      <c r="J573" t="s">
        <v>107</v>
      </c>
      <c r="K573" t="s">
        <v>108</v>
      </c>
      <c r="L573" t="s">
        <v>3324</v>
      </c>
      <c r="M573" s="88">
        <v>46143.670844907407</v>
      </c>
      <c r="N573" t="s">
        <v>637</v>
      </c>
      <c r="O573" t="s">
        <v>112</v>
      </c>
      <c r="P573" t="s">
        <v>111</v>
      </c>
      <c r="Q573" t="s">
        <v>2085</v>
      </c>
      <c r="R573">
        <v>3</v>
      </c>
      <c r="S573" s="89">
        <v>9500</v>
      </c>
      <c r="T573" s="89">
        <v>0</v>
      </c>
      <c r="U573" s="89">
        <v>6270</v>
      </c>
      <c r="V573" s="89">
        <v>6270</v>
      </c>
      <c r="W573" s="89">
        <v>22230</v>
      </c>
    </row>
    <row r="574" spans="1:23" ht="13">
      <c r="A574" t="s">
        <v>3325</v>
      </c>
      <c r="B574" t="s">
        <v>3326</v>
      </c>
      <c r="C574" s="88">
        <v>46151.029675925922</v>
      </c>
      <c r="D574" t="s">
        <v>105</v>
      </c>
      <c r="E574" t="s">
        <v>106</v>
      </c>
      <c r="F574" t="s">
        <v>3327</v>
      </c>
      <c r="G574" t="s">
        <v>3328</v>
      </c>
      <c r="H574" t="s">
        <v>3327</v>
      </c>
      <c r="I574" s="88">
        <v>46141.751909722225</v>
      </c>
      <c r="J574" t="s">
        <v>107</v>
      </c>
      <c r="K574" t="s">
        <v>108</v>
      </c>
      <c r="L574" t="s">
        <v>3329</v>
      </c>
      <c r="M574" s="88">
        <v>46143.476597222223</v>
      </c>
      <c r="N574" t="s">
        <v>637</v>
      </c>
      <c r="O574" t="s">
        <v>112</v>
      </c>
      <c r="P574" t="s">
        <v>111</v>
      </c>
      <c r="Q574" t="s">
        <v>2085</v>
      </c>
      <c r="R574">
        <v>1</v>
      </c>
      <c r="S574" s="89">
        <v>9500</v>
      </c>
      <c r="T574" s="89">
        <v>0</v>
      </c>
      <c r="U574" s="89">
        <v>2090</v>
      </c>
      <c r="V574" s="89">
        <v>2090</v>
      </c>
      <c r="W574" s="89">
        <v>7410</v>
      </c>
    </row>
    <row r="575" spans="1:23" ht="13">
      <c r="A575" t="s">
        <v>3330</v>
      </c>
      <c r="B575" t="s">
        <v>3331</v>
      </c>
      <c r="C575" s="88">
        <v>46151.029675925922</v>
      </c>
      <c r="D575" t="s">
        <v>105</v>
      </c>
      <c r="E575" t="s">
        <v>106</v>
      </c>
      <c r="F575" t="s">
        <v>3332</v>
      </c>
      <c r="G575" t="s">
        <v>3333</v>
      </c>
      <c r="H575" t="s">
        <v>3332</v>
      </c>
      <c r="I575" s="88">
        <v>46141.751909722225</v>
      </c>
      <c r="J575" t="s">
        <v>107</v>
      </c>
      <c r="K575" t="s">
        <v>108</v>
      </c>
      <c r="L575" t="s">
        <v>3334</v>
      </c>
      <c r="M575" s="88">
        <v>46143.619756944448</v>
      </c>
      <c r="N575" t="s">
        <v>637</v>
      </c>
      <c r="O575" t="s">
        <v>112</v>
      </c>
      <c r="P575" t="s">
        <v>111</v>
      </c>
      <c r="Q575" t="s">
        <v>2085</v>
      </c>
      <c r="R575">
        <v>1</v>
      </c>
      <c r="S575" s="89">
        <v>9500</v>
      </c>
      <c r="T575" s="89">
        <v>0</v>
      </c>
      <c r="U575" s="89">
        <v>2090</v>
      </c>
      <c r="V575" s="89">
        <v>2090</v>
      </c>
      <c r="W575" s="89">
        <v>7410</v>
      </c>
    </row>
    <row r="576" spans="1:23" ht="13">
      <c r="A576" t="s">
        <v>3335</v>
      </c>
      <c r="B576" t="s">
        <v>3336</v>
      </c>
      <c r="C576" s="88">
        <v>46151.029675925922</v>
      </c>
      <c r="D576" t="s">
        <v>105</v>
      </c>
      <c r="E576" t="s">
        <v>106</v>
      </c>
      <c r="F576" t="s">
        <v>3337</v>
      </c>
      <c r="G576" t="s">
        <v>3338</v>
      </c>
      <c r="H576" t="s">
        <v>3337</v>
      </c>
      <c r="I576" s="88">
        <v>46141.751909722225</v>
      </c>
      <c r="J576" t="s">
        <v>107</v>
      </c>
      <c r="K576" t="s">
        <v>108</v>
      </c>
      <c r="L576" t="s">
        <v>3339</v>
      </c>
      <c r="M576" s="88">
        <v>46143.674328703702</v>
      </c>
      <c r="N576" t="s">
        <v>637</v>
      </c>
      <c r="O576" t="s">
        <v>112</v>
      </c>
      <c r="P576" t="s">
        <v>111</v>
      </c>
      <c r="Q576" t="s">
        <v>2085</v>
      </c>
      <c r="R576">
        <v>1</v>
      </c>
      <c r="S576" s="89">
        <v>9500</v>
      </c>
      <c r="T576" s="89">
        <v>0</v>
      </c>
      <c r="U576" s="89">
        <v>2090</v>
      </c>
      <c r="V576" s="89">
        <v>2090</v>
      </c>
      <c r="W576" s="89">
        <v>7410</v>
      </c>
    </row>
    <row r="577" spans="1:23" ht="13">
      <c r="A577" t="s">
        <v>3340</v>
      </c>
      <c r="B577" t="s">
        <v>3341</v>
      </c>
      <c r="C577" s="88">
        <v>46151.029675925922</v>
      </c>
      <c r="D577" t="s">
        <v>105</v>
      </c>
      <c r="E577" t="s">
        <v>106</v>
      </c>
      <c r="F577" t="s">
        <v>3342</v>
      </c>
      <c r="G577" t="s">
        <v>3343</v>
      </c>
      <c r="H577" t="s">
        <v>3342</v>
      </c>
      <c r="I577" s="88">
        <v>46141.751886574071</v>
      </c>
      <c r="J577" t="s">
        <v>107</v>
      </c>
      <c r="K577" t="s">
        <v>108</v>
      </c>
      <c r="L577" t="s">
        <v>3344</v>
      </c>
      <c r="M577" s="88">
        <v>46143.476597222223</v>
      </c>
      <c r="N577" t="s">
        <v>637</v>
      </c>
      <c r="O577" t="s">
        <v>112</v>
      </c>
      <c r="P577" t="s">
        <v>111</v>
      </c>
      <c r="Q577" t="s">
        <v>2085</v>
      </c>
      <c r="R577">
        <v>6</v>
      </c>
      <c r="S577" s="89">
        <v>9500</v>
      </c>
      <c r="T577" s="89">
        <v>0</v>
      </c>
      <c r="U577" s="89">
        <v>20080</v>
      </c>
      <c r="V577" s="89">
        <v>20080</v>
      </c>
      <c r="W577" s="89">
        <v>36920</v>
      </c>
    </row>
    <row r="578" spans="1:23" ht="13">
      <c r="A578" t="s">
        <v>3345</v>
      </c>
      <c r="B578" t="s">
        <v>3346</v>
      </c>
      <c r="C578" s="88">
        <v>46151.029675925922</v>
      </c>
      <c r="D578" t="s">
        <v>105</v>
      </c>
      <c r="E578" t="s">
        <v>106</v>
      </c>
      <c r="F578" t="s">
        <v>3347</v>
      </c>
      <c r="G578" t="s">
        <v>3348</v>
      </c>
      <c r="H578" t="s">
        <v>3347</v>
      </c>
      <c r="I578" s="88">
        <v>46141.751886574071</v>
      </c>
      <c r="J578" t="s">
        <v>107</v>
      </c>
      <c r="K578" t="s">
        <v>108</v>
      </c>
      <c r="L578" t="s">
        <v>3349</v>
      </c>
      <c r="M578" s="88">
        <v>46143.545856481476</v>
      </c>
      <c r="N578" t="s">
        <v>637</v>
      </c>
      <c r="O578" t="s">
        <v>112</v>
      </c>
      <c r="P578" t="s">
        <v>111</v>
      </c>
      <c r="Q578" t="s">
        <v>2085</v>
      </c>
      <c r="R578">
        <v>6</v>
      </c>
      <c r="S578" s="89">
        <v>9500</v>
      </c>
      <c r="T578" s="89">
        <v>0</v>
      </c>
      <c r="U578" s="89">
        <v>20080</v>
      </c>
      <c r="V578" s="89">
        <v>20080</v>
      </c>
      <c r="W578" s="89">
        <v>36920</v>
      </c>
    </row>
    <row r="579" spans="1:23" ht="13">
      <c r="A579" t="s">
        <v>3350</v>
      </c>
      <c r="B579" t="s">
        <v>3351</v>
      </c>
      <c r="C579" s="88">
        <v>46151.029664351852</v>
      </c>
      <c r="D579" t="s">
        <v>105</v>
      </c>
      <c r="E579" t="s">
        <v>106</v>
      </c>
      <c r="F579" t="s">
        <v>3352</v>
      </c>
      <c r="G579" t="s">
        <v>3353</v>
      </c>
      <c r="H579" t="s">
        <v>3352</v>
      </c>
      <c r="I579" s="88">
        <v>46141.751886574071</v>
      </c>
      <c r="J579" t="s">
        <v>107</v>
      </c>
      <c r="K579" t="s">
        <v>108</v>
      </c>
      <c r="L579" t="s">
        <v>3354</v>
      </c>
      <c r="M579" s="88">
        <v>46143.54587962963</v>
      </c>
      <c r="N579" t="s">
        <v>637</v>
      </c>
      <c r="O579" t="s">
        <v>112</v>
      </c>
      <c r="P579" t="s">
        <v>111</v>
      </c>
      <c r="Q579" t="s">
        <v>2085</v>
      </c>
      <c r="R579">
        <v>6</v>
      </c>
      <c r="S579" s="89">
        <v>9500</v>
      </c>
      <c r="T579" s="89">
        <v>0</v>
      </c>
      <c r="U579" s="89">
        <v>20080</v>
      </c>
      <c r="V579" s="89">
        <v>20080</v>
      </c>
      <c r="W579" s="89">
        <v>36920</v>
      </c>
    </row>
    <row r="580" spans="1:23" ht="13">
      <c r="A580" t="s">
        <v>3355</v>
      </c>
      <c r="B580" t="s">
        <v>3356</v>
      </c>
      <c r="C580" s="88">
        <v>46151.029664351852</v>
      </c>
      <c r="D580" t="s">
        <v>105</v>
      </c>
      <c r="E580" t="s">
        <v>106</v>
      </c>
      <c r="F580" t="s">
        <v>3357</v>
      </c>
      <c r="G580" t="s">
        <v>3358</v>
      </c>
      <c r="H580" t="s">
        <v>3357</v>
      </c>
      <c r="I580" s="88">
        <v>46141.751886574071</v>
      </c>
      <c r="J580" t="s">
        <v>107</v>
      </c>
      <c r="K580" t="s">
        <v>108</v>
      </c>
      <c r="L580" t="s">
        <v>3359</v>
      </c>
      <c r="M580" s="88">
        <v>46143.545856481476</v>
      </c>
      <c r="N580" t="s">
        <v>637</v>
      </c>
      <c r="O580" t="s">
        <v>112</v>
      </c>
      <c r="P580" t="s">
        <v>111</v>
      </c>
      <c r="Q580" t="s">
        <v>2085</v>
      </c>
      <c r="R580">
        <v>2</v>
      </c>
      <c r="S580" s="89">
        <v>9500</v>
      </c>
      <c r="T580" s="89">
        <v>0</v>
      </c>
      <c r="U580" s="89">
        <v>4280</v>
      </c>
      <c r="V580" s="89">
        <v>4280</v>
      </c>
      <c r="W580" s="89">
        <v>14720</v>
      </c>
    </row>
    <row r="581" spans="1:23" ht="13">
      <c r="A581" t="s">
        <v>3360</v>
      </c>
      <c r="B581" t="s">
        <v>3361</v>
      </c>
      <c r="C581" s="88">
        <v>46151.029664351852</v>
      </c>
      <c r="D581" t="s">
        <v>105</v>
      </c>
      <c r="E581" t="s">
        <v>106</v>
      </c>
      <c r="F581" t="s">
        <v>3362</v>
      </c>
      <c r="G581" t="s">
        <v>3363</v>
      </c>
      <c r="H581" t="s">
        <v>3362</v>
      </c>
      <c r="I581" s="88">
        <v>46141.751863425925</v>
      </c>
      <c r="J581" t="s">
        <v>107</v>
      </c>
      <c r="K581" t="s">
        <v>108</v>
      </c>
      <c r="L581" t="s">
        <v>3364</v>
      </c>
      <c r="M581" s="88">
        <v>46143.54586805556</v>
      </c>
      <c r="N581" t="s">
        <v>637</v>
      </c>
      <c r="O581" t="s">
        <v>112</v>
      </c>
      <c r="P581" t="s">
        <v>111</v>
      </c>
      <c r="Q581" t="s">
        <v>2085</v>
      </c>
      <c r="R581">
        <v>2</v>
      </c>
      <c r="S581" s="89">
        <v>9500</v>
      </c>
      <c r="T581" s="89">
        <v>0</v>
      </c>
      <c r="U581" s="89">
        <v>4180</v>
      </c>
      <c r="V581" s="89">
        <v>4180</v>
      </c>
      <c r="W581" s="89">
        <v>14820</v>
      </c>
    </row>
    <row r="582" spans="1:23" ht="13">
      <c r="A582" t="s">
        <v>3365</v>
      </c>
      <c r="B582" t="s">
        <v>3366</v>
      </c>
      <c r="C582" s="88">
        <v>46151.029664351852</v>
      </c>
      <c r="D582" t="s">
        <v>105</v>
      </c>
      <c r="E582" t="s">
        <v>106</v>
      </c>
      <c r="F582" t="s">
        <v>3367</v>
      </c>
      <c r="G582" t="s">
        <v>1840</v>
      </c>
      <c r="H582" t="s">
        <v>3368</v>
      </c>
      <c r="I582" s="88">
        <v>46141.751863425925</v>
      </c>
      <c r="J582" t="s">
        <v>107</v>
      </c>
      <c r="K582" t="s">
        <v>108</v>
      </c>
      <c r="L582" t="s">
        <v>3369</v>
      </c>
      <c r="M582" s="88">
        <v>46143.754166666666</v>
      </c>
      <c r="N582" t="s">
        <v>637</v>
      </c>
      <c r="O582" t="s">
        <v>112</v>
      </c>
      <c r="P582" t="s">
        <v>111</v>
      </c>
      <c r="Q582" t="s">
        <v>2085</v>
      </c>
      <c r="R582">
        <v>4</v>
      </c>
      <c r="S582" s="89">
        <v>9500</v>
      </c>
      <c r="T582" s="89">
        <v>0</v>
      </c>
      <c r="U582" s="89">
        <v>8460</v>
      </c>
      <c r="V582" s="89">
        <v>8460</v>
      </c>
      <c r="W582" s="89">
        <v>29540</v>
      </c>
    </row>
    <row r="583" spans="1:23" ht="13">
      <c r="A583" t="s">
        <v>3370</v>
      </c>
      <c r="B583" t="s">
        <v>3371</v>
      </c>
      <c r="C583" s="88">
        <v>46151.029664351852</v>
      </c>
      <c r="D583" t="s">
        <v>105</v>
      </c>
      <c r="E583" t="s">
        <v>106</v>
      </c>
      <c r="F583" t="s">
        <v>3372</v>
      </c>
      <c r="G583" t="s">
        <v>3373</v>
      </c>
      <c r="H583" t="s">
        <v>3372</v>
      </c>
      <c r="I583" s="88">
        <v>46141.751851851848</v>
      </c>
      <c r="J583" t="s">
        <v>107</v>
      </c>
      <c r="K583" t="s">
        <v>108</v>
      </c>
      <c r="L583" t="s">
        <v>3374</v>
      </c>
      <c r="M583" s="88">
        <v>46143.545856481476</v>
      </c>
      <c r="N583" t="s">
        <v>637</v>
      </c>
      <c r="O583" t="s">
        <v>112</v>
      </c>
      <c r="P583" t="s">
        <v>111</v>
      </c>
      <c r="Q583" t="s">
        <v>2085</v>
      </c>
      <c r="R583">
        <v>10</v>
      </c>
      <c r="S583" s="89">
        <v>9500</v>
      </c>
      <c r="T583" s="89">
        <v>0</v>
      </c>
      <c r="U583" s="89">
        <v>33400</v>
      </c>
      <c r="V583" s="89">
        <v>33400</v>
      </c>
      <c r="W583" s="89">
        <v>61600</v>
      </c>
    </row>
    <row r="584" spans="1:23" ht="13">
      <c r="A584" t="s">
        <v>3375</v>
      </c>
      <c r="B584" t="s">
        <v>3376</v>
      </c>
      <c r="C584" s="88">
        <v>46151.029664351852</v>
      </c>
      <c r="D584" t="s">
        <v>105</v>
      </c>
      <c r="E584" t="s">
        <v>106</v>
      </c>
      <c r="F584" t="s">
        <v>3377</v>
      </c>
      <c r="G584" t="s">
        <v>3378</v>
      </c>
      <c r="H584" t="s">
        <v>3379</v>
      </c>
      <c r="I584" s="88">
        <v>46141.751851851848</v>
      </c>
      <c r="J584" t="s">
        <v>107</v>
      </c>
      <c r="K584" t="s">
        <v>108</v>
      </c>
      <c r="L584" t="s">
        <v>3380</v>
      </c>
      <c r="M584" s="88">
        <v>46143.670844907407</v>
      </c>
      <c r="N584" t="s">
        <v>637</v>
      </c>
      <c r="O584" t="s">
        <v>112</v>
      </c>
      <c r="P584" t="s">
        <v>111</v>
      </c>
      <c r="Q584" t="s">
        <v>2085</v>
      </c>
      <c r="R584">
        <v>6</v>
      </c>
      <c r="S584" s="89">
        <v>9500</v>
      </c>
      <c r="T584" s="89">
        <v>0</v>
      </c>
      <c r="U584" s="89">
        <v>19980</v>
      </c>
      <c r="V584" s="89">
        <v>19980</v>
      </c>
      <c r="W584" s="89">
        <v>37020</v>
      </c>
    </row>
    <row r="585" spans="1:23" ht="13">
      <c r="A585" t="s">
        <v>3381</v>
      </c>
      <c r="B585" t="s">
        <v>3382</v>
      </c>
      <c r="C585" s="88">
        <v>46151.029664351852</v>
      </c>
      <c r="D585" t="s">
        <v>105</v>
      </c>
      <c r="E585" t="s">
        <v>106</v>
      </c>
      <c r="F585" t="s">
        <v>3383</v>
      </c>
      <c r="G585" t="s">
        <v>3384</v>
      </c>
      <c r="H585" t="s">
        <v>3383</v>
      </c>
      <c r="I585" s="88">
        <v>46141.751851851848</v>
      </c>
      <c r="J585" t="s">
        <v>107</v>
      </c>
      <c r="K585" t="s">
        <v>108</v>
      </c>
      <c r="L585" t="s">
        <v>3385</v>
      </c>
      <c r="M585" s="88">
        <v>46143.905347222222</v>
      </c>
      <c r="N585" t="s">
        <v>637</v>
      </c>
      <c r="O585" t="s">
        <v>112</v>
      </c>
      <c r="P585" t="s">
        <v>111</v>
      </c>
      <c r="Q585" t="s">
        <v>2085</v>
      </c>
      <c r="R585">
        <v>2</v>
      </c>
      <c r="S585" s="89">
        <v>9500</v>
      </c>
      <c r="T585" s="89">
        <v>0</v>
      </c>
      <c r="U585" s="89">
        <v>4180</v>
      </c>
      <c r="V585" s="89">
        <v>4180</v>
      </c>
      <c r="W585" s="89">
        <v>14820</v>
      </c>
    </row>
    <row r="586" spans="1:23" ht="13">
      <c r="A586" t="s">
        <v>3386</v>
      </c>
      <c r="B586" t="s">
        <v>3387</v>
      </c>
      <c r="C586" s="88">
        <v>46151.029652777783</v>
      </c>
      <c r="D586" t="s">
        <v>105</v>
      </c>
      <c r="E586" t="s">
        <v>106</v>
      </c>
      <c r="F586" t="s">
        <v>3388</v>
      </c>
      <c r="G586" t="s">
        <v>3389</v>
      </c>
      <c r="H586" t="s">
        <v>3388</v>
      </c>
      <c r="I586" s="88">
        <v>46141.751840277779</v>
      </c>
      <c r="J586" t="s">
        <v>107</v>
      </c>
      <c r="K586" t="s">
        <v>108</v>
      </c>
      <c r="L586" t="s">
        <v>3390</v>
      </c>
      <c r="M586" s="88">
        <v>46143.428854166668</v>
      </c>
      <c r="N586" t="s">
        <v>637</v>
      </c>
      <c r="O586" t="s">
        <v>112</v>
      </c>
      <c r="P586" t="s">
        <v>111</v>
      </c>
      <c r="Q586" t="s">
        <v>2085</v>
      </c>
      <c r="R586">
        <v>6</v>
      </c>
      <c r="S586" s="89">
        <v>9500</v>
      </c>
      <c r="T586" s="89">
        <v>0</v>
      </c>
      <c r="U586" s="89">
        <v>20080</v>
      </c>
      <c r="V586" s="89">
        <v>20080</v>
      </c>
      <c r="W586" s="89">
        <v>36920</v>
      </c>
    </row>
    <row r="587" spans="1:23" ht="13">
      <c r="A587" t="s">
        <v>3391</v>
      </c>
      <c r="B587" t="s">
        <v>3392</v>
      </c>
      <c r="C587" s="88">
        <v>46151.029652777783</v>
      </c>
      <c r="D587" t="s">
        <v>105</v>
      </c>
      <c r="E587" t="s">
        <v>106</v>
      </c>
      <c r="F587" t="s">
        <v>3393</v>
      </c>
      <c r="G587" t="s">
        <v>3394</v>
      </c>
      <c r="H587" t="s">
        <v>3395</v>
      </c>
      <c r="I587" s="88">
        <v>46141.751840277779</v>
      </c>
      <c r="J587" t="s">
        <v>107</v>
      </c>
      <c r="K587" t="s">
        <v>108</v>
      </c>
      <c r="L587" t="s">
        <v>3396</v>
      </c>
      <c r="M587" s="88">
        <v>46143.671597222223</v>
      </c>
      <c r="N587" t="s">
        <v>637</v>
      </c>
      <c r="O587" t="s">
        <v>112</v>
      </c>
      <c r="P587" t="s">
        <v>111</v>
      </c>
      <c r="Q587" t="s">
        <v>2085</v>
      </c>
      <c r="R587">
        <v>6</v>
      </c>
      <c r="S587" s="89">
        <v>9500</v>
      </c>
      <c r="T587" s="89">
        <v>0</v>
      </c>
      <c r="U587" s="89">
        <v>20080</v>
      </c>
      <c r="V587" s="89">
        <v>20080</v>
      </c>
      <c r="W587" s="89">
        <v>36920</v>
      </c>
    </row>
    <row r="588" spans="1:23" ht="13">
      <c r="A588" t="s">
        <v>3397</v>
      </c>
      <c r="B588" t="s">
        <v>3398</v>
      </c>
      <c r="C588" s="88">
        <v>46151.029652777783</v>
      </c>
      <c r="D588" t="s">
        <v>105</v>
      </c>
      <c r="E588" t="s">
        <v>106</v>
      </c>
      <c r="F588" t="s">
        <v>2032</v>
      </c>
      <c r="G588" t="s">
        <v>3399</v>
      </c>
      <c r="H588" t="s">
        <v>2032</v>
      </c>
      <c r="I588" s="88">
        <v>46141.751840277779</v>
      </c>
      <c r="J588" t="s">
        <v>107</v>
      </c>
      <c r="K588" t="s">
        <v>108</v>
      </c>
      <c r="L588" t="s">
        <v>3400</v>
      </c>
      <c r="M588" s="88">
        <v>46143.461111111115</v>
      </c>
      <c r="N588" t="s">
        <v>637</v>
      </c>
      <c r="O588" t="s">
        <v>112</v>
      </c>
      <c r="P588" t="s">
        <v>111</v>
      </c>
      <c r="Q588" t="s">
        <v>2085</v>
      </c>
      <c r="R588">
        <v>5</v>
      </c>
      <c r="S588" s="89">
        <v>9500</v>
      </c>
      <c r="T588" s="89">
        <v>0</v>
      </c>
      <c r="U588" s="89">
        <v>10550</v>
      </c>
      <c r="V588" s="89">
        <v>10550</v>
      </c>
      <c r="W588" s="89">
        <v>36950</v>
      </c>
    </row>
    <row r="589" spans="1:23" ht="13">
      <c r="A589" t="s">
        <v>3401</v>
      </c>
      <c r="B589" t="s">
        <v>3402</v>
      </c>
      <c r="C589" s="88">
        <v>46151.029652777783</v>
      </c>
      <c r="D589" t="s">
        <v>105</v>
      </c>
      <c r="E589" t="s">
        <v>106</v>
      </c>
      <c r="F589" t="s">
        <v>3403</v>
      </c>
      <c r="G589" t="s">
        <v>3404</v>
      </c>
      <c r="H589" t="s">
        <v>3403</v>
      </c>
      <c r="I589" s="88">
        <v>46141.751840277779</v>
      </c>
      <c r="J589" t="s">
        <v>107</v>
      </c>
      <c r="K589" t="s">
        <v>108</v>
      </c>
      <c r="L589" t="s">
        <v>3405</v>
      </c>
      <c r="M589" s="88">
        <v>46143.54586805556</v>
      </c>
      <c r="N589" t="s">
        <v>637</v>
      </c>
      <c r="O589" t="s">
        <v>112</v>
      </c>
      <c r="P589" t="s">
        <v>111</v>
      </c>
      <c r="Q589" t="s">
        <v>2085</v>
      </c>
      <c r="R589">
        <v>3</v>
      </c>
      <c r="S589" s="89">
        <v>9500</v>
      </c>
      <c r="T589" s="89">
        <v>0</v>
      </c>
      <c r="U589" s="89">
        <v>6370</v>
      </c>
      <c r="V589" s="89">
        <v>6370</v>
      </c>
      <c r="W589" s="89">
        <v>22130</v>
      </c>
    </row>
    <row r="590" spans="1:23" ht="13">
      <c r="A590" t="s">
        <v>3406</v>
      </c>
      <c r="B590" t="s">
        <v>3407</v>
      </c>
      <c r="C590" s="88">
        <v>46151.029432870375</v>
      </c>
      <c r="D590" t="s">
        <v>105</v>
      </c>
      <c r="E590" t="s">
        <v>106</v>
      </c>
      <c r="F590" t="s">
        <v>3408</v>
      </c>
      <c r="G590" t="s">
        <v>3409</v>
      </c>
      <c r="H590" t="s">
        <v>3408</v>
      </c>
      <c r="I590" s="88">
        <v>46141.751979166671</v>
      </c>
      <c r="J590" t="s">
        <v>107</v>
      </c>
      <c r="K590" t="s">
        <v>108</v>
      </c>
      <c r="L590" t="s">
        <v>3410</v>
      </c>
      <c r="M590" s="88">
        <v>46143.463912037041</v>
      </c>
      <c r="N590" t="s">
        <v>637</v>
      </c>
      <c r="O590" t="s">
        <v>112</v>
      </c>
      <c r="P590" t="s">
        <v>111</v>
      </c>
      <c r="Q590" t="s">
        <v>2085</v>
      </c>
      <c r="R590">
        <v>1</v>
      </c>
      <c r="S590" s="89">
        <v>9500</v>
      </c>
      <c r="T590" s="89">
        <v>0</v>
      </c>
      <c r="U590" s="89">
        <v>2190</v>
      </c>
      <c r="V590" s="89">
        <v>2190</v>
      </c>
      <c r="W590" s="89">
        <v>7310</v>
      </c>
    </row>
    <row r="591" spans="1:23" ht="13">
      <c r="A591" t="s">
        <v>3411</v>
      </c>
      <c r="B591" t="s">
        <v>3412</v>
      </c>
      <c r="C591" s="88">
        <v>46151.029421296298</v>
      </c>
      <c r="D591" t="s">
        <v>105</v>
      </c>
      <c r="E591" t="s">
        <v>106</v>
      </c>
      <c r="F591" t="s">
        <v>3413</v>
      </c>
      <c r="G591" t="s">
        <v>3414</v>
      </c>
      <c r="H591" t="s">
        <v>3413</v>
      </c>
      <c r="I591" s="88">
        <v>46141.751956018517</v>
      </c>
      <c r="J591" t="s">
        <v>107</v>
      </c>
      <c r="K591" t="s">
        <v>108</v>
      </c>
      <c r="L591" t="s">
        <v>3415</v>
      </c>
      <c r="M591" s="88">
        <v>46143.572164351848</v>
      </c>
      <c r="N591" t="s">
        <v>637</v>
      </c>
      <c r="O591" t="s">
        <v>112</v>
      </c>
      <c r="P591" t="s">
        <v>111</v>
      </c>
      <c r="Q591" t="s">
        <v>2085</v>
      </c>
      <c r="R591">
        <v>1</v>
      </c>
      <c r="S591" s="89">
        <v>9500</v>
      </c>
      <c r="T591" s="89">
        <v>0</v>
      </c>
      <c r="U591" s="89">
        <v>2190</v>
      </c>
      <c r="V591" s="89">
        <v>2190</v>
      </c>
      <c r="W591" s="89">
        <v>7310</v>
      </c>
    </row>
    <row r="592" spans="1:23" ht="13">
      <c r="A592" t="s">
        <v>3416</v>
      </c>
      <c r="B592" t="s">
        <v>3417</v>
      </c>
      <c r="C592" s="88">
        <v>46151.029421296298</v>
      </c>
      <c r="D592" t="s">
        <v>105</v>
      </c>
      <c r="E592" t="s">
        <v>106</v>
      </c>
      <c r="F592" t="s">
        <v>3418</v>
      </c>
      <c r="G592" t="s">
        <v>3419</v>
      </c>
      <c r="H592" t="s">
        <v>3418</v>
      </c>
      <c r="I592" s="88">
        <v>46141.751956018517</v>
      </c>
      <c r="J592" t="s">
        <v>107</v>
      </c>
      <c r="K592" t="s">
        <v>108</v>
      </c>
      <c r="L592" t="s">
        <v>3420</v>
      </c>
      <c r="M592" s="88">
        <v>46143.476597222223</v>
      </c>
      <c r="N592" t="s">
        <v>637</v>
      </c>
      <c r="O592" t="s">
        <v>112</v>
      </c>
      <c r="P592" t="s">
        <v>111</v>
      </c>
      <c r="Q592" t="s">
        <v>2085</v>
      </c>
      <c r="R592">
        <v>2</v>
      </c>
      <c r="S592" s="89">
        <v>9500</v>
      </c>
      <c r="T592" s="89">
        <v>0</v>
      </c>
      <c r="U592" s="89">
        <v>4280</v>
      </c>
      <c r="V592" s="89">
        <v>4280</v>
      </c>
      <c r="W592" s="89">
        <v>14720</v>
      </c>
    </row>
    <row r="593" spans="1:23" ht="13">
      <c r="A593" t="s">
        <v>3421</v>
      </c>
      <c r="B593" t="s">
        <v>3422</v>
      </c>
      <c r="C593" s="88">
        <v>46151.029421296298</v>
      </c>
      <c r="D593" t="s">
        <v>105</v>
      </c>
      <c r="E593" t="s">
        <v>106</v>
      </c>
      <c r="F593" t="s">
        <v>3423</v>
      </c>
      <c r="G593" t="s">
        <v>3424</v>
      </c>
      <c r="H593" t="s">
        <v>3423</v>
      </c>
      <c r="I593" s="88">
        <v>46141.751932870371</v>
      </c>
      <c r="J593" t="s">
        <v>107</v>
      </c>
      <c r="K593" t="s">
        <v>108</v>
      </c>
      <c r="L593" t="s">
        <v>3425</v>
      </c>
      <c r="M593" s="88">
        <v>46143.670856481476</v>
      </c>
      <c r="N593" t="s">
        <v>637</v>
      </c>
      <c r="O593" t="s">
        <v>112</v>
      </c>
      <c r="P593" t="s">
        <v>111</v>
      </c>
      <c r="Q593" t="s">
        <v>2085</v>
      </c>
      <c r="R593">
        <v>6</v>
      </c>
      <c r="S593" s="89">
        <v>9500</v>
      </c>
      <c r="T593" s="89">
        <v>0</v>
      </c>
      <c r="U593" s="89">
        <v>20080</v>
      </c>
      <c r="V593" s="89">
        <v>20080</v>
      </c>
      <c r="W593" s="89">
        <v>36920</v>
      </c>
    </row>
    <row r="594" spans="1:23" ht="13">
      <c r="A594" t="s">
        <v>3426</v>
      </c>
      <c r="B594" t="s">
        <v>3427</v>
      </c>
      <c r="C594" s="88">
        <v>46151.029421296298</v>
      </c>
      <c r="D594" t="s">
        <v>105</v>
      </c>
      <c r="E594" t="s">
        <v>106</v>
      </c>
      <c r="F594" t="s">
        <v>3428</v>
      </c>
      <c r="G594" t="s">
        <v>3429</v>
      </c>
      <c r="H594" t="s">
        <v>3428</v>
      </c>
      <c r="I594" s="88">
        <v>46141.751909722225</v>
      </c>
      <c r="J594" t="s">
        <v>107</v>
      </c>
      <c r="K594" t="s">
        <v>108</v>
      </c>
      <c r="L594" t="s">
        <v>3430</v>
      </c>
      <c r="M594" s="88">
        <v>46143.549409722225</v>
      </c>
      <c r="N594" t="s">
        <v>637</v>
      </c>
      <c r="O594" t="s">
        <v>112</v>
      </c>
      <c r="P594" t="s">
        <v>111</v>
      </c>
      <c r="Q594" t="s">
        <v>2085</v>
      </c>
      <c r="R594">
        <v>1</v>
      </c>
      <c r="S594" s="89">
        <v>9500</v>
      </c>
      <c r="T594" s="89">
        <v>0</v>
      </c>
      <c r="U594" s="89">
        <v>2090</v>
      </c>
      <c r="V594" s="89">
        <v>2090</v>
      </c>
      <c r="W594" s="89">
        <v>7410</v>
      </c>
    </row>
    <row r="595" spans="1:23" ht="13">
      <c r="A595" t="s">
        <v>3431</v>
      </c>
      <c r="B595" t="s">
        <v>3432</v>
      </c>
      <c r="C595" s="88">
        <v>46151.029421296298</v>
      </c>
      <c r="D595" t="s">
        <v>105</v>
      </c>
      <c r="E595" t="s">
        <v>106</v>
      </c>
      <c r="F595" t="s">
        <v>3433</v>
      </c>
      <c r="G595" t="s">
        <v>3434</v>
      </c>
      <c r="H595" t="s">
        <v>3433</v>
      </c>
      <c r="I595" s="88">
        <v>46141.751909722225</v>
      </c>
      <c r="J595" t="s">
        <v>107</v>
      </c>
      <c r="K595" t="s">
        <v>108</v>
      </c>
      <c r="L595" t="s">
        <v>3435</v>
      </c>
      <c r="M595" s="88">
        <v>46143.463912037041</v>
      </c>
      <c r="N595" t="s">
        <v>637</v>
      </c>
      <c r="O595" t="s">
        <v>112</v>
      </c>
      <c r="P595" t="s">
        <v>111</v>
      </c>
      <c r="Q595" t="s">
        <v>2085</v>
      </c>
      <c r="R595">
        <v>1</v>
      </c>
      <c r="S595" s="89">
        <v>9500</v>
      </c>
      <c r="T595" s="89">
        <v>0</v>
      </c>
      <c r="U595" s="89">
        <v>2190</v>
      </c>
      <c r="V595" s="89">
        <v>2190</v>
      </c>
      <c r="W595" s="89">
        <v>7310</v>
      </c>
    </row>
    <row r="596" spans="1:23" ht="13">
      <c r="A596" t="s">
        <v>3436</v>
      </c>
      <c r="B596" t="s">
        <v>3437</v>
      </c>
      <c r="C596" s="88">
        <v>46151.029421296298</v>
      </c>
      <c r="D596" t="s">
        <v>105</v>
      </c>
      <c r="E596" t="s">
        <v>106</v>
      </c>
      <c r="F596" t="s">
        <v>3438</v>
      </c>
      <c r="G596" t="s">
        <v>3439</v>
      </c>
      <c r="H596" t="s">
        <v>3438</v>
      </c>
      <c r="I596" s="88">
        <v>46141.751886574071</v>
      </c>
      <c r="J596" t="s">
        <v>107</v>
      </c>
      <c r="K596" t="s">
        <v>108</v>
      </c>
      <c r="L596" t="s">
        <v>3440</v>
      </c>
      <c r="M596" s="88">
        <v>46143.46739583333</v>
      </c>
      <c r="N596" t="s">
        <v>637</v>
      </c>
      <c r="O596" t="s">
        <v>112</v>
      </c>
      <c r="P596" t="s">
        <v>111</v>
      </c>
      <c r="Q596" t="s">
        <v>2085</v>
      </c>
      <c r="R596">
        <v>6</v>
      </c>
      <c r="S596" s="89">
        <v>9500</v>
      </c>
      <c r="T596" s="89">
        <v>0</v>
      </c>
      <c r="U596" s="89">
        <v>19980</v>
      </c>
      <c r="V596" s="89">
        <v>19980</v>
      </c>
      <c r="W596" s="89">
        <v>37020</v>
      </c>
    </row>
    <row r="597" spans="1:23" ht="13">
      <c r="A597" t="s">
        <v>3441</v>
      </c>
      <c r="B597" t="s">
        <v>3442</v>
      </c>
      <c r="C597" s="88">
        <v>46151.029421296298</v>
      </c>
      <c r="D597" t="s">
        <v>105</v>
      </c>
      <c r="E597" t="s">
        <v>106</v>
      </c>
      <c r="F597" t="s">
        <v>3443</v>
      </c>
      <c r="G597" t="s">
        <v>3444</v>
      </c>
      <c r="H597" t="s">
        <v>3443</v>
      </c>
      <c r="I597" s="88">
        <v>46141.751863425925</v>
      </c>
      <c r="J597" t="s">
        <v>107</v>
      </c>
      <c r="K597" t="s">
        <v>108</v>
      </c>
      <c r="L597" t="s">
        <v>3445</v>
      </c>
      <c r="M597" s="88">
        <v>46143.463912037041</v>
      </c>
      <c r="N597" t="s">
        <v>637</v>
      </c>
      <c r="O597" t="s">
        <v>112</v>
      </c>
      <c r="P597" t="s">
        <v>111</v>
      </c>
      <c r="Q597" t="s">
        <v>2085</v>
      </c>
      <c r="R597">
        <v>2</v>
      </c>
      <c r="S597" s="89">
        <v>9500</v>
      </c>
      <c r="T597" s="89">
        <v>0</v>
      </c>
      <c r="U597" s="89">
        <v>4280</v>
      </c>
      <c r="V597" s="89">
        <v>4280</v>
      </c>
      <c r="W597" s="89">
        <v>14720</v>
      </c>
    </row>
    <row r="598" spans="1:23" ht="13">
      <c r="A598" t="s">
        <v>3446</v>
      </c>
      <c r="B598" t="s">
        <v>3447</v>
      </c>
      <c r="C598" s="88">
        <v>46151.029409722221</v>
      </c>
      <c r="D598" t="s">
        <v>105</v>
      </c>
      <c r="E598" t="s">
        <v>106</v>
      </c>
      <c r="F598" t="s">
        <v>3448</v>
      </c>
      <c r="G598" t="s">
        <v>3449</v>
      </c>
      <c r="H598" t="s">
        <v>3448</v>
      </c>
      <c r="I598" s="88">
        <v>46141.751863425925</v>
      </c>
      <c r="J598" t="s">
        <v>107</v>
      </c>
      <c r="K598" t="s">
        <v>108</v>
      </c>
      <c r="L598" t="s">
        <v>3450</v>
      </c>
      <c r="M598" s="88">
        <v>46143.465960648144</v>
      </c>
      <c r="N598" t="s">
        <v>637</v>
      </c>
      <c r="O598" t="s">
        <v>112</v>
      </c>
      <c r="P598" t="s">
        <v>111</v>
      </c>
      <c r="Q598" t="s">
        <v>2085</v>
      </c>
      <c r="R598">
        <v>2</v>
      </c>
      <c r="S598" s="89">
        <v>9500</v>
      </c>
      <c r="T598" s="89">
        <v>0</v>
      </c>
      <c r="U598" s="89">
        <v>4280</v>
      </c>
      <c r="V598" s="89">
        <v>8460</v>
      </c>
      <c r="W598" s="89">
        <v>14720</v>
      </c>
    </row>
    <row r="599" spans="1:23" ht="13">
      <c r="A599" t="s">
        <v>3451</v>
      </c>
      <c r="B599" t="s">
        <v>3452</v>
      </c>
      <c r="C599" s="88">
        <v>46151.029409722221</v>
      </c>
      <c r="D599" t="s">
        <v>105</v>
      </c>
      <c r="E599" t="s">
        <v>106</v>
      </c>
      <c r="F599" t="s">
        <v>3453</v>
      </c>
      <c r="G599" t="s">
        <v>3454</v>
      </c>
      <c r="H599" t="s">
        <v>3455</v>
      </c>
      <c r="I599" s="88">
        <v>46141.751863425925</v>
      </c>
      <c r="J599" t="s">
        <v>107</v>
      </c>
      <c r="K599" t="s">
        <v>108</v>
      </c>
      <c r="L599" t="s">
        <v>3456</v>
      </c>
      <c r="M599" s="88">
        <v>46143.339571759258</v>
      </c>
      <c r="N599" t="s">
        <v>637</v>
      </c>
      <c r="O599" t="s">
        <v>112</v>
      </c>
      <c r="P599" t="s">
        <v>111</v>
      </c>
      <c r="Q599" t="s">
        <v>2085</v>
      </c>
      <c r="R599">
        <v>10</v>
      </c>
      <c r="S599" s="89">
        <v>9500</v>
      </c>
      <c r="T599" s="89">
        <v>0</v>
      </c>
      <c r="U599" s="89">
        <v>33300</v>
      </c>
      <c r="V599" s="89">
        <v>33300</v>
      </c>
      <c r="W599" s="89">
        <v>61700</v>
      </c>
    </row>
    <row r="600" spans="1:23" ht="13">
      <c r="A600" t="s">
        <v>3457</v>
      </c>
      <c r="B600" t="s">
        <v>3458</v>
      </c>
      <c r="C600" s="88">
        <v>46151.029409722221</v>
      </c>
      <c r="D600" t="s">
        <v>105</v>
      </c>
      <c r="E600" t="s">
        <v>106</v>
      </c>
      <c r="F600" t="s">
        <v>3459</v>
      </c>
      <c r="G600" t="s">
        <v>3460</v>
      </c>
      <c r="H600" t="s">
        <v>3459</v>
      </c>
      <c r="I600" s="88">
        <v>46141.751840277779</v>
      </c>
      <c r="J600" t="s">
        <v>107</v>
      </c>
      <c r="K600" t="s">
        <v>108</v>
      </c>
      <c r="L600" t="s">
        <v>3461</v>
      </c>
      <c r="M600" s="88">
        <v>46143.619756944448</v>
      </c>
      <c r="N600" t="s">
        <v>637</v>
      </c>
      <c r="O600" t="s">
        <v>112</v>
      </c>
      <c r="P600" t="s">
        <v>111</v>
      </c>
      <c r="Q600" t="s">
        <v>2085</v>
      </c>
      <c r="R600">
        <v>2</v>
      </c>
      <c r="S600" s="89">
        <v>9500</v>
      </c>
      <c r="T600" s="89">
        <v>0</v>
      </c>
      <c r="U600" s="89">
        <v>4180</v>
      </c>
      <c r="V600" s="89">
        <v>4180</v>
      </c>
      <c r="W600" s="89">
        <v>14820</v>
      </c>
    </row>
    <row r="601" spans="1:23" ht="13">
      <c r="A601" t="s">
        <v>3462</v>
      </c>
      <c r="B601" t="s">
        <v>3463</v>
      </c>
      <c r="C601" s="88">
        <v>46151.029409722221</v>
      </c>
      <c r="D601" t="s">
        <v>105</v>
      </c>
      <c r="E601" t="s">
        <v>106</v>
      </c>
      <c r="F601" t="s">
        <v>3464</v>
      </c>
      <c r="G601" t="s">
        <v>3465</v>
      </c>
      <c r="H601" t="s">
        <v>3464</v>
      </c>
      <c r="I601" s="88">
        <v>46141.751828703702</v>
      </c>
      <c r="J601" t="s">
        <v>107</v>
      </c>
      <c r="K601" t="s">
        <v>108</v>
      </c>
      <c r="L601" t="s">
        <v>3466</v>
      </c>
      <c r="M601" s="88">
        <v>46143.54586805556</v>
      </c>
      <c r="N601" t="s">
        <v>637</v>
      </c>
      <c r="O601" t="s">
        <v>112</v>
      </c>
      <c r="P601" t="s">
        <v>111</v>
      </c>
      <c r="Q601" t="s">
        <v>2085</v>
      </c>
      <c r="R601">
        <v>5</v>
      </c>
      <c r="S601" s="89">
        <v>9500</v>
      </c>
      <c r="T601" s="89">
        <v>0</v>
      </c>
      <c r="U601" s="89">
        <v>10450</v>
      </c>
      <c r="V601" s="89">
        <v>10450</v>
      </c>
      <c r="W601" s="89">
        <v>37050</v>
      </c>
    </row>
    <row r="602" spans="1:23" ht="13">
      <c r="A602" t="s">
        <v>3467</v>
      </c>
      <c r="B602" t="s">
        <v>3468</v>
      </c>
      <c r="C602" s="88">
        <v>46151.029386574075</v>
      </c>
      <c r="D602" t="s">
        <v>105</v>
      </c>
      <c r="E602" t="s">
        <v>106</v>
      </c>
      <c r="F602" t="s">
        <v>3469</v>
      </c>
      <c r="G602" t="s">
        <v>3470</v>
      </c>
      <c r="H602" t="s">
        <v>3469</v>
      </c>
      <c r="I602" s="88">
        <v>46141.751932870371</v>
      </c>
      <c r="J602" t="s">
        <v>107</v>
      </c>
      <c r="K602" t="s">
        <v>108</v>
      </c>
      <c r="L602" t="s">
        <v>3471</v>
      </c>
      <c r="M602" s="88">
        <v>46143.463912037041</v>
      </c>
      <c r="N602" t="s">
        <v>637</v>
      </c>
      <c r="O602" t="s">
        <v>112</v>
      </c>
      <c r="P602" t="s">
        <v>111</v>
      </c>
      <c r="Q602" t="s">
        <v>2085</v>
      </c>
      <c r="R602">
        <v>10</v>
      </c>
      <c r="S602" s="89">
        <v>9500</v>
      </c>
      <c r="T602" s="89">
        <v>0</v>
      </c>
      <c r="U602" s="89">
        <v>33300</v>
      </c>
      <c r="V602" s="89">
        <v>33300</v>
      </c>
      <c r="W602" s="89">
        <v>61700</v>
      </c>
    </row>
    <row r="603" spans="1:23" ht="13">
      <c r="A603" t="s">
        <v>3472</v>
      </c>
      <c r="B603" t="s">
        <v>3473</v>
      </c>
      <c r="C603" s="88">
        <v>46151.029386574075</v>
      </c>
      <c r="D603" t="s">
        <v>105</v>
      </c>
      <c r="E603" t="s">
        <v>106</v>
      </c>
      <c r="F603" t="s">
        <v>285</v>
      </c>
      <c r="G603" t="s">
        <v>3474</v>
      </c>
      <c r="H603" t="s">
        <v>285</v>
      </c>
      <c r="I603" s="88">
        <v>46141.751932870371</v>
      </c>
      <c r="J603" t="s">
        <v>107</v>
      </c>
      <c r="K603" t="s">
        <v>108</v>
      </c>
      <c r="L603" t="s">
        <v>3475</v>
      </c>
      <c r="M603" s="88">
        <v>46143.46739583333</v>
      </c>
      <c r="N603" t="s">
        <v>637</v>
      </c>
      <c r="O603" t="s">
        <v>112</v>
      </c>
      <c r="P603" t="s">
        <v>111</v>
      </c>
      <c r="Q603" t="s">
        <v>2085</v>
      </c>
      <c r="R603">
        <v>5</v>
      </c>
      <c r="S603" s="89">
        <v>9500</v>
      </c>
      <c r="T603" s="89">
        <v>0</v>
      </c>
      <c r="U603" s="89">
        <v>10550</v>
      </c>
      <c r="V603" s="89">
        <v>10550</v>
      </c>
      <c r="W603" s="89">
        <v>36950</v>
      </c>
    </row>
    <row r="604" spans="1:23" ht="13">
      <c r="A604" t="s">
        <v>3476</v>
      </c>
      <c r="B604" t="s">
        <v>3477</v>
      </c>
      <c r="C604" s="88">
        <v>46151.029374999998</v>
      </c>
      <c r="D604" t="s">
        <v>105</v>
      </c>
      <c r="E604" t="s">
        <v>106</v>
      </c>
      <c r="F604" t="s">
        <v>646</v>
      </c>
      <c r="G604" t="s">
        <v>3478</v>
      </c>
      <c r="H604" t="s">
        <v>646</v>
      </c>
      <c r="I604" s="88">
        <v>46141.751932870371</v>
      </c>
      <c r="J604" t="s">
        <v>107</v>
      </c>
      <c r="K604" t="s">
        <v>108</v>
      </c>
      <c r="L604" t="s">
        <v>3479</v>
      </c>
      <c r="M604" s="88">
        <v>46143.524212962962</v>
      </c>
      <c r="N604" t="s">
        <v>637</v>
      </c>
      <c r="O604" t="s">
        <v>112</v>
      </c>
      <c r="P604" t="s">
        <v>111</v>
      </c>
      <c r="Q604" t="s">
        <v>2085</v>
      </c>
      <c r="R604">
        <v>3</v>
      </c>
      <c r="S604" s="89">
        <v>9500</v>
      </c>
      <c r="T604" s="89">
        <v>0</v>
      </c>
      <c r="U604" s="89">
        <v>6270</v>
      </c>
      <c r="V604" s="89">
        <v>6270</v>
      </c>
      <c r="W604" s="89">
        <v>22230</v>
      </c>
    </row>
    <row r="605" spans="1:23" ht="13">
      <c r="A605" t="s">
        <v>3480</v>
      </c>
      <c r="B605" t="s">
        <v>3481</v>
      </c>
      <c r="C605" s="88">
        <v>46151.029374999998</v>
      </c>
      <c r="D605" t="s">
        <v>105</v>
      </c>
      <c r="E605" t="s">
        <v>106</v>
      </c>
      <c r="F605" t="s">
        <v>3482</v>
      </c>
      <c r="G605" t="s">
        <v>3483</v>
      </c>
      <c r="H605" t="s">
        <v>3484</v>
      </c>
      <c r="I605" s="88">
        <v>46141.751909722225</v>
      </c>
      <c r="J605" t="s">
        <v>107</v>
      </c>
      <c r="K605" t="s">
        <v>108</v>
      </c>
      <c r="L605" t="s">
        <v>3485</v>
      </c>
      <c r="M605" s="88">
        <v>46143.549409722225</v>
      </c>
      <c r="N605" t="s">
        <v>637</v>
      </c>
      <c r="O605" t="s">
        <v>112</v>
      </c>
      <c r="P605" t="s">
        <v>111</v>
      </c>
      <c r="Q605" t="s">
        <v>2085</v>
      </c>
      <c r="R605">
        <v>1</v>
      </c>
      <c r="S605" s="89">
        <v>9500</v>
      </c>
      <c r="T605" s="89">
        <v>0</v>
      </c>
      <c r="U605" s="89">
        <v>2090</v>
      </c>
      <c r="V605" s="89">
        <v>2090</v>
      </c>
      <c r="W605" s="89">
        <v>7410</v>
      </c>
    </row>
    <row r="606" spans="1:23" ht="13">
      <c r="A606" t="s">
        <v>3486</v>
      </c>
      <c r="B606" t="s">
        <v>3487</v>
      </c>
      <c r="C606" s="88">
        <v>46151.029374999998</v>
      </c>
      <c r="D606" t="s">
        <v>105</v>
      </c>
      <c r="E606" t="s">
        <v>106</v>
      </c>
      <c r="F606" t="s">
        <v>3488</v>
      </c>
      <c r="G606" t="s">
        <v>3489</v>
      </c>
      <c r="H606" t="s">
        <v>3488</v>
      </c>
      <c r="I606" s="88">
        <v>46141.751909722225</v>
      </c>
      <c r="J606" t="s">
        <v>107</v>
      </c>
      <c r="K606" t="s">
        <v>108</v>
      </c>
      <c r="L606" t="s">
        <v>3490</v>
      </c>
      <c r="M606" s="88">
        <v>46143.54587962963</v>
      </c>
      <c r="N606" t="s">
        <v>637</v>
      </c>
      <c r="O606" t="s">
        <v>112</v>
      </c>
      <c r="P606" t="s">
        <v>111</v>
      </c>
      <c r="Q606" t="s">
        <v>2085</v>
      </c>
      <c r="R606">
        <v>1</v>
      </c>
      <c r="S606" s="89">
        <v>9500</v>
      </c>
      <c r="T606" s="89">
        <v>0</v>
      </c>
      <c r="U606" s="89">
        <v>2090</v>
      </c>
      <c r="V606" s="89">
        <v>2090</v>
      </c>
      <c r="W606" s="89">
        <v>7410</v>
      </c>
    </row>
    <row r="607" spans="1:23" ht="13">
      <c r="A607" t="s">
        <v>3491</v>
      </c>
      <c r="B607" t="s">
        <v>3492</v>
      </c>
      <c r="C607" s="88">
        <v>46151.029374999998</v>
      </c>
      <c r="D607" t="s">
        <v>105</v>
      </c>
      <c r="E607" t="s">
        <v>106</v>
      </c>
      <c r="F607" t="s">
        <v>3493</v>
      </c>
      <c r="G607" t="s">
        <v>3494</v>
      </c>
      <c r="H607" t="s">
        <v>3493</v>
      </c>
      <c r="I607" s="88">
        <v>46141.751886574071</v>
      </c>
      <c r="J607" t="s">
        <v>107</v>
      </c>
      <c r="K607" t="s">
        <v>108</v>
      </c>
      <c r="L607" t="s">
        <v>3495</v>
      </c>
      <c r="M607" s="88">
        <v>46143.545856481476</v>
      </c>
      <c r="N607" t="s">
        <v>637</v>
      </c>
      <c r="O607" t="s">
        <v>112</v>
      </c>
      <c r="P607" t="s">
        <v>111</v>
      </c>
      <c r="Q607" t="s">
        <v>2085</v>
      </c>
      <c r="R607">
        <v>2</v>
      </c>
      <c r="S607" s="89">
        <v>9500</v>
      </c>
      <c r="T607" s="89">
        <v>0</v>
      </c>
      <c r="U607" s="89">
        <v>4180</v>
      </c>
      <c r="V607" s="89">
        <v>4180</v>
      </c>
      <c r="W607" s="89">
        <v>14820</v>
      </c>
    </row>
    <row r="608" spans="1:23" ht="13">
      <c r="A608" t="s">
        <v>3496</v>
      </c>
      <c r="B608" t="s">
        <v>3497</v>
      </c>
      <c r="C608" s="88">
        <v>46151.029374999998</v>
      </c>
      <c r="D608" t="s">
        <v>105</v>
      </c>
      <c r="E608" t="s">
        <v>106</v>
      </c>
      <c r="F608" t="s">
        <v>3498</v>
      </c>
      <c r="G608" t="s">
        <v>3499</v>
      </c>
      <c r="H608" t="s">
        <v>3498</v>
      </c>
      <c r="I608" s="88">
        <v>46141.751956018517</v>
      </c>
      <c r="J608" t="s">
        <v>107</v>
      </c>
      <c r="K608" t="s">
        <v>108</v>
      </c>
      <c r="L608" t="s">
        <v>3500</v>
      </c>
      <c r="M608" s="88">
        <v>46143.549409722225</v>
      </c>
      <c r="N608" t="s">
        <v>637</v>
      </c>
      <c r="O608" t="s">
        <v>112</v>
      </c>
      <c r="P608" t="s">
        <v>111</v>
      </c>
      <c r="Q608" t="s">
        <v>2085</v>
      </c>
      <c r="R608">
        <v>3</v>
      </c>
      <c r="S608" s="89">
        <v>9500</v>
      </c>
      <c r="T608" s="89">
        <v>0</v>
      </c>
      <c r="U608" s="89">
        <v>6370</v>
      </c>
      <c r="V608" s="89">
        <v>6370</v>
      </c>
      <c r="W608" s="89">
        <v>22130</v>
      </c>
    </row>
    <row r="609" spans="1:23" ht="13">
      <c r="A609" t="s">
        <v>3501</v>
      </c>
      <c r="B609" t="s">
        <v>3502</v>
      </c>
      <c r="C609" s="88">
        <v>46151.029374999998</v>
      </c>
      <c r="D609" t="s">
        <v>105</v>
      </c>
      <c r="E609" t="s">
        <v>106</v>
      </c>
      <c r="F609" t="s">
        <v>3503</v>
      </c>
      <c r="G609" t="s">
        <v>3504</v>
      </c>
      <c r="H609" t="s">
        <v>3503</v>
      </c>
      <c r="I609" s="88">
        <v>46141.751886574071</v>
      </c>
      <c r="J609" t="s">
        <v>107</v>
      </c>
      <c r="K609" t="s">
        <v>108</v>
      </c>
      <c r="L609" t="s">
        <v>3505</v>
      </c>
      <c r="M609" s="88">
        <v>46143.545856481476</v>
      </c>
      <c r="N609" t="s">
        <v>637</v>
      </c>
      <c r="O609" t="s">
        <v>112</v>
      </c>
      <c r="P609" t="s">
        <v>111</v>
      </c>
      <c r="Q609" t="s">
        <v>2085</v>
      </c>
      <c r="R609">
        <v>2</v>
      </c>
      <c r="S609" s="89">
        <v>9500</v>
      </c>
      <c r="T609" s="89">
        <v>0</v>
      </c>
      <c r="U609" s="89">
        <v>4180</v>
      </c>
      <c r="V609" s="89">
        <v>4180</v>
      </c>
      <c r="W609" s="89">
        <v>14820</v>
      </c>
    </row>
    <row r="610" spans="1:23" ht="13">
      <c r="A610" t="s">
        <v>3506</v>
      </c>
      <c r="B610" t="s">
        <v>3507</v>
      </c>
      <c r="C610" s="88">
        <v>46151.029374999998</v>
      </c>
      <c r="D610" t="s">
        <v>105</v>
      </c>
      <c r="E610" t="s">
        <v>106</v>
      </c>
      <c r="F610" t="s">
        <v>3508</v>
      </c>
      <c r="G610" t="s">
        <v>3509</v>
      </c>
      <c r="H610" t="s">
        <v>3508</v>
      </c>
      <c r="I610" s="88">
        <v>46141.751909722225</v>
      </c>
      <c r="J610" t="s">
        <v>107</v>
      </c>
      <c r="K610" t="s">
        <v>108</v>
      </c>
      <c r="L610" t="s">
        <v>3510</v>
      </c>
      <c r="M610" s="88">
        <v>46143.572164351848</v>
      </c>
      <c r="N610" t="s">
        <v>637</v>
      </c>
      <c r="O610" t="s">
        <v>112</v>
      </c>
      <c r="P610" t="s">
        <v>111</v>
      </c>
      <c r="Q610" t="s">
        <v>2085</v>
      </c>
      <c r="R610">
        <v>1</v>
      </c>
      <c r="S610" s="89">
        <v>9500</v>
      </c>
      <c r="T610" s="89">
        <v>0</v>
      </c>
      <c r="U610" s="89">
        <v>2090</v>
      </c>
      <c r="V610" s="89">
        <v>2090</v>
      </c>
      <c r="W610" s="89">
        <v>7410</v>
      </c>
    </row>
    <row r="611" spans="1:23" ht="13">
      <c r="A611" t="s">
        <v>3511</v>
      </c>
      <c r="B611" t="s">
        <v>3512</v>
      </c>
      <c r="C611" s="88">
        <v>46151.029374999998</v>
      </c>
      <c r="D611" t="s">
        <v>105</v>
      </c>
      <c r="E611" t="s">
        <v>106</v>
      </c>
      <c r="F611" t="s">
        <v>3513</v>
      </c>
      <c r="G611" t="s">
        <v>3514</v>
      </c>
      <c r="H611" t="s">
        <v>3513</v>
      </c>
      <c r="I611" s="88">
        <v>46141.751863425925</v>
      </c>
      <c r="J611" t="s">
        <v>107</v>
      </c>
      <c r="K611" t="s">
        <v>108</v>
      </c>
      <c r="L611" t="s">
        <v>3515</v>
      </c>
      <c r="M611" s="88">
        <v>46143.67150462963</v>
      </c>
      <c r="N611" t="s">
        <v>637</v>
      </c>
      <c r="O611" t="s">
        <v>112</v>
      </c>
      <c r="P611" t="s">
        <v>111</v>
      </c>
      <c r="Q611" t="s">
        <v>2085</v>
      </c>
      <c r="R611">
        <v>10</v>
      </c>
      <c r="S611" s="89">
        <v>9500</v>
      </c>
      <c r="T611" s="89">
        <v>0</v>
      </c>
      <c r="U611" s="89">
        <v>33300</v>
      </c>
      <c r="V611" s="89">
        <v>33300</v>
      </c>
      <c r="W611" s="89">
        <v>61700</v>
      </c>
    </row>
    <row r="612" spans="1:23" ht="13">
      <c r="A612" t="s">
        <v>3516</v>
      </c>
      <c r="B612" t="s">
        <v>3517</v>
      </c>
      <c r="C612" s="88">
        <v>46151.029374999998</v>
      </c>
      <c r="D612" t="s">
        <v>105</v>
      </c>
      <c r="E612" t="s">
        <v>106</v>
      </c>
      <c r="F612" t="s">
        <v>3518</v>
      </c>
      <c r="G612" t="s">
        <v>3519</v>
      </c>
      <c r="H612" t="s">
        <v>3518</v>
      </c>
      <c r="I612" s="88">
        <v>46141.751909722225</v>
      </c>
      <c r="J612" t="s">
        <v>107</v>
      </c>
      <c r="K612" t="s">
        <v>108</v>
      </c>
      <c r="L612" t="s">
        <v>3520</v>
      </c>
      <c r="M612" s="88">
        <v>46143.54586805556</v>
      </c>
      <c r="N612" t="s">
        <v>637</v>
      </c>
      <c r="O612" t="s">
        <v>112</v>
      </c>
      <c r="P612" t="s">
        <v>111</v>
      </c>
      <c r="Q612" t="s">
        <v>2085</v>
      </c>
      <c r="R612">
        <v>1</v>
      </c>
      <c r="S612" s="89">
        <v>9500</v>
      </c>
      <c r="T612" s="89">
        <v>0</v>
      </c>
      <c r="U612" s="89">
        <v>2190</v>
      </c>
      <c r="V612" s="89">
        <v>2190</v>
      </c>
      <c r="W612" s="89">
        <v>7310</v>
      </c>
    </row>
    <row r="613" spans="1:23" ht="13">
      <c r="A613" t="s">
        <v>3521</v>
      </c>
      <c r="B613" t="s">
        <v>3522</v>
      </c>
      <c r="C613" s="88">
        <v>46151.029374999998</v>
      </c>
      <c r="D613" t="s">
        <v>105</v>
      </c>
      <c r="E613" t="s">
        <v>106</v>
      </c>
      <c r="F613" t="s">
        <v>359</v>
      </c>
      <c r="G613" t="s">
        <v>3523</v>
      </c>
      <c r="H613" t="s">
        <v>359</v>
      </c>
      <c r="I613" s="88">
        <v>46141.751851851848</v>
      </c>
      <c r="J613" t="s">
        <v>107</v>
      </c>
      <c r="K613" t="s">
        <v>108</v>
      </c>
      <c r="L613" t="s">
        <v>3524</v>
      </c>
      <c r="M613" s="88">
        <v>46143.54587962963</v>
      </c>
      <c r="N613" t="s">
        <v>637</v>
      </c>
      <c r="O613" t="s">
        <v>112</v>
      </c>
      <c r="P613" t="s">
        <v>111</v>
      </c>
      <c r="Q613" t="s">
        <v>2085</v>
      </c>
      <c r="R613">
        <v>2</v>
      </c>
      <c r="S613" s="89">
        <v>9500</v>
      </c>
      <c r="T613" s="89">
        <v>0</v>
      </c>
      <c r="U613" s="89">
        <v>4280</v>
      </c>
      <c r="V613" s="89">
        <v>4280</v>
      </c>
      <c r="W613" s="89">
        <v>14720</v>
      </c>
    </row>
    <row r="614" spans="1:23" ht="13">
      <c r="A614" t="s">
        <v>3525</v>
      </c>
      <c r="B614" t="s">
        <v>3526</v>
      </c>
      <c r="C614" s="88">
        <v>46151.029363425929</v>
      </c>
      <c r="D614" t="s">
        <v>105</v>
      </c>
      <c r="E614" t="s">
        <v>106</v>
      </c>
      <c r="F614" t="s">
        <v>3527</v>
      </c>
      <c r="G614" t="s">
        <v>3528</v>
      </c>
      <c r="H614" t="s">
        <v>3527</v>
      </c>
      <c r="I614" s="88">
        <v>46141.751909722225</v>
      </c>
      <c r="J614" t="s">
        <v>107</v>
      </c>
      <c r="K614" t="s">
        <v>108</v>
      </c>
      <c r="L614" t="s">
        <v>3529</v>
      </c>
      <c r="M614" s="88">
        <v>46143.545856481476</v>
      </c>
      <c r="N614" t="s">
        <v>637</v>
      </c>
      <c r="O614" t="s">
        <v>112</v>
      </c>
      <c r="P614" t="s">
        <v>111</v>
      </c>
      <c r="Q614" t="s">
        <v>2085</v>
      </c>
      <c r="R614">
        <v>1</v>
      </c>
      <c r="S614" s="89">
        <v>9500</v>
      </c>
      <c r="T614" s="89">
        <v>0</v>
      </c>
      <c r="U614" s="89">
        <v>2190</v>
      </c>
      <c r="V614" s="89">
        <v>2190</v>
      </c>
      <c r="W614" s="89">
        <v>7310</v>
      </c>
    </row>
    <row r="615" spans="1:23" ht="13">
      <c r="A615" t="s">
        <v>3530</v>
      </c>
      <c r="B615" t="s">
        <v>3531</v>
      </c>
      <c r="C615" s="88">
        <v>46151.029363425929</v>
      </c>
      <c r="D615" t="s">
        <v>105</v>
      </c>
      <c r="E615" t="s">
        <v>106</v>
      </c>
      <c r="F615" t="s">
        <v>323</v>
      </c>
      <c r="G615" t="s">
        <v>3234</v>
      </c>
      <c r="H615" t="s">
        <v>323</v>
      </c>
      <c r="I615" s="88">
        <v>46141.751851851848</v>
      </c>
      <c r="J615" t="s">
        <v>107</v>
      </c>
      <c r="K615" t="s">
        <v>108</v>
      </c>
      <c r="L615" t="s">
        <v>3532</v>
      </c>
      <c r="M615" s="88">
        <v>46143.465960648144</v>
      </c>
      <c r="N615" t="s">
        <v>637</v>
      </c>
      <c r="O615" t="s">
        <v>112</v>
      </c>
      <c r="P615" t="s">
        <v>111</v>
      </c>
      <c r="Q615" t="s">
        <v>2085</v>
      </c>
      <c r="R615">
        <v>3</v>
      </c>
      <c r="S615" s="89">
        <v>9500</v>
      </c>
      <c r="T615" s="89">
        <v>0</v>
      </c>
      <c r="U615" s="89">
        <v>6270</v>
      </c>
      <c r="V615" s="89">
        <v>6270</v>
      </c>
      <c r="W615" s="89">
        <v>22230</v>
      </c>
    </row>
    <row r="616" spans="1:23" ht="13">
      <c r="A616" t="s">
        <v>3533</v>
      </c>
      <c r="B616" t="s">
        <v>3534</v>
      </c>
      <c r="C616" s="88">
        <v>46151.029363425929</v>
      </c>
      <c r="D616" t="s">
        <v>105</v>
      </c>
      <c r="E616" t="s">
        <v>106</v>
      </c>
      <c r="F616" t="s">
        <v>341</v>
      </c>
      <c r="G616" t="s">
        <v>3535</v>
      </c>
      <c r="H616" t="s">
        <v>341</v>
      </c>
      <c r="I616" s="88">
        <v>46141.751909722225</v>
      </c>
      <c r="J616" t="s">
        <v>107</v>
      </c>
      <c r="K616" t="s">
        <v>108</v>
      </c>
      <c r="L616" t="s">
        <v>3536</v>
      </c>
      <c r="M616" s="88">
        <v>46143.54587962963</v>
      </c>
      <c r="N616" t="s">
        <v>637</v>
      </c>
      <c r="O616" t="s">
        <v>112</v>
      </c>
      <c r="P616" t="s">
        <v>111</v>
      </c>
      <c r="Q616" t="s">
        <v>2085</v>
      </c>
      <c r="R616">
        <v>7</v>
      </c>
      <c r="S616" s="89">
        <v>9500</v>
      </c>
      <c r="T616" s="89">
        <v>0</v>
      </c>
      <c r="U616" s="89">
        <v>23410</v>
      </c>
      <c r="V616" s="89">
        <v>23410</v>
      </c>
      <c r="W616" s="89">
        <v>43090</v>
      </c>
    </row>
    <row r="617" spans="1:23" ht="13">
      <c r="A617" t="s">
        <v>3537</v>
      </c>
      <c r="B617" t="s">
        <v>3538</v>
      </c>
      <c r="C617" s="88">
        <v>46151.029363425929</v>
      </c>
      <c r="D617" t="s">
        <v>105</v>
      </c>
      <c r="E617" t="s">
        <v>106</v>
      </c>
      <c r="F617" t="s">
        <v>3539</v>
      </c>
      <c r="G617" t="s">
        <v>3540</v>
      </c>
      <c r="H617" t="s">
        <v>3541</v>
      </c>
      <c r="I617" s="88">
        <v>46141.751851851848</v>
      </c>
      <c r="J617" t="s">
        <v>107</v>
      </c>
      <c r="K617" t="s">
        <v>108</v>
      </c>
      <c r="L617" t="s">
        <v>3542</v>
      </c>
      <c r="M617" s="88">
        <v>46143.713842592595</v>
      </c>
      <c r="N617" t="s">
        <v>637</v>
      </c>
      <c r="O617" t="s">
        <v>112</v>
      </c>
      <c r="P617" t="s">
        <v>111</v>
      </c>
      <c r="Q617" t="s">
        <v>2085</v>
      </c>
      <c r="R617">
        <v>6</v>
      </c>
      <c r="S617" s="89">
        <v>9500</v>
      </c>
      <c r="T617" s="89">
        <v>0</v>
      </c>
      <c r="U617" s="89">
        <v>20080</v>
      </c>
      <c r="V617" s="89">
        <v>20080</v>
      </c>
      <c r="W617" s="89">
        <v>36920</v>
      </c>
    </row>
    <row r="618" spans="1:23" ht="13">
      <c r="A618" t="s">
        <v>3543</v>
      </c>
      <c r="B618" t="s">
        <v>3544</v>
      </c>
      <c r="C618" s="88">
        <v>46151.029363425929</v>
      </c>
      <c r="D618" t="s">
        <v>105</v>
      </c>
      <c r="E618" t="s">
        <v>106</v>
      </c>
      <c r="F618" t="s">
        <v>3545</v>
      </c>
      <c r="G618" t="s">
        <v>3546</v>
      </c>
      <c r="H618" t="s">
        <v>3545</v>
      </c>
      <c r="I618" s="88">
        <v>46141.751909722225</v>
      </c>
      <c r="J618" t="s">
        <v>107</v>
      </c>
      <c r="K618" t="s">
        <v>108</v>
      </c>
      <c r="L618" t="s">
        <v>3547</v>
      </c>
      <c r="M618" s="88">
        <v>46143.672210648147</v>
      </c>
      <c r="N618" t="s">
        <v>637</v>
      </c>
      <c r="O618" t="s">
        <v>112</v>
      </c>
      <c r="P618" t="s">
        <v>111</v>
      </c>
      <c r="Q618" t="s">
        <v>2085</v>
      </c>
      <c r="R618">
        <v>6</v>
      </c>
      <c r="S618" s="89">
        <v>9500</v>
      </c>
      <c r="T618" s="89">
        <v>0</v>
      </c>
      <c r="U618" s="89">
        <v>19980</v>
      </c>
      <c r="V618" s="89">
        <v>19980</v>
      </c>
      <c r="W618" s="89">
        <v>37020</v>
      </c>
    </row>
    <row r="619" spans="1:23" ht="13">
      <c r="A619" t="s">
        <v>3548</v>
      </c>
      <c r="B619" t="s">
        <v>3549</v>
      </c>
      <c r="C619" s="88">
        <v>46151.029363425929</v>
      </c>
      <c r="D619" t="s">
        <v>105</v>
      </c>
      <c r="E619" t="s">
        <v>106</v>
      </c>
      <c r="F619" t="s">
        <v>3550</v>
      </c>
      <c r="G619" t="s">
        <v>3551</v>
      </c>
      <c r="H619" t="s">
        <v>3550</v>
      </c>
      <c r="I619" s="88">
        <v>46141.751840277779</v>
      </c>
      <c r="J619" t="s">
        <v>107</v>
      </c>
      <c r="K619" t="s">
        <v>108</v>
      </c>
      <c r="L619" t="s">
        <v>3552</v>
      </c>
      <c r="M619" s="88">
        <v>46143.670833333337</v>
      </c>
      <c r="N619" t="s">
        <v>637</v>
      </c>
      <c r="O619" t="s">
        <v>112</v>
      </c>
      <c r="P619" t="s">
        <v>111</v>
      </c>
      <c r="Q619" t="s">
        <v>2085</v>
      </c>
      <c r="R619">
        <v>6</v>
      </c>
      <c r="S619" s="89">
        <v>9500</v>
      </c>
      <c r="T619" s="89">
        <v>0</v>
      </c>
      <c r="U619" s="89">
        <v>20080</v>
      </c>
      <c r="V619" s="89">
        <v>20080</v>
      </c>
      <c r="W619" s="89">
        <v>36920</v>
      </c>
    </row>
    <row r="620" spans="1:23" ht="13">
      <c r="A620" t="s">
        <v>3553</v>
      </c>
      <c r="B620" t="s">
        <v>3554</v>
      </c>
      <c r="C620" s="88">
        <v>46151.029363425929</v>
      </c>
      <c r="D620" t="s">
        <v>105</v>
      </c>
      <c r="E620" t="s">
        <v>106</v>
      </c>
      <c r="F620" t="s">
        <v>3555</v>
      </c>
      <c r="G620" t="s">
        <v>3556</v>
      </c>
      <c r="H620" t="s">
        <v>3555</v>
      </c>
      <c r="I620" s="88">
        <v>46141.751863425925</v>
      </c>
      <c r="J620" t="s">
        <v>107</v>
      </c>
      <c r="K620" t="s">
        <v>108</v>
      </c>
      <c r="L620" t="s">
        <v>3557</v>
      </c>
      <c r="M620" s="88">
        <v>46143.54587962963</v>
      </c>
      <c r="N620" t="s">
        <v>637</v>
      </c>
      <c r="O620" t="s">
        <v>112</v>
      </c>
      <c r="P620" t="s">
        <v>111</v>
      </c>
      <c r="Q620" t="s">
        <v>2085</v>
      </c>
      <c r="R620">
        <v>6</v>
      </c>
      <c r="S620" s="89">
        <v>9500</v>
      </c>
      <c r="T620" s="89">
        <v>0</v>
      </c>
      <c r="U620" s="89">
        <v>20080</v>
      </c>
      <c r="V620" s="89">
        <v>20080</v>
      </c>
      <c r="W620" s="89">
        <v>36920</v>
      </c>
    </row>
    <row r="621" spans="1:23" ht="13">
      <c r="A621" t="s">
        <v>3558</v>
      </c>
      <c r="B621" t="s">
        <v>3559</v>
      </c>
      <c r="C621" s="88">
        <v>46151.029363425929</v>
      </c>
      <c r="D621" t="s">
        <v>105</v>
      </c>
      <c r="E621" t="s">
        <v>106</v>
      </c>
      <c r="F621" t="s">
        <v>3560</v>
      </c>
      <c r="G621" t="s">
        <v>3561</v>
      </c>
      <c r="H621" t="s">
        <v>3560</v>
      </c>
      <c r="I621" s="88">
        <v>46141.751840277779</v>
      </c>
      <c r="J621" t="s">
        <v>107</v>
      </c>
      <c r="K621" t="s">
        <v>108</v>
      </c>
      <c r="L621" t="s">
        <v>3562</v>
      </c>
      <c r="M621" s="88">
        <v>46143.463900462964</v>
      </c>
      <c r="N621" t="s">
        <v>637</v>
      </c>
      <c r="O621" t="s">
        <v>112</v>
      </c>
      <c r="P621" t="s">
        <v>111</v>
      </c>
      <c r="Q621" t="s">
        <v>2085</v>
      </c>
      <c r="R621">
        <v>3</v>
      </c>
      <c r="S621" s="89">
        <v>9500</v>
      </c>
      <c r="T621" s="89">
        <v>0</v>
      </c>
      <c r="U621" s="89">
        <v>6270</v>
      </c>
      <c r="V621" s="89">
        <v>6270</v>
      </c>
      <c r="W621" s="89">
        <v>22230</v>
      </c>
    </row>
    <row r="622" spans="1:23" ht="13">
      <c r="A622" t="s">
        <v>3563</v>
      </c>
      <c r="B622" t="s">
        <v>3564</v>
      </c>
      <c r="C622" s="88">
        <v>46151.029363425929</v>
      </c>
      <c r="D622" t="s">
        <v>105</v>
      </c>
      <c r="E622" t="s">
        <v>106</v>
      </c>
      <c r="F622" t="s">
        <v>3565</v>
      </c>
      <c r="G622" t="s">
        <v>3566</v>
      </c>
      <c r="H622" t="s">
        <v>3565</v>
      </c>
      <c r="I622" s="88">
        <v>46141.751863425925</v>
      </c>
      <c r="J622" t="s">
        <v>107</v>
      </c>
      <c r="K622" t="s">
        <v>108</v>
      </c>
      <c r="L622" t="s">
        <v>3567</v>
      </c>
      <c r="M622" s="88">
        <v>46143.46738425926</v>
      </c>
      <c r="N622" t="s">
        <v>637</v>
      </c>
      <c r="O622" t="s">
        <v>112</v>
      </c>
      <c r="P622" t="s">
        <v>111</v>
      </c>
      <c r="Q622" t="s">
        <v>2085</v>
      </c>
      <c r="R622">
        <v>2</v>
      </c>
      <c r="S622" s="89">
        <v>9500</v>
      </c>
      <c r="T622" s="89">
        <v>0</v>
      </c>
      <c r="U622" s="89">
        <v>4280</v>
      </c>
      <c r="V622" s="89">
        <v>4280</v>
      </c>
      <c r="W622" s="89">
        <v>14720</v>
      </c>
    </row>
    <row r="623" spans="1:23" ht="13">
      <c r="A623" t="s">
        <v>3568</v>
      </c>
      <c r="B623" t="s">
        <v>3569</v>
      </c>
      <c r="C623" s="88">
        <v>46151.029363425929</v>
      </c>
      <c r="D623" t="s">
        <v>105</v>
      </c>
      <c r="E623" t="s">
        <v>106</v>
      </c>
      <c r="F623" t="s">
        <v>3570</v>
      </c>
      <c r="G623" t="s">
        <v>3571</v>
      </c>
      <c r="H623" t="s">
        <v>3570</v>
      </c>
      <c r="I623" s="88">
        <v>46141.751863425925</v>
      </c>
      <c r="J623" t="s">
        <v>107</v>
      </c>
      <c r="K623" t="s">
        <v>108</v>
      </c>
      <c r="L623" t="s">
        <v>3572</v>
      </c>
      <c r="M623" s="88">
        <v>46143.461111111115</v>
      </c>
      <c r="N623" t="s">
        <v>637</v>
      </c>
      <c r="O623" t="s">
        <v>112</v>
      </c>
      <c r="P623" t="s">
        <v>111</v>
      </c>
      <c r="Q623" t="s">
        <v>2085</v>
      </c>
      <c r="R623">
        <v>3</v>
      </c>
      <c r="S623" s="89">
        <v>9500</v>
      </c>
      <c r="T623" s="89">
        <v>0</v>
      </c>
      <c r="U623" s="89">
        <v>6270</v>
      </c>
      <c r="V623" s="89">
        <v>6270</v>
      </c>
      <c r="W623" s="89">
        <v>22230</v>
      </c>
    </row>
    <row r="624" spans="1:23" ht="13">
      <c r="A624" t="s">
        <v>3573</v>
      </c>
      <c r="B624" t="s">
        <v>3574</v>
      </c>
      <c r="C624" s="88">
        <v>46151.029351851852</v>
      </c>
      <c r="D624" t="s">
        <v>105</v>
      </c>
      <c r="E624" t="s">
        <v>106</v>
      </c>
      <c r="F624" t="s">
        <v>3575</v>
      </c>
      <c r="G624" t="s">
        <v>3576</v>
      </c>
      <c r="H624" t="s">
        <v>3575</v>
      </c>
      <c r="I624" s="88">
        <v>46141.751840277779</v>
      </c>
      <c r="J624" t="s">
        <v>107</v>
      </c>
      <c r="K624" t="s">
        <v>108</v>
      </c>
      <c r="L624" t="s">
        <v>3577</v>
      </c>
      <c r="M624" s="88">
        <v>46143.463900462964</v>
      </c>
      <c r="N624" t="s">
        <v>637</v>
      </c>
      <c r="O624" t="s">
        <v>112</v>
      </c>
      <c r="P624" t="s">
        <v>111</v>
      </c>
      <c r="Q624" t="s">
        <v>2085</v>
      </c>
      <c r="R624">
        <v>6</v>
      </c>
      <c r="S624" s="89">
        <v>9500</v>
      </c>
      <c r="T624" s="89">
        <v>0</v>
      </c>
      <c r="U624" s="89">
        <v>19980</v>
      </c>
      <c r="V624" s="89">
        <v>19980</v>
      </c>
      <c r="W624" s="89">
        <v>37020</v>
      </c>
    </row>
    <row r="625" spans="1:23" ht="13">
      <c r="A625" t="s">
        <v>3578</v>
      </c>
      <c r="B625" t="s">
        <v>3579</v>
      </c>
      <c r="C625" s="88">
        <v>46151.02915509259</v>
      </c>
      <c r="D625" t="s">
        <v>105</v>
      </c>
      <c r="E625" t="s">
        <v>106</v>
      </c>
      <c r="F625" t="s">
        <v>3580</v>
      </c>
      <c r="G625" t="s">
        <v>1879</v>
      </c>
      <c r="H625" t="s">
        <v>3580</v>
      </c>
      <c r="I625" s="88">
        <v>46141.751979166671</v>
      </c>
      <c r="J625" t="s">
        <v>107</v>
      </c>
      <c r="K625" t="s">
        <v>108</v>
      </c>
      <c r="L625" t="s">
        <v>3581</v>
      </c>
      <c r="M625" s="88">
        <v>46143.524212962962</v>
      </c>
      <c r="N625" t="s">
        <v>637</v>
      </c>
      <c r="O625" t="s">
        <v>112</v>
      </c>
      <c r="P625" t="s">
        <v>111</v>
      </c>
      <c r="Q625" t="s">
        <v>2085</v>
      </c>
      <c r="R625">
        <v>1</v>
      </c>
      <c r="S625" s="89">
        <v>9500</v>
      </c>
      <c r="T625" s="89">
        <v>0</v>
      </c>
      <c r="U625" s="89">
        <v>2090</v>
      </c>
      <c r="V625" s="89">
        <v>2090</v>
      </c>
      <c r="W625" s="89">
        <v>7410</v>
      </c>
    </row>
    <row r="626" spans="1:23" ht="13">
      <c r="A626" t="s">
        <v>3582</v>
      </c>
      <c r="B626" t="s">
        <v>3583</v>
      </c>
      <c r="C626" s="88">
        <v>46151.029143518521</v>
      </c>
      <c r="D626" t="s">
        <v>105</v>
      </c>
      <c r="E626" t="s">
        <v>106</v>
      </c>
      <c r="F626" t="s">
        <v>3584</v>
      </c>
      <c r="G626" t="s">
        <v>3585</v>
      </c>
      <c r="H626" t="s">
        <v>3586</v>
      </c>
      <c r="I626" s="88">
        <v>46141.751956018517</v>
      </c>
      <c r="J626" t="s">
        <v>107</v>
      </c>
      <c r="K626" t="s">
        <v>108</v>
      </c>
      <c r="L626" t="s">
        <v>3587</v>
      </c>
      <c r="M626" s="88">
        <v>46143.572164351848</v>
      </c>
      <c r="N626" t="s">
        <v>637</v>
      </c>
      <c r="O626" t="s">
        <v>112</v>
      </c>
      <c r="P626" t="s">
        <v>111</v>
      </c>
      <c r="Q626" t="s">
        <v>2085</v>
      </c>
      <c r="R626">
        <v>8</v>
      </c>
      <c r="S626" s="89">
        <v>9500</v>
      </c>
      <c r="T626" s="89">
        <v>0</v>
      </c>
      <c r="U626" s="89">
        <v>26740</v>
      </c>
      <c r="V626" s="89">
        <v>26740</v>
      </c>
      <c r="W626" s="89">
        <v>49260</v>
      </c>
    </row>
    <row r="627" spans="1:23" ht="13">
      <c r="A627" t="s">
        <v>3588</v>
      </c>
      <c r="B627" t="s">
        <v>3589</v>
      </c>
      <c r="C627" s="88">
        <v>46151.029143518521</v>
      </c>
      <c r="D627" t="s">
        <v>105</v>
      </c>
      <c r="E627" t="s">
        <v>106</v>
      </c>
      <c r="F627" t="s">
        <v>3590</v>
      </c>
      <c r="G627" t="s">
        <v>3591</v>
      </c>
      <c r="H627" t="s">
        <v>3590</v>
      </c>
      <c r="I627" s="88">
        <v>46141.751932870371</v>
      </c>
      <c r="J627" t="s">
        <v>107</v>
      </c>
      <c r="K627" t="s">
        <v>108</v>
      </c>
      <c r="L627" t="s">
        <v>3592</v>
      </c>
      <c r="M627" s="88">
        <v>46143.619756944448</v>
      </c>
      <c r="N627" t="s">
        <v>637</v>
      </c>
      <c r="O627" t="s">
        <v>112</v>
      </c>
      <c r="P627" t="s">
        <v>111</v>
      </c>
      <c r="Q627" t="s">
        <v>2085</v>
      </c>
      <c r="R627">
        <v>5</v>
      </c>
      <c r="S627" s="89">
        <v>9500</v>
      </c>
      <c r="T627" s="89">
        <v>0</v>
      </c>
      <c r="U627" s="89">
        <v>10550</v>
      </c>
      <c r="V627" s="89">
        <v>10550</v>
      </c>
      <c r="W627" s="89">
        <v>36950</v>
      </c>
    </row>
    <row r="628" spans="1:23" ht="13">
      <c r="A628" t="s">
        <v>3593</v>
      </c>
      <c r="B628" t="s">
        <v>3594</v>
      </c>
      <c r="C628" s="88">
        <v>46151.029143518521</v>
      </c>
      <c r="D628" t="s">
        <v>105</v>
      </c>
      <c r="E628" t="s">
        <v>106</v>
      </c>
      <c r="F628" t="s">
        <v>3595</v>
      </c>
      <c r="G628" t="s">
        <v>3596</v>
      </c>
      <c r="H628" t="s">
        <v>3595</v>
      </c>
      <c r="I628" s="88">
        <v>46141.751909722225</v>
      </c>
      <c r="J628" t="s">
        <v>107</v>
      </c>
      <c r="K628" t="s">
        <v>108</v>
      </c>
      <c r="L628" t="s">
        <v>3597</v>
      </c>
      <c r="M628" s="88">
        <v>46143.524212962962</v>
      </c>
      <c r="N628" t="s">
        <v>637</v>
      </c>
      <c r="O628" t="s">
        <v>112</v>
      </c>
      <c r="P628" t="s">
        <v>111</v>
      </c>
      <c r="Q628" t="s">
        <v>2085</v>
      </c>
      <c r="R628">
        <v>1</v>
      </c>
      <c r="S628" s="89">
        <v>9500</v>
      </c>
      <c r="T628" s="89">
        <v>0</v>
      </c>
      <c r="U628" s="89">
        <v>2090</v>
      </c>
      <c r="V628" s="89">
        <v>2090</v>
      </c>
      <c r="W628" s="89">
        <v>7410</v>
      </c>
    </row>
    <row r="629" spans="1:23" ht="13">
      <c r="A629" t="s">
        <v>3598</v>
      </c>
      <c r="B629" t="s">
        <v>3599</v>
      </c>
      <c r="C629" s="88">
        <v>46151.029143518521</v>
      </c>
      <c r="D629" t="s">
        <v>105</v>
      </c>
      <c r="E629" t="s">
        <v>106</v>
      </c>
      <c r="F629" t="s">
        <v>3600</v>
      </c>
      <c r="G629" t="s">
        <v>1830</v>
      </c>
      <c r="H629" t="s">
        <v>3600</v>
      </c>
      <c r="I629" s="88">
        <v>46141.751909722225</v>
      </c>
      <c r="J629" t="s">
        <v>107</v>
      </c>
      <c r="K629" t="s">
        <v>108</v>
      </c>
      <c r="L629" t="s">
        <v>3601</v>
      </c>
      <c r="M629" s="88">
        <v>46143.524212962962</v>
      </c>
      <c r="N629" t="s">
        <v>637</v>
      </c>
      <c r="O629" t="s">
        <v>112</v>
      </c>
      <c r="P629" t="s">
        <v>111</v>
      </c>
      <c r="Q629" t="s">
        <v>2085</v>
      </c>
      <c r="R629">
        <v>6</v>
      </c>
      <c r="S629" s="89">
        <v>9500</v>
      </c>
      <c r="T629" s="89">
        <v>0</v>
      </c>
      <c r="U629" s="89">
        <v>20080</v>
      </c>
      <c r="V629" s="89">
        <v>20080</v>
      </c>
      <c r="W629" s="89">
        <v>36920</v>
      </c>
    </row>
    <row r="630" spans="1:23" ht="13">
      <c r="A630" t="s">
        <v>3602</v>
      </c>
      <c r="B630" t="s">
        <v>3603</v>
      </c>
      <c r="C630" s="88">
        <v>46151.029143518521</v>
      </c>
      <c r="D630" t="s">
        <v>105</v>
      </c>
      <c r="E630" t="s">
        <v>106</v>
      </c>
      <c r="F630" t="s">
        <v>3604</v>
      </c>
      <c r="G630" t="s">
        <v>3605</v>
      </c>
      <c r="H630" t="s">
        <v>3606</v>
      </c>
      <c r="I630" s="88">
        <v>46141.751863425925</v>
      </c>
      <c r="J630" t="s">
        <v>107</v>
      </c>
      <c r="K630" t="s">
        <v>108</v>
      </c>
      <c r="L630" t="s">
        <v>3607</v>
      </c>
      <c r="M630" s="88">
        <v>46143.572164351848</v>
      </c>
      <c r="N630" t="s">
        <v>637</v>
      </c>
      <c r="O630" t="s">
        <v>112</v>
      </c>
      <c r="P630" t="s">
        <v>111</v>
      </c>
      <c r="Q630" t="s">
        <v>2085</v>
      </c>
      <c r="R630">
        <v>2</v>
      </c>
      <c r="S630" s="89">
        <v>9500</v>
      </c>
      <c r="T630" s="89">
        <v>0</v>
      </c>
      <c r="U630" s="89">
        <v>4180</v>
      </c>
      <c r="V630" s="89">
        <v>4180</v>
      </c>
      <c r="W630" s="89">
        <v>14820</v>
      </c>
    </row>
    <row r="631" spans="1:23" ht="13">
      <c r="A631" t="s">
        <v>3608</v>
      </c>
      <c r="B631" t="s">
        <v>3609</v>
      </c>
      <c r="C631" s="88">
        <v>46151.029143518521</v>
      </c>
      <c r="D631" t="s">
        <v>105</v>
      </c>
      <c r="E631" t="s">
        <v>106</v>
      </c>
      <c r="F631" t="s">
        <v>3610</v>
      </c>
      <c r="G631" t="s">
        <v>3611</v>
      </c>
      <c r="H631" t="s">
        <v>3612</v>
      </c>
      <c r="I631" s="88">
        <v>46141.751956018517</v>
      </c>
      <c r="J631" t="s">
        <v>107</v>
      </c>
      <c r="K631" t="s">
        <v>108</v>
      </c>
      <c r="L631" t="s">
        <v>3613</v>
      </c>
      <c r="M631" s="88">
        <v>46143.549409722225</v>
      </c>
      <c r="N631" t="s">
        <v>637</v>
      </c>
      <c r="O631" t="s">
        <v>112</v>
      </c>
      <c r="P631" t="s">
        <v>111</v>
      </c>
      <c r="Q631" t="s">
        <v>2085</v>
      </c>
      <c r="R631">
        <v>3</v>
      </c>
      <c r="S631" s="89">
        <v>9500</v>
      </c>
      <c r="T631" s="89">
        <v>0</v>
      </c>
      <c r="U631" s="89">
        <v>6370</v>
      </c>
      <c r="V631" s="89">
        <v>6370</v>
      </c>
      <c r="W631" s="89">
        <v>22130</v>
      </c>
    </row>
    <row r="632" spans="1:23" ht="13">
      <c r="A632" t="s">
        <v>3614</v>
      </c>
      <c r="B632" t="s">
        <v>3615</v>
      </c>
      <c r="C632" s="88">
        <v>46151.029143518521</v>
      </c>
      <c r="D632" t="s">
        <v>105</v>
      </c>
      <c r="E632" t="s">
        <v>106</v>
      </c>
      <c r="F632" t="s">
        <v>3616</v>
      </c>
      <c r="G632" t="s">
        <v>3617</v>
      </c>
      <c r="H632" t="s">
        <v>348</v>
      </c>
      <c r="I632" s="88">
        <v>46141.751863425925</v>
      </c>
      <c r="J632" t="s">
        <v>107</v>
      </c>
      <c r="K632" t="s">
        <v>108</v>
      </c>
      <c r="L632" t="s">
        <v>3618</v>
      </c>
      <c r="M632" s="88">
        <v>46143.670844907407</v>
      </c>
      <c r="N632" t="s">
        <v>637</v>
      </c>
      <c r="O632" t="s">
        <v>112</v>
      </c>
      <c r="P632" t="s">
        <v>111</v>
      </c>
      <c r="Q632" t="s">
        <v>2085</v>
      </c>
      <c r="R632">
        <v>2</v>
      </c>
      <c r="S632" s="89">
        <v>9500</v>
      </c>
      <c r="T632" s="89">
        <v>0</v>
      </c>
      <c r="U632" s="89">
        <v>4280</v>
      </c>
      <c r="V632" s="89">
        <v>4280</v>
      </c>
      <c r="W632" s="89">
        <v>14720</v>
      </c>
    </row>
    <row r="633" spans="1:23" ht="13">
      <c r="A633" t="s">
        <v>3619</v>
      </c>
      <c r="B633" t="s">
        <v>3620</v>
      </c>
      <c r="C633" s="88">
        <v>46151.029143518521</v>
      </c>
      <c r="D633" t="s">
        <v>105</v>
      </c>
      <c r="E633" t="s">
        <v>106</v>
      </c>
      <c r="F633" t="s">
        <v>3621</v>
      </c>
      <c r="G633" t="s">
        <v>3622</v>
      </c>
      <c r="H633" t="s">
        <v>3621</v>
      </c>
      <c r="I633" s="88">
        <v>46141.751863425925</v>
      </c>
      <c r="J633" t="s">
        <v>107</v>
      </c>
      <c r="K633" t="s">
        <v>108</v>
      </c>
      <c r="L633" t="s">
        <v>3623</v>
      </c>
      <c r="M633" s="88">
        <v>46143.545856481476</v>
      </c>
      <c r="N633" t="s">
        <v>637</v>
      </c>
      <c r="O633" t="s">
        <v>112</v>
      </c>
      <c r="P633" t="s">
        <v>111</v>
      </c>
      <c r="Q633" t="s">
        <v>2085</v>
      </c>
      <c r="R633">
        <v>6</v>
      </c>
      <c r="S633" s="89">
        <v>9500</v>
      </c>
      <c r="T633" s="89">
        <v>0</v>
      </c>
      <c r="U633" s="89">
        <v>20080</v>
      </c>
      <c r="V633" s="89">
        <v>20080</v>
      </c>
      <c r="W633" s="89">
        <v>36920</v>
      </c>
    </row>
    <row r="634" spans="1:23" ht="13">
      <c r="A634" t="s">
        <v>3624</v>
      </c>
      <c r="B634" t="s">
        <v>3625</v>
      </c>
      <c r="C634" s="88">
        <v>46151.029131944444</v>
      </c>
      <c r="D634" t="s">
        <v>105</v>
      </c>
      <c r="E634" t="s">
        <v>106</v>
      </c>
      <c r="F634" t="s">
        <v>3626</v>
      </c>
      <c r="G634" t="s">
        <v>976</v>
      </c>
      <c r="H634" t="s">
        <v>3626</v>
      </c>
      <c r="I634" s="88">
        <v>46141.751932870371</v>
      </c>
      <c r="J634" t="s">
        <v>107</v>
      </c>
      <c r="K634" t="s">
        <v>108</v>
      </c>
      <c r="L634" t="s">
        <v>3627</v>
      </c>
      <c r="M634" s="88">
        <v>46143.54586805556</v>
      </c>
      <c r="N634" t="s">
        <v>637</v>
      </c>
      <c r="O634" t="s">
        <v>112</v>
      </c>
      <c r="P634" t="s">
        <v>111</v>
      </c>
      <c r="Q634" t="s">
        <v>2085</v>
      </c>
      <c r="R634">
        <v>6</v>
      </c>
      <c r="S634" s="89">
        <v>9500</v>
      </c>
      <c r="T634" s="89">
        <v>0</v>
      </c>
      <c r="U634" s="89">
        <v>19980</v>
      </c>
      <c r="V634" s="89">
        <v>19980</v>
      </c>
      <c r="W634" s="89">
        <v>37020</v>
      </c>
    </row>
    <row r="635" spans="1:23" ht="13">
      <c r="A635" t="s">
        <v>3628</v>
      </c>
      <c r="B635" t="s">
        <v>3629</v>
      </c>
      <c r="C635" s="88">
        <v>46151.029131944444</v>
      </c>
      <c r="D635" t="s">
        <v>105</v>
      </c>
      <c r="E635" t="s">
        <v>106</v>
      </c>
      <c r="F635" t="s">
        <v>3630</v>
      </c>
      <c r="G635" t="s">
        <v>3631</v>
      </c>
      <c r="H635" t="s">
        <v>3630</v>
      </c>
      <c r="I635" s="88">
        <v>46141.751840277779</v>
      </c>
      <c r="J635" t="s">
        <v>107</v>
      </c>
      <c r="K635" t="s">
        <v>108</v>
      </c>
      <c r="L635" t="s">
        <v>3632</v>
      </c>
      <c r="M635" s="88">
        <v>46143.54586805556</v>
      </c>
      <c r="N635" t="s">
        <v>637</v>
      </c>
      <c r="O635" t="s">
        <v>112</v>
      </c>
      <c r="P635" t="s">
        <v>111</v>
      </c>
      <c r="Q635" t="s">
        <v>2085</v>
      </c>
      <c r="R635">
        <v>6</v>
      </c>
      <c r="S635" s="89">
        <v>9500</v>
      </c>
      <c r="T635" s="89">
        <v>0</v>
      </c>
      <c r="U635" s="89">
        <v>20080</v>
      </c>
      <c r="V635" s="89">
        <v>20080</v>
      </c>
      <c r="W635" s="89">
        <v>36920</v>
      </c>
    </row>
    <row r="636" spans="1:23" ht="13">
      <c r="A636" t="s">
        <v>3633</v>
      </c>
      <c r="B636" t="s">
        <v>3634</v>
      </c>
      <c r="C636" s="88">
        <v>46151.029131944444</v>
      </c>
      <c r="D636" t="s">
        <v>105</v>
      </c>
      <c r="E636" t="s">
        <v>106</v>
      </c>
      <c r="F636" t="s">
        <v>3635</v>
      </c>
      <c r="G636" t="s">
        <v>3636</v>
      </c>
      <c r="H636" t="s">
        <v>3635</v>
      </c>
      <c r="I636" s="88">
        <v>46141.751863425925</v>
      </c>
      <c r="J636" t="s">
        <v>107</v>
      </c>
      <c r="K636" t="s">
        <v>108</v>
      </c>
      <c r="L636" t="s">
        <v>3637</v>
      </c>
      <c r="M636" s="88">
        <v>46143.54587962963</v>
      </c>
      <c r="N636" t="s">
        <v>637</v>
      </c>
      <c r="O636" t="s">
        <v>112</v>
      </c>
      <c r="P636" t="s">
        <v>111</v>
      </c>
      <c r="Q636" t="s">
        <v>2085</v>
      </c>
      <c r="R636">
        <v>6</v>
      </c>
      <c r="S636" s="89">
        <v>9500</v>
      </c>
      <c r="T636" s="89">
        <v>0</v>
      </c>
      <c r="U636" s="89">
        <v>19980</v>
      </c>
      <c r="V636" s="89">
        <v>19980</v>
      </c>
      <c r="W636" s="89">
        <v>37020</v>
      </c>
    </row>
    <row r="637" spans="1:23" ht="13">
      <c r="A637" t="s">
        <v>3638</v>
      </c>
      <c r="B637" t="s">
        <v>3639</v>
      </c>
      <c r="C637" s="88">
        <v>46151.029131944444</v>
      </c>
      <c r="D637" t="s">
        <v>105</v>
      </c>
      <c r="E637" t="s">
        <v>106</v>
      </c>
      <c r="F637" t="s">
        <v>3640</v>
      </c>
      <c r="G637" t="s">
        <v>3641</v>
      </c>
      <c r="H637" t="s">
        <v>3640</v>
      </c>
      <c r="I637" s="88">
        <v>46141.751840277779</v>
      </c>
      <c r="J637" t="s">
        <v>107</v>
      </c>
      <c r="K637" t="s">
        <v>108</v>
      </c>
      <c r="L637" t="s">
        <v>3642</v>
      </c>
      <c r="M637" s="88">
        <v>46143.545856481476</v>
      </c>
      <c r="N637" t="s">
        <v>637</v>
      </c>
      <c r="O637" t="s">
        <v>112</v>
      </c>
      <c r="P637" t="s">
        <v>111</v>
      </c>
      <c r="Q637" t="s">
        <v>2085</v>
      </c>
      <c r="R637">
        <v>6</v>
      </c>
      <c r="S637" s="89">
        <v>9500</v>
      </c>
      <c r="T637" s="89">
        <v>0</v>
      </c>
      <c r="U637" s="89">
        <v>20080</v>
      </c>
      <c r="V637" s="89">
        <v>20080</v>
      </c>
      <c r="W637" s="89">
        <v>36920</v>
      </c>
    </row>
    <row r="638" spans="1:23" ht="13">
      <c r="A638" t="s">
        <v>3643</v>
      </c>
      <c r="B638" t="s">
        <v>3644</v>
      </c>
      <c r="C638" s="88">
        <v>46151.029131944444</v>
      </c>
      <c r="D638" t="s">
        <v>105</v>
      </c>
      <c r="E638" t="s">
        <v>106</v>
      </c>
      <c r="F638" t="s">
        <v>3645</v>
      </c>
      <c r="G638" t="s">
        <v>3646</v>
      </c>
      <c r="H638" t="s">
        <v>3645</v>
      </c>
      <c r="I638" s="88">
        <v>46141.751851851848</v>
      </c>
      <c r="J638" t="s">
        <v>107</v>
      </c>
      <c r="K638" t="s">
        <v>108</v>
      </c>
      <c r="L638" t="s">
        <v>3647</v>
      </c>
      <c r="M638" s="88">
        <v>46143.674328703702</v>
      </c>
      <c r="N638" t="s">
        <v>637</v>
      </c>
      <c r="O638" t="s">
        <v>112</v>
      </c>
      <c r="P638" t="s">
        <v>111</v>
      </c>
      <c r="Q638" t="s">
        <v>2085</v>
      </c>
      <c r="R638">
        <v>5</v>
      </c>
      <c r="S638" s="89">
        <v>9500</v>
      </c>
      <c r="T638" s="89">
        <v>0</v>
      </c>
      <c r="U638" s="89">
        <v>10450</v>
      </c>
      <c r="V638" s="89">
        <v>10450</v>
      </c>
      <c r="W638" s="89">
        <v>37050</v>
      </c>
    </row>
    <row r="639" spans="1:23" ht="13">
      <c r="A639" t="s">
        <v>3648</v>
      </c>
      <c r="B639" t="s">
        <v>3649</v>
      </c>
      <c r="C639" s="88">
        <v>46151.029131944444</v>
      </c>
      <c r="D639" t="s">
        <v>105</v>
      </c>
      <c r="E639" t="s">
        <v>106</v>
      </c>
      <c r="F639" t="s">
        <v>3650</v>
      </c>
      <c r="G639" t="s">
        <v>3651</v>
      </c>
      <c r="H639" t="s">
        <v>3650</v>
      </c>
      <c r="I639" s="88">
        <v>46141.751840277779</v>
      </c>
      <c r="J639" t="s">
        <v>107</v>
      </c>
      <c r="K639" t="s">
        <v>108</v>
      </c>
      <c r="L639" t="s">
        <v>3652</v>
      </c>
      <c r="M639" s="88">
        <v>46143.6716087963</v>
      </c>
      <c r="N639" t="s">
        <v>637</v>
      </c>
      <c r="O639" t="s">
        <v>112</v>
      </c>
      <c r="P639" t="s">
        <v>111</v>
      </c>
      <c r="Q639" t="s">
        <v>2085</v>
      </c>
      <c r="R639">
        <v>2</v>
      </c>
      <c r="S639" s="89">
        <v>9500</v>
      </c>
      <c r="T639" s="89">
        <v>0</v>
      </c>
      <c r="U639" s="89">
        <v>4280</v>
      </c>
      <c r="V639" s="89">
        <v>4280</v>
      </c>
      <c r="W639" s="89">
        <v>14720</v>
      </c>
    </row>
    <row r="640" spans="1:23" ht="13">
      <c r="A640" t="s">
        <v>3653</v>
      </c>
      <c r="B640" t="s">
        <v>3654</v>
      </c>
      <c r="C640" s="88">
        <v>46151.029131944444</v>
      </c>
      <c r="D640" t="s">
        <v>105</v>
      </c>
      <c r="E640" t="s">
        <v>106</v>
      </c>
      <c r="F640" t="s">
        <v>3655</v>
      </c>
      <c r="G640" t="s">
        <v>3656</v>
      </c>
      <c r="H640" t="s">
        <v>3655</v>
      </c>
      <c r="I640" s="88">
        <v>46141.751840277779</v>
      </c>
      <c r="J640" t="s">
        <v>107</v>
      </c>
      <c r="K640" t="s">
        <v>108</v>
      </c>
      <c r="L640" t="s">
        <v>3657</v>
      </c>
      <c r="M640" s="88">
        <v>46143.619745370372</v>
      </c>
      <c r="N640" t="s">
        <v>637</v>
      </c>
      <c r="O640" t="s">
        <v>112</v>
      </c>
      <c r="P640" t="s">
        <v>111</v>
      </c>
      <c r="Q640" t="s">
        <v>2085</v>
      </c>
      <c r="R640">
        <v>5</v>
      </c>
      <c r="S640" s="89">
        <v>9500</v>
      </c>
      <c r="T640" s="89">
        <v>0</v>
      </c>
      <c r="U640" s="89">
        <v>10550</v>
      </c>
      <c r="V640" s="89">
        <v>10550</v>
      </c>
      <c r="W640" s="89">
        <v>36950</v>
      </c>
    </row>
    <row r="641" spans="1:23" ht="13">
      <c r="A641" t="s">
        <v>3658</v>
      </c>
      <c r="B641" t="s">
        <v>3659</v>
      </c>
      <c r="C641" s="88">
        <v>46151.029085648144</v>
      </c>
      <c r="D641" t="s">
        <v>105</v>
      </c>
      <c r="E641" t="s">
        <v>106</v>
      </c>
      <c r="F641" t="s">
        <v>3660</v>
      </c>
      <c r="G641" t="s">
        <v>3661</v>
      </c>
      <c r="H641" t="s">
        <v>3660</v>
      </c>
      <c r="I641" s="88">
        <v>46141.751956018517</v>
      </c>
      <c r="J641" t="s">
        <v>107</v>
      </c>
      <c r="K641" t="s">
        <v>108</v>
      </c>
      <c r="L641" t="s">
        <v>3662</v>
      </c>
      <c r="M641" s="88">
        <v>46143.428865740745</v>
      </c>
      <c r="N641" t="s">
        <v>637</v>
      </c>
      <c r="O641" t="s">
        <v>112</v>
      </c>
      <c r="P641" t="s">
        <v>111</v>
      </c>
      <c r="Q641" t="s">
        <v>2085</v>
      </c>
      <c r="R641">
        <v>2</v>
      </c>
      <c r="S641" s="89">
        <v>9500</v>
      </c>
      <c r="T641" s="89">
        <v>0</v>
      </c>
      <c r="U641" s="89">
        <v>4180</v>
      </c>
      <c r="V641" s="89">
        <v>4180</v>
      </c>
      <c r="W641" s="89">
        <v>14820</v>
      </c>
    </row>
    <row r="642" spans="1:23" ht="13">
      <c r="A642" t="s">
        <v>3663</v>
      </c>
      <c r="B642" t="s">
        <v>3664</v>
      </c>
      <c r="C642" s="88">
        <v>46151.029085648144</v>
      </c>
      <c r="D642" t="s">
        <v>105</v>
      </c>
      <c r="E642" t="s">
        <v>106</v>
      </c>
      <c r="F642" t="s">
        <v>3665</v>
      </c>
      <c r="G642" t="s">
        <v>3666</v>
      </c>
      <c r="H642" t="s">
        <v>3665</v>
      </c>
      <c r="I642" s="88">
        <v>46141.751956018517</v>
      </c>
      <c r="J642" t="s">
        <v>107</v>
      </c>
      <c r="K642" t="s">
        <v>108</v>
      </c>
      <c r="L642" t="s">
        <v>3667</v>
      </c>
      <c r="M642" s="88">
        <v>46143.524212962962</v>
      </c>
      <c r="N642" t="s">
        <v>637</v>
      </c>
      <c r="O642" t="s">
        <v>112</v>
      </c>
      <c r="P642" t="s">
        <v>111</v>
      </c>
      <c r="Q642" t="s">
        <v>2085</v>
      </c>
      <c r="R642">
        <v>1</v>
      </c>
      <c r="S642" s="89">
        <v>9500</v>
      </c>
      <c r="T642" s="89">
        <v>0</v>
      </c>
      <c r="U642" s="89">
        <v>2190</v>
      </c>
      <c r="V642" s="89">
        <v>2190</v>
      </c>
      <c r="W642" s="89">
        <v>7310</v>
      </c>
    </row>
    <row r="643" spans="1:23" ht="13">
      <c r="A643" t="s">
        <v>3668</v>
      </c>
      <c r="B643" t="s">
        <v>3669</v>
      </c>
      <c r="C643" s="88">
        <v>46151.029085648144</v>
      </c>
      <c r="D643" t="s">
        <v>105</v>
      </c>
      <c r="E643" t="s">
        <v>106</v>
      </c>
      <c r="F643" t="s">
        <v>384</v>
      </c>
      <c r="G643" t="s">
        <v>3670</v>
      </c>
      <c r="H643" t="s">
        <v>384</v>
      </c>
      <c r="I643" s="88">
        <v>46141.751956018517</v>
      </c>
      <c r="J643" t="s">
        <v>107</v>
      </c>
      <c r="K643" t="s">
        <v>108</v>
      </c>
      <c r="L643" t="s">
        <v>3671</v>
      </c>
      <c r="M643" s="88">
        <v>46143.463923611111</v>
      </c>
      <c r="N643" t="s">
        <v>637</v>
      </c>
      <c r="O643" t="s">
        <v>112</v>
      </c>
      <c r="P643" t="s">
        <v>111</v>
      </c>
      <c r="Q643" t="s">
        <v>2085</v>
      </c>
      <c r="R643">
        <v>6</v>
      </c>
      <c r="S643" s="89">
        <v>9500</v>
      </c>
      <c r="T643" s="89">
        <v>0</v>
      </c>
      <c r="U643" s="89">
        <v>20080</v>
      </c>
      <c r="V643" s="89">
        <v>20080</v>
      </c>
      <c r="W643" s="89">
        <v>36920</v>
      </c>
    </row>
    <row r="644" spans="1:23" ht="13">
      <c r="A644" t="s">
        <v>3672</v>
      </c>
      <c r="B644" t="s">
        <v>3673</v>
      </c>
      <c r="C644" s="88">
        <v>46151.029085648144</v>
      </c>
      <c r="D644" t="s">
        <v>105</v>
      </c>
      <c r="E644" t="s">
        <v>106</v>
      </c>
      <c r="F644" t="s">
        <v>3674</v>
      </c>
      <c r="G644" t="s">
        <v>3675</v>
      </c>
      <c r="H644" t="s">
        <v>3674</v>
      </c>
      <c r="I644" s="88">
        <v>46141.751909722225</v>
      </c>
      <c r="J644" t="s">
        <v>107</v>
      </c>
      <c r="K644" t="s">
        <v>108</v>
      </c>
      <c r="L644" t="s">
        <v>3676</v>
      </c>
      <c r="M644" s="88">
        <v>46143.549409722225</v>
      </c>
      <c r="N644" t="s">
        <v>637</v>
      </c>
      <c r="O644" t="s">
        <v>112</v>
      </c>
      <c r="P644" t="s">
        <v>111</v>
      </c>
      <c r="Q644" t="s">
        <v>2085</v>
      </c>
      <c r="R644">
        <v>1</v>
      </c>
      <c r="S644" s="89">
        <v>9500</v>
      </c>
      <c r="T644" s="89">
        <v>0</v>
      </c>
      <c r="U644" s="89">
        <v>2190</v>
      </c>
      <c r="V644" s="89">
        <v>4280</v>
      </c>
      <c r="W644" s="89">
        <v>7310</v>
      </c>
    </row>
    <row r="645" spans="1:23" ht="13">
      <c r="A645" t="s">
        <v>3677</v>
      </c>
      <c r="B645" t="s">
        <v>3678</v>
      </c>
      <c r="C645" s="88">
        <v>46151.029085648144</v>
      </c>
      <c r="D645" t="s">
        <v>105</v>
      </c>
      <c r="E645" t="s">
        <v>106</v>
      </c>
      <c r="F645" t="s">
        <v>260</v>
      </c>
      <c r="G645" t="s">
        <v>261</v>
      </c>
      <c r="H645" t="s">
        <v>260</v>
      </c>
      <c r="I645" s="88">
        <v>46141.751886574071</v>
      </c>
      <c r="J645" t="s">
        <v>107</v>
      </c>
      <c r="K645" t="s">
        <v>108</v>
      </c>
      <c r="L645" t="s">
        <v>3679</v>
      </c>
      <c r="M645" s="88">
        <v>46143.54587962963</v>
      </c>
      <c r="N645" t="s">
        <v>637</v>
      </c>
      <c r="O645" t="s">
        <v>112</v>
      </c>
      <c r="P645" t="s">
        <v>111</v>
      </c>
      <c r="Q645" t="s">
        <v>2085</v>
      </c>
      <c r="R645">
        <v>6</v>
      </c>
      <c r="S645" s="89">
        <v>9500</v>
      </c>
      <c r="T645" s="89">
        <v>0</v>
      </c>
      <c r="U645" s="89">
        <v>19980</v>
      </c>
      <c r="V645" s="89">
        <v>19980</v>
      </c>
      <c r="W645" s="89">
        <v>37020</v>
      </c>
    </row>
    <row r="646" spans="1:23" ht="13">
      <c r="A646" t="s">
        <v>3680</v>
      </c>
      <c r="B646" t="s">
        <v>3681</v>
      </c>
      <c r="C646" s="88">
        <v>46151.029085648144</v>
      </c>
      <c r="D646" t="s">
        <v>105</v>
      </c>
      <c r="E646" t="s">
        <v>106</v>
      </c>
      <c r="F646" t="s">
        <v>3682</v>
      </c>
      <c r="G646" t="s">
        <v>3683</v>
      </c>
      <c r="H646" t="s">
        <v>3682</v>
      </c>
      <c r="I646" s="88">
        <v>46141.751863425925</v>
      </c>
      <c r="J646" t="s">
        <v>107</v>
      </c>
      <c r="K646" t="s">
        <v>108</v>
      </c>
      <c r="L646" t="s">
        <v>3684</v>
      </c>
      <c r="M646" s="88">
        <v>46143.756215277783</v>
      </c>
      <c r="N646" t="s">
        <v>637</v>
      </c>
      <c r="O646" t="s">
        <v>112</v>
      </c>
      <c r="P646" t="s">
        <v>111</v>
      </c>
      <c r="Q646" t="s">
        <v>2085</v>
      </c>
      <c r="R646">
        <v>6</v>
      </c>
      <c r="S646" s="89">
        <v>9500</v>
      </c>
      <c r="T646" s="89">
        <v>0</v>
      </c>
      <c r="U646" s="89">
        <v>20080</v>
      </c>
      <c r="V646" s="89">
        <v>20080</v>
      </c>
      <c r="W646" s="89">
        <v>36920</v>
      </c>
    </row>
    <row r="647" spans="1:23" ht="13">
      <c r="A647" t="s">
        <v>3685</v>
      </c>
      <c r="B647" t="s">
        <v>3686</v>
      </c>
      <c r="C647" s="88">
        <v>46151.029085648144</v>
      </c>
      <c r="D647" t="s">
        <v>105</v>
      </c>
      <c r="E647" t="s">
        <v>106</v>
      </c>
      <c r="F647" t="s">
        <v>3687</v>
      </c>
      <c r="G647" t="s">
        <v>3688</v>
      </c>
      <c r="H647" t="s">
        <v>3687</v>
      </c>
      <c r="I647" s="88">
        <v>46141.751851851848</v>
      </c>
      <c r="J647" t="s">
        <v>107</v>
      </c>
      <c r="K647" t="s">
        <v>108</v>
      </c>
      <c r="L647" t="s">
        <v>3689</v>
      </c>
      <c r="M647" s="88">
        <v>46143.524212962962</v>
      </c>
      <c r="N647" t="s">
        <v>637</v>
      </c>
      <c r="O647" t="s">
        <v>112</v>
      </c>
      <c r="P647" t="s">
        <v>111</v>
      </c>
      <c r="Q647" t="s">
        <v>2085</v>
      </c>
      <c r="R647">
        <v>3</v>
      </c>
      <c r="S647" s="89">
        <v>9500</v>
      </c>
      <c r="T647" s="89">
        <v>0</v>
      </c>
      <c r="U647" s="89">
        <v>6270</v>
      </c>
      <c r="V647" s="89">
        <v>6270</v>
      </c>
      <c r="W647" s="89">
        <v>22230</v>
      </c>
    </row>
    <row r="648" spans="1:23" ht="13">
      <c r="A648" t="s">
        <v>3690</v>
      </c>
      <c r="B648" t="s">
        <v>3691</v>
      </c>
      <c r="C648" s="88">
        <v>46151.029074074075</v>
      </c>
      <c r="D648" t="s">
        <v>105</v>
      </c>
      <c r="E648" t="s">
        <v>106</v>
      </c>
      <c r="F648" t="s">
        <v>3692</v>
      </c>
      <c r="G648" t="s">
        <v>3693</v>
      </c>
      <c r="H648" t="s">
        <v>3692</v>
      </c>
      <c r="I648" s="88">
        <v>46141.751840277779</v>
      </c>
      <c r="J648" t="s">
        <v>107</v>
      </c>
      <c r="K648" t="s">
        <v>108</v>
      </c>
      <c r="L648" t="s">
        <v>3694</v>
      </c>
      <c r="M648" s="88">
        <v>46143.758310185185</v>
      </c>
      <c r="N648" t="s">
        <v>637</v>
      </c>
      <c r="O648" t="s">
        <v>112</v>
      </c>
      <c r="P648" t="s">
        <v>111</v>
      </c>
      <c r="Q648" t="s">
        <v>2085</v>
      </c>
      <c r="R648">
        <v>6</v>
      </c>
      <c r="S648" s="89">
        <v>9500</v>
      </c>
      <c r="T648" s="89">
        <v>0</v>
      </c>
      <c r="U648" s="89">
        <v>20080</v>
      </c>
      <c r="V648" s="89">
        <v>20080</v>
      </c>
      <c r="W648" s="89">
        <v>36920</v>
      </c>
    </row>
    <row r="649" spans="1:23" ht="13">
      <c r="A649" t="s">
        <v>3695</v>
      </c>
      <c r="B649" t="s">
        <v>3696</v>
      </c>
      <c r="C649" s="88">
        <v>46151.029074074075</v>
      </c>
      <c r="D649" t="s">
        <v>105</v>
      </c>
      <c r="E649" t="s">
        <v>106</v>
      </c>
      <c r="F649" t="s">
        <v>3697</v>
      </c>
      <c r="G649" t="s">
        <v>3698</v>
      </c>
      <c r="H649" t="s">
        <v>3697</v>
      </c>
      <c r="I649" s="88">
        <v>46141.751840277779</v>
      </c>
      <c r="J649" t="s">
        <v>107</v>
      </c>
      <c r="K649" t="s">
        <v>108</v>
      </c>
      <c r="L649" t="s">
        <v>3699</v>
      </c>
      <c r="M649" s="88">
        <v>46143.671597222223</v>
      </c>
      <c r="N649" t="s">
        <v>637</v>
      </c>
      <c r="O649" t="s">
        <v>112</v>
      </c>
      <c r="P649" t="s">
        <v>111</v>
      </c>
      <c r="Q649" t="s">
        <v>2085</v>
      </c>
      <c r="R649">
        <v>2</v>
      </c>
      <c r="S649" s="89">
        <v>9500</v>
      </c>
      <c r="T649" s="89">
        <v>0</v>
      </c>
      <c r="U649" s="89">
        <v>4280</v>
      </c>
      <c r="V649" s="89">
        <v>4280</v>
      </c>
      <c r="W649" s="89">
        <v>14720</v>
      </c>
    </row>
    <row r="650" spans="1:23" ht="13">
      <c r="A650" t="s">
        <v>3700</v>
      </c>
      <c r="B650" t="s">
        <v>3701</v>
      </c>
      <c r="C650" s="88">
        <v>46151.029074074075</v>
      </c>
      <c r="D650" t="s">
        <v>105</v>
      </c>
      <c r="E650" t="s">
        <v>106</v>
      </c>
      <c r="F650" t="s">
        <v>3702</v>
      </c>
      <c r="G650" t="s">
        <v>259</v>
      </c>
      <c r="H650" t="s">
        <v>3702</v>
      </c>
      <c r="I650" s="88">
        <v>46141.751828703702</v>
      </c>
      <c r="J650" t="s">
        <v>107</v>
      </c>
      <c r="K650" t="s">
        <v>108</v>
      </c>
      <c r="L650" t="s">
        <v>3703</v>
      </c>
      <c r="M650" s="88">
        <v>46143.46738425926</v>
      </c>
      <c r="N650" t="s">
        <v>637</v>
      </c>
      <c r="O650" t="s">
        <v>112</v>
      </c>
      <c r="P650" t="s">
        <v>111</v>
      </c>
      <c r="Q650" t="s">
        <v>2085</v>
      </c>
      <c r="R650">
        <v>3</v>
      </c>
      <c r="S650" s="89">
        <v>9500</v>
      </c>
      <c r="T650" s="89">
        <v>0</v>
      </c>
      <c r="U650" s="89">
        <v>6270</v>
      </c>
      <c r="V650" s="89">
        <v>6270</v>
      </c>
      <c r="W650" s="89">
        <v>22230</v>
      </c>
    </row>
    <row r="651" spans="1:23" ht="13">
      <c r="A651" t="s">
        <v>3704</v>
      </c>
      <c r="B651" t="s">
        <v>3705</v>
      </c>
      <c r="C651" s="88">
        <v>46151.028333333335</v>
      </c>
      <c r="D651" t="s">
        <v>105</v>
      </c>
      <c r="E651" t="s">
        <v>106</v>
      </c>
      <c r="F651" t="s">
        <v>3706</v>
      </c>
      <c r="G651" t="s">
        <v>3707</v>
      </c>
      <c r="H651" t="s">
        <v>3706</v>
      </c>
      <c r="I651" s="88">
        <v>46141.751956018517</v>
      </c>
      <c r="J651" t="s">
        <v>107</v>
      </c>
      <c r="K651" t="s">
        <v>108</v>
      </c>
      <c r="L651" t="s">
        <v>3708</v>
      </c>
      <c r="M651" s="88">
        <v>46143.549409722225</v>
      </c>
      <c r="N651" t="s">
        <v>637</v>
      </c>
      <c r="O651" t="s">
        <v>112</v>
      </c>
      <c r="P651" t="s">
        <v>111</v>
      </c>
      <c r="Q651" t="s">
        <v>2085</v>
      </c>
      <c r="R651">
        <v>6</v>
      </c>
      <c r="S651" s="89">
        <v>9500</v>
      </c>
      <c r="T651" s="89">
        <v>0</v>
      </c>
      <c r="U651" s="89">
        <v>20080</v>
      </c>
      <c r="V651" s="89">
        <v>20080</v>
      </c>
      <c r="W651" s="89">
        <v>36920</v>
      </c>
    </row>
    <row r="652" spans="1:23" ht="13">
      <c r="A652" t="s">
        <v>3709</v>
      </c>
      <c r="B652" t="s">
        <v>3710</v>
      </c>
      <c r="C652" s="88">
        <v>46151.028333333335</v>
      </c>
      <c r="D652" t="s">
        <v>105</v>
      </c>
      <c r="E652" t="s">
        <v>106</v>
      </c>
      <c r="F652" t="s">
        <v>3711</v>
      </c>
      <c r="G652" t="s">
        <v>3712</v>
      </c>
      <c r="H652" t="s">
        <v>3711</v>
      </c>
      <c r="I652" s="88">
        <v>46141.751909722225</v>
      </c>
      <c r="J652" t="s">
        <v>107</v>
      </c>
      <c r="K652" t="s">
        <v>108</v>
      </c>
      <c r="L652" t="s">
        <v>3713</v>
      </c>
      <c r="M652" s="88">
        <v>46143.670833333337</v>
      </c>
      <c r="N652" t="s">
        <v>637</v>
      </c>
      <c r="O652" t="s">
        <v>112</v>
      </c>
      <c r="P652" t="s">
        <v>111</v>
      </c>
      <c r="Q652" t="s">
        <v>2085</v>
      </c>
      <c r="R652">
        <v>1</v>
      </c>
      <c r="S652" s="89">
        <v>9500</v>
      </c>
      <c r="T652" s="89">
        <v>0</v>
      </c>
      <c r="U652" s="89">
        <v>2090</v>
      </c>
      <c r="V652" s="89">
        <v>2090</v>
      </c>
      <c r="W652" s="89">
        <v>7410</v>
      </c>
    </row>
    <row r="653" spans="1:23" ht="13">
      <c r="A653" t="s">
        <v>3714</v>
      </c>
      <c r="B653" t="s">
        <v>3715</v>
      </c>
      <c r="C653" s="88">
        <v>46151.028333333335</v>
      </c>
      <c r="D653" t="s">
        <v>105</v>
      </c>
      <c r="E653" t="s">
        <v>106</v>
      </c>
      <c r="F653" t="s">
        <v>3716</v>
      </c>
      <c r="G653" t="s">
        <v>3717</v>
      </c>
      <c r="H653" t="s">
        <v>3716</v>
      </c>
      <c r="I653" s="88">
        <v>46141.751886574071</v>
      </c>
      <c r="J653" t="s">
        <v>107</v>
      </c>
      <c r="K653" t="s">
        <v>108</v>
      </c>
      <c r="L653" t="s">
        <v>3718</v>
      </c>
      <c r="M653" s="88">
        <v>46143.54586805556</v>
      </c>
      <c r="N653" t="s">
        <v>637</v>
      </c>
      <c r="O653" t="s">
        <v>112</v>
      </c>
      <c r="P653" t="s">
        <v>111</v>
      </c>
      <c r="Q653" t="s">
        <v>2085</v>
      </c>
      <c r="R653">
        <v>6</v>
      </c>
      <c r="S653" s="89">
        <v>9500</v>
      </c>
      <c r="T653" s="89">
        <v>0</v>
      </c>
      <c r="U653" s="89">
        <v>20080</v>
      </c>
      <c r="V653" s="89">
        <v>20080</v>
      </c>
      <c r="W653" s="89">
        <v>36920</v>
      </c>
    </row>
    <row r="654" spans="1:23" ht="13">
      <c r="A654" t="s">
        <v>3719</v>
      </c>
      <c r="B654" t="s">
        <v>3720</v>
      </c>
      <c r="C654" s="88">
        <v>46151.028321759259</v>
      </c>
      <c r="D654" t="s">
        <v>105</v>
      </c>
      <c r="E654" t="s">
        <v>106</v>
      </c>
      <c r="F654" t="s">
        <v>305</v>
      </c>
      <c r="G654" t="s">
        <v>3721</v>
      </c>
      <c r="H654" t="s">
        <v>305</v>
      </c>
      <c r="I654" s="88">
        <v>46141.751886574071</v>
      </c>
      <c r="J654" t="s">
        <v>107</v>
      </c>
      <c r="K654" t="s">
        <v>108</v>
      </c>
      <c r="L654" t="s">
        <v>3722</v>
      </c>
      <c r="M654" s="88">
        <v>46143.550717592589</v>
      </c>
      <c r="N654" t="s">
        <v>637</v>
      </c>
      <c r="O654" t="s">
        <v>112</v>
      </c>
      <c r="P654" t="s">
        <v>111</v>
      </c>
      <c r="Q654" t="s">
        <v>2085</v>
      </c>
      <c r="R654">
        <v>6</v>
      </c>
      <c r="S654" s="89">
        <v>9500</v>
      </c>
      <c r="T654" s="89">
        <v>0</v>
      </c>
      <c r="U654" s="89">
        <v>20080</v>
      </c>
      <c r="V654" s="89">
        <v>20080</v>
      </c>
      <c r="W654" s="89">
        <v>36920</v>
      </c>
    </row>
    <row r="655" spans="1:23" ht="13">
      <c r="A655" t="s">
        <v>3723</v>
      </c>
      <c r="B655" t="s">
        <v>3724</v>
      </c>
      <c r="C655" s="88">
        <v>46151.028321759259</v>
      </c>
      <c r="D655" t="s">
        <v>105</v>
      </c>
      <c r="E655" t="s">
        <v>106</v>
      </c>
      <c r="F655" t="s">
        <v>3725</v>
      </c>
      <c r="G655" t="s">
        <v>3726</v>
      </c>
      <c r="H655" t="s">
        <v>3727</v>
      </c>
      <c r="I655" s="88">
        <v>46141.751886574071</v>
      </c>
      <c r="J655" t="s">
        <v>107</v>
      </c>
      <c r="K655" t="s">
        <v>108</v>
      </c>
      <c r="L655" t="s">
        <v>3728</v>
      </c>
      <c r="M655" s="88">
        <v>46143.541932870372</v>
      </c>
      <c r="N655" t="s">
        <v>637</v>
      </c>
      <c r="O655" t="s">
        <v>112</v>
      </c>
      <c r="P655" t="s">
        <v>111</v>
      </c>
      <c r="Q655" t="s">
        <v>2085</v>
      </c>
      <c r="R655">
        <v>3</v>
      </c>
      <c r="S655" s="89">
        <v>9500</v>
      </c>
      <c r="T655" s="89">
        <v>0</v>
      </c>
      <c r="U655" s="89">
        <v>6270</v>
      </c>
      <c r="V655" s="89">
        <v>6270</v>
      </c>
      <c r="W655" s="89">
        <v>22230</v>
      </c>
    </row>
    <row r="656" spans="1:23" ht="13">
      <c r="A656" t="s">
        <v>3729</v>
      </c>
      <c r="B656" t="s">
        <v>3730</v>
      </c>
      <c r="C656" s="88">
        <v>46151.028321759259</v>
      </c>
      <c r="D656" t="s">
        <v>105</v>
      </c>
      <c r="E656" t="s">
        <v>106</v>
      </c>
      <c r="F656" t="s">
        <v>3731</v>
      </c>
      <c r="G656" t="s">
        <v>3732</v>
      </c>
      <c r="H656" t="s">
        <v>3731</v>
      </c>
      <c r="I656" s="88">
        <v>46141.751886574071</v>
      </c>
      <c r="J656" t="s">
        <v>107</v>
      </c>
      <c r="K656" t="s">
        <v>108</v>
      </c>
      <c r="L656" t="s">
        <v>3733</v>
      </c>
      <c r="M656" s="88">
        <v>46143.549409722225</v>
      </c>
      <c r="N656" t="s">
        <v>637</v>
      </c>
      <c r="O656" t="s">
        <v>112</v>
      </c>
      <c r="P656" t="s">
        <v>111</v>
      </c>
      <c r="Q656" t="s">
        <v>2085</v>
      </c>
      <c r="R656">
        <v>6</v>
      </c>
      <c r="S656" s="89">
        <v>9500</v>
      </c>
      <c r="T656" s="89">
        <v>0</v>
      </c>
      <c r="U656" s="89">
        <v>19980</v>
      </c>
      <c r="V656" s="89">
        <v>19980</v>
      </c>
      <c r="W656" s="89">
        <v>37020</v>
      </c>
    </row>
    <row r="657" spans="1:23" ht="13">
      <c r="A657" t="s">
        <v>3734</v>
      </c>
      <c r="B657" t="s">
        <v>3735</v>
      </c>
      <c r="C657" s="88">
        <v>46151.028321759259</v>
      </c>
      <c r="D657" t="s">
        <v>105</v>
      </c>
      <c r="E657" t="s">
        <v>106</v>
      </c>
      <c r="F657" t="s">
        <v>3736</v>
      </c>
      <c r="G657" t="s">
        <v>3737</v>
      </c>
      <c r="H657" t="s">
        <v>3736</v>
      </c>
      <c r="I657" s="88">
        <v>46141.751851851848</v>
      </c>
      <c r="J657" t="s">
        <v>107</v>
      </c>
      <c r="K657" t="s">
        <v>108</v>
      </c>
      <c r="L657" t="s">
        <v>3738</v>
      </c>
      <c r="M657" s="88">
        <v>46143.463923611111</v>
      </c>
      <c r="N657" t="s">
        <v>637</v>
      </c>
      <c r="O657" t="s">
        <v>112</v>
      </c>
      <c r="P657" t="s">
        <v>111</v>
      </c>
      <c r="Q657" t="s">
        <v>2085</v>
      </c>
      <c r="R657">
        <v>3</v>
      </c>
      <c r="S657" s="89">
        <v>9500</v>
      </c>
      <c r="T657" s="89">
        <v>0</v>
      </c>
      <c r="U657" s="89">
        <v>6370</v>
      </c>
      <c r="V657" s="89">
        <v>6370</v>
      </c>
      <c r="W657" s="89">
        <v>22130</v>
      </c>
    </row>
    <row r="658" spans="1:23" ht="13">
      <c r="A658" t="s">
        <v>3739</v>
      </c>
      <c r="B658" t="s">
        <v>3740</v>
      </c>
      <c r="C658" s="88">
        <v>46151.028321759259</v>
      </c>
      <c r="D658" t="s">
        <v>105</v>
      </c>
      <c r="E658" t="s">
        <v>106</v>
      </c>
      <c r="F658" t="s">
        <v>3195</v>
      </c>
      <c r="G658" t="s">
        <v>3741</v>
      </c>
      <c r="H658" t="s">
        <v>3195</v>
      </c>
      <c r="I658" s="88">
        <v>46141.751840277779</v>
      </c>
      <c r="J658" t="s">
        <v>107</v>
      </c>
      <c r="K658" t="s">
        <v>108</v>
      </c>
      <c r="L658" t="s">
        <v>3742</v>
      </c>
      <c r="M658" s="88">
        <v>46143.476597222223</v>
      </c>
      <c r="N658" t="s">
        <v>637</v>
      </c>
      <c r="O658" t="s">
        <v>112</v>
      </c>
      <c r="P658" t="s">
        <v>111</v>
      </c>
      <c r="Q658" t="s">
        <v>2085</v>
      </c>
      <c r="R658">
        <v>4</v>
      </c>
      <c r="S658" s="89">
        <v>9500</v>
      </c>
      <c r="T658" s="89">
        <v>0</v>
      </c>
      <c r="U658" s="89">
        <v>8460</v>
      </c>
      <c r="V658" s="89">
        <v>8460</v>
      </c>
      <c r="W658" s="89">
        <v>29540</v>
      </c>
    </row>
    <row r="659" spans="1:23" ht="13">
      <c r="A659" t="s">
        <v>3743</v>
      </c>
      <c r="B659" t="s">
        <v>3744</v>
      </c>
      <c r="C659" s="88">
        <v>46151.028321759259</v>
      </c>
      <c r="D659" t="s">
        <v>105</v>
      </c>
      <c r="E659" t="s">
        <v>106</v>
      </c>
      <c r="F659" t="s">
        <v>3745</v>
      </c>
      <c r="G659" t="s">
        <v>3746</v>
      </c>
      <c r="H659" t="s">
        <v>3745</v>
      </c>
      <c r="I659" s="88">
        <v>46141.751840277779</v>
      </c>
      <c r="J659" t="s">
        <v>107</v>
      </c>
      <c r="K659" t="s">
        <v>108</v>
      </c>
      <c r="L659" t="s">
        <v>3747</v>
      </c>
      <c r="M659" s="88">
        <v>46143.672210648147</v>
      </c>
      <c r="N659" t="s">
        <v>637</v>
      </c>
      <c r="O659" t="s">
        <v>112</v>
      </c>
      <c r="P659" t="s">
        <v>111</v>
      </c>
      <c r="Q659" t="s">
        <v>2085</v>
      </c>
      <c r="R659">
        <v>6</v>
      </c>
      <c r="S659" s="89">
        <v>9500</v>
      </c>
      <c r="T659" s="89">
        <v>0</v>
      </c>
      <c r="U659" s="89">
        <v>20080</v>
      </c>
      <c r="V659" s="89">
        <v>20080</v>
      </c>
      <c r="W659" s="89">
        <v>36920</v>
      </c>
    </row>
    <row r="660" spans="1:23" ht="13">
      <c r="A660" t="s">
        <v>3748</v>
      </c>
      <c r="B660" t="s">
        <v>3749</v>
      </c>
      <c r="C660" s="88">
        <v>46151.027905092589</v>
      </c>
      <c r="D660" t="s">
        <v>105</v>
      </c>
      <c r="E660" t="s">
        <v>106</v>
      </c>
      <c r="F660" t="s">
        <v>3750</v>
      </c>
      <c r="G660" t="s">
        <v>3751</v>
      </c>
      <c r="H660" t="s">
        <v>3750</v>
      </c>
      <c r="I660" s="88">
        <v>46141.751956018517</v>
      </c>
      <c r="J660" t="s">
        <v>107</v>
      </c>
      <c r="K660" t="s">
        <v>108</v>
      </c>
      <c r="L660" t="s">
        <v>3752</v>
      </c>
      <c r="M660" s="88">
        <v>46143.461111111115</v>
      </c>
      <c r="N660" t="s">
        <v>637</v>
      </c>
      <c r="O660" t="s">
        <v>112</v>
      </c>
      <c r="P660" t="s">
        <v>111</v>
      </c>
      <c r="Q660" t="s">
        <v>2085</v>
      </c>
      <c r="R660">
        <v>1</v>
      </c>
      <c r="S660" s="89">
        <v>9500</v>
      </c>
      <c r="T660" s="89">
        <v>0</v>
      </c>
      <c r="U660" s="89">
        <v>2090</v>
      </c>
      <c r="V660" s="89">
        <v>2090</v>
      </c>
      <c r="W660" s="89">
        <v>7410</v>
      </c>
    </row>
    <row r="661" spans="1:23" ht="13">
      <c r="A661" t="s">
        <v>3753</v>
      </c>
      <c r="B661" t="s">
        <v>3754</v>
      </c>
      <c r="C661" s="88">
        <v>46151.027905092589</v>
      </c>
      <c r="D661" t="s">
        <v>105</v>
      </c>
      <c r="E661" t="s">
        <v>106</v>
      </c>
      <c r="F661" t="s">
        <v>3755</v>
      </c>
      <c r="G661" t="s">
        <v>3756</v>
      </c>
      <c r="H661" t="s">
        <v>3755</v>
      </c>
      <c r="I661" s="88">
        <v>46141.751956018517</v>
      </c>
      <c r="J661" t="s">
        <v>107</v>
      </c>
      <c r="K661" t="s">
        <v>108</v>
      </c>
      <c r="L661" t="s">
        <v>3757</v>
      </c>
      <c r="M661" s="88">
        <v>46143.572164351848</v>
      </c>
      <c r="N661" t="s">
        <v>637</v>
      </c>
      <c r="O661" t="s">
        <v>112</v>
      </c>
      <c r="P661" t="s">
        <v>111</v>
      </c>
      <c r="Q661" t="s">
        <v>2085</v>
      </c>
      <c r="R661">
        <v>12</v>
      </c>
      <c r="S661" s="89">
        <v>9500</v>
      </c>
      <c r="T661" s="89">
        <v>0</v>
      </c>
      <c r="U661" s="89">
        <v>40060</v>
      </c>
      <c r="V661" s="89">
        <v>40060</v>
      </c>
      <c r="W661" s="89">
        <v>73940</v>
      </c>
    </row>
    <row r="662" spans="1:23" ht="13">
      <c r="A662" t="s">
        <v>3758</v>
      </c>
      <c r="B662" t="s">
        <v>3759</v>
      </c>
      <c r="C662" s="88">
        <v>46151.027905092589</v>
      </c>
      <c r="D662" t="s">
        <v>105</v>
      </c>
      <c r="E662" t="s">
        <v>106</v>
      </c>
      <c r="F662" t="s">
        <v>3760</v>
      </c>
      <c r="G662" t="s">
        <v>3761</v>
      </c>
      <c r="H662" t="s">
        <v>3760</v>
      </c>
      <c r="I662" s="88">
        <v>46141.751956018517</v>
      </c>
      <c r="J662" t="s">
        <v>107</v>
      </c>
      <c r="K662" t="s">
        <v>108</v>
      </c>
      <c r="L662" t="s">
        <v>3762</v>
      </c>
      <c r="M662" s="88">
        <v>46143.463912037041</v>
      </c>
      <c r="N662" t="s">
        <v>637</v>
      </c>
      <c r="O662" t="s">
        <v>112</v>
      </c>
      <c r="P662" t="s">
        <v>111</v>
      </c>
      <c r="Q662" t="s">
        <v>2085</v>
      </c>
      <c r="R662">
        <v>1</v>
      </c>
      <c r="S662" s="89">
        <v>9500</v>
      </c>
      <c r="T662" s="89">
        <v>0</v>
      </c>
      <c r="U662" s="89">
        <v>2190</v>
      </c>
      <c r="V662" s="89">
        <v>2190</v>
      </c>
      <c r="W662" s="89">
        <v>7310</v>
      </c>
    </row>
    <row r="663" spans="1:23" ht="13">
      <c r="A663" t="s">
        <v>3763</v>
      </c>
      <c r="B663" t="s">
        <v>3764</v>
      </c>
      <c r="C663" s="88">
        <v>46151.027905092589</v>
      </c>
      <c r="D663" t="s">
        <v>105</v>
      </c>
      <c r="E663" t="s">
        <v>106</v>
      </c>
      <c r="F663" t="s">
        <v>3765</v>
      </c>
      <c r="G663" t="s">
        <v>3766</v>
      </c>
      <c r="H663" t="s">
        <v>3767</v>
      </c>
      <c r="I663" s="88">
        <v>46141.751932870371</v>
      </c>
      <c r="J663" t="s">
        <v>107</v>
      </c>
      <c r="K663" t="s">
        <v>108</v>
      </c>
      <c r="L663" t="s">
        <v>3768</v>
      </c>
      <c r="M663" s="88">
        <v>46143.6722337963</v>
      </c>
      <c r="N663" t="s">
        <v>637</v>
      </c>
      <c r="O663" t="s">
        <v>112</v>
      </c>
      <c r="P663" t="s">
        <v>111</v>
      </c>
      <c r="Q663" t="s">
        <v>2085</v>
      </c>
      <c r="R663">
        <v>3</v>
      </c>
      <c r="S663" s="89">
        <v>9500</v>
      </c>
      <c r="T663" s="89">
        <v>0</v>
      </c>
      <c r="U663" s="89">
        <v>6370</v>
      </c>
      <c r="V663" s="89">
        <v>6370</v>
      </c>
      <c r="W663" s="89">
        <v>22130</v>
      </c>
    </row>
    <row r="664" spans="1:23" ht="13">
      <c r="A664" t="s">
        <v>3769</v>
      </c>
      <c r="B664" t="s">
        <v>3770</v>
      </c>
      <c r="C664" s="88">
        <v>46151.02789351852</v>
      </c>
      <c r="D664" t="s">
        <v>105</v>
      </c>
      <c r="E664" t="s">
        <v>106</v>
      </c>
      <c r="F664" t="s">
        <v>580</v>
      </c>
      <c r="G664" t="s">
        <v>3771</v>
      </c>
      <c r="H664" t="s">
        <v>580</v>
      </c>
      <c r="I664" s="88">
        <v>46141.751909722225</v>
      </c>
      <c r="J664" t="s">
        <v>107</v>
      </c>
      <c r="K664" t="s">
        <v>108</v>
      </c>
      <c r="L664" t="s">
        <v>3772</v>
      </c>
      <c r="M664" s="88">
        <v>46143.670844907407</v>
      </c>
      <c r="N664" t="s">
        <v>637</v>
      </c>
      <c r="O664" t="s">
        <v>112</v>
      </c>
      <c r="P664" t="s">
        <v>111</v>
      </c>
      <c r="Q664" t="s">
        <v>2085</v>
      </c>
      <c r="R664">
        <v>1</v>
      </c>
      <c r="S664" s="89">
        <v>9500</v>
      </c>
      <c r="T664" s="89">
        <v>0</v>
      </c>
      <c r="U664" s="89">
        <v>2190</v>
      </c>
      <c r="V664" s="89">
        <v>2190</v>
      </c>
      <c r="W664" s="89">
        <v>7310</v>
      </c>
    </row>
    <row r="665" spans="1:23" ht="13">
      <c r="A665" t="s">
        <v>3773</v>
      </c>
      <c r="B665" t="s">
        <v>3774</v>
      </c>
      <c r="C665" s="88">
        <v>46151.02789351852</v>
      </c>
      <c r="D665" t="s">
        <v>105</v>
      </c>
      <c r="E665" t="s">
        <v>106</v>
      </c>
      <c r="F665" t="s">
        <v>216</v>
      </c>
      <c r="G665" t="s">
        <v>217</v>
      </c>
      <c r="H665" t="s">
        <v>216</v>
      </c>
      <c r="I665" s="88">
        <v>46141.751886574071</v>
      </c>
      <c r="J665" t="s">
        <v>107</v>
      </c>
      <c r="K665" t="s">
        <v>108</v>
      </c>
      <c r="L665" t="s">
        <v>3775</v>
      </c>
      <c r="M665" s="88">
        <v>46143.46597222222</v>
      </c>
      <c r="N665" t="s">
        <v>637</v>
      </c>
      <c r="O665" t="s">
        <v>112</v>
      </c>
      <c r="P665" t="s">
        <v>111</v>
      </c>
      <c r="Q665" t="s">
        <v>2085</v>
      </c>
      <c r="R665">
        <v>6</v>
      </c>
      <c r="S665" s="89">
        <v>9500</v>
      </c>
      <c r="T665" s="89">
        <v>0</v>
      </c>
      <c r="U665" s="89">
        <v>19980</v>
      </c>
      <c r="V665" s="89">
        <v>19980</v>
      </c>
      <c r="W665" s="89">
        <v>37020</v>
      </c>
    </row>
    <row r="666" spans="1:23" ht="13">
      <c r="A666" t="s">
        <v>3776</v>
      </c>
      <c r="B666" t="s">
        <v>3777</v>
      </c>
      <c r="C666" s="88">
        <v>46151.02789351852</v>
      </c>
      <c r="D666" t="s">
        <v>105</v>
      </c>
      <c r="E666" t="s">
        <v>106</v>
      </c>
      <c r="F666" t="s">
        <v>3778</v>
      </c>
      <c r="G666" t="s">
        <v>3779</v>
      </c>
      <c r="H666" t="s">
        <v>3778</v>
      </c>
      <c r="I666" s="88">
        <v>46141.751863425925</v>
      </c>
      <c r="J666" t="s">
        <v>107</v>
      </c>
      <c r="K666" t="s">
        <v>108</v>
      </c>
      <c r="L666" t="s">
        <v>3780</v>
      </c>
      <c r="M666" s="88">
        <v>46143.753449074073</v>
      </c>
      <c r="N666" t="s">
        <v>637</v>
      </c>
      <c r="O666" t="s">
        <v>112</v>
      </c>
      <c r="P666" t="s">
        <v>111</v>
      </c>
      <c r="Q666" t="s">
        <v>2085</v>
      </c>
      <c r="R666">
        <v>4</v>
      </c>
      <c r="S666" s="89">
        <v>9500</v>
      </c>
      <c r="T666" s="89">
        <v>0</v>
      </c>
      <c r="U666" s="89">
        <v>8360</v>
      </c>
      <c r="V666" s="89">
        <v>8360</v>
      </c>
      <c r="W666" s="89">
        <v>29640</v>
      </c>
    </row>
    <row r="667" spans="1:23" ht="13">
      <c r="A667" t="s">
        <v>3781</v>
      </c>
      <c r="B667" t="s">
        <v>3782</v>
      </c>
      <c r="C667" s="88">
        <v>46151.02789351852</v>
      </c>
      <c r="D667" t="s">
        <v>105</v>
      </c>
      <c r="E667" t="s">
        <v>106</v>
      </c>
      <c r="F667" t="s">
        <v>3783</v>
      </c>
      <c r="G667" t="s">
        <v>3784</v>
      </c>
      <c r="H667" t="s">
        <v>3783</v>
      </c>
      <c r="I667" s="88">
        <v>46141.751851851848</v>
      </c>
      <c r="J667" t="s">
        <v>107</v>
      </c>
      <c r="K667" t="s">
        <v>108</v>
      </c>
      <c r="L667" t="s">
        <v>3785</v>
      </c>
      <c r="M667" s="88">
        <v>46143.524212962962</v>
      </c>
      <c r="N667" t="s">
        <v>637</v>
      </c>
      <c r="O667" t="s">
        <v>112</v>
      </c>
      <c r="P667" t="s">
        <v>111</v>
      </c>
      <c r="Q667" t="s">
        <v>2085</v>
      </c>
      <c r="R667">
        <v>2</v>
      </c>
      <c r="S667" s="89">
        <v>9500</v>
      </c>
      <c r="T667" s="89">
        <v>0</v>
      </c>
      <c r="U667" s="89">
        <v>4180</v>
      </c>
      <c r="V667" s="89">
        <v>4180</v>
      </c>
      <c r="W667" s="89">
        <v>14820</v>
      </c>
    </row>
    <row r="668" spans="1:23" ht="13">
      <c r="A668" t="s">
        <v>3786</v>
      </c>
      <c r="B668" t="s">
        <v>3787</v>
      </c>
      <c r="C668" s="88">
        <v>46151.02789351852</v>
      </c>
      <c r="D668" t="s">
        <v>105</v>
      </c>
      <c r="E668" t="s">
        <v>106</v>
      </c>
      <c r="F668" t="s">
        <v>141</v>
      </c>
      <c r="G668" t="s">
        <v>142</v>
      </c>
      <c r="H668" t="s">
        <v>141</v>
      </c>
      <c r="I668" s="88">
        <v>46141.751851851848</v>
      </c>
      <c r="J668" t="s">
        <v>107</v>
      </c>
      <c r="K668" t="s">
        <v>108</v>
      </c>
      <c r="L668" t="s">
        <v>3788</v>
      </c>
      <c r="M668" s="88">
        <v>46143.463900462964</v>
      </c>
      <c r="N668" t="s">
        <v>637</v>
      </c>
      <c r="O668" t="s">
        <v>112</v>
      </c>
      <c r="P668" t="s">
        <v>111</v>
      </c>
      <c r="Q668" t="s">
        <v>2085</v>
      </c>
      <c r="R668">
        <v>6</v>
      </c>
      <c r="S668" s="89">
        <v>9500</v>
      </c>
      <c r="T668" s="89">
        <v>0</v>
      </c>
      <c r="U668" s="89">
        <v>19980</v>
      </c>
      <c r="V668" s="89">
        <v>19980</v>
      </c>
      <c r="W668" s="89">
        <v>37020</v>
      </c>
    </row>
    <row r="669" spans="1:23" ht="13">
      <c r="A669" t="s">
        <v>3789</v>
      </c>
      <c r="B669" t="s">
        <v>3790</v>
      </c>
      <c r="C669" s="88">
        <v>46151.02789351852</v>
      </c>
      <c r="D669" t="s">
        <v>105</v>
      </c>
      <c r="E669" t="s">
        <v>106</v>
      </c>
      <c r="F669" t="s">
        <v>3791</v>
      </c>
      <c r="G669" t="s">
        <v>3792</v>
      </c>
      <c r="H669" t="s">
        <v>3791</v>
      </c>
      <c r="I669" s="88">
        <v>46141.751828703702</v>
      </c>
      <c r="J669" t="s">
        <v>107</v>
      </c>
      <c r="K669" t="s">
        <v>108</v>
      </c>
      <c r="L669" t="s">
        <v>3793</v>
      </c>
      <c r="M669" s="88">
        <v>46143.54587962963</v>
      </c>
      <c r="N669" t="s">
        <v>637</v>
      </c>
      <c r="O669" t="s">
        <v>112</v>
      </c>
      <c r="P669" t="s">
        <v>111</v>
      </c>
      <c r="Q669" t="s">
        <v>2085</v>
      </c>
      <c r="R669">
        <v>6</v>
      </c>
      <c r="S669" s="89">
        <v>9500</v>
      </c>
      <c r="T669" s="89">
        <v>0</v>
      </c>
      <c r="U669" s="89">
        <v>19980</v>
      </c>
      <c r="V669" s="89">
        <v>19980</v>
      </c>
      <c r="W669" s="89">
        <v>37020</v>
      </c>
    </row>
    <row r="670" spans="1:23" ht="13">
      <c r="A670" t="s">
        <v>3794</v>
      </c>
      <c r="B670" t="s">
        <v>3795</v>
      </c>
      <c r="C670" s="88">
        <v>46151.027754629627</v>
      </c>
      <c r="D670" t="s">
        <v>105</v>
      </c>
      <c r="E670" t="s">
        <v>106</v>
      </c>
      <c r="F670" t="s">
        <v>3796</v>
      </c>
      <c r="G670" t="s">
        <v>3797</v>
      </c>
      <c r="H670" t="s">
        <v>3796</v>
      </c>
      <c r="I670" s="88">
        <v>46141.751979166671</v>
      </c>
      <c r="J670" t="s">
        <v>107</v>
      </c>
      <c r="K670" t="s">
        <v>108</v>
      </c>
      <c r="L670" t="s">
        <v>3798</v>
      </c>
      <c r="M670" s="88">
        <v>46143.550706018519</v>
      </c>
      <c r="N670" t="s">
        <v>637</v>
      </c>
      <c r="O670" t="s">
        <v>112</v>
      </c>
      <c r="P670" t="s">
        <v>111</v>
      </c>
      <c r="Q670" t="s">
        <v>2085</v>
      </c>
      <c r="R670">
        <v>1</v>
      </c>
      <c r="S670" s="89">
        <v>9500</v>
      </c>
      <c r="T670" s="89">
        <v>0</v>
      </c>
      <c r="U670" s="89">
        <v>2190</v>
      </c>
      <c r="V670" s="89">
        <v>2190</v>
      </c>
      <c r="W670" s="89">
        <v>7310</v>
      </c>
    </row>
    <row r="671" spans="1:23" ht="13">
      <c r="A671" t="s">
        <v>3799</v>
      </c>
      <c r="B671" t="s">
        <v>3800</v>
      </c>
      <c r="C671" s="88">
        <v>46151.027754629627</v>
      </c>
      <c r="D671" t="s">
        <v>105</v>
      </c>
      <c r="E671" t="s">
        <v>106</v>
      </c>
      <c r="F671" t="s">
        <v>3801</v>
      </c>
      <c r="G671" t="s">
        <v>3802</v>
      </c>
      <c r="H671" t="s">
        <v>3801</v>
      </c>
      <c r="I671" s="88">
        <v>46141.751886574071</v>
      </c>
      <c r="J671" t="s">
        <v>107</v>
      </c>
      <c r="K671" t="s">
        <v>108</v>
      </c>
      <c r="L671" t="s">
        <v>3803</v>
      </c>
      <c r="M671" s="88">
        <v>46143.54586805556</v>
      </c>
      <c r="N671" t="s">
        <v>637</v>
      </c>
      <c r="O671" t="s">
        <v>112</v>
      </c>
      <c r="P671" t="s">
        <v>111</v>
      </c>
      <c r="Q671" t="s">
        <v>2085</v>
      </c>
      <c r="R671">
        <v>3</v>
      </c>
      <c r="S671" s="89">
        <v>9500</v>
      </c>
      <c r="T671" s="89">
        <v>0</v>
      </c>
      <c r="U671" s="89">
        <v>6270</v>
      </c>
      <c r="V671" s="89">
        <v>6270</v>
      </c>
      <c r="W671" s="89">
        <v>22230</v>
      </c>
    </row>
    <row r="672" spans="1:23" ht="13">
      <c r="A672" t="s">
        <v>3804</v>
      </c>
      <c r="B672" t="s">
        <v>3805</v>
      </c>
      <c r="C672" s="88">
        <v>46151.027754629627</v>
      </c>
      <c r="D672" t="s">
        <v>105</v>
      </c>
      <c r="E672" t="s">
        <v>106</v>
      </c>
      <c r="F672" t="s">
        <v>3806</v>
      </c>
      <c r="G672" t="s">
        <v>3807</v>
      </c>
      <c r="H672" t="s">
        <v>3806</v>
      </c>
      <c r="I672" s="88">
        <v>46141.751956018517</v>
      </c>
      <c r="J672" t="s">
        <v>107</v>
      </c>
      <c r="K672" t="s">
        <v>108</v>
      </c>
      <c r="L672" t="s">
        <v>3808</v>
      </c>
      <c r="M672" s="88">
        <v>46143.619745370372</v>
      </c>
      <c r="N672" t="s">
        <v>637</v>
      </c>
      <c r="O672" t="s">
        <v>112</v>
      </c>
      <c r="P672" t="s">
        <v>111</v>
      </c>
      <c r="Q672" t="s">
        <v>2085</v>
      </c>
      <c r="R672">
        <v>6</v>
      </c>
      <c r="S672" s="89">
        <v>9500</v>
      </c>
      <c r="T672" s="89">
        <v>0</v>
      </c>
      <c r="U672" s="89">
        <v>19980</v>
      </c>
      <c r="V672" s="89">
        <v>19980</v>
      </c>
      <c r="W672" s="89">
        <v>37020</v>
      </c>
    </row>
    <row r="673" spans="1:23" ht="13">
      <c r="A673" t="s">
        <v>3809</v>
      </c>
      <c r="B673" t="s">
        <v>3810</v>
      </c>
      <c r="C673" s="88">
        <v>46151.027754629627</v>
      </c>
      <c r="D673" t="s">
        <v>105</v>
      </c>
      <c r="E673" t="s">
        <v>106</v>
      </c>
      <c r="F673" t="s">
        <v>3811</v>
      </c>
      <c r="G673" t="s">
        <v>3812</v>
      </c>
      <c r="H673" t="s">
        <v>3811</v>
      </c>
      <c r="I673" s="88">
        <v>46141.751886574071</v>
      </c>
      <c r="J673" t="s">
        <v>107</v>
      </c>
      <c r="K673" t="s">
        <v>108</v>
      </c>
      <c r="L673" t="s">
        <v>3813</v>
      </c>
      <c r="M673" s="88">
        <v>46143.428854166668</v>
      </c>
      <c r="N673" t="s">
        <v>637</v>
      </c>
      <c r="O673" t="s">
        <v>112</v>
      </c>
      <c r="P673" t="s">
        <v>111</v>
      </c>
      <c r="Q673" t="s">
        <v>2085</v>
      </c>
      <c r="R673">
        <v>6</v>
      </c>
      <c r="S673" s="89">
        <v>9500</v>
      </c>
      <c r="T673" s="89">
        <v>0</v>
      </c>
      <c r="U673" s="89">
        <v>20080</v>
      </c>
      <c r="V673" s="89">
        <v>20080</v>
      </c>
      <c r="W673" s="89">
        <v>36920</v>
      </c>
    </row>
    <row r="674" spans="1:23" ht="13">
      <c r="A674" t="s">
        <v>3814</v>
      </c>
      <c r="B674" t="s">
        <v>3815</v>
      </c>
      <c r="C674" s="88">
        <v>46151.027754629627</v>
      </c>
      <c r="D674" t="s">
        <v>105</v>
      </c>
      <c r="E674" t="s">
        <v>106</v>
      </c>
      <c r="F674" t="s">
        <v>3816</v>
      </c>
      <c r="G674" t="s">
        <v>3817</v>
      </c>
      <c r="H674" t="s">
        <v>3816</v>
      </c>
      <c r="I674" s="88">
        <v>46141.751956018517</v>
      </c>
      <c r="J674" t="s">
        <v>107</v>
      </c>
      <c r="K674" t="s">
        <v>108</v>
      </c>
      <c r="L674" t="s">
        <v>3818</v>
      </c>
      <c r="M674" s="88">
        <v>46143.550717592589</v>
      </c>
      <c r="N674" t="s">
        <v>637</v>
      </c>
      <c r="O674" t="s">
        <v>112</v>
      </c>
      <c r="P674" t="s">
        <v>111</v>
      </c>
      <c r="Q674" t="s">
        <v>2085</v>
      </c>
      <c r="R674">
        <v>6</v>
      </c>
      <c r="S674" s="89">
        <v>9500</v>
      </c>
      <c r="T674" s="89">
        <v>0</v>
      </c>
      <c r="U674" s="89">
        <v>20080</v>
      </c>
      <c r="V674" s="89">
        <v>20080</v>
      </c>
      <c r="W674" s="89">
        <v>36920</v>
      </c>
    </row>
    <row r="675" spans="1:23" ht="13">
      <c r="A675" t="s">
        <v>3819</v>
      </c>
      <c r="B675" t="s">
        <v>3820</v>
      </c>
      <c r="C675" s="88">
        <v>46151.027754629627</v>
      </c>
      <c r="D675" t="s">
        <v>105</v>
      </c>
      <c r="E675" t="s">
        <v>106</v>
      </c>
      <c r="F675" t="s">
        <v>117</v>
      </c>
      <c r="G675" t="s">
        <v>3821</v>
      </c>
      <c r="H675" t="s">
        <v>117</v>
      </c>
      <c r="I675" s="88">
        <v>46141.751863425925</v>
      </c>
      <c r="J675" t="s">
        <v>107</v>
      </c>
      <c r="K675" t="s">
        <v>108</v>
      </c>
      <c r="L675" t="s">
        <v>3822</v>
      </c>
      <c r="M675" s="88">
        <v>46143.671574074076</v>
      </c>
      <c r="N675" t="s">
        <v>637</v>
      </c>
      <c r="O675" t="s">
        <v>112</v>
      </c>
      <c r="P675" t="s">
        <v>111</v>
      </c>
      <c r="Q675" t="s">
        <v>2085</v>
      </c>
      <c r="R675">
        <v>2</v>
      </c>
      <c r="S675" s="89">
        <v>9500</v>
      </c>
      <c r="T675" s="89">
        <v>0</v>
      </c>
      <c r="U675" s="89">
        <v>4280</v>
      </c>
      <c r="V675" s="89">
        <v>4280</v>
      </c>
      <c r="W675" s="89">
        <v>14720</v>
      </c>
    </row>
    <row r="676" spans="1:23" ht="13">
      <c r="A676" t="s">
        <v>3823</v>
      </c>
      <c r="B676" t="s">
        <v>3824</v>
      </c>
      <c r="C676" s="88">
        <v>46151.027754629627</v>
      </c>
      <c r="D676" t="s">
        <v>105</v>
      </c>
      <c r="E676" t="s">
        <v>106</v>
      </c>
      <c r="F676" t="s">
        <v>3825</v>
      </c>
      <c r="G676" t="s">
        <v>3826</v>
      </c>
      <c r="H676" t="s">
        <v>3825</v>
      </c>
      <c r="I676" s="88">
        <v>46141.751909722225</v>
      </c>
      <c r="J676" t="s">
        <v>107</v>
      </c>
      <c r="K676" t="s">
        <v>108</v>
      </c>
      <c r="L676" t="s">
        <v>3827</v>
      </c>
      <c r="M676" s="88">
        <v>46143.54586805556</v>
      </c>
      <c r="N676" t="s">
        <v>637</v>
      </c>
      <c r="O676" t="s">
        <v>112</v>
      </c>
      <c r="P676" t="s">
        <v>111</v>
      </c>
      <c r="Q676" t="s">
        <v>2085</v>
      </c>
      <c r="R676">
        <v>1</v>
      </c>
      <c r="S676" s="89">
        <v>9500</v>
      </c>
      <c r="T676" s="89">
        <v>0</v>
      </c>
      <c r="U676" s="89">
        <v>2090</v>
      </c>
      <c r="V676" s="89">
        <v>2090</v>
      </c>
      <c r="W676" s="89">
        <v>7410</v>
      </c>
    </row>
    <row r="677" spans="1:23" ht="13">
      <c r="A677" t="s">
        <v>3828</v>
      </c>
      <c r="B677" t="s">
        <v>3829</v>
      </c>
      <c r="C677" s="88">
        <v>46151.027754629627</v>
      </c>
      <c r="D677" t="s">
        <v>105</v>
      </c>
      <c r="E677" t="s">
        <v>106</v>
      </c>
      <c r="F677" t="s">
        <v>333</v>
      </c>
      <c r="G677" t="s">
        <v>187</v>
      </c>
      <c r="H677" t="s">
        <v>333</v>
      </c>
      <c r="I677" s="88">
        <v>46141.751909722225</v>
      </c>
      <c r="J677" t="s">
        <v>107</v>
      </c>
      <c r="K677" t="s">
        <v>108</v>
      </c>
      <c r="L677" t="s">
        <v>3830</v>
      </c>
      <c r="M677" s="88">
        <v>46143.461111111115</v>
      </c>
      <c r="N677" t="s">
        <v>637</v>
      </c>
      <c r="O677" t="s">
        <v>112</v>
      </c>
      <c r="P677" t="s">
        <v>111</v>
      </c>
      <c r="Q677" t="s">
        <v>2085</v>
      </c>
      <c r="R677">
        <v>6</v>
      </c>
      <c r="S677" s="89">
        <v>9500</v>
      </c>
      <c r="T677" s="89">
        <v>0</v>
      </c>
      <c r="U677" s="89">
        <v>20080</v>
      </c>
      <c r="V677" s="89">
        <v>20080</v>
      </c>
      <c r="W677" s="89">
        <v>36920</v>
      </c>
    </row>
    <row r="678" spans="1:23" ht="13">
      <c r="A678" t="s">
        <v>3831</v>
      </c>
      <c r="B678" t="s">
        <v>3832</v>
      </c>
      <c r="C678" s="88">
        <v>46151.027743055558</v>
      </c>
      <c r="D678" t="s">
        <v>105</v>
      </c>
      <c r="E678" t="s">
        <v>106</v>
      </c>
      <c r="F678" t="s">
        <v>3833</v>
      </c>
      <c r="G678" t="s">
        <v>3834</v>
      </c>
      <c r="H678" t="s">
        <v>3833</v>
      </c>
      <c r="I678" s="88">
        <v>46141.751863425925</v>
      </c>
      <c r="J678" t="s">
        <v>107</v>
      </c>
      <c r="K678" t="s">
        <v>108</v>
      </c>
      <c r="L678" t="s">
        <v>3835</v>
      </c>
      <c r="M678" s="88">
        <v>46143.54586805556</v>
      </c>
      <c r="N678" t="s">
        <v>637</v>
      </c>
      <c r="O678" t="s">
        <v>112</v>
      </c>
      <c r="P678" t="s">
        <v>111</v>
      </c>
      <c r="Q678" t="s">
        <v>2085</v>
      </c>
      <c r="R678">
        <v>3</v>
      </c>
      <c r="S678" s="89">
        <v>9500</v>
      </c>
      <c r="T678" s="89">
        <v>0</v>
      </c>
      <c r="U678" s="89">
        <v>6270</v>
      </c>
      <c r="V678" s="89">
        <v>6270</v>
      </c>
      <c r="W678" s="89">
        <v>22230</v>
      </c>
    </row>
    <row r="679" spans="1:23" ht="13">
      <c r="A679" t="s">
        <v>3836</v>
      </c>
      <c r="B679" t="s">
        <v>3837</v>
      </c>
      <c r="C679" s="88">
        <v>46151.027743055558</v>
      </c>
      <c r="D679" t="s">
        <v>105</v>
      </c>
      <c r="E679" t="s">
        <v>106</v>
      </c>
      <c r="F679" t="s">
        <v>3838</v>
      </c>
      <c r="G679" t="s">
        <v>3839</v>
      </c>
      <c r="H679" t="s">
        <v>3840</v>
      </c>
      <c r="I679" s="88">
        <v>46141.751909722225</v>
      </c>
      <c r="J679" t="s">
        <v>107</v>
      </c>
      <c r="K679" t="s">
        <v>108</v>
      </c>
      <c r="L679" t="s">
        <v>3841</v>
      </c>
      <c r="M679" s="88">
        <v>46143.463912037041</v>
      </c>
      <c r="N679" t="s">
        <v>637</v>
      </c>
      <c r="O679" t="s">
        <v>112</v>
      </c>
      <c r="P679" t="s">
        <v>111</v>
      </c>
      <c r="Q679" t="s">
        <v>2085</v>
      </c>
      <c r="R679">
        <v>6</v>
      </c>
      <c r="S679" s="89">
        <v>9500</v>
      </c>
      <c r="T679" s="89">
        <v>0</v>
      </c>
      <c r="U679" s="89">
        <v>20080</v>
      </c>
      <c r="V679" s="89">
        <v>20080</v>
      </c>
      <c r="W679" s="89">
        <v>36920</v>
      </c>
    </row>
    <row r="680" spans="1:23" ht="13">
      <c r="A680" t="s">
        <v>3842</v>
      </c>
      <c r="B680" t="s">
        <v>3843</v>
      </c>
      <c r="C680" s="88">
        <v>46151.027743055558</v>
      </c>
      <c r="D680" t="s">
        <v>105</v>
      </c>
      <c r="E680" t="s">
        <v>106</v>
      </c>
      <c r="F680" t="s">
        <v>3844</v>
      </c>
      <c r="G680" t="s">
        <v>3845</v>
      </c>
      <c r="H680" t="s">
        <v>3844</v>
      </c>
      <c r="I680" s="88">
        <v>46141.751851851848</v>
      </c>
      <c r="J680" t="s">
        <v>107</v>
      </c>
      <c r="K680" t="s">
        <v>108</v>
      </c>
      <c r="L680" t="s">
        <v>3846</v>
      </c>
      <c r="M680" s="88">
        <v>46143.463912037041</v>
      </c>
      <c r="N680" t="s">
        <v>637</v>
      </c>
      <c r="O680" t="s">
        <v>112</v>
      </c>
      <c r="P680" t="s">
        <v>111</v>
      </c>
      <c r="Q680" t="s">
        <v>2085</v>
      </c>
      <c r="R680">
        <v>3</v>
      </c>
      <c r="S680" s="89">
        <v>9500</v>
      </c>
      <c r="T680" s="89">
        <v>0</v>
      </c>
      <c r="U680" s="89">
        <v>6370</v>
      </c>
      <c r="V680" s="89">
        <v>6370</v>
      </c>
      <c r="W680" s="89">
        <v>22130</v>
      </c>
    </row>
    <row r="681" spans="1:23" ht="13">
      <c r="A681" t="s">
        <v>3847</v>
      </c>
      <c r="B681" t="s">
        <v>3848</v>
      </c>
      <c r="C681" s="88">
        <v>46151.027743055558</v>
      </c>
      <c r="D681" t="s">
        <v>105</v>
      </c>
      <c r="E681" t="s">
        <v>106</v>
      </c>
      <c r="F681" t="s">
        <v>3849</v>
      </c>
      <c r="G681" t="s">
        <v>3850</v>
      </c>
      <c r="H681" t="s">
        <v>3849</v>
      </c>
      <c r="I681" s="88">
        <v>46141.751828703702</v>
      </c>
      <c r="J681" t="s">
        <v>107</v>
      </c>
      <c r="K681" t="s">
        <v>108</v>
      </c>
      <c r="L681" t="s">
        <v>3851</v>
      </c>
      <c r="M681" s="88">
        <v>46143.672905092593</v>
      </c>
      <c r="N681" t="s">
        <v>637</v>
      </c>
      <c r="O681" t="s">
        <v>112</v>
      </c>
      <c r="P681" t="s">
        <v>111</v>
      </c>
      <c r="Q681" t="s">
        <v>2085</v>
      </c>
      <c r="R681">
        <v>6</v>
      </c>
      <c r="S681" s="89">
        <v>9500</v>
      </c>
      <c r="T681" s="89">
        <v>0</v>
      </c>
      <c r="U681" s="89">
        <v>20080</v>
      </c>
      <c r="V681" s="89">
        <v>20080</v>
      </c>
      <c r="W681" s="89">
        <v>36920</v>
      </c>
    </row>
    <row r="682" spans="1:23" ht="13">
      <c r="A682" t="s">
        <v>3852</v>
      </c>
      <c r="B682" t="s">
        <v>3853</v>
      </c>
      <c r="C682" s="88">
        <v>46151.027743055558</v>
      </c>
      <c r="D682" t="s">
        <v>105</v>
      </c>
      <c r="E682" t="s">
        <v>106</v>
      </c>
      <c r="F682" t="s">
        <v>3854</v>
      </c>
      <c r="G682" t="s">
        <v>3855</v>
      </c>
      <c r="H682" t="s">
        <v>3854</v>
      </c>
      <c r="I682" s="88">
        <v>46141.751863425925</v>
      </c>
      <c r="J682" t="s">
        <v>107</v>
      </c>
      <c r="K682" t="s">
        <v>108</v>
      </c>
      <c r="L682" t="s">
        <v>3856</v>
      </c>
      <c r="M682" s="88">
        <v>46143.670844907407</v>
      </c>
      <c r="N682" t="s">
        <v>637</v>
      </c>
      <c r="O682" t="s">
        <v>112</v>
      </c>
      <c r="P682" t="s">
        <v>111</v>
      </c>
      <c r="Q682" t="s">
        <v>2085</v>
      </c>
      <c r="R682">
        <v>6</v>
      </c>
      <c r="S682" s="89">
        <v>9500</v>
      </c>
      <c r="T682" s="89">
        <v>0</v>
      </c>
      <c r="U682" s="89">
        <v>19980</v>
      </c>
      <c r="V682" s="89">
        <v>19980</v>
      </c>
      <c r="W682" s="89">
        <v>37020</v>
      </c>
    </row>
    <row r="683" spans="1:23" ht="13">
      <c r="A683" t="s">
        <v>3857</v>
      </c>
      <c r="B683" t="s">
        <v>165</v>
      </c>
      <c r="C683" s="88">
        <v>46151.027743055558</v>
      </c>
      <c r="D683" t="s">
        <v>105</v>
      </c>
      <c r="E683" t="s">
        <v>106</v>
      </c>
      <c r="F683" t="s">
        <v>166</v>
      </c>
      <c r="G683" t="s">
        <v>167</v>
      </c>
      <c r="H683" t="s">
        <v>166</v>
      </c>
      <c r="I683" s="88">
        <v>46141.751851851848</v>
      </c>
      <c r="J683" t="s">
        <v>107</v>
      </c>
      <c r="K683" t="s">
        <v>108</v>
      </c>
      <c r="L683" t="s">
        <v>3858</v>
      </c>
      <c r="M683" s="88">
        <v>46143.672905092593</v>
      </c>
      <c r="N683" t="s">
        <v>637</v>
      </c>
      <c r="O683" t="s">
        <v>112</v>
      </c>
      <c r="P683" t="s">
        <v>111</v>
      </c>
      <c r="Q683" t="s">
        <v>2085</v>
      </c>
      <c r="R683">
        <v>4</v>
      </c>
      <c r="S683" s="89">
        <v>9500</v>
      </c>
      <c r="T683" s="89">
        <v>0</v>
      </c>
      <c r="U683" s="89">
        <v>8360</v>
      </c>
      <c r="V683" s="89">
        <v>8360</v>
      </c>
      <c r="W683" s="89">
        <v>29640</v>
      </c>
    </row>
    <row r="684" spans="1:23" ht="13">
      <c r="A684" t="s">
        <v>3859</v>
      </c>
      <c r="B684" t="s">
        <v>3860</v>
      </c>
      <c r="C684" s="88">
        <v>46151.027743055558</v>
      </c>
      <c r="D684" t="s">
        <v>105</v>
      </c>
      <c r="E684" t="s">
        <v>106</v>
      </c>
      <c r="F684" t="s">
        <v>3861</v>
      </c>
      <c r="G684" t="s">
        <v>148</v>
      </c>
      <c r="H684" t="s">
        <v>3861</v>
      </c>
      <c r="I684" s="88">
        <v>46141.751840277779</v>
      </c>
      <c r="J684" t="s">
        <v>107</v>
      </c>
      <c r="K684" t="s">
        <v>108</v>
      </c>
      <c r="L684" t="s">
        <v>3862</v>
      </c>
      <c r="M684" s="88">
        <v>46143.476597222223</v>
      </c>
      <c r="N684" t="s">
        <v>637</v>
      </c>
      <c r="O684" t="s">
        <v>112</v>
      </c>
      <c r="P684" t="s">
        <v>111</v>
      </c>
      <c r="Q684" t="s">
        <v>2085</v>
      </c>
      <c r="R684">
        <v>6</v>
      </c>
      <c r="S684" s="89">
        <v>9500</v>
      </c>
      <c r="T684" s="89">
        <v>0</v>
      </c>
      <c r="U684" s="89">
        <v>19980</v>
      </c>
      <c r="V684" s="89">
        <v>19980</v>
      </c>
      <c r="W684" s="89">
        <v>37020</v>
      </c>
    </row>
    <row r="685" spans="1:23" ht="13">
      <c r="A685" t="s">
        <v>3863</v>
      </c>
      <c r="B685" t="s">
        <v>3864</v>
      </c>
      <c r="C685" s="88">
        <v>46151.027743055558</v>
      </c>
      <c r="D685" t="s">
        <v>105</v>
      </c>
      <c r="E685" t="s">
        <v>106</v>
      </c>
      <c r="F685" t="s">
        <v>144</v>
      </c>
      <c r="G685" t="s">
        <v>3865</v>
      </c>
      <c r="H685" t="s">
        <v>144</v>
      </c>
      <c r="I685" s="88">
        <v>46141.751840277779</v>
      </c>
      <c r="J685" t="s">
        <v>107</v>
      </c>
      <c r="K685" t="s">
        <v>108</v>
      </c>
      <c r="L685" t="s">
        <v>3866</v>
      </c>
      <c r="M685" s="88">
        <v>46143.54586805556</v>
      </c>
      <c r="N685" t="s">
        <v>637</v>
      </c>
      <c r="O685" t="s">
        <v>112</v>
      </c>
      <c r="P685" t="s">
        <v>111</v>
      </c>
      <c r="Q685" t="s">
        <v>2085</v>
      </c>
      <c r="R685">
        <v>3</v>
      </c>
      <c r="S685" s="89">
        <v>9500</v>
      </c>
      <c r="T685" s="89">
        <v>0</v>
      </c>
      <c r="U685" s="89">
        <v>6270</v>
      </c>
      <c r="V685" s="89">
        <v>6270</v>
      </c>
      <c r="W685" s="89">
        <v>22230</v>
      </c>
    </row>
    <row r="686" spans="1:23" ht="13">
      <c r="A686" t="s">
        <v>3867</v>
      </c>
      <c r="B686" t="s">
        <v>3868</v>
      </c>
      <c r="C686" s="88">
        <v>46151.027743055558</v>
      </c>
      <c r="D686" t="s">
        <v>105</v>
      </c>
      <c r="E686" t="s">
        <v>106</v>
      </c>
      <c r="F686" t="s">
        <v>375</v>
      </c>
      <c r="G686" t="s">
        <v>3869</v>
      </c>
      <c r="H686" t="s">
        <v>375</v>
      </c>
      <c r="I686" s="88">
        <v>46141.751840277779</v>
      </c>
      <c r="J686" t="s">
        <v>107</v>
      </c>
      <c r="K686" t="s">
        <v>108</v>
      </c>
      <c r="L686" t="s">
        <v>3870</v>
      </c>
      <c r="M686" s="88">
        <v>46143.572164351848</v>
      </c>
      <c r="N686" t="s">
        <v>637</v>
      </c>
      <c r="O686" t="s">
        <v>112</v>
      </c>
      <c r="P686" t="s">
        <v>111</v>
      </c>
      <c r="Q686" t="s">
        <v>2085</v>
      </c>
      <c r="R686">
        <v>2</v>
      </c>
      <c r="S686" s="89">
        <v>9500</v>
      </c>
      <c r="T686" s="89">
        <v>0</v>
      </c>
      <c r="U686" s="89">
        <v>4180</v>
      </c>
      <c r="V686" s="89">
        <v>4180</v>
      </c>
      <c r="W686" s="89">
        <v>14820</v>
      </c>
    </row>
    <row r="687" spans="1:23" ht="13">
      <c r="A687" t="s">
        <v>3871</v>
      </c>
      <c r="B687" t="s">
        <v>3872</v>
      </c>
      <c r="C687" s="88">
        <v>46151.027743055558</v>
      </c>
      <c r="D687" t="s">
        <v>105</v>
      </c>
      <c r="E687" t="s">
        <v>106</v>
      </c>
      <c r="F687" t="s">
        <v>392</v>
      </c>
      <c r="G687" t="s">
        <v>3873</v>
      </c>
      <c r="H687" t="s">
        <v>392</v>
      </c>
      <c r="I687" s="88">
        <v>46141.751828703702</v>
      </c>
      <c r="J687" t="s">
        <v>107</v>
      </c>
      <c r="K687" t="s">
        <v>108</v>
      </c>
      <c r="L687" t="s">
        <v>3874</v>
      </c>
      <c r="M687" s="88">
        <v>46143.463923611111</v>
      </c>
      <c r="N687" t="s">
        <v>637</v>
      </c>
      <c r="O687" t="s">
        <v>112</v>
      </c>
      <c r="P687" t="s">
        <v>111</v>
      </c>
      <c r="Q687" t="s">
        <v>2085</v>
      </c>
      <c r="R687">
        <v>6</v>
      </c>
      <c r="S687" s="89">
        <v>9500</v>
      </c>
      <c r="T687" s="89">
        <v>0</v>
      </c>
      <c r="U687" s="89">
        <v>20080</v>
      </c>
      <c r="V687" s="89">
        <v>20080</v>
      </c>
      <c r="W687" s="89">
        <v>36920</v>
      </c>
    </row>
    <row r="688" spans="1:23" ht="13">
      <c r="A688" t="s">
        <v>3875</v>
      </c>
      <c r="B688" t="s">
        <v>3876</v>
      </c>
      <c r="C688" s="88">
        <v>46151.027685185181</v>
      </c>
      <c r="D688" t="s">
        <v>105</v>
      </c>
      <c r="E688" t="s">
        <v>106</v>
      </c>
      <c r="F688" t="s">
        <v>3877</v>
      </c>
      <c r="G688" t="s">
        <v>3878</v>
      </c>
      <c r="H688" t="s">
        <v>3877</v>
      </c>
      <c r="I688" s="88">
        <v>46141.751956018517</v>
      </c>
      <c r="J688" t="s">
        <v>107</v>
      </c>
      <c r="K688" t="s">
        <v>108</v>
      </c>
      <c r="L688" t="s">
        <v>3879</v>
      </c>
      <c r="M688" s="88">
        <v>46143.619756944448</v>
      </c>
      <c r="N688" t="s">
        <v>637</v>
      </c>
      <c r="O688" t="s">
        <v>112</v>
      </c>
      <c r="P688" t="s">
        <v>111</v>
      </c>
      <c r="Q688" t="s">
        <v>2085</v>
      </c>
      <c r="R688">
        <v>5</v>
      </c>
      <c r="S688" s="89">
        <v>9500</v>
      </c>
      <c r="T688" s="89">
        <v>0</v>
      </c>
      <c r="U688" s="89">
        <v>10450</v>
      </c>
      <c r="V688" s="89">
        <v>10450</v>
      </c>
      <c r="W688" s="89">
        <v>37050</v>
      </c>
    </row>
    <row r="689" spans="1:23" ht="13">
      <c r="A689" t="s">
        <v>3880</v>
      </c>
      <c r="B689" t="s">
        <v>3881</v>
      </c>
      <c r="C689" s="88">
        <v>46151.027685185181</v>
      </c>
      <c r="D689" t="s">
        <v>105</v>
      </c>
      <c r="E689" t="s">
        <v>106</v>
      </c>
      <c r="F689" t="s">
        <v>3882</v>
      </c>
      <c r="G689" t="s">
        <v>3883</v>
      </c>
      <c r="H689" t="s">
        <v>3882</v>
      </c>
      <c r="I689" s="88">
        <v>46141.751956018517</v>
      </c>
      <c r="J689" t="s">
        <v>107</v>
      </c>
      <c r="K689" t="s">
        <v>108</v>
      </c>
      <c r="L689" t="s">
        <v>3884</v>
      </c>
      <c r="M689" s="88">
        <v>46143.619756944448</v>
      </c>
      <c r="N689" t="s">
        <v>637</v>
      </c>
      <c r="O689" t="s">
        <v>112</v>
      </c>
      <c r="P689" t="s">
        <v>111</v>
      </c>
      <c r="Q689" t="s">
        <v>2085</v>
      </c>
      <c r="R689">
        <v>13</v>
      </c>
      <c r="S689" s="89">
        <v>9500</v>
      </c>
      <c r="T689" s="89">
        <v>0</v>
      </c>
      <c r="U689" s="89">
        <v>43390</v>
      </c>
      <c r="V689" s="89">
        <v>43390</v>
      </c>
      <c r="W689" s="89">
        <v>80110</v>
      </c>
    </row>
    <row r="690" spans="1:23" ht="13">
      <c r="A690" t="s">
        <v>3885</v>
      </c>
      <c r="B690" t="s">
        <v>3886</v>
      </c>
      <c r="C690" s="88">
        <v>46151.027685185181</v>
      </c>
      <c r="D690" t="s">
        <v>105</v>
      </c>
      <c r="E690" t="s">
        <v>106</v>
      </c>
      <c r="F690" t="s">
        <v>3887</v>
      </c>
      <c r="G690" t="s">
        <v>3888</v>
      </c>
      <c r="H690" t="s">
        <v>3887</v>
      </c>
      <c r="I690" s="88">
        <v>46141.751909722225</v>
      </c>
      <c r="J690" t="s">
        <v>107</v>
      </c>
      <c r="K690" t="s">
        <v>108</v>
      </c>
      <c r="L690" t="s">
        <v>3889</v>
      </c>
      <c r="M690" s="88">
        <v>46143.54586805556</v>
      </c>
      <c r="N690" t="s">
        <v>637</v>
      </c>
      <c r="O690" t="s">
        <v>112</v>
      </c>
      <c r="P690" t="s">
        <v>111</v>
      </c>
      <c r="Q690" t="s">
        <v>2085</v>
      </c>
      <c r="R690">
        <v>1</v>
      </c>
      <c r="S690" s="89">
        <v>9500</v>
      </c>
      <c r="T690" s="89">
        <v>0</v>
      </c>
      <c r="U690" s="89">
        <v>2190</v>
      </c>
      <c r="V690" s="89">
        <v>2190</v>
      </c>
      <c r="W690" s="89">
        <v>7310</v>
      </c>
    </row>
    <row r="691" spans="1:23" ht="13">
      <c r="A691" t="s">
        <v>3890</v>
      </c>
      <c r="B691" t="s">
        <v>3891</v>
      </c>
      <c r="C691" s="88">
        <v>46151.027685185181</v>
      </c>
      <c r="D691" t="s">
        <v>105</v>
      </c>
      <c r="E691" t="s">
        <v>106</v>
      </c>
      <c r="F691" t="s">
        <v>337</v>
      </c>
      <c r="G691" t="s">
        <v>3892</v>
      </c>
      <c r="H691" t="s">
        <v>337</v>
      </c>
      <c r="I691" s="88">
        <v>46141.751956018517</v>
      </c>
      <c r="J691" t="s">
        <v>107</v>
      </c>
      <c r="K691" t="s">
        <v>108</v>
      </c>
      <c r="L691" t="s">
        <v>3893</v>
      </c>
      <c r="M691" s="88">
        <v>46143.463912037041</v>
      </c>
      <c r="N691" t="s">
        <v>637</v>
      </c>
      <c r="O691" t="s">
        <v>112</v>
      </c>
      <c r="P691" t="s">
        <v>111</v>
      </c>
      <c r="Q691" t="s">
        <v>2085</v>
      </c>
      <c r="R691">
        <v>3</v>
      </c>
      <c r="S691" s="89">
        <v>9500</v>
      </c>
      <c r="T691" s="89">
        <v>0</v>
      </c>
      <c r="U691" s="89">
        <v>6370</v>
      </c>
      <c r="V691" s="89">
        <v>6370</v>
      </c>
      <c r="W691" s="89">
        <v>22130</v>
      </c>
    </row>
    <row r="692" spans="1:23" ht="13">
      <c r="A692" t="s">
        <v>3894</v>
      </c>
      <c r="B692" t="s">
        <v>3895</v>
      </c>
      <c r="C692" s="88">
        <v>46151.027685185181</v>
      </c>
      <c r="D692" t="s">
        <v>105</v>
      </c>
      <c r="E692" t="s">
        <v>106</v>
      </c>
      <c r="F692" t="s">
        <v>580</v>
      </c>
      <c r="G692" t="s">
        <v>3896</v>
      </c>
      <c r="H692" t="s">
        <v>580</v>
      </c>
      <c r="I692" s="88">
        <v>46141.751909722225</v>
      </c>
      <c r="J692" t="s">
        <v>107</v>
      </c>
      <c r="K692" t="s">
        <v>108</v>
      </c>
      <c r="L692" t="s">
        <v>3897</v>
      </c>
      <c r="M692" s="88">
        <v>46143.476597222223</v>
      </c>
      <c r="N692" t="s">
        <v>637</v>
      </c>
      <c r="O692" t="s">
        <v>112</v>
      </c>
      <c r="P692" t="s">
        <v>111</v>
      </c>
      <c r="Q692" t="s">
        <v>2085</v>
      </c>
      <c r="R692">
        <v>1</v>
      </c>
      <c r="S692" s="89">
        <v>9500</v>
      </c>
      <c r="T692" s="89">
        <v>0</v>
      </c>
      <c r="U692" s="89">
        <v>2190</v>
      </c>
      <c r="V692" s="89">
        <v>2190</v>
      </c>
      <c r="W692" s="89">
        <v>7310</v>
      </c>
    </row>
    <row r="693" spans="1:23" ht="13">
      <c r="A693" t="s">
        <v>3898</v>
      </c>
      <c r="B693" t="s">
        <v>3899</v>
      </c>
      <c r="C693" s="88">
        <v>46151.027685185181</v>
      </c>
      <c r="D693" t="s">
        <v>105</v>
      </c>
      <c r="E693" t="s">
        <v>106</v>
      </c>
      <c r="F693" t="s">
        <v>3900</v>
      </c>
      <c r="G693" t="s">
        <v>3901</v>
      </c>
      <c r="H693" t="s">
        <v>3902</v>
      </c>
      <c r="I693" s="88">
        <v>46141.751909722225</v>
      </c>
      <c r="J693" t="s">
        <v>107</v>
      </c>
      <c r="K693" t="s">
        <v>108</v>
      </c>
      <c r="L693" t="s">
        <v>3903</v>
      </c>
      <c r="M693" s="88">
        <v>46143.476597222223</v>
      </c>
      <c r="N693" t="s">
        <v>637</v>
      </c>
      <c r="O693" t="s">
        <v>112</v>
      </c>
      <c r="P693" t="s">
        <v>111</v>
      </c>
      <c r="Q693" t="s">
        <v>2085</v>
      </c>
      <c r="R693">
        <v>6</v>
      </c>
      <c r="S693" s="89">
        <v>9500</v>
      </c>
      <c r="T693" s="89">
        <v>0</v>
      </c>
      <c r="U693" s="89">
        <v>20080</v>
      </c>
      <c r="V693" s="89">
        <v>20080</v>
      </c>
      <c r="W693" s="89">
        <v>36920</v>
      </c>
    </row>
    <row r="694" spans="1:23" ht="13">
      <c r="A694" t="s">
        <v>3904</v>
      </c>
      <c r="B694" t="s">
        <v>3905</v>
      </c>
      <c r="C694" s="88">
        <v>46151.027685185181</v>
      </c>
      <c r="D694" t="s">
        <v>105</v>
      </c>
      <c r="E694" t="s">
        <v>106</v>
      </c>
      <c r="F694" t="s">
        <v>878</v>
      </c>
      <c r="G694" t="s">
        <v>231</v>
      </c>
      <c r="H694" t="s">
        <v>878</v>
      </c>
      <c r="I694" s="88">
        <v>46141.751932870371</v>
      </c>
      <c r="J694" t="s">
        <v>107</v>
      </c>
      <c r="K694" t="s">
        <v>108</v>
      </c>
      <c r="L694" t="s">
        <v>3906</v>
      </c>
      <c r="M694" s="88">
        <v>46143.461111111115</v>
      </c>
      <c r="N694" t="s">
        <v>637</v>
      </c>
      <c r="O694" t="s">
        <v>112</v>
      </c>
      <c r="P694" t="s">
        <v>111</v>
      </c>
      <c r="Q694" t="s">
        <v>2085</v>
      </c>
      <c r="R694">
        <v>3</v>
      </c>
      <c r="S694" s="89">
        <v>9500</v>
      </c>
      <c r="T694" s="89">
        <v>0</v>
      </c>
      <c r="U694" s="89">
        <v>6270</v>
      </c>
      <c r="V694" s="89">
        <v>6270</v>
      </c>
      <c r="W694" s="89">
        <v>22230</v>
      </c>
    </row>
    <row r="695" spans="1:23" ht="13">
      <c r="A695" t="s">
        <v>3907</v>
      </c>
      <c r="B695" t="s">
        <v>3908</v>
      </c>
      <c r="C695" s="88">
        <v>46151.027673611112</v>
      </c>
      <c r="D695" t="s">
        <v>105</v>
      </c>
      <c r="E695" t="s">
        <v>106</v>
      </c>
      <c r="F695" t="s">
        <v>354</v>
      </c>
      <c r="G695" t="s">
        <v>1517</v>
      </c>
      <c r="H695" t="s">
        <v>354</v>
      </c>
      <c r="I695" s="88">
        <v>46141.751863425925</v>
      </c>
      <c r="J695" t="s">
        <v>107</v>
      </c>
      <c r="K695" t="s">
        <v>108</v>
      </c>
      <c r="L695" t="s">
        <v>3909</v>
      </c>
      <c r="M695" s="88">
        <v>46143.54586805556</v>
      </c>
      <c r="N695" t="s">
        <v>637</v>
      </c>
      <c r="O695" t="s">
        <v>112</v>
      </c>
      <c r="P695" t="s">
        <v>111</v>
      </c>
      <c r="Q695" t="s">
        <v>2085</v>
      </c>
      <c r="R695">
        <v>7</v>
      </c>
      <c r="S695" s="89">
        <v>9500</v>
      </c>
      <c r="T695" s="89">
        <v>0</v>
      </c>
      <c r="U695" s="89">
        <v>23410</v>
      </c>
      <c r="V695" s="89">
        <v>23410</v>
      </c>
      <c r="W695" s="89">
        <v>43090</v>
      </c>
    </row>
    <row r="696" spans="1:23" ht="13">
      <c r="A696" t="s">
        <v>3910</v>
      </c>
      <c r="B696" t="s">
        <v>3911</v>
      </c>
      <c r="C696" s="88">
        <v>46151.027673611112</v>
      </c>
      <c r="D696" t="s">
        <v>105</v>
      </c>
      <c r="E696" t="s">
        <v>106</v>
      </c>
      <c r="F696" t="s">
        <v>357</v>
      </c>
      <c r="G696" t="s">
        <v>3912</v>
      </c>
      <c r="H696" t="s">
        <v>357</v>
      </c>
      <c r="I696" s="88">
        <v>46141.751909722225</v>
      </c>
      <c r="J696" t="s">
        <v>107</v>
      </c>
      <c r="K696" t="s">
        <v>108</v>
      </c>
      <c r="L696" t="s">
        <v>3913</v>
      </c>
      <c r="M696" s="88">
        <v>46143.463912037041</v>
      </c>
      <c r="N696" t="s">
        <v>637</v>
      </c>
      <c r="O696" t="s">
        <v>112</v>
      </c>
      <c r="P696" t="s">
        <v>111</v>
      </c>
      <c r="Q696" t="s">
        <v>2085</v>
      </c>
      <c r="R696">
        <v>1</v>
      </c>
      <c r="S696" s="89">
        <v>9500</v>
      </c>
      <c r="T696" s="89">
        <v>0</v>
      </c>
      <c r="U696" s="89">
        <v>2190</v>
      </c>
      <c r="V696" s="89">
        <v>2190</v>
      </c>
      <c r="W696" s="89">
        <v>7310</v>
      </c>
    </row>
    <row r="697" spans="1:23" ht="13">
      <c r="A697" t="s">
        <v>3914</v>
      </c>
      <c r="B697" t="s">
        <v>3915</v>
      </c>
      <c r="C697" s="88">
        <v>46151.027673611112</v>
      </c>
      <c r="D697" t="s">
        <v>105</v>
      </c>
      <c r="E697" t="s">
        <v>106</v>
      </c>
      <c r="F697" t="s">
        <v>344</v>
      </c>
      <c r="G697" t="s">
        <v>3916</v>
      </c>
      <c r="H697" t="s">
        <v>344</v>
      </c>
      <c r="I697" s="88">
        <v>46141.751863425925</v>
      </c>
      <c r="J697" t="s">
        <v>107</v>
      </c>
      <c r="K697" t="s">
        <v>108</v>
      </c>
      <c r="L697" t="s">
        <v>3917</v>
      </c>
      <c r="M697" s="88">
        <v>46143.465960648144</v>
      </c>
      <c r="N697" t="s">
        <v>637</v>
      </c>
      <c r="O697" t="s">
        <v>112</v>
      </c>
      <c r="P697" t="s">
        <v>111</v>
      </c>
      <c r="Q697" t="s">
        <v>2085</v>
      </c>
      <c r="R697">
        <v>10</v>
      </c>
      <c r="S697" s="89">
        <v>9500</v>
      </c>
      <c r="T697" s="89">
        <v>0</v>
      </c>
      <c r="U697" s="89">
        <v>33400</v>
      </c>
      <c r="V697" s="89">
        <v>33400</v>
      </c>
      <c r="W697" s="89">
        <v>61600</v>
      </c>
    </row>
    <row r="698" spans="1:23" ht="13">
      <c r="A698" t="s">
        <v>3918</v>
      </c>
      <c r="B698" t="s">
        <v>218</v>
      </c>
      <c r="C698" s="88">
        <v>46151.027673611112</v>
      </c>
      <c r="D698" t="s">
        <v>105</v>
      </c>
      <c r="E698" t="s">
        <v>106</v>
      </c>
      <c r="F698" t="s">
        <v>219</v>
      </c>
      <c r="G698" t="s">
        <v>220</v>
      </c>
      <c r="H698" t="s">
        <v>219</v>
      </c>
      <c r="I698" s="88">
        <v>46141.751909722225</v>
      </c>
      <c r="J698" t="s">
        <v>107</v>
      </c>
      <c r="K698" t="s">
        <v>108</v>
      </c>
      <c r="L698" t="s">
        <v>3919</v>
      </c>
      <c r="M698" s="88">
        <v>46143.54587962963</v>
      </c>
      <c r="N698" t="s">
        <v>637</v>
      </c>
      <c r="O698" t="s">
        <v>112</v>
      </c>
      <c r="P698" t="s">
        <v>111</v>
      </c>
      <c r="Q698" t="s">
        <v>2085</v>
      </c>
      <c r="R698">
        <v>1</v>
      </c>
      <c r="S698" s="89">
        <v>9500</v>
      </c>
      <c r="T698" s="89">
        <v>0</v>
      </c>
      <c r="U698" s="89">
        <v>2190</v>
      </c>
      <c r="V698" s="89">
        <v>2190</v>
      </c>
      <c r="W698" s="89">
        <v>7310</v>
      </c>
    </row>
    <row r="699" spans="1:23" ht="13">
      <c r="A699" t="s">
        <v>3920</v>
      </c>
      <c r="B699" t="s">
        <v>3921</v>
      </c>
      <c r="C699" s="88">
        <v>46151.027673611112</v>
      </c>
      <c r="D699" t="s">
        <v>105</v>
      </c>
      <c r="E699" t="s">
        <v>106</v>
      </c>
      <c r="F699" t="s">
        <v>3922</v>
      </c>
      <c r="G699" t="s">
        <v>3923</v>
      </c>
      <c r="H699" t="s">
        <v>3922</v>
      </c>
      <c r="I699" s="88">
        <v>46141.751851851848</v>
      </c>
      <c r="J699" t="s">
        <v>107</v>
      </c>
      <c r="K699" t="s">
        <v>108</v>
      </c>
      <c r="L699" t="s">
        <v>3924</v>
      </c>
      <c r="M699" s="88">
        <v>46143.550717592589</v>
      </c>
      <c r="N699" t="s">
        <v>637</v>
      </c>
      <c r="O699" t="s">
        <v>112</v>
      </c>
      <c r="P699" t="s">
        <v>111</v>
      </c>
      <c r="Q699" t="s">
        <v>2085</v>
      </c>
      <c r="R699">
        <v>2</v>
      </c>
      <c r="S699" s="89">
        <v>9500</v>
      </c>
      <c r="T699" s="89">
        <v>0</v>
      </c>
      <c r="U699" s="89">
        <v>4280</v>
      </c>
      <c r="V699" s="89">
        <v>4280</v>
      </c>
      <c r="W699" s="89">
        <v>14720</v>
      </c>
    </row>
    <row r="700" spans="1:23" ht="13">
      <c r="A700" t="s">
        <v>3925</v>
      </c>
      <c r="B700" t="s">
        <v>168</v>
      </c>
      <c r="C700" s="88">
        <v>46151.027673611112</v>
      </c>
      <c r="D700" t="s">
        <v>105</v>
      </c>
      <c r="E700" t="s">
        <v>106</v>
      </c>
      <c r="F700" t="s">
        <v>169</v>
      </c>
      <c r="G700" t="s">
        <v>170</v>
      </c>
      <c r="H700" t="s">
        <v>169</v>
      </c>
      <c r="I700" s="88">
        <v>46141.751840277779</v>
      </c>
      <c r="J700" t="s">
        <v>107</v>
      </c>
      <c r="K700" t="s">
        <v>108</v>
      </c>
      <c r="L700" t="s">
        <v>3926</v>
      </c>
      <c r="M700" s="88">
        <v>46143.465960648144</v>
      </c>
      <c r="N700" t="s">
        <v>637</v>
      </c>
      <c r="O700" t="s">
        <v>112</v>
      </c>
      <c r="P700" t="s">
        <v>111</v>
      </c>
      <c r="Q700" t="s">
        <v>2085</v>
      </c>
      <c r="R700">
        <v>5</v>
      </c>
      <c r="S700" s="89">
        <v>9500</v>
      </c>
      <c r="T700" s="89">
        <v>0</v>
      </c>
      <c r="U700" s="89">
        <v>10450</v>
      </c>
      <c r="V700" s="89">
        <v>10450</v>
      </c>
      <c r="W700" s="89">
        <v>37050</v>
      </c>
    </row>
    <row r="701" spans="1:23" ht="13">
      <c r="A701" t="s">
        <v>3927</v>
      </c>
      <c r="B701" t="s">
        <v>3928</v>
      </c>
      <c r="C701" s="88">
        <v>46151.027673611112</v>
      </c>
      <c r="D701" t="s">
        <v>105</v>
      </c>
      <c r="E701" t="s">
        <v>106</v>
      </c>
      <c r="F701" t="s">
        <v>3929</v>
      </c>
      <c r="G701" t="s">
        <v>3930</v>
      </c>
      <c r="H701" t="s">
        <v>3929</v>
      </c>
      <c r="I701" s="88">
        <v>46141.751886574071</v>
      </c>
      <c r="J701" t="s">
        <v>107</v>
      </c>
      <c r="K701" t="s">
        <v>108</v>
      </c>
      <c r="L701" t="s">
        <v>3931</v>
      </c>
      <c r="M701" s="88">
        <v>46143.46739583333</v>
      </c>
      <c r="N701" t="s">
        <v>637</v>
      </c>
      <c r="O701" t="s">
        <v>112</v>
      </c>
      <c r="P701" t="s">
        <v>111</v>
      </c>
      <c r="Q701" t="s">
        <v>2085</v>
      </c>
      <c r="R701">
        <v>3</v>
      </c>
      <c r="S701" s="89">
        <v>9500</v>
      </c>
      <c r="T701" s="89">
        <v>0</v>
      </c>
      <c r="U701" s="89">
        <v>6270</v>
      </c>
      <c r="V701" s="89">
        <v>6270</v>
      </c>
      <c r="W701" s="89">
        <v>22230</v>
      </c>
    </row>
    <row r="702" spans="1:23" ht="13">
      <c r="A702" t="s">
        <v>3932</v>
      </c>
      <c r="B702" t="s">
        <v>3933</v>
      </c>
      <c r="C702" s="88">
        <v>46151.027673611112</v>
      </c>
      <c r="D702" t="s">
        <v>105</v>
      </c>
      <c r="E702" t="s">
        <v>106</v>
      </c>
      <c r="F702" t="s">
        <v>163</v>
      </c>
      <c r="G702" t="s">
        <v>3934</v>
      </c>
      <c r="H702" t="s">
        <v>163</v>
      </c>
      <c r="I702" s="88">
        <v>46141.751840277779</v>
      </c>
      <c r="J702" t="s">
        <v>107</v>
      </c>
      <c r="K702" t="s">
        <v>108</v>
      </c>
      <c r="L702" t="s">
        <v>3935</v>
      </c>
      <c r="M702" s="88">
        <v>46143.550717592589</v>
      </c>
      <c r="N702" t="s">
        <v>637</v>
      </c>
      <c r="O702" t="s">
        <v>112</v>
      </c>
      <c r="P702" t="s">
        <v>111</v>
      </c>
      <c r="Q702" t="s">
        <v>2085</v>
      </c>
      <c r="R702">
        <v>6</v>
      </c>
      <c r="S702" s="89">
        <v>9500</v>
      </c>
      <c r="T702" s="89">
        <v>0</v>
      </c>
      <c r="U702" s="89">
        <v>23080</v>
      </c>
      <c r="V702" s="89">
        <v>20080</v>
      </c>
      <c r="W702" s="89">
        <v>33920</v>
      </c>
    </row>
    <row r="703" spans="1:23" ht="13">
      <c r="A703" t="s">
        <v>3936</v>
      </c>
      <c r="B703" t="s">
        <v>3937</v>
      </c>
      <c r="C703" s="88">
        <v>46151.027673611112</v>
      </c>
      <c r="D703" t="s">
        <v>105</v>
      </c>
      <c r="E703" t="s">
        <v>106</v>
      </c>
      <c r="F703" t="s">
        <v>3938</v>
      </c>
      <c r="G703" t="s">
        <v>3939</v>
      </c>
      <c r="H703" t="s">
        <v>3938</v>
      </c>
      <c r="I703" s="88">
        <v>46141.751863425925</v>
      </c>
      <c r="J703" t="s">
        <v>107</v>
      </c>
      <c r="K703" t="s">
        <v>108</v>
      </c>
      <c r="L703" t="s">
        <v>3940</v>
      </c>
      <c r="M703" s="88">
        <v>46143.670844907407</v>
      </c>
      <c r="N703" t="s">
        <v>637</v>
      </c>
      <c r="O703" t="s">
        <v>112</v>
      </c>
      <c r="P703" t="s">
        <v>111</v>
      </c>
      <c r="Q703" t="s">
        <v>2085</v>
      </c>
      <c r="R703">
        <v>5</v>
      </c>
      <c r="S703" s="89">
        <v>9500</v>
      </c>
      <c r="T703" s="89">
        <v>0</v>
      </c>
      <c r="U703" s="89">
        <v>10550</v>
      </c>
      <c r="V703" s="89">
        <v>10550</v>
      </c>
      <c r="W703" s="89">
        <v>36950</v>
      </c>
    </row>
    <row r="704" spans="1:23" ht="13">
      <c r="A704" t="s">
        <v>3941</v>
      </c>
      <c r="B704" t="s">
        <v>3942</v>
      </c>
      <c r="C704" s="88">
        <v>46151.027673611112</v>
      </c>
      <c r="D704" t="s">
        <v>105</v>
      </c>
      <c r="E704" t="s">
        <v>106</v>
      </c>
      <c r="F704" t="s">
        <v>3943</v>
      </c>
      <c r="G704" t="s">
        <v>3944</v>
      </c>
      <c r="H704" t="s">
        <v>3943</v>
      </c>
      <c r="I704" s="88">
        <v>46141.751840277779</v>
      </c>
      <c r="J704" t="s">
        <v>107</v>
      </c>
      <c r="K704" t="s">
        <v>108</v>
      </c>
      <c r="L704" t="s">
        <v>3945</v>
      </c>
      <c r="M704" s="88">
        <v>46143.54586805556</v>
      </c>
      <c r="N704" t="s">
        <v>637</v>
      </c>
      <c r="O704" t="s">
        <v>112</v>
      </c>
      <c r="P704" t="s">
        <v>111</v>
      </c>
      <c r="Q704" t="s">
        <v>2085</v>
      </c>
      <c r="R704">
        <v>3</v>
      </c>
      <c r="S704" s="89">
        <v>9500</v>
      </c>
      <c r="T704" s="89">
        <v>0</v>
      </c>
      <c r="U704" s="89">
        <v>6370</v>
      </c>
      <c r="V704" s="89">
        <v>6370</v>
      </c>
      <c r="W704" s="89">
        <v>22130</v>
      </c>
    </row>
    <row r="705" spans="1:23" ht="13">
      <c r="A705" t="s">
        <v>3946</v>
      </c>
      <c r="B705" t="s">
        <v>3947</v>
      </c>
      <c r="C705" s="88">
        <v>46151.027673611112</v>
      </c>
      <c r="D705" t="s">
        <v>105</v>
      </c>
      <c r="E705" t="s">
        <v>106</v>
      </c>
      <c r="F705" t="s">
        <v>3854</v>
      </c>
      <c r="G705" t="s">
        <v>3948</v>
      </c>
      <c r="H705" t="s">
        <v>3854</v>
      </c>
      <c r="I705" s="88">
        <v>46141.751840277779</v>
      </c>
      <c r="J705" t="s">
        <v>107</v>
      </c>
      <c r="K705" t="s">
        <v>108</v>
      </c>
      <c r="L705" t="s">
        <v>3949</v>
      </c>
      <c r="M705" s="88">
        <v>46143.54586805556</v>
      </c>
      <c r="N705" t="s">
        <v>637</v>
      </c>
      <c r="O705" t="s">
        <v>112</v>
      </c>
      <c r="P705" t="s">
        <v>111</v>
      </c>
      <c r="Q705" t="s">
        <v>2085</v>
      </c>
      <c r="R705">
        <v>2</v>
      </c>
      <c r="S705" s="89">
        <v>9500</v>
      </c>
      <c r="T705" s="89">
        <v>0</v>
      </c>
      <c r="U705" s="89">
        <v>4280</v>
      </c>
      <c r="V705" s="89">
        <v>4280</v>
      </c>
      <c r="W705" s="89">
        <v>14720</v>
      </c>
    </row>
    <row r="706" spans="1:23" ht="13">
      <c r="A706" t="s">
        <v>3950</v>
      </c>
      <c r="B706" t="s">
        <v>3951</v>
      </c>
      <c r="C706" s="88">
        <v>46151.027673611112</v>
      </c>
      <c r="D706" t="s">
        <v>105</v>
      </c>
      <c r="E706" t="s">
        <v>106</v>
      </c>
      <c r="F706" t="s">
        <v>3952</v>
      </c>
      <c r="G706" t="s">
        <v>3953</v>
      </c>
      <c r="H706" t="s">
        <v>3952</v>
      </c>
      <c r="I706" s="88">
        <v>46141.751840277779</v>
      </c>
      <c r="J706" t="s">
        <v>107</v>
      </c>
      <c r="K706" t="s">
        <v>108</v>
      </c>
      <c r="L706" t="s">
        <v>3954</v>
      </c>
      <c r="M706" s="88">
        <v>46143.670844907407</v>
      </c>
      <c r="N706" t="s">
        <v>637</v>
      </c>
      <c r="O706" t="s">
        <v>112</v>
      </c>
      <c r="P706" t="s">
        <v>111</v>
      </c>
      <c r="Q706" t="s">
        <v>2085</v>
      </c>
      <c r="R706">
        <v>2</v>
      </c>
      <c r="S706" s="89">
        <v>9500</v>
      </c>
      <c r="T706" s="89">
        <v>0</v>
      </c>
      <c r="U706" s="89">
        <v>4180</v>
      </c>
      <c r="V706" s="89">
        <v>4180</v>
      </c>
      <c r="W706" s="89">
        <v>14820</v>
      </c>
    </row>
    <row r="707" spans="1:23" ht="13">
      <c r="A707" t="s">
        <v>3955</v>
      </c>
      <c r="B707" t="s">
        <v>3956</v>
      </c>
      <c r="C707" s="88">
        <v>46151.027662037042</v>
      </c>
      <c r="D707" t="s">
        <v>105</v>
      </c>
      <c r="E707" t="s">
        <v>106</v>
      </c>
      <c r="F707" t="s">
        <v>3957</v>
      </c>
      <c r="G707" t="s">
        <v>3958</v>
      </c>
      <c r="H707" t="s">
        <v>3957</v>
      </c>
      <c r="I707" s="88">
        <v>46141.751840277779</v>
      </c>
      <c r="J707" t="s">
        <v>107</v>
      </c>
      <c r="K707" t="s">
        <v>108</v>
      </c>
      <c r="L707" t="s">
        <v>3959</v>
      </c>
      <c r="M707" s="88">
        <v>46143.674328703702</v>
      </c>
      <c r="N707" t="s">
        <v>637</v>
      </c>
      <c r="O707" t="s">
        <v>112</v>
      </c>
      <c r="P707" t="s">
        <v>111</v>
      </c>
      <c r="Q707" t="s">
        <v>2085</v>
      </c>
      <c r="R707">
        <v>6</v>
      </c>
      <c r="S707" s="89">
        <v>9500</v>
      </c>
      <c r="T707" s="89">
        <v>0</v>
      </c>
      <c r="U707" s="89">
        <v>20080</v>
      </c>
      <c r="V707" s="89">
        <v>20080</v>
      </c>
      <c r="W707" s="89">
        <v>36920</v>
      </c>
    </row>
    <row r="708" spans="1:23" ht="13">
      <c r="A708" t="s">
        <v>3960</v>
      </c>
      <c r="B708" t="s">
        <v>3961</v>
      </c>
      <c r="C708" s="88">
        <v>46151.027662037042</v>
      </c>
      <c r="D708" t="s">
        <v>105</v>
      </c>
      <c r="E708" t="s">
        <v>106</v>
      </c>
      <c r="F708" t="s">
        <v>3962</v>
      </c>
      <c r="G708" t="s">
        <v>3963</v>
      </c>
      <c r="H708" t="s">
        <v>3962</v>
      </c>
      <c r="I708" s="88">
        <v>46141.751828703702</v>
      </c>
      <c r="J708" t="s">
        <v>107</v>
      </c>
      <c r="K708" t="s">
        <v>108</v>
      </c>
      <c r="L708" t="s">
        <v>3964</v>
      </c>
      <c r="M708" s="88">
        <v>46143.713842592595</v>
      </c>
      <c r="N708" t="s">
        <v>637</v>
      </c>
      <c r="O708" t="s">
        <v>112</v>
      </c>
      <c r="P708" t="s">
        <v>111</v>
      </c>
      <c r="Q708" t="s">
        <v>2085</v>
      </c>
      <c r="R708">
        <v>5</v>
      </c>
      <c r="S708" s="89">
        <v>9500</v>
      </c>
      <c r="T708" s="89">
        <v>0</v>
      </c>
      <c r="U708" s="89">
        <v>11450</v>
      </c>
      <c r="V708" s="89">
        <v>10450</v>
      </c>
      <c r="W708" s="89">
        <v>36050</v>
      </c>
    </row>
    <row r="709" spans="1:23" ht="13">
      <c r="A709" t="s">
        <v>3965</v>
      </c>
      <c r="B709" t="s">
        <v>3966</v>
      </c>
      <c r="C709" s="88">
        <v>46151.027650462958</v>
      </c>
      <c r="D709" t="s">
        <v>105</v>
      </c>
      <c r="E709" t="s">
        <v>106</v>
      </c>
      <c r="F709" t="s">
        <v>3967</v>
      </c>
      <c r="G709" t="s">
        <v>3968</v>
      </c>
      <c r="H709" t="s">
        <v>3967</v>
      </c>
      <c r="I709" s="88">
        <v>46141.751956018517</v>
      </c>
      <c r="J709" t="s">
        <v>107</v>
      </c>
      <c r="K709" t="s">
        <v>108</v>
      </c>
      <c r="L709" t="s">
        <v>3969</v>
      </c>
      <c r="M709" s="88">
        <v>46143.619756944448</v>
      </c>
      <c r="N709" t="s">
        <v>637</v>
      </c>
      <c r="O709" t="s">
        <v>112</v>
      </c>
      <c r="P709" t="s">
        <v>111</v>
      </c>
      <c r="Q709" t="s">
        <v>2085</v>
      </c>
      <c r="R709">
        <v>5</v>
      </c>
      <c r="S709" s="89">
        <v>9500</v>
      </c>
      <c r="T709" s="89">
        <v>0</v>
      </c>
      <c r="U709" s="89">
        <v>10550</v>
      </c>
      <c r="V709" s="89">
        <v>10550</v>
      </c>
      <c r="W709" s="89">
        <v>36950</v>
      </c>
    </row>
    <row r="710" spans="1:23" ht="13">
      <c r="A710" t="s">
        <v>3970</v>
      </c>
      <c r="B710" t="s">
        <v>3971</v>
      </c>
      <c r="C710" s="88">
        <v>46151.027638888889</v>
      </c>
      <c r="D710" t="s">
        <v>105</v>
      </c>
      <c r="E710" t="s">
        <v>106</v>
      </c>
      <c r="F710" t="s">
        <v>3972</v>
      </c>
      <c r="G710" t="s">
        <v>3973</v>
      </c>
      <c r="H710" t="s">
        <v>3692</v>
      </c>
      <c r="I710" s="88">
        <v>46141.751956018517</v>
      </c>
      <c r="J710" t="s">
        <v>107</v>
      </c>
      <c r="K710" t="s">
        <v>108</v>
      </c>
      <c r="L710" t="s">
        <v>3974</v>
      </c>
      <c r="M710" s="88">
        <v>46143.476597222223</v>
      </c>
      <c r="N710" t="s">
        <v>637</v>
      </c>
      <c r="O710" t="s">
        <v>112</v>
      </c>
      <c r="P710" t="s">
        <v>111</v>
      </c>
      <c r="Q710" t="s">
        <v>2085</v>
      </c>
      <c r="R710">
        <v>6</v>
      </c>
      <c r="S710" s="89">
        <v>9500</v>
      </c>
      <c r="T710" s="89">
        <v>0</v>
      </c>
      <c r="U710" s="89">
        <v>19980</v>
      </c>
      <c r="V710" s="89">
        <v>19980</v>
      </c>
      <c r="W710" s="89">
        <v>37020</v>
      </c>
    </row>
    <row r="711" spans="1:23" ht="13">
      <c r="A711" t="s">
        <v>3975</v>
      </c>
      <c r="B711" t="s">
        <v>3976</v>
      </c>
      <c r="C711" s="88">
        <v>46151.027638888889</v>
      </c>
      <c r="D711" t="s">
        <v>105</v>
      </c>
      <c r="E711" t="s">
        <v>106</v>
      </c>
      <c r="F711" t="s">
        <v>3977</v>
      </c>
      <c r="G711" t="s">
        <v>3978</v>
      </c>
      <c r="H711" t="s">
        <v>3977</v>
      </c>
      <c r="I711" s="88">
        <v>46141.751956018517</v>
      </c>
      <c r="J711" t="s">
        <v>107</v>
      </c>
      <c r="K711" t="s">
        <v>108</v>
      </c>
      <c r="L711" t="s">
        <v>3979</v>
      </c>
      <c r="M711" s="88">
        <v>46143.465960648144</v>
      </c>
      <c r="N711" t="s">
        <v>637</v>
      </c>
      <c r="O711" t="s">
        <v>112</v>
      </c>
      <c r="P711" t="s">
        <v>111</v>
      </c>
      <c r="Q711" t="s">
        <v>2085</v>
      </c>
      <c r="R711">
        <v>3</v>
      </c>
      <c r="S711" s="89">
        <v>9500</v>
      </c>
      <c r="T711" s="89">
        <v>0</v>
      </c>
      <c r="U711" s="89">
        <v>6370</v>
      </c>
      <c r="V711" s="89">
        <v>6370</v>
      </c>
      <c r="W711" s="89">
        <v>22130</v>
      </c>
    </row>
    <row r="712" spans="1:23" ht="13">
      <c r="A712" t="s">
        <v>3980</v>
      </c>
      <c r="B712" t="s">
        <v>3981</v>
      </c>
      <c r="C712" s="88">
        <v>46151.027638888889</v>
      </c>
      <c r="D712" t="s">
        <v>105</v>
      </c>
      <c r="E712" t="s">
        <v>106</v>
      </c>
      <c r="F712" t="s">
        <v>3982</v>
      </c>
      <c r="G712" t="s">
        <v>3983</v>
      </c>
      <c r="H712" t="s">
        <v>3982</v>
      </c>
      <c r="I712" s="88">
        <v>46141.751956018517</v>
      </c>
      <c r="J712" t="s">
        <v>107</v>
      </c>
      <c r="K712" t="s">
        <v>108</v>
      </c>
      <c r="L712" t="s">
        <v>3984</v>
      </c>
      <c r="M712" s="88">
        <v>46143.672916666663</v>
      </c>
      <c r="N712" t="s">
        <v>637</v>
      </c>
      <c r="O712" t="s">
        <v>112</v>
      </c>
      <c r="P712" t="s">
        <v>111</v>
      </c>
      <c r="Q712" t="s">
        <v>2085</v>
      </c>
      <c r="R712">
        <v>1</v>
      </c>
      <c r="S712" s="89">
        <v>9500</v>
      </c>
      <c r="T712" s="89">
        <v>0</v>
      </c>
      <c r="U712" s="89">
        <v>2090</v>
      </c>
      <c r="V712" s="89">
        <v>2090</v>
      </c>
      <c r="W712" s="89">
        <v>7410</v>
      </c>
    </row>
    <row r="713" spans="1:23" ht="13">
      <c r="A713" t="s">
        <v>3985</v>
      </c>
      <c r="B713" t="s">
        <v>227</v>
      </c>
      <c r="C713" s="88">
        <v>46151.027638888889</v>
      </c>
      <c r="D713" t="s">
        <v>105</v>
      </c>
      <c r="E713" t="s">
        <v>106</v>
      </c>
      <c r="F713" t="s">
        <v>228</v>
      </c>
      <c r="G713" t="s">
        <v>229</v>
      </c>
      <c r="H713" t="s">
        <v>228</v>
      </c>
      <c r="I713" s="88">
        <v>46141.751932870371</v>
      </c>
      <c r="J713" t="s">
        <v>107</v>
      </c>
      <c r="K713" t="s">
        <v>108</v>
      </c>
      <c r="L713" t="s">
        <v>3986</v>
      </c>
      <c r="M713" s="88">
        <v>46143.463912037041</v>
      </c>
      <c r="N713" t="s">
        <v>637</v>
      </c>
      <c r="O713" t="s">
        <v>112</v>
      </c>
      <c r="P713" t="s">
        <v>111</v>
      </c>
      <c r="Q713" t="s">
        <v>2085</v>
      </c>
      <c r="R713">
        <v>3</v>
      </c>
      <c r="S713" s="89">
        <v>9500</v>
      </c>
      <c r="T713" s="89">
        <v>0</v>
      </c>
      <c r="U713" s="89">
        <v>6370</v>
      </c>
      <c r="V713" s="89">
        <v>6370</v>
      </c>
      <c r="W713" s="89">
        <v>22130</v>
      </c>
    </row>
    <row r="714" spans="1:23" ht="13">
      <c r="A714" t="s">
        <v>3987</v>
      </c>
      <c r="B714" t="s">
        <v>3988</v>
      </c>
      <c r="C714" s="88">
        <v>46151.027638888889</v>
      </c>
      <c r="D714" t="s">
        <v>105</v>
      </c>
      <c r="E714" t="s">
        <v>106</v>
      </c>
      <c r="F714" t="s">
        <v>428</v>
      </c>
      <c r="G714" t="s">
        <v>3989</v>
      </c>
      <c r="H714" t="s">
        <v>428</v>
      </c>
      <c r="I714" s="88">
        <v>46141.751932870371</v>
      </c>
      <c r="J714" t="s">
        <v>107</v>
      </c>
      <c r="K714" t="s">
        <v>108</v>
      </c>
      <c r="L714" t="s">
        <v>3990</v>
      </c>
      <c r="M714" s="88">
        <v>46143.524212962962</v>
      </c>
      <c r="N714" t="s">
        <v>637</v>
      </c>
      <c r="O714" t="s">
        <v>112</v>
      </c>
      <c r="P714" t="s">
        <v>111</v>
      </c>
      <c r="Q714" t="s">
        <v>2085</v>
      </c>
      <c r="R714">
        <v>6</v>
      </c>
      <c r="S714" s="89">
        <v>9500</v>
      </c>
      <c r="T714" s="89">
        <v>0</v>
      </c>
      <c r="U714" s="89">
        <v>20080</v>
      </c>
      <c r="V714" s="89">
        <v>20080</v>
      </c>
      <c r="W714" s="89">
        <v>36920</v>
      </c>
    </row>
    <row r="715" spans="1:23" ht="13">
      <c r="A715" t="s">
        <v>3991</v>
      </c>
      <c r="B715" t="s">
        <v>3992</v>
      </c>
      <c r="C715" s="88">
        <v>46151.027638888889</v>
      </c>
      <c r="D715" t="s">
        <v>105</v>
      </c>
      <c r="E715" t="s">
        <v>106</v>
      </c>
      <c r="F715" t="s">
        <v>3993</v>
      </c>
      <c r="G715" t="s">
        <v>191</v>
      </c>
      <c r="H715" t="s">
        <v>3993</v>
      </c>
      <c r="I715" s="88">
        <v>46141.751909722225</v>
      </c>
      <c r="J715" t="s">
        <v>107</v>
      </c>
      <c r="K715" t="s">
        <v>108</v>
      </c>
      <c r="L715" t="s">
        <v>3994</v>
      </c>
      <c r="M715" s="88">
        <v>46143.524212962962</v>
      </c>
      <c r="N715" t="s">
        <v>637</v>
      </c>
      <c r="O715" t="s">
        <v>112</v>
      </c>
      <c r="P715" t="s">
        <v>111</v>
      </c>
      <c r="Q715" t="s">
        <v>2085</v>
      </c>
      <c r="R715">
        <v>1</v>
      </c>
      <c r="S715" s="89">
        <v>9500</v>
      </c>
      <c r="T715" s="89">
        <v>0</v>
      </c>
      <c r="U715" s="89">
        <v>2090</v>
      </c>
      <c r="V715" s="89">
        <v>2090</v>
      </c>
      <c r="W715" s="89">
        <v>7410</v>
      </c>
    </row>
    <row r="716" spans="1:23" ht="13">
      <c r="A716" t="s">
        <v>3995</v>
      </c>
      <c r="B716" t="s">
        <v>3996</v>
      </c>
      <c r="C716" s="88">
        <v>46151.027638888889</v>
      </c>
      <c r="D716" t="s">
        <v>105</v>
      </c>
      <c r="E716" t="s">
        <v>106</v>
      </c>
      <c r="F716" t="s">
        <v>3997</v>
      </c>
      <c r="G716" t="s">
        <v>3998</v>
      </c>
      <c r="H716" t="s">
        <v>3997</v>
      </c>
      <c r="I716" s="88">
        <v>46141.751909722225</v>
      </c>
      <c r="J716" t="s">
        <v>107</v>
      </c>
      <c r="K716" t="s">
        <v>108</v>
      </c>
      <c r="L716" t="s">
        <v>3999</v>
      </c>
      <c r="M716" s="88">
        <v>46143.572164351848</v>
      </c>
      <c r="N716" t="s">
        <v>637</v>
      </c>
      <c r="O716" t="s">
        <v>112</v>
      </c>
      <c r="P716" t="s">
        <v>111</v>
      </c>
      <c r="Q716" t="s">
        <v>2085</v>
      </c>
      <c r="R716">
        <v>1</v>
      </c>
      <c r="S716" s="89">
        <v>9500</v>
      </c>
      <c r="T716" s="89">
        <v>0</v>
      </c>
      <c r="U716" s="89">
        <v>2190</v>
      </c>
      <c r="V716" s="89">
        <v>2190</v>
      </c>
      <c r="W716" s="89">
        <v>7310</v>
      </c>
    </row>
    <row r="717" spans="1:23" ht="13">
      <c r="A717" t="s">
        <v>4000</v>
      </c>
      <c r="B717" t="s">
        <v>4001</v>
      </c>
      <c r="C717" s="88">
        <v>46151.027627314819</v>
      </c>
      <c r="D717" t="s">
        <v>105</v>
      </c>
      <c r="E717" t="s">
        <v>106</v>
      </c>
      <c r="F717" t="s">
        <v>380</v>
      </c>
      <c r="G717" t="s">
        <v>4002</v>
      </c>
      <c r="H717" t="s">
        <v>380</v>
      </c>
      <c r="I717" s="88">
        <v>46141.751909722225</v>
      </c>
      <c r="J717" t="s">
        <v>107</v>
      </c>
      <c r="K717" t="s">
        <v>108</v>
      </c>
      <c r="L717" t="s">
        <v>4003</v>
      </c>
      <c r="M717" s="88">
        <v>46143.54586805556</v>
      </c>
      <c r="N717" t="s">
        <v>637</v>
      </c>
      <c r="O717" t="s">
        <v>112</v>
      </c>
      <c r="P717" t="s">
        <v>111</v>
      </c>
      <c r="Q717" t="s">
        <v>2085</v>
      </c>
      <c r="R717">
        <v>4</v>
      </c>
      <c r="S717" s="89">
        <v>9500</v>
      </c>
      <c r="T717" s="89">
        <v>0</v>
      </c>
      <c r="U717" s="89">
        <v>8460</v>
      </c>
      <c r="V717" s="89">
        <v>8460</v>
      </c>
      <c r="W717" s="89">
        <v>29540</v>
      </c>
    </row>
    <row r="718" spans="1:23" ht="13">
      <c r="A718" t="s">
        <v>4004</v>
      </c>
      <c r="B718" t="s">
        <v>4005</v>
      </c>
      <c r="C718" s="88">
        <v>46151.027627314819</v>
      </c>
      <c r="D718" t="s">
        <v>105</v>
      </c>
      <c r="E718" t="s">
        <v>106</v>
      </c>
      <c r="F718" t="s">
        <v>4006</v>
      </c>
      <c r="G718" t="s">
        <v>4007</v>
      </c>
      <c r="H718" t="s">
        <v>4006</v>
      </c>
      <c r="I718" s="88">
        <v>46141.751863425925</v>
      </c>
      <c r="J718" t="s">
        <v>107</v>
      </c>
      <c r="K718" t="s">
        <v>108</v>
      </c>
      <c r="L718" t="s">
        <v>4008</v>
      </c>
      <c r="M718" s="88">
        <v>46143.674328703702</v>
      </c>
      <c r="N718" t="s">
        <v>637</v>
      </c>
      <c r="O718" t="s">
        <v>112</v>
      </c>
      <c r="P718" t="s">
        <v>111</v>
      </c>
      <c r="Q718" t="s">
        <v>2085</v>
      </c>
      <c r="R718">
        <v>2</v>
      </c>
      <c r="S718" s="89">
        <v>9500</v>
      </c>
      <c r="T718" s="89">
        <v>0</v>
      </c>
      <c r="U718" s="89">
        <v>4280</v>
      </c>
      <c r="V718" s="89">
        <v>4280</v>
      </c>
      <c r="W718" s="89">
        <v>14720</v>
      </c>
    </row>
    <row r="719" spans="1:23" ht="13">
      <c r="A719" t="s">
        <v>4009</v>
      </c>
      <c r="B719" t="s">
        <v>4010</v>
      </c>
      <c r="C719" s="88">
        <v>46151.027627314819</v>
      </c>
      <c r="D719" t="s">
        <v>105</v>
      </c>
      <c r="E719" t="s">
        <v>106</v>
      </c>
      <c r="F719" t="s">
        <v>4011</v>
      </c>
      <c r="G719" t="s">
        <v>4012</v>
      </c>
      <c r="H719" t="s">
        <v>4011</v>
      </c>
      <c r="I719" s="88">
        <v>46141.751863425925</v>
      </c>
      <c r="J719" t="s">
        <v>107</v>
      </c>
      <c r="K719" t="s">
        <v>108</v>
      </c>
      <c r="L719" t="s">
        <v>4013</v>
      </c>
      <c r="M719" s="88">
        <v>46143.550717592589</v>
      </c>
      <c r="N719" t="s">
        <v>637</v>
      </c>
      <c r="O719" t="s">
        <v>112</v>
      </c>
      <c r="P719" t="s">
        <v>111</v>
      </c>
      <c r="Q719" t="s">
        <v>2085</v>
      </c>
      <c r="R719">
        <v>6</v>
      </c>
      <c r="S719" s="89">
        <v>9500</v>
      </c>
      <c r="T719" s="89">
        <v>0</v>
      </c>
      <c r="U719" s="89">
        <v>20080</v>
      </c>
      <c r="V719" s="89">
        <v>20080</v>
      </c>
      <c r="W719" s="89">
        <v>36920</v>
      </c>
    </row>
    <row r="720" spans="1:23" ht="13">
      <c r="A720" t="s">
        <v>4014</v>
      </c>
      <c r="B720" t="s">
        <v>4015</v>
      </c>
      <c r="C720" s="88">
        <v>46151.027627314819</v>
      </c>
      <c r="D720" t="s">
        <v>105</v>
      </c>
      <c r="E720" t="s">
        <v>106</v>
      </c>
      <c r="F720" t="s">
        <v>4016</v>
      </c>
      <c r="G720" t="s">
        <v>4017</v>
      </c>
      <c r="H720" t="s">
        <v>4016</v>
      </c>
      <c r="I720" s="88">
        <v>46141.751851851848</v>
      </c>
      <c r="J720" t="s">
        <v>107</v>
      </c>
      <c r="K720" t="s">
        <v>108</v>
      </c>
      <c r="L720" t="s">
        <v>4018</v>
      </c>
      <c r="M720" s="88">
        <v>46143.619745370372</v>
      </c>
      <c r="N720" t="s">
        <v>637</v>
      </c>
      <c r="O720" t="s">
        <v>112</v>
      </c>
      <c r="P720" t="s">
        <v>111</v>
      </c>
      <c r="Q720" t="s">
        <v>2085</v>
      </c>
      <c r="R720">
        <v>3</v>
      </c>
      <c r="S720" s="89">
        <v>9500</v>
      </c>
      <c r="T720" s="89">
        <v>0</v>
      </c>
      <c r="U720" s="89">
        <v>6270</v>
      </c>
      <c r="V720" s="89">
        <v>6270</v>
      </c>
      <c r="W720" s="89">
        <v>22230</v>
      </c>
    </row>
    <row r="721" spans="1:23" ht="13">
      <c r="A721" t="s">
        <v>4019</v>
      </c>
      <c r="B721" t="s">
        <v>4020</v>
      </c>
      <c r="C721" s="88">
        <v>46151.027627314819</v>
      </c>
      <c r="D721" t="s">
        <v>105</v>
      </c>
      <c r="E721" t="s">
        <v>106</v>
      </c>
      <c r="F721" t="s">
        <v>4021</v>
      </c>
      <c r="G721" t="s">
        <v>4022</v>
      </c>
      <c r="H721" t="s">
        <v>4021</v>
      </c>
      <c r="I721" s="88">
        <v>46141.751851851848</v>
      </c>
      <c r="J721" t="s">
        <v>107</v>
      </c>
      <c r="K721" t="s">
        <v>108</v>
      </c>
      <c r="L721" t="s">
        <v>4023</v>
      </c>
      <c r="M721" s="88">
        <v>46143.461111111115</v>
      </c>
      <c r="N721" t="s">
        <v>637</v>
      </c>
      <c r="O721" t="s">
        <v>112</v>
      </c>
      <c r="P721" t="s">
        <v>111</v>
      </c>
      <c r="Q721" t="s">
        <v>2085</v>
      </c>
      <c r="R721">
        <v>5</v>
      </c>
      <c r="S721" s="89">
        <v>9500</v>
      </c>
      <c r="T721" s="89">
        <v>0</v>
      </c>
      <c r="U721" s="89">
        <v>10450</v>
      </c>
      <c r="V721" s="89">
        <v>10450</v>
      </c>
      <c r="W721" s="89">
        <v>37050</v>
      </c>
    </row>
    <row r="722" spans="1:23" ht="13">
      <c r="A722" t="s">
        <v>4024</v>
      </c>
      <c r="B722" t="s">
        <v>4025</v>
      </c>
      <c r="C722" s="88">
        <v>46151.027627314819</v>
      </c>
      <c r="D722" t="s">
        <v>105</v>
      </c>
      <c r="E722" t="s">
        <v>106</v>
      </c>
      <c r="F722" t="s">
        <v>296</v>
      </c>
      <c r="G722" t="s">
        <v>1487</v>
      </c>
      <c r="H722" t="s">
        <v>296</v>
      </c>
      <c r="I722" s="88">
        <v>46141.751851851848</v>
      </c>
      <c r="J722" t="s">
        <v>107</v>
      </c>
      <c r="K722" t="s">
        <v>108</v>
      </c>
      <c r="L722" t="s">
        <v>4026</v>
      </c>
      <c r="M722" s="88">
        <v>46143.880520833336</v>
      </c>
      <c r="N722" t="s">
        <v>637</v>
      </c>
      <c r="O722" t="s">
        <v>112</v>
      </c>
      <c r="P722" t="s">
        <v>111</v>
      </c>
      <c r="Q722" t="s">
        <v>2085</v>
      </c>
      <c r="R722">
        <v>6</v>
      </c>
      <c r="S722" s="89">
        <v>9500</v>
      </c>
      <c r="T722" s="89">
        <v>0</v>
      </c>
      <c r="U722" s="89">
        <v>20080</v>
      </c>
      <c r="V722" s="89">
        <v>20080</v>
      </c>
      <c r="W722" s="89">
        <v>36920</v>
      </c>
    </row>
    <row r="723" spans="1:23" ht="13">
      <c r="A723" t="s">
        <v>4027</v>
      </c>
      <c r="B723" t="s">
        <v>4028</v>
      </c>
      <c r="C723" s="88">
        <v>46151.02752314815</v>
      </c>
      <c r="D723" t="s">
        <v>105</v>
      </c>
      <c r="E723" t="s">
        <v>106</v>
      </c>
      <c r="F723" t="s">
        <v>4029</v>
      </c>
      <c r="G723" t="s">
        <v>4030</v>
      </c>
      <c r="H723" t="s">
        <v>4029</v>
      </c>
      <c r="I723" s="88">
        <v>46141.751956018517</v>
      </c>
      <c r="J723" t="s">
        <v>107</v>
      </c>
      <c r="K723" t="s">
        <v>108</v>
      </c>
      <c r="L723" t="s">
        <v>4031</v>
      </c>
      <c r="M723" s="88">
        <v>46143.545856481476</v>
      </c>
      <c r="N723" t="s">
        <v>637</v>
      </c>
      <c r="O723" t="s">
        <v>112</v>
      </c>
      <c r="P723" t="s">
        <v>111</v>
      </c>
      <c r="Q723" t="s">
        <v>2085</v>
      </c>
      <c r="R723">
        <v>2</v>
      </c>
      <c r="S723" s="89">
        <v>9500</v>
      </c>
      <c r="T723" s="89">
        <v>0</v>
      </c>
      <c r="U723" s="89">
        <v>4180</v>
      </c>
      <c r="V723" s="89">
        <v>4180</v>
      </c>
      <c r="W723" s="89">
        <v>14820</v>
      </c>
    </row>
    <row r="724" spans="1:23" ht="13">
      <c r="A724" t="s">
        <v>4032</v>
      </c>
      <c r="B724" t="s">
        <v>4033</v>
      </c>
      <c r="C724" s="88">
        <v>46151.02752314815</v>
      </c>
      <c r="D724" t="s">
        <v>105</v>
      </c>
      <c r="E724" t="s">
        <v>106</v>
      </c>
      <c r="F724" t="s">
        <v>4034</v>
      </c>
      <c r="G724" t="s">
        <v>4035</v>
      </c>
      <c r="H724" t="s">
        <v>4034</v>
      </c>
      <c r="I724" s="88">
        <v>46141.751956018517</v>
      </c>
      <c r="J724" t="s">
        <v>107</v>
      </c>
      <c r="K724" t="s">
        <v>108</v>
      </c>
      <c r="L724" t="s">
        <v>4036</v>
      </c>
      <c r="M724" s="88">
        <v>46143.572164351848</v>
      </c>
      <c r="N724" t="s">
        <v>637</v>
      </c>
      <c r="O724" t="s">
        <v>112</v>
      </c>
      <c r="P724" t="s">
        <v>111</v>
      </c>
      <c r="Q724" t="s">
        <v>2085</v>
      </c>
      <c r="R724">
        <v>1</v>
      </c>
      <c r="S724" s="89">
        <v>9500</v>
      </c>
      <c r="T724" s="89">
        <v>0</v>
      </c>
      <c r="U724" s="89">
        <v>2090</v>
      </c>
      <c r="V724" s="89">
        <v>2090</v>
      </c>
      <c r="W724" s="89">
        <v>7410</v>
      </c>
    </row>
    <row r="725" spans="1:23" ht="13">
      <c r="A725" t="s">
        <v>4037</v>
      </c>
      <c r="B725" t="s">
        <v>4038</v>
      </c>
      <c r="C725" s="88">
        <v>46151.02752314815</v>
      </c>
      <c r="D725" t="s">
        <v>105</v>
      </c>
      <c r="E725" t="s">
        <v>106</v>
      </c>
      <c r="F725" t="s">
        <v>4039</v>
      </c>
      <c r="G725" t="s">
        <v>3912</v>
      </c>
      <c r="H725" t="s">
        <v>4039</v>
      </c>
      <c r="I725" s="88">
        <v>46141.751932870371</v>
      </c>
      <c r="J725" t="s">
        <v>107</v>
      </c>
      <c r="K725" t="s">
        <v>108</v>
      </c>
      <c r="L725" t="s">
        <v>4040</v>
      </c>
      <c r="M725" s="88">
        <v>46143.476597222223</v>
      </c>
      <c r="N725" t="s">
        <v>637</v>
      </c>
      <c r="O725" t="s">
        <v>112</v>
      </c>
      <c r="P725" t="s">
        <v>111</v>
      </c>
      <c r="Q725" t="s">
        <v>2085</v>
      </c>
      <c r="R725">
        <v>2</v>
      </c>
      <c r="S725" s="89">
        <v>9500</v>
      </c>
      <c r="T725" s="89">
        <v>0</v>
      </c>
      <c r="U725" s="89">
        <v>4280</v>
      </c>
      <c r="V725" s="89">
        <v>4280</v>
      </c>
      <c r="W725" s="89">
        <v>14720</v>
      </c>
    </row>
    <row r="726" spans="1:23" ht="13">
      <c r="A726" t="s">
        <v>4041</v>
      </c>
      <c r="B726" t="s">
        <v>4042</v>
      </c>
      <c r="C726" s="88">
        <v>46151.02752314815</v>
      </c>
      <c r="D726" t="s">
        <v>105</v>
      </c>
      <c r="E726" t="s">
        <v>106</v>
      </c>
      <c r="F726" t="s">
        <v>4043</v>
      </c>
      <c r="G726" t="s">
        <v>4044</v>
      </c>
      <c r="H726" t="s">
        <v>4043</v>
      </c>
      <c r="I726" s="88">
        <v>46141.751932870371</v>
      </c>
      <c r="J726" t="s">
        <v>107</v>
      </c>
      <c r="K726" t="s">
        <v>108</v>
      </c>
      <c r="L726" t="s">
        <v>4045</v>
      </c>
      <c r="M726" s="88">
        <v>46143.461111111115</v>
      </c>
      <c r="N726" t="s">
        <v>637</v>
      </c>
      <c r="O726" t="s">
        <v>112</v>
      </c>
      <c r="P726" t="s">
        <v>111</v>
      </c>
      <c r="Q726" t="s">
        <v>2085</v>
      </c>
      <c r="R726">
        <v>5</v>
      </c>
      <c r="S726" s="89">
        <v>9500</v>
      </c>
      <c r="T726" s="89">
        <v>0</v>
      </c>
      <c r="U726" s="89">
        <v>10450</v>
      </c>
      <c r="V726" s="89">
        <v>10450</v>
      </c>
      <c r="W726" s="89">
        <v>37050</v>
      </c>
    </row>
    <row r="727" spans="1:23" ht="13">
      <c r="A727" t="s">
        <v>4046</v>
      </c>
      <c r="B727" t="s">
        <v>4047</v>
      </c>
      <c r="C727" s="88">
        <v>46151.02752314815</v>
      </c>
      <c r="D727" t="s">
        <v>105</v>
      </c>
      <c r="E727" t="s">
        <v>106</v>
      </c>
      <c r="F727" t="s">
        <v>4048</v>
      </c>
      <c r="G727" t="s">
        <v>4049</v>
      </c>
      <c r="H727" t="s">
        <v>4048</v>
      </c>
      <c r="I727" s="88">
        <v>46141.751932870371</v>
      </c>
      <c r="J727" t="s">
        <v>107</v>
      </c>
      <c r="K727" t="s">
        <v>108</v>
      </c>
      <c r="L727" t="s">
        <v>4050</v>
      </c>
      <c r="M727" s="88">
        <v>46143.572164351848</v>
      </c>
      <c r="N727" t="s">
        <v>637</v>
      </c>
      <c r="O727" t="s">
        <v>112</v>
      </c>
      <c r="P727" t="s">
        <v>111</v>
      </c>
      <c r="Q727" t="s">
        <v>2085</v>
      </c>
      <c r="R727">
        <v>2</v>
      </c>
      <c r="S727" s="89">
        <v>9500</v>
      </c>
      <c r="T727" s="89">
        <v>0</v>
      </c>
      <c r="U727" s="89">
        <v>4280</v>
      </c>
      <c r="V727" s="89">
        <v>4280</v>
      </c>
      <c r="W727" s="89">
        <v>14720</v>
      </c>
    </row>
    <row r="728" spans="1:23" ht="13">
      <c r="A728" t="s">
        <v>4051</v>
      </c>
      <c r="B728" t="s">
        <v>4052</v>
      </c>
      <c r="C728" s="88">
        <v>46151.02752314815</v>
      </c>
      <c r="D728" t="s">
        <v>105</v>
      </c>
      <c r="E728" t="s">
        <v>106</v>
      </c>
      <c r="F728" t="s">
        <v>283</v>
      </c>
      <c r="G728" t="s">
        <v>4053</v>
      </c>
      <c r="H728" t="s">
        <v>283</v>
      </c>
      <c r="I728" s="88">
        <v>46141.751909722225</v>
      </c>
      <c r="J728" t="s">
        <v>107</v>
      </c>
      <c r="K728" t="s">
        <v>108</v>
      </c>
      <c r="L728" t="s">
        <v>4054</v>
      </c>
      <c r="M728" s="88">
        <v>46143.54587962963</v>
      </c>
      <c r="N728" t="s">
        <v>637</v>
      </c>
      <c r="O728" t="s">
        <v>112</v>
      </c>
      <c r="P728" t="s">
        <v>111</v>
      </c>
      <c r="Q728" t="s">
        <v>2085</v>
      </c>
      <c r="R728">
        <v>1</v>
      </c>
      <c r="S728" s="89">
        <v>9500</v>
      </c>
      <c r="T728" s="89">
        <v>0</v>
      </c>
      <c r="U728" s="89">
        <v>2090</v>
      </c>
      <c r="V728" s="89">
        <v>2090</v>
      </c>
      <c r="W728" s="89">
        <v>7410</v>
      </c>
    </row>
    <row r="729" spans="1:23" ht="13">
      <c r="A729" t="s">
        <v>4055</v>
      </c>
      <c r="B729" t="s">
        <v>4056</v>
      </c>
      <c r="C729" s="88">
        <v>46151.02752314815</v>
      </c>
      <c r="D729" t="s">
        <v>105</v>
      </c>
      <c r="E729" t="s">
        <v>106</v>
      </c>
      <c r="F729" t="s">
        <v>4057</v>
      </c>
      <c r="G729" t="s">
        <v>4058</v>
      </c>
      <c r="H729" t="s">
        <v>4057</v>
      </c>
      <c r="I729" s="88">
        <v>46141.751909722225</v>
      </c>
      <c r="J729" t="s">
        <v>107</v>
      </c>
      <c r="K729" t="s">
        <v>108</v>
      </c>
      <c r="L729" t="s">
        <v>4059</v>
      </c>
      <c r="M729" s="88">
        <v>46143.670833333337</v>
      </c>
      <c r="N729" t="s">
        <v>637</v>
      </c>
      <c r="O729" t="s">
        <v>112</v>
      </c>
      <c r="P729" t="s">
        <v>111</v>
      </c>
      <c r="Q729" t="s">
        <v>2085</v>
      </c>
      <c r="R729">
        <v>1</v>
      </c>
      <c r="S729" s="89">
        <v>9500</v>
      </c>
      <c r="T729" s="89">
        <v>0</v>
      </c>
      <c r="U729" s="89">
        <v>2190</v>
      </c>
      <c r="V729" s="89">
        <v>2190</v>
      </c>
      <c r="W729" s="89">
        <v>7310</v>
      </c>
    </row>
    <row r="730" spans="1:23" ht="13">
      <c r="A730" t="s">
        <v>4060</v>
      </c>
      <c r="B730" t="s">
        <v>4061</v>
      </c>
      <c r="C730" s="88">
        <v>46151.027511574073</v>
      </c>
      <c r="D730" t="s">
        <v>105</v>
      </c>
      <c r="E730" t="s">
        <v>106</v>
      </c>
      <c r="F730" t="s">
        <v>4062</v>
      </c>
      <c r="G730" t="s">
        <v>1672</v>
      </c>
      <c r="H730" t="s">
        <v>4062</v>
      </c>
      <c r="I730" s="88">
        <v>46141.751886574071</v>
      </c>
      <c r="J730" t="s">
        <v>107</v>
      </c>
      <c r="K730" t="s">
        <v>108</v>
      </c>
      <c r="L730" t="s">
        <v>4063</v>
      </c>
      <c r="M730" s="88">
        <v>46143.476597222223</v>
      </c>
      <c r="N730" t="s">
        <v>637</v>
      </c>
      <c r="O730" t="s">
        <v>112</v>
      </c>
      <c r="P730" t="s">
        <v>111</v>
      </c>
      <c r="Q730" t="s">
        <v>2085</v>
      </c>
      <c r="R730">
        <v>2</v>
      </c>
      <c r="S730" s="89">
        <v>9500</v>
      </c>
      <c r="T730" s="89">
        <v>0</v>
      </c>
      <c r="U730" s="89">
        <v>4280</v>
      </c>
      <c r="V730" s="89">
        <v>4280</v>
      </c>
      <c r="W730" s="89">
        <v>14720</v>
      </c>
    </row>
    <row r="731" spans="1:23" ht="13">
      <c r="A731" t="s">
        <v>4064</v>
      </c>
      <c r="B731" t="s">
        <v>4065</v>
      </c>
      <c r="C731" s="88">
        <v>46151.027511574073</v>
      </c>
      <c r="D731" t="s">
        <v>105</v>
      </c>
      <c r="E731" t="s">
        <v>106</v>
      </c>
      <c r="F731" t="s">
        <v>4066</v>
      </c>
      <c r="G731" t="s">
        <v>4067</v>
      </c>
      <c r="H731" t="s">
        <v>4066</v>
      </c>
      <c r="I731" s="88">
        <v>46141.751863425925</v>
      </c>
      <c r="J731" t="s">
        <v>107</v>
      </c>
      <c r="K731" t="s">
        <v>108</v>
      </c>
      <c r="L731" t="s">
        <v>4068</v>
      </c>
      <c r="M731" s="88">
        <v>46143.476597222223</v>
      </c>
      <c r="N731" t="s">
        <v>637</v>
      </c>
      <c r="O731" t="s">
        <v>112</v>
      </c>
      <c r="P731" t="s">
        <v>111</v>
      </c>
      <c r="Q731" t="s">
        <v>2085</v>
      </c>
      <c r="R731">
        <v>2</v>
      </c>
      <c r="S731" s="89">
        <v>9500</v>
      </c>
      <c r="T731" s="89">
        <v>0</v>
      </c>
      <c r="U731" s="89">
        <v>4180</v>
      </c>
      <c r="V731" s="89">
        <v>4180</v>
      </c>
      <c r="W731" s="89">
        <v>14820</v>
      </c>
    </row>
    <row r="732" spans="1:23" ht="13">
      <c r="A732" t="s">
        <v>4069</v>
      </c>
      <c r="B732" t="s">
        <v>4070</v>
      </c>
      <c r="C732" s="88">
        <v>46151.027511574073</v>
      </c>
      <c r="D732" t="s">
        <v>105</v>
      </c>
      <c r="E732" t="s">
        <v>106</v>
      </c>
      <c r="F732" t="s">
        <v>290</v>
      </c>
      <c r="G732" t="s">
        <v>4071</v>
      </c>
      <c r="H732" t="s">
        <v>290</v>
      </c>
      <c r="I732" s="88">
        <v>46141.751863425925</v>
      </c>
      <c r="J732" t="s">
        <v>107</v>
      </c>
      <c r="K732" t="s">
        <v>108</v>
      </c>
      <c r="L732" t="s">
        <v>4072</v>
      </c>
      <c r="M732" s="88">
        <v>46143.463900462964</v>
      </c>
      <c r="N732" t="s">
        <v>637</v>
      </c>
      <c r="O732" t="s">
        <v>112</v>
      </c>
      <c r="P732" t="s">
        <v>111</v>
      </c>
      <c r="Q732" t="s">
        <v>2085</v>
      </c>
      <c r="R732">
        <v>6</v>
      </c>
      <c r="S732" s="89">
        <v>9500</v>
      </c>
      <c r="T732" s="89">
        <v>0</v>
      </c>
      <c r="U732" s="89">
        <v>20080</v>
      </c>
      <c r="V732" s="89">
        <v>20080</v>
      </c>
      <c r="W732" s="89">
        <v>36920</v>
      </c>
    </row>
    <row r="733" spans="1:23" ht="13">
      <c r="A733" t="s">
        <v>4073</v>
      </c>
      <c r="B733" t="s">
        <v>4074</v>
      </c>
      <c r="C733" s="88">
        <v>46151.027511574073</v>
      </c>
      <c r="D733" t="s">
        <v>105</v>
      </c>
      <c r="E733" t="s">
        <v>106</v>
      </c>
      <c r="F733" t="s">
        <v>4075</v>
      </c>
      <c r="G733" t="s">
        <v>4076</v>
      </c>
      <c r="H733" t="s">
        <v>4075</v>
      </c>
      <c r="I733" s="88">
        <v>46141.751863425925</v>
      </c>
      <c r="J733" t="s">
        <v>107</v>
      </c>
      <c r="K733" t="s">
        <v>108</v>
      </c>
      <c r="L733" t="s">
        <v>4077</v>
      </c>
      <c r="M733" s="88">
        <v>46143.810347222221</v>
      </c>
      <c r="N733" t="s">
        <v>637</v>
      </c>
      <c r="O733" t="s">
        <v>112</v>
      </c>
      <c r="P733" t="s">
        <v>111</v>
      </c>
      <c r="Q733" t="s">
        <v>2085</v>
      </c>
      <c r="R733">
        <v>3</v>
      </c>
      <c r="S733" s="89">
        <v>9500</v>
      </c>
      <c r="T733" s="89">
        <v>0</v>
      </c>
      <c r="U733" s="89">
        <v>6370</v>
      </c>
      <c r="V733" s="89">
        <v>6370</v>
      </c>
      <c r="W733" s="89">
        <v>22130</v>
      </c>
    </row>
    <row r="734" spans="1:23" ht="13">
      <c r="A734" t="s">
        <v>4078</v>
      </c>
      <c r="B734" t="s">
        <v>4079</v>
      </c>
      <c r="C734" s="88">
        <v>46151.027511574073</v>
      </c>
      <c r="D734" t="s">
        <v>105</v>
      </c>
      <c r="E734" t="s">
        <v>106</v>
      </c>
      <c r="F734" t="s">
        <v>4080</v>
      </c>
      <c r="G734" t="s">
        <v>4081</v>
      </c>
      <c r="H734" t="s">
        <v>4080</v>
      </c>
      <c r="I734" s="88">
        <v>46141.751863425925</v>
      </c>
      <c r="J734" t="s">
        <v>107</v>
      </c>
      <c r="K734" t="s">
        <v>108</v>
      </c>
      <c r="L734" t="s">
        <v>4082</v>
      </c>
      <c r="M734" s="88">
        <v>46143.619745370372</v>
      </c>
      <c r="N734" t="s">
        <v>637</v>
      </c>
      <c r="O734" t="s">
        <v>112</v>
      </c>
      <c r="P734" t="s">
        <v>111</v>
      </c>
      <c r="Q734" t="s">
        <v>2085</v>
      </c>
      <c r="R734">
        <v>6</v>
      </c>
      <c r="S734" s="89">
        <v>9500</v>
      </c>
      <c r="T734" s="89">
        <v>0</v>
      </c>
      <c r="U734" s="89">
        <v>19980</v>
      </c>
      <c r="V734" s="89">
        <v>19980</v>
      </c>
      <c r="W734" s="89">
        <v>37020</v>
      </c>
    </row>
    <row r="735" spans="1:23" ht="13">
      <c r="A735" t="s">
        <v>4083</v>
      </c>
      <c r="B735" t="s">
        <v>4084</v>
      </c>
      <c r="C735" s="88">
        <v>46151.027511574073</v>
      </c>
      <c r="D735" t="s">
        <v>105</v>
      </c>
      <c r="E735" t="s">
        <v>106</v>
      </c>
      <c r="F735" t="s">
        <v>4085</v>
      </c>
      <c r="G735" t="s">
        <v>4086</v>
      </c>
      <c r="H735" t="s">
        <v>4085</v>
      </c>
      <c r="I735" s="88">
        <v>46141.751851851848</v>
      </c>
      <c r="J735" t="s">
        <v>107</v>
      </c>
      <c r="K735" t="s">
        <v>108</v>
      </c>
      <c r="L735" t="s">
        <v>4087</v>
      </c>
      <c r="M735" s="88">
        <v>46143.463912037041</v>
      </c>
      <c r="N735" t="s">
        <v>637</v>
      </c>
      <c r="O735" t="s">
        <v>112</v>
      </c>
      <c r="P735" t="s">
        <v>111</v>
      </c>
      <c r="Q735" t="s">
        <v>2085</v>
      </c>
      <c r="R735">
        <v>3</v>
      </c>
      <c r="S735" s="89">
        <v>9500</v>
      </c>
      <c r="T735" s="89">
        <v>0</v>
      </c>
      <c r="U735" s="89">
        <v>6270</v>
      </c>
      <c r="V735" s="89">
        <v>6270</v>
      </c>
      <c r="W735" s="89">
        <v>22230</v>
      </c>
    </row>
    <row r="736" spans="1:23" ht="13">
      <c r="A736" t="s">
        <v>4088</v>
      </c>
      <c r="B736" t="s">
        <v>4089</v>
      </c>
      <c r="C736" s="88">
        <v>46151.027511574073</v>
      </c>
      <c r="D736" t="s">
        <v>105</v>
      </c>
      <c r="E736" t="s">
        <v>106</v>
      </c>
      <c r="F736" t="s">
        <v>4090</v>
      </c>
      <c r="G736" t="s">
        <v>4091</v>
      </c>
      <c r="H736" t="s">
        <v>2793</v>
      </c>
      <c r="I736" s="88">
        <v>46141.751840277779</v>
      </c>
      <c r="J736" t="s">
        <v>107</v>
      </c>
      <c r="K736" t="s">
        <v>108</v>
      </c>
      <c r="L736" t="s">
        <v>4092</v>
      </c>
      <c r="M736" s="88">
        <v>46143.672210648147</v>
      </c>
      <c r="N736" t="s">
        <v>637</v>
      </c>
      <c r="O736" t="s">
        <v>112</v>
      </c>
      <c r="P736" t="s">
        <v>111</v>
      </c>
      <c r="Q736" t="s">
        <v>2085</v>
      </c>
      <c r="R736">
        <v>3</v>
      </c>
      <c r="S736" s="89">
        <v>9500</v>
      </c>
      <c r="T736" s="89">
        <v>0</v>
      </c>
      <c r="U736" s="89">
        <v>6270</v>
      </c>
      <c r="V736" s="89">
        <v>6270</v>
      </c>
      <c r="W736" s="89">
        <v>22230</v>
      </c>
    </row>
    <row r="737" spans="1:23" ht="13">
      <c r="A737" t="s">
        <v>4093</v>
      </c>
      <c r="B737" t="s">
        <v>4094</v>
      </c>
      <c r="C737" s="88">
        <v>46151.027488425927</v>
      </c>
      <c r="D737" t="s">
        <v>105</v>
      </c>
      <c r="E737" t="s">
        <v>106</v>
      </c>
      <c r="F737" t="s">
        <v>4095</v>
      </c>
      <c r="G737" t="s">
        <v>4096</v>
      </c>
      <c r="H737" t="s">
        <v>4095</v>
      </c>
      <c r="I737" s="88">
        <v>46141.751932870371</v>
      </c>
      <c r="J737" t="s">
        <v>107</v>
      </c>
      <c r="K737" t="s">
        <v>108</v>
      </c>
      <c r="L737" t="s">
        <v>4097</v>
      </c>
      <c r="M737" s="88">
        <v>46143.524212962962</v>
      </c>
      <c r="N737" t="s">
        <v>637</v>
      </c>
      <c r="O737" t="s">
        <v>112</v>
      </c>
      <c r="P737" t="s">
        <v>111</v>
      </c>
      <c r="Q737" t="s">
        <v>2085</v>
      </c>
      <c r="R737">
        <v>2</v>
      </c>
      <c r="S737" s="89">
        <v>9500</v>
      </c>
      <c r="T737" s="89">
        <v>0</v>
      </c>
      <c r="U737" s="89">
        <v>4280</v>
      </c>
      <c r="V737" s="89">
        <v>4280</v>
      </c>
      <c r="W737" s="89">
        <v>14720</v>
      </c>
    </row>
    <row r="738" spans="1:23" ht="13">
      <c r="A738" t="s">
        <v>4098</v>
      </c>
      <c r="B738" t="s">
        <v>4099</v>
      </c>
      <c r="C738" s="88">
        <v>46151.027488425927</v>
      </c>
      <c r="D738" t="s">
        <v>105</v>
      </c>
      <c r="E738" t="s">
        <v>106</v>
      </c>
      <c r="F738" t="s">
        <v>4100</v>
      </c>
      <c r="G738" t="s">
        <v>4101</v>
      </c>
      <c r="H738" t="s">
        <v>4100</v>
      </c>
      <c r="I738" s="88">
        <v>46141.751909722225</v>
      </c>
      <c r="J738" t="s">
        <v>107</v>
      </c>
      <c r="K738" t="s">
        <v>108</v>
      </c>
      <c r="L738" t="s">
        <v>4102</v>
      </c>
      <c r="M738" s="88">
        <v>46143.572164351848</v>
      </c>
      <c r="N738" t="s">
        <v>637</v>
      </c>
      <c r="O738" t="s">
        <v>112</v>
      </c>
      <c r="P738" t="s">
        <v>111</v>
      </c>
      <c r="Q738" t="s">
        <v>2085</v>
      </c>
      <c r="R738">
        <v>1</v>
      </c>
      <c r="S738" s="89">
        <v>9500</v>
      </c>
      <c r="T738" s="89">
        <v>0</v>
      </c>
      <c r="U738" s="89">
        <v>2190</v>
      </c>
      <c r="V738" s="89">
        <v>2190</v>
      </c>
      <c r="W738" s="89">
        <v>7310</v>
      </c>
    </row>
    <row r="739" spans="1:23" ht="13">
      <c r="A739" t="s">
        <v>4103</v>
      </c>
      <c r="B739" t="s">
        <v>4104</v>
      </c>
      <c r="C739" s="88">
        <v>46151.027488425927</v>
      </c>
      <c r="D739" t="s">
        <v>105</v>
      </c>
      <c r="E739" t="s">
        <v>106</v>
      </c>
      <c r="F739" t="s">
        <v>4105</v>
      </c>
      <c r="G739" t="s">
        <v>1263</v>
      </c>
      <c r="H739" t="s">
        <v>4105</v>
      </c>
      <c r="I739" s="88">
        <v>46141.751863425925</v>
      </c>
      <c r="J739" t="s">
        <v>107</v>
      </c>
      <c r="K739" t="s">
        <v>108</v>
      </c>
      <c r="L739" t="s">
        <v>4106</v>
      </c>
      <c r="M739" s="88">
        <v>46143.549409722225</v>
      </c>
      <c r="N739" t="s">
        <v>637</v>
      </c>
      <c r="O739" t="s">
        <v>112</v>
      </c>
      <c r="P739" t="s">
        <v>111</v>
      </c>
      <c r="Q739" t="s">
        <v>2085</v>
      </c>
      <c r="R739">
        <v>6</v>
      </c>
      <c r="S739" s="89">
        <v>9500</v>
      </c>
      <c r="T739" s="89">
        <v>0</v>
      </c>
      <c r="U739" s="89">
        <v>19980</v>
      </c>
      <c r="V739" s="89">
        <v>19980</v>
      </c>
      <c r="W739" s="89">
        <v>37020</v>
      </c>
    </row>
    <row r="740" spans="1:23" ht="13">
      <c r="A740" t="s">
        <v>4107</v>
      </c>
      <c r="B740" t="s">
        <v>4108</v>
      </c>
      <c r="C740" s="88">
        <v>46151.027488425927</v>
      </c>
      <c r="D740" t="s">
        <v>105</v>
      </c>
      <c r="E740" t="s">
        <v>106</v>
      </c>
      <c r="F740" t="s">
        <v>4109</v>
      </c>
      <c r="G740" t="s">
        <v>4110</v>
      </c>
      <c r="H740" t="s">
        <v>4109</v>
      </c>
      <c r="I740" s="88">
        <v>46141.751863425925</v>
      </c>
      <c r="J740" t="s">
        <v>107</v>
      </c>
      <c r="K740" t="s">
        <v>108</v>
      </c>
      <c r="L740" t="s">
        <v>4111</v>
      </c>
      <c r="M740" s="88">
        <v>46143.665497685186</v>
      </c>
      <c r="N740" t="s">
        <v>637</v>
      </c>
      <c r="O740" t="s">
        <v>112</v>
      </c>
      <c r="P740" t="s">
        <v>111</v>
      </c>
      <c r="Q740" t="s">
        <v>2085</v>
      </c>
      <c r="R740">
        <v>2</v>
      </c>
      <c r="S740" s="89">
        <v>9500</v>
      </c>
      <c r="T740" s="89">
        <v>0</v>
      </c>
      <c r="U740" s="89">
        <v>4280</v>
      </c>
      <c r="V740" s="89">
        <v>4280</v>
      </c>
      <c r="W740" s="89">
        <v>14720</v>
      </c>
    </row>
    <row r="741" spans="1:23" ht="13">
      <c r="A741" t="s">
        <v>4112</v>
      </c>
      <c r="B741" t="s">
        <v>4113</v>
      </c>
      <c r="C741" s="88">
        <v>46151.027488425927</v>
      </c>
      <c r="D741" t="s">
        <v>105</v>
      </c>
      <c r="E741" t="s">
        <v>106</v>
      </c>
      <c r="F741" t="s">
        <v>4114</v>
      </c>
      <c r="G741" t="s">
        <v>4115</v>
      </c>
      <c r="H741" t="s">
        <v>4114</v>
      </c>
      <c r="I741" s="88">
        <v>46141.751851851848</v>
      </c>
      <c r="J741" t="s">
        <v>107</v>
      </c>
      <c r="K741" t="s">
        <v>108</v>
      </c>
      <c r="L741" t="s">
        <v>4116</v>
      </c>
      <c r="M741" s="88">
        <v>46143.753449074073</v>
      </c>
      <c r="N741" t="s">
        <v>637</v>
      </c>
      <c r="O741" t="s">
        <v>112</v>
      </c>
      <c r="P741" t="s">
        <v>111</v>
      </c>
      <c r="Q741" t="s">
        <v>2085</v>
      </c>
      <c r="R741">
        <v>6</v>
      </c>
      <c r="S741" s="89">
        <v>9500</v>
      </c>
      <c r="T741" s="89">
        <v>0</v>
      </c>
      <c r="U741" s="89">
        <v>20080</v>
      </c>
      <c r="V741" s="89">
        <v>20080</v>
      </c>
      <c r="W741" s="89">
        <v>36920</v>
      </c>
    </row>
    <row r="742" spans="1:23" ht="13">
      <c r="A742" t="s">
        <v>4117</v>
      </c>
      <c r="B742" t="s">
        <v>4118</v>
      </c>
      <c r="C742" s="88">
        <v>46151.027488425927</v>
      </c>
      <c r="D742" t="s">
        <v>105</v>
      </c>
      <c r="E742" t="s">
        <v>106</v>
      </c>
      <c r="F742" t="s">
        <v>4119</v>
      </c>
      <c r="G742" t="s">
        <v>4120</v>
      </c>
      <c r="H742" t="s">
        <v>4119</v>
      </c>
      <c r="I742" s="88">
        <v>46141.751840277779</v>
      </c>
      <c r="J742" t="s">
        <v>107</v>
      </c>
      <c r="K742" t="s">
        <v>108</v>
      </c>
      <c r="L742" t="s">
        <v>4121</v>
      </c>
      <c r="M742" s="88">
        <v>46143.46597222222</v>
      </c>
      <c r="N742" t="s">
        <v>637</v>
      </c>
      <c r="O742" t="s">
        <v>112</v>
      </c>
      <c r="P742" t="s">
        <v>111</v>
      </c>
      <c r="Q742" t="s">
        <v>2085</v>
      </c>
      <c r="R742">
        <v>3</v>
      </c>
      <c r="S742" s="89">
        <v>9500</v>
      </c>
      <c r="T742" s="89">
        <v>0</v>
      </c>
      <c r="U742" s="89">
        <v>6370</v>
      </c>
      <c r="V742" s="89">
        <v>6370</v>
      </c>
      <c r="W742" s="89">
        <v>22130</v>
      </c>
    </row>
    <row r="743" spans="1:23" ht="13">
      <c r="A743" t="s">
        <v>4122</v>
      </c>
      <c r="B743" t="s">
        <v>4123</v>
      </c>
      <c r="C743" s="88">
        <v>46151.027488425927</v>
      </c>
      <c r="D743" t="s">
        <v>105</v>
      </c>
      <c r="E743" t="s">
        <v>106</v>
      </c>
      <c r="F743" t="s">
        <v>258</v>
      </c>
      <c r="G743" t="s">
        <v>4124</v>
      </c>
      <c r="H743" t="s">
        <v>258</v>
      </c>
      <c r="I743" s="88">
        <v>46141.751840277779</v>
      </c>
      <c r="J743" t="s">
        <v>107</v>
      </c>
      <c r="K743" t="s">
        <v>108</v>
      </c>
      <c r="L743" t="s">
        <v>4125</v>
      </c>
      <c r="M743" s="88">
        <v>46143.524212962962</v>
      </c>
      <c r="N743" t="s">
        <v>637</v>
      </c>
      <c r="O743" t="s">
        <v>112</v>
      </c>
      <c r="P743" t="s">
        <v>111</v>
      </c>
      <c r="Q743" t="s">
        <v>2085</v>
      </c>
      <c r="R743">
        <v>4</v>
      </c>
      <c r="S743" s="89">
        <v>9500</v>
      </c>
      <c r="T743" s="89">
        <v>0</v>
      </c>
      <c r="U743" s="89">
        <v>8360</v>
      </c>
      <c r="V743" s="89">
        <v>8360</v>
      </c>
      <c r="W743" s="89">
        <v>29640</v>
      </c>
    </row>
    <row r="744" spans="1:23" ht="13">
      <c r="A744" t="s">
        <v>4126</v>
      </c>
      <c r="B744" t="s">
        <v>4127</v>
      </c>
      <c r="C744" s="88">
        <v>46151.02747685185</v>
      </c>
      <c r="D744" t="s">
        <v>105</v>
      </c>
      <c r="E744" t="s">
        <v>106</v>
      </c>
      <c r="F744" t="s">
        <v>4128</v>
      </c>
      <c r="G744" t="s">
        <v>4129</v>
      </c>
      <c r="H744" t="s">
        <v>4128</v>
      </c>
      <c r="I744" s="88">
        <v>46141.751840277779</v>
      </c>
      <c r="J744" t="s">
        <v>107</v>
      </c>
      <c r="K744" t="s">
        <v>108</v>
      </c>
      <c r="L744" t="s">
        <v>4130</v>
      </c>
      <c r="M744" s="88">
        <v>46143.463900462964</v>
      </c>
      <c r="N744" t="s">
        <v>637</v>
      </c>
      <c r="O744" t="s">
        <v>112</v>
      </c>
      <c r="P744" t="s">
        <v>111</v>
      </c>
      <c r="Q744" t="s">
        <v>2085</v>
      </c>
      <c r="R744">
        <v>6</v>
      </c>
      <c r="S744" s="89">
        <v>9500</v>
      </c>
      <c r="T744" s="89">
        <v>0</v>
      </c>
      <c r="U744" s="89">
        <v>20080</v>
      </c>
      <c r="V744" s="89">
        <v>20080</v>
      </c>
      <c r="W744" s="89">
        <v>36920</v>
      </c>
    </row>
    <row r="745" spans="1:23" ht="13">
      <c r="A745" t="s">
        <v>4131</v>
      </c>
      <c r="B745" t="s">
        <v>226</v>
      </c>
      <c r="C745" s="88">
        <v>46151.02747685185</v>
      </c>
      <c r="D745" t="s">
        <v>105</v>
      </c>
      <c r="E745" t="s">
        <v>106</v>
      </c>
      <c r="F745" t="s">
        <v>207</v>
      </c>
      <c r="G745" t="s">
        <v>208</v>
      </c>
      <c r="H745" t="s">
        <v>207</v>
      </c>
      <c r="I745" s="88">
        <v>46141.751840277779</v>
      </c>
      <c r="J745" t="s">
        <v>107</v>
      </c>
      <c r="K745" t="s">
        <v>108</v>
      </c>
      <c r="L745" t="s">
        <v>4132</v>
      </c>
      <c r="M745" s="88">
        <v>46143.463912037041</v>
      </c>
      <c r="N745" t="s">
        <v>637</v>
      </c>
      <c r="O745" t="s">
        <v>112</v>
      </c>
      <c r="P745" t="s">
        <v>111</v>
      </c>
      <c r="Q745" t="s">
        <v>2085</v>
      </c>
      <c r="R745">
        <v>6</v>
      </c>
      <c r="S745" s="89">
        <v>9500</v>
      </c>
      <c r="T745" s="89">
        <v>0</v>
      </c>
      <c r="U745" s="89">
        <v>19980</v>
      </c>
      <c r="V745" s="89">
        <v>19980</v>
      </c>
      <c r="W745" s="89">
        <v>37020</v>
      </c>
    </row>
    <row r="746" spans="1:23" ht="13">
      <c r="A746" t="s">
        <v>4133</v>
      </c>
      <c r="B746" t="s">
        <v>4134</v>
      </c>
      <c r="C746" s="88">
        <v>46151.027442129634</v>
      </c>
      <c r="D746" t="s">
        <v>105</v>
      </c>
      <c r="E746" t="s">
        <v>106</v>
      </c>
      <c r="F746" t="s">
        <v>4135</v>
      </c>
      <c r="G746" t="s">
        <v>4136</v>
      </c>
      <c r="H746" t="s">
        <v>4135</v>
      </c>
      <c r="I746" s="88">
        <v>46141.751956018517</v>
      </c>
      <c r="J746" t="s">
        <v>107</v>
      </c>
      <c r="K746" t="s">
        <v>108</v>
      </c>
      <c r="L746" t="s">
        <v>4137</v>
      </c>
      <c r="M746" s="88">
        <v>46143.671597222223</v>
      </c>
      <c r="N746" t="s">
        <v>637</v>
      </c>
      <c r="O746" t="s">
        <v>112</v>
      </c>
      <c r="P746" t="s">
        <v>111</v>
      </c>
      <c r="Q746" t="s">
        <v>2085</v>
      </c>
      <c r="R746">
        <v>6</v>
      </c>
      <c r="S746" s="89">
        <v>9500</v>
      </c>
      <c r="T746" s="89">
        <v>0</v>
      </c>
      <c r="U746" s="89">
        <v>20080</v>
      </c>
      <c r="V746" s="89">
        <v>20080</v>
      </c>
      <c r="W746" s="89">
        <v>36920</v>
      </c>
    </row>
    <row r="747" spans="1:23" ht="13">
      <c r="A747" t="s">
        <v>4138</v>
      </c>
      <c r="B747" t="s">
        <v>4139</v>
      </c>
      <c r="C747" s="88">
        <v>46151.027442129634</v>
      </c>
      <c r="D747" t="s">
        <v>105</v>
      </c>
      <c r="E747" t="s">
        <v>106</v>
      </c>
      <c r="F747" t="s">
        <v>4140</v>
      </c>
      <c r="G747" t="s">
        <v>4141</v>
      </c>
      <c r="H747" t="s">
        <v>4140</v>
      </c>
      <c r="I747" s="88">
        <v>46141.751956018517</v>
      </c>
      <c r="J747" t="s">
        <v>107</v>
      </c>
      <c r="K747" t="s">
        <v>108</v>
      </c>
      <c r="L747" t="s">
        <v>4142</v>
      </c>
      <c r="M747" s="88">
        <v>46143.670844907407</v>
      </c>
      <c r="N747" t="s">
        <v>637</v>
      </c>
      <c r="O747" t="s">
        <v>112</v>
      </c>
      <c r="P747" t="s">
        <v>111</v>
      </c>
      <c r="Q747" t="s">
        <v>2085</v>
      </c>
      <c r="R747">
        <v>1</v>
      </c>
      <c r="S747" s="89">
        <v>9500</v>
      </c>
      <c r="T747" s="89">
        <v>0</v>
      </c>
      <c r="U747" s="89">
        <v>2190</v>
      </c>
      <c r="V747" s="89">
        <v>2190</v>
      </c>
      <c r="W747" s="89">
        <v>7310</v>
      </c>
    </row>
    <row r="748" spans="1:23" ht="13">
      <c r="A748" t="s">
        <v>4143</v>
      </c>
      <c r="B748" t="s">
        <v>4144</v>
      </c>
      <c r="C748" s="88">
        <v>46151.027442129634</v>
      </c>
      <c r="D748" t="s">
        <v>105</v>
      </c>
      <c r="E748" t="s">
        <v>106</v>
      </c>
      <c r="F748" t="s">
        <v>383</v>
      </c>
      <c r="G748" t="s">
        <v>4145</v>
      </c>
      <c r="H748" t="s">
        <v>383</v>
      </c>
      <c r="I748" s="88">
        <v>46141.751956018517</v>
      </c>
      <c r="J748" t="s">
        <v>107</v>
      </c>
      <c r="K748" t="s">
        <v>108</v>
      </c>
      <c r="L748" t="s">
        <v>4146</v>
      </c>
      <c r="M748" s="88">
        <v>46143.6716087963</v>
      </c>
      <c r="N748" t="s">
        <v>637</v>
      </c>
      <c r="O748" t="s">
        <v>112</v>
      </c>
      <c r="P748" t="s">
        <v>111</v>
      </c>
      <c r="Q748" t="s">
        <v>2085</v>
      </c>
      <c r="R748">
        <v>1</v>
      </c>
      <c r="S748" s="89">
        <v>9500</v>
      </c>
      <c r="T748" s="89">
        <v>0</v>
      </c>
      <c r="U748" s="89">
        <v>2190</v>
      </c>
      <c r="V748" s="89">
        <v>2190</v>
      </c>
      <c r="W748" s="89">
        <v>7310</v>
      </c>
    </row>
    <row r="749" spans="1:23" ht="13">
      <c r="A749" t="s">
        <v>4147</v>
      </c>
      <c r="B749" t="s">
        <v>4148</v>
      </c>
      <c r="C749" s="88">
        <v>46151.027442129634</v>
      </c>
      <c r="D749" t="s">
        <v>105</v>
      </c>
      <c r="E749" t="s">
        <v>106</v>
      </c>
      <c r="F749" t="s">
        <v>4149</v>
      </c>
      <c r="G749" t="s">
        <v>4150</v>
      </c>
      <c r="H749" t="s">
        <v>4149</v>
      </c>
      <c r="I749" s="88">
        <v>46141.751932870371</v>
      </c>
      <c r="J749" t="s">
        <v>107</v>
      </c>
      <c r="K749" t="s">
        <v>108</v>
      </c>
      <c r="L749" t="s">
        <v>4151</v>
      </c>
      <c r="M749" s="88">
        <v>46143.524212962962</v>
      </c>
      <c r="N749" t="s">
        <v>637</v>
      </c>
      <c r="O749" t="s">
        <v>112</v>
      </c>
      <c r="P749" t="s">
        <v>111</v>
      </c>
      <c r="Q749" t="s">
        <v>2085</v>
      </c>
      <c r="R749">
        <v>12</v>
      </c>
      <c r="S749" s="89">
        <v>9500</v>
      </c>
      <c r="T749" s="89">
        <v>0</v>
      </c>
      <c r="U749" s="89">
        <v>40060</v>
      </c>
      <c r="V749" s="89">
        <v>40060</v>
      </c>
      <c r="W749" s="89">
        <v>73940</v>
      </c>
    </row>
    <row r="750" spans="1:23" ht="13">
      <c r="A750" t="s">
        <v>4152</v>
      </c>
      <c r="B750" t="s">
        <v>4153</v>
      </c>
      <c r="C750" s="88">
        <v>46151.027442129634</v>
      </c>
      <c r="D750" t="s">
        <v>105</v>
      </c>
      <c r="E750" t="s">
        <v>106</v>
      </c>
      <c r="F750" t="s">
        <v>4154</v>
      </c>
      <c r="G750" t="s">
        <v>4155</v>
      </c>
      <c r="H750" t="s">
        <v>4154</v>
      </c>
      <c r="I750" s="88">
        <v>46141.751932870371</v>
      </c>
      <c r="J750" t="s">
        <v>107</v>
      </c>
      <c r="K750" t="s">
        <v>108</v>
      </c>
      <c r="L750" t="s">
        <v>4156</v>
      </c>
      <c r="M750" s="88">
        <v>46143.524212962962</v>
      </c>
      <c r="N750" t="s">
        <v>637</v>
      </c>
      <c r="O750" t="s">
        <v>112</v>
      </c>
      <c r="P750" t="s">
        <v>111</v>
      </c>
      <c r="Q750" t="s">
        <v>2085</v>
      </c>
      <c r="R750">
        <v>6</v>
      </c>
      <c r="S750" s="89">
        <v>9500</v>
      </c>
      <c r="T750" s="89">
        <v>0</v>
      </c>
      <c r="U750" s="89">
        <v>20080</v>
      </c>
      <c r="V750" s="89">
        <v>20080</v>
      </c>
      <c r="W750" s="89">
        <v>36920</v>
      </c>
    </row>
    <row r="751" spans="1:23" ht="13">
      <c r="A751" t="s">
        <v>4157</v>
      </c>
      <c r="B751" t="s">
        <v>4158</v>
      </c>
      <c r="C751" s="88">
        <v>46151.027442129634</v>
      </c>
      <c r="D751" t="s">
        <v>105</v>
      </c>
      <c r="E751" t="s">
        <v>106</v>
      </c>
      <c r="F751" t="s">
        <v>602</v>
      </c>
      <c r="G751" t="s">
        <v>4159</v>
      </c>
      <c r="H751" t="s">
        <v>602</v>
      </c>
      <c r="I751" s="88">
        <v>46141.751909722225</v>
      </c>
      <c r="J751" t="s">
        <v>107</v>
      </c>
      <c r="K751" t="s">
        <v>108</v>
      </c>
      <c r="L751" t="s">
        <v>4160</v>
      </c>
      <c r="M751" s="88">
        <v>46143.671597222223</v>
      </c>
      <c r="N751" t="s">
        <v>637</v>
      </c>
      <c r="O751" t="s">
        <v>112</v>
      </c>
      <c r="P751" t="s">
        <v>111</v>
      </c>
      <c r="Q751" t="s">
        <v>2085</v>
      </c>
      <c r="R751">
        <v>6</v>
      </c>
      <c r="S751" s="89">
        <v>9500</v>
      </c>
      <c r="T751" s="89">
        <v>0</v>
      </c>
      <c r="U751" s="89">
        <v>20080</v>
      </c>
      <c r="V751" s="89">
        <v>20080</v>
      </c>
      <c r="W751" s="89">
        <v>36920</v>
      </c>
    </row>
    <row r="752" spans="1:23" ht="13">
      <c r="A752" t="s">
        <v>4161</v>
      </c>
      <c r="B752" t="s">
        <v>4162</v>
      </c>
      <c r="C752" s="88">
        <v>46151.027442129634</v>
      </c>
      <c r="D752" t="s">
        <v>105</v>
      </c>
      <c r="E752" t="s">
        <v>106</v>
      </c>
      <c r="F752" t="s">
        <v>4163</v>
      </c>
      <c r="G752" t="s">
        <v>4164</v>
      </c>
      <c r="H752" t="s">
        <v>4163</v>
      </c>
      <c r="I752" s="88">
        <v>46141.751863425925</v>
      </c>
      <c r="J752" t="s">
        <v>107</v>
      </c>
      <c r="K752" t="s">
        <v>108</v>
      </c>
      <c r="L752" t="s">
        <v>4165</v>
      </c>
      <c r="M752" s="88">
        <v>46143.619756944448</v>
      </c>
      <c r="N752" t="s">
        <v>637</v>
      </c>
      <c r="O752" t="s">
        <v>112</v>
      </c>
      <c r="P752" t="s">
        <v>111</v>
      </c>
      <c r="Q752" t="s">
        <v>2085</v>
      </c>
      <c r="R752">
        <v>10</v>
      </c>
      <c r="S752" s="89">
        <v>9500</v>
      </c>
      <c r="T752" s="89">
        <v>0</v>
      </c>
      <c r="U752" s="89">
        <v>33400</v>
      </c>
      <c r="V752" s="89">
        <v>33400</v>
      </c>
      <c r="W752" s="89">
        <v>61600</v>
      </c>
    </row>
    <row r="753" spans="1:23" ht="13">
      <c r="A753" t="s">
        <v>4166</v>
      </c>
      <c r="B753" t="s">
        <v>4167</v>
      </c>
      <c r="C753" s="88">
        <v>46151.027442129634</v>
      </c>
      <c r="D753" t="s">
        <v>105</v>
      </c>
      <c r="E753" t="s">
        <v>106</v>
      </c>
      <c r="F753" t="s">
        <v>2537</v>
      </c>
      <c r="G753" t="s">
        <v>4168</v>
      </c>
      <c r="H753" t="s">
        <v>2537</v>
      </c>
      <c r="I753" s="88">
        <v>46141.751863425925</v>
      </c>
      <c r="J753" t="s">
        <v>107</v>
      </c>
      <c r="K753" t="s">
        <v>108</v>
      </c>
      <c r="L753" t="s">
        <v>4169</v>
      </c>
      <c r="M753" s="88">
        <v>46143.674328703702</v>
      </c>
      <c r="N753" t="s">
        <v>637</v>
      </c>
      <c r="O753" t="s">
        <v>112</v>
      </c>
      <c r="P753" t="s">
        <v>111</v>
      </c>
      <c r="Q753" t="s">
        <v>2085</v>
      </c>
      <c r="R753">
        <v>6</v>
      </c>
      <c r="S753" s="89">
        <v>9500</v>
      </c>
      <c r="T753" s="89">
        <v>0</v>
      </c>
      <c r="U753" s="89">
        <v>20080</v>
      </c>
      <c r="V753" s="89">
        <v>20080</v>
      </c>
      <c r="W753" s="89">
        <v>36920</v>
      </c>
    </row>
    <row r="754" spans="1:23" ht="13">
      <c r="A754" t="s">
        <v>4170</v>
      </c>
      <c r="B754" t="s">
        <v>4171</v>
      </c>
      <c r="C754" s="88">
        <v>46151.02743055555</v>
      </c>
      <c r="D754" t="s">
        <v>105</v>
      </c>
      <c r="E754" t="s">
        <v>106</v>
      </c>
      <c r="F754" t="s">
        <v>4172</v>
      </c>
      <c r="G754" t="s">
        <v>4173</v>
      </c>
      <c r="H754" t="s">
        <v>4172</v>
      </c>
      <c r="I754" s="88">
        <v>46141.751863425925</v>
      </c>
      <c r="J754" t="s">
        <v>107</v>
      </c>
      <c r="K754" t="s">
        <v>108</v>
      </c>
      <c r="L754" t="s">
        <v>4174</v>
      </c>
      <c r="M754" s="88">
        <v>46143.54586805556</v>
      </c>
      <c r="N754" t="s">
        <v>637</v>
      </c>
      <c r="O754" t="s">
        <v>112</v>
      </c>
      <c r="P754" t="s">
        <v>111</v>
      </c>
      <c r="Q754" t="s">
        <v>2085</v>
      </c>
      <c r="R754">
        <v>2</v>
      </c>
      <c r="S754" s="89">
        <v>9500</v>
      </c>
      <c r="T754" s="89">
        <v>0</v>
      </c>
      <c r="U754" s="89">
        <v>4180</v>
      </c>
      <c r="V754" s="89">
        <v>4180</v>
      </c>
      <c r="W754" s="89">
        <v>14820</v>
      </c>
    </row>
    <row r="755" spans="1:23" ht="13">
      <c r="A755" t="s">
        <v>4175</v>
      </c>
      <c r="B755" t="s">
        <v>4176</v>
      </c>
      <c r="C755" s="88">
        <v>46151.02743055555</v>
      </c>
      <c r="D755" t="s">
        <v>105</v>
      </c>
      <c r="E755" t="s">
        <v>106</v>
      </c>
      <c r="F755" t="s">
        <v>4177</v>
      </c>
      <c r="G755" t="s">
        <v>4178</v>
      </c>
      <c r="H755" t="s">
        <v>4179</v>
      </c>
      <c r="I755" s="88">
        <v>46141.751863425925</v>
      </c>
      <c r="J755" t="s">
        <v>107</v>
      </c>
      <c r="K755" t="s">
        <v>108</v>
      </c>
      <c r="L755" t="s">
        <v>4180</v>
      </c>
      <c r="M755" s="88">
        <v>46143.54586805556</v>
      </c>
      <c r="N755" t="s">
        <v>637</v>
      </c>
      <c r="O755" t="s">
        <v>112</v>
      </c>
      <c r="P755" t="s">
        <v>111</v>
      </c>
      <c r="Q755" t="s">
        <v>2085</v>
      </c>
      <c r="R755">
        <v>6</v>
      </c>
      <c r="S755" s="89">
        <v>9500</v>
      </c>
      <c r="T755" s="89">
        <v>0</v>
      </c>
      <c r="U755" s="89">
        <v>20080</v>
      </c>
      <c r="V755" s="89">
        <v>20080</v>
      </c>
      <c r="W755" s="89">
        <v>36920</v>
      </c>
    </row>
    <row r="756" spans="1:23" ht="13">
      <c r="A756" t="s">
        <v>4181</v>
      </c>
      <c r="B756" t="s">
        <v>4182</v>
      </c>
      <c r="C756" s="88">
        <v>46151.02743055555</v>
      </c>
      <c r="D756" t="s">
        <v>105</v>
      </c>
      <c r="E756" t="s">
        <v>106</v>
      </c>
      <c r="F756" t="s">
        <v>4183</v>
      </c>
      <c r="G756" t="s">
        <v>4184</v>
      </c>
      <c r="H756" t="s">
        <v>4183</v>
      </c>
      <c r="I756" s="88">
        <v>46141.751863425925</v>
      </c>
      <c r="J756" t="s">
        <v>107</v>
      </c>
      <c r="K756" t="s">
        <v>108</v>
      </c>
      <c r="L756" t="s">
        <v>4185</v>
      </c>
      <c r="M756" s="88">
        <v>46143.572164351848</v>
      </c>
      <c r="N756" t="s">
        <v>637</v>
      </c>
      <c r="O756" t="s">
        <v>112</v>
      </c>
      <c r="P756" t="s">
        <v>111</v>
      </c>
      <c r="Q756" t="s">
        <v>2085</v>
      </c>
      <c r="R756">
        <v>6</v>
      </c>
      <c r="S756" s="89">
        <v>9500</v>
      </c>
      <c r="T756" s="89">
        <v>0</v>
      </c>
      <c r="U756" s="89">
        <v>20080</v>
      </c>
      <c r="V756" s="89">
        <v>20080</v>
      </c>
      <c r="W756" s="89">
        <v>36920</v>
      </c>
    </row>
    <row r="757" spans="1:23" ht="13">
      <c r="A757" t="s">
        <v>4186</v>
      </c>
      <c r="B757" t="s">
        <v>4187</v>
      </c>
      <c r="C757" s="88">
        <v>46151.02743055555</v>
      </c>
      <c r="D757" t="s">
        <v>105</v>
      </c>
      <c r="E757" t="s">
        <v>106</v>
      </c>
      <c r="F757" t="s">
        <v>371</v>
      </c>
      <c r="G757" t="s">
        <v>4188</v>
      </c>
      <c r="H757" t="s">
        <v>371</v>
      </c>
      <c r="I757" s="88">
        <v>46141.751863425925</v>
      </c>
      <c r="J757" t="s">
        <v>107</v>
      </c>
      <c r="K757" t="s">
        <v>108</v>
      </c>
      <c r="L757" t="s">
        <v>4189</v>
      </c>
      <c r="M757" s="88">
        <v>46143.879131944443</v>
      </c>
      <c r="N757" t="s">
        <v>637</v>
      </c>
      <c r="O757" t="s">
        <v>112</v>
      </c>
      <c r="P757" t="s">
        <v>111</v>
      </c>
      <c r="Q757" t="s">
        <v>2085</v>
      </c>
      <c r="R757">
        <v>5</v>
      </c>
      <c r="S757" s="89">
        <v>9500</v>
      </c>
      <c r="T757" s="89">
        <v>0</v>
      </c>
      <c r="U757" s="89">
        <v>10550</v>
      </c>
      <c r="V757" s="89">
        <v>10550</v>
      </c>
      <c r="W757" s="89">
        <v>36950</v>
      </c>
    </row>
    <row r="758" spans="1:23" ht="13">
      <c r="A758" t="s">
        <v>4190</v>
      </c>
      <c r="B758" t="s">
        <v>4191</v>
      </c>
      <c r="C758" s="88">
        <v>46151.02743055555</v>
      </c>
      <c r="D758" t="s">
        <v>105</v>
      </c>
      <c r="E758" t="s">
        <v>106</v>
      </c>
      <c r="F758" t="s">
        <v>4192</v>
      </c>
      <c r="G758" t="s">
        <v>4193</v>
      </c>
      <c r="H758" t="s">
        <v>4192</v>
      </c>
      <c r="I758" s="88">
        <v>46141.751851851848</v>
      </c>
      <c r="J758" t="s">
        <v>107</v>
      </c>
      <c r="K758" t="s">
        <v>108</v>
      </c>
      <c r="L758" t="s">
        <v>4194</v>
      </c>
      <c r="M758" s="88">
        <v>46143.476597222223</v>
      </c>
      <c r="N758" t="s">
        <v>637</v>
      </c>
      <c r="O758" t="s">
        <v>112</v>
      </c>
      <c r="P758" t="s">
        <v>111</v>
      </c>
      <c r="Q758" t="s">
        <v>2085</v>
      </c>
      <c r="R758">
        <v>2</v>
      </c>
      <c r="S758" s="89">
        <v>9500</v>
      </c>
      <c r="T758" s="89">
        <v>0</v>
      </c>
      <c r="U758" s="89">
        <v>4180</v>
      </c>
      <c r="V758" s="89">
        <v>4180</v>
      </c>
      <c r="W758" s="89">
        <v>14820</v>
      </c>
    </row>
    <row r="759" spans="1:23" ht="13">
      <c r="A759" t="s">
        <v>4195</v>
      </c>
      <c r="B759" t="s">
        <v>4196</v>
      </c>
      <c r="C759" s="88">
        <v>46151.02743055555</v>
      </c>
      <c r="D759" t="s">
        <v>105</v>
      </c>
      <c r="E759" t="s">
        <v>106</v>
      </c>
      <c r="F759" t="s">
        <v>4197</v>
      </c>
      <c r="G759" t="s">
        <v>4198</v>
      </c>
      <c r="H759" t="s">
        <v>4197</v>
      </c>
      <c r="I759" s="88">
        <v>46141.751851851848</v>
      </c>
      <c r="J759" t="s">
        <v>107</v>
      </c>
      <c r="K759" t="s">
        <v>108</v>
      </c>
      <c r="L759" t="s">
        <v>4199</v>
      </c>
      <c r="M759" s="88">
        <v>46143.476597222223</v>
      </c>
      <c r="N759" t="s">
        <v>637</v>
      </c>
      <c r="O759" t="s">
        <v>112</v>
      </c>
      <c r="P759" t="s">
        <v>111</v>
      </c>
      <c r="Q759" t="s">
        <v>2085</v>
      </c>
      <c r="R759">
        <v>2</v>
      </c>
      <c r="S759" s="89">
        <v>9500</v>
      </c>
      <c r="T759" s="89">
        <v>0</v>
      </c>
      <c r="U759" s="89">
        <v>4180</v>
      </c>
      <c r="V759" s="89">
        <v>4180</v>
      </c>
      <c r="W759" s="89">
        <v>14820</v>
      </c>
    </row>
    <row r="760" spans="1:23" ht="13">
      <c r="A760" t="s">
        <v>4200</v>
      </c>
      <c r="B760" t="s">
        <v>4201</v>
      </c>
      <c r="C760" s="88">
        <v>46151.02743055555</v>
      </c>
      <c r="D760" t="s">
        <v>105</v>
      </c>
      <c r="E760" t="s">
        <v>106</v>
      </c>
      <c r="F760" t="s">
        <v>277</v>
      </c>
      <c r="G760" t="s">
        <v>4202</v>
      </c>
      <c r="H760" t="s">
        <v>277</v>
      </c>
      <c r="I760" s="88">
        <v>46141.751851851848</v>
      </c>
      <c r="J760" t="s">
        <v>107</v>
      </c>
      <c r="K760" t="s">
        <v>108</v>
      </c>
      <c r="L760" t="s">
        <v>4203</v>
      </c>
      <c r="M760" s="88">
        <v>46143.671597222223</v>
      </c>
      <c r="N760" t="s">
        <v>637</v>
      </c>
      <c r="O760" t="s">
        <v>112</v>
      </c>
      <c r="P760" t="s">
        <v>111</v>
      </c>
      <c r="Q760" t="s">
        <v>2085</v>
      </c>
      <c r="R760">
        <v>6</v>
      </c>
      <c r="S760" s="89">
        <v>9500</v>
      </c>
      <c r="T760" s="89">
        <v>0</v>
      </c>
      <c r="U760" s="89">
        <v>19980</v>
      </c>
      <c r="V760" s="89">
        <v>19980</v>
      </c>
      <c r="W760" s="89">
        <v>37020</v>
      </c>
    </row>
    <row r="761" spans="1:23" ht="13">
      <c r="A761" t="s">
        <v>4204</v>
      </c>
      <c r="B761" t="s">
        <v>4205</v>
      </c>
      <c r="C761" s="88">
        <v>46151.027418981481</v>
      </c>
      <c r="D761" t="s">
        <v>105</v>
      </c>
      <c r="E761" t="s">
        <v>106</v>
      </c>
      <c r="F761" t="s">
        <v>4206</v>
      </c>
      <c r="G761" t="s">
        <v>4207</v>
      </c>
      <c r="H761" t="s">
        <v>4208</v>
      </c>
      <c r="I761" s="88">
        <v>46141.751840277779</v>
      </c>
      <c r="J761" t="s">
        <v>107</v>
      </c>
      <c r="K761" t="s">
        <v>108</v>
      </c>
      <c r="L761" t="s">
        <v>4209</v>
      </c>
      <c r="M761" s="88">
        <v>46143.465960648144</v>
      </c>
      <c r="N761" t="s">
        <v>637</v>
      </c>
      <c r="O761" t="s">
        <v>112</v>
      </c>
      <c r="P761" t="s">
        <v>111</v>
      </c>
      <c r="Q761" t="s">
        <v>2085</v>
      </c>
      <c r="R761">
        <v>8</v>
      </c>
      <c r="S761" s="89">
        <v>9500</v>
      </c>
      <c r="T761" s="89">
        <v>0</v>
      </c>
      <c r="U761" s="89">
        <v>26740</v>
      </c>
      <c r="V761" s="89">
        <v>26740</v>
      </c>
      <c r="W761" s="89">
        <v>49260</v>
      </c>
    </row>
    <row r="762" spans="1:23" ht="13">
      <c r="A762" t="s">
        <v>4210</v>
      </c>
      <c r="B762" t="s">
        <v>4211</v>
      </c>
      <c r="C762" s="88">
        <v>46151.027418981481</v>
      </c>
      <c r="D762" t="s">
        <v>105</v>
      </c>
      <c r="E762" t="s">
        <v>106</v>
      </c>
      <c r="F762" t="s">
        <v>4212</v>
      </c>
      <c r="G762" t="s">
        <v>4213</v>
      </c>
      <c r="H762" t="s">
        <v>4212</v>
      </c>
      <c r="I762" s="88">
        <v>46141.751956018517</v>
      </c>
      <c r="J762" t="s">
        <v>107</v>
      </c>
      <c r="K762" t="s">
        <v>108</v>
      </c>
      <c r="L762" t="s">
        <v>4214</v>
      </c>
      <c r="M762" s="88">
        <v>46143.572164351848</v>
      </c>
      <c r="N762" t="s">
        <v>637</v>
      </c>
      <c r="O762" t="s">
        <v>112</v>
      </c>
      <c r="P762" t="s">
        <v>111</v>
      </c>
      <c r="Q762" t="s">
        <v>2085</v>
      </c>
      <c r="R762">
        <v>2</v>
      </c>
      <c r="S762" s="89">
        <v>9500</v>
      </c>
      <c r="T762" s="89">
        <v>0</v>
      </c>
      <c r="U762" s="89">
        <v>4280</v>
      </c>
      <c r="V762" s="89">
        <v>4280</v>
      </c>
      <c r="W762" s="89">
        <v>14720</v>
      </c>
    </row>
    <row r="763" spans="1:23" ht="13">
      <c r="A763" t="s">
        <v>4215</v>
      </c>
      <c r="B763" t="s">
        <v>4216</v>
      </c>
      <c r="C763" s="88">
        <v>46151.027418981481</v>
      </c>
      <c r="D763" t="s">
        <v>105</v>
      </c>
      <c r="E763" t="s">
        <v>106</v>
      </c>
      <c r="F763" t="s">
        <v>4217</v>
      </c>
      <c r="G763" t="s">
        <v>4218</v>
      </c>
      <c r="H763" t="s">
        <v>4217</v>
      </c>
      <c r="I763" s="88">
        <v>46141.751840277779</v>
      </c>
      <c r="J763" t="s">
        <v>107</v>
      </c>
      <c r="K763" t="s">
        <v>108</v>
      </c>
      <c r="L763" t="s">
        <v>4219</v>
      </c>
      <c r="M763" s="88">
        <v>46143.461111111115</v>
      </c>
      <c r="N763" t="s">
        <v>637</v>
      </c>
      <c r="O763" t="s">
        <v>112</v>
      </c>
      <c r="P763" t="s">
        <v>111</v>
      </c>
      <c r="Q763" t="s">
        <v>2085</v>
      </c>
      <c r="R763">
        <v>3</v>
      </c>
      <c r="S763" s="89">
        <v>9500</v>
      </c>
      <c r="T763" s="89">
        <v>0</v>
      </c>
      <c r="U763" s="89">
        <v>6370</v>
      </c>
      <c r="V763" s="89">
        <v>6370</v>
      </c>
      <c r="W763" s="89">
        <v>22130</v>
      </c>
    </row>
    <row r="764" spans="1:23" ht="13">
      <c r="A764" t="s">
        <v>4220</v>
      </c>
      <c r="B764" t="s">
        <v>4221</v>
      </c>
      <c r="C764" s="88">
        <v>46151.027418981481</v>
      </c>
      <c r="D764" t="s">
        <v>105</v>
      </c>
      <c r="E764" t="s">
        <v>106</v>
      </c>
      <c r="F764" t="s">
        <v>300</v>
      </c>
      <c r="G764" t="s">
        <v>4222</v>
      </c>
      <c r="H764" t="s">
        <v>300</v>
      </c>
      <c r="I764" s="88">
        <v>46141.751932870371</v>
      </c>
      <c r="J764" t="s">
        <v>107</v>
      </c>
      <c r="K764" t="s">
        <v>108</v>
      </c>
      <c r="L764" t="s">
        <v>4223</v>
      </c>
      <c r="M764" s="88">
        <v>46143.461111111115</v>
      </c>
      <c r="N764" t="s">
        <v>637</v>
      </c>
      <c r="O764" t="s">
        <v>112</v>
      </c>
      <c r="P764" t="s">
        <v>111</v>
      </c>
      <c r="Q764" t="s">
        <v>2085</v>
      </c>
      <c r="R764">
        <v>6</v>
      </c>
      <c r="S764" s="89">
        <v>9500</v>
      </c>
      <c r="T764" s="89">
        <v>0</v>
      </c>
      <c r="U764" s="89">
        <v>20080</v>
      </c>
      <c r="V764" s="89">
        <v>20080</v>
      </c>
      <c r="W764" s="89">
        <v>36920</v>
      </c>
    </row>
    <row r="765" spans="1:23" ht="13">
      <c r="A765" t="s">
        <v>4224</v>
      </c>
      <c r="B765" t="s">
        <v>4225</v>
      </c>
      <c r="C765" s="88">
        <v>46151.027418981481</v>
      </c>
      <c r="D765" t="s">
        <v>105</v>
      </c>
      <c r="E765" t="s">
        <v>106</v>
      </c>
      <c r="F765" t="s">
        <v>312</v>
      </c>
      <c r="G765" t="s">
        <v>4226</v>
      </c>
      <c r="H765" t="s">
        <v>312</v>
      </c>
      <c r="I765" s="88">
        <v>46141.751909722225</v>
      </c>
      <c r="J765" t="s">
        <v>107</v>
      </c>
      <c r="K765" t="s">
        <v>108</v>
      </c>
      <c r="L765" t="s">
        <v>4227</v>
      </c>
      <c r="M765" s="88">
        <v>46143.463912037041</v>
      </c>
      <c r="N765" t="s">
        <v>637</v>
      </c>
      <c r="O765" t="s">
        <v>112</v>
      </c>
      <c r="P765" t="s">
        <v>111</v>
      </c>
      <c r="Q765" t="s">
        <v>2085</v>
      </c>
      <c r="R765">
        <v>1</v>
      </c>
      <c r="S765" s="89">
        <v>9500</v>
      </c>
      <c r="T765" s="89">
        <v>0</v>
      </c>
      <c r="U765" s="89">
        <v>2190</v>
      </c>
      <c r="V765" s="89">
        <v>2190</v>
      </c>
      <c r="W765" s="89">
        <v>7310</v>
      </c>
    </row>
    <row r="766" spans="1:23" ht="13">
      <c r="A766" t="s">
        <v>4228</v>
      </c>
      <c r="B766" t="s">
        <v>4229</v>
      </c>
      <c r="C766" s="88">
        <v>46151.027418981481</v>
      </c>
      <c r="D766" t="s">
        <v>105</v>
      </c>
      <c r="E766" t="s">
        <v>106</v>
      </c>
      <c r="F766" t="s">
        <v>4230</v>
      </c>
      <c r="G766" t="s">
        <v>4231</v>
      </c>
      <c r="H766" t="s">
        <v>4230</v>
      </c>
      <c r="I766" s="88">
        <v>46141.751828703702</v>
      </c>
      <c r="J766" t="s">
        <v>107</v>
      </c>
      <c r="K766" t="s">
        <v>108</v>
      </c>
      <c r="L766" t="s">
        <v>4232</v>
      </c>
      <c r="M766" s="88">
        <v>46143.810347222221</v>
      </c>
      <c r="N766" t="s">
        <v>637</v>
      </c>
      <c r="O766" t="s">
        <v>112</v>
      </c>
      <c r="P766" t="s">
        <v>111</v>
      </c>
      <c r="Q766" t="s">
        <v>2085</v>
      </c>
      <c r="R766">
        <v>3</v>
      </c>
      <c r="S766" s="89">
        <v>9500</v>
      </c>
      <c r="T766" s="89">
        <v>0</v>
      </c>
      <c r="U766" s="89">
        <v>6370</v>
      </c>
      <c r="V766" s="89">
        <v>6370</v>
      </c>
      <c r="W766" s="89">
        <v>22130</v>
      </c>
    </row>
    <row r="767" spans="1:23" ht="13">
      <c r="A767" t="s">
        <v>4233</v>
      </c>
      <c r="B767" t="s">
        <v>4234</v>
      </c>
      <c r="C767" s="88">
        <v>46151.027418981481</v>
      </c>
      <c r="D767" t="s">
        <v>105</v>
      </c>
      <c r="E767" t="s">
        <v>106</v>
      </c>
      <c r="F767" t="s">
        <v>283</v>
      </c>
      <c r="G767" t="s">
        <v>4235</v>
      </c>
      <c r="H767" t="s">
        <v>283</v>
      </c>
      <c r="I767" s="88">
        <v>46141.751909722225</v>
      </c>
      <c r="J767" t="s">
        <v>107</v>
      </c>
      <c r="K767" t="s">
        <v>108</v>
      </c>
      <c r="L767" t="s">
        <v>4236</v>
      </c>
      <c r="M767" s="88">
        <v>46143.665497685186</v>
      </c>
      <c r="N767" t="s">
        <v>637</v>
      </c>
      <c r="O767" t="s">
        <v>112</v>
      </c>
      <c r="P767" t="s">
        <v>111</v>
      </c>
      <c r="Q767" t="s">
        <v>2085</v>
      </c>
      <c r="R767">
        <v>6</v>
      </c>
      <c r="S767" s="89">
        <v>9500</v>
      </c>
      <c r="T767" s="89">
        <v>0</v>
      </c>
      <c r="U767" s="89">
        <v>19980</v>
      </c>
      <c r="V767" s="89">
        <v>19980</v>
      </c>
      <c r="W767" s="89">
        <v>37020</v>
      </c>
    </row>
    <row r="768" spans="1:23" ht="13">
      <c r="A768" t="s">
        <v>4237</v>
      </c>
      <c r="B768" t="s">
        <v>4238</v>
      </c>
      <c r="C768" s="88">
        <v>46151.027418981481</v>
      </c>
      <c r="D768" t="s">
        <v>105</v>
      </c>
      <c r="E768" t="s">
        <v>106</v>
      </c>
      <c r="F768" t="s">
        <v>4239</v>
      </c>
      <c r="G768" t="s">
        <v>4240</v>
      </c>
      <c r="H768" t="s">
        <v>4239</v>
      </c>
      <c r="I768" s="88">
        <v>46141.751909722225</v>
      </c>
      <c r="J768" t="s">
        <v>107</v>
      </c>
      <c r="K768" t="s">
        <v>108</v>
      </c>
      <c r="L768" t="s">
        <v>4241</v>
      </c>
      <c r="M768" s="88">
        <v>46143.670833333337</v>
      </c>
      <c r="N768" t="s">
        <v>637</v>
      </c>
      <c r="O768" t="s">
        <v>112</v>
      </c>
      <c r="P768" t="s">
        <v>111</v>
      </c>
      <c r="Q768" t="s">
        <v>2085</v>
      </c>
      <c r="R768">
        <v>2</v>
      </c>
      <c r="S768" s="89">
        <v>9500</v>
      </c>
      <c r="T768" s="89">
        <v>0</v>
      </c>
      <c r="U768" s="89">
        <v>4180</v>
      </c>
      <c r="V768" s="89">
        <v>4180</v>
      </c>
      <c r="W768" s="89">
        <v>14820</v>
      </c>
    </row>
    <row r="769" spans="1:23" ht="13">
      <c r="A769" t="s">
        <v>4242</v>
      </c>
      <c r="B769" t="s">
        <v>4243</v>
      </c>
      <c r="C769" s="88">
        <v>46151.027418981481</v>
      </c>
      <c r="D769" t="s">
        <v>105</v>
      </c>
      <c r="E769" t="s">
        <v>106</v>
      </c>
      <c r="F769" t="s">
        <v>4244</v>
      </c>
      <c r="G769" t="s">
        <v>4245</v>
      </c>
      <c r="H769" t="s">
        <v>4244</v>
      </c>
      <c r="I769" s="88">
        <v>46141.751886574071</v>
      </c>
      <c r="J769" t="s">
        <v>107</v>
      </c>
      <c r="K769" t="s">
        <v>108</v>
      </c>
      <c r="L769" t="s">
        <v>4246</v>
      </c>
      <c r="M769" s="88">
        <v>46143.54586805556</v>
      </c>
      <c r="N769" t="s">
        <v>637</v>
      </c>
      <c r="O769" t="s">
        <v>112</v>
      </c>
      <c r="P769" t="s">
        <v>111</v>
      </c>
      <c r="Q769" t="s">
        <v>2085</v>
      </c>
      <c r="R769">
        <v>8</v>
      </c>
      <c r="S769" s="89">
        <v>9500</v>
      </c>
      <c r="T769" s="89">
        <v>0</v>
      </c>
      <c r="U769" s="89">
        <v>26740</v>
      </c>
      <c r="V769" s="89">
        <v>26740</v>
      </c>
      <c r="W769" s="89">
        <v>49260</v>
      </c>
    </row>
    <row r="770" spans="1:23" ht="13">
      <c r="A770" t="s">
        <v>4247</v>
      </c>
      <c r="B770" t="s">
        <v>4248</v>
      </c>
      <c r="C770" s="88">
        <v>46151.027418981481</v>
      </c>
      <c r="D770" t="s">
        <v>105</v>
      </c>
      <c r="E770" t="s">
        <v>106</v>
      </c>
      <c r="F770" t="s">
        <v>4249</v>
      </c>
      <c r="G770" t="s">
        <v>4250</v>
      </c>
      <c r="H770" t="s">
        <v>4249</v>
      </c>
      <c r="I770" s="88">
        <v>46141.751863425925</v>
      </c>
      <c r="J770" t="s">
        <v>107</v>
      </c>
      <c r="K770" t="s">
        <v>108</v>
      </c>
      <c r="L770" t="s">
        <v>4251</v>
      </c>
      <c r="M770" s="88">
        <v>46143.670844907407</v>
      </c>
      <c r="N770" t="s">
        <v>637</v>
      </c>
      <c r="O770" t="s">
        <v>112</v>
      </c>
      <c r="P770" t="s">
        <v>111</v>
      </c>
      <c r="Q770" t="s">
        <v>2085</v>
      </c>
      <c r="R770">
        <v>6</v>
      </c>
      <c r="S770" s="89">
        <v>9500</v>
      </c>
      <c r="T770" s="89">
        <v>0</v>
      </c>
      <c r="U770" s="89">
        <v>19980</v>
      </c>
      <c r="V770" s="89">
        <v>19980</v>
      </c>
      <c r="W770" s="89">
        <v>37020</v>
      </c>
    </row>
    <row r="771" spans="1:23" ht="13">
      <c r="A771" t="s">
        <v>4252</v>
      </c>
      <c r="B771" t="s">
        <v>4253</v>
      </c>
      <c r="C771" s="88">
        <v>46151.027418981481</v>
      </c>
      <c r="D771" t="s">
        <v>105</v>
      </c>
      <c r="E771" t="s">
        <v>106</v>
      </c>
      <c r="F771" t="s">
        <v>1512</v>
      </c>
      <c r="G771" t="s">
        <v>4254</v>
      </c>
      <c r="H771" t="s">
        <v>4255</v>
      </c>
      <c r="I771" s="88">
        <v>46141.751863425925</v>
      </c>
      <c r="J771" t="s">
        <v>107</v>
      </c>
      <c r="K771" t="s">
        <v>108</v>
      </c>
      <c r="L771" t="s">
        <v>4256</v>
      </c>
      <c r="M771" s="88">
        <v>46143.6722337963</v>
      </c>
      <c r="N771" t="s">
        <v>637</v>
      </c>
      <c r="O771" t="s">
        <v>112</v>
      </c>
      <c r="P771" t="s">
        <v>111</v>
      </c>
      <c r="Q771" t="s">
        <v>2085</v>
      </c>
      <c r="R771">
        <v>3</v>
      </c>
      <c r="S771" s="89">
        <v>9500</v>
      </c>
      <c r="T771" s="89">
        <v>0</v>
      </c>
      <c r="U771" s="89">
        <v>6370</v>
      </c>
      <c r="V771" s="89">
        <v>6370</v>
      </c>
      <c r="W771" s="89">
        <v>22130</v>
      </c>
    </row>
    <row r="772" spans="1:23" ht="13">
      <c r="A772" t="s">
        <v>4257</v>
      </c>
      <c r="B772" t="s">
        <v>4258</v>
      </c>
      <c r="C772" s="88">
        <v>46151.027407407411</v>
      </c>
      <c r="D772" t="s">
        <v>105</v>
      </c>
      <c r="E772" t="s">
        <v>106</v>
      </c>
      <c r="F772" t="s">
        <v>4259</v>
      </c>
      <c r="G772" t="s">
        <v>4260</v>
      </c>
      <c r="H772" t="s">
        <v>4259</v>
      </c>
      <c r="I772" s="88">
        <v>46141.751863425925</v>
      </c>
      <c r="J772" t="s">
        <v>107</v>
      </c>
      <c r="K772" t="s">
        <v>108</v>
      </c>
      <c r="L772" t="s">
        <v>4261</v>
      </c>
      <c r="M772" s="88">
        <v>46143.674328703702</v>
      </c>
      <c r="N772" t="s">
        <v>637</v>
      </c>
      <c r="O772" t="s">
        <v>112</v>
      </c>
      <c r="P772" t="s">
        <v>111</v>
      </c>
      <c r="Q772" t="s">
        <v>2085</v>
      </c>
      <c r="R772">
        <v>6</v>
      </c>
      <c r="S772" s="89">
        <v>9500</v>
      </c>
      <c r="T772" s="89">
        <v>0</v>
      </c>
      <c r="U772" s="89">
        <v>19980</v>
      </c>
      <c r="V772" s="89">
        <v>19980</v>
      </c>
      <c r="W772" s="89">
        <v>37020</v>
      </c>
    </row>
    <row r="773" spans="1:23" ht="13">
      <c r="A773" t="s">
        <v>4262</v>
      </c>
      <c r="B773" t="s">
        <v>4263</v>
      </c>
      <c r="C773" s="88">
        <v>46151.027407407411</v>
      </c>
      <c r="D773" t="s">
        <v>105</v>
      </c>
      <c r="E773" t="s">
        <v>106</v>
      </c>
      <c r="F773" t="s">
        <v>4264</v>
      </c>
      <c r="G773" t="s">
        <v>4265</v>
      </c>
      <c r="H773" t="s">
        <v>4264</v>
      </c>
      <c r="I773" s="88">
        <v>46141.751851851848</v>
      </c>
      <c r="J773" t="s">
        <v>107</v>
      </c>
      <c r="K773" t="s">
        <v>108</v>
      </c>
      <c r="L773" t="s">
        <v>4266</v>
      </c>
      <c r="M773" s="88">
        <v>46143.524212962962</v>
      </c>
      <c r="N773" t="s">
        <v>637</v>
      </c>
      <c r="O773" t="s">
        <v>112</v>
      </c>
      <c r="P773" t="s">
        <v>111</v>
      </c>
      <c r="Q773" t="s">
        <v>2085</v>
      </c>
      <c r="R773">
        <v>2</v>
      </c>
      <c r="S773" s="89">
        <v>9500</v>
      </c>
      <c r="T773" s="89">
        <v>0</v>
      </c>
      <c r="U773" s="89">
        <v>4180</v>
      </c>
      <c r="V773" s="89">
        <v>4180</v>
      </c>
      <c r="W773" s="89">
        <v>14820</v>
      </c>
    </row>
    <row r="774" spans="1:23" ht="13">
      <c r="A774" t="s">
        <v>4267</v>
      </c>
      <c r="B774" t="s">
        <v>4268</v>
      </c>
      <c r="C774" s="88">
        <v>46151.027407407411</v>
      </c>
      <c r="D774" t="s">
        <v>105</v>
      </c>
      <c r="E774" t="s">
        <v>106</v>
      </c>
      <c r="F774" t="s">
        <v>4269</v>
      </c>
      <c r="G774" t="s">
        <v>4270</v>
      </c>
      <c r="H774" t="s">
        <v>4269</v>
      </c>
      <c r="I774" s="88">
        <v>46141.751840277779</v>
      </c>
      <c r="J774" t="s">
        <v>107</v>
      </c>
      <c r="K774" t="s">
        <v>108</v>
      </c>
      <c r="L774" t="s">
        <v>4271</v>
      </c>
      <c r="M774" s="88">
        <v>46143.461111111115</v>
      </c>
      <c r="N774" t="s">
        <v>637</v>
      </c>
      <c r="O774" t="s">
        <v>112</v>
      </c>
      <c r="P774" t="s">
        <v>111</v>
      </c>
      <c r="Q774" t="s">
        <v>2085</v>
      </c>
      <c r="R774">
        <v>5</v>
      </c>
      <c r="S774" s="89">
        <v>9500</v>
      </c>
      <c r="T774" s="89">
        <v>0</v>
      </c>
      <c r="U774" s="89">
        <v>10450</v>
      </c>
      <c r="V774" s="89">
        <v>10450</v>
      </c>
      <c r="W774" s="89">
        <v>37050</v>
      </c>
    </row>
    <row r="775" spans="1:23" ht="13">
      <c r="A775" t="s">
        <v>4272</v>
      </c>
      <c r="B775" t="s">
        <v>4273</v>
      </c>
      <c r="C775" s="88">
        <v>46151.027407407411</v>
      </c>
      <c r="D775" t="s">
        <v>105</v>
      </c>
      <c r="E775" t="s">
        <v>106</v>
      </c>
      <c r="F775" t="s">
        <v>4274</v>
      </c>
      <c r="G775" t="s">
        <v>4275</v>
      </c>
      <c r="H775" t="s">
        <v>4274</v>
      </c>
      <c r="I775" s="88">
        <v>46141.751840277779</v>
      </c>
      <c r="J775" t="s">
        <v>107</v>
      </c>
      <c r="K775" t="s">
        <v>108</v>
      </c>
      <c r="L775" t="s">
        <v>4276</v>
      </c>
      <c r="M775" s="88">
        <v>46143.672916666663</v>
      </c>
      <c r="N775" t="s">
        <v>637</v>
      </c>
      <c r="O775" t="s">
        <v>112</v>
      </c>
      <c r="P775" t="s">
        <v>111</v>
      </c>
      <c r="Q775" t="s">
        <v>2085</v>
      </c>
      <c r="R775">
        <v>3</v>
      </c>
      <c r="S775" s="89">
        <v>9500</v>
      </c>
      <c r="T775" s="89">
        <v>0</v>
      </c>
      <c r="U775" s="89">
        <v>6370</v>
      </c>
      <c r="V775" s="89">
        <v>6370</v>
      </c>
      <c r="W775" s="89">
        <v>22130</v>
      </c>
    </row>
    <row r="776" spans="1:23" ht="13">
      <c r="A776" t="s">
        <v>4277</v>
      </c>
      <c r="B776" t="s">
        <v>4278</v>
      </c>
      <c r="C776" s="88">
        <v>46151.027407407411</v>
      </c>
      <c r="D776" t="s">
        <v>105</v>
      </c>
      <c r="E776" t="s">
        <v>106</v>
      </c>
      <c r="F776" t="s">
        <v>4279</v>
      </c>
      <c r="G776" t="s">
        <v>4280</v>
      </c>
      <c r="H776" t="s">
        <v>4281</v>
      </c>
      <c r="I776" s="88">
        <v>46141.751840277779</v>
      </c>
      <c r="J776" t="s">
        <v>107</v>
      </c>
      <c r="K776" t="s">
        <v>108</v>
      </c>
      <c r="L776" t="s">
        <v>4282</v>
      </c>
      <c r="M776" s="88">
        <v>46143.463912037041</v>
      </c>
      <c r="N776" t="s">
        <v>637</v>
      </c>
      <c r="O776" t="s">
        <v>112</v>
      </c>
      <c r="P776" t="s">
        <v>111</v>
      </c>
      <c r="Q776" t="s">
        <v>2085</v>
      </c>
      <c r="R776">
        <v>2</v>
      </c>
      <c r="S776" s="89">
        <v>9500</v>
      </c>
      <c r="T776" s="89">
        <v>0</v>
      </c>
      <c r="U776" s="89">
        <v>4180</v>
      </c>
      <c r="V776" s="89">
        <v>4180</v>
      </c>
      <c r="W776" s="89">
        <v>14820</v>
      </c>
    </row>
    <row r="777" spans="1:23" ht="13">
      <c r="A777" t="s">
        <v>4283</v>
      </c>
      <c r="B777" t="s">
        <v>4284</v>
      </c>
      <c r="C777" s="88">
        <v>46151.027407407411</v>
      </c>
      <c r="D777" t="s">
        <v>105</v>
      </c>
      <c r="E777" t="s">
        <v>106</v>
      </c>
      <c r="F777" t="s">
        <v>4285</v>
      </c>
      <c r="G777" t="s">
        <v>4286</v>
      </c>
      <c r="H777" t="s">
        <v>4285</v>
      </c>
      <c r="I777" s="88">
        <v>46141.751840277779</v>
      </c>
      <c r="J777" t="s">
        <v>107</v>
      </c>
      <c r="K777" t="s">
        <v>108</v>
      </c>
      <c r="L777" t="s">
        <v>4287</v>
      </c>
      <c r="M777" s="88">
        <v>46143.550717592589</v>
      </c>
      <c r="N777" t="s">
        <v>637</v>
      </c>
      <c r="O777" t="s">
        <v>112</v>
      </c>
      <c r="P777" t="s">
        <v>111</v>
      </c>
      <c r="Q777" t="s">
        <v>2085</v>
      </c>
      <c r="R777">
        <v>6</v>
      </c>
      <c r="S777" s="89">
        <v>9500</v>
      </c>
      <c r="T777" s="89">
        <v>0</v>
      </c>
      <c r="U777" s="89">
        <v>20080</v>
      </c>
      <c r="V777" s="89">
        <v>20080</v>
      </c>
      <c r="W777" s="89">
        <v>36920</v>
      </c>
    </row>
    <row r="778" spans="1:23" ht="13">
      <c r="A778" t="s">
        <v>4288</v>
      </c>
      <c r="B778" t="s">
        <v>4289</v>
      </c>
      <c r="C778" s="88">
        <v>46151.027349537035</v>
      </c>
      <c r="D778" t="s">
        <v>105</v>
      </c>
      <c r="E778" t="s">
        <v>106</v>
      </c>
      <c r="F778" t="s">
        <v>2821</v>
      </c>
      <c r="G778" t="s">
        <v>4290</v>
      </c>
      <c r="H778" t="s">
        <v>2821</v>
      </c>
      <c r="I778" s="88">
        <v>46141.751956018517</v>
      </c>
      <c r="J778" t="s">
        <v>107</v>
      </c>
      <c r="K778" t="s">
        <v>108</v>
      </c>
      <c r="L778" t="s">
        <v>4291</v>
      </c>
      <c r="M778" s="88">
        <v>46143.545856481476</v>
      </c>
      <c r="N778" t="s">
        <v>637</v>
      </c>
      <c r="O778" t="s">
        <v>112</v>
      </c>
      <c r="P778" t="s">
        <v>111</v>
      </c>
      <c r="Q778" t="s">
        <v>2085</v>
      </c>
      <c r="R778">
        <v>4</v>
      </c>
      <c r="S778" s="89">
        <v>9500</v>
      </c>
      <c r="T778" s="89">
        <v>0</v>
      </c>
      <c r="U778" s="89">
        <v>8360</v>
      </c>
      <c r="V778" s="89">
        <v>8360</v>
      </c>
      <c r="W778" s="89">
        <v>29640</v>
      </c>
    </row>
    <row r="779" spans="1:23" ht="13">
      <c r="A779" t="s">
        <v>4292</v>
      </c>
      <c r="B779" t="s">
        <v>4293</v>
      </c>
      <c r="C779" s="88">
        <v>46151.027349537035</v>
      </c>
      <c r="D779" t="s">
        <v>105</v>
      </c>
      <c r="E779" t="s">
        <v>106</v>
      </c>
      <c r="F779" t="s">
        <v>4294</v>
      </c>
      <c r="G779" t="s">
        <v>4295</v>
      </c>
      <c r="H779" t="s">
        <v>4294</v>
      </c>
      <c r="I779" s="88">
        <v>46141.751956018517</v>
      </c>
      <c r="J779" t="s">
        <v>107</v>
      </c>
      <c r="K779" t="s">
        <v>108</v>
      </c>
      <c r="L779" t="s">
        <v>4296</v>
      </c>
      <c r="M779" s="88">
        <v>46143.46738425926</v>
      </c>
      <c r="N779" t="s">
        <v>637</v>
      </c>
      <c r="O779" t="s">
        <v>112</v>
      </c>
      <c r="P779" t="s">
        <v>111</v>
      </c>
      <c r="Q779" t="s">
        <v>2085</v>
      </c>
      <c r="R779">
        <v>3</v>
      </c>
      <c r="S779" s="89">
        <v>9500</v>
      </c>
      <c r="T779" s="89">
        <v>0</v>
      </c>
      <c r="U779" s="89">
        <v>6370</v>
      </c>
      <c r="V779" s="89">
        <v>6370</v>
      </c>
      <c r="W779" s="89">
        <v>22130</v>
      </c>
    </row>
    <row r="780" spans="1:23" ht="13">
      <c r="A780" t="s">
        <v>4297</v>
      </c>
      <c r="B780" t="s">
        <v>4298</v>
      </c>
      <c r="C780" s="88">
        <v>46151.027349537035</v>
      </c>
      <c r="D780" t="s">
        <v>105</v>
      </c>
      <c r="E780" t="s">
        <v>106</v>
      </c>
      <c r="F780" t="s">
        <v>4299</v>
      </c>
      <c r="G780" t="s">
        <v>4300</v>
      </c>
      <c r="H780" t="s">
        <v>4299</v>
      </c>
      <c r="I780" s="88">
        <v>46141.751909722225</v>
      </c>
      <c r="J780" t="s">
        <v>107</v>
      </c>
      <c r="K780" t="s">
        <v>108</v>
      </c>
      <c r="L780" t="s">
        <v>4301</v>
      </c>
      <c r="M780" s="88">
        <v>46143.463912037041</v>
      </c>
      <c r="N780" t="s">
        <v>637</v>
      </c>
      <c r="O780" t="s">
        <v>112</v>
      </c>
      <c r="P780" t="s">
        <v>111</v>
      </c>
      <c r="Q780" t="s">
        <v>2085</v>
      </c>
      <c r="R780">
        <v>1</v>
      </c>
      <c r="S780" s="89">
        <v>9500</v>
      </c>
      <c r="T780" s="89">
        <v>0</v>
      </c>
      <c r="U780" s="89">
        <v>2190</v>
      </c>
      <c r="V780" s="89">
        <v>2190</v>
      </c>
      <c r="W780" s="89">
        <v>7310</v>
      </c>
    </row>
    <row r="781" spans="1:23" ht="13">
      <c r="A781" t="s">
        <v>4302</v>
      </c>
      <c r="B781" t="s">
        <v>4303</v>
      </c>
      <c r="C781" s="88">
        <v>46151.027349537035</v>
      </c>
      <c r="D781" t="s">
        <v>105</v>
      </c>
      <c r="E781" t="s">
        <v>106</v>
      </c>
      <c r="F781" t="s">
        <v>4304</v>
      </c>
      <c r="G781" t="s">
        <v>4305</v>
      </c>
      <c r="H781" t="s">
        <v>4304</v>
      </c>
      <c r="I781" s="88">
        <v>46141.751909722225</v>
      </c>
      <c r="J781" t="s">
        <v>107</v>
      </c>
      <c r="K781" t="s">
        <v>108</v>
      </c>
      <c r="L781" t="s">
        <v>4306</v>
      </c>
      <c r="M781" s="88">
        <v>46143.524212962962</v>
      </c>
      <c r="N781" t="s">
        <v>637</v>
      </c>
      <c r="O781" t="s">
        <v>112</v>
      </c>
      <c r="P781" t="s">
        <v>111</v>
      </c>
      <c r="Q781" t="s">
        <v>2085</v>
      </c>
      <c r="R781">
        <v>1</v>
      </c>
      <c r="S781" s="89">
        <v>9500</v>
      </c>
      <c r="T781" s="89">
        <v>0</v>
      </c>
      <c r="U781" s="89">
        <v>2190</v>
      </c>
      <c r="V781" s="89">
        <v>2190</v>
      </c>
      <c r="W781" s="89">
        <v>7310</v>
      </c>
    </row>
    <row r="782" spans="1:23" ht="13">
      <c r="A782" t="s">
        <v>4307</v>
      </c>
      <c r="B782" t="s">
        <v>4308</v>
      </c>
      <c r="C782" s="88">
        <v>46151.027349537035</v>
      </c>
      <c r="D782" t="s">
        <v>105</v>
      </c>
      <c r="E782" t="s">
        <v>106</v>
      </c>
      <c r="F782" t="s">
        <v>4309</v>
      </c>
      <c r="G782" t="s">
        <v>4310</v>
      </c>
      <c r="H782" t="s">
        <v>4309</v>
      </c>
      <c r="I782" s="88">
        <v>46141.751909722225</v>
      </c>
      <c r="J782" t="s">
        <v>107</v>
      </c>
      <c r="K782" t="s">
        <v>108</v>
      </c>
      <c r="L782" t="s">
        <v>4311</v>
      </c>
      <c r="M782" s="88">
        <v>46143.463912037041</v>
      </c>
      <c r="N782" t="s">
        <v>637</v>
      </c>
      <c r="O782" t="s">
        <v>112</v>
      </c>
      <c r="P782" t="s">
        <v>111</v>
      </c>
      <c r="Q782" t="s">
        <v>2085</v>
      </c>
      <c r="R782">
        <v>3</v>
      </c>
      <c r="S782" s="89">
        <v>9500</v>
      </c>
      <c r="T782" s="89">
        <v>0</v>
      </c>
      <c r="U782" s="89">
        <v>6370</v>
      </c>
      <c r="V782" s="89">
        <v>6370</v>
      </c>
      <c r="W782" s="89">
        <v>22130</v>
      </c>
    </row>
    <row r="783" spans="1:23" ht="13">
      <c r="A783" t="s">
        <v>4312</v>
      </c>
      <c r="B783" t="s">
        <v>4313</v>
      </c>
      <c r="C783" s="88">
        <v>46151.027349537035</v>
      </c>
      <c r="D783" t="s">
        <v>105</v>
      </c>
      <c r="E783" t="s">
        <v>106</v>
      </c>
      <c r="F783" t="s">
        <v>1370</v>
      </c>
      <c r="G783" t="s">
        <v>4314</v>
      </c>
      <c r="H783" t="s">
        <v>4315</v>
      </c>
      <c r="I783" s="88">
        <v>46141.751886574071</v>
      </c>
      <c r="J783" t="s">
        <v>107</v>
      </c>
      <c r="K783" t="s">
        <v>108</v>
      </c>
      <c r="L783" t="s">
        <v>4316</v>
      </c>
      <c r="M783" s="88">
        <v>46143.545856481476</v>
      </c>
      <c r="N783" t="s">
        <v>637</v>
      </c>
      <c r="O783" t="s">
        <v>112</v>
      </c>
      <c r="P783" t="s">
        <v>111</v>
      </c>
      <c r="Q783" t="s">
        <v>2085</v>
      </c>
      <c r="R783">
        <v>2</v>
      </c>
      <c r="S783" s="89">
        <v>9500</v>
      </c>
      <c r="T783" s="89">
        <v>0</v>
      </c>
      <c r="U783" s="89">
        <v>4180</v>
      </c>
      <c r="V783" s="89">
        <v>4180</v>
      </c>
      <c r="W783" s="89">
        <v>14820</v>
      </c>
    </row>
    <row r="784" spans="1:23" ht="13">
      <c r="A784" t="s">
        <v>4317</v>
      </c>
      <c r="B784" t="s">
        <v>4318</v>
      </c>
      <c r="C784" s="88">
        <v>46151.027337962965</v>
      </c>
      <c r="D784" t="s">
        <v>105</v>
      </c>
      <c r="E784" t="s">
        <v>106</v>
      </c>
      <c r="F784" t="s">
        <v>4319</v>
      </c>
      <c r="G784" t="s">
        <v>4320</v>
      </c>
      <c r="H784" t="s">
        <v>4319</v>
      </c>
      <c r="I784" s="88">
        <v>46141.751886574071</v>
      </c>
      <c r="J784" t="s">
        <v>107</v>
      </c>
      <c r="K784" t="s">
        <v>108</v>
      </c>
      <c r="L784" t="s">
        <v>4321</v>
      </c>
      <c r="M784" s="88">
        <v>46143.549409722225</v>
      </c>
      <c r="N784" t="s">
        <v>637</v>
      </c>
      <c r="O784" t="s">
        <v>112</v>
      </c>
      <c r="P784" t="s">
        <v>111</v>
      </c>
      <c r="Q784" t="s">
        <v>2085</v>
      </c>
      <c r="R784">
        <v>2</v>
      </c>
      <c r="S784" s="89">
        <v>9500</v>
      </c>
      <c r="T784" s="89">
        <v>0</v>
      </c>
      <c r="U784" s="89">
        <v>4280</v>
      </c>
      <c r="V784" s="89">
        <v>4280</v>
      </c>
      <c r="W784" s="89">
        <v>14720</v>
      </c>
    </row>
    <row r="785" spans="1:23" ht="13">
      <c r="A785" t="s">
        <v>4322</v>
      </c>
      <c r="B785" t="s">
        <v>4323</v>
      </c>
      <c r="C785" s="88">
        <v>46151.027337962965</v>
      </c>
      <c r="D785" t="s">
        <v>105</v>
      </c>
      <c r="E785" t="s">
        <v>106</v>
      </c>
      <c r="F785" t="s">
        <v>4324</v>
      </c>
      <c r="G785" t="s">
        <v>4325</v>
      </c>
      <c r="H785" t="s">
        <v>4324</v>
      </c>
      <c r="I785" s="88">
        <v>46141.751863425925</v>
      </c>
      <c r="J785" t="s">
        <v>107</v>
      </c>
      <c r="K785" t="s">
        <v>108</v>
      </c>
      <c r="L785" t="s">
        <v>4326</v>
      </c>
      <c r="M785" s="88">
        <v>46143.476597222223</v>
      </c>
      <c r="N785" t="s">
        <v>637</v>
      </c>
      <c r="O785" t="s">
        <v>112</v>
      </c>
      <c r="P785" t="s">
        <v>111</v>
      </c>
      <c r="Q785" t="s">
        <v>2085</v>
      </c>
      <c r="R785">
        <v>3</v>
      </c>
      <c r="S785" s="89">
        <v>9500</v>
      </c>
      <c r="T785" s="89">
        <v>0</v>
      </c>
      <c r="U785" s="89">
        <v>6270</v>
      </c>
      <c r="V785" s="89">
        <v>6270</v>
      </c>
      <c r="W785" s="89">
        <v>22230</v>
      </c>
    </row>
    <row r="786" spans="1:23" ht="13">
      <c r="A786" t="s">
        <v>4327</v>
      </c>
      <c r="B786" t="s">
        <v>4328</v>
      </c>
      <c r="C786" s="88">
        <v>46151.027337962965</v>
      </c>
      <c r="D786" t="s">
        <v>105</v>
      </c>
      <c r="E786" t="s">
        <v>106</v>
      </c>
      <c r="F786" t="s">
        <v>4329</v>
      </c>
      <c r="G786" t="s">
        <v>4330</v>
      </c>
      <c r="H786" t="s">
        <v>4329</v>
      </c>
      <c r="I786" s="88">
        <v>46141.751863425925</v>
      </c>
      <c r="J786" t="s">
        <v>107</v>
      </c>
      <c r="K786" t="s">
        <v>108</v>
      </c>
      <c r="L786" t="s">
        <v>4331</v>
      </c>
      <c r="M786" s="88">
        <v>46143.671574074076</v>
      </c>
      <c r="N786" t="s">
        <v>637</v>
      </c>
      <c r="O786" t="s">
        <v>112</v>
      </c>
      <c r="P786" t="s">
        <v>111</v>
      </c>
      <c r="Q786" t="s">
        <v>2085</v>
      </c>
      <c r="R786">
        <v>6</v>
      </c>
      <c r="S786" s="89">
        <v>9500</v>
      </c>
      <c r="T786" s="89">
        <v>0</v>
      </c>
      <c r="U786" s="89">
        <v>20080</v>
      </c>
      <c r="V786" s="89">
        <v>20080</v>
      </c>
      <c r="W786" s="89">
        <v>36920</v>
      </c>
    </row>
    <row r="787" spans="1:23" ht="13">
      <c r="A787" t="s">
        <v>4332</v>
      </c>
      <c r="B787" t="s">
        <v>4333</v>
      </c>
      <c r="C787" s="88">
        <v>46151.027337962965</v>
      </c>
      <c r="D787" t="s">
        <v>105</v>
      </c>
      <c r="E787" t="s">
        <v>106</v>
      </c>
      <c r="F787" t="s">
        <v>3655</v>
      </c>
      <c r="G787" t="s">
        <v>4334</v>
      </c>
      <c r="H787" t="s">
        <v>3655</v>
      </c>
      <c r="I787" s="88">
        <v>46141.751840277779</v>
      </c>
      <c r="J787" t="s">
        <v>107</v>
      </c>
      <c r="K787" t="s">
        <v>108</v>
      </c>
      <c r="L787" t="s">
        <v>4335</v>
      </c>
      <c r="M787" s="88">
        <v>46143.545856481476</v>
      </c>
      <c r="N787" t="s">
        <v>637</v>
      </c>
      <c r="O787" t="s">
        <v>112</v>
      </c>
      <c r="P787" t="s">
        <v>111</v>
      </c>
      <c r="Q787" t="s">
        <v>2085</v>
      </c>
      <c r="R787">
        <v>4</v>
      </c>
      <c r="S787" s="89">
        <v>9500</v>
      </c>
      <c r="T787" s="89">
        <v>0</v>
      </c>
      <c r="U787" s="89">
        <v>8460</v>
      </c>
      <c r="V787" s="89">
        <v>8460</v>
      </c>
      <c r="W787" s="89">
        <v>29540</v>
      </c>
    </row>
    <row r="788" spans="1:23" ht="13">
      <c r="A788" t="s">
        <v>4336</v>
      </c>
      <c r="B788" t="s">
        <v>4337</v>
      </c>
      <c r="C788" s="88">
        <v>46151.027337962965</v>
      </c>
      <c r="D788" t="s">
        <v>105</v>
      </c>
      <c r="E788" t="s">
        <v>106</v>
      </c>
      <c r="F788" t="s">
        <v>4338</v>
      </c>
      <c r="G788" t="s">
        <v>4339</v>
      </c>
      <c r="H788" t="s">
        <v>4338</v>
      </c>
      <c r="I788" s="88">
        <v>46141.751840277779</v>
      </c>
      <c r="J788" t="s">
        <v>107</v>
      </c>
      <c r="K788" t="s">
        <v>108</v>
      </c>
      <c r="L788" t="s">
        <v>4340</v>
      </c>
      <c r="M788" s="88">
        <v>46143.619745370372</v>
      </c>
      <c r="N788" t="s">
        <v>637</v>
      </c>
      <c r="O788" t="s">
        <v>112</v>
      </c>
      <c r="P788" t="s">
        <v>111</v>
      </c>
      <c r="Q788" t="s">
        <v>2085</v>
      </c>
      <c r="R788">
        <v>3</v>
      </c>
      <c r="S788" s="89">
        <v>9500</v>
      </c>
      <c r="T788" s="89">
        <v>0</v>
      </c>
      <c r="U788" s="89">
        <v>6270</v>
      </c>
      <c r="V788" s="89">
        <v>6270</v>
      </c>
      <c r="W788" s="89">
        <v>22230</v>
      </c>
    </row>
    <row r="789" spans="1:23" ht="13">
      <c r="A789" t="s">
        <v>4341</v>
      </c>
      <c r="B789" t="s">
        <v>4342</v>
      </c>
      <c r="C789" s="88">
        <v>46151.027337962965</v>
      </c>
      <c r="D789" t="s">
        <v>105</v>
      </c>
      <c r="E789" t="s">
        <v>106</v>
      </c>
      <c r="F789" t="s">
        <v>246</v>
      </c>
      <c r="G789" t="s">
        <v>4343</v>
      </c>
      <c r="H789" t="s">
        <v>246</v>
      </c>
      <c r="I789" s="88">
        <v>46141.751840277779</v>
      </c>
      <c r="J789" t="s">
        <v>107</v>
      </c>
      <c r="K789" t="s">
        <v>108</v>
      </c>
      <c r="L789" t="s">
        <v>4344</v>
      </c>
      <c r="M789" s="88">
        <v>46143.46738425926</v>
      </c>
      <c r="N789" t="s">
        <v>637</v>
      </c>
      <c r="O789" t="s">
        <v>112</v>
      </c>
      <c r="P789" t="s">
        <v>111</v>
      </c>
      <c r="Q789" t="s">
        <v>2085</v>
      </c>
      <c r="R789">
        <v>3</v>
      </c>
      <c r="S789" s="89">
        <v>9500</v>
      </c>
      <c r="T789" s="89">
        <v>0</v>
      </c>
      <c r="U789" s="89">
        <v>6370</v>
      </c>
      <c r="V789" s="89">
        <v>6370</v>
      </c>
      <c r="W789" s="89">
        <v>22130</v>
      </c>
    </row>
    <row r="790" spans="1:23" ht="13">
      <c r="A790" t="s">
        <v>4345</v>
      </c>
      <c r="B790" t="s">
        <v>2806</v>
      </c>
      <c r="C790" s="88">
        <v>46151.026851851857</v>
      </c>
      <c r="D790" t="s">
        <v>105</v>
      </c>
      <c r="E790" t="s">
        <v>106</v>
      </c>
      <c r="F790" t="s">
        <v>2807</v>
      </c>
      <c r="G790" t="s">
        <v>2808</v>
      </c>
      <c r="H790" t="s">
        <v>2807</v>
      </c>
      <c r="I790" s="88">
        <v>46141.639583333337</v>
      </c>
      <c r="J790" t="s">
        <v>107</v>
      </c>
      <c r="K790" t="s">
        <v>108</v>
      </c>
      <c r="L790" t="s">
        <v>4346</v>
      </c>
      <c r="M790" s="88">
        <v>46143.524212962962</v>
      </c>
      <c r="N790" t="s">
        <v>1992</v>
      </c>
      <c r="O790" t="s">
        <v>110</v>
      </c>
      <c r="P790" t="s">
        <v>111</v>
      </c>
      <c r="Q790" t="s">
        <v>2170</v>
      </c>
      <c r="R790">
        <v>1</v>
      </c>
      <c r="S790" s="89">
        <v>129000</v>
      </c>
      <c r="T790" s="89">
        <v>0</v>
      </c>
      <c r="U790" s="89">
        <v>29700</v>
      </c>
      <c r="V790" s="89">
        <v>29700</v>
      </c>
      <c r="W790" s="89">
        <v>99300</v>
      </c>
    </row>
    <row r="791" spans="1:23" ht="13">
      <c r="A791" t="s">
        <v>4347</v>
      </c>
      <c r="B791" t="s">
        <v>4348</v>
      </c>
      <c r="C791" s="88">
        <v>46150.965775462959</v>
      </c>
      <c r="D791" t="s">
        <v>105</v>
      </c>
      <c r="E791" t="s">
        <v>106</v>
      </c>
      <c r="F791" t="s">
        <v>4349</v>
      </c>
      <c r="G791" t="s">
        <v>4350</v>
      </c>
      <c r="H791" t="s">
        <v>4349</v>
      </c>
      <c r="I791" s="88">
        <v>46143.714722222227</v>
      </c>
      <c r="J791" t="s">
        <v>107</v>
      </c>
      <c r="K791" t="s">
        <v>108</v>
      </c>
      <c r="L791" t="s">
        <v>4351</v>
      </c>
      <c r="M791" s="88">
        <v>46146.629143518519</v>
      </c>
      <c r="N791" t="s">
        <v>637</v>
      </c>
      <c r="O791" t="s">
        <v>112</v>
      </c>
      <c r="P791" t="s">
        <v>111</v>
      </c>
      <c r="Q791" t="s">
        <v>1587</v>
      </c>
      <c r="R791">
        <v>6</v>
      </c>
      <c r="S791" s="89">
        <v>9500</v>
      </c>
      <c r="T791" s="89">
        <v>0</v>
      </c>
      <c r="U791" s="89">
        <v>19980</v>
      </c>
      <c r="V791" s="89">
        <v>19980</v>
      </c>
      <c r="W791" s="89">
        <v>37020</v>
      </c>
    </row>
    <row r="792" spans="1:23" ht="13">
      <c r="A792" t="s">
        <v>4352</v>
      </c>
      <c r="B792" t="s">
        <v>124</v>
      </c>
      <c r="C792" s="88">
        <v>46150.950104166666</v>
      </c>
      <c r="D792" t="s">
        <v>105</v>
      </c>
      <c r="E792" t="s">
        <v>106</v>
      </c>
      <c r="F792" t="s">
        <v>125</v>
      </c>
      <c r="G792" t="s">
        <v>126</v>
      </c>
      <c r="H792" t="s">
        <v>125</v>
      </c>
      <c r="I792" s="88">
        <v>46141.751863425925</v>
      </c>
      <c r="J792" t="s">
        <v>107</v>
      </c>
      <c r="K792" t="s">
        <v>108</v>
      </c>
      <c r="L792" t="s">
        <v>4353</v>
      </c>
      <c r="M792" s="88">
        <v>46143.672905092593</v>
      </c>
      <c r="N792" t="s">
        <v>637</v>
      </c>
      <c r="O792" t="s">
        <v>112</v>
      </c>
      <c r="P792" t="s">
        <v>111</v>
      </c>
      <c r="Q792" t="s">
        <v>2085</v>
      </c>
      <c r="R792">
        <v>3</v>
      </c>
      <c r="S792" s="89">
        <v>9500</v>
      </c>
      <c r="T792" s="89">
        <v>0</v>
      </c>
      <c r="U792" s="89">
        <v>6270</v>
      </c>
      <c r="V792" s="89">
        <v>6270</v>
      </c>
      <c r="W792" s="89">
        <v>22230</v>
      </c>
    </row>
    <row r="793" spans="1:23" ht="13">
      <c r="A793" t="s">
        <v>4354</v>
      </c>
      <c r="B793" t="s">
        <v>4355</v>
      </c>
      <c r="C793" s="88">
        <v>46150.929618055554</v>
      </c>
      <c r="D793" t="s">
        <v>105</v>
      </c>
      <c r="E793" t="s">
        <v>106</v>
      </c>
      <c r="F793" t="s">
        <v>309</v>
      </c>
      <c r="G793" t="s">
        <v>4356</v>
      </c>
      <c r="H793" t="s">
        <v>309</v>
      </c>
      <c r="I793" s="88">
        <v>46148.584097222221</v>
      </c>
      <c r="J793" t="s">
        <v>107</v>
      </c>
      <c r="K793" t="s">
        <v>108</v>
      </c>
      <c r="L793" t="s">
        <v>4357</v>
      </c>
      <c r="M793" s="88">
        <v>46149.472337962958</v>
      </c>
      <c r="N793" t="s">
        <v>637</v>
      </c>
      <c r="O793" t="s">
        <v>112</v>
      </c>
      <c r="P793" t="s">
        <v>111</v>
      </c>
      <c r="Q793" t="s">
        <v>1417</v>
      </c>
      <c r="R793">
        <v>8</v>
      </c>
      <c r="S793" s="89">
        <v>9500</v>
      </c>
      <c r="T793" s="89">
        <v>0</v>
      </c>
      <c r="U793" s="89">
        <v>26640</v>
      </c>
      <c r="V793" s="89">
        <v>26640</v>
      </c>
      <c r="W793" s="89">
        <v>49360</v>
      </c>
    </row>
    <row r="794" spans="1:23" ht="13">
      <c r="A794" t="s">
        <v>4358</v>
      </c>
      <c r="B794" t="s">
        <v>4359</v>
      </c>
      <c r="C794" s="88">
        <v>46150.927557870367</v>
      </c>
      <c r="D794" t="s">
        <v>105</v>
      </c>
      <c r="E794" t="s">
        <v>106</v>
      </c>
      <c r="F794" t="s">
        <v>4360</v>
      </c>
      <c r="G794" t="s">
        <v>4361</v>
      </c>
      <c r="H794" t="s">
        <v>4360</v>
      </c>
      <c r="I794" s="88">
        <v>46141.751886574071</v>
      </c>
      <c r="J794" t="s">
        <v>107</v>
      </c>
      <c r="K794" t="s">
        <v>108</v>
      </c>
      <c r="L794" t="s">
        <v>4362</v>
      </c>
      <c r="M794" s="88">
        <v>46143.524212962962</v>
      </c>
      <c r="N794" t="s">
        <v>637</v>
      </c>
      <c r="O794" t="s">
        <v>112</v>
      </c>
      <c r="P794" t="s">
        <v>111</v>
      </c>
      <c r="Q794" t="s">
        <v>2085</v>
      </c>
      <c r="R794">
        <v>5</v>
      </c>
      <c r="S794" s="89">
        <v>9500</v>
      </c>
      <c r="T794" s="89">
        <v>0</v>
      </c>
      <c r="U794" s="89">
        <v>10550</v>
      </c>
      <c r="V794" s="89">
        <v>10550</v>
      </c>
      <c r="W794" s="89">
        <v>36950</v>
      </c>
    </row>
    <row r="795" spans="1:23" ht="13">
      <c r="A795" t="s">
        <v>4363</v>
      </c>
      <c r="B795" t="s">
        <v>4364</v>
      </c>
      <c r="C795" s="88">
        <v>46150.880879629629</v>
      </c>
      <c r="D795" t="s">
        <v>105</v>
      </c>
      <c r="E795" t="s">
        <v>106</v>
      </c>
      <c r="F795" t="s">
        <v>4365</v>
      </c>
      <c r="G795" t="s">
        <v>4366</v>
      </c>
      <c r="H795" t="s">
        <v>4367</v>
      </c>
      <c r="I795" s="88">
        <v>46143.714768518519</v>
      </c>
      <c r="J795" t="s">
        <v>107</v>
      </c>
      <c r="K795" t="s">
        <v>108</v>
      </c>
      <c r="L795" t="s">
        <v>4368</v>
      </c>
      <c r="M795" s="88">
        <v>46146.442395833335</v>
      </c>
      <c r="N795" t="s">
        <v>637</v>
      </c>
      <c r="O795" t="s">
        <v>112</v>
      </c>
      <c r="P795" t="s">
        <v>111</v>
      </c>
      <c r="Q795" t="s">
        <v>2085</v>
      </c>
      <c r="R795">
        <v>1</v>
      </c>
      <c r="S795" s="89">
        <v>9500</v>
      </c>
      <c r="T795" s="89">
        <v>0</v>
      </c>
      <c r="U795" s="89">
        <v>2190</v>
      </c>
      <c r="V795" s="89">
        <v>2190</v>
      </c>
      <c r="W795" s="89">
        <v>7310</v>
      </c>
    </row>
    <row r="796" spans="1:23" ht="13">
      <c r="A796" t="s">
        <v>4369</v>
      </c>
      <c r="B796" t="s">
        <v>4370</v>
      </c>
      <c r="C796" s="88">
        <v>46150.852754629625</v>
      </c>
      <c r="D796" t="s">
        <v>105</v>
      </c>
      <c r="E796" t="s">
        <v>106</v>
      </c>
      <c r="F796" t="s">
        <v>4371</v>
      </c>
      <c r="G796" t="s">
        <v>4372</v>
      </c>
      <c r="H796" t="s">
        <v>4371</v>
      </c>
      <c r="I796" s="88">
        <v>46143.714699074073</v>
      </c>
      <c r="J796" t="s">
        <v>107</v>
      </c>
      <c r="K796" t="s">
        <v>108</v>
      </c>
      <c r="L796" t="s">
        <v>4373</v>
      </c>
      <c r="M796" s="88">
        <v>46146.633344907408</v>
      </c>
      <c r="N796" t="s">
        <v>637</v>
      </c>
      <c r="O796" t="s">
        <v>112</v>
      </c>
      <c r="P796" t="s">
        <v>111</v>
      </c>
      <c r="Q796" t="s">
        <v>1587</v>
      </c>
      <c r="R796">
        <v>2</v>
      </c>
      <c r="S796" s="89">
        <v>9500</v>
      </c>
      <c r="T796" s="89">
        <v>0</v>
      </c>
      <c r="U796" s="89">
        <v>4180</v>
      </c>
      <c r="V796" s="89">
        <v>4180</v>
      </c>
      <c r="W796" s="89">
        <v>14820</v>
      </c>
    </row>
    <row r="797" spans="1:23" ht="13">
      <c r="A797" t="s">
        <v>4374</v>
      </c>
      <c r="B797" t="s">
        <v>4375</v>
      </c>
      <c r="C797" s="88">
        <v>46150.72174768518</v>
      </c>
      <c r="D797" t="s">
        <v>105</v>
      </c>
      <c r="E797" t="s">
        <v>106</v>
      </c>
      <c r="F797" t="s">
        <v>246</v>
      </c>
      <c r="G797" t="s">
        <v>4376</v>
      </c>
      <c r="H797" t="s">
        <v>246</v>
      </c>
      <c r="I797" s="88">
        <v>46141.751851851848</v>
      </c>
      <c r="J797" t="s">
        <v>107</v>
      </c>
      <c r="K797" t="s">
        <v>108</v>
      </c>
      <c r="L797" t="s">
        <v>4377</v>
      </c>
      <c r="M797" s="88">
        <v>46143.671597222223</v>
      </c>
      <c r="N797" t="s">
        <v>637</v>
      </c>
      <c r="O797" t="s">
        <v>112</v>
      </c>
      <c r="P797" t="s">
        <v>111</v>
      </c>
      <c r="Q797" t="s">
        <v>2085</v>
      </c>
      <c r="R797">
        <v>3</v>
      </c>
      <c r="S797" s="89">
        <v>9500</v>
      </c>
      <c r="T797" s="89">
        <v>0</v>
      </c>
      <c r="U797" s="89">
        <v>6270</v>
      </c>
      <c r="V797" s="89">
        <v>6270</v>
      </c>
      <c r="W797" s="89">
        <v>22230</v>
      </c>
    </row>
    <row r="798" spans="1:23" ht="13">
      <c r="A798" t="s">
        <v>4378</v>
      </c>
      <c r="B798" t="s">
        <v>4379</v>
      </c>
      <c r="C798" s="88">
        <v>46150.706932870366</v>
      </c>
      <c r="D798" t="s">
        <v>105</v>
      </c>
      <c r="E798" t="s">
        <v>106</v>
      </c>
      <c r="F798" t="s">
        <v>4380</v>
      </c>
      <c r="G798" t="s">
        <v>4381</v>
      </c>
      <c r="H798" t="s">
        <v>4380</v>
      </c>
      <c r="I798" s="88">
        <v>46146.715717592597</v>
      </c>
      <c r="J798" t="s">
        <v>107</v>
      </c>
      <c r="K798" t="s">
        <v>108</v>
      </c>
      <c r="L798" t="s">
        <v>4382</v>
      </c>
      <c r="M798" s="88">
        <v>46148.680555555555</v>
      </c>
      <c r="N798" t="s">
        <v>637</v>
      </c>
      <c r="O798" t="s">
        <v>112</v>
      </c>
      <c r="P798" t="s">
        <v>111</v>
      </c>
      <c r="Q798" t="s">
        <v>2085</v>
      </c>
      <c r="R798">
        <v>6</v>
      </c>
      <c r="S798" s="89">
        <v>9500</v>
      </c>
      <c r="T798" s="89">
        <v>0</v>
      </c>
      <c r="U798" s="89">
        <v>23080</v>
      </c>
      <c r="V798" s="89">
        <v>20080</v>
      </c>
      <c r="W798" s="89">
        <v>33920</v>
      </c>
    </row>
    <row r="799" spans="1:23" ht="13">
      <c r="A799" t="s">
        <v>4383</v>
      </c>
      <c r="B799" t="s">
        <v>4384</v>
      </c>
      <c r="C799" s="88">
        <v>46150.701377314814</v>
      </c>
      <c r="D799" t="s">
        <v>105</v>
      </c>
      <c r="E799" t="s">
        <v>106</v>
      </c>
      <c r="F799" t="s">
        <v>4385</v>
      </c>
      <c r="G799" t="s">
        <v>4386</v>
      </c>
      <c r="H799" t="s">
        <v>4385</v>
      </c>
      <c r="I799" s="88">
        <v>46148.584131944444</v>
      </c>
      <c r="J799" t="s">
        <v>107</v>
      </c>
      <c r="K799" t="s">
        <v>108</v>
      </c>
      <c r="L799" t="s">
        <v>4387</v>
      </c>
      <c r="M799" s="88">
        <v>46149.772326388891</v>
      </c>
      <c r="N799" t="s">
        <v>637</v>
      </c>
      <c r="O799" t="s">
        <v>112</v>
      </c>
      <c r="P799" t="s">
        <v>111</v>
      </c>
      <c r="Q799" t="s">
        <v>1417</v>
      </c>
      <c r="R799">
        <v>6</v>
      </c>
      <c r="S799" s="89">
        <v>9500</v>
      </c>
      <c r="T799" s="89">
        <v>0</v>
      </c>
      <c r="U799" s="89">
        <v>20080</v>
      </c>
      <c r="V799" s="89">
        <v>20080</v>
      </c>
      <c r="W799" s="89">
        <v>36920</v>
      </c>
    </row>
    <row r="800" spans="1:23" ht="13">
      <c r="A800" t="s">
        <v>4388</v>
      </c>
      <c r="B800" t="s">
        <v>4389</v>
      </c>
      <c r="C800" s="88">
        <v>46150.696840277778</v>
      </c>
      <c r="D800" t="s">
        <v>105</v>
      </c>
      <c r="E800" t="s">
        <v>106</v>
      </c>
      <c r="F800" t="s">
        <v>4390</v>
      </c>
      <c r="G800" t="s">
        <v>4391</v>
      </c>
      <c r="H800" t="s">
        <v>4390</v>
      </c>
      <c r="I800" s="88">
        <v>46141.751851851848</v>
      </c>
      <c r="J800" t="s">
        <v>107</v>
      </c>
      <c r="K800" t="s">
        <v>108</v>
      </c>
      <c r="L800" t="s">
        <v>4392</v>
      </c>
      <c r="M800" s="88">
        <v>46143.672905092593</v>
      </c>
      <c r="N800" t="s">
        <v>637</v>
      </c>
      <c r="O800" t="s">
        <v>112</v>
      </c>
      <c r="P800" t="s">
        <v>111</v>
      </c>
      <c r="Q800" t="s">
        <v>2085</v>
      </c>
      <c r="R800">
        <v>6</v>
      </c>
      <c r="S800" s="89">
        <v>9500</v>
      </c>
      <c r="T800" s="89">
        <v>0</v>
      </c>
      <c r="U800" s="89">
        <v>20080</v>
      </c>
      <c r="V800" s="89">
        <v>20080</v>
      </c>
      <c r="W800" s="89">
        <v>36920</v>
      </c>
    </row>
    <row r="801" spans="1:23" ht="13">
      <c r="A801" t="s">
        <v>4393</v>
      </c>
      <c r="B801" t="s">
        <v>4394</v>
      </c>
      <c r="C801" s="88">
        <v>46150.669386574074</v>
      </c>
      <c r="D801" t="s">
        <v>105</v>
      </c>
      <c r="E801" t="s">
        <v>106</v>
      </c>
      <c r="F801" t="s">
        <v>4395</v>
      </c>
      <c r="G801" t="s">
        <v>3939</v>
      </c>
      <c r="H801" t="s">
        <v>4395</v>
      </c>
      <c r="I801" s="88">
        <v>46149.625798611116</v>
      </c>
      <c r="J801" t="s">
        <v>107</v>
      </c>
      <c r="K801" t="s">
        <v>108</v>
      </c>
      <c r="L801" t="s">
        <v>4396</v>
      </c>
      <c r="M801" s="88">
        <v>46150.469340277778</v>
      </c>
      <c r="N801" t="s">
        <v>637</v>
      </c>
      <c r="O801" t="s">
        <v>112</v>
      </c>
      <c r="P801" t="s">
        <v>111</v>
      </c>
      <c r="Q801" t="s">
        <v>1417</v>
      </c>
      <c r="R801">
        <v>6</v>
      </c>
      <c r="S801" s="89">
        <v>9500</v>
      </c>
      <c r="T801" s="89">
        <v>0</v>
      </c>
      <c r="U801" s="89">
        <v>20080</v>
      </c>
      <c r="V801" s="89">
        <v>20080</v>
      </c>
      <c r="W801" s="89">
        <v>36920</v>
      </c>
    </row>
    <row r="802" spans="1:23" ht="13">
      <c r="A802" t="s">
        <v>4397</v>
      </c>
      <c r="B802" t="s">
        <v>4398</v>
      </c>
      <c r="C802" s="88">
        <v>46150.660254629634</v>
      </c>
      <c r="D802" t="s">
        <v>105</v>
      </c>
      <c r="E802" t="s">
        <v>106</v>
      </c>
      <c r="F802" t="s">
        <v>1370</v>
      </c>
      <c r="G802" t="s">
        <v>1371</v>
      </c>
      <c r="H802" t="s">
        <v>1370</v>
      </c>
      <c r="I802" s="88">
        <v>46148.584108796298</v>
      </c>
      <c r="J802" t="s">
        <v>107</v>
      </c>
      <c r="K802" t="s">
        <v>108</v>
      </c>
      <c r="L802" t="s">
        <v>4399</v>
      </c>
      <c r="M802" s="88">
        <v>46149.764143518521</v>
      </c>
      <c r="N802" t="s">
        <v>637</v>
      </c>
      <c r="O802" t="s">
        <v>112</v>
      </c>
      <c r="P802" t="s">
        <v>111</v>
      </c>
      <c r="Q802" t="s">
        <v>1417</v>
      </c>
      <c r="R802">
        <v>7</v>
      </c>
      <c r="S802" s="89">
        <v>9500</v>
      </c>
      <c r="T802" s="89">
        <v>0</v>
      </c>
      <c r="U802" s="89">
        <v>23410</v>
      </c>
      <c r="V802" s="89">
        <v>23410</v>
      </c>
      <c r="W802" s="89">
        <v>43090</v>
      </c>
    </row>
    <row r="803" spans="1:23" ht="13">
      <c r="A803" t="s">
        <v>4400</v>
      </c>
      <c r="B803" t="s">
        <v>4401</v>
      </c>
      <c r="C803" s="88">
        <v>46150.632928240739</v>
      </c>
      <c r="D803" t="s">
        <v>105</v>
      </c>
      <c r="E803" t="s">
        <v>106</v>
      </c>
      <c r="F803" t="s">
        <v>4402</v>
      </c>
      <c r="G803" t="s">
        <v>2464</v>
      </c>
      <c r="H803" t="s">
        <v>4402</v>
      </c>
      <c r="I803" s="88">
        <v>46148.584108796298</v>
      </c>
      <c r="J803" t="s">
        <v>107</v>
      </c>
      <c r="K803" t="s">
        <v>108</v>
      </c>
      <c r="L803" t="s">
        <v>4403</v>
      </c>
      <c r="M803" s="88">
        <v>46149.679907407408</v>
      </c>
      <c r="N803" t="s">
        <v>637</v>
      </c>
      <c r="O803" t="s">
        <v>112</v>
      </c>
      <c r="P803" t="s">
        <v>111</v>
      </c>
      <c r="Q803" t="s">
        <v>1417</v>
      </c>
      <c r="R803">
        <v>5</v>
      </c>
      <c r="S803" s="89">
        <v>9500</v>
      </c>
      <c r="T803" s="89">
        <v>0</v>
      </c>
      <c r="U803" s="89">
        <v>10550</v>
      </c>
      <c r="V803" s="89">
        <v>10550</v>
      </c>
      <c r="W803" s="89">
        <v>36950</v>
      </c>
    </row>
    <row r="804" spans="1:23" ht="13">
      <c r="A804" t="s">
        <v>4404</v>
      </c>
      <c r="B804" t="s">
        <v>4405</v>
      </c>
      <c r="C804" s="88">
        <v>46150.62709490741</v>
      </c>
      <c r="D804" t="s">
        <v>105</v>
      </c>
      <c r="E804" t="s">
        <v>106</v>
      </c>
      <c r="F804" t="s">
        <v>4406</v>
      </c>
      <c r="G804" t="s">
        <v>4407</v>
      </c>
      <c r="H804" t="s">
        <v>4406</v>
      </c>
      <c r="I804" s="88">
        <v>46148.584108796298</v>
      </c>
      <c r="J804" t="s">
        <v>107</v>
      </c>
      <c r="K804" t="s">
        <v>108</v>
      </c>
      <c r="L804" t="s">
        <v>4408</v>
      </c>
      <c r="M804" s="88">
        <v>46149.660428240742</v>
      </c>
      <c r="N804" t="s">
        <v>637</v>
      </c>
      <c r="O804" t="s">
        <v>112</v>
      </c>
      <c r="P804" t="s">
        <v>111</v>
      </c>
      <c r="Q804" t="s">
        <v>1417</v>
      </c>
      <c r="R804">
        <v>5</v>
      </c>
      <c r="S804" s="89">
        <v>9500</v>
      </c>
      <c r="T804" s="89">
        <v>0</v>
      </c>
      <c r="U804" s="89">
        <v>10550</v>
      </c>
      <c r="V804" s="89">
        <v>10550</v>
      </c>
      <c r="W804" s="89">
        <v>36950</v>
      </c>
    </row>
    <row r="805" spans="1:23" ht="13">
      <c r="A805" t="s">
        <v>4409</v>
      </c>
      <c r="B805" t="s">
        <v>4410</v>
      </c>
      <c r="C805" s="88">
        <v>46150.578645833331</v>
      </c>
      <c r="D805" t="s">
        <v>105</v>
      </c>
      <c r="E805" t="s">
        <v>106</v>
      </c>
      <c r="F805" t="s">
        <v>4411</v>
      </c>
      <c r="G805" t="s">
        <v>4412</v>
      </c>
      <c r="H805" t="s">
        <v>4411</v>
      </c>
      <c r="I805" s="88">
        <v>46143.714699074073</v>
      </c>
      <c r="J805" t="s">
        <v>107</v>
      </c>
      <c r="K805" t="s">
        <v>108</v>
      </c>
      <c r="L805" t="s">
        <v>4413</v>
      </c>
      <c r="M805" s="88">
        <v>46146.443113425921</v>
      </c>
      <c r="N805" t="s">
        <v>637</v>
      </c>
      <c r="O805" t="s">
        <v>112</v>
      </c>
      <c r="P805" t="s">
        <v>111</v>
      </c>
      <c r="Q805" t="s">
        <v>1587</v>
      </c>
      <c r="R805">
        <v>2</v>
      </c>
      <c r="S805" s="89">
        <v>9500</v>
      </c>
      <c r="T805" s="89">
        <v>0</v>
      </c>
      <c r="U805" s="89">
        <v>4280</v>
      </c>
      <c r="V805" s="89">
        <v>4280</v>
      </c>
      <c r="W805" s="89">
        <v>14720</v>
      </c>
    </row>
    <row r="806" spans="1:23" ht="13">
      <c r="A806" t="s">
        <v>4414</v>
      </c>
      <c r="B806" t="s">
        <v>4415</v>
      </c>
      <c r="C806" s="88">
        <v>46150.553356481483</v>
      </c>
      <c r="D806" t="s">
        <v>105</v>
      </c>
      <c r="E806" t="s">
        <v>106</v>
      </c>
      <c r="F806" t="s">
        <v>4416</v>
      </c>
      <c r="G806" t="s">
        <v>129</v>
      </c>
      <c r="H806" t="s">
        <v>4416</v>
      </c>
      <c r="I806" s="88">
        <v>46143.71471064815</v>
      </c>
      <c r="J806" t="s">
        <v>107</v>
      </c>
      <c r="K806" t="s">
        <v>108</v>
      </c>
      <c r="L806" t="s">
        <v>4417</v>
      </c>
      <c r="M806" s="88">
        <v>46146.460648148146</v>
      </c>
      <c r="N806" t="s">
        <v>637</v>
      </c>
      <c r="O806" t="s">
        <v>112</v>
      </c>
      <c r="P806" t="s">
        <v>111</v>
      </c>
      <c r="Q806" t="s">
        <v>1587</v>
      </c>
      <c r="R806">
        <v>6</v>
      </c>
      <c r="S806" s="89">
        <v>9500</v>
      </c>
      <c r="T806" s="89">
        <v>0</v>
      </c>
      <c r="U806" s="89">
        <v>20080</v>
      </c>
      <c r="V806" s="89">
        <v>20080</v>
      </c>
      <c r="W806" s="89">
        <v>36920</v>
      </c>
    </row>
    <row r="807" spans="1:23" ht="13">
      <c r="A807" t="s">
        <v>4418</v>
      </c>
      <c r="B807" t="s">
        <v>4419</v>
      </c>
      <c r="C807" s="88">
        <v>46150.548379629632</v>
      </c>
      <c r="D807" t="s">
        <v>105</v>
      </c>
      <c r="E807" t="s">
        <v>106</v>
      </c>
      <c r="F807" t="s">
        <v>4420</v>
      </c>
      <c r="G807" t="s">
        <v>4421</v>
      </c>
      <c r="H807" t="s">
        <v>4420</v>
      </c>
      <c r="I807" s="88">
        <v>46149.625798611116</v>
      </c>
      <c r="J807" t="s">
        <v>107</v>
      </c>
      <c r="K807" t="s">
        <v>108</v>
      </c>
      <c r="L807" t="s">
        <v>4422</v>
      </c>
      <c r="M807" s="88">
        <v>46150.526701388888</v>
      </c>
      <c r="N807" t="s">
        <v>637</v>
      </c>
      <c r="O807" t="s">
        <v>112</v>
      </c>
      <c r="P807" t="s">
        <v>111</v>
      </c>
      <c r="Q807" t="s">
        <v>1417</v>
      </c>
      <c r="R807">
        <v>2</v>
      </c>
      <c r="S807" s="89">
        <v>9500</v>
      </c>
      <c r="T807" s="89">
        <v>0</v>
      </c>
      <c r="U807" s="89">
        <v>4180</v>
      </c>
      <c r="V807" s="89">
        <v>4180</v>
      </c>
      <c r="W807" s="89">
        <v>14820</v>
      </c>
    </row>
    <row r="808" spans="1:23" ht="13">
      <c r="A808" t="s">
        <v>4423</v>
      </c>
      <c r="B808" t="s">
        <v>4424</v>
      </c>
      <c r="C808" s="88">
        <v>46150.547118055554</v>
      </c>
      <c r="D808" t="s">
        <v>105</v>
      </c>
      <c r="E808" t="s">
        <v>106</v>
      </c>
      <c r="F808" t="s">
        <v>4425</v>
      </c>
      <c r="G808" t="s">
        <v>4426</v>
      </c>
      <c r="H808" t="s">
        <v>4425</v>
      </c>
      <c r="I808" s="88">
        <v>46143.714687500003</v>
      </c>
      <c r="J808" t="s">
        <v>107</v>
      </c>
      <c r="K808" t="s">
        <v>108</v>
      </c>
      <c r="L808" t="s">
        <v>4427</v>
      </c>
      <c r="M808" s="88">
        <v>46146.41134259259</v>
      </c>
      <c r="N808" t="s">
        <v>637</v>
      </c>
      <c r="O808" t="s">
        <v>112</v>
      </c>
      <c r="P808" t="s">
        <v>111</v>
      </c>
      <c r="Q808" t="s">
        <v>2085</v>
      </c>
      <c r="R808">
        <v>7</v>
      </c>
      <c r="S808" s="89">
        <v>9500</v>
      </c>
      <c r="T808" s="89">
        <v>0</v>
      </c>
      <c r="U808" s="89">
        <v>23310</v>
      </c>
      <c r="V808" s="89">
        <v>23310</v>
      </c>
      <c r="W808" s="89">
        <v>43190</v>
      </c>
    </row>
    <row r="809" spans="1:23" ht="13">
      <c r="A809" t="s">
        <v>4428</v>
      </c>
      <c r="B809" t="s">
        <v>4429</v>
      </c>
      <c r="C809" s="88">
        <v>46150.522129629629</v>
      </c>
      <c r="D809" t="s">
        <v>105</v>
      </c>
      <c r="E809" t="s">
        <v>106</v>
      </c>
      <c r="F809" t="s">
        <v>4430</v>
      </c>
      <c r="G809" t="s">
        <v>4431</v>
      </c>
      <c r="H809" t="s">
        <v>4430</v>
      </c>
      <c r="I809" s="88">
        <v>46149.625798611116</v>
      </c>
      <c r="J809" t="s">
        <v>107</v>
      </c>
      <c r="K809" t="s">
        <v>108</v>
      </c>
      <c r="L809" t="s">
        <v>4432</v>
      </c>
      <c r="M809" s="88">
        <v>46150.522881944446</v>
      </c>
      <c r="N809" t="s">
        <v>637</v>
      </c>
      <c r="O809" t="s">
        <v>112</v>
      </c>
      <c r="P809" t="s">
        <v>111</v>
      </c>
      <c r="Q809" t="s">
        <v>1417</v>
      </c>
      <c r="R809">
        <v>3</v>
      </c>
      <c r="S809" s="89">
        <v>9500</v>
      </c>
      <c r="T809" s="89">
        <v>0</v>
      </c>
      <c r="U809" s="89">
        <v>6370</v>
      </c>
      <c r="V809" s="89">
        <v>6370</v>
      </c>
      <c r="W809" s="89">
        <v>22130</v>
      </c>
    </row>
    <row r="810" spans="1:23" ht="13">
      <c r="A810" t="s">
        <v>4433</v>
      </c>
      <c r="B810" t="s">
        <v>4434</v>
      </c>
      <c r="C810" s="88">
        <v>46150.499108796299</v>
      </c>
      <c r="D810" t="s">
        <v>105</v>
      </c>
      <c r="E810" t="s">
        <v>106</v>
      </c>
      <c r="F810" t="s">
        <v>4435</v>
      </c>
      <c r="G810" t="s">
        <v>4436</v>
      </c>
      <c r="H810" t="s">
        <v>4435</v>
      </c>
      <c r="I810" s="88">
        <v>46148.584108796298</v>
      </c>
      <c r="J810" t="s">
        <v>107</v>
      </c>
      <c r="K810" t="s">
        <v>108</v>
      </c>
      <c r="L810" t="s">
        <v>4437</v>
      </c>
      <c r="M810" s="88">
        <v>46149.683078703703</v>
      </c>
      <c r="N810" t="s">
        <v>637</v>
      </c>
      <c r="O810" t="s">
        <v>112</v>
      </c>
      <c r="P810" t="s">
        <v>111</v>
      </c>
      <c r="Q810" t="s">
        <v>1417</v>
      </c>
      <c r="R810">
        <v>4</v>
      </c>
      <c r="S810" s="89">
        <v>9500</v>
      </c>
      <c r="T810" s="89">
        <v>0</v>
      </c>
      <c r="U810" s="89">
        <v>8360</v>
      </c>
      <c r="V810" s="89">
        <v>8360</v>
      </c>
      <c r="W810" s="89">
        <v>29640</v>
      </c>
    </row>
    <row r="811" spans="1:23" ht="13">
      <c r="A811" t="s">
        <v>4438</v>
      </c>
      <c r="B811" t="s">
        <v>4439</v>
      </c>
      <c r="C811" s="88">
        <v>46150.492650462962</v>
      </c>
      <c r="D811" t="s">
        <v>105</v>
      </c>
      <c r="E811" t="s">
        <v>106</v>
      </c>
      <c r="F811" t="s">
        <v>485</v>
      </c>
      <c r="G811" t="s">
        <v>4440</v>
      </c>
      <c r="H811" t="s">
        <v>485</v>
      </c>
      <c r="I811" s="88">
        <v>46148.584108796298</v>
      </c>
      <c r="J811" t="s">
        <v>107</v>
      </c>
      <c r="K811" t="s">
        <v>108</v>
      </c>
      <c r="L811" t="s">
        <v>4441</v>
      </c>
      <c r="M811" s="88">
        <v>46149.553553240738</v>
      </c>
      <c r="N811" t="s">
        <v>637</v>
      </c>
      <c r="O811" t="s">
        <v>112</v>
      </c>
      <c r="P811" t="s">
        <v>111</v>
      </c>
      <c r="Q811" t="s">
        <v>1417</v>
      </c>
      <c r="R811">
        <v>3</v>
      </c>
      <c r="S811" s="89">
        <v>9500</v>
      </c>
      <c r="T811" s="89">
        <v>0</v>
      </c>
      <c r="U811" s="89">
        <v>6270</v>
      </c>
      <c r="V811" s="89">
        <v>6270</v>
      </c>
      <c r="W811" s="89">
        <v>22230</v>
      </c>
    </row>
    <row r="812" spans="1:23" ht="13">
      <c r="A812" t="s">
        <v>4442</v>
      </c>
      <c r="B812" t="s">
        <v>4443</v>
      </c>
      <c r="C812" s="88">
        <v>46150.468553240746</v>
      </c>
      <c r="D812" t="s">
        <v>105</v>
      </c>
      <c r="E812" t="s">
        <v>106</v>
      </c>
      <c r="F812" t="s">
        <v>406</v>
      </c>
      <c r="G812" t="s">
        <v>4444</v>
      </c>
      <c r="H812" t="s">
        <v>406</v>
      </c>
      <c r="I812" s="88">
        <v>46148.584143518514</v>
      </c>
      <c r="J812" t="s">
        <v>107</v>
      </c>
      <c r="K812" t="s">
        <v>108</v>
      </c>
      <c r="L812" t="s">
        <v>4445</v>
      </c>
      <c r="M812" s="88">
        <v>46149.674305555556</v>
      </c>
      <c r="N812" t="s">
        <v>637</v>
      </c>
      <c r="O812" t="s">
        <v>112</v>
      </c>
      <c r="P812" t="s">
        <v>111</v>
      </c>
      <c r="Q812" t="s">
        <v>1417</v>
      </c>
      <c r="R812">
        <v>3</v>
      </c>
      <c r="S812" s="89">
        <v>9500</v>
      </c>
      <c r="T812" s="89">
        <v>0</v>
      </c>
      <c r="U812" s="89">
        <v>6370</v>
      </c>
      <c r="V812" s="89">
        <v>6370</v>
      </c>
      <c r="W812" s="89">
        <v>22130</v>
      </c>
    </row>
    <row r="813" spans="1:23" ht="13">
      <c r="A813" t="s">
        <v>4446</v>
      </c>
      <c r="B813" t="s">
        <v>4447</v>
      </c>
      <c r="C813" s="88">
        <v>46150.454884259263</v>
      </c>
      <c r="D813" t="s">
        <v>105</v>
      </c>
      <c r="E813" t="s">
        <v>106</v>
      </c>
      <c r="F813" t="s">
        <v>4448</v>
      </c>
      <c r="G813" t="s">
        <v>4449</v>
      </c>
      <c r="H813" t="s">
        <v>4448</v>
      </c>
      <c r="I813" s="88">
        <v>46148.584131944444</v>
      </c>
      <c r="J813" t="s">
        <v>107</v>
      </c>
      <c r="K813" t="s">
        <v>108</v>
      </c>
      <c r="L813" t="s">
        <v>4450</v>
      </c>
      <c r="M813" s="88">
        <v>46149.770543981482</v>
      </c>
      <c r="N813" t="s">
        <v>637</v>
      </c>
      <c r="O813" t="s">
        <v>112</v>
      </c>
      <c r="P813" t="s">
        <v>111</v>
      </c>
      <c r="Q813" t="s">
        <v>1417</v>
      </c>
      <c r="R813">
        <v>2</v>
      </c>
      <c r="S813" s="89">
        <v>9500</v>
      </c>
      <c r="T813" s="89">
        <v>0</v>
      </c>
      <c r="U813" s="89">
        <v>4280</v>
      </c>
      <c r="V813" s="89">
        <v>4280</v>
      </c>
      <c r="W813" s="89">
        <v>14720</v>
      </c>
    </row>
    <row r="814" spans="1:23" ht="13">
      <c r="A814" t="s">
        <v>4451</v>
      </c>
      <c r="B814" t="s">
        <v>4452</v>
      </c>
      <c r="C814" s="88">
        <v>46150.451099537036</v>
      </c>
      <c r="D814" t="s">
        <v>105</v>
      </c>
      <c r="E814" t="s">
        <v>106</v>
      </c>
      <c r="F814" t="s">
        <v>4453</v>
      </c>
      <c r="G814" t="s">
        <v>4454</v>
      </c>
      <c r="H814" t="s">
        <v>4453</v>
      </c>
      <c r="I814" s="88">
        <v>46143.714699074073</v>
      </c>
      <c r="J814" t="s">
        <v>107</v>
      </c>
      <c r="K814" t="s">
        <v>108</v>
      </c>
      <c r="L814" t="s">
        <v>4455</v>
      </c>
      <c r="M814" s="88">
        <v>46146.629849537036</v>
      </c>
      <c r="N814" t="s">
        <v>637</v>
      </c>
      <c r="O814" t="s">
        <v>112</v>
      </c>
      <c r="P814" t="s">
        <v>111</v>
      </c>
      <c r="Q814" t="s">
        <v>2085</v>
      </c>
      <c r="R814">
        <v>6</v>
      </c>
      <c r="S814" s="89">
        <v>9500</v>
      </c>
      <c r="T814" s="89">
        <v>0</v>
      </c>
      <c r="U814" s="89">
        <v>20080</v>
      </c>
      <c r="V814" s="89">
        <v>20080</v>
      </c>
      <c r="W814" s="89">
        <v>36920</v>
      </c>
    </row>
    <row r="815" spans="1:23" ht="13">
      <c r="A815" t="s">
        <v>4456</v>
      </c>
      <c r="B815" t="s">
        <v>4457</v>
      </c>
      <c r="C815" s="88">
        <v>46150.441076388888</v>
      </c>
      <c r="D815" t="s">
        <v>105</v>
      </c>
      <c r="E815" t="s">
        <v>106</v>
      </c>
      <c r="F815" t="s">
        <v>4458</v>
      </c>
      <c r="G815" t="s">
        <v>4459</v>
      </c>
      <c r="H815" t="s">
        <v>4458</v>
      </c>
      <c r="I815" s="88">
        <v>46143.71475694445</v>
      </c>
      <c r="J815" t="s">
        <v>107</v>
      </c>
      <c r="K815" t="s">
        <v>108</v>
      </c>
      <c r="L815" t="s">
        <v>4460</v>
      </c>
      <c r="M815" s="88">
        <v>46146.507650462961</v>
      </c>
      <c r="N815" t="s">
        <v>637</v>
      </c>
      <c r="O815" t="s">
        <v>112</v>
      </c>
      <c r="P815" t="s">
        <v>111</v>
      </c>
      <c r="Q815" t="s">
        <v>1587</v>
      </c>
      <c r="R815">
        <v>3</v>
      </c>
      <c r="S815" s="89">
        <v>9500</v>
      </c>
      <c r="T815" s="89">
        <v>0</v>
      </c>
      <c r="U815" s="89">
        <v>6270</v>
      </c>
      <c r="V815" s="89">
        <v>6270</v>
      </c>
      <c r="W815" s="89">
        <v>22230</v>
      </c>
    </row>
    <row r="816" spans="1:23" ht="13">
      <c r="A816" t="s">
        <v>4461</v>
      </c>
      <c r="B816" t="s">
        <v>4462</v>
      </c>
      <c r="C816" s="88">
        <v>46150.417546296296</v>
      </c>
      <c r="D816" t="s">
        <v>105</v>
      </c>
      <c r="E816" t="s">
        <v>106</v>
      </c>
      <c r="F816" t="s">
        <v>163</v>
      </c>
      <c r="G816" t="s">
        <v>4463</v>
      </c>
      <c r="H816" t="s">
        <v>4464</v>
      </c>
      <c r="I816" s="88">
        <v>46148.584097222221</v>
      </c>
      <c r="J816" t="s">
        <v>107</v>
      </c>
      <c r="K816" t="s">
        <v>108</v>
      </c>
      <c r="L816" t="s">
        <v>4465</v>
      </c>
      <c r="M816" s="88">
        <v>46149.499930555554</v>
      </c>
      <c r="N816" t="s">
        <v>637</v>
      </c>
      <c r="O816" t="s">
        <v>112</v>
      </c>
      <c r="P816" t="s">
        <v>111</v>
      </c>
      <c r="Q816" t="s">
        <v>1417</v>
      </c>
      <c r="R816">
        <v>7</v>
      </c>
      <c r="S816" s="89">
        <v>9500</v>
      </c>
      <c r="T816" s="89">
        <v>0</v>
      </c>
      <c r="U816" s="89">
        <v>23410</v>
      </c>
      <c r="V816" s="89">
        <v>23410</v>
      </c>
      <c r="W816" s="89">
        <v>43090</v>
      </c>
    </row>
    <row r="817" spans="1:23" ht="13">
      <c r="A817" t="s">
        <v>4466</v>
      </c>
      <c r="B817" t="s">
        <v>4467</v>
      </c>
      <c r="C817" s="88">
        <v>46150.410636574074</v>
      </c>
      <c r="D817" t="s">
        <v>105</v>
      </c>
      <c r="E817" t="s">
        <v>106</v>
      </c>
      <c r="F817" t="s">
        <v>400</v>
      </c>
      <c r="G817" t="s">
        <v>4468</v>
      </c>
      <c r="H817" t="s">
        <v>400</v>
      </c>
      <c r="I817" s="88">
        <v>46141.751851851848</v>
      </c>
      <c r="J817" t="s">
        <v>107</v>
      </c>
      <c r="K817" t="s">
        <v>108</v>
      </c>
      <c r="L817" t="s">
        <v>4469</v>
      </c>
      <c r="M817" s="88">
        <v>46143.672905092593</v>
      </c>
      <c r="N817" t="s">
        <v>637</v>
      </c>
      <c r="O817" t="s">
        <v>112</v>
      </c>
      <c r="P817" t="s">
        <v>111</v>
      </c>
      <c r="Q817" t="s">
        <v>2085</v>
      </c>
      <c r="R817">
        <v>6</v>
      </c>
      <c r="S817" s="89">
        <v>9500</v>
      </c>
      <c r="T817" s="89">
        <v>0</v>
      </c>
      <c r="U817" s="89">
        <v>20080</v>
      </c>
      <c r="V817" s="89">
        <v>20080</v>
      </c>
      <c r="W817" s="89">
        <v>36920</v>
      </c>
    </row>
    <row r="818" spans="1:23" ht="13">
      <c r="A818" t="s">
        <v>4470</v>
      </c>
      <c r="B818" t="s">
        <v>4471</v>
      </c>
      <c r="C818" s="88">
        <v>46150.394270833334</v>
      </c>
      <c r="D818" t="s">
        <v>105</v>
      </c>
      <c r="E818" t="s">
        <v>106</v>
      </c>
      <c r="F818" t="s">
        <v>4472</v>
      </c>
      <c r="G818" t="s">
        <v>4473</v>
      </c>
      <c r="H818" t="s">
        <v>4472</v>
      </c>
      <c r="I818" s="88">
        <v>46148.584131944444</v>
      </c>
      <c r="J818" t="s">
        <v>107</v>
      </c>
      <c r="K818" t="s">
        <v>108</v>
      </c>
      <c r="L818" t="s">
        <v>4474</v>
      </c>
      <c r="M818" s="88">
        <v>46149.684062500004</v>
      </c>
      <c r="N818" t="s">
        <v>637</v>
      </c>
      <c r="O818" t="s">
        <v>112</v>
      </c>
      <c r="P818" t="s">
        <v>111</v>
      </c>
      <c r="Q818" t="s">
        <v>1417</v>
      </c>
      <c r="R818">
        <v>8</v>
      </c>
      <c r="S818" s="89">
        <v>9500</v>
      </c>
      <c r="T818" s="89">
        <v>0</v>
      </c>
      <c r="U818" s="89">
        <v>26640</v>
      </c>
      <c r="V818" s="89">
        <v>26640</v>
      </c>
      <c r="W818" s="89">
        <v>49360</v>
      </c>
    </row>
    <row r="819" spans="1:23" ht="13">
      <c r="A819" t="s">
        <v>4475</v>
      </c>
      <c r="B819" t="s">
        <v>4476</v>
      </c>
      <c r="C819" s="88">
        <v>46150.373564814814</v>
      </c>
      <c r="D819" t="s">
        <v>105</v>
      </c>
      <c r="E819" t="s">
        <v>106</v>
      </c>
      <c r="F819" t="s">
        <v>4477</v>
      </c>
      <c r="G819" t="s">
        <v>2065</v>
      </c>
      <c r="H819" t="s">
        <v>4477</v>
      </c>
      <c r="I819" s="88">
        <v>46141.751863425925</v>
      </c>
      <c r="J819" t="s">
        <v>107</v>
      </c>
      <c r="K819" t="s">
        <v>108</v>
      </c>
      <c r="L819" t="s">
        <v>4478</v>
      </c>
      <c r="M819" s="88">
        <v>46143.550717592589</v>
      </c>
      <c r="N819" t="s">
        <v>637</v>
      </c>
      <c r="O819" t="s">
        <v>112</v>
      </c>
      <c r="P819" t="s">
        <v>111</v>
      </c>
      <c r="Q819" t="s">
        <v>2085</v>
      </c>
      <c r="R819">
        <v>2</v>
      </c>
      <c r="S819" s="89">
        <v>9500</v>
      </c>
      <c r="T819" s="89">
        <v>0</v>
      </c>
      <c r="U819" s="89">
        <v>4280</v>
      </c>
      <c r="V819" s="89">
        <v>4280</v>
      </c>
      <c r="W819" s="89">
        <v>14720</v>
      </c>
    </row>
    <row r="820" spans="1:23" ht="13">
      <c r="A820" t="s">
        <v>4479</v>
      </c>
      <c r="B820" t="s">
        <v>4480</v>
      </c>
      <c r="C820" s="88">
        <v>46150.354178240741</v>
      </c>
      <c r="D820" t="s">
        <v>105</v>
      </c>
      <c r="E820" t="s">
        <v>106</v>
      </c>
      <c r="F820" t="s">
        <v>349</v>
      </c>
      <c r="G820" t="s">
        <v>4481</v>
      </c>
      <c r="H820" t="s">
        <v>349</v>
      </c>
      <c r="I820" s="88">
        <v>46148.626018518524</v>
      </c>
      <c r="J820" t="s">
        <v>107</v>
      </c>
      <c r="K820" t="s">
        <v>108</v>
      </c>
      <c r="L820" t="s">
        <v>4482</v>
      </c>
      <c r="M820" s="88">
        <v>46149.551562499997</v>
      </c>
      <c r="N820" t="s">
        <v>637</v>
      </c>
      <c r="O820" t="s">
        <v>112</v>
      </c>
      <c r="P820" t="s">
        <v>111</v>
      </c>
      <c r="Q820" t="s">
        <v>1417</v>
      </c>
      <c r="R820">
        <v>6</v>
      </c>
      <c r="S820" s="89">
        <v>9500</v>
      </c>
      <c r="T820" s="89">
        <v>0</v>
      </c>
      <c r="U820" s="89">
        <v>19980</v>
      </c>
      <c r="V820" s="89">
        <v>19980</v>
      </c>
      <c r="W820" s="89">
        <v>37020</v>
      </c>
    </row>
    <row r="821" spans="1:23" ht="13">
      <c r="A821" t="s">
        <v>4483</v>
      </c>
      <c r="B821" t="s">
        <v>4484</v>
      </c>
      <c r="C821" s="88">
        <v>46150.354050925926</v>
      </c>
      <c r="D821" t="s">
        <v>105</v>
      </c>
      <c r="E821" t="s">
        <v>106</v>
      </c>
      <c r="F821" t="s">
        <v>4485</v>
      </c>
      <c r="G821" t="s">
        <v>1230</v>
      </c>
      <c r="H821" t="s">
        <v>4485</v>
      </c>
      <c r="I821" s="88">
        <v>46148.584108796298</v>
      </c>
      <c r="J821" t="s">
        <v>107</v>
      </c>
      <c r="K821" t="s">
        <v>108</v>
      </c>
      <c r="L821" t="s">
        <v>4486</v>
      </c>
      <c r="M821" s="88">
        <v>46149.550740740742</v>
      </c>
      <c r="N821" t="s">
        <v>637</v>
      </c>
      <c r="O821" t="s">
        <v>112</v>
      </c>
      <c r="P821" t="s">
        <v>111</v>
      </c>
      <c r="Q821" t="s">
        <v>1417</v>
      </c>
      <c r="R821">
        <v>3</v>
      </c>
      <c r="S821" s="89">
        <v>9500</v>
      </c>
      <c r="T821" s="89">
        <v>0</v>
      </c>
      <c r="U821" s="89">
        <v>6370</v>
      </c>
      <c r="V821" s="89">
        <v>6370</v>
      </c>
      <c r="W821" s="89">
        <v>22130</v>
      </c>
    </row>
    <row r="822" spans="1:23" ht="13">
      <c r="A822" t="s">
        <v>4487</v>
      </c>
      <c r="B822" t="s">
        <v>4488</v>
      </c>
      <c r="C822" s="88">
        <v>46150.349583333329</v>
      </c>
      <c r="D822" t="s">
        <v>105</v>
      </c>
      <c r="E822" t="s">
        <v>106</v>
      </c>
      <c r="F822" t="s">
        <v>4489</v>
      </c>
      <c r="G822" t="s">
        <v>4490</v>
      </c>
      <c r="H822" t="s">
        <v>4489</v>
      </c>
      <c r="I822" s="88">
        <v>46148.715763888889</v>
      </c>
      <c r="J822" t="s">
        <v>107</v>
      </c>
      <c r="K822" t="s">
        <v>108</v>
      </c>
      <c r="L822" t="s">
        <v>4491</v>
      </c>
      <c r="M822" s="88">
        <v>46149.60936342593</v>
      </c>
      <c r="N822" t="s">
        <v>637</v>
      </c>
      <c r="O822" t="s">
        <v>112</v>
      </c>
      <c r="P822" t="s">
        <v>111</v>
      </c>
      <c r="Q822" t="s">
        <v>1417</v>
      </c>
      <c r="R822">
        <v>6</v>
      </c>
      <c r="S822" s="89">
        <v>9500</v>
      </c>
      <c r="T822" s="89">
        <v>0</v>
      </c>
      <c r="U822" s="89">
        <v>20080</v>
      </c>
      <c r="V822" s="89">
        <v>20080</v>
      </c>
      <c r="W822" s="89">
        <v>36920</v>
      </c>
    </row>
    <row r="823" spans="1:23" ht="13">
      <c r="A823" t="s">
        <v>4492</v>
      </c>
      <c r="B823" t="s">
        <v>4493</v>
      </c>
      <c r="C823" s="88">
        <v>46150.322488425925</v>
      </c>
      <c r="D823" t="s">
        <v>105</v>
      </c>
      <c r="E823" t="s">
        <v>106</v>
      </c>
      <c r="F823" t="s">
        <v>4494</v>
      </c>
      <c r="G823" t="s">
        <v>4495</v>
      </c>
      <c r="H823" t="s">
        <v>4494</v>
      </c>
      <c r="I823" s="88">
        <v>46143.714687500003</v>
      </c>
      <c r="J823" t="s">
        <v>107</v>
      </c>
      <c r="K823" t="s">
        <v>108</v>
      </c>
      <c r="L823" t="s">
        <v>4496</v>
      </c>
      <c r="M823" s="88">
        <v>46146.443090277782</v>
      </c>
      <c r="N823" t="s">
        <v>637</v>
      </c>
      <c r="O823" t="s">
        <v>112</v>
      </c>
      <c r="P823" t="s">
        <v>111</v>
      </c>
      <c r="Q823" t="s">
        <v>1587</v>
      </c>
      <c r="R823">
        <v>10</v>
      </c>
      <c r="S823" s="89">
        <v>9500</v>
      </c>
      <c r="T823" s="89">
        <v>0</v>
      </c>
      <c r="U823" s="89">
        <v>38300</v>
      </c>
      <c r="V823" s="89">
        <v>33400</v>
      </c>
      <c r="W823" s="89">
        <v>56700</v>
      </c>
    </row>
    <row r="824" spans="1:23" ht="13">
      <c r="A824" t="s">
        <v>4497</v>
      </c>
      <c r="B824" t="s">
        <v>4498</v>
      </c>
      <c r="C824" s="88">
        <v>46150.296643518523</v>
      </c>
      <c r="D824" t="s">
        <v>105</v>
      </c>
      <c r="E824" t="s">
        <v>106</v>
      </c>
      <c r="F824" t="s">
        <v>4499</v>
      </c>
      <c r="G824" t="s">
        <v>4500</v>
      </c>
      <c r="H824" t="s">
        <v>4499</v>
      </c>
      <c r="I824" s="88">
        <v>46148.584131944444</v>
      </c>
      <c r="J824" t="s">
        <v>107</v>
      </c>
      <c r="K824" t="s">
        <v>108</v>
      </c>
      <c r="L824" t="s">
        <v>4501</v>
      </c>
      <c r="M824" s="88">
        <v>46149.660416666666</v>
      </c>
      <c r="N824" t="s">
        <v>637</v>
      </c>
      <c r="O824" t="s">
        <v>112</v>
      </c>
      <c r="P824" t="s">
        <v>111</v>
      </c>
      <c r="Q824" t="s">
        <v>1417</v>
      </c>
      <c r="R824">
        <v>5</v>
      </c>
      <c r="S824" s="89">
        <v>9500</v>
      </c>
      <c r="T824" s="89">
        <v>0</v>
      </c>
      <c r="U824" s="89">
        <v>10550</v>
      </c>
      <c r="V824" s="89">
        <v>10550</v>
      </c>
      <c r="W824" s="89">
        <v>36950</v>
      </c>
    </row>
    <row r="825" spans="1:23" ht="13">
      <c r="A825" t="s">
        <v>4502</v>
      </c>
      <c r="B825" t="s">
        <v>4503</v>
      </c>
      <c r="C825" s="88">
        <v>46150.22142361111</v>
      </c>
      <c r="D825" t="s">
        <v>105</v>
      </c>
      <c r="E825" t="s">
        <v>106</v>
      </c>
      <c r="F825" t="s">
        <v>4504</v>
      </c>
      <c r="G825" t="s">
        <v>4505</v>
      </c>
      <c r="H825" t="s">
        <v>4504</v>
      </c>
      <c r="I825" s="88">
        <v>46148.584108796298</v>
      </c>
      <c r="J825" t="s">
        <v>107</v>
      </c>
      <c r="K825" t="s">
        <v>108</v>
      </c>
      <c r="L825" t="s">
        <v>4506</v>
      </c>
      <c r="M825" s="88">
        <v>46149.71674768519</v>
      </c>
      <c r="N825" t="s">
        <v>637</v>
      </c>
      <c r="O825" t="s">
        <v>112</v>
      </c>
      <c r="P825" t="s">
        <v>111</v>
      </c>
      <c r="Q825" t="s">
        <v>1417</v>
      </c>
      <c r="R825">
        <v>6</v>
      </c>
      <c r="S825" s="89">
        <v>9500</v>
      </c>
      <c r="T825" s="89">
        <v>0</v>
      </c>
      <c r="U825" s="89">
        <v>19980</v>
      </c>
      <c r="V825" s="89">
        <v>19980</v>
      </c>
      <c r="W825" s="89">
        <v>37020</v>
      </c>
    </row>
    <row r="826" spans="1:23" ht="13">
      <c r="A826" t="s">
        <v>4507</v>
      </c>
      <c r="B826" t="s">
        <v>4508</v>
      </c>
      <c r="C826" s="88">
        <v>46150.146284722221</v>
      </c>
      <c r="D826" t="s">
        <v>105</v>
      </c>
      <c r="E826" t="s">
        <v>106</v>
      </c>
      <c r="F826" t="s">
        <v>4509</v>
      </c>
      <c r="G826" t="s">
        <v>4510</v>
      </c>
      <c r="H826" t="s">
        <v>4511</v>
      </c>
      <c r="I826" s="88">
        <v>46141.751956018517</v>
      </c>
      <c r="J826" t="s">
        <v>107</v>
      </c>
      <c r="K826" t="s">
        <v>108</v>
      </c>
      <c r="L826" t="s">
        <v>4512</v>
      </c>
      <c r="M826" s="88">
        <v>46142.549490740741</v>
      </c>
      <c r="N826" t="s">
        <v>1992</v>
      </c>
      <c r="O826" t="s">
        <v>110</v>
      </c>
      <c r="P826" t="s">
        <v>111</v>
      </c>
      <c r="Q826" t="s">
        <v>1993</v>
      </c>
      <c r="R826">
        <v>1</v>
      </c>
      <c r="S826" s="89">
        <v>129000</v>
      </c>
      <c r="T826" s="89">
        <v>0</v>
      </c>
      <c r="U826" s="89">
        <v>29700</v>
      </c>
      <c r="V826" s="89">
        <v>29700</v>
      </c>
      <c r="W826" s="89">
        <v>99300</v>
      </c>
    </row>
    <row r="827" spans="1:23" ht="13">
      <c r="A827" t="s">
        <v>4513</v>
      </c>
      <c r="B827" t="s">
        <v>241</v>
      </c>
      <c r="C827" s="88">
        <v>46150.118807870371</v>
      </c>
      <c r="D827" t="s">
        <v>105</v>
      </c>
      <c r="E827" t="s">
        <v>106</v>
      </c>
      <c r="F827" t="s">
        <v>242</v>
      </c>
      <c r="G827" t="s">
        <v>243</v>
      </c>
      <c r="H827" t="s">
        <v>242</v>
      </c>
      <c r="I827" s="88">
        <v>46141.639583333337</v>
      </c>
      <c r="J827" t="s">
        <v>107</v>
      </c>
      <c r="K827" t="s">
        <v>108</v>
      </c>
      <c r="L827" t="s">
        <v>4514</v>
      </c>
      <c r="M827" s="88">
        <v>46142.678703703699</v>
      </c>
      <c r="N827" t="s">
        <v>1992</v>
      </c>
      <c r="O827" t="s">
        <v>110</v>
      </c>
      <c r="P827" t="s">
        <v>111</v>
      </c>
      <c r="Q827" t="s">
        <v>2170</v>
      </c>
      <c r="R827">
        <v>1</v>
      </c>
      <c r="S827" s="89">
        <v>129000</v>
      </c>
      <c r="T827" s="89">
        <v>0</v>
      </c>
      <c r="U827" s="89">
        <v>29700</v>
      </c>
      <c r="V827" s="89">
        <v>29700</v>
      </c>
      <c r="W827" s="89">
        <v>99300</v>
      </c>
    </row>
    <row r="828" spans="1:23" ht="13">
      <c r="A828" t="s">
        <v>4515</v>
      </c>
      <c r="B828" t="s">
        <v>4516</v>
      </c>
      <c r="C828" s="88">
        <v>46150.118657407409</v>
      </c>
      <c r="D828" t="s">
        <v>105</v>
      </c>
      <c r="E828" t="s">
        <v>106</v>
      </c>
      <c r="F828" t="s">
        <v>4517</v>
      </c>
      <c r="G828" t="s">
        <v>4518</v>
      </c>
      <c r="H828" t="s">
        <v>4517</v>
      </c>
      <c r="I828" s="88">
        <v>46141.639583333337</v>
      </c>
      <c r="J828" t="s">
        <v>107</v>
      </c>
      <c r="K828" t="s">
        <v>108</v>
      </c>
      <c r="L828" t="s">
        <v>4519</v>
      </c>
      <c r="M828" s="88">
        <v>46142.66805555555</v>
      </c>
      <c r="N828" t="s">
        <v>1992</v>
      </c>
      <c r="O828" t="s">
        <v>110</v>
      </c>
      <c r="P828" t="s">
        <v>111</v>
      </c>
      <c r="Q828" t="s">
        <v>4520</v>
      </c>
      <c r="R828">
        <v>1</v>
      </c>
      <c r="S828" s="89">
        <v>129000</v>
      </c>
      <c r="T828" s="89">
        <v>0</v>
      </c>
      <c r="U828" s="89">
        <v>29700</v>
      </c>
      <c r="V828" s="89">
        <v>29700</v>
      </c>
      <c r="W828" s="89">
        <v>99300</v>
      </c>
    </row>
    <row r="829" spans="1:23" ht="13">
      <c r="A829" t="s">
        <v>4521</v>
      </c>
      <c r="B829" t="s">
        <v>4522</v>
      </c>
      <c r="C829" s="88">
        <v>46150.11755787037</v>
      </c>
      <c r="D829" t="s">
        <v>105</v>
      </c>
      <c r="E829" t="s">
        <v>106</v>
      </c>
      <c r="F829" t="s">
        <v>4523</v>
      </c>
      <c r="G829" t="s">
        <v>4524</v>
      </c>
      <c r="H829" t="s">
        <v>4523</v>
      </c>
      <c r="I829" s="88">
        <v>46141.639583333337</v>
      </c>
      <c r="J829" t="s">
        <v>107</v>
      </c>
      <c r="K829" t="s">
        <v>108</v>
      </c>
      <c r="L829" t="s">
        <v>4525</v>
      </c>
      <c r="M829" s="88">
        <v>46142.675092592588</v>
      </c>
      <c r="N829" t="s">
        <v>1992</v>
      </c>
      <c r="O829" t="s">
        <v>110</v>
      </c>
      <c r="P829" t="s">
        <v>111</v>
      </c>
      <c r="Q829" t="s">
        <v>4526</v>
      </c>
      <c r="R829">
        <v>1</v>
      </c>
      <c r="S829" s="89">
        <v>129000</v>
      </c>
      <c r="T829" s="89">
        <v>0</v>
      </c>
      <c r="U829" s="89">
        <v>29700</v>
      </c>
      <c r="V829" s="89">
        <v>29700</v>
      </c>
      <c r="W829" s="89">
        <v>99300</v>
      </c>
    </row>
    <row r="830" spans="1:23" ht="13">
      <c r="A830" t="s">
        <v>4527</v>
      </c>
      <c r="B830" t="s">
        <v>4528</v>
      </c>
      <c r="C830" s="88">
        <v>46150.105219907404</v>
      </c>
      <c r="D830" t="s">
        <v>105</v>
      </c>
      <c r="E830" t="s">
        <v>106</v>
      </c>
      <c r="F830" t="s">
        <v>4529</v>
      </c>
      <c r="G830" t="s">
        <v>4530</v>
      </c>
      <c r="H830" t="s">
        <v>4529</v>
      </c>
      <c r="I830" s="88">
        <v>46141.596921296295</v>
      </c>
      <c r="J830" t="s">
        <v>107</v>
      </c>
      <c r="K830" t="s">
        <v>108</v>
      </c>
      <c r="L830" t="s">
        <v>4531</v>
      </c>
      <c r="M830" s="88">
        <v>46142.57166666667</v>
      </c>
      <c r="N830" t="s">
        <v>1992</v>
      </c>
      <c r="O830" t="s">
        <v>110</v>
      </c>
      <c r="P830" t="s">
        <v>111</v>
      </c>
      <c r="Q830" t="s">
        <v>4526</v>
      </c>
      <c r="R830">
        <v>1</v>
      </c>
      <c r="S830" s="89">
        <v>129000</v>
      </c>
      <c r="T830" s="89">
        <v>0</v>
      </c>
      <c r="U830" s="89">
        <v>29700</v>
      </c>
      <c r="V830" s="89">
        <v>29700</v>
      </c>
      <c r="W830" s="89">
        <v>99300</v>
      </c>
    </row>
    <row r="831" spans="1:23" ht="13">
      <c r="A831" t="s">
        <v>4532</v>
      </c>
      <c r="B831" t="s">
        <v>4533</v>
      </c>
      <c r="C831" s="88">
        <v>46150.104641203703</v>
      </c>
      <c r="D831" t="s">
        <v>105</v>
      </c>
      <c r="E831" t="s">
        <v>106</v>
      </c>
      <c r="F831" t="s">
        <v>4534</v>
      </c>
      <c r="G831" t="s">
        <v>4535</v>
      </c>
      <c r="H831" t="s">
        <v>4534</v>
      </c>
      <c r="I831" s="88">
        <v>46141.596921296295</v>
      </c>
      <c r="J831" t="s">
        <v>107</v>
      </c>
      <c r="K831" t="s">
        <v>108</v>
      </c>
      <c r="L831" t="s">
        <v>4536</v>
      </c>
      <c r="M831" s="88">
        <v>46142.67759259259</v>
      </c>
      <c r="N831" t="s">
        <v>1992</v>
      </c>
      <c r="O831" t="s">
        <v>110</v>
      </c>
      <c r="P831" t="s">
        <v>111</v>
      </c>
      <c r="Q831" t="s">
        <v>1993</v>
      </c>
      <c r="R831">
        <v>1</v>
      </c>
      <c r="S831" s="89">
        <v>129000</v>
      </c>
      <c r="T831" s="89">
        <v>0</v>
      </c>
      <c r="U831" s="89">
        <v>29800</v>
      </c>
      <c r="V831" s="89">
        <v>29800</v>
      </c>
      <c r="W831" s="89">
        <v>99200</v>
      </c>
    </row>
    <row r="832" spans="1:23" ht="13">
      <c r="A832" t="s">
        <v>4537</v>
      </c>
      <c r="B832" t="s">
        <v>4538</v>
      </c>
      <c r="C832" s="88">
        <v>46150.102268518516</v>
      </c>
      <c r="D832" t="s">
        <v>105</v>
      </c>
      <c r="E832" t="s">
        <v>106</v>
      </c>
      <c r="F832" t="s">
        <v>4539</v>
      </c>
      <c r="G832" t="s">
        <v>4540</v>
      </c>
      <c r="H832" t="s">
        <v>4539</v>
      </c>
      <c r="I832" s="88">
        <v>46148.584108796298</v>
      </c>
      <c r="J832" t="s">
        <v>107</v>
      </c>
      <c r="K832" t="s">
        <v>108</v>
      </c>
      <c r="L832" t="s">
        <v>4541</v>
      </c>
      <c r="M832" s="88">
        <v>46149.674305555556</v>
      </c>
      <c r="N832" t="s">
        <v>637</v>
      </c>
      <c r="O832" t="s">
        <v>112</v>
      </c>
      <c r="P832" t="s">
        <v>111</v>
      </c>
      <c r="Q832" t="s">
        <v>1417</v>
      </c>
      <c r="R832">
        <v>1</v>
      </c>
      <c r="S832" s="89">
        <v>9500</v>
      </c>
      <c r="T832" s="89">
        <v>0</v>
      </c>
      <c r="U832" s="89">
        <v>2190</v>
      </c>
      <c r="V832" s="89">
        <v>2190</v>
      </c>
      <c r="W832" s="89">
        <v>7310</v>
      </c>
    </row>
    <row r="833" spans="1:23" ht="13">
      <c r="A833" t="s">
        <v>4542</v>
      </c>
      <c r="B833" t="s">
        <v>119</v>
      </c>
      <c r="C833" s="88">
        <v>46150.097731481481</v>
      </c>
      <c r="D833" t="s">
        <v>105</v>
      </c>
      <c r="E833" t="s">
        <v>106</v>
      </c>
      <c r="F833" t="s">
        <v>120</v>
      </c>
      <c r="G833" t="s">
        <v>121</v>
      </c>
      <c r="H833" t="s">
        <v>120</v>
      </c>
      <c r="I833" s="88">
        <v>46141.639583333337</v>
      </c>
      <c r="J833" t="s">
        <v>107</v>
      </c>
      <c r="K833" t="s">
        <v>108</v>
      </c>
      <c r="L833" t="s">
        <v>4543</v>
      </c>
      <c r="M833" s="88">
        <v>46142.473715277782</v>
      </c>
      <c r="N833" t="s">
        <v>1992</v>
      </c>
      <c r="O833" t="s">
        <v>110</v>
      </c>
      <c r="P833" t="s">
        <v>111</v>
      </c>
      <c r="Q833" t="s">
        <v>4526</v>
      </c>
      <c r="R833">
        <v>1</v>
      </c>
      <c r="S833" s="89">
        <v>129000</v>
      </c>
      <c r="T833" s="89">
        <v>0</v>
      </c>
      <c r="U833" s="89">
        <v>29700</v>
      </c>
      <c r="V833" s="89">
        <v>29700</v>
      </c>
      <c r="W833" s="89">
        <v>99300</v>
      </c>
    </row>
    <row r="834" spans="1:23" ht="13">
      <c r="A834" t="s">
        <v>4544</v>
      </c>
      <c r="B834" t="s">
        <v>4545</v>
      </c>
      <c r="C834" s="88">
        <v>46150.095173611116</v>
      </c>
      <c r="D834" t="s">
        <v>105</v>
      </c>
      <c r="E834" t="s">
        <v>106</v>
      </c>
      <c r="F834" t="s">
        <v>4546</v>
      </c>
      <c r="G834" t="s">
        <v>4547</v>
      </c>
      <c r="H834" t="s">
        <v>4548</v>
      </c>
      <c r="I834" s="88">
        <v>46141.639583333337</v>
      </c>
      <c r="J834" t="s">
        <v>107</v>
      </c>
      <c r="K834" t="s">
        <v>108</v>
      </c>
      <c r="L834" t="s">
        <v>4549</v>
      </c>
      <c r="M834" s="88">
        <v>46142.525254629625</v>
      </c>
      <c r="N834" t="s">
        <v>1992</v>
      </c>
      <c r="O834" t="s">
        <v>110</v>
      </c>
      <c r="P834" t="s">
        <v>111</v>
      </c>
      <c r="Q834" t="s">
        <v>1993</v>
      </c>
      <c r="R834">
        <v>1</v>
      </c>
      <c r="S834" s="89">
        <v>129000</v>
      </c>
      <c r="T834" s="89">
        <v>0</v>
      </c>
      <c r="U834" s="89">
        <v>29700</v>
      </c>
      <c r="V834" s="89">
        <v>29700</v>
      </c>
      <c r="W834" s="89">
        <v>99300</v>
      </c>
    </row>
    <row r="835" spans="1:23" ht="13">
      <c r="A835" t="s">
        <v>4550</v>
      </c>
      <c r="B835" t="s">
        <v>4551</v>
      </c>
      <c r="C835" s="88">
        <v>46150.094571759255</v>
      </c>
      <c r="D835" t="s">
        <v>105</v>
      </c>
      <c r="E835" t="s">
        <v>106</v>
      </c>
      <c r="F835" t="s">
        <v>2093</v>
      </c>
      <c r="G835" t="s">
        <v>4552</v>
      </c>
      <c r="H835" t="s">
        <v>2093</v>
      </c>
      <c r="I835" s="88">
        <v>46141.639583333337</v>
      </c>
      <c r="J835" t="s">
        <v>107</v>
      </c>
      <c r="K835" t="s">
        <v>108</v>
      </c>
      <c r="L835" t="s">
        <v>4553</v>
      </c>
      <c r="M835" s="88">
        <v>46142.552129629628</v>
      </c>
      <c r="N835" t="s">
        <v>1992</v>
      </c>
      <c r="O835" t="s">
        <v>110</v>
      </c>
      <c r="P835" t="s">
        <v>111</v>
      </c>
      <c r="Q835" t="s">
        <v>1993</v>
      </c>
      <c r="R835">
        <v>1</v>
      </c>
      <c r="S835" s="89">
        <v>129000</v>
      </c>
      <c r="T835" s="89">
        <v>0</v>
      </c>
      <c r="U835" s="89">
        <v>29800</v>
      </c>
      <c r="V835" s="89">
        <v>29800</v>
      </c>
      <c r="W835" s="89">
        <v>99200</v>
      </c>
    </row>
    <row r="836" spans="1:23" ht="13">
      <c r="A836" t="s">
        <v>4554</v>
      </c>
      <c r="B836" t="s">
        <v>4555</v>
      </c>
      <c r="C836" s="88">
        <v>46150.087442129632</v>
      </c>
      <c r="D836" t="s">
        <v>105</v>
      </c>
      <c r="E836" t="s">
        <v>106</v>
      </c>
      <c r="F836" t="s">
        <v>320</v>
      </c>
      <c r="G836" t="s">
        <v>4556</v>
      </c>
      <c r="H836" t="s">
        <v>320</v>
      </c>
      <c r="I836" s="88">
        <v>46141.596921296295</v>
      </c>
      <c r="J836" t="s">
        <v>107</v>
      </c>
      <c r="K836" t="s">
        <v>108</v>
      </c>
      <c r="L836" t="s">
        <v>4557</v>
      </c>
      <c r="M836" s="88">
        <v>46142.668043981481</v>
      </c>
      <c r="N836" t="s">
        <v>1992</v>
      </c>
      <c r="O836" t="s">
        <v>110</v>
      </c>
      <c r="P836" t="s">
        <v>111</v>
      </c>
      <c r="Q836" t="s">
        <v>4558</v>
      </c>
      <c r="R836">
        <v>1</v>
      </c>
      <c r="S836" s="89">
        <v>129000</v>
      </c>
      <c r="T836" s="89">
        <v>0</v>
      </c>
      <c r="U836" s="89">
        <v>32800</v>
      </c>
      <c r="V836" s="89">
        <v>29800</v>
      </c>
      <c r="W836" s="89">
        <v>96200</v>
      </c>
    </row>
    <row r="837" spans="1:23" ht="13">
      <c r="A837" t="s">
        <v>4559</v>
      </c>
      <c r="B837" t="s">
        <v>4560</v>
      </c>
      <c r="C837" s="88">
        <v>46150.086747685185</v>
      </c>
      <c r="D837" t="s">
        <v>105</v>
      </c>
      <c r="E837" t="s">
        <v>106</v>
      </c>
      <c r="F837" t="s">
        <v>4561</v>
      </c>
      <c r="G837" t="s">
        <v>4562</v>
      </c>
      <c r="H837" t="s">
        <v>4561</v>
      </c>
      <c r="I837" s="88">
        <v>46141.596921296295</v>
      </c>
      <c r="J837" t="s">
        <v>107</v>
      </c>
      <c r="K837" t="s">
        <v>108</v>
      </c>
      <c r="L837" t="s">
        <v>4563</v>
      </c>
      <c r="M837" s="88">
        <v>46142.465289351851</v>
      </c>
      <c r="N837" t="s">
        <v>1992</v>
      </c>
      <c r="O837" t="s">
        <v>110</v>
      </c>
      <c r="P837" t="s">
        <v>111</v>
      </c>
      <c r="Q837" t="s">
        <v>4526</v>
      </c>
      <c r="R837">
        <v>1</v>
      </c>
      <c r="S837" s="89">
        <v>129000</v>
      </c>
      <c r="T837" s="89">
        <v>0</v>
      </c>
      <c r="U837" s="89">
        <v>29800</v>
      </c>
      <c r="V837" s="89">
        <v>29800</v>
      </c>
      <c r="W837" s="89">
        <v>99200</v>
      </c>
    </row>
    <row r="838" spans="1:23" ht="13">
      <c r="A838" t="s">
        <v>4564</v>
      </c>
      <c r="B838" t="s">
        <v>4565</v>
      </c>
      <c r="C838" s="88">
        <v>46150.04987268518</v>
      </c>
      <c r="D838" t="s">
        <v>105</v>
      </c>
      <c r="E838" t="s">
        <v>106</v>
      </c>
      <c r="F838" t="s">
        <v>4566</v>
      </c>
      <c r="G838" t="s">
        <v>4567</v>
      </c>
      <c r="H838" t="s">
        <v>4566</v>
      </c>
      <c r="I838" s="88">
        <v>46143.714733796296</v>
      </c>
      <c r="J838" t="s">
        <v>107</v>
      </c>
      <c r="K838" t="s">
        <v>108</v>
      </c>
      <c r="L838" t="s">
        <v>4568</v>
      </c>
      <c r="M838" s="88">
        <v>46146.509004629625</v>
      </c>
      <c r="N838" t="s">
        <v>637</v>
      </c>
      <c r="O838" t="s">
        <v>112</v>
      </c>
      <c r="P838" t="s">
        <v>111</v>
      </c>
      <c r="Q838" t="s">
        <v>1587</v>
      </c>
      <c r="R838">
        <v>6</v>
      </c>
      <c r="S838" s="89">
        <v>9500</v>
      </c>
      <c r="T838" s="89">
        <v>0</v>
      </c>
      <c r="U838" s="89">
        <v>20080</v>
      </c>
      <c r="V838" s="89">
        <v>20080</v>
      </c>
      <c r="W838" s="89">
        <v>36920</v>
      </c>
    </row>
    <row r="839" spans="1:23" ht="13">
      <c r="A839" t="s">
        <v>4569</v>
      </c>
      <c r="B839" t="s">
        <v>4570</v>
      </c>
      <c r="C839" s="88">
        <v>46150.046423611115</v>
      </c>
      <c r="D839" t="s">
        <v>105</v>
      </c>
      <c r="E839" t="s">
        <v>106</v>
      </c>
      <c r="F839" t="s">
        <v>4571</v>
      </c>
      <c r="G839" t="s">
        <v>860</v>
      </c>
      <c r="H839" t="s">
        <v>4571</v>
      </c>
      <c r="I839" s="88">
        <v>46148.584108796298</v>
      </c>
      <c r="J839" t="s">
        <v>107</v>
      </c>
      <c r="K839" t="s">
        <v>108</v>
      </c>
      <c r="L839" t="s">
        <v>4572</v>
      </c>
      <c r="M839" s="88">
        <v>46149.822187500002</v>
      </c>
      <c r="N839" t="s">
        <v>637</v>
      </c>
      <c r="O839" t="s">
        <v>112</v>
      </c>
      <c r="P839" t="s">
        <v>111</v>
      </c>
      <c r="Q839" t="s">
        <v>1417</v>
      </c>
      <c r="R839">
        <v>6</v>
      </c>
      <c r="S839" s="89">
        <v>9500</v>
      </c>
      <c r="T839" s="89">
        <v>0</v>
      </c>
      <c r="U839" s="89">
        <v>21080</v>
      </c>
      <c r="V839" s="89">
        <v>20080</v>
      </c>
      <c r="W839" s="89">
        <v>35920</v>
      </c>
    </row>
    <row r="840" spans="1:23" ht="13">
      <c r="A840" t="s">
        <v>4573</v>
      </c>
      <c r="B840" t="s">
        <v>4574</v>
      </c>
      <c r="C840" s="88">
        <v>46150.030914351853</v>
      </c>
      <c r="D840" t="s">
        <v>105</v>
      </c>
      <c r="E840" t="s">
        <v>106</v>
      </c>
      <c r="F840" t="s">
        <v>4575</v>
      </c>
      <c r="G840" t="s">
        <v>4576</v>
      </c>
      <c r="H840" t="s">
        <v>4575</v>
      </c>
      <c r="I840" s="88">
        <v>46140.633900462963</v>
      </c>
      <c r="J840" t="s">
        <v>107</v>
      </c>
      <c r="K840" t="s">
        <v>108</v>
      </c>
      <c r="L840" t="s">
        <v>4577</v>
      </c>
      <c r="M840" s="88">
        <v>46142.468865740739</v>
      </c>
      <c r="N840" t="s">
        <v>637</v>
      </c>
      <c r="O840" t="s">
        <v>112</v>
      </c>
      <c r="P840" t="s">
        <v>111</v>
      </c>
      <c r="Q840" t="s">
        <v>2085</v>
      </c>
      <c r="R840">
        <v>4</v>
      </c>
      <c r="S840" s="89">
        <v>9500</v>
      </c>
      <c r="T840" s="89">
        <v>0</v>
      </c>
      <c r="U840" s="89">
        <v>8360</v>
      </c>
      <c r="V840" s="89">
        <v>8360</v>
      </c>
      <c r="W840" s="89">
        <v>29640</v>
      </c>
    </row>
    <row r="841" spans="1:23" ht="13">
      <c r="A841" t="s">
        <v>4578</v>
      </c>
      <c r="B841" t="s">
        <v>4579</v>
      </c>
      <c r="C841" s="88">
        <v>46150.027488425927</v>
      </c>
      <c r="D841" t="s">
        <v>105</v>
      </c>
      <c r="E841" t="s">
        <v>106</v>
      </c>
      <c r="F841" t="s">
        <v>4580</v>
      </c>
      <c r="G841" t="s">
        <v>1931</v>
      </c>
      <c r="H841" t="s">
        <v>4580</v>
      </c>
      <c r="I841" s="88">
        <v>46148.584108796298</v>
      </c>
      <c r="J841" t="s">
        <v>107</v>
      </c>
      <c r="K841" t="s">
        <v>108</v>
      </c>
      <c r="L841" t="s">
        <v>4581</v>
      </c>
      <c r="M841" s="88">
        <v>46149.556898148148</v>
      </c>
      <c r="N841" t="s">
        <v>637</v>
      </c>
      <c r="O841" t="s">
        <v>112</v>
      </c>
      <c r="P841" t="s">
        <v>111</v>
      </c>
      <c r="Q841" t="s">
        <v>1417</v>
      </c>
      <c r="R841">
        <v>6</v>
      </c>
      <c r="S841" s="89">
        <v>9500</v>
      </c>
      <c r="T841" s="89">
        <v>0</v>
      </c>
      <c r="U841" s="89">
        <v>20080</v>
      </c>
      <c r="V841" s="89">
        <v>20080</v>
      </c>
      <c r="W841" s="89">
        <v>36920</v>
      </c>
    </row>
    <row r="842" spans="1:23" ht="13">
      <c r="A842" t="s">
        <v>4582</v>
      </c>
      <c r="B842" t="s">
        <v>4583</v>
      </c>
      <c r="C842" s="88">
        <v>46150.003275462965</v>
      </c>
      <c r="D842" t="s">
        <v>105</v>
      </c>
      <c r="E842" t="s">
        <v>106</v>
      </c>
      <c r="F842" t="s">
        <v>4584</v>
      </c>
      <c r="G842" t="s">
        <v>4585</v>
      </c>
      <c r="H842" t="s">
        <v>4584</v>
      </c>
      <c r="I842" s="88">
        <v>46141.751863425925</v>
      </c>
      <c r="J842" t="s">
        <v>107</v>
      </c>
      <c r="K842" t="s">
        <v>108</v>
      </c>
      <c r="L842" t="s">
        <v>4586</v>
      </c>
      <c r="M842" s="88">
        <v>46143.550717592589</v>
      </c>
      <c r="N842" t="s">
        <v>637</v>
      </c>
      <c r="O842" t="s">
        <v>112</v>
      </c>
      <c r="P842" t="s">
        <v>111</v>
      </c>
      <c r="Q842" t="s">
        <v>2085</v>
      </c>
      <c r="R842">
        <v>4</v>
      </c>
      <c r="S842" s="89">
        <v>9500</v>
      </c>
      <c r="T842" s="89">
        <v>0</v>
      </c>
      <c r="U842" s="89">
        <v>8360</v>
      </c>
      <c r="V842" s="89">
        <v>8360</v>
      </c>
      <c r="W842" s="89">
        <v>29640</v>
      </c>
    </row>
    <row r="843" spans="1:23" ht="13">
      <c r="A843" t="s">
        <v>4587</v>
      </c>
      <c r="B843" t="s">
        <v>4588</v>
      </c>
      <c r="C843" s="88">
        <v>46149.988599537042</v>
      </c>
      <c r="D843" t="s">
        <v>105</v>
      </c>
      <c r="E843" t="s">
        <v>106</v>
      </c>
      <c r="F843" t="s">
        <v>4589</v>
      </c>
      <c r="G843" t="s">
        <v>4590</v>
      </c>
      <c r="H843" t="s">
        <v>4589</v>
      </c>
      <c r="I843" s="88">
        <v>46148.584108796298</v>
      </c>
      <c r="J843" t="s">
        <v>107</v>
      </c>
      <c r="K843" t="s">
        <v>108</v>
      </c>
      <c r="L843" t="s">
        <v>4591</v>
      </c>
      <c r="M843" s="88">
        <v>46149.822187500002</v>
      </c>
      <c r="N843" t="s">
        <v>637</v>
      </c>
      <c r="O843" t="s">
        <v>112</v>
      </c>
      <c r="P843" t="s">
        <v>111</v>
      </c>
      <c r="Q843" t="s">
        <v>1417</v>
      </c>
      <c r="R843">
        <v>6</v>
      </c>
      <c r="S843" s="89">
        <v>9500</v>
      </c>
      <c r="T843" s="89">
        <v>0</v>
      </c>
      <c r="U843" s="89">
        <v>20080</v>
      </c>
      <c r="V843" s="89">
        <v>20080</v>
      </c>
      <c r="W843" s="89">
        <v>36920</v>
      </c>
    </row>
    <row r="844" spans="1:23" ht="13">
      <c r="A844" t="s">
        <v>4592</v>
      </c>
      <c r="B844" t="s">
        <v>4593</v>
      </c>
      <c r="C844" s="88">
        <v>46149.954641203702</v>
      </c>
      <c r="D844" t="s">
        <v>105</v>
      </c>
      <c r="E844" t="s">
        <v>106</v>
      </c>
      <c r="F844" t="s">
        <v>4594</v>
      </c>
      <c r="G844" t="s">
        <v>4595</v>
      </c>
      <c r="H844" t="s">
        <v>4594</v>
      </c>
      <c r="I844" s="88">
        <v>46141.751956018517</v>
      </c>
      <c r="J844" t="s">
        <v>107</v>
      </c>
      <c r="K844" t="s">
        <v>108</v>
      </c>
      <c r="L844" t="s">
        <v>4596</v>
      </c>
      <c r="M844" s="88">
        <v>46143.549409722225</v>
      </c>
      <c r="N844" t="s">
        <v>637</v>
      </c>
      <c r="O844" t="s">
        <v>112</v>
      </c>
      <c r="P844" t="s">
        <v>111</v>
      </c>
      <c r="Q844" t="s">
        <v>2085</v>
      </c>
      <c r="R844">
        <v>1</v>
      </c>
      <c r="S844" s="89">
        <v>9500</v>
      </c>
      <c r="T844" s="89">
        <v>0</v>
      </c>
      <c r="U844" s="89">
        <v>2190</v>
      </c>
      <c r="V844" s="89">
        <v>2190</v>
      </c>
      <c r="W844" s="89">
        <v>7310</v>
      </c>
    </row>
    <row r="845" spans="1:23" ht="13">
      <c r="A845" t="s">
        <v>4597</v>
      </c>
      <c r="B845" t="s">
        <v>4598</v>
      </c>
      <c r="C845" s="88">
        <v>46149.944803240738</v>
      </c>
      <c r="D845" t="s">
        <v>105</v>
      </c>
      <c r="E845" t="s">
        <v>106</v>
      </c>
      <c r="F845" t="s">
        <v>359</v>
      </c>
      <c r="G845" t="s">
        <v>4599</v>
      </c>
      <c r="H845" t="s">
        <v>359</v>
      </c>
      <c r="I845" s="88">
        <v>46148.584108796298</v>
      </c>
      <c r="J845" t="s">
        <v>107</v>
      </c>
      <c r="K845" t="s">
        <v>108</v>
      </c>
      <c r="L845" t="s">
        <v>4600</v>
      </c>
      <c r="M845" s="88">
        <v>46149.764212962968</v>
      </c>
      <c r="N845" t="s">
        <v>637</v>
      </c>
      <c r="O845" t="s">
        <v>112</v>
      </c>
      <c r="P845" t="s">
        <v>111</v>
      </c>
      <c r="Q845" t="s">
        <v>1417</v>
      </c>
      <c r="R845">
        <v>6</v>
      </c>
      <c r="S845" s="89">
        <v>9500</v>
      </c>
      <c r="T845" s="89">
        <v>0</v>
      </c>
      <c r="U845" s="89">
        <v>20080</v>
      </c>
      <c r="V845" s="89">
        <v>20080</v>
      </c>
      <c r="W845" s="89">
        <v>36920</v>
      </c>
    </row>
    <row r="846" spans="1:23" ht="13">
      <c r="A846" t="s">
        <v>4601</v>
      </c>
      <c r="B846" t="s">
        <v>4602</v>
      </c>
      <c r="C846" s="88">
        <v>46149.923356481479</v>
      </c>
      <c r="D846" t="s">
        <v>105</v>
      </c>
      <c r="E846" t="s">
        <v>106</v>
      </c>
      <c r="F846" t="s">
        <v>299</v>
      </c>
      <c r="G846" t="s">
        <v>4603</v>
      </c>
      <c r="H846" t="s">
        <v>299</v>
      </c>
      <c r="I846" s="88">
        <v>46148.584108796298</v>
      </c>
      <c r="J846" t="s">
        <v>107</v>
      </c>
      <c r="K846" t="s">
        <v>108</v>
      </c>
      <c r="L846" t="s">
        <v>4604</v>
      </c>
      <c r="M846" s="88">
        <v>46149.675717592589</v>
      </c>
      <c r="N846" t="s">
        <v>637</v>
      </c>
      <c r="O846" t="s">
        <v>112</v>
      </c>
      <c r="P846" t="s">
        <v>111</v>
      </c>
      <c r="Q846" t="s">
        <v>1417</v>
      </c>
      <c r="R846">
        <v>6</v>
      </c>
      <c r="S846" s="89">
        <v>9500</v>
      </c>
      <c r="T846" s="89">
        <v>0</v>
      </c>
      <c r="U846" s="89">
        <v>20080</v>
      </c>
      <c r="V846" s="89">
        <v>20080</v>
      </c>
      <c r="W846" s="89">
        <v>36920</v>
      </c>
    </row>
    <row r="847" spans="1:23" ht="13">
      <c r="A847" t="s">
        <v>4605</v>
      </c>
      <c r="B847" t="s">
        <v>4606</v>
      </c>
      <c r="C847" s="88">
        <v>46149.912141203706</v>
      </c>
      <c r="D847" t="s">
        <v>105</v>
      </c>
      <c r="E847" t="s">
        <v>106</v>
      </c>
      <c r="F847" t="s">
        <v>4607</v>
      </c>
      <c r="G847" t="s">
        <v>4608</v>
      </c>
      <c r="H847" t="s">
        <v>4607</v>
      </c>
      <c r="I847" s="88">
        <v>46148.584131944444</v>
      </c>
      <c r="J847" t="s">
        <v>107</v>
      </c>
      <c r="K847" t="s">
        <v>108</v>
      </c>
      <c r="L847" t="s">
        <v>4609</v>
      </c>
      <c r="M847" s="88">
        <v>46149.553564814814</v>
      </c>
      <c r="N847" t="s">
        <v>637</v>
      </c>
      <c r="O847" t="s">
        <v>112</v>
      </c>
      <c r="P847" t="s">
        <v>111</v>
      </c>
      <c r="Q847" t="s">
        <v>1417</v>
      </c>
      <c r="R847">
        <v>1</v>
      </c>
      <c r="S847" s="89">
        <v>9500</v>
      </c>
      <c r="T847" s="89">
        <v>0</v>
      </c>
      <c r="U847" s="89">
        <v>2190</v>
      </c>
      <c r="V847" s="89">
        <v>2190</v>
      </c>
      <c r="W847" s="89">
        <v>7310</v>
      </c>
    </row>
    <row r="848" spans="1:23" ht="13">
      <c r="A848" t="s">
        <v>4610</v>
      </c>
      <c r="B848" t="s">
        <v>4611</v>
      </c>
      <c r="C848" s="88">
        <v>46149.89634259259</v>
      </c>
      <c r="D848" t="s">
        <v>105</v>
      </c>
      <c r="E848" t="s">
        <v>106</v>
      </c>
      <c r="F848" t="s">
        <v>4612</v>
      </c>
      <c r="G848" t="s">
        <v>4613</v>
      </c>
      <c r="H848" t="s">
        <v>4612</v>
      </c>
      <c r="I848" s="88">
        <v>46148.584131944444</v>
      </c>
      <c r="J848" t="s">
        <v>107</v>
      </c>
      <c r="K848" t="s">
        <v>108</v>
      </c>
      <c r="L848" t="s">
        <v>4614</v>
      </c>
      <c r="M848" s="88">
        <v>46149.552256944444</v>
      </c>
      <c r="N848" t="s">
        <v>637</v>
      </c>
      <c r="O848" t="s">
        <v>112</v>
      </c>
      <c r="P848" t="s">
        <v>111</v>
      </c>
      <c r="Q848" t="s">
        <v>1417</v>
      </c>
      <c r="R848">
        <v>2</v>
      </c>
      <c r="S848" s="89">
        <v>9500</v>
      </c>
      <c r="T848" s="89">
        <v>0</v>
      </c>
      <c r="U848" s="89">
        <v>4180</v>
      </c>
      <c r="V848" s="89">
        <v>4180</v>
      </c>
      <c r="W848" s="89">
        <v>14820</v>
      </c>
    </row>
    <row r="849" spans="1:23" ht="13">
      <c r="A849" t="s">
        <v>4615</v>
      </c>
      <c r="B849" t="s">
        <v>4616</v>
      </c>
      <c r="C849" s="88">
        <v>46149.88762731482</v>
      </c>
      <c r="D849" t="s">
        <v>105</v>
      </c>
      <c r="E849" t="s">
        <v>106</v>
      </c>
      <c r="F849" t="s">
        <v>4617</v>
      </c>
      <c r="G849" t="s">
        <v>4618</v>
      </c>
      <c r="H849" t="s">
        <v>4617</v>
      </c>
      <c r="I849" s="88">
        <v>46148.626018518524</v>
      </c>
      <c r="J849" t="s">
        <v>107</v>
      </c>
      <c r="K849" t="s">
        <v>108</v>
      </c>
      <c r="L849" t="s">
        <v>4619</v>
      </c>
      <c r="M849" s="88">
        <v>46149.967418981483</v>
      </c>
      <c r="N849" t="s">
        <v>637</v>
      </c>
      <c r="O849" t="s">
        <v>112</v>
      </c>
      <c r="P849" t="s">
        <v>111</v>
      </c>
      <c r="Q849" t="s">
        <v>1417</v>
      </c>
      <c r="R849">
        <v>6</v>
      </c>
      <c r="S849" s="89">
        <v>9500</v>
      </c>
      <c r="T849" s="89">
        <v>0</v>
      </c>
      <c r="U849" s="89">
        <v>20080</v>
      </c>
      <c r="V849" s="89">
        <v>20080</v>
      </c>
      <c r="W849" s="89">
        <v>36920</v>
      </c>
    </row>
    <row r="850" spans="1:23" ht="13">
      <c r="A850" t="s">
        <v>4620</v>
      </c>
      <c r="B850" t="s">
        <v>4621</v>
      </c>
      <c r="C850" s="88">
        <v>46149.880590277782</v>
      </c>
      <c r="D850" t="s">
        <v>105</v>
      </c>
      <c r="E850" t="s">
        <v>106</v>
      </c>
      <c r="F850" t="s">
        <v>4622</v>
      </c>
      <c r="G850" t="s">
        <v>4623</v>
      </c>
      <c r="H850" t="s">
        <v>4622</v>
      </c>
      <c r="I850" s="88">
        <v>46141.751863425925</v>
      </c>
      <c r="J850" t="s">
        <v>107</v>
      </c>
      <c r="K850" t="s">
        <v>108</v>
      </c>
      <c r="L850" t="s">
        <v>4624</v>
      </c>
      <c r="M850" s="88">
        <v>46143.54586805556</v>
      </c>
      <c r="N850" t="s">
        <v>637</v>
      </c>
      <c r="O850" t="s">
        <v>112</v>
      </c>
      <c r="P850" t="s">
        <v>111</v>
      </c>
      <c r="Q850" t="s">
        <v>2085</v>
      </c>
      <c r="R850">
        <v>2</v>
      </c>
      <c r="S850" s="89">
        <v>9500</v>
      </c>
      <c r="T850" s="89">
        <v>0</v>
      </c>
      <c r="U850" s="89">
        <v>4180</v>
      </c>
      <c r="V850" s="89">
        <v>4180</v>
      </c>
      <c r="W850" s="89">
        <v>14820</v>
      </c>
    </row>
    <row r="851" spans="1:23" ht="13">
      <c r="A851" t="s">
        <v>4625</v>
      </c>
      <c r="B851" t="s">
        <v>4626</v>
      </c>
      <c r="C851" s="88">
        <v>46149.873819444445</v>
      </c>
      <c r="D851" t="s">
        <v>105</v>
      </c>
      <c r="E851" t="s">
        <v>106</v>
      </c>
      <c r="F851" t="s">
        <v>4627</v>
      </c>
      <c r="G851" t="s">
        <v>4628</v>
      </c>
      <c r="H851" t="s">
        <v>4627</v>
      </c>
      <c r="I851" s="88">
        <v>46148.584108796298</v>
      </c>
      <c r="J851" t="s">
        <v>107</v>
      </c>
      <c r="K851" t="s">
        <v>108</v>
      </c>
      <c r="L851" t="s">
        <v>4629</v>
      </c>
      <c r="M851" s="88">
        <v>46149.55232638889</v>
      </c>
      <c r="N851" t="s">
        <v>637</v>
      </c>
      <c r="O851" t="s">
        <v>112</v>
      </c>
      <c r="P851" t="s">
        <v>111</v>
      </c>
      <c r="Q851" t="s">
        <v>1417</v>
      </c>
      <c r="R851">
        <v>2</v>
      </c>
      <c r="S851" s="89">
        <v>9500</v>
      </c>
      <c r="T851" s="89">
        <v>0</v>
      </c>
      <c r="U851" s="89">
        <v>4280</v>
      </c>
      <c r="V851" s="89">
        <v>4280</v>
      </c>
      <c r="W851" s="89">
        <v>14720</v>
      </c>
    </row>
    <row r="852" spans="1:23" ht="13">
      <c r="A852" t="s">
        <v>4630</v>
      </c>
      <c r="B852" t="s">
        <v>4631</v>
      </c>
      <c r="C852" s="88">
        <v>46149.86445601852</v>
      </c>
      <c r="D852" t="s">
        <v>105</v>
      </c>
      <c r="E852" t="s">
        <v>106</v>
      </c>
      <c r="F852" t="s">
        <v>4632</v>
      </c>
      <c r="G852" t="s">
        <v>4633</v>
      </c>
      <c r="H852" t="s">
        <v>4632</v>
      </c>
      <c r="I852" s="88">
        <v>46148.584097222221</v>
      </c>
      <c r="J852" t="s">
        <v>107</v>
      </c>
      <c r="K852" t="s">
        <v>108</v>
      </c>
      <c r="L852" t="s">
        <v>4634</v>
      </c>
      <c r="M852" s="88">
        <v>46149.472337962958</v>
      </c>
      <c r="N852" t="s">
        <v>637</v>
      </c>
      <c r="O852" t="s">
        <v>112</v>
      </c>
      <c r="P852" t="s">
        <v>111</v>
      </c>
      <c r="Q852" t="s">
        <v>1417</v>
      </c>
      <c r="R852">
        <v>6</v>
      </c>
      <c r="S852" s="89">
        <v>9500</v>
      </c>
      <c r="T852" s="89">
        <v>0</v>
      </c>
      <c r="U852" s="89">
        <v>20080</v>
      </c>
      <c r="V852" s="89">
        <v>20080</v>
      </c>
      <c r="W852" s="89">
        <v>36920</v>
      </c>
    </row>
    <row r="853" spans="1:23" ht="13">
      <c r="A853" t="s">
        <v>4635</v>
      </c>
      <c r="B853" t="s">
        <v>4636</v>
      </c>
      <c r="C853" s="88">
        <v>46149.854710648149</v>
      </c>
      <c r="D853" t="s">
        <v>105</v>
      </c>
      <c r="E853" t="s">
        <v>106</v>
      </c>
      <c r="F853" t="s">
        <v>352</v>
      </c>
      <c r="G853" t="s">
        <v>4637</v>
      </c>
      <c r="H853" t="s">
        <v>352</v>
      </c>
      <c r="I853" s="88">
        <v>46141.751886574071</v>
      </c>
      <c r="J853" t="s">
        <v>107</v>
      </c>
      <c r="K853" t="s">
        <v>108</v>
      </c>
      <c r="L853" t="s">
        <v>4638</v>
      </c>
      <c r="M853" s="88">
        <v>46143.463912037041</v>
      </c>
      <c r="N853" t="s">
        <v>637</v>
      </c>
      <c r="O853" t="s">
        <v>112</v>
      </c>
      <c r="P853" t="s">
        <v>111</v>
      </c>
      <c r="Q853" t="s">
        <v>2085</v>
      </c>
      <c r="R853">
        <v>6</v>
      </c>
      <c r="S853" s="89">
        <v>9500</v>
      </c>
      <c r="T853" s="89">
        <v>0</v>
      </c>
      <c r="U853" s="89">
        <v>20080</v>
      </c>
      <c r="V853" s="89">
        <v>20080</v>
      </c>
      <c r="W853" s="89">
        <v>36920</v>
      </c>
    </row>
    <row r="854" spans="1:23" ht="13">
      <c r="A854" t="s">
        <v>4639</v>
      </c>
      <c r="B854" t="s">
        <v>4640</v>
      </c>
      <c r="C854" s="88">
        <v>46149.829965277779</v>
      </c>
      <c r="D854" t="s">
        <v>105</v>
      </c>
      <c r="E854" t="s">
        <v>106</v>
      </c>
      <c r="F854" t="s">
        <v>330</v>
      </c>
      <c r="G854" t="s">
        <v>757</v>
      </c>
      <c r="H854" t="s">
        <v>330</v>
      </c>
      <c r="I854" s="88">
        <v>46148.584131944444</v>
      </c>
      <c r="J854" t="s">
        <v>107</v>
      </c>
      <c r="K854" t="s">
        <v>108</v>
      </c>
      <c r="L854" t="s">
        <v>4641</v>
      </c>
      <c r="M854" s="88">
        <v>46149.71674768519</v>
      </c>
      <c r="N854" t="s">
        <v>637</v>
      </c>
      <c r="O854" t="s">
        <v>112</v>
      </c>
      <c r="P854" t="s">
        <v>111</v>
      </c>
      <c r="Q854" t="s">
        <v>1417</v>
      </c>
      <c r="R854">
        <v>4</v>
      </c>
      <c r="S854" s="89">
        <v>9500</v>
      </c>
      <c r="T854" s="89">
        <v>0</v>
      </c>
      <c r="U854" s="89">
        <v>8460</v>
      </c>
      <c r="V854" s="89">
        <v>8460</v>
      </c>
      <c r="W854" s="89">
        <v>29540</v>
      </c>
    </row>
    <row r="855" spans="1:23" ht="13">
      <c r="A855" t="s">
        <v>4642</v>
      </c>
      <c r="B855" t="s">
        <v>4643</v>
      </c>
      <c r="C855" s="88">
        <v>46149.799363425926</v>
      </c>
      <c r="D855" t="s">
        <v>105</v>
      </c>
      <c r="E855" t="s">
        <v>106</v>
      </c>
      <c r="F855" t="s">
        <v>4644</v>
      </c>
      <c r="G855" t="s">
        <v>4645</v>
      </c>
      <c r="H855" t="s">
        <v>4644</v>
      </c>
      <c r="I855" s="88">
        <v>46148.584097222221</v>
      </c>
      <c r="J855" t="s">
        <v>107</v>
      </c>
      <c r="K855" t="s">
        <v>108</v>
      </c>
      <c r="L855" t="s">
        <v>4646</v>
      </c>
      <c r="M855" s="88">
        <v>46149.761111111111</v>
      </c>
      <c r="N855" t="s">
        <v>637</v>
      </c>
      <c r="O855" t="s">
        <v>112</v>
      </c>
      <c r="P855" t="s">
        <v>111</v>
      </c>
      <c r="Q855" t="s">
        <v>1417</v>
      </c>
      <c r="R855">
        <v>5</v>
      </c>
      <c r="S855" s="89">
        <v>9500</v>
      </c>
      <c r="T855" s="89">
        <v>0</v>
      </c>
      <c r="U855" s="89">
        <v>10550</v>
      </c>
      <c r="V855" s="89">
        <v>10550</v>
      </c>
      <c r="W855" s="89">
        <v>36950</v>
      </c>
    </row>
    <row r="856" spans="1:23" ht="13">
      <c r="A856" t="s">
        <v>4647</v>
      </c>
      <c r="B856" t="s">
        <v>4648</v>
      </c>
      <c r="C856" s="88">
        <v>46149.789664351847</v>
      </c>
      <c r="D856" t="s">
        <v>105</v>
      </c>
      <c r="E856" t="s">
        <v>106</v>
      </c>
      <c r="F856" t="s">
        <v>345</v>
      </c>
      <c r="G856" t="s">
        <v>4649</v>
      </c>
      <c r="H856" t="s">
        <v>4650</v>
      </c>
      <c r="I856" s="88">
        <v>46141.751851851848</v>
      </c>
      <c r="J856" t="s">
        <v>107</v>
      </c>
      <c r="K856" t="s">
        <v>108</v>
      </c>
      <c r="L856" t="s">
        <v>4651</v>
      </c>
      <c r="M856" s="88">
        <v>46143.572164351848</v>
      </c>
      <c r="N856" t="s">
        <v>637</v>
      </c>
      <c r="O856" t="s">
        <v>112</v>
      </c>
      <c r="P856" t="s">
        <v>111</v>
      </c>
      <c r="Q856" t="s">
        <v>2085</v>
      </c>
      <c r="R856">
        <v>2</v>
      </c>
      <c r="S856" s="89">
        <v>9500</v>
      </c>
      <c r="T856" s="89">
        <v>0</v>
      </c>
      <c r="U856" s="89">
        <v>4280</v>
      </c>
      <c r="V856" s="89">
        <v>4280</v>
      </c>
      <c r="W856" s="89">
        <v>14720</v>
      </c>
    </row>
    <row r="857" spans="1:23" ht="13">
      <c r="A857" t="s">
        <v>4652</v>
      </c>
      <c r="B857" t="s">
        <v>4653</v>
      </c>
      <c r="C857" s="88">
        <v>46149.70275462963</v>
      </c>
      <c r="D857" t="s">
        <v>105</v>
      </c>
      <c r="E857" t="s">
        <v>106</v>
      </c>
      <c r="F857" t="s">
        <v>4654</v>
      </c>
      <c r="G857" t="s">
        <v>4655</v>
      </c>
      <c r="H857" t="s">
        <v>4654</v>
      </c>
      <c r="I857" s="88">
        <v>46143.714768518519</v>
      </c>
      <c r="J857" t="s">
        <v>107</v>
      </c>
      <c r="K857" t="s">
        <v>108</v>
      </c>
      <c r="L857" t="s">
        <v>4656</v>
      </c>
      <c r="M857" s="88">
        <v>46146.443043981482</v>
      </c>
      <c r="N857" t="s">
        <v>637</v>
      </c>
      <c r="O857" t="s">
        <v>112</v>
      </c>
      <c r="P857" t="s">
        <v>111</v>
      </c>
      <c r="Q857" t="s">
        <v>1587</v>
      </c>
      <c r="R857">
        <v>1</v>
      </c>
      <c r="S857" s="89">
        <v>9500</v>
      </c>
      <c r="T857" s="89">
        <v>0</v>
      </c>
      <c r="U857" s="89">
        <v>2090</v>
      </c>
      <c r="V857" s="89">
        <v>2090</v>
      </c>
      <c r="W857" s="89">
        <v>7410</v>
      </c>
    </row>
    <row r="858" spans="1:23" ht="13">
      <c r="A858" t="s">
        <v>4657</v>
      </c>
      <c r="B858" t="s">
        <v>4658</v>
      </c>
      <c r="C858" s="88">
        <v>46149.687314814815</v>
      </c>
      <c r="D858" t="s">
        <v>105</v>
      </c>
      <c r="E858" t="s">
        <v>106</v>
      </c>
      <c r="F858" t="s">
        <v>379</v>
      </c>
      <c r="G858" t="s">
        <v>4659</v>
      </c>
      <c r="H858" t="s">
        <v>379</v>
      </c>
      <c r="I858" s="88">
        <v>46148.584097222221</v>
      </c>
      <c r="J858" t="s">
        <v>107</v>
      </c>
      <c r="K858" t="s">
        <v>108</v>
      </c>
      <c r="L858" t="s">
        <v>4660</v>
      </c>
      <c r="M858" s="88">
        <v>46149.67569444445</v>
      </c>
      <c r="N858" t="s">
        <v>637</v>
      </c>
      <c r="O858" t="s">
        <v>112</v>
      </c>
      <c r="P858" t="s">
        <v>111</v>
      </c>
      <c r="Q858" t="s">
        <v>1417</v>
      </c>
      <c r="R858">
        <v>6</v>
      </c>
      <c r="S858" s="89">
        <v>9500</v>
      </c>
      <c r="T858" s="89">
        <v>0</v>
      </c>
      <c r="U858" s="89">
        <v>19980</v>
      </c>
      <c r="V858" s="89">
        <v>19980</v>
      </c>
      <c r="W858" s="89">
        <v>37020</v>
      </c>
    </row>
    <row r="859" spans="1:23" ht="13">
      <c r="A859" t="s">
        <v>4661</v>
      </c>
      <c r="B859" t="s">
        <v>4662</v>
      </c>
      <c r="C859" s="88">
        <v>46149.677743055552</v>
      </c>
      <c r="D859" t="s">
        <v>105</v>
      </c>
      <c r="E859" t="s">
        <v>106</v>
      </c>
      <c r="F859" t="s">
        <v>4663</v>
      </c>
      <c r="G859" t="s">
        <v>185</v>
      </c>
      <c r="H859" t="s">
        <v>4663</v>
      </c>
      <c r="I859" s="88">
        <v>46141.751886574071</v>
      </c>
      <c r="J859" t="s">
        <v>107</v>
      </c>
      <c r="K859" t="s">
        <v>108</v>
      </c>
      <c r="L859" t="s">
        <v>4664</v>
      </c>
      <c r="M859" s="88">
        <v>46143.670844907407</v>
      </c>
      <c r="N859" t="s">
        <v>637</v>
      </c>
      <c r="O859" t="s">
        <v>112</v>
      </c>
      <c r="P859" t="s">
        <v>111</v>
      </c>
      <c r="Q859" t="s">
        <v>2085</v>
      </c>
      <c r="R859">
        <v>3</v>
      </c>
      <c r="S859" s="89">
        <v>9500</v>
      </c>
      <c r="T859" s="89">
        <v>0</v>
      </c>
      <c r="U859" s="89">
        <v>6370</v>
      </c>
      <c r="V859" s="89">
        <v>6370</v>
      </c>
      <c r="W859" s="89">
        <v>22130</v>
      </c>
    </row>
    <row r="860" spans="1:23" ht="13">
      <c r="A860" t="s">
        <v>4665</v>
      </c>
      <c r="B860" t="s">
        <v>4666</v>
      </c>
      <c r="C860" s="88">
        <v>46149.657673611116</v>
      </c>
      <c r="D860" t="s">
        <v>105</v>
      </c>
      <c r="E860" t="s">
        <v>106</v>
      </c>
      <c r="F860" t="s">
        <v>251</v>
      </c>
      <c r="G860" t="s">
        <v>252</v>
      </c>
      <c r="H860" t="s">
        <v>251</v>
      </c>
      <c r="I860" s="88">
        <v>46148.709189814814</v>
      </c>
      <c r="J860" t="s">
        <v>107</v>
      </c>
      <c r="K860" t="s">
        <v>108</v>
      </c>
      <c r="L860" t="s">
        <v>4667</v>
      </c>
      <c r="M860" s="88">
        <v>46149.551631944443</v>
      </c>
      <c r="N860" t="s">
        <v>1562</v>
      </c>
      <c r="O860" t="s">
        <v>123</v>
      </c>
      <c r="P860" t="s">
        <v>111</v>
      </c>
      <c r="Q860" t="s">
        <v>60</v>
      </c>
      <c r="R860">
        <v>1</v>
      </c>
      <c r="S860" s="89">
        <v>22000</v>
      </c>
      <c r="T860" s="89">
        <v>0</v>
      </c>
      <c r="U860" s="89">
        <v>6600</v>
      </c>
      <c r="V860" s="89">
        <v>6600</v>
      </c>
      <c r="W860" s="89">
        <v>15400</v>
      </c>
    </row>
    <row r="861" spans="1:23" ht="13">
      <c r="A861" t="s">
        <v>4668</v>
      </c>
      <c r="B861" t="s">
        <v>4666</v>
      </c>
      <c r="C861" s="88">
        <v>46149.657673611116</v>
      </c>
      <c r="D861" t="s">
        <v>105</v>
      </c>
      <c r="E861" t="s">
        <v>106</v>
      </c>
      <c r="F861" t="s">
        <v>251</v>
      </c>
      <c r="G861" t="s">
        <v>252</v>
      </c>
      <c r="H861" t="s">
        <v>251</v>
      </c>
      <c r="I861" s="88">
        <v>46148.709178240737</v>
      </c>
      <c r="J861" t="s">
        <v>107</v>
      </c>
      <c r="K861" t="s">
        <v>108</v>
      </c>
      <c r="L861" t="s">
        <v>4667</v>
      </c>
      <c r="M861" s="88">
        <v>46149.551631944443</v>
      </c>
      <c r="N861" t="s">
        <v>1656</v>
      </c>
      <c r="O861" t="s">
        <v>127</v>
      </c>
      <c r="P861" t="s">
        <v>111</v>
      </c>
      <c r="Q861" t="s">
        <v>1664</v>
      </c>
      <c r="R861">
        <v>1</v>
      </c>
      <c r="S861" s="89">
        <v>19000</v>
      </c>
      <c r="T861" s="89">
        <v>0</v>
      </c>
      <c r="U861" s="89">
        <v>5700</v>
      </c>
      <c r="V861" s="89">
        <v>5700</v>
      </c>
      <c r="W861" s="89">
        <v>13300</v>
      </c>
    </row>
    <row r="862" spans="1:23" ht="13">
      <c r="A862" t="s">
        <v>4669</v>
      </c>
      <c r="B862" t="s">
        <v>4670</v>
      </c>
      <c r="C862" s="88">
        <v>46149.6481712963</v>
      </c>
      <c r="D862" t="s">
        <v>105</v>
      </c>
      <c r="E862" t="s">
        <v>106</v>
      </c>
      <c r="F862" t="s">
        <v>4671</v>
      </c>
      <c r="G862" t="s">
        <v>4672</v>
      </c>
      <c r="H862" t="s">
        <v>4673</v>
      </c>
      <c r="I862" s="88">
        <v>46143.714699074073</v>
      </c>
      <c r="J862" t="s">
        <v>107</v>
      </c>
      <c r="K862" t="s">
        <v>108</v>
      </c>
      <c r="L862" t="s">
        <v>4674</v>
      </c>
      <c r="M862" s="88">
        <v>46146.701006944444</v>
      </c>
      <c r="N862" t="s">
        <v>637</v>
      </c>
      <c r="O862" t="s">
        <v>112</v>
      </c>
      <c r="P862" t="s">
        <v>111</v>
      </c>
      <c r="Q862" t="s">
        <v>2085</v>
      </c>
      <c r="R862">
        <v>6</v>
      </c>
      <c r="S862" s="89">
        <v>9500</v>
      </c>
      <c r="T862" s="89">
        <v>0</v>
      </c>
      <c r="U862" s="89">
        <v>19980</v>
      </c>
      <c r="V862" s="89">
        <v>19980</v>
      </c>
      <c r="W862" s="89">
        <v>37020</v>
      </c>
    </row>
    <row r="863" spans="1:23" ht="13">
      <c r="A863" t="s">
        <v>4675</v>
      </c>
      <c r="B863" t="s">
        <v>4676</v>
      </c>
      <c r="C863" s="88">
        <v>46149.647650462968</v>
      </c>
      <c r="D863" t="s">
        <v>105</v>
      </c>
      <c r="E863" t="s">
        <v>106</v>
      </c>
      <c r="F863" t="s">
        <v>4677</v>
      </c>
      <c r="G863" t="s">
        <v>4678</v>
      </c>
      <c r="H863" t="s">
        <v>4679</v>
      </c>
      <c r="I863" s="88">
        <v>46143.714687500003</v>
      </c>
      <c r="J863" t="s">
        <v>107</v>
      </c>
      <c r="K863" t="s">
        <v>108</v>
      </c>
      <c r="L863" t="s">
        <v>4680</v>
      </c>
      <c r="M863" s="88">
        <v>46146.443067129629</v>
      </c>
      <c r="N863" t="s">
        <v>637</v>
      </c>
      <c r="O863" t="s">
        <v>112</v>
      </c>
      <c r="P863" t="s">
        <v>111</v>
      </c>
      <c r="Q863" t="s">
        <v>1587</v>
      </c>
      <c r="R863">
        <v>2</v>
      </c>
      <c r="S863" s="89">
        <v>9500</v>
      </c>
      <c r="T863" s="89">
        <v>0</v>
      </c>
      <c r="U863" s="89">
        <v>4280</v>
      </c>
      <c r="V863" s="89">
        <v>4280</v>
      </c>
      <c r="W863" s="89">
        <v>14720</v>
      </c>
    </row>
    <row r="864" spans="1:23" ht="13">
      <c r="A864" t="s">
        <v>4681</v>
      </c>
      <c r="B864" t="s">
        <v>4682</v>
      </c>
      <c r="C864" s="88">
        <v>46149.647118055553</v>
      </c>
      <c r="D864" t="s">
        <v>105</v>
      </c>
      <c r="E864" t="s">
        <v>106</v>
      </c>
      <c r="F864" t="s">
        <v>4683</v>
      </c>
      <c r="G864" t="s">
        <v>4684</v>
      </c>
      <c r="H864" t="s">
        <v>4683</v>
      </c>
      <c r="I864" s="88">
        <v>46148.584131944444</v>
      </c>
      <c r="J864" t="s">
        <v>107</v>
      </c>
      <c r="K864" t="s">
        <v>108</v>
      </c>
      <c r="L864" t="s">
        <v>4685</v>
      </c>
      <c r="M864" s="88">
        <v>46149.660416666666</v>
      </c>
      <c r="N864" t="s">
        <v>637</v>
      </c>
      <c r="O864" t="s">
        <v>112</v>
      </c>
      <c r="P864" t="s">
        <v>111</v>
      </c>
      <c r="Q864" t="s">
        <v>1417</v>
      </c>
      <c r="R864">
        <v>2</v>
      </c>
      <c r="S864" s="89">
        <v>9500</v>
      </c>
      <c r="T864" s="89">
        <v>0</v>
      </c>
      <c r="U864" s="89">
        <v>4180</v>
      </c>
      <c r="V864" s="89">
        <v>4180</v>
      </c>
      <c r="W864" s="89">
        <v>14820</v>
      </c>
    </row>
    <row r="865" spans="1:23" ht="13">
      <c r="A865" t="s">
        <v>4686</v>
      </c>
      <c r="B865" t="s">
        <v>4687</v>
      </c>
      <c r="C865" s="88">
        <v>46149.584224537037</v>
      </c>
      <c r="D865" t="s">
        <v>105</v>
      </c>
      <c r="E865" t="s">
        <v>106</v>
      </c>
      <c r="F865" t="s">
        <v>118</v>
      </c>
      <c r="G865" t="s">
        <v>4688</v>
      </c>
      <c r="H865" t="s">
        <v>4689</v>
      </c>
      <c r="I865" s="88">
        <v>46143.714687500003</v>
      </c>
      <c r="J865" t="s">
        <v>107</v>
      </c>
      <c r="K865" t="s">
        <v>108</v>
      </c>
      <c r="L865" t="s">
        <v>4690</v>
      </c>
      <c r="M865" s="88">
        <v>46146.418020833335</v>
      </c>
      <c r="N865" t="s">
        <v>637</v>
      </c>
      <c r="O865" t="s">
        <v>112</v>
      </c>
      <c r="P865" t="s">
        <v>111</v>
      </c>
      <c r="Q865" t="s">
        <v>2085</v>
      </c>
      <c r="R865">
        <v>3</v>
      </c>
      <c r="S865" s="89">
        <v>9500</v>
      </c>
      <c r="T865" s="89">
        <v>0</v>
      </c>
      <c r="U865" s="89">
        <v>6270</v>
      </c>
      <c r="V865" s="89">
        <v>6270</v>
      </c>
      <c r="W865" s="89">
        <v>22230</v>
      </c>
    </row>
    <row r="866" spans="1:23" ht="13">
      <c r="A866" t="s">
        <v>4691</v>
      </c>
      <c r="B866" t="s">
        <v>4692</v>
      </c>
      <c r="C866" s="88">
        <v>46149.546412037038</v>
      </c>
      <c r="D866" t="s">
        <v>105</v>
      </c>
      <c r="E866" t="s">
        <v>106</v>
      </c>
      <c r="F866" t="s">
        <v>4693</v>
      </c>
      <c r="G866" t="s">
        <v>4694</v>
      </c>
      <c r="H866" t="s">
        <v>4693</v>
      </c>
      <c r="I866" s="88">
        <v>46148.584131944444</v>
      </c>
      <c r="J866" t="s">
        <v>107</v>
      </c>
      <c r="K866" t="s">
        <v>108</v>
      </c>
      <c r="L866" t="s">
        <v>4695</v>
      </c>
      <c r="M866" s="88">
        <v>46149.608958333338</v>
      </c>
      <c r="N866" t="s">
        <v>637</v>
      </c>
      <c r="O866" t="s">
        <v>112</v>
      </c>
      <c r="P866" t="s">
        <v>111</v>
      </c>
      <c r="Q866" t="s">
        <v>1417</v>
      </c>
      <c r="R866">
        <v>2</v>
      </c>
      <c r="S866" s="89">
        <v>9500</v>
      </c>
      <c r="T866" s="89">
        <v>0</v>
      </c>
      <c r="U866" s="89">
        <v>4280</v>
      </c>
      <c r="V866" s="89">
        <v>4280</v>
      </c>
      <c r="W866" s="89">
        <v>14720</v>
      </c>
    </row>
    <row r="867" spans="1:23" ht="13">
      <c r="A867" t="s">
        <v>4696</v>
      </c>
      <c r="B867" t="s">
        <v>4697</v>
      </c>
      <c r="C867" s="88">
        <v>46149.532638888893</v>
      </c>
      <c r="D867" t="s">
        <v>105</v>
      </c>
      <c r="E867" t="s">
        <v>106</v>
      </c>
      <c r="F867" t="s">
        <v>4698</v>
      </c>
      <c r="G867" t="s">
        <v>3234</v>
      </c>
      <c r="H867" t="s">
        <v>4698</v>
      </c>
      <c r="I867" s="88">
        <v>46143.71475694445</v>
      </c>
      <c r="J867" t="s">
        <v>107</v>
      </c>
      <c r="K867" t="s">
        <v>108</v>
      </c>
      <c r="L867" t="s">
        <v>4699</v>
      </c>
      <c r="M867" s="88">
        <v>46146.629155092596</v>
      </c>
      <c r="N867" t="s">
        <v>637</v>
      </c>
      <c r="O867" t="s">
        <v>112</v>
      </c>
      <c r="P867" t="s">
        <v>111</v>
      </c>
      <c r="Q867" t="s">
        <v>1587</v>
      </c>
      <c r="R867">
        <v>2</v>
      </c>
      <c r="S867" s="89">
        <v>9500</v>
      </c>
      <c r="T867" s="89">
        <v>0</v>
      </c>
      <c r="U867" s="89">
        <v>4180</v>
      </c>
      <c r="V867" s="89">
        <v>4180</v>
      </c>
      <c r="W867" s="89">
        <v>14820</v>
      </c>
    </row>
    <row r="868" spans="1:23" ht="13">
      <c r="A868" t="s">
        <v>4700</v>
      </c>
      <c r="B868" t="s">
        <v>4701</v>
      </c>
      <c r="C868" s="88">
        <v>46149.502372685187</v>
      </c>
      <c r="D868" t="s">
        <v>105</v>
      </c>
      <c r="E868" t="s">
        <v>106</v>
      </c>
      <c r="F868" t="s">
        <v>4702</v>
      </c>
      <c r="G868" t="s">
        <v>4703</v>
      </c>
      <c r="H868" t="s">
        <v>4702</v>
      </c>
      <c r="I868" s="88">
        <v>46143.714733796296</v>
      </c>
      <c r="J868" t="s">
        <v>107</v>
      </c>
      <c r="K868" t="s">
        <v>108</v>
      </c>
      <c r="L868" t="s">
        <v>4704</v>
      </c>
      <c r="M868" s="88">
        <v>46146.603854166664</v>
      </c>
      <c r="N868" t="s">
        <v>637</v>
      </c>
      <c r="O868" t="s">
        <v>112</v>
      </c>
      <c r="P868" t="s">
        <v>111</v>
      </c>
      <c r="Q868" t="s">
        <v>1587</v>
      </c>
      <c r="R868">
        <v>2</v>
      </c>
      <c r="S868" s="89">
        <v>9500</v>
      </c>
      <c r="T868" s="89">
        <v>0</v>
      </c>
      <c r="U868" s="89">
        <v>4280</v>
      </c>
      <c r="V868" s="89">
        <v>4280</v>
      </c>
      <c r="W868" s="89">
        <v>14720</v>
      </c>
    </row>
    <row r="869" spans="1:23" ht="13">
      <c r="A869" t="s">
        <v>4705</v>
      </c>
      <c r="B869" t="s">
        <v>4706</v>
      </c>
      <c r="C869" s="88">
        <v>46149.438807870371</v>
      </c>
      <c r="D869" t="s">
        <v>105</v>
      </c>
      <c r="E869" t="s">
        <v>106</v>
      </c>
      <c r="F869" t="s">
        <v>4707</v>
      </c>
      <c r="G869" t="s">
        <v>4708</v>
      </c>
      <c r="H869" t="s">
        <v>4709</v>
      </c>
      <c r="I869" s="88">
        <v>46143.714687500003</v>
      </c>
      <c r="J869" t="s">
        <v>107</v>
      </c>
      <c r="K869" t="s">
        <v>108</v>
      </c>
      <c r="L869" t="s">
        <v>4710</v>
      </c>
      <c r="M869" s="88">
        <v>46146.442384259259</v>
      </c>
      <c r="N869" t="s">
        <v>637</v>
      </c>
      <c r="O869" t="s">
        <v>112</v>
      </c>
      <c r="P869" t="s">
        <v>111</v>
      </c>
      <c r="Q869" t="s">
        <v>1587</v>
      </c>
      <c r="R869">
        <v>2</v>
      </c>
      <c r="S869" s="89">
        <v>9500</v>
      </c>
      <c r="T869" s="89">
        <v>0</v>
      </c>
      <c r="U869" s="89">
        <v>4280</v>
      </c>
      <c r="V869" s="89">
        <v>4280</v>
      </c>
      <c r="W869" s="89">
        <v>14720</v>
      </c>
    </row>
    <row r="870" spans="1:23" ht="13">
      <c r="A870" t="s">
        <v>4711</v>
      </c>
      <c r="B870" t="s">
        <v>4712</v>
      </c>
      <c r="C870" s="88">
        <v>46149.436539351853</v>
      </c>
      <c r="D870" t="s">
        <v>105</v>
      </c>
      <c r="E870" t="s">
        <v>106</v>
      </c>
      <c r="F870" t="s">
        <v>4713</v>
      </c>
      <c r="G870" t="s">
        <v>4714</v>
      </c>
      <c r="H870" t="s">
        <v>4713</v>
      </c>
      <c r="I870" s="88">
        <v>46143.714722222227</v>
      </c>
      <c r="J870" t="s">
        <v>107</v>
      </c>
      <c r="K870" t="s">
        <v>108</v>
      </c>
      <c r="L870" t="s">
        <v>4715</v>
      </c>
      <c r="M870" s="88">
        <v>46146.443067129629</v>
      </c>
      <c r="N870" t="s">
        <v>637</v>
      </c>
      <c r="O870" t="s">
        <v>112</v>
      </c>
      <c r="P870" t="s">
        <v>111</v>
      </c>
      <c r="Q870" t="s">
        <v>1587</v>
      </c>
      <c r="R870">
        <v>3</v>
      </c>
      <c r="S870" s="89">
        <v>9500</v>
      </c>
      <c r="T870" s="89">
        <v>0</v>
      </c>
      <c r="U870" s="89">
        <v>6370</v>
      </c>
      <c r="V870" s="89">
        <v>6370</v>
      </c>
      <c r="W870" s="89">
        <v>22130</v>
      </c>
    </row>
    <row r="871" spans="1:23" ht="13">
      <c r="A871" t="s">
        <v>4716</v>
      </c>
      <c r="B871" t="s">
        <v>4717</v>
      </c>
      <c r="C871" s="88">
        <v>46149.413298611107</v>
      </c>
      <c r="D871" t="s">
        <v>105</v>
      </c>
      <c r="E871" t="s">
        <v>106</v>
      </c>
      <c r="F871" t="s">
        <v>4718</v>
      </c>
      <c r="G871" t="s">
        <v>4719</v>
      </c>
      <c r="H871" t="s">
        <v>4718</v>
      </c>
      <c r="I871" s="88">
        <v>46141.751863425925</v>
      </c>
      <c r="J871" t="s">
        <v>107</v>
      </c>
      <c r="K871" t="s">
        <v>108</v>
      </c>
      <c r="L871" t="s">
        <v>4720</v>
      </c>
      <c r="M871" s="88">
        <v>46146.630555555559</v>
      </c>
      <c r="N871" t="s">
        <v>637</v>
      </c>
      <c r="O871" t="s">
        <v>112</v>
      </c>
      <c r="P871" t="s">
        <v>111</v>
      </c>
      <c r="Q871" t="s">
        <v>2085</v>
      </c>
      <c r="R871">
        <v>6</v>
      </c>
      <c r="S871" s="89">
        <v>9500</v>
      </c>
      <c r="T871" s="89">
        <v>0</v>
      </c>
      <c r="U871" s="89">
        <v>20080</v>
      </c>
      <c r="V871" s="89">
        <v>20080</v>
      </c>
      <c r="W871" s="89">
        <v>36920</v>
      </c>
    </row>
    <row r="872" spans="1:23" ht="13">
      <c r="A872" t="s">
        <v>4721</v>
      </c>
      <c r="B872" t="s">
        <v>4722</v>
      </c>
      <c r="C872" s="88">
        <v>46149.412581018521</v>
      </c>
      <c r="D872" t="s">
        <v>105</v>
      </c>
      <c r="E872" t="s">
        <v>106</v>
      </c>
      <c r="F872" t="s">
        <v>4723</v>
      </c>
      <c r="G872" t="s">
        <v>4421</v>
      </c>
      <c r="H872" t="s">
        <v>4723</v>
      </c>
      <c r="I872" s="88">
        <v>46143.714687500003</v>
      </c>
      <c r="J872" t="s">
        <v>107</v>
      </c>
      <c r="K872" t="s">
        <v>108</v>
      </c>
      <c r="L872" t="s">
        <v>4724</v>
      </c>
      <c r="M872" s="88">
        <v>46146.460636574076</v>
      </c>
      <c r="N872" t="s">
        <v>637</v>
      </c>
      <c r="O872" t="s">
        <v>112</v>
      </c>
      <c r="P872" t="s">
        <v>111</v>
      </c>
      <c r="Q872" t="s">
        <v>1587</v>
      </c>
      <c r="R872">
        <v>6</v>
      </c>
      <c r="S872" s="89">
        <v>9500</v>
      </c>
      <c r="T872" s="89">
        <v>0</v>
      </c>
      <c r="U872" s="89">
        <v>19980</v>
      </c>
      <c r="V872" s="89">
        <v>19980</v>
      </c>
      <c r="W872" s="89">
        <v>37020</v>
      </c>
    </row>
    <row r="873" spans="1:23" ht="13">
      <c r="A873" t="s">
        <v>4725</v>
      </c>
      <c r="B873" t="s">
        <v>4726</v>
      </c>
      <c r="C873" s="88">
        <v>46149.40825231481</v>
      </c>
      <c r="D873" t="s">
        <v>105</v>
      </c>
      <c r="E873" t="s">
        <v>106</v>
      </c>
      <c r="F873" t="s">
        <v>4727</v>
      </c>
      <c r="G873" t="s">
        <v>4728</v>
      </c>
      <c r="H873" t="s">
        <v>4727</v>
      </c>
      <c r="I873" s="88">
        <v>46143.714699074073</v>
      </c>
      <c r="J873" t="s">
        <v>107</v>
      </c>
      <c r="K873" t="s">
        <v>108</v>
      </c>
      <c r="L873" t="s">
        <v>4729</v>
      </c>
      <c r="M873" s="88">
        <v>46146.426354166666</v>
      </c>
      <c r="N873" t="s">
        <v>637</v>
      </c>
      <c r="O873" t="s">
        <v>112</v>
      </c>
      <c r="P873" t="s">
        <v>111</v>
      </c>
      <c r="Q873" t="s">
        <v>1587</v>
      </c>
      <c r="R873">
        <v>2</v>
      </c>
      <c r="S873" s="89">
        <v>9500</v>
      </c>
      <c r="T873" s="89">
        <v>0</v>
      </c>
      <c r="U873" s="89">
        <v>4280</v>
      </c>
      <c r="V873" s="89">
        <v>4280</v>
      </c>
      <c r="W873" s="89">
        <v>14720</v>
      </c>
    </row>
    <row r="874" spans="1:23" ht="13">
      <c r="A874" t="s">
        <v>4730</v>
      </c>
      <c r="B874" t="s">
        <v>4731</v>
      </c>
      <c r="C874" s="88">
        <v>46149.404999999999</v>
      </c>
      <c r="D874" t="s">
        <v>105</v>
      </c>
      <c r="E874" t="s">
        <v>106</v>
      </c>
      <c r="F874" t="s">
        <v>4732</v>
      </c>
      <c r="G874" t="s">
        <v>4733</v>
      </c>
      <c r="H874" t="s">
        <v>4732</v>
      </c>
      <c r="I874" s="88">
        <v>46143.71471064815</v>
      </c>
      <c r="J874" t="s">
        <v>107</v>
      </c>
      <c r="K874" t="s">
        <v>108</v>
      </c>
      <c r="L874" t="s">
        <v>4734</v>
      </c>
      <c r="M874" s="88">
        <v>46146.509004629625</v>
      </c>
      <c r="N874" t="s">
        <v>637</v>
      </c>
      <c r="O874" t="s">
        <v>112</v>
      </c>
      <c r="P874" t="s">
        <v>111</v>
      </c>
      <c r="Q874" t="s">
        <v>1587</v>
      </c>
      <c r="R874">
        <v>3</v>
      </c>
      <c r="S874" s="89">
        <v>9500</v>
      </c>
      <c r="T874" s="89">
        <v>0</v>
      </c>
      <c r="U874" s="89">
        <v>6270</v>
      </c>
      <c r="V874" s="89">
        <v>6270</v>
      </c>
      <c r="W874" s="89">
        <v>22230</v>
      </c>
    </row>
    <row r="875" spans="1:23" ht="13">
      <c r="A875" t="s">
        <v>4735</v>
      </c>
      <c r="B875" t="s">
        <v>4736</v>
      </c>
      <c r="C875" s="88">
        <v>46149.403935185182</v>
      </c>
      <c r="D875" t="s">
        <v>105</v>
      </c>
      <c r="E875" t="s">
        <v>106</v>
      </c>
      <c r="F875" t="s">
        <v>3046</v>
      </c>
      <c r="G875" t="s">
        <v>4737</v>
      </c>
      <c r="H875" t="s">
        <v>3046</v>
      </c>
      <c r="I875" s="88">
        <v>46143.714768518519</v>
      </c>
      <c r="J875" t="s">
        <v>107</v>
      </c>
      <c r="K875" t="s">
        <v>108</v>
      </c>
      <c r="L875" t="s">
        <v>4738</v>
      </c>
      <c r="M875" s="88">
        <v>46146.365046296298</v>
      </c>
      <c r="N875" t="s">
        <v>637</v>
      </c>
      <c r="O875" t="s">
        <v>112</v>
      </c>
      <c r="P875" t="s">
        <v>111</v>
      </c>
      <c r="Q875" t="s">
        <v>1587</v>
      </c>
      <c r="R875">
        <v>1</v>
      </c>
      <c r="S875" s="89">
        <v>9500</v>
      </c>
      <c r="T875" s="89">
        <v>0</v>
      </c>
      <c r="U875" s="89">
        <v>2190</v>
      </c>
      <c r="V875" s="89">
        <v>2190</v>
      </c>
      <c r="W875" s="89">
        <v>7310</v>
      </c>
    </row>
    <row r="876" spans="1:23" ht="13">
      <c r="A876" t="s">
        <v>4739</v>
      </c>
      <c r="B876" t="s">
        <v>4740</v>
      </c>
      <c r="C876" s="88">
        <v>46149.399212962962</v>
      </c>
      <c r="D876" t="s">
        <v>105</v>
      </c>
      <c r="E876" t="s">
        <v>106</v>
      </c>
      <c r="F876" t="s">
        <v>4741</v>
      </c>
      <c r="G876" t="s">
        <v>4742</v>
      </c>
      <c r="H876" t="s">
        <v>4741</v>
      </c>
      <c r="I876" s="88">
        <v>46141.751851851848</v>
      </c>
      <c r="J876" t="s">
        <v>107</v>
      </c>
      <c r="K876" t="s">
        <v>108</v>
      </c>
      <c r="L876" t="s">
        <v>4743</v>
      </c>
      <c r="M876" s="88">
        <v>46143.54586805556</v>
      </c>
      <c r="N876" t="s">
        <v>637</v>
      </c>
      <c r="O876" t="s">
        <v>112</v>
      </c>
      <c r="P876" t="s">
        <v>111</v>
      </c>
      <c r="Q876" t="s">
        <v>2085</v>
      </c>
      <c r="R876">
        <v>3</v>
      </c>
      <c r="S876" s="89">
        <v>9500</v>
      </c>
      <c r="T876" s="89">
        <v>0</v>
      </c>
      <c r="U876" s="89">
        <v>6270</v>
      </c>
      <c r="V876" s="89">
        <v>6270</v>
      </c>
      <c r="W876" s="89">
        <v>22230</v>
      </c>
    </row>
    <row r="877" spans="1:23" ht="13">
      <c r="A877" t="s">
        <v>4744</v>
      </c>
      <c r="B877" t="s">
        <v>4745</v>
      </c>
      <c r="C877" s="88">
        <v>46149.397789351853</v>
      </c>
      <c r="D877" t="s">
        <v>105</v>
      </c>
      <c r="E877" t="s">
        <v>106</v>
      </c>
      <c r="F877" t="s">
        <v>4746</v>
      </c>
      <c r="G877" t="s">
        <v>4747</v>
      </c>
      <c r="H877" t="s">
        <v>4746</v>
      </c>
      <c r="I877" s="88">
        <v>46141.751909722225</v>
      </c>
      <c r="J877" t="s">
        <v>107</v>
      </c>
      <c r="K877" t="s">
        <v>108</v>
      </c>
      <c r="L877" t="s">
        <v>4748</v>
      </c>
      <c r="M877" s="88">
        <v>46143.476597222223</v>
      </c>
      <c r="N877" t="s">
        <v>637</v>
      </c>
      <c r="O877" t="s">
        <v>112</v>
      </c>
      <c r="P877" t="s">
        <v>111</v>
      </c>
      <c r="Q877" t="s">
        <v>2085</v>
      </c>
      <c r="R877">
        <v>8</v>
      </c>
      <c r="S877" s="89">
        <v>9500</v>
      </c>
      <c r="T877" s="89">
        <v>0</v>
      </c>
      <c r="U877" s="89">
        <v>26740</v>
      </c>
      <c r="V877" s="89">
        <v>26740</v>
      </c>
      <c r="W877" s="89">
        <v>49260</v>
      </c>
    </row>
    <row r="878" spans="1:23" ht="13">
      <c r="A878" t="s">
        <v>4749</v>
      </c>
      <c r="B878" t="s">
        <v>4750</v>
      </c>
      <c r="C878" s="88">
        <v>46149.385717592595</v>
      </c>
      <c r="D878" t="s">
        <v>105</v>
      </c>
      <c r="E878" t="s">
        <v>106</v>
      </c>
      <c r="F878" t="s">
        <v>4751</v>
      </c>
      <c r="G878" t="s">
        <v>4752</v>
      </c>
      <c r="H878" t="s">
        <v>4751</v>
      </c>
      <c r="I878" s="88">
        <v>46143.71471064815</v>
      </c>
      <c r="J878" t="s">
        <v>107</v>
      </c>
      <c r="K878" t="s">
        <v>108</v>
      </c>
      <c r="L878" t="s">
        <v>4753</v>
      </c>
      <c r="M878" s="88">
        <v>46146.442384259259</v>
      </c>
      <c r="N878" t="s">
        <v>637</v>
      </c>
      <c r="O878" t="s">
        <v>112</v>
      </c>
      <c r="P878" t="s">
        <v>111</v>
      </c>
      <c r="Q878" t="s">
        <v>1587</v>
      </c>
      <c r="R878">
        <v>6</v>
      </c>
      <c r="S878" s="89">
        <v>9500</v>
      </c>
      <c r="T878" s="89">
        <v>0</v>
      </c>
      <c r="U878" s="89">
        <v>20080</v>
      </c>
      <c r="V878" s="89">
        <v>20080</v>
      </c>
      <c r="W878" s="89">
        <v>36920</v>
      </c>
    </row>
    <row r="879" spans="1:23" ht="13">
      <c r="A879" t="s">
        <v>4754</v>
      </c>
      <c r="B879" t="s">
        <v>4755</v>
      </c>
      <c r="C879" s="88">
        <v>46149.385416666672</v>
      </c>
      <c r="D879" t="s">
        <v>105</v>
      </c>
      <c r="E879" t="s">
        <v>106</v>
      </c>
      <c r="F879" t="s">
        <v>2312</v>
      </c>
      <c r="G879" t="s">
        <v>4756</v>
      </c>
      <c r="H879" t="s">
        <v>2312</v>
      </c>
      <c r="I879" s="88">
        <v>46143.714699074073</v>
      </c>
      <c r="J879" t="s">
        <v>107</v>
      </c>
      <c r="K879" t="s">
        <v>108</v>
      </c>
      <c r="L879" t="s">
        <v>4757</v>
      </c>
      <c r="M879" s="88">
        <v>46146.443043981482</v>
      </c>
      <c r="N879" t="s">
        <v>637</v>
      </c>
      <c r="O879" t="s">
        <v>112</v>
      </c>
      <c r="P879" t="s">
        <v>111</v>
      </c>
      <c r="Q879" t="s">
        <v>1587</v>
      </c>
      <c r="R879">
        <v>6</v>
      </c>
      <c r="S879" s="89">
        <v>9500</v>
      </c>
      <c r="T879" s="89">
        <v>0</v>
      </c>
      <c r="U879" s="89">
        <v>20080</v>
      </c>
      <c r="V879" s="89">
        <v>20080</v>
      </c>
      <c r="W879" s="89">
        <v>36920</v>
      </c>
    </row>
    <row r="880" spans="1:23" ht="13">
      <c r="A880" t="s">
        <v>4758</v>
      </c>
      <c r="B880" t="s">
        <v>4759</v>
      </c>
      <c r="C880" s="88">
        <v>46149.381840277776</v>
      </c>
      <c r="D880" t="s">
        <v>105</v>
      </c>
      <c r="E880" t="s">
        <v>106</v>
      </c>
      <c r="F880" t="s">
        <v>137</v>
      </c>
      <c r="G880" t="s">
        <v>138</v>
      </c>
      <c r="H880" t="s">
        <v>137</v>
      </c>
      <c r="I880" s="88">
        <v>46143.714699074073</v>
      </c>
      <c r="J880" t="s">
        <v>107</v>
      </c>
      <c r="K880" t="s">
        <v>108</v>
      </c>
      <c r="L880" t="s">
        <v>4760</v>
      </c>
      <c r="M880" s="88">
        <v>46146.509004629625</v>
      </c>
      <c r="N880" t="s">
        <v>637</v>
      </c>
      <c r="O880" t="s">
        <v>112</v>
      </c>
      <c r="P880" t="s">
        <v>111</v>
      </c>
      <c r="Q880" t="s">
        <v>1587</v>
      </c>
      <c r="R880">
        <v>2</v>
      </c>
      <c r="S880" s="89">
        <v>9500</v>
      </c>
      <c r="T880" s="89">
        <v>0</v>
      </c>
      <c r="U880" s="89">
        <v>4180</v>
      </c>
      <c r="V880" s="89">
        <v>4180</v>
      </c>
      <c r="W880" s="89">
        <v>14820</v>
      </c>
    </row>
    <row r="881" spans="1:23" ht="13">
      <c r="A881" t="s">
        <v>4761</v>
      </c>
      <c r="B881" t="s">
        <v>4762</v>
      </c>
      <c r="C881" s="88">
        <v>46149.381597222222</v>
      </c>
      <c r="D881" t="s">
        <v>105</v>
      </c>
      <c r="E881" t="s">
        <v>106</v>
      </c>
      <c r="F881" t="s">
        <v>4763</v>
      </c>
      <c r="G881" t="s">
        <v>4764</v>
      </c>
      <c r="H881" t="s">
        <v>4763</v>
      </c>
      <c r="I881" s="88">
        <v>46143.714699074073</v>
      </c>
      <c r="J881" t="s">
        <v>107</v>
      </c>
      <c r="K881" t="s">
        <v>108</v>
      </c>
      <c r="L881" t="s">
        <v>4765</v>
      </c>
      <c r="M881" s="88">
        <v>46146.629861111112</v>
      </c>
      <c r="N881" t="s">
        <v>637</v>
      </c>
      <c r="O881" t="s">
        <v>112</v>
      </c>
      <c r="P881" t="s">
        <v>111</v>
      </c>
      <c r="Q881" t="s">
        <v>1587</v>
      </c>
      <c r="R881">
        <v>2</v>
      </c>
      <c r="S881" s="89">
        <v>9500</v>
      </c>
      <c r="T881" s="89">
        <v>0</v>
      </c>
      <c r="U881" s="89">
        <v>4280</v>
      </c>
      <c r="V881" s="89">
        <v>4280</v>
      </c>
      <c r="W881" s="89">
        <v>14720</v>
      </c>
    </row>
    <row r="882" spans="1:23" ht="13">
      <c r="A882" t="s">
        <v>4766</v>
      </c>
      <c r="B882" t="s">
        <v>4767</v>
      </c>
      <c r="C882" s="88">
        <v>46149.381423611107</v>
      </c>
      <c r="D882" t="s">
        <v>105</v>
      </c>
      <c r="E882" t="s">
        <v>106</v>
      </c>
      <c r="F882" t="s">
        <v>4768</v>
      </c>
      <c r="G882" t="s">
        <v>4769</v>
      </c>
      <c r="H882" t="s">
        <v>4768</v>
      </c>
      <c r="I882" s="88">
        <v>46143.714745370366</v>
      </c>
      <c r="J882" t="s">
        <v>107</v>
      </c>
      <c r="K882" t="s">
        <v>108</v>
      </c>
      <c r="L882" t="s">
        <v>4770</v>
      </c>
      <c r="M882" s="88">
        <v>46146.443101851852</v>
      </c>
      <c r="N882" t="s">
        <v>637</v>
      </c>
      <c r="O882" t="s">
        <v>112</v>
      </c>
      <c r="P882" t="s">
        <v>111</v>
      </c>
      <c r="Q882" t="s">
        <v>1587</v>
      </c>
      <c r="R882">
        <v>2</v>
      </c>
      <c r="S882" s="89">
        <v>9500</v>
      </c>
      <c r="T882" s="89">
        <v>0</v>
      </c>
      <c r="U882" s="89">
        <v>4280</v>
      </c>
      <c r="V882" s="89">
        <v>4280</v>
      </c>
      <c r="W882" s="89">
        <v>14720</v>
      </c>
    </row>
    <row r="883" spans="1:23" ht="13">
      <c r="A883" t="s">
        <v>4771</v>
      </c>
      <c r="B883" t="s">
        <v>4772</v>
      </c>
      <c r="C883" s="88">
        <v>46149.381284722222</v>
      </c>
      <c r="D883" t="s">
        <v>105</v>
      </c>
      <c r="E883" t="s">
        <v>106</v>
      </c>
      <c r="F883" t="s">
        <v>4773</v>
      </c>
      <c r="G883" t="s">
        <v>4774</v>
      </c>
      <c r="H883" t="s">
        <v>4773</v>
      </c>
      <c r="I883" s="88">
        <v>46143.714699074073</v>
      </c>
      <c r="J883" t="s">
        <v>107</v>
      </c>
      <c r="K883" t="s">
        <v>108</v>
      </c>
      <c r="L883" t="s">
        <v>4775</v>
      </c>
      <c r="M883" s="88">
        <v>46146.509016203709</v>
      </c>
      <c r="N883" t="s">
        <v>637</v>
      </c>
      <c r="O883" t="s">
        <v>112</v>
      </c>
      <c r="P883" t="s">
        <v>111</v>
      </c>
      <c r="Q883" t="s">
        <v>1587</v>
      </c>
      <c r="R883">
        <v>2</v>
      </c>
      <c r="S883" s="89">
        <v>9500</v>
      </c>
      <c r="T883" s="89">
        <v>0</v>
      </c>
      <c r="U883" s="89">
        <v>4180</v>
      </c>
      <c r="V883" s="89">
        <v>4180</v>
      </c>
      <c r="W883" s="89">
        <v>14820</v>
      </c>
    </row>
    <row r="884" spans="1:23" ht="13">
      <c r="A884" t="s">
        <v>4776</v>
      </c>
      <c r="B884" t="s">
        <v>4777</v>
      </c>
      <c r="C884" s="88">
        <v>46149.380902777775</v>
      </c>
      <c r="D884" t="s">
        <v>105</v>
      </c>
      <c r="E884" t="s">
        <v>106</v>
      </c>
      <c r="F884" t="s">
        <v>4778</v>
      </c>
      <c r="G884" t="s">
        <v>4779</v>
      </c>
      <c r="H884" t="s">
        <v>4778</v>
      </c>
      <c r="I884" s="88">
        <v>46143.714687500003</v>
      </c>
      <c r="J884" t="s">
        <v>107</v>
      </c>
      <c r="K884" t="s">
        <v>108</v>
      </c>
      <c r="L884" t="s">
        <v>4780</v>
      </c>
      <c r="M884" s="88">
        <v>46146.507638888885</v>
      </c>
      <c r="N884" t="s">
        <v>637</v>
      </c>
      <c r="O884" t="s">
        <v>112</v>
      </c>
      <c r="P884" t="s">
        <v>111</v>
      </c>
      <c r="Q884" t="s">
        <v>2085</v>
      </c>
      <c r="R884">
        <v>5</v>
      </c>
      <c r="S884" s="89">
        <v>9500</v>
      </c>
      <c r="T884" s="89">
        <v>0</v>
      </c>
      <c r="U884" s="89">
        <v>10450</v>
      </c>
      <c r="V884" s="89">
        <v>10450</v>
      </c>
      <c r="W884" s="89">
        <v>37050</v>
      </c>
    </row>
    <row r="885" spans="1:23" ht="13">
      <c r="A885" t="s">
        <v>4781</v>
      </c>
      <c r="B885" t="s">
        <v>4782</v>
      </c>
      <c r="C885" s="88">
        <v>46149.379675925928</v>
      </c>
      <c r="D885" t="s">
        <v>105</v>
      </c>
      <c r="E885" t="s">
        <v>106</v>
      </c>
      <c r="F885" t="s">
        <v>4783</v>
      </c>
      <c r="G885" t="s">
        <v>4784</v>
      </c>
      <c r="H885" t="s">
        <v>4783</v>
      </c>
      <c r="I885" s="88">
        <v>46143.714733796296</v>
      </c>
      <c r="J885" t="s">
        <v>107</v>
      </c>
      <c r="K885" t="s">
        <v>108</v>
      </c>
      <c r="L885" t="s">
        <v>4785</v>
      </c>
      <c r="M885" s="88">
        <v>46146.507662037038</v>
      </c>
      <c r="N885" t="s">
        <v>637</v>
      </c>
      <c r="O885" t="s">
        <v>112</v>
      </c>
      <c r="P885" t="s">
        <v>111</v>
      </c>
      <c r="Q885" t="s">
        <v>1587</v>
      </c>
      <c r="R885">
        <v>6</v>
      </c>
      <c r="S885" s="89">
        <v>9500</v>
      </c>
      <c r="T885" s="89">
        <v>0</v>
      </c>
      <c r="U885" s="89">
        <v>20080</v>
      </c>
      <c r="V885" s="89">
        <v>20080</v>
      </c>
      <c r="W885" s="89">
        <v>36920</v>
      </c>
    </row>
    <row r="886" spans="1:23" ht="13">
      <c r="A886" t="s">
        <v>4786</v>
      </c>
      <c r="B886" t="s">
        <v>4787</v>
      </c>
      <c r="C886" s="88">
        <v>46149.378981481481</v>
      </c>
      <c r="D886" t="s">
        <v>105</v>
      </c>
      <c r="E886" t="s">
        <v>106</v>
      </c>
      <c r="F886" t="s">
        <v>4788</v>
      </c>
      <c r="G886" t="s">
        <v>4789</v>
      </c>
      <c r="H886" t="s">
        <v>4788</v>
      </c>
      <c r="I886" s="88">
        <v>46143.714722222227</v>
      </c>
      <c r="J886" t="s">
        <v>107</v>
      </c>
      <c r="K886" t="s">
        <v>108</v>
      </c>
      <c r="L886" t="s">
        <v>4790</v>
      </c>
      <c r="M886" s="88">
        <v>46146.509004629625</v>
      </c>
      <c r="N886" t="s">
        <v>637</v>
      </c>
      <c r="O886" t="s">
        <v>112</v>
      </c>
      <c r="P886" t="s">
        <v>111</v>
      </c>
      <c r="Q886" t="s">
        <v>1587</v>
      </c>
      <c r="R886">
        <v>6</v>
      </c>
      <c r="S886" s="89">
        <v>9500</v>
      </c>
      <c r="T886" s="89">
        <v>0</v>
      </c>
      <c r="U886" s="89">
        <v>20080</v>
      </c>
      <c r="V886" s="89">
        <v>20080</v>
      </c>
      <c r="W886" s="89">
        <v>36920</v>
      </c>
    </row>
    <row r="887" spans="1:23" ht="13">
      <c r="A887" t="s">
        <v>4791</v>
      </c>
      <c r="B887" t="s">
        <v>4792</v>
      </c>
      <c r="C887" s="88">
        <v>46149.378506944442</v>
      </c>
      <c r="D887" t="s">
        <v>105</v>
      </c>
      <c r="E887" t="s">
        <v>106</v>
      </c>
      <c r="F887" t="s">
        <v>4793</v>
      </c>
      <c r="G887" t="s">
        <v>4794</v>
      </c>
      <c r="H887" t="s">
        <v>4793</v>
      </c>
      <c r="I887" s="88">
        <v>46143.714687500003</v>
      </c>
      <c r="J887" t="s">
        <v>107</v>
      </c>
      <c r="K887" t="s">
        <v>108</v>
      </c>
      <c r="L887" t="s">
        <v>4795</v>
      </c>
      <c r="M887" s="88">
        <v>46146.507650462961</v>
      </c>
      <c r="N887" t="s">
        <v>637</v>
      </c>
      <c r="O887" t="s">
        <v>112</v>
      </c>
      <c r="P887" t="s">
        <v>111</v>
      </c>
      <c r="Q887" t="s">
        <v>2085</v>
      </c>
      <c r="R887">
        <v>2</v>
      </c>
      <c r="S887" s="89">
        <v>9500</v>
      </c>
      <c r="T887" s="89">
        <v>0</v>
      </c>
      <c r="U887" s="89">
        <v>4280</v>
      </c>
      <c r="V887" s="89">
        <v>4280</v>
      </c>
      <c r="W887" s="89">
        <v>14720</v>
      </c>
    </row>
    <row r="888" spans="1:23" ht="13">
      <c r="A888" t="s">
        <v>4796</v>
      </c>
      <c r="B888" t="s">
        <v>4797</v>
      </c>
      <c r="C888" s="88">
        <v>46149.377233796295</v>
      </c>
      <c r="D888" t="s">
        <v>105</v>
      </c>
      <c r="E888" t="s">
        <v>106</v>
      </c>
      <c r="F888" t="s">
        <v>2821</v>
      </c>
      <c r="G888" t="s">
        <v>4798</v>
      </c>
      <c r="H888" t="s">
        <v>2821</v>
      </c>
      <c r="I888" s="88">
        <v>46143.714699074073</v>
      </c>
      <c r="J888" t="s">
        <v>107</v>
      </c>
      <c r="K888" t="s">
        <v>108</v>
      </c>
      <c r="L888" t="s">
        <v>4799</v>
      </c>
      <c r="M888" s="88">
        <v>46146.711782407408</v>
      </c>
      <c r="N888" t="s">
        <v>637</v>
      </c>
      <c r="O888" t="s">
        <v>112</v>
      </c>
      <c r="P888" t="s">
        <v>111</v>
      </c>
      <c r="Q888" t="s">
        <v>2085</v>
      </c>
      <c r="R888">
        <v>6</v>
      </c>
      <c r="S888" s="89">
        <v>9500</v>
      </c>
      <c r="T888" s="89">
        <v>0</v>
      </c>
      <c r="U888" s="89">
        <v>20080</v>
      </c>
      <c r="V888" s="89">
        <v>20080</v>
      </c>
      <c r="W888" s="89">
        <v>36920</v>
      </c>
    </row>
    <row r="889" spans="1:23" ht="13">
      <c r="A889" t="s">
        <v>4800</v>
      </c>
      <c r="B889" t="s">
        <v>4801</v>
      </c>
      <c r="C889" s="88">
        <v>46149.376944444448</v>
      </c>
      <c r="D889" t="s">
        <v>105</v>
      </c>
      <c r="E889" t="s">
        <v>106</v>
      </c>
      <c r="F889" t="s">
        <v>4802</v>
      </c>
      <c r="G889" t="s">
        <v>4803</v>
      </c>
      <c r="H889" t="s">
        <v>4802</v>
      </c>
      <c r="I889" s="88">
        <v>46143.71471064815</v>
      </c>
      <c r="J889" t="s">
        <v>107</v>
      </c>
      <c r="K889" t="s">
        <v>108</v>
      </c>
      <c r="L889" t="s">
        <v>4804</v>
      </c>
      <c r="M889" s="88">
        <v>46146.555497685185</v>
      </c>
      <c r="N889" t="s">
        <v>637</v>
      </c>
      <c r="O889" t="s">
        <v>112</v>
      </c>
      <c r="P889" t="s">
        <v>111</v>
      </c>
      <c r="Q889" t="s">
        <v>1587</v>
      </c>
      <c r="R889">
        <v>2</v>
      </c>
      <c r="S889" s="89">
        <v>9500</v>
      </c>
      <c r="T889" s="89">
        <v>0</v>
      </c>
      <c r="U889" s="89">
        <v>4280</v>
      </c>
      <c r="V889" s="89">
        <v>4280</v>
      </c>
      <c r="W889" s="89">
        <v>14720</v>
      </c>
    </row>
    <row r="890" spans="1:23" ht="13">
      <c r="A890" t="s">
        <v>4805</v>
      </c>
      <c r="B890" t="s">
        <v>4806</v>
      </c>
      <c r="C890" s="88">
        <v>46149.185081018513</v>
      </c>
      <c r="D890" t="s">
        <v>105</v>
      </c>
      <c r="E890" t="s">
        <v>106</v>
      </c>
      <c r="F890" t="s">
        <v>4807</v>
      </c>
      <c r="G890" t="s">
        <v>4808</v>
      </c>
      <c r="H890" t="s">
        <v>4807</v>
      </c>
      <c r="I890" s="88">
        <v>46141.751851851848</v>
      </c>
      <c r="J890" t="s">
        <v>107</v>
      </c>
      <c r="K890" t="s">
        <v>108</v>
      </c>
      <c r="L890" t="s">
        <v>4809</v>
      </c>
      <c r="M890" s="88">
        <v>46143.670844907407</v>
      </c>
      <c r="N890" t="s">
        <v>637</v>
      </c>
      <c r="O890" t="s">
        <v>112</v>
      </c>
      <c r="P890" t="s">
        <v>111</v>
      </c>
      <c r="Q890" t="s">
        <v>2085</v>
      </c>
      <c r="R890">
        <v>3</v>
      </c>
      <c r="S890" s="89">
        <v>9500</v>
      </c>
      <c r="T890" s="89">
        <v>0</v>
      </c>
      <c r="U890" s="89">
        <v>6270</v>
      </c>
      <c r="V890" s="89">
        <v>6270</v>
      </c>
      <c r="W890" s="89">
        <v>22230</v>
      </c>
    </row>
    <row r="891" spans="1:23" ht="13">
      <c r="A891" t="s">
        <v>4810</v>
      </c>
      <c r="B891" t="s">
        <v>4811</v>
      </c>
      <c r="C891" s="88">
        <v>46149.129699074074</v>
      </c>
      <c r="D891" t="s">
        <v>105</v>
      </c>
      <c r="E891" t="s">
        <v>106</v>
      </c>
      <c r="F891" t="s">
        <v>766</v>
      </c>
      <c r="G891" t="s">
        <v>767</v>
      </c>
      <c r="H891" t="s">
        <v>766</v>
      </c>
      <c r="I891" s="88">
        <v>46140.633946759262</v>
      </c>
      <c r="J891" t="s">
        <v>107</v>
      </c>
      <c r="K891" t="s">
        <v>108</v>
      </c>
      <c r="L891" t="s">
        <v>4812</v>
      </c>
      <c r="M891" s="88">
        <v>46141.552812499998</v>
      </c>
      <c r="N891" t="s">
        <v>637</v>
      </c>
      <c r="O891" t="s">
        <v>112</v>
      </c>
      <c r="P891" t="s">
        <v>111</v>
      </c>
      <c r="Q891" t="s">
        <v>2085</v>
      </c>
      <c r="R891">
        <v>10</v>
      </c>
      <c r="S891" s="89">
        <v>9500</v>
      </c>
      <c r="T891" s="89">
        <v>0</v>
      </c>
      <c r="U891" s="89">
        <v>33400</v>
      </c>
      <c r="V891" s="89">
        <v>33400</v>
      </c>
      <c r="W891" s="89">
        <v>61600</v>
      </c>
    </row>
    <row r="892" spans="1:23" ht="13">
      <c r="A892" t="s">
        <v>4813</v>
      </c>
      <c r="B892" t="s">
        <v>4814</v>
      </c>
      <c r="C892" s="88">
        <v>46149.129687499997</v>
      </c>
      <c r="D892" t="s">
        <v>105</v>
      </c>
      <c r="E892" t="s">
        <v>106</v>
      </c>
      <c r="F892" t="s">
        <v>4815</v>
      </c>
      <c r="G892" t="s">
        <v>4816</v>
      </c>
      <c r="H892" t="s">
        <v>4815</v>
      </c>
      <c r="I892" s="88">
        <v>46140.633923611109</v>
      </c>
      <c r="J892" t="s">
        <v>107</v>
      </c>
      <c r="K892" t="s">
        <v>108</v>
      </c>
      <c r="L892" t="s">
        <v>4817</v>
      </c>
      <c r="M892" s="88">
        <v>46141.687569444446</v>
      </c>
      <c r="N892" t="s">
        <v>637</v>
      </c>
      <c r="O892" t="s">
        <v>112</v>
      </c>
      <c r="P892" t="s">
        <v>111</v>
      </c>
      <c r="Q892" t="s">
        <v>2085</v>
      </c>
      <c r="R892">
        <v>6</v>
      </c>
      <c r="S892" s="89">
        <v>9500</v>
      </c>
      <c r="T892" s="89">
        <v>0</v>
      </c>
      <c r="U892" s="89">
        <v>19980</v>
      </c>
      <c r="V892" s="89">
        <v>19980</v>
      </c>
      <c r="W892" s="89">
        <v>37020</v>
      </c>
    </row>
    <row r="893" spans="1:23" ht="13">
      <c r="A893" t="s">
        <v>4818</v>
      </c>
      <c r="B893" t="s">
        <v>4819</v>
      </c>
      <c r="C893" s="88">
        <v>46149.129687499997</v>
      </c>
      <c r="D893" t="s">
        <v>105</v>
      </c>
      <c r="E893" t="s">
        <v>106</v>
      </c>
      <c r="F893" t="s">
        <v>4820</v>
      </c>
      <c r="G893" t="s">
        <v>4821</v>
      </c>
      <c r="H893" t="s">
        <v>4820</v>
      </c>
      <c r="I893" s="88">
        <v>46140.633912037039</v>
      </c>
      <c r="J893" t="s">
        <v>107</v>
      </c>
      <c r="K893" t="s">
        <v>108</v>
      </c>
      <c r="L893" t="s">
        <v>4822</v>
      </c>
      <c r="M893" s="88">
        <v>46141.690324074079</v>
      </c>
      <c r="N893" t="s">
        <v>637</v>
      </c>
      <c r="O893" t="s">
        <v>112</v>
      </c>
      <c r="P893" t="s">
        <v>111</v>
      </c>
      <c r="Q893" t="s">
        <v>2085</v>
      </c>
      <c r="R893">
        <v>3</v>
      </c>
      <c r="S893" s="89">
        <v>9500</v>
      </c>
      <c r="T893" s="89">
        <v>0</v>
      </c>
      <c r="U893" s="89">
        <v>6370</v>
      </c>
      <c r="V893" s="89">
        <v>6370</v>
      </c>
      <c r="W893" s="89">
        <v>22130</v>
      </c>
    </row>
    <row r="894" spans="1:23" ht="13">
      <c r="A894" t="s">
        <v>4823</v>
      </c>
      <c r="B894" t="s">
        <v>4824</v>
      </c>
      <c r="C894" s="88">
        <v>46149.129675925928</v>
      </c>
      <c r="D894" t="s">
        <v>105</v>
      </c>
      <c r="E894" t="s">
        <v>106</v>
      </c>
      <c r="F894" t="s">
        <v>4825</v>
      </c>
      <c r="G894" t="s">
        <v>4826</v>
      </c>
      <c r="H894" t="s">
        <v>4825</v>
      </c>
      <c r="I894" s="88">
        <v>46140.633900462963</v>
      </c>
      <c r="J894" t="s">
        <v>107</v>
      </c>
      <c r="K894" t="s">
        <v>108</v>
      </c>
      <c r="L894" t="s">
        <v>4827</v>
      </c>
      <c r="M894" s="88">
        <v>46141.678530092591</v>
      </c>
      <c r="N894" t="s">
        <v>637</v>
      </c>
      <c r="O894" t="s">
        <v>112</v>
      </c>
      <c r="P894" t="s">
        <v>111</v>
      </c>
      <c r="Q894" t="s">
        <v>2085</v>
      </c>
      <c r="R894">
        <v>3</v>
      </c>
      <c r="S894" s="89">
        <v>9500</v>
      </c>
      <c r="T894" s="89">
        <v>0</v>
      </c>
      <c r="U894" s="89">
        <v>6270</v>
      </c>
      <c r="V894" s="89">
        <v>6270</v>
      </c>
      <c r="W894" s="89">
        <v>22230</v>
      </c>
    </row>
    <row r="895" spans="1:23" ht="13">
      <c r="A895" t="s">
        <v>4828</v>
      </c>
      <c r="B895" t="s">
        <v>4829</v>
      </c>
      <c r="C895" s="88">
        <v>46149.129675925928</v>
      </c>
      <c r="D895" t="s">
        <v>105</v>
      </c>
      <c r="E895" t="s">
        <v>106</v>
      </c>
      <c r="F895" t="s">
        <v>4830</v>
      </c>
      <c r="G895" t="s">
        <v>4831</v>
      </c>
      <c r="H895" t="s">
        <v>4830</v>
      </c>
      <c r="I895" s="88">
        <v>46140.633900462963</v>
      </c>
      <c r="J895" t="s">
        <v>107</v>
      </c>
      <c r="K895" t="s">
        <v>108</v>
      </c>
      <c r="L895" t="s">
        <v>4832</v>
      </c>
      <c r="M895" s="88">
        <v>46141.548090277778</v>
      </c>
      <c r="N895" t="s">
        <v>637</v>
      </c>
      <c r="O895" t="s">
        <v>112</v>
      </c>
      <c r="P895" t="s">
        <v>111</v>
      </c>
      <c r="Q895" t="s">
        <v>2085</v>
      </c>
      <c r="R895">
        <v>6</v>
      </c>
      <c r="S895" s="89">
        <v>9500</v>
      </c>
      <c r="T895" s="89">
        <v>0</v>
      </c>
      <c r="U895" s="89">
        <v>19980</v>
      </c>
      <c r="V895" s="89">
        <v>19980</v>
      </c>
      <c r="W895" s="89">
        <v>37020</v>
      </c>
    </row>
    <row r="896" spans="1:23" ht="13">
      <c r="A896" t="s">
        <v>4833</v>
      </c>
      <c r="B896" t="s">
        <v>173</v>
      </c>
      <c r="C896" s="88">
        <v>46149.12903935185</v>
      </c>
      <c r="D896" t="s">
        <v>105</v>
      </c>
      <c r="E896" t="s">
        <v>106</v>
      </c>
      <c r="F896" t="s">
        <v>174</v>
      </c>
      <c r="G896" t="s">
        <v>175</v>
      </c>
      <c r="H896" t="s">
        <v>174</v>
      </c>
      <c r="I896" s="88">
        <v>46140.633969907409</v>
      </c>
      <c r="J896" t="s">
        <v>107</v>
      </c>
      <c r="K896" t="s">
        <v>108</v>
      </c>
      <c r="L896" t="s">
        <v>4834</v>
      </c>
      <c r="M896" s="88">
        <v>46141.500231481477</v>
      </c>
      <c r="N896" t="s">
        <v>637</v>
      </c>
      <c r="O896" t="s">
        <v>112</v>
      </c>
      <c r="P896" t="s">
        <v>111</v>
      </c>
      <c r="Q896" t="s">
        <v>2085</v>
      </c>
      <c r="R896">
        <v>1</v>
      </c>
      <c r="S896" s="89">
        <v>9500</v>
      </c>
      <c r="T896" s="89">
        <v>0</v>
      </c>
      <c r="U896" s="89">
        <v>2190</v>
      </c>
      <c r="V896" s="89">
        <v>2190</v>
      </c>
      <c r="W896" s="89">
        <v>7310</v>
      </c>
    </row>
    <row r="897" spans="1:23" ht="13">
      <c r="A897" t="s">
        <v>4835</v>
      </c>
      <c r="B897" t="s">
        <v>4836</v>
      </c>
      <c r="C897" s="88">
        <v>46149.129016203704</v>
      </c>
      <c r="D897" t="s">
        <v>105</v>
      </c>
      <c r="E897" t="s">
        <v>106</v>
      </c>
      <c r="F897" t="s">
        <v>295</v>
      </c>
      <c r="G897" t="s">
        <v>4837</v>
      </c>
      <c r="H897" t="s">
        <v>295</v>
      </c>
      <c r="I897" s="88">
        <v>46140.633946759262</v>
      </c>
      <c r="J897" t="s">
        <v>107</v>
      </c>
      <c r="K897" t="s">
        <v>108</v>
      </c>
      <c r="L897" t="s">
        <v>4838</v>
      </c>
      <c r="M897" s="88">
        <v>46141.548090277778</v>
      </c>
      <c r="N897" t="s">
        <v>637</v>
      </c>
      <c r="O897" t="s">
        <v>112</v>
      </c>
      <c r="P897" t="s">
        <v>111</v>
      </c>
      <c r="Q897" t="s">
        <v>2085</v>
      </c>
      <c r="R897">
        <v>2</v>
      </c>
      <c r="S897" s="89">
        <v>9500</v>
      </c>
      <c r="T897" s="89">
        <v>0</v>
      </c>
      <c r="U897" s="89">
        <v>4180</v>
      </c>
      <c r="V897" s="89">
        <v>4180</v>
      </c>
      <c r="W897" s="89">
        <v>14820</v>
      </c>
    </row>
    <row r="898" spans="1:23" ht="13">
      <c r="A898" t="s">
        <v>4839</v>
      </c>
      <c r="B898" t="s">
        <v>4840</v>
      </c>
      <c r="C898" s="88">
        <v>46149.129004629634</v>
      </c>
      <c r="D898" t="s">
        <v>105</v>
      </c>
      <c r="E898" t="s">
        <v>106</v>
      </c>
      <c r="F898" t="s">
        <v>4841</v>
      </c>
      <c r="G898" t="s">
        <v>4842</v>
      </c>
      <c r="H898" t="s">
        <v>4841</v>
      </c>
      <c r="I898" s="88">
        <v>46140.633935185186</v>
      </c>
      <c r="J898" t="s">
        <v>107</v>
      </c>
      <c r="K898" t="s">
        <v>108</v>
      </c>
      <c r="L898" t="s">
        <v>4843</v>
      </c>
      <c r="M898" s="88">
        <v>46141.758425925931</v>
      </c>
      <c r="N898" t="s">
        <v>637</v>
      </c>
      <c r="O898" t="s">
        <v>112</v>
      </c>
      <c r="P898" t="s">
        <v>111</v>
      </c>
      <c r="Q898" t="s">
        <v>2085</v>
      </c>
      <c r="R898">
        <v>6</v>
      </c>
      <c r="S898" s="89">
        <v>9500</v>
      </c>
      <c r="T898" s="89">
        <v>0</v>
      </c>
      <c r="U898" s="89">
        <v>20080</v>
      </c>
      <c r="V898" s="89">
        <v>20080</v>
      </c>
      <c r="W898" s="89">
        <v>36920</v>
      </c>
    </row>
    <row r="899" spans="1:23" ht="13">
      <c r="A899" t="s">
        <v>4844</v>
      </c>
      <c r="B899" t="s">
        <v>4845</v>
      </c>
      <c r="C899" s="88">
        <v>46149.129004629634</v>
      </c>
      <c r="D899" t="s">
        <v>105</v>
      </c>
      <c r="E899" t="s">
        <v>106</v>
      </c>
      <c r="F899" t="s">
        <v>4846</v>
      </c>
      <c r="G899" t="s">
        <v>4847</v>
      </c>
      <c r="H899" t="s">
        <v>4846</v>
      </c>
      <c r="I899" s="88">
        <v>46140.633923611109</v>
      </c>
      <c r="J899" t="s">
        <v>107</v>
      </c>
      <c r="K899" t="s">
        <v>108</v>
      </c>
      <c r="L899" t="s">
        <v>4848</v>
      </c>
      <c r="M899" s="88">
        <v>46141.678518518514</v>
      </c>
      <c r="N899" t="s">
        <v>637</v>
      </c>
      <c r="O899" t="s">
        <v>112</v>
      </c>
      <c r="P899" t="s">
        <v>111</v>
      </c>
      <c r="Q899" t="s">
        <v>2085</v>
      </c>
      <c r="R899">
        <v>6</v>
      </c>
      <c r="S899" s="89">
        <v>9500</v>
      </c>
      <c r="T899" s="89">
        <v>0</v>
      </c>
      <c r="U899" s="89">
        <v>20080</v>
      </c>
      <c r="V899" s="89">
        <v>20080</v>
      </c>
      <c r="W899" s="89">
        <v>36920</v>
      </c>
    </row>
    <row r="900" spans="1:23" ht="13">
      <c r="A900" t="s">
        <v>4849</v>
      </c>
      <c r="B900" t="s">
        <v>4850</v>
      </c>
      <c r="C900" s="88">
        <v>46149.129004629634</v>
      </c>
      <c r="D900" t="s">
        <v>105</v>
      </c>
      <c r="E900" t="s">
        <v>106</v>
      </c>
      <c r="F900" t="s">
        <v>4851</v>
      </c>
      <c r="G900" t="s">
        <v>4852</v>
      </c>
      <c r="H900" t="s">
        <v>4851</v>
      </c>
      <c r="I900" s="88">
        <v>46140.633912037039</v>
      </c>
      <c r="J900" t="s">
        <v>107</v>
      </c>
      <c r="K900" t="s">
        <v>108</v>
      </c>
      <c r="L900" t="s">
        <v>4853</v>
      </c>
      <c r="M900" s="88">
        <v>46141.473645833335</v>
      </c>
      <c r="N900" t="s">
        <v>637</v>
      </c>
      <c r="O900" t="s">
        <v>112</v>
      </c>
      <c r="P900" t="s">
        <v>111</v>
      </c>
      <c r="Q900" t="s">
        <v>2085</v>
      </c>
      <c r="R900">
        <v>7</v>
      </c>
      <c r="S900" s="89">
        <v>9500</v>
      </c>
      <c r="T900" s="89">
        <v>0</v>
      </c>
      <c r="U900" s="89">
        <v>23410</v>
      </c>
      <c r="V900" s="89">
        <v>23410</v>
      </c>
      <c r="W900" s="89">
        <v>43090</v>
      </c>
    </row>
    <row r="901" spans="1:23" ht="13">
      <c r="A901" t="s">
        <v>4854</v>
      </c>
      <c r="B901" t="s">
        <v>4855</v>
      </c>
      <c r="C901" s="88">
        <v>46149.128738425927</v>
      </c>
      <c r="D901" t="s">
        <v>105</v>
      </c>
      <c r="E901" t="s">
        <v>106</v>
      </c>
      <c r="F901" t="s">
        <v>4856</v>
      </c>
      <c r="G901" t="s">
        <v>4857</v>
      </c>
      <c r="H901" t="s">
        <v>4856</v>
      </c>
      <c r="I901" s="88">
        <v>46140.633946759262</v>
      </c>
      <c r="J901" t="s">
        <v>107</v>
      </c>
      <c r="K901" t="s">
        <v>108</v>
      </c>
      <c r="L901" t="s">
        <v>4858</v>
      </c>
      <c r="M901" s="88">
        <v>46141.678506944445</v>
      </c>
      <c r="N901" t="s">
        <v>637</v>
      </c>
      <c r="O901" t="s">
        <v>112</v>
      </c>
      <c r="P901" t="s">
        <v>111</v>
      </c>
      <c r="Q901" t="s">
        <v>2085</v>
      </c>
      <c r="R901">
        <v>6</v>
      </c>
      <c r="S901" s="89">
        <v>9500</v>
      </c>
      <c r="T901" s="89">
        <v>0</v>
      </c>
      <c r="U901" s="89">
        <v>20080</v>
      </c>
      <c r="V901" s="89">
        <v>20080</v>
      </c>
      <c r="W901" s="89">
        <v>36920</v>
      </c>
    </row>
    <row r="902" spans="1:23" ht="13">
      <c r="A902" t="s">
        <v>4859</v>
      </c>
      <c r="B902" t="s">
        <v>4860</v>
      </c>
      <c r="C902" s="88">
        <v>46149.12872685185</v>
      </c>
      <c r="D902" t="s">
        <v>105</v>
      </c>
      <c r="E902" t="s">
        <v>106</v>
      </c>
      <c r="F902" t="s">
        <v>4861</v>
      </c>
      <c r="G902" t="s">
        <v>4862</v>
      </c>
      <c r="H902" t="s">
        <v>4861</v>
      </c>
      <c r="I902" s="88">
        <v>46140.633935185186</v>
      </c>
      <c r="J902" t="s">
        <v>107</v>
      </c>
      <c r="K902" t="s">
        <v>108</v>
      </c>
      <c r="L902" t="s">
        <v>4863</v>
      </c>
      <c r="M902" s="88">
        <v>46141.45045138889</v>
      </c>
      <c r="N902" t="s">
        <v>637</v>
      </c>
      <c r="O902" t="s">
        <v>112</v>
      </c>
      <c r="P902" t="s">
        <v>111</v>
      </c>
      <c r="Q902" t="s">
        <v>2085</v>
      </c>
      <c r="R902">
        <v>6</v>
      </c>
      <c r="S902" s="89">
        <v>9500</v>
      </c>
      <c r="T902" s="89">
        <v>0</v>
      </c>
      <c r="U902" s="89">
        <v>19980</v>
      </c>
      <c r="V902" s="89">
        <v>19980</v>
      </c>
      <c r="W902" s="89">
        <v>37020</v>
      </c>
    </row>
    <row r="903" spans="1:23" ht="13">
      <c r="A903" t="s">
        <v>4864</v>
      </c>
      <c r="B903" t="s">
        <v>4865</v>
      </c>
      <c r="C903" s="88">
        <v>46149.12871527778</v>
      </c>
      <c r="D903" t="s">
        <v>105</v>
      </c>
      <c r="E903" t="s">
        <v>106</v>
      </c>
      <c r="F903" t="s">
        <v>4866</v>
      </c>
      <c r="G903" t="s">
        <v>4867</v>
      </c>
      <c r="H903" t="s">
        <v>4866</v>
      </c>
      <c r="I903" s="88">
        <v>46140.633923611109</v>
      </c>
      <c r="J903" t="s">
        <v>107</v>
      </c>
      <c r="K903" t="s">
        <v>108</v>
      </c>
      <c r="L903" t="s">
        <v>4868</v>
      </c>
      <c r="M903" s="88">
        <v>46141.678518518514</v>
      </c>
      <c r="N903" t="s">
        <v>637</v>
      </c>
      <c r="O903" t="s">
        <v>112</v>
      </c>
      <c r="P903" t="s">
        <v>111</v>
      </c>
      <c r="Q903" t="s">
        <v>2085</v>
      </c>
      <c r="R903">
        <v>6</v>
      </c>
      <c r="S903" s="89">
        <v>9500</v>
      </c>
      <c r="T903" s="89">
        <v>0</v>
      </c>
      <c r="U903" s="89">
        <v>20080</v>
      </c>
      <c r="V903" s="89">
        <v>20080</v>
      </c>
      <c r="W903" s="89">
        <v>36920</v>
      </c>
    </row>
    <row r="904" spans="1:23" ht="13">
      <c r="A904" t="s">
        <v>4869</v>
      </c>
      <c r="B904" t="s">
        <v>4870</v>
      </c>
      <c r="C904" s="88">
        <v>46149.12871527778</v>
      </c>
      <c r="D904" t="s">
        <v>105</v>
      </c>
      <c r="E904" t="s">
        <v>106</v>
      </c>
      <c r="F904" t="s">
        <v>4871</v>
      </c>
      <c r="G904" t="s">
        <v>4872</v>
      </c>
      <c r="H904" t="s">
        <v>4871</v>
      </c>
      <c r="I904" s="88">
        <v>46140.633912037039</v>
      </c>
      <c r="J904" t="s">
        <v>107</v>
      </c>
      <c r="K904" t="s">
        <v>108</v>
      </c>
      <c r="L904" t="s">
        <v>4873</v>
      </c>
      <c r="M904" s="88">
        <v>46141.678530092591</v>
      </c>
      <c r="N904" t="s">
        <v>637</v>
      </c>
      <c r="O904" t="s">
        <v>112</v>
      </c>
      <c r="P904" t="s">
        <v>111</v>
      </c>
      <c r="Q904" t="s">
        <v>2085</v>
      </c>
      <c r="R904">
        <v>4</v>
      </c>
      <c r="S904" s="89">
        <v>9500</v>
      </c>
      <c r="T904" s="89">
        <v>0</v>
      </c>
      <c r="U904" s="89">
        <v>8360</v>
      </c>
      <c r="V904" s="89">
        <v>8360</v>
      </c>
      <c r="W904" s="89">
        <v>29640</v>
      </c>
    </row>
    <row r="905" spans="1:23" ht="13">
      <c r="A905" t="s">
        <v>4874</v>
      </c>
      <c r="B905" t="s">
        <v>4875</v>
      </c>
      <c r="C905" s="88">
        <v>46149.12871527778</v>
      </c>
      <c r="D905" t="s">
        <v>105</v>
      </c>
      <c r="E905" t="s">
        <v>106</v>
      </c>
      <c r="F905" t="s">
        <v>181</v>
      </c>
      <c r="G905" t="s">
        <v>171</v>
      </c>
      <c r="H905" t="s">
        <v>181</v>
      </c>
      <c r="I905" s="88">
        <v>46140.633912037039</v>
      </c>
      <c r="J905" t="s">
        <v>107</v>
      </c>
      <c r="K905" t="s">
        <v>108</v>
      </c>
      <c r="L905" t="s">
        <v>4876</v>
      </c>
      <c r="M905" s="88">
        <v>46141.548090277778</v>
      </c>
      <c r="N905" t="s">
        <v>637</v>
      </c>
      <c r="O905" t="s">
        <v>112</v>
      </c>
      <c r="P905" t="s">
        <v>111</v>
      </c>
      <c r="Q905" t="s">
        <v>2085</v>
      </c>
      <c r="R905">
        <v>6</v>
      </c>
      <c r="S905" s="89">
        <v>9500</v>
      </c>
      <c r="T905" s="89">
        <v>0</v>
      </c>
      <c r="U905" s="89">
        <v>19980</v>
      </c>
      <c r="V905" s="89">
        <v>19980</v>
      </c>
      <c r="W905" s="89">
        <v>37020</v>
      </c>
    </row>
    <row r="906" spans="1:23" ht="13">
      <c r="A906" t="s">
        <v>4877</v>
      </c>
      <c r="B906" t="s">
        <v>4878</v>
      </c>
      <c r="C906" s="88">
        <v>46149.12871527778</v>
      </c>
      <c r="D906" t="s">
        <v>105</v>
      </c>
      <c r="E906" t="s">
        <v>106</v>
      </c>
      <c r="F906" t="s">
        <v>1859</v>
      </c>
      <c r="G906" t="s">
        <v>1860</v>
      </c>
      <c r="H906" t="s">
        <v>1859</v>
      </c>
      <c r="I906" s="88">
        <v>46140.633912037039</v>
      </c>
      <c r="J906" t="s">
        <v>107</v>
      </c>
      <c r="K906" t="s">
        <v>108</v>
      </c>
      <c r="L906" t="s">
        <v>4879</v>
      </c>
      <c r="M906" s="88">
        <v>46141.59511574074</v>
      </c>
      <c r="N906" t="s">
        <v>637</v>
      </c>
      <c r="O906" t="s">
        <v>112</v>
      </c>
      <c r="P906" t="s">
        <v>111</v>
      </c>
      <c r="Q906" t="s">
        <v>2085</v>
      </c>
      <c r="R906">
        <v>3</v>
      </c>
      <c r="S906" s="89">
        <v>9500</v>
      </c>
      <c r="T906" s="89">
        <v>0</v>
      </c>
      <c r="U906" s="89">
        <v>6370</v>
      </c>
      <c r="V906" s="89">
        <v>6370</v>
      </c>
      <c r="W906" s="89">
        <v>22130</v>
      </c>
    </row>
    <row r="907" spans="1:23" ht="13">
      <c r="A907" t="s">
        <v>4880</v>
      </c>
      <c r="B907" t="s">
        <v>4881</v>
      </c>
      <c r="C907" s="88">
        <v>46149.128472222219</v>
      </c>
      <c r="D907" t="s">
        <v>105</v>
      </c>
      <c r="E907" t="s">
        <v>106</v>
      </c>
      <c r="F907" t="s">
        <v>4882</v>
      </c>
      <c r="G907" t="s">
        <v>4883</v>
      </c>
      <c r="H907" t="s">
        <v>4882</v>
      </c>
      <c r="I907" s="88">
        <v>46140.633946759262</v>
      </c>
      <c r="J907" t="s">
        <v>107</v>
      </c>
      <c r="K907" t="s">
        <v>108</v>
      </c>
      <c r="L907" t="s">
        <v>4884</v>
      </c>
      <c r="M907" s="88">
        <v>46141.692141203705</v>
      </c>
      <c r="N907" t="s">
        <v>637</v>
      </c>
      <c r="O907" t="s">
        <v>112</v>
      </c>
      <c r="P907" t="s">
        <v>111</v>
      </c>
      <c r="Q907" t="s">
        <v>2085</v>
      </c>
      <c r="R907">
        <v>1</v>
      </c>
      <c r="S907" s="89">
        <v>9500</v>
      </c>
      <c r="T907" s="89">
        <v>0</v>
      </c>
      <c r="U907" s="89">
        <v>2090</v>
      </c>
      <c r="V907" s="89">
        <v>2090</v>
      </c>
      <c r="W907" s="89">
        <v>7410</v>
      </c>
    </row>
    <row r="908" spans="1:23" ht="13">
      <c r="A908" t="s">
        <v>4885</v>
      </c>
      <c r="B908" t="s">
        <v>4886</v>
      </c>
      <c r="C908" s="88">
        <v>46149.128472222219</v>
      </c>
      <c r="D908" t="s">
        <v>105</v>
      </c>
      <c r="E908" t="s">
        <v>106</v>
      </c>
      <c r="F908" t="s">
        <v>4887</v>
      </c>
      <c r="G908" t="s">
        <v>4888</v>
      </c>
      <c r="H908" t="s">
        <v>4887</v>
      </c>
      <c r="I908" s="88">
        <v>46140.633946759262</v>
      </c>
      <c r="J908" t="s">
        <v>107</v>
      </c>
      <c r="K908" t="s">
        <v>108</v>
      </c>
      <c r="L908" t="s">
        <v>4889</v>
      </c>
      <c r="M908" s="88">
        <v>46141.770833333328</v>
      </c>
      <c r="N908" t="s">
        <v>637</v>
      </c>
      <c r="O908" t="s">
        <v>112</v>
      </c>
      <c r="P908" t="s">
        <v>111</v>
      </c>
      <c r="Q908" t="s">
        <v>2085</v>
      </c>
      <c r="R908">
        <v>1</v>
      </c>
      <c r="S908" s="89">
        <v>9500</v>
      </c>
      <c r="T908" s="89">
        <v>0</v>
      </c>
      <c r="U908" s="89">
        <v>2190</v>
      </c>
      <c r="V908" s="89">
        <v>2190</v>
      </c>
      <c r="W908" s="89">
        <v>7310</v>
      </c>
    </row>
    <row r="909" spans="1:23" ht="13">
      <c r="A909" t="s">
        <v>4890</v>
      </c>
      <c r="B909" t="s">
        <v>4891</v>
      </c>
      <c r="C909" s="88">
        <v>46149.128460648149</v>
      </c>
      <c r="D909" t="s">
        <v>105</v>
      </c>
      <c r="E909" t="s">
        <v>106</v>
      </c>
      <c r="F909" t="s">
        <v>4892</v>
      </c>
      <c r="G909" t="s">
        <v>4893</v>
      </c>
      <c r="H909" t="s">
        <v>4892</v>
      </c>
      <c r="I909" s="88">
        <v>46140.633946759262</v>
      </c>
      <c r="J909" t="s">
        <v>107</v>
      </c>
      <c r="K909" t="s">
        <v>108</v>
      </c>
      <c r="L909" t="s">
        <v>4894</v>
      </c>
      <c r="M909" s="88">
        <v>46141.687592592592</v>
      </c>
      <c r="N909" t="s">
        <v>637</v>
      </c>
      <c r="O909" t="s">
        <v>112</v>
      </c>
      <c r="P909" t="s">
        <v>111</v>
      </c>
      <c r="Q909" t="s">
        <v>2085</v>
      </c>
      <c r="R909">
        <v>2</v>
      </c>
      <c r="S909" s="89">
        <v>9500</v>
      </c>
      <c r="T909" s="89">
        <v>0</v>
      </c>
      <c r="U909" s="89">
        <v>4280</v>
      </c>
      <c r="V909" s="89">
        <v>4280</v>
      </c>
      <c r="W909" s="89">
        <v>14720</v>
      </c>
    </row>
    <row r="910" spans="1:23" ht="13">
      <c r="A910" t="s">
        <v>4895</v>
      </c>
      <c r="B910" t="s">
        <v>4896</v>
      </c>
      <c r="C910" s="88">
        <v>46149.128449074073</v>
      </c>
      <c r="D910" t="s">
        <v>105</v>
      </c>
      <c r="E910" t="s">
        <v>106</v>
      </c>
      <c r="F910" t="s">
        <v>267</v>
      </c>
      <c r="G910" t="s">
        <v>4897</v>
      </c>
      <c r="H910" t="s">
        <v>267</v>
      </c>
      <c r="I910" s="88">
        <v>46140.633923611109</v>
      </c>
      <c r="J910" t="s">
        <v>107</v>
      </c>
      <c r="K910" t="s">
        <v>108</v>
      </c>
      <c r="L910" t="s">
        <v>4898</v>
      </c>
      <c r="M910" s="88">
        <v>46141.555717592593</v>
      </c>
      <c r="N910" t="s">
        <v>637</v>
      </c>
      <c r="O910" t="s">
        <v>112</v>
      </c>
      <c r="P910" t="s">
        <v>111</v>
      </c>
      <c r="Q910" t="s">
        <v>2085</v>
      </c>
      <c r="R910">
        <v>5</v>
      </c>
      <c r="S910" s="89">
        <v>9500</v>
      </c>
      <c r="T910" s="89">
        <v>0</v>
      </c>
      <c r="U910" s="89">
        <v>10550</v>
      </c>
      <c r="V910" s="89">
        <v>10550</v>
      </c>
      <c r="W910" s="89">
        <v>36950</v>
      </c>
    </row>
    <row r="911" spans="1:23" ht="13">
      <c r="A911" t="s">
        <v>4899</v>
      </c>
      <c r="B911" t="s">
        <v>4900</v>
      </c>
      <c r="C911" s="88">
        <v>46149.128449074073</v>
      </c>
      <c r="D911" t="s">
        <v>105</v>
      </c>
      <c r="E911" t="s">
        <v>106</v>
      </c>
      <c r="F911" t="s">
        <v>4901</v>
      </c>
      <c r="G911" t="s">
        <v>4902</v>
      </c>
      <c r="H911" t="s">
        <v>4903</v>
      </c>
      <c r="I911" s="88">
        <v>46140.633900462963</v>
      </c>
      <c r="J911" t="s">
        <v>107</v>
      </c>
      <c r="K911" t="s">
        <v>108</v>
      </c>
      <c r="L911" t="s">
        <v>4904</v>
      </c>
      <c r="M911" s="88">
        <v>46141.500231481477</v>
      </c>
      <c r="N911" t="s">
        <v>637</v>
      </c>
      <c r="O911" t="s">
        <v>112</v>
      </c>
      <c r="P911" t="s">
        <v>111</v>
      </c>
      <c r="Q911" t="s">
        <v>2085</v>
      </c>
      <c r="R911">
        <v>4</v>
      </c>
      <c r="S911" s="89">
        <v>9500</v>
      </c>
      <c r="T911" s="89">
        <v>0</v>
      </c>
      <c r="U911" s="89">
        <v>8360</v>
      </c>
      <c r="V911" s="89">
        <v>8360</v>
      </c>
      <c r="W911" s="89">
        <v>29640</v>
      </c>
    </row>
    <row r="912" spans="1:23" ht="13">
      <c r="A912" t="s">
        <v>4905</v>
      </c>
      <c r="B912" t="s">
        <v>4906</v>
      </c>
      <c r="C912" s="88">
        <v>46149.128229166672</v>
      </c>
      <c r="D912" t="s">
        <v>105</v>
      </c>
      <c r="E912" t="s">
        <v>106</v>
      </c>
      <c r="F912" t="s">
        <v>4907</v>
      </c>
      <c r="G912" t="s">
        <v>4908</v>
      </c>
      <c r="H912" t="s">
        <v>4907</v>
      </c>
      <c r="I912" s="88">
        <v>46140.633958333332</v>
      </c>
      <c r="J912" t="s">
        <v>107</v>
      </c>
      <c r="K912" t="s">
        <v>108</v>
      </c>
      <c r="L912" t="s">
        <v>4909</v>
      </c>
      <c r="M912" s="88">
        <v>46141.548611111109</v>
      </c>
      <c r="N912" t="s">
        <v>637</v>
      </c>
      <c r="O912" t="s">
        <v>112</v>
      </c>
      <c r="P912" t="s">
        <v>111</v>
      </c>
      <c r="Q912" t="s">
        <v>2085</v>
      </c>
      <c r="R912">
        <v>1</v>
      </c>
      <c r="S912" s="89">
        <v>9500</v>
      </c>
      <c r="T912" s="89">
        <v>0</v>
      </c>
      <c r="U912" s="89">
        <v>2090</v>
      </c>
      <c r="V912" s="89">
        <v>2090</v>
      </c>
      <c r="W912" s="89">
        <v>7410</v>
      </c>
    </row>
    <row r="913" spans="1:23" ht="13">
      <c r="A913" t="s">
        <v>4910</v>
      </c>
      <c r="B913" t="s">
        <v>4911</v>
      </c>
      <c r="C913" s="88">
        <v>46149.128217592588</v>
      </c>
      <c r="D913" t="s">
        <v>105</v>
      </c>
      <c r="E913" t="s">
        <v>106</v>
      </c>
      <c r="F913" t="s">
        <v>290</v>
      </c>
      <c r="G913" t="s">
        <v>4912</v>
      </c>
      <c r="H913" t="s">
        <v>290</v>
      </c>
      <c r="I913" s="88">
        <v>46140.633912037039</v>
      </c>
      <c r="J913" t="s">
        <v>107</v>
      </c>
      <c r="K913" t="s">
        <v>108</v>
      </c>
      <c r="L913" t="s">
        <v>4913</v>
      </c>
      <c r="M913" s="88">
        <v>46141.677951388891</v>
      </c>
      <c r="N913" t="s">
        <v>637</v>
      </c>
      <c r="O913" t="s">
        <v>112</v>
      </c>
      <c r="P913" t="s">
        <v>111</v>
      </c>
      <c r="Q913" t="s">
        <v>2085</v>
      </c>
      <c r="R913">
        <v>3</v>
      </c>
      <c r="S913" s="89">
        <v>9500</v>
      </c>
      <c r="T913" s="89">
        <v>0</v>
      </c>
      <c r="U913" s="89">
        <v>6370</v>
      </c>
      <c r="V913" s="89">
        <v>6370</v>
      </c>
      <c r="W913" s="89">
        <v>22130</v>
      </c>
    </row>
    <row r="914" spans="1:23" ht="13">
      <c r="A914" t="s">
        <v>4914</v>
      </c>
      <c r="B914" t="s">
        <v>4915</v>
      </c>
      <c r="C914" s="88">
        <v>46149.128217592588</v>
      </c>
      <c r="D914" t="s">
        <v>105</v>
      </c>
      <c r="E914" t="s">
        <v>106</v>
      </c>
      <c r="F914" t="s">
        <v>4916</v>
      </c>
      <c r="G914" t="s">
        <v>4917</v>
      </c>
      <c r="H914" t="s">
        <v>4916</v>
      </c>
      <c r="I914" s="88">
        <v>46140.633912037039</v>
      </c>
      <c r="J914" t="s">
        <v>107</v>
      </c>
      <c r="K914" t="s">
        <v>108</v>
      </c>
      <c r="L914" t="s">
        <v>4918</v>
      </c>
      <c r="M914" s="88">
        <v>46141.644108796296</v>
      </c>
      <c r="N914" t="s">
        <v>637</v>
      </c>
      <c r="O914" t="s">
        <v>112</v>
      </c>
      <c r="P914" t="s">
        <v>111</v>
      </c>
      <c r="Q914" t="s">
        <v>2085</v>
      </c>
      <c r="R914">
        <v>3</v>
      </c>
      <c r="S914" s="89">
        <v>9500</v>
      </c>
      <c r="T914" s="89">
        <v>0</v>
      </c>
      <c r="U914" s="89">
        <v>6370</v>
      </c>
      <c r="V914" s="89">
        <v>6370</v>
      </c>
      <c r="W914" s="89">
        <v>22130</v>
      </c>
    </row>
    <row r="915" spans="1:23" ht="13">
      <c r="A915" t="s">
        <v>4919</v>
      </c>
      <c r="B915" t="s">
        <v>4920</v>
      </c>
      <c r="C915" s="88">
        <v>46149.128217592588</v>
      </c>
      <c r="D915" t="s">
        <v>105</v>
      </c>
      <c r="E915" t="s">
        <v>106</v>
      </c>
      <c r="F915" t="s">
        <v>302</v>
      </c>
      <c r="G915" t="s">
        <v>4921</v>
      </c>
      <c r="H915" t="s">
        <v>302</v>
      </c>
      <c r="I915" s="88">
        <v>46140.633900462963</v>
      </c>
      <c r="J915" t="s">
        <v>107</v>
      </c>
      <c r="K915" t="s">
        <v>108</v>
      </c>
      <c r="L915" t="s">
        <v>4922</v>
      </c>
      <c r="M915" s="88">
        <v>46141.550011574072</v>
      </c>
      <c r="N915" t="s">
        <v>637</v>
      </c>
      <c r="O915" t="s">
        <v>112</v>
      </c>
      <c r="P915" t="s">
        <v>111</v>
      </c>
      <c r="Q915" t="s">
        <v>2085</v>
      </c>
      <c r="R915">
        <v>2</v>
      </c>
      <c r="S915" s="89">
        <v>9500</v>
      </c>
      <c r="T915" s="89">
        <v>0</v>
      </c>
      <c r="U915" s="89">
        <v>4180</v>
      </c>
      <c r="V915" s="89">
        <v>4180</v>
      </c>
      <c r="W915" s="89">
        <v>14820</v>
      </c>
    </row>
    <row r="916" spans="1:23" ht="13">
      <c r="A916" t="s">
        <v>4923</v>
      </c>
      <c r="B916" t="s">
        <v>4924</v>
      </c>
      <c r="C916" s="88">
        <v>46149.127824074079</v>
      </c>
      <c r="D916" t="s">
        <v>105</v>
      </c>
      <c r="E916" t="s">
        <v>106</v>
      </c>
      <c r="F916" t="s">
        <v>4925</v>
      </c>
      <c r="G916" t="s">
        <v>4926</v>
      </c>
      <c r="H916" t="s">
        <v>4925</v>
      </c>
      <c r="I916" s="88">
        <v>46140.633935185186</v>
      </c>
      <c r="J916" t="s">
        <v>107</v>
      </c>
      <c r="K916" t="s">
        <v>108</v>
      </c>
      <c r="L916" t="s">
        <v>4927</v>
      </c>
      <c r="M916" s="88">
        <v>46141.678530092591</v>
      </c>
      <c r="N916" t="s">
        <v>637</v>
      </c>
      <c r="O916" t="s">
        <v>112</v>
      </c>
      <c r="P916" t="s">
        <v>111</v>
      </c>
      <c r="Q916" t="s">
        <v>2085</v>
      </c>
      <c r="R916">
        <v>6</v>
      </c>
      <c r="S916" s="89">
        <v>9500</v>
      </c>
      <c r="T916" s="89">
        <v>0</v>
      </c>
      <c r="U916" s="89">
        <v>19980</v>
      </c>
      <c r="V916" s="89">
        <v>19980</v>
      </c>
      <c r="W916" s="89">
        <v>37020</v>
      </c>
    </row>
    <row r="917" spans="1:23" ht="13">
      <c r="A917" t="s">
        <v>4928</v>
      </c>
      <c r="B917" t="s">
        <v>4929</v>
      </c>
      <c r="C917" s="88">
        <v>46149.127824074079</v>
      </c>
      <c r="D917" t="s">
        <v>105</v>
      </c>
      <c r="E917" t="s">
        <v>106</v>
      </c>
      <c r="F917" t="s">
        <v>785</v>
      </c>
      <c r="G917" t="s">
        <v>786</v>
      </c>
      <c r="H917" t="s">
        <v>785</v>
      </c>
      <c r="I917" s="88">
        <v>46140.633935185186</v>
      </c>
      <c r="J917" t="s">
        <v>107</v>
      </c>
      <c r="K917" t="s">
        <v>108</v>
      </c>
      <c r="L917" t="s">
        <v>4930</v>
      </c>
      <c r="M917" s="88">
        <v>46141.475798611107</v>
      </c>
      <c r="N917" t="s">
        <v>637</v>
      </c>
      <c r="O917" t="s">
        <v>112</v>
      </c>
      <c r="P917" t="s">
        <v>111</v>
      </c>
      <c r="Q917" t="s">
        <v>2085</v>
      </c>
      <c r="R917">
        <v>16</v>
      </c>
      <c r="S917" s="89">
        <v>9500</v>
      </c>
      <c r="T917" s="89">
        <v>0</v>
      </c>
      <c r="U917" s="89">
        <v>53380</v>
      </c>
      <c r="V917" s="89">
        <v>53380</v>
      </c>
      <c r="W917" s="89">
        <v>98620</v>
      </c>
    </row>
    <row r="918" spans="1:23" ht="13">
      <c r="A918" t="s">
        <v>4931</v>
      </c>
      <c r="B918" t="s">
        <v>4932</v>
      </c>
      <c r="C918" s="88">
        <v>46149.127812499995</v>
      </c>
      <c r="D918" t="s">
        <v>105</v>
      </c>
      <c r="E918" t="s">
        <v>106</v>
      </c>
      <c r="F918" t="s">
        <v>4933</v>
      </c>
      <c r="G918" t="s">
        <v>233</v>
      </c>
      <c r="H918" t="s">
        <v>4933</v>
      </c>
      <c r="I918" s="88">
        <v>46140.633923611109</v>
      </c>
      <c r="J918" t="s">
        <v>107</v>
      </c>
      <c r="K918" t="s">
        <v>108</v>
      </c>
      <c r="L918" t="s">
        <v>4934</v>
      </c>
      <c r="M918" s="88">
        <v>46141.690324074079</v>
      </c>
      <c r="N918" t="s">
        <v>637</v>
      </c>
      <c r="O918" t="s">
        <v>112</v>
      </c>
      <c r="P918" t="s">
        <v>111</v>
      </c>
      <c r="Q918" t="s">
        <v>2085</v>
      </c>
      <c r="R918">
        <v>6</v>
      </c>
      <c r="S918" s="89">
        <v>9500</v>
      </c>
      <c r="T918" s="89">
        <v>0</v>
      </c>
      <c r="U918" s="89">
        <v>20080</v>
      </c>
      <c r="V918" s="89">
        <v>20080</v>
      </c>
      <c r="W918" s="89">
        <v>36920</v>
      </c>
    </row>
    <row r="919" spans="1:23" ht="13">
      <c r="A919" t="s">
        <v>4935</v>
      </c>
      <c r="B919" t="s">
        <v>4936</v>
      </c>
      <c r="C919" s="88">
        <v>46149.127800925926</v>
      </c>
      <c r="D919" t="s">
        <v>105</v>
      </c>
      <c r="E919" t="s">
        <v>106</v>
      </c>
      <c r="F919" t="s">
        <v>4937</v>
      </c>
      <c r="G919" t="s">
        <v>4938</v>
      </c>
      <c r="H919" t="s">
        <v>4937</v>
      </c>
      <c r="I919" s="88">
        <v>46140.633912037039</v>
      </c>
      <c r="J919" t="s">
        <v>107</v>
      </c>
      <c r="K919" t="s">
        <v>108</v>
      </c>
      <c r="L919" t="s">
        <v>4939</v>
      </c>
      <c r="M919" s="88">
        <v>46141.475115740745</v>
      </c>
      <c r="N919" t="s">
        <v>637</v>
      </c>
      <c r="O919" t="s">
        <v>112</v>
      </c>
      <c r="P919" t="s">
        <v>111</v>
      </c>
      <c r="Q919" t="s">
        <v>2085</v>
      </c>
      <c r="R919">
        <v>3</v>
      </c>
      <c r="S919" s="89">
        <v>9500</v>
      </c>
      <c r="T919" s="89">
        <v>0</v>
      </c>
      <c r="U919" s="89">
        <v>6270</v>
      </c>
      <c r="V919" s="89">
        <v>6270</v>
      </c>
      <c r="W919" s="89">
        <v>22230</v>
      </c>
    </row>
    <row r="920" spans="1:23" ht="13">
      <c r="A920" t="s">
        <v>4940</v>
      </c>
      <c r="B920" t="s">
        <v>4941</v>
      </c>
      <c r="C920" s="88">
        <v>46149.127210648148</v>
      </c>
      <c r="D920" t="s">
        <v>105</v>
      </c>
      <c r="E920" t="s">
        <v>106</v>
      </c>
      <c r="F920" t="s">
        <v>4942</v>
      </c>
      <c r="G920" t="s">
        <v>4943</v>
      </c>
      <c r="H920" t="s">
        <v>4942</v>
      </c>
      <c r="I920" s="88">
        <v>46140.633969907409</v>
      </c>
      <c r="J920" t="s">
        <v>107</v>
      </c>
      <c r="K920" t="s">
        <v>108</v>
      </c>
      <c r="L920" t="s">
        <v>4944</v>
      </c>
      <c r="M920" s="88">
        <v>46141.59511574074</v>
      </c>
      <c r="N920" t="s">
        <v>637</v>
      </c>
      <c r="O920" t="s">
        <v>112</v>
      </c>
      <c r="P920" t="s">
        <v>111</v>
      </c>
      <c r="Q920" t="s">
        <v>2085</v>
      </c>
      <c r="R920">
        <v>1</v>
      </c>
      <c r="S920" s="89">
        <v>9500</v>
      </c>
      <c r="T920" s="89">
        <v>0</v>
      </c>
      <c r="U920" s="89">
        <v>2190</v>
      </c>
      <c r="V920" s="89">
        <v>2190</v>
      </c>
      <c r="W920" s="89">
        <v>7310</v>
      </c>
    </row>
    <row r="921" spans="1:23" ht="13">
      <c r="A921" t="s">
        <v>4945</v>
      </c>
      <c r="B921" t="s">
        <v>4946</v>
      </c>
      <c r="C921" s="88">
        <v>46149.127210648148</v>
      </c>
      <c r="D921" t="s">
        <v>105</v>
      </c>
      <c r="E921" t="s">
        <v>106</v>
      </c>
      <c r="F921" t="s">
        <v>239</v>
      </c>
      <c r="G921" t="s">
        <v>4947</v>
      </c>
      <c r="H921" t="s">
        <v>239</v>
      </c>
      <c r="I921" s="88">
        <v>46140.633969907409</v>
      </c>
      <c r="J921" t="s">
        <v>107</v>
      </c>
      <c r="K921" t="s">
        <v>108</v>
      </c>
      <c r="L921" t="s">
        <v>4948</v>
      </c>
      <c r="M921" s="88">
        <v>46141.474525462967</v>
      </c>
      <c r="N921" t="s">
        <v>637</v>
      </c>
      <c r="O921" t="s">
        <v>112</v>
      </c>
      <c r="P921" t="s">
        <v>111</v>
      </c>
      <c r="Q921" t="s">
        <v>2085</v>
      </c>
      <c r="R921">
        <v>1</v>
      </c>
      <c r="S921" s="89">
        <v>9500</v>
      </c>
      <c r="T921" s="89">
        <v>0</v>
      </c>
      <c r="U921" s="89">
        <v>2090</v>
      </c>
      <c r="V921" s="89">
        <v>2090</v>
      </c>
      <c r="W921" s="89">
        <v>7410</v>
      </c>
    </row>
    <row r="922" spans="1:23" ht="13">
      <c r="A922" t="s">
        <v>4949</v>
      </c>
      <c r="B922" t="s">
        <v>4950</v>
      </c>
      <c r="C922" s="88">
        <v>46149.127164351856</v>
      </c>
      <c r="D922" t="s">
        <v>105</v>
      </c>
      <c r="E922" t="s">
        <v>106</v>
      </c>
      <c r="F922" t="s">
        <v>4951</v>
      </c>
      <c r="G922" t="s">
        <v>4952</v>
      </c>
      <c r="H922" t="s">
        <v>4951</v>
      </c>
      <c r="I922" s="88">
        <v>46140.633935185186</v>
      </c>
      <c r="J922" t="s">
        <v>107</v>
      </c>
      <c r="K922" t="s">
        <v>108</v>
      </c>
      <c r="L922" t="s">
        <v>4953</v>
      </c>
      <c r="M922" s="88">
        <v>46141.689687499995</v>
      </c>
      <c r="N922" t="s">
        <v>637</v>
      </c>
      <c r="O922" t="s">
        <v>112</v>
      </c>
      <c r="P922" t="s">
        <v>111</v>
      </c>
      <c r="Q922" t="s">
        <v>2085</v>
      </c>
      <c r="R922">
        <v>5</v>
      </c>
      <c r="S922" s="89">
        <v>9500</v>
      </c>
      <c r="T922" s="89">
        <v>0</v>
      </c>
      <c r="U922" s="89">
        <v>10550</v>
      </c>
      <c r="V922" s="89">
        <v>10550</v>
      </c>
      <c r="W922" s="89">
        <v>36950</v>
      </c>
    </row>
    <row r="923" spans="1:23" ht="13">
      <c r="A923" t="s">
        <v>4954</v>
      </c>
      <c r="B923" t="s">
        <v>4955</v>
      </c>
      <c r="C923" s="88">
        <v>46149.127164351856</v>
      </c>
      <c r="D923" t="s">
        <v>105</v>
      </c>
      <c r="E923" t="s">
        <v>106</v>
      </c>
      <c r="F923" t="s">
        <v>3606</v>
      </c>
      <c r="G923" t="s">
        <v>4956</v>
      </c>
      <c r="H923" t="s">
        <v>3606</v>
      </c>
      <c r="I923" s="88">
        <v>46140.633923611109</v>
      </c>
      <c r="J923" t="s">
        <v>107</v>
      </c>
      <c r="K923" t="s">
        <v>108</v>
      </c>
      <c r="L923" t="s">
        <v>4957</v>
      </c>
      <c r="M923" s="88">
        <v>46141.475694444445</v>
      </c>
      <c r="N923" t="s">
        <v>637</v>
      </c>
      <c r="O923" t="s">
        <v>112</v>
      </c>
      <c r="P923" t="s">
        <v>111</v>
      </c>
      <c r="Q923" t="s">
        <v>2085</v>
      </c>
      <c r="R923">
        <v>10</v>
      </c>
      <c r="S923" s="89">
        <v>9500</v>
      </c>
      <c r="T923" s="89">
        <v>0</v>
      </c>
      <c r="U923" s="89">
        <v>33400</v>
      </c>
      <c r="V923" s="89">
        <v>33400</v>
      </c>
      <c r="W923" s="89">
        <v>61600</v>
      </c>
    </row>
    <row r="924" spans="1:23" ht="13">
      <c r="A924" t="s">
        <v>4958</v>
      </c>
      <c r="B924" t="s">
        <v>4959</v>
      </c>
      <c r="C924" s="88">
        <v>46149.127164351856</v>
      </c>
      <c r="D924" t="s">
        <v>105</v>
      </c>
      <c r="E924" t="s">
        <v>106</v>
      </c>
      <c r="F924" t="s">
        <v>4960</v>
      </c>
      <c r="G924" t="s">
        <v>4961</v>
      </c>
      <c r="H924" t="s">
        <v>4960</v>
      </c>
      <c r="I924" s="88">
        <v>46140.633912037039</v>
      </c>
      <c r="J924" t="s">
        <v>107</v>
      </c>
      <c r="K924" t="s">
        <v>108</v>
      </c>
      <c r="L924" t="s">
        <v>4962</v>
      </c>
      <c r="M924" s="88">
        <v>46141.473726851851</v>
      </c>
      <c r="N924" t="s">
        <v>637</v>
      </c>
      <c r="O924" t="s">
        <v>112</v>
      </c>
      <c r="P924" t="s">
        <v>111</v>
      </c>
      <c r="Q924" t="s">
        <v>2085</v>
      </c>
      <c r="R924">
        <v>2</v>
      </c>
      <c r="S924" s="89">
        <v>9500</v>
      </c>
      <c r="T924" s="89">
        <v>0</v>
      </c>
      <c r="U924" s="89">
        <v>4180</v>
      </c>
      <c r="V924" s="89">
        <v>4180</v>
      </c>
      <c r="W924" s="89">
        <v>14820</v>
      </c>
    </row>
    <row r="925" spans="1:23" ht="13">
      <c r="A925" t="s">
        <v>4963</v>
      </c>
      <c r="B925" t="s">
        <v>4964</v>
      </c>
      <c r="C925" s="88">
        <v>46149.127152777779</v>
      </c>
      <c r="D925" t="s">
        <v>105</v>
      </c>
      <c r="E925" t="s">
        <v>106</v>
      </c>
      <c r="F925" t="s">
        <v>300</v>
      </c>
      <c r="G925" t="s">
        <v>4965</v>
      </c>
      <c r="H925" t="s">
        <v>300</v>
      </c>
      <c r="I925" s="88">
        <v>46140.633912037039</v>
      </c>
      <c r="J925" t="s">
        <v>107</v>
      </c>
      <c r="K925" t="s">
        <v>108</v>
      </c>
      <c r="L925" t="s">
        <v>4966</v>
      </c>
      <c r="M925" s="88">
        <v>46141.678530092591</v>
      </c>
      <c r="N925" t="s">
        <v>637</v>
      </c>
      <c r="O925" t="s">
        <v>112</v>
      </c>
      <c r="P925" t="s">
        <v>111</v>
      </c>
      <c r="Q925" t="s">
        <v>2085</v>
      </c>
      <c r="R925">
        <v>2</v>
      </c>
      <c r="S925" s="89">
        <v>9500</v>
      </c>
      <c r="T925" s="89">
        <v>0</v>
      </c>
      <c r="U925" s="89">
        <v>4280</v>
      </c>
      <c r="V925" s="89">
        <v>4280</v>
      </c>
      <c r="W925" s="89">
        <v>14720</v>
      </c>
    </row>
    <row r="926" spans="1:23" ht="13">
      <c r="A926" t="s">
        <v>4967</v>
      </c>
      <c r="B926" t="s">
        <v>4968</v>
      </c>
      <c r="C926" s="88">
        <v>46149.126828703702</v>
      </c>
      <c r="D926" t="s">
        <v>105</v>
      </c>
      <c r="E926" t="s">
        <v>106</v>
      </c>
      <c r="F926" t="s">
        <v>4969</v>
      </c>
      <c r="G926" t="s">
        <v>4970</v>
      </c>
      <c r="H926" t="s">
        <v>4969</v>
      </c>
      <c r="I926" s="88">
        <v>46140.633946759262</v>
      </c>
      <c r="J926" t="s">
        <v>107</v>
      </c>
      <c r="K926" t="s">
        <v>108</v>
      </c>
      <c r="L926" t="s">
        <v>4971</v>
      </c>
      <c r="M926" s="88">
        <v>46141.552812499998</v>
      </c>
      <c r="N926" t="s">
        <v>637</v>
      </c>
      <c r="O926" t="s">
        <v>112</v>
      </c>
      <c r="P926" t="s">
        <v>111</v>
      </c>
      <c r="Q926" t="s">
        <v>2085</v>
      </c>
      <c r="R926">
        <v>3</v>
      </c>
      <c r="S926" s="89">
        <v>9500</v>
      </c>
      <c r="T926" s="89">
        <v>0</v>
      </c>
      <c r="U926" s="89">
        <v>6370</v>
      </c>
      <c r="V926" s="89">
        <v>6370</v>
      </c>
      <c r="W926" s="89">
        <v>22130</v>
      </c>
    </row>
    <row r="927" spans="1:23" ht="13">
      <c r="A927" t="s">
        <v>4972</v>
      </c>
      <c r="B927" t="s">
        <v>4973</v>
      </c>
      <c r="C927" s="88">
        <v>46149.126828703702</v>
      </c>
      <c r="D927" t="s">
        <v>105</v>
      </c>
      <c r="E927" t="s">
        <v>106</v>
      </c>
      <c r="F927" t="s">
        <v>4974</v>
      </c>
      <c r="G927" t="s">
        <v>4975</v>
      </c>
      <c r="H927" t="s">
        <v>4974</v>
      </c>
      <c r="I927" s="88">
        <v>46140.633946759262</v>
      </c>
      <c r="J927" t="s">
        <v>107</v>
      </c>
      <c r="K927" t="s">
        <v>108</v>
      </c>
      <c r="L927" t="s">
        <v>4976</v>
      </c>
      <c r="M927" s="88">
        <v>46141.679942129631</v>
      </c>
      <c r="N927" t="s">
        <v>637</v>
      </c>
      <c r="O927" t="s">
        <v>112</v>
      </c>
      <c r="P927" t="s">
        <v>111</v>
      </c>
      <c r="Q927" t="s">
        <v>2085</v>
      </c>
      <c r="R927">
        <v>2</v>
      </c>
      <c r="S927" s="89">
        <v>9500</v>
      </c>
      <c r="T927" s="89">
        <v>0</v>
      </c>
      <c r="U927" s="89">
        <v>4180</v>
      </c>
      <c r="V927" s="89">
        <v>4180</v>
      </c>
      <c r="W927" s="89">
        <v>14820</v>
      </c>
    </row>
    <row r="928" spans="1:23" ht="13">
      <c r="A928" t="s">
        <v>4977</v>
      </c>
      <c r="B928" t="s">
        <v>4978</v>
      </c>
      <c r="C928" s="88">
        <v>46149.126817129625</v>
      </c>
      <c r="D928" t="s">
        <v>105</v>
      </c>
      <c r="E928" t="s">
        <v>106</v>
      </c>
      <c r="F928" t="s">
        <v>4979</v>
      </c>
      <c r="G928" t="s">
        <v>4980</v>
      </c>
      <c r="H928" t="s">
        <v>4979</v>
      </c>
      <c r="I928" s="88">
        <v>46140.633923611109</v>
      </c>
      <c r="J928" t="s">
        <v>107</v>
      </c>
      <c r="K928" t="s">
        <v>108</v>
      </c>
      <c r="L928" t="s">
        <v>4981</v>
      </c>
      <c r="M928" s="88">
        <v>46141.740590277783</v>
      </c>
      <c r="N928" t="s">
        <v>637</v>
      </c>
      <c r="O928" t="s">
        <v>112</v>
      </c>
      <c r="P928" t="s">
        <v>111</v>
      </c>
      <c r="Q928" t="s">
        <v>2085</v>
      </c>
      <c r="R928">
        <v>6</v>
      </c>
      <c r="S928" s="89">
        <v>9500</v>
      </c>
      <c r="T928" s="89">
        <v>0</v>
      </c>
      <c r="U928" s="89">
        <v>20080</v>
      </c>
      <c r="V928" s="89">
        <v>20080</v>
      </c>
      <c r="W928" s="89">
        <v>36920</v>
      </c>
    </row>
    <row r="929" spans="1:23" ht="13">
      <c r="A929" t="s">
        <v>4982</v>
      </c>
      <c r="B929" t="s">
        <v>4983</v>
      </c>
      <c r="C929" s="88">
        <v>46149.126817129625</v>
      </c>
      <c r="D929" t="s">
        <v>105</v>
      </c>
      <c r="E929" t="s">
        <v>106</v>
      </c>
      <c r="F929" t="s">
        <v>274</v>
      </c>
      <c r="G929" t="s">
        <v>4984</v>
      </c>
      <c r="H929" t="s">
        <v>274</v>
      </c>
      <c r="I929" s="88">
        <v>46140.633923611109</v>
      </c>
      <c r="J929" t="s">
        <v>107</v>
      </c>
      <c r="K929" t="s">
        <v>108</v>
      </c>
      <c r="L929" t="s">
        <v>4985</v>
      </c>
      <c r="M929" s="88">
        <v>46141.470914351856</v>
      </c>
      <c r="N929" t="s">
        <v>637</v>
      </c>
      <c r="O929" t="s">
        <v>112</v>
      </c>
      <c r="P929" t="s">
        <v>111</v>
      </c>
      <c r="Q929" t="s">
        <v>2085</v>
      </c>
      <c r="R929">
        <v>7</v>
      </c>
      <c r="S929" s="89">
        <v>9500</v>
      </c>
      <c r="T929" s="89">
        <v>0</v>
      </c>
      <c r="U929" s="89">
        <v>23410</v>
      </c>
      <c r="V929" s="89">
        <v>23410</v>
      </c>
      <c r="W929" s="89">
        <v>43090</v>
      </c>
    </row>
    <row r="930" spans="1:23" ht="13">
      <c r="A930" t="s">
        <v>4986</v>
      </c>
      <c r="B930" t="s">
        <v>4987</v>
      </c>
      <c r="C930" s="88">
        <v>46149.126805555556</v>
      </c>
      <c r="D930" t="s">
        <v>105</v>
      </c>
      <c r="E930" t="s">
        <v>106</v>
      </c>
      <c r="F930" t="s">
        <v>4988</v>
      </c>
      <c r="G930" t="s">
        <v>4989</v>
      </c>
      <c r="H930" t="s">
        <v>4990</v>
      </c>
      <c r="I930" s="88">
        <v>46140.633912037039</v>
      </c>
      <c r="J930" t="s">
        <v>107</v>
      </c>
      <c r="K930" t="s">
        <v>108</v>
      </c>
      <c r="L930" t="s">
        <v>4991</v>
      </c>
      <c r="M930" s="88">
        <v>46141.692141203705</v>
      </c>
      <c r="N930" t="s">
        <v>637</v>
      </c>
      <c r="O930" t="s">
        <v>112</v>
      </c>
      <c r="P930" t="s">
        <v>111</v>
      </c>
      <c r="Q930" t="s">
        <v>2085</v>
      </c>
      <c r="R930">
        <v>6</v>
      </c>
      <c r="S930" s="89">
        <v>9500</v>
      </c>
      <c r="T930" s="89">
        <v>0</v>
      </c>
      <c r="U930" s="89">
        <v>20080</v>
      </c>
      <c r="V930" s="89">
        <v>20080</v>
      </c>
      <c r="W930" s="89">
        <v>36920</v>
      </c>
    </row>
    <row r="931" spans="1:23" ht="13">
      <c r="A931" t="s">
        <v>4992</v>
      </c>
      <c r="B931" t="s">
        <v>4993</v>
      </c>
      <c r="C931" s="88">
        <v>46149.126805555556</v>
      </c>
      <c r="D931" t="s">
        <v>105</v>
      </c>
      <c r="E931" t="s">
        <v>106</v>
      </c>
      <c r="F931" t="s">
        <v>4994</v>
      </c>
      <c r="G931" t="s">
        <v>4995</v>
      </c>
      <c r="H931" t="s">
        <v>4994</v>
      </c>
      <c r="I931" s="88">
        <v>46140.633912037039</v>
      </c>
      <c r="J931" t="s">
        <v>107</v>
      </c>
      <c r="K931" t="s">
        <v>108</v>
      </c>
      <c r="L931" t="s">
        <v>4996</v>
      </c>
      <c r="M931" s="88">
        <v>46141.678518518514</v>
      </c>
      <c r="N931" t="s">
        <v>637</v>
      </c>
      <c r="O931" t="s">
        <v>112</v>
      </c>
      <c r="P931" t="s">
        <v>111</v>
      </c>
      <c r="Q931" t="s">
        <v>2085</v>
      </c>
      <c r="R931">
        <v>2</v>
      </c>
      <c r="S931" s="89">
        <v>9500</v>
      </c>
      <c r="T931" s="89">
        <v>0</v>
      </c>
      <c r="U931" s="89">
        <v>4280</v>
      </c>
      <c r="V931" s="89">
        <v>4280</v>
      </c>
      <c r="W931" s="89">
        <v>14720</v>
      </c>
    </row>
    <row r="932" spans="1:23" ht="13">
      <c r="A932" t="s">
        <v>4997</v>
      </c>
      <c r="B932" t="s">
        <v>4998</v>
      </c>
      <c r="C932" s="88">
        <v>46149.126793981486</v>
      </c>
      <c r="D932" t="s">
        <v>105</v>
      </c>
      <c r="E932" t="s">
        <v>106</v>
      </c>
      <c r="F932" t="s">
        <v>2769</v>
      </c>
      <c r="G932" t="s">
        <v>4999</v>
      </c>
      <c r="H932" t="s">
        <v>2769</v>
      </c>
      <c r="I932" s="88">
        <v>46140.633912037039</v>
      </c>
      <c r="J932" t="s">
        <v>107</v>
      </c>
      <c r="K932" t="s">
        <v>108</v>
      </c>
      <c r="L932" t="s">
        <v>5000</v>
      </c>
      <c r="M932" s="88">
        <v>46141.55</v>
      </c>
      <c r="N932" t="s">
        <v>637</v>
      </c>
      <c r="O932" t="s">
        <v>112</v>
      </c>
      <c r="P932" t="s">
        <v>111</v>
      </c>
      <c r="Q932" t="s">
        <v>2085</v>
      </c>
      <c r="R932">
        <v>2</v>
      </c>
      <c r="S932" s="89">
        <v>9500</v>
      </c>
      <c r="T932" s="89">
        <v>0</v>
      </c>
      <c r="U932" s="89">
        <v>4180</v>
      </c>
      <c r="V932" s="89">
        <v>4180</v>
      </c>
      <c r="W932" s="89">
        <v>14820</v>
      </c>
    </row>
    <row r="933" spans="1:23" ht="13">
      <c r="A933" t="s">
        <v>5001</v>
      </c>
      <c r="B933" t="s">
        <v>5002</v>
      </c>
      <c r="C933" s="88">
        <v>46149.126793981486</v>
      </c>
      <c r="D933" t="s">
        <v>105</v>
      </c>
      <c r="E933" t="s">
        <v>106</v>
      </c>
      <c r="F933" t="s">
        <v>5003</v>
      </c>
      <c r="G933" t="s">
        <v>5004</v>
      </c>
      <c r="H933" t="s">
        <v>5003</v>
      </c>
      <c r="I933" s="88">
        <v>46140.633900462963</v>
      </c>
      <c r="J933" t="s">
        <v>107</v>
      </c>
      <c r="K933" t="s">
        <v>108</v>
      </c>
      <c r="L933" t="s">
        <v>5005</v>
      </c>
      <c r="M933" s="88">
        <v>46141.555798611109</v>
      </c>
      <c r="N933" t="s">
        <v>637</v>
      </c>
      <c r="O933" t="s">
        <v>112</v>
      </c>
      <c r="P933" t="s">
        <v>111</v>
      </c>
      <c r="Q933" t="s">
        <v>2085</v>
      </c>
      <c r="R933">
        <v>2</v>
      </c>
      <c r="S933" s="89">
        <v>9500</v>
      </c>
      <c r="T933" s="89">
        <v>0</v>
      </c>
      <c r="U933" s="89">
        <v>4180</v>
      </c>
      <c r="V933" s="89">
        <v>4180</v>
      </c>
      <c r="W933" s="89">
        <v>14820</v>
      </c>
    </row>
    <row r="934" spans="1:23" ht="13">
      <c r="A934" t="s">
        <v>5006</v>
      </c>
      <c r="B934" t="s">
        <v>5007</v>
      </c>
      <c r="C934" s="88">
        <v>46149.126793981486</v>
      </c>
      <c r="D934" t="s">
        <v>105</v>
      </c>
      <c r="E934" t="s">
        <v>106</v>
      </c>
      <c r="F934" t="s">
        <v>5008</v>
      </c>
      <c r="G934" t="s">
        <v>5009</v>
      </c>
      <c r="H934" t="s">
        <v>5008</v>
      </c>
      <c r="I934" s="88">
        <v>46140.633900462963</v>
      </c>
      <c r="J934" t="s">
        <v>107</v>
      </c>
      <c r="K934" t="s">
        <v>108</v>
      </c>
      <c r="L934" t="s">
        <v>5010</v>
      </c>
      <c r="M934" s="88">
        <v>46141.558344907404</v>
      </c>
      <c r="N934" t="s">
        <v>637</v>
      </c>
      <c r="O934" t="s">
        <v>112</v>
      </c>
      <c r="P934" t="s">
        <v>111</v>
      </c>
      <c r="Q934" t="s">
        <v>2085</v>
      </c>
      <c r="R934">
        <v>6</v>
      </c>
      <c r="S934" s="89">
        <v>9500</v>
      </c>
      <c r="T934" s="89">
        <v>0</v>
      </c>
      <c r="U934" s="89">
        <v>19980</v>
      </c>
      <c r="V934" s="89">
        <v>19980</v>
      </c>
      <c r="W934" s="89">
        <v>37020</v>
      </c>
    </row>
    <row r="935" spans="1:23" ht="13">
      <c r="A935" t="s">
        <v>5011</v>
      </c>
      <c r="B935" t="s">
        <v>5012</v>
      </c>
      <c r="C935" s="88">
        <v>46149.126793981486</v>
      </c>
      <c r="D935" t="s">
        <v>105</v>
      </c>
      <c r="E935" t="s">
        <v>106</v>
      </c>
      <c r="F935" t="s">
        <v>5013</v>
      </c>
      <c r="G935" t="s">
        <v>5014</v>
      </c>
      <c r="H935" t="s">
        <v>5013</v>
      </c>
      <c r="I935" s="88">
        <v>46140.633900462963</v>
      </c>
      <c r="J935" t="s">
        <v>107</v>
      </c>
      <c r="K935" t="s">
        <v>108</v>
      </c>
      <c r="L935" t="s">
        <v>5015</v>
      </c>
      <c r="M935" s="88">
        <v>46141.500231481477</v>
      </c>
      <c r="N935" t="s">
        <v>637</v>
      </c>
      <c r="O935" t="s">
        <v>112</v>
      </c>
      <c r="P935" t="s">
        <v>111</v>
      </c>
      <c r="Q935" t="s">
        <v>2085</v>
      </c>
      <c r="R935">
        <v>6</v>
      </c>
      <c r="S935" s="89">
        <v>9500</v>
      </c>
      <c r="T935" s="89">
        <v>0</v>
      </c>
      <c r="U935" s="89">
        <v>19980</v>
      </c>
      <c r="V935" s="89">
        <v>19980</v>
      </c>
      <c r="W935" s="89">
        <v>37020</v>
      </c>
    </row>
    <row r="936" spans="1:23" ht="13">
      <c r="A936" t="s">
        <v>5016</v>
      </c>
      <c r="B936" t="s">
        <v>5017</v>
      </c>
      <c r="C936" s="88">
        <v>46149.106099537035</v>
      </c>
      <c r="D936" t="s">
        <v>105</v>
      </c>
      <c r="E936" t="s">
        <v>106</v>
      </c>
      <c r="F936" t="s">
        <v>5018</v>
      </c>
      <c r="G936" t="s">
        <v>5019</v>
      </c>
      <c r="H936" t="s">
        <v>5018</v>
      </c>
      <c r="I936" s="88">
        <v>46140.633935185186</v>
      </c>
      <c r="J936" t="s">
        <v>107</v>
      </c>
      <c r="K936" t="s">
        <v>108</v>
      </c>
      <c r="L936" t="s">
        <v>5020</v>
      </c>
      <c r="M936" s="88">
        <v>46141.677951388891</v>
      </c>
      <c r="N936" t="s">
        <v>637</v>
      </c>
      <c r="O936" t="s">
        <v>112</v>
      </c>
      <c r="P936" t="s">
        <v>111</v>
      </c>
      <c r="Q936" t="s">
        <v>2085</v>
      </c>
      <c r="R936">
        <v>3</v>
      </c>
      <c r="S936" s="89">
        <v>9500</v>
      </c>
      <c r="T936" s="89">
        <v>0</v>
      </c>
      <c r="U936" s="89">
        <v>6270</v>
      </c>
      <c r="V936" s="89">
        <v>6270</v>
      </c>
      <c r="W936" s="89">
        <v>22230</v>
      </c>
    </row>
    <row r="937" spans="1:23" ht="13">
      <c r="A937" t="s">
        <v>5021</v>
      </c>
      <c r="B937" t="s">
        <v>5022</v>
      </c>
      <c r="C937" s="88">
        <v>46149.106099537035</v>
      </c>
      <c r="D937" t="s">
        <v>105</v>
      </c>
      <c r="E937" t="s">
        <v>106</v>
      </c>
      <c r="F937" t="s">
        <v>5023</v>
      </c>
      <c r="G937" t="s">
        <v>5024</v>
      </c>
      <c r="H937" t="s">
        <v>5023</v>
      </c>
      <c r="I937" s="88">
        <v>46140.633912037039</v>
      </c>
      <c r="J937" t="s">
        <v>107</v>
      </c>
      <c r="K937" t="s">
        <v>108</v>
      </c>
      <c r="L937" t="s">
        <v>5025</v>
      </c>
      <c r="M937" s="88">
        <v>46141.476504629631</v>
      </c>
      <c r="N937" t="s">
        <v>637</v>
      </c>
      <c r="O937" t="s">
        <v>112</v>
      </c>
      <c r="P937" t="s">
        <v>111</v>
      </c>
      <c r="Q937" t="s">
        <v>2085</v>
      </c>
      <c r="R937">
        <v>6</v>
      </c>
      <c r="S937" s="89">
        <v>9500</v>
      </c>
      <c r="T937" s="89">
        <v>0</v>
      </c>
      <c r="U937" s="89">
        <v>19980</v>
      </c>
      <c r="V937" s="89">
        <v>19980</v>
      </c>
      <c r="W937" s="89">
        <v>37020</v>
      </c>
    </row>
    <row r="938" spans="1:23" ht="13">
      <c r="A938" t="s">
        <v>5026</v>
      </c>
      <c r="B938" t="s">
        <v>5027</v>
      </c>
      <c r="C938" s="88">
        <v>46149.106087962966</v>
      </c>
      <c r="D938" t="s">
        <v>105</v>
      </c>
      <c r="E938" t="s">
        <v>106</v>
      </c>
      <c r="F938" t="s">
        <v>5028</v>
      </c>
      <c r="G938" t="s">
        <v>5029</v>
      </c>
      <c r="H938" t="s">
        <v>5028</v>
      </c>
      <c r="I938" s="88">
        <v>46140.633900462963</v>
      </c>
      <c r="J938" t="s">
        <v>107</v>
      </c>
      <c r="K938" t="s">
        <v>108</v>
      </c>
      <c r="L938" t="s">
        <v>5030</v>
      </c>
      <c r="M938" s="88">
        <v>46141.740590277783</v>
      </c>
      <c r="N938" t="s">
        <v>637</v>
      </c>
      <c r="O938" t="s">
        <v>112</v>
      </c>
      <c r="P938" t="s">
        <v>111</v>
      </c>
      <c r="Q938" t="s">
        <v>2085</v>
      </c>
      <c r="R938">
        <v>7</v>
      </c>
      <c r="S938" s="89">
        <v>9500</v>
      </c>
      <c r="T938" s="89">
        <v>0</v>
      </c>
      <c r="U938" s="89">
        <v>23410</v>
      </c>
      <c r="V938" s="89">
        <v>23410</v>
      </c>
      <c r="W938" s="89">
        <v>43090</v>
      </c>
    </row>
    <row r="939" spans="1:23" ht="13">
      <c r="A939" t="s">
        <v>5031</v>
      </c>
      <c r="B939" t="s">
        <v>5032</v>
      </c>
      <c r="C939" s="88">
        <v>46149.106087962966</v>
      </c>
      <c r="D939" t="s">
        <v>105</v>
      </c>
      <c r="E939" t="s">
        <v>106</v>
      </c>
      <c r="F939" t="s">
        <v>5033</v>
      </c>
      <c r="G939" t="s">
        <v>5034</v>
      </c>
      <c r="H939" t="s">
        <v>5033</v>
      </c>
      <c r="I939" s="88">
        <v>46140.633900462963</v>
      </c>
      <c r="J939" t="s">
        <v>107</v>
      </c>
      <c r="K939" t="s">
        <v>108</v>
      </c>
      <c r="L939" t="s">
        <v>5035</v>
      </c>
      <c r="M939" s="88">
        <v>46141.970983796295</v>
      </c>
      <c r="N939" t="s">
        <v>637</v>
      </c>
      <c r="O939" t="s">
        <v>112</v>
      </c>
      <c r="P939" t="s">
        <v>111</v>
      </c>
      <c r="Q939" t="s">
        <v>2085</v>
      </c>
      <c r="R939">
        <v>7</v>
      </c>
      <c r="S939" s="89">
        <v>9500</v>
      </c>
      <c r="T939" s="89">
        <v>0</v>
      </c>
      <c r="U939" s="89">
        <v>23410</v>
      </c>
      <c r="V939" s="89">
        <v>23410</v>
      </c>
      <c r="W939" s="89">
        <v>43090</v>
      </c>
    </row>
    <row r="940" spans="1:23" ht="13">
      <c r="A940" t="s">
        <v>5036</v>
      </c>
      <c r="B940" t="s">
        <v>5037</v>
      </c>
      <c r="C940" s="88">
        <v>46149.106087962966</v>
      </c>
      <c r="D940" t="s">
        <v>105</v>
      </c>
      <c r="E940" t="s">
        <v>106</v>
      </c>
      <c r="F940" t="s">
        <v>5038</v>
      </c>
      <c r="G940" t="s">
        <v>5039</v>
      </c>
      <c r="H940" t="s">
        <v>5038</v>
      </c>
      <c r="I940" s="88">
        <v>46140.633900462963</v>
      </c>
      <c r="J940" t="s">
        <v>107</v>
      </c>
      <c r="K940" t="s">
        <v>108</v>
      </c>
      <c r="L940" t="s">
        <v>5040</v>
      </c>
      <c r="M940" s="88">
        <v>46141.500231481477</v>
      </c>
      <c r="N940" t="s">
        <v>637</v>
      </c>
      <c r="O940" t="s">
        <v>112</v>
      </c>
      <c r="P940" t="s">
        <v>111</v>
      </c>
      <c r="Q940" t="s">
        <v>2085</v>
      </c>
      <c r="R940">
        <v>2</v>
      </c>
      <c r="S940" s="89">
        <v>9500</v>
      </c>
      <c r="T940" s="89">
        <v>0</v>
      </c>
      <c r="U940" s="89">
        <v>4280</v>
      </c>
      <c r="V940" s="89">
        <v>4280</v>
      </c>
      <c r="W940" s="89">
        <v>14720</v>
      </c>
    </row>
    <row r="941" spans="1:23" ht="13">
      <c r="A941" t="s">
        <v>5041</v>
      </c>
      <c r="B941" t="s">
        <v>5042</v>
      </c>
      <c r="C941" s="88">
        <v>46149.105150462958</v>
      </c>
      <c r="D941" t="s">
        <v>105</v>
      </c>
      <c r="E941" t="s">
        <v>106</v>
      </c>
      <c r="F941" t="s">
        <v>296</v>
      </c>
      <c r="G941" t="s">
        <v>5043</v>
      </c>
      <c r="H941" t="s">
        <v>296</v>
      </c>
      <c r="I941" s="88">
        <v>46140.633958333332</v>
      </c>
      <c r="J941" t="s">
        <v>107</v>
      </c>
      <c r="K941" t="s">
        <v>108</v>
      </c>
      <c r="L941" t="s">
        <v>5044</v>
      </c>
      <c r="M941" s="88">
        <v>46141.555717592593</v>
      </c>
      <c r="N941" t="s">
        <v>637</v>
      </c>
      <c r="O941" t="s">
        <v>112</v>
      </c>
      <c r="P941" t="s">
        <v>111</v>
      </c>
      <c r="Q941" t="s">
        <v>2085</v>
      </c>
      <c r="R941">
        <v>1</v>
      </c>
      <c r="S941" s="89">
        <v>9500</v>
      </c>
      <c r="T941" s="89">
        <v>0</v>
      </c>
      <c r="U941" s="89">
        <v>2090</v>
      </c>
      <c r="V941" s="89">
        <v>2090</v>
      </c>
      <c r="W941" s="89">
        <v>7410</v>
      </c>
    </row>
    <row r="942" spans="1:23" ht="13">
      <c r="A942" t="s">
        <v>5045</v>
      </c>
      <c r="B942" t="s">
        <v>5046</v>
      </c>
      <c r="C942" s="88">
        <v>46149.105138888888</v>
      </c>
      <c r="D942" t="s">
        <v>105</v>
      </c>
      <c r="E942" t="s">
        <v>106</v>
      </c>
      <c r="F942" t="s">
        <v>5047</v>
      </c>
      <c r="G942" t="s">
        <v>5048</v>
      </c>
      <c r="H942" t="s">
        <v>5047</v>
      </c>
      <c r="I942" s="88">
        <v>46140.633923611109</v>
      </c>
      <c r="J942" t="s">
        <v>107</v>
      </c>
      <c r="K942" t="s">
        <v>108</v>
      </c>
      <c r="L942" t="s">
        <v>5049</v>
      </c>
      <c r="M942" s="88">
        <v>46141.475763888884</v>
      </c>
      <c r="N942" t="s">
        <v>637</v>
      </c>
      <c r="O942" t="s">
        <v>112</v>
      </c>
      <c r="P942" t="s">
        <v>111</v>
      </c>
      <c r="Q942" t="s">
        <v>2085</v>
      </c>
      <c r="R942">
        <v>6</v>
      </c>
      <c r="S942" s="89">
        <v>9500</v>
      </c>
      <c r="T942" s="89">
        <v>0</v>
      </c>
      <c r="U942" s="89">
        <v>20080</v>
      </c>
      <c r="V942" s="89">
        <v>20080</v>
      </c>
      <c r="W942" s="89">
        <v>36920</v>
      </c>
    </row>
    <row r="943" spans="1:23" ht="13">
      <c r="A943" t="s">
        <v>5050</v>
      </c>
      <c r="B943" t="s">
        <v>5051</v>
      </c>
      <c r="C943" s="88">
        <v>46149.105138888888</v>
      </c>
      <c r="D943" t="s">
        <v>105</v>
      </c>
      <c r="E943" t="s">
        <v>106</v>
      </c>
      <c r="F943" t="s">
        <v>5052</v>
      </c>
      <c r="G943" t="s">
        <v>5053</v>
      </c>
      <c r="H943" t="s">
        <v>5052</v>
      </c>
      <c r="I943" s="88">
        <v>46140.633912037039</v>
      </c>
      <c r="J943" t="s">
        <v>107</v>
      </c>
      <c r="K943" t="s">
        <v>108</v>
      </c>
      <c r="L943" t="s">
        <v>5054</v>
      </c>
      <c r="M943" s="88">
        <v>46141.500231481477</v>
      </c>
      <c r="N943" t="s">
        <v>637</v>
      </c>
      <c r="O943" t="s">
        <v>112</v>
      </c>
      <c r="P943" t="s">
        <v>111</v>
      </c>
      <c r="Q943" t="s">
        <v>2085</v>
      </c>
      <c r="R943">
        <v>6</v>
      </c>
      <c r="S943" s="89">
        <v>9500</v>
      </c>
      <c r="T943" s="89">
        <v>0</v>
      </c>
      <c r="U943" s="89">
        <v>20080</v>
      </c>
      <c r="V943" s="89">
        <v>20080</v>
      </c>
      <c r="W943" s="89">
        <v>36920</v>
      </c>
    </row>
    <row r="944" spans="1:23" ht="13">
      <c r="A944" t="s">
        <v>5055</v>
      </c>
      <c r="B944" t="s">
        <v>5056</v>
      </c>
      <c r="C944" s="88">
        <v>46149.105127314819</v>
      </c>
      <c r="D944" t="s">
        <v>105</v>
      </c>
      <c r="E944" t="s">
        <v>106</v>
      </c>
      <c r="F944" t="s">
        <v>5057</v>
      </c>
      <c r="G944" t="s">
        <v>5058</v>
      </c>
      <c r="H944" t="s">
        <v>5057</v>
      </c>
      <c r="I944" s="88">
        <v>46140.633912037039</v>
      </c>
      <c r="J944" t="s">
        <v>107</v>
      </c>
      <c r="K944" t="s">
        <v>108</v>
      </c>
      <c r="L944" t="s">
        <v>5059</v>
      </c>
      <c r="M944" s="88">
        <v>46141.687569444446</v>
      </c>
      <c r="N944" t="s">
        <v>637</v>
      </c>
      <c r="O944" t="s">
        <v>112</v>
      </c>
      <c r="P944" t="s">
        <v>111</v>
      </c>
      <c r="Q944" t="s">
        <v>2085</v>
      </c>
      <c r="R944">
        <v>5</v>
      </c>
      <c r="S944" s="89">
        <v>9500</v>
      </c>
      <c r="T944" s="89">
        <v>0</v>
      </c>
      <c r="U944" s="89">
        <v>10450</v>
      </c>
      <c r="V944" s="89">
        <v>10450</v>
      </c>
      <c r="W944" s="89">
        <v>37050</v>
      </c>
    </row>
    <row r="945" spans="1:23" ht="13">
      <c r="A945" t="s">
        <v>5060</v>
      </c>
      <c r="B945" t="s">
        <v>5061</v>
      </c>
      <c r="C945" s="88">
        <v>46149.105127314819</v>
      </c>
      <c r="D945" t="s">
        <v>105</v>
      </c>
      <c r="E945" t="s">
        <v>106</v>
      </c>
      <c r="F945" t="s">
        <v>5062</v>
      </c>
      <c r="G945" t="s">
        <v>2226</v>
      </c>
      <c r="H945" t="s">
        <v>5062</v>
      </c>
      <c r="I945" s="88">
        <v>46140.633900462963</v>
      </c>
      <c r="J945" t="s">
        <v>107</v>
      </c>
      <c r="K945" t="s">
        <v>108</v>
      </c>
      <c r="L945" t="s">
        <v>5063</v>
      </c>
      <c r="M945" s="88">
        <v>46141.550011574072</v>
      </c>
      <c r="N945" t="s">
        <v>637</v>
      </c>
      <c r="O945" t="s">
        <v>112</v>
      </c>
      <c r="P945" t="s">
        <v>111</v>
      </c>
      <c r="Q945" t="s">
        <v>2085</v>
      </c>
      <c r="R945">
        <v>6</v>
      </c>
      <c r="S945" s="89">
        <v>9500</v>
      </c>
      <c r="T945" s="89">
        <v>0</v>
      </c>
      <c r="U945" s="89">
        <v>20080</v>
      </c>
      <c r="V945" s="89">
        <v>20080</v>
      </c>
      <c r="W945" s="89">
        <v>36920</v>
      </c>
    </row>
    <row r="946" spans="1:23" ht="13">
      <c r="A946" t="s">
        <v>5064</v>
      </c>
      <c r="B946" t="s">
        <v>5065</v>
      </c>
      <c r="C946" s="88">
        <v>46149.105127314819</v>
      </c>
      <c r="D946" t="s">
        <v>105</v>
      </c>
      <c r="E946" t="s">
        <v>106</v>
      </c>
      <c r="F946" t="s">
        <v>287</v>
      </c>
      <c r="G946" t="s">
        <v>5066</v>
      </c>
      <c r="H946" t="s">
        <v>287</v>
      </c>
      <c r="I946" s="88">
        <v>46140.633900462963</v>
      </c>
      <c r="J946" t="s">
        <v>107</v>
      </c>
      <c r="K946" t="s">
        <v>108</v>
      </c>
      <c r="L946" t="s">
        <v>5067</v>
      </c>
      <c r="M946" s="88">
        <v>46141.678506944445</v>
      </c>
      <c r="N946" t="s">
        <v>637</v>
      </c>
      <c r="O946" t="s">
        <v>112</v>
      </c>
      <c r="P946" t="s">
        <v>111</v>
      </c>
      <c r="Q946" t="s">
        <v>2085</v>
      </c>
      <c r="R946">
        <v>3</v>
      </c>
      <c r="S946" s="89">
        <v>9500</v>
      </c>
      <c r="T946" s="89">
        <v>0</v>
      </c>
      <c r="U946" s="89">
        <v>6370</v>
      </c>
      <c r="V946" s="89">
        <v>6370</v>
      </c>
      <c r="W946" s="89">
        <v>22130</v>
      </c>
    </row>
    <row r="947" spans="1:23" ht="13">
      <c r="A947" t="s">
        <v>5068</v>
      </c>
      <c r="B947" t="s">
        <v>5069</v>
      </c>
      <c r="C947" s="88">
        <v>46149.104942129634</v>
      </c>
      <c r="D947" t="s">
        <v>105</v>
      </c>
      <c r="E947" t="s">
        <v>106</v>
      </c>
      <c r="F947" t="s">
        <v>5070</v>
      </c>
      <c r="G947" t="s">
        <v>5071</v>
      </c>
      <c r="H947" t="s">
        <v>5070</v>
      </c>
      <c r="I947" s="88">
        <v>46140.633969907409</v>
      </c>
      <c r="J947" t="s">
        <v>107</v>
      </c>
      <c r="K947" t="s">
        <v>108</v>
      </c>
      <c r="L947" t="s">
        <v>5072</v>
      </c>
      <c r="M947" s="88">
        <v>46141.555717592593</v>
      </c>
      <c r="N947" t="s">
        <v>637</v>
      </c>
      <c r="O947" t="s">
        <v>112</v>
      </c>
      <c r="P947" t="s">
        <v>111</v>
      </c>
      <c r="Q947" t="s">
        <v>2085</v>
      </c>
      <c r="R947">
        <v>1</v>
      </c>
      <c r="S947" s="89">
        <v>9500</v>
      </c>
      <c r="T947" s="89">
        <v>0</v>
      </c>
      <c r="U947" s="89">
        <v>2190</v>
      </c>
      <c r="V947" s="89">
        <v>2190</v>
      </c>
      <c r="W947" s="89">
        <v>7310</v>
      </c>
    </row>
    <row r="948" spans="1:23" ht="13">
      <c r="A948" t="s">
        <v>5073</v>
      </c>
      <c r="B948" t="s">
        <v>5074</v>
      </c>
      <c r="C948" s="88">
        <v>46149.104907407411</v>
      </c>
      <c r="D948" t="s">
        <v>105</v>
      </c>
      <c r="E948" t="s">
        <v>106</v>
      </c>
      <c r="F948" t="s">
        <v>388</v>
      </c>
      <c r="G948" t="s">
        <v>5075</v>
      </c>
      <c r="H948" t="s">
        <v>388</v>
      </c>
      <c r="I948" s="88">
        <v>46140.633946759262</v>
      </c>
      <c r="J948" t="s">
        <v>107</v>
      </c>
      <c r="K948" t="s">
        <v>108</v>
      </c>
      <c r="L948" t="s">
        <v>5076</v>
      </c>
      <c r="M948" s="88">
        <v>46141.740601851852</v>
      </c>
      <c r="N948" t="s">
        <v>637</v>
      </c>
      <c r="O948" t="s">
        <v>112</v>
      </c>
      <c r="P948" t="s">
        <v>111</v>
      </c>
      <c r="Q948" t="s">
        <v>2085</v>
      </c>
      <c r="R948">
        <v>2</v>
      </c>
      <c r="S948" s="89">
        <v>9500</v>
      </c>
      <c r="T948" s="89">
        <v>0</v>
      </c>
      <c r="U948" s="89">
        <v>4280</v>
      </c>
      <c r="V948" s="89">
        <v>4280</v>
      </c>
      <c r="W948" s="89">
        <v>14720</v>
      </c>
    </row>
    <row r="949" spans="1:23" ht="13">
      <c r="A949" t="s">
        <v>5077</v>
      </c>
      <c r="B949" t="s">
        <v>5078</v>
      </c>
      <c r="C949" s="88">
        <v>46149.104907407411</v>
      </c>
      <c r="D949" t="s">
        <v>105</v>
      </c>
      <c r="E949" t="s">
        <v>106</v>
      </c>
      <c r="F949" t="s">
        <v>5079</v>
      </c>
      <c r="G949" t="s">
        <v>5080</v>
      </c>
      <c r="H949" t="s">
        <v>5079</v>
      </c>
      <c r="I949" s="88">
        <v>46140.633946759262</v>
      </c>
      <c r="J949" t="s">
        <v>107</v>
      </c>
      <c r="K949" t="s">
        <v>108</v>
      </c>
      <c r="L949" t="s">
        <v>5081</v>
      </c>
      <c r="M949" s="88">
        <v>46141.740590277783</v>
      </c>
      <c r="N949" t="s">
        <v>637</v>
      </c>
      <c r="O949" t="s">
        <v>112</v>
      </c>
      <c r="P949" t="s">
        <v>111</v>
      </c>
      <c r="Q949" t="s">
        <v>2085</v>
      </c>
      <c r="R949">
        <v>3</v>
      </c>
      <c r="S949" s="89">
        <v>9500</v>
      </c>
      <c r="T949" s="89">
        <v>0</v>
      </c>
      <c r="U949" s="89">
        <v>6270</v>
      </c>
      <c r="V949" s="89">
        <v>6270</v>
      </c>
      <c r="W949" s="89">
        <v>22230</v>
      </c>
    </row>
    <row r="950" spans="1:23" ht="13">
      <c r="A950" t="s">
        <v>5082</v>
      </c>
      <c r="B950" t="s">
        <v>5083</v>
      </c>
      <c r="C950" s="88">
        <v>46149.104907407411</v>
      </c>
      <c r="D950" t="s">
        <v>105</v>
      </c>
      <c r="E950" t="s">
        <v>106</v>
      </c>
      <c r="F950" t="s">
        <v>4746</v>
      </c>
      <c r="G950" t="s">
        <v>5084</v>
      </c>
      <c r="H950" t="s">
        <v>4746</v>
      </c>
      <c r="I950" s="88">
        <v>46140.633935185186</v>
      </c>
      <c r="J950" t="s">
        <v>107</v>
      </c>
      <c r="K950" t="s">
        <v>108</v>
      </c>
      <c r="L950" t="s">
        <v>5085</v>
      </c>
      <c r="M950" s="88">
        <v>46141.59511574074</v>
      </c>
      <c r="N950" t="s">
        <v>637</v>
      </c>
      <c r="O950" t="s">
        <v>112</v>
      </c>
      <c r="P950" t="s">
        <v>111</v>
      </c>
      <c r="Q950" t="s">
        <v>2085</v>
      </c>
      <c r="R950">
        <v>3</v>
      </c>
      <c r="S950" s="89">
        <v>9500</v>
      </c>
      <c r="T950" s="89">
        <v>0</v>
      </c>
      <c r="U950" s="89">
        <v>6270</v>
      </c>
      <c r="V950" s="89">
        <v>6270</v>
      </c>
      <c r="W950" s="89">
        <v>22230</v>
      </c>
    </row>
    <row r="951" spans="1:23" ht="13">
      <c r="A951" t="s">
        <v>5086</v>
      </c>
      <c r="B951" t="s">
        <v>5087</v>
      </c>
      <c r="C951" s="88">
        <v>46149.104907407411</v>
      </c>
      <c r="D951" t="s">
        <v>105</v>
      </c>
      <c r="E951" t="s">
        <v>106</v>
      </c>
      <c r="F951" t="s">
        <v>5088</v>
      </c>
      <c r="G951" t="s">
        <v>5089</v>
      </c>
      <c r="H951" t="s">
        <v>5088</v>
      </c>
      <c r="I951" s="88">
        <v>46140.633923611109</v>
      </c>
      <c r="J951" t="s">
        <v>107</v>
      </c>
      <c r="K951" t="s">
        <v>108</v>
      </c>
      <c r="L951" t="s">
        <v>5090</v>
      </c>
      <c r="M951" s="88">
        <v>46141.67796296296</v>
      </c>
      <c r="N951" t="s">
        <v>637</v>
      </c>
      <c r="O951" t="s">
        <v>112</v>
      </c>
      <c r="P951" t="s">
        <v>111</v>
      </c>
      <c r="Q951" t="s">
        <v>2085</v>
      </c>
      <c r="R951">
        <v>7</v>
      </c>
      <c r="S951" s="89">
        <v>9500</v>
      </c>
      <c r="T951" s="89">
        <v>0</v>
      </c>
      <c r="U951" s="89">
        <v>23410</v>
      </c>
      <c r="V951" s="89">
        <v>23410</v>
      </c>
      <c r="W951" s="89">
        <v>43090</v>
      </c>
    </row>
    <row r="952" spans="1:23" ht="13">
      <c r="A952" t="s">
        <v>5091</v>
      </c>
      <c r="B952" t="s">
        <v>5092</v>
      </c>
      <c r="C952" s="88">
        <v>46149.104907407411</v>
      </c>
      <c r="D952" t="s">
        <v>105</v>
      </c>
      <c r="E952" t="s">
        <v>106</v>
      </c>
      <c r="F952" t="s">
        <v>5093</v>
      </c>
      <c r="G952" t="s">
        <v>3973</v>
      </c>
      <c r="H952" t="s">
        <v>5093</v>
      </c>
      <c r="I952" s="88">
        <v>46140.633923611109</v>
      </c>
      <c r="J952" t="s">
        <v>107</v>
      </c>
      <c r="K952" t="s">
        <v>108</v>
      </c>
      <c r="L952" t="s">
        <v>5094</v>
      </c>
      <c r="M952" s="88">
        <v>46141.687592592592</v>
      </c>
      <c r="N952" t="s">
        <v>637</v>
      </c>
      <c r="O952" t="s">
        <v>112</v>
      </c>
      <c r="P952" t="s">
        <v>111</v>
      </c>
      <c r="Q952" t="s">
        <v>2085</v>
      </c>
      <c r="R952">
        <v>6</v>
      </c>
      <c r="S952" s="89">
        <v>9500</v>
      </c>
      <c r="T952" s="89">
        <v>0</v>
      </c>
      <c r="U952" s="89">
        <v>19980</v>
      </c>
      <c r="V952" s="89">
        <v>19980</v>
      </c>
      <c r="W952" s="89">
        <v>37020</v>
      </c>
    </row>
    <row r="953" spans="1:23" ht="13">
      <c r="A953" t="s">
        <v>5095</v>
      </c>
      <c r="B953" t="s">
        <v>5096</v>
      </c>
      <c r="C953" s="88">
        <v>46149.104907407411</v>
      </c>
      <c r="D953" t="s">
        <v>105</v>
      </c>
      <c r="E953" t="s">
        <v>106</v>
      </c>
      <c r="F953" t="s">
        <v>5097</v>
      </c>
      <c r="G953" t="s">
        <v>5098</v>
      </c>
      <c r="H953" t="s">
        <v>5097</v>
      </c>
      <c r="I953" s="88">
        <v>46140.633923611109</v>
      </c>
      <c r="J953" t="s">
        <v>107</v>
      </c>
      <c r="K953" t="s">
        <v>108</v>
      </c>
      <c r="L953" t="s">
        <v>5099</v>
      </c>
      <c r="M953" s="88">
        <v>46141.552824074075</v>
      </c>
      <c r="N953" t="s">
        <v>637</v>
      </c>
      <c r="O953" t="s">
        <v>112</v>
      </c>
      <c r="P953" t="s">
        <v>111</v>
      </c>
      <c r="Q953" t="s">
        <v>2085</v>
      </c>
      <c r="R953">
        <v>4</v>
      </c>
      <c r="S953" s="89">
        <v>9500</v>
      </c>
      <c r="T953" s="89">
        <v>0</v>
      </c>
      <c r="U953" s="89">
        <v>8360</v>
      </c>
      <c r="V953" s="89">
        <v>8360</v>
      </c>
      <c r="W953" s="89">
        <v>29640</v>
      </c>
    </row>
    <row r="954" spans="1:23" ht="13">
      <c r="A954" t="s">
        <v>5100</v>
      </c>
      <c r="B954" t="s">
        <v>5101</v>
      </c>
      <c r="C954" s="88">
        <v>46149.104895833334</v>
      </c>
      <c r="D954" t="s">
        <v>105</v>
      </c>
      <c r="E954" t="s">
        <v>106</v>
      </c>
      <c r="F954" t="s">
        <v>5102</v>
      </c>
      <c r="G954" t="s">
        <v>5103</v>
      </c>
      <c r="H954" t="s">
        <v>5102</v>
      </c>
      <c r="I954" s="88">
        <v>46140.633912037039</v>
      </c>
      <c r="J954" t="s">
        <v>107</v>
      </c>
      <c r="K954" t="s">
        <v>108</v>
      </c>
      <c r="L954" t="s">
        <v>5104</v>
      </c>
      <c r="M954" s="88">
        <v>46141.548611111109</v>
      </c>
      <c r="N954" t="s">
        <v>637</v>
      </c>
      <c r="O954" t="s">
        <v>112</v>
      </c>
      <c r="P954" t="s">
        <v>111</v>
      </c>
      <c r="Q954" t="s">
        <v>2085</v>
      </c>
      <c r="R954">
        <v>3</v>
      </c>
      <c r="S954" s="89">
        <v>9500</v>
      </c>
      <c r="T954" s="89">
        <v>0</v>
      </c>
      <c r="U954" s="89">
        <v>6370</v>
      </c>
      <c r="V954" s="89">
        <v>6370</v>
      </c>
      <c r="W954" s="89">
        <v>22130</v>
      </c>
    </row>
    <row r="955" spans="1:23" ht="13">
      <c r="A955" t="s">
        <v>5105</v>
      </c>
      <c r="B955" t="s">
        <v>5106</v>
      </c>
      <c r="C955" s="88">
        <v>46149.104884259257</v>
      </c>
      <c r="D955" t="s">
        <v>105</v>
      </c>
      <c r="E955" t="s">
        <v>106</v>
      </c>
      <c r="F955" t="s">
        <v>287</v>
      </c>
      <c r="G955" t="s">
        <v>5107</v>
      </c>
      <c r="H955" t="s">
        <v>287</v>
      </c>
      <c r="I955" s="88">
        <v>46140.633900462963</v>
      </c>
      <c r="J955" t="s">
        <v>107</v>
      </c>
      <c r="K955" t="s">
        <v>108</v>
      </c>
      <c r="L955" t="s">
        <v>5108</v>
      </c>
      <c r="M955" s="88">
        <v>46141.756932870368</v>
      </c>
      <c r="N955" t="s">
        <v>637</v>
      </c>
      <c r="O955" t="s">
        <v>112</v>
      </c>
      <c r="P955" t="s">
        <v>111</v>
      </c>
      <c r="Q955" t="s">
        <v>2085</v>
      </c>
      <c r="R955">
        <v>3</v>
      </c>
      <c r="S955" s="89">
        <v>9500</v>
      </c>
      <c r="T955" s="89">
        <v>0</v>
      </c>
      <c r="U955" s="89">
        <v>6270</v>
      </c>
      <c r="V955" s="89">
        <v>6270</v>
      </c>
      <c r="W955" s="89">
        <v>22230</v>
      </c>
    </row>
    <row r="956" spans="1:23" ht="13">
      <c r="A956" t="s">
        <v>5109</v>
      </c>
      <c r="B956" t="s">
        <v>5110</v>
      </c>
      <c r="C956" s="88">
        <v>46149.104884259257</v>
      </c>
      <c r="D956" t="s">
        <v>105</v>
      </c>
      <c r="E956" t="s">
        <v>106</v>
      </c>
      <c r="F956" t="s">
        <v>2312</v>
      </c>
      <c r="G956" t="s">
        <v>5111</v>
      </c>
      <c r="H956" t="s">
        <v>2312</v>
      </c>
      <c r="I956" s="88">
        <v>46140.633900462963</v>
      </c>
      <c r="J956" t="s">
        <v>107</v>
      </c>
      <c r="K956" t="s">
        <v>108</v>
      </c>
      <c r="L956" t="s">
        <v>5112</v>
      </c>
      <c r="M956" s="88">
        <v>46141.67796296296</v>
      </c>
      <c r="N956" t="s">
        <v>637</v>
      </c>
      <c r="O956" t="s">
        <v>112</v>
      </c>
      <c r="P956" t="s">
        <v>111</v>
      </c>
      <c r="Q956" t="s">
        <v>2085</v>
      </c>
      <c r="R956">
        <v>6</v>
      </c>
      <c r="S956" s="89">
        <v>9500</v>
      </c>
      <c r="T956" s="89">
        <v>0</v>
      </c>
      <c r="U956" s="89">
        <v>20080</v>
      </c>
      <c r="V956" s="89">
        <v>20080</v>
      </c>
      <c r="W956" s="89">
        <v>36920</v>
      </c>
    </row>
    <row r="957" spans="1:23" ht="13">
      <c r="A957" t="s">
        <v>5113</v>
      </c>
      <c r="B957" t="s">
        <v>5114</v>
      </c>
      <c r="C957" s="88">
        <v>46149.104699074072</v>
      </c>
      <c r="D957" t="s">
        <v>105</v>
      </c>
      <c r="E957" t="s">
        <v>106</v>
      </c>
      <c r="F957" t="s">
        <v>5115</v>
      </c>
      <c r="G957" t="s">
        <v>5116</v>
      </c>
      <c r="H957" t="s">
        <v>5115</v>
      </c>
      <c r="I957" s="88">
        <v>46140.633958333332</v>
      </c>
      <c r="J957" t="s">
        <v>107</v>
      </c>
      <c r="K957" t="s">
        <v>108</v>
      </c>
      <c r="L957" t="s">
        <v>5117</v>
      </c>
      <c r="M957" s="88">
        <v>46141.59511574074</v>
      </c>
      <c r="N957" t="s">
        <v>637</v>
      </c>
      <c r="O957" t="s">
        <v>112</v>
      </c>
      <c r="P957" t="s">
        <v>111</v>
      </c>
      <c r="Q957" t="s">
        <v>2085</v>
      </c>
      <c r="R957">
        <v>1</v>
      </c>
      <c r="S957" s="89">
        <v>9500</v>
      </c>
      <c r="T957" s="89">
        <v>0</v>
      </c>
      <c r="U957" s="89">
        <v>2090</v>
      </c>
      <c r="V957" s="89">
        <v>2090</v>
      </c>
      <c r="W957" s="89">
        <v>7410</v>
      </c>
    </row>
    <row r="958" spans="1:23" ht="13">
      <c r="A958" t="s">
        <v>5118</v>
      </c>
      <c r="B958" t="s">
        <v>5119</v>
      </c>
      <c r="C958" s="88">
        <v>46149.104687500003</v>
      </c>
      <c r="D958" t="s">
        <v>105</v>
      </c>
      <c r="E958" t="s">
        <v>106</v>
      </c>
      <c r="F958" t="s">
        <v>5120</v>
      </c>
      <c r="G958" t="s">
        <v>5121</v>
      </c>
      <c r="H958" t="s">
        <v>5120</v>
      </c>
      <c r="I958" s="88">
        <v>46140.633935185186</v>
      </c>
      <c r="J958" t="s">
        <v>107</v>
      </c>
      <c r="K958" t="s">
        <v>108</v>
      </c>
      <c r="L958" t="s">
        <v>5122</v>
      </c>
      <c r="M958" s="88">
        <v>46141.687569444446</v>
      </c>
      <c r="N958" t="s">
        <v>637</v>
      </c>
      <c r="O958" t="s">
        <v>112</v>
      </c>
      <c r="P958" t="s">
        <v>111</v>
      </c>
      <c r="Q958" t="s">
        <v>2085</v>
      </c>
      <c r="R958">
        <v>6</v>
      </c>
      <c r="S958" s="89">
        <v>9500</v>
      </c>
      <c r="T958" s="89">
        <v>0</v>
      </c>
      <c r="U958" s="89">
        <v>20080</v>
      </c>
      <c r="V958" s="89">
        <v>20080</v>
      </c>
      <c r="W958" s="89">
        <v>36920</v>
      </c>
    </row>
    <row r="959" spans="1:23" ht="13">
      <c r="A959" t="s">
        <v>5123</v>
      </c>
      <c r="B959" t="s">
        <v>5124</v>
      </c>
      <c r="C959" s="88">
        <v>46149.104687500003</v>
      </c>
      <c r="D959" t="s">
        <v>105</v>
      </c>
      <c r="E959" t="s">
        <v>106</v>
      </c>
      <c r="F959" t="s">
        <v>5125</v>
      </c>
      <c r="G959" t="s">
        <v>5126</v>
      </c>
      <c r="H959" t="s">
        <v>5125</v>
      </c>
      <c r="I959" s="88">
        <v>46140.633923611109</v>
      </c>
      <c r="J959" t="s">
        <v>107</v>
      </c>
      <c r="K959" t="s">
        <v>108</v>
      </c>
      <c r="L959" t="s">
        <v>5127</v>
      </c>
      <c r="M959" s="88">
        <v>46141.687557870369</v>
      </c>
      <c r="N959" t="s">
        <v>637</v>
      </c>
      <c r="O959" t="s">
        <v>112</v>
      </c>
      <c r="P959" t="s">
        <v>111</v>
      </c>
      <c r="Q959" t="s">
        <v>2085</v>
      </c>
      <c r="R959">
        <v>6</v>
      </c>
      <c r="S959" s="89">
        <v>9500</v>
      </c>
      <c r="T959" s="89">
        <v>0</v>
      </c>
      <c r="U959" s="89">
        <v>19980</v>
      </c>
      <c r="V959" s="89">
        <v>19980</v>
      </c>
      <c r="W959" s="89">
        <v>37020</v>
      </c>
    </row>
    <row r="960" spans="1:23" ht="13">
      <c r="A960" t="s">
        <v>5128</v>
      </c>
      <c r="B960" t="s">
        <v>5129</v>
      </c>
      <c r="C960" s="88">
        <v>46149.104675925926</v>
      </c>
      <c r="D960" t="s">
        <v>105</v>
      </c>
      <c r="E960" t="s">
        <v>106</v>
      </c>
      <c r="F960" t="s">
        <v>5130</v>
      </c>
      <c r="G960" t="s">
        <v>5131</v>
      </c>
      <c r="H960" t="s">
        <v>5130</v>
      </c>
      <c r="I960" s="88">
        <v>46140.633912037039</v>
      </c>
      <c r="J960" t="s">
        <v>107</v>
      </c>
      <c r="K960" t="s">
        <v>108</v>
      </c>
      <c r="L960" t="s">
        <v>5132</v>
      </c>
      <c r="M960" s="88">
        <v>46141.550011574072</v>
      </c>
      <c r="N960" t="s">
        <v>637</v>
      </c>
      <c r="O960" t="s">
        <v>112</v>
      </c>
      <c r="P960" t="s">
        <v>111</v>
      </c>
      <c r="Q960" t="s">
        <v>2085</v>
      </c>
      <c r="R960">
        <v>6</v>
      </c>
      <c r="S960" s="89">
        <v>9500</v>
      </c>
      <c r="T960" s="89">
        <v>0</v>
      </c>
      <c r="U960" s="89">
        <v>19980</v>
      </c>
      <c r="V960" s="89">
        <v>19980</v>
      </c>
      <c r="W960" s="89">
        <v>37020</v>
      </c>
    </row>
    <row r="961" spans="1:23" ht="13">
      <c r="A961" t="s">
        <v>5133</v>
      </c>
      <c r="B961" t="s">
        <v>5134</v>
      </c>
      <c r="C961" s="88">
        <v>46149.104675925926</v>
      </c>
      <c r="D961" t="s">
        <v>105</v>
      </c>
      <c r="E961" t="s">
        <v>106</v>
      </c>
      <c r="F961" t="s">
        <v>303</v>
      </c>
      <c r="G961" t="s">
        <v>2361</v>
      </c>
      <c r="H961" t="s">
        <v>303</v>
      </c>
      <c r="I961" s="88">
        <v>46140.633912037039</v>
      </c>
      <c r="J961" t="s">
        <v>107</v>
      </c>
      <c r="K961" t="s">
        <v>108</v>
      </c>
      <c r="L961" t="s">
        <v>5135</v>
      </c>
      <c r="M961" s="88">
        <v>46141.55574074074</v>
      </c>
      <c r="N961" t="s">
        <v>637</v>
      </c>
      <c r="O961" t="s">
        <v>112</v>
      </c>
      <c r="P961" t="s">
        <v>111</v>
      </c>
      <c r="Q961" t="s">
        <v>2085</v>
      </c>
      <c r="R961">
        <v>6</v>
      </c>
      <c r="S961" s="89">
        <v>9500</v>
      </c>
      <c r="T961" s="89">
        <v>0</v>
      </c>
      <c r="U961" s="89">
        <v>19980</v>
      </c>
      <c r="V961" s="89">
        <v>19980</v>
      </c>
      <c r="W961" s="89">
        <v>37020</v>
      </c>
    </row>
    <row r="962" spans="1:23" ht="13">
      <c r="A962" t="s">
        <v>5136</v>
      </c>
      <c r="B962" t="s">
        <v>5137</v>
      </c>
      <c r="C962" s="88">
        <v>46149.104675925926</v>
      </c>
      <c r="D962" t="s">
        <v>105</v>
      </c>
      <c r="E962" t="s">
        <v>106</v>
      </c>
      <c r="F962" t="s">
        <v>374</v>
      </c>
      <c r="G962" t="s">
        <v>5138</v>
      </c>
      <c r="H962" t="s">
        <v>374</v>
      </c>
      <c r="I962" s="88">
        <v>46140.633900462963</v>
      </c>
      <c r="J962" t="s">
        <v>107</v>
      </c>
      <c r="K962" t="s">
        <v>108</v>
      </c>
      <c r="L962" t="s">
        <v>5139</v>
      </c>
      <c r="M962" s="88">
        <v>46141.474398148144</v>
      </c>
      <c r="N962" t="s">
        <v>637</v>
      </c>
      <c r="O962" t="s">
        <v>112</v>
      </c>
      <c r="P962" t="s">
        <v>111</v>
      </c>
      <c r="Q962" t="s">
        <v>2085</v>
      </c>
      <c r="R962">
        <v>4</v>
      </c>
      <c r="S962" s="89">
        <v>9500</v>
      </c>
      <c r="T962" s="89">
        <v>0</v>
      </c>
      <c r="U962" s="89">
        <v>8460</v>
      </c>
      <c r="V962" s="89">
        <v>8460</v>
      </c>
      <c r="W962" s="89">
        <v>29540</v>
      </c>
    </row>
    <row r="963" spans="1:23" ht="13">
      <c r="A963" t="s">
        <v>5140</v>
      </c>
      <c r="B963" t="s">
        <v>5141</v>
      </c>
      <c r="C963" s="88">
        <v>46149.102986111116</v>
      </c>
      <c r="D963" t="s">
        <v>105</v>
      </c>
      <c r="E963" t="s">
        <v>106</v>
      </c>
      <c r="F963" t="s">
        <v>366</v>
      </c>
      <c r="G963" t="s">
        <v>5142</v>
      </c>
      <c r="H963" t="s">
        <v>366</v>
      </c>
      <c r="I963" s="88">
        <v>46140.633946759262</v>
      </c>
      <c r="J963" t="s">
        <v>107</v>
      </c>
      <c r="K963" t="s">
        <v>108</v>
      </c>
      <c r="L963" t="s">
        <v>5143</v>
      </c>
      <c r="M963" s="88">
        <v>46141.549398148149</v>
      </c>
      <c r="N963" t="s">
        <v>637</v>
      </c>
      <c r="O963" t="s">
        <v>112</v>
      </c>
      <c r="P963" t="s">
        <v>111</v>
      </c>
      <c r="Q963" t="s">
        <v>2085</v>
      </c>
      <c r="R963">
        <v>6</v>
      </c>
      <c r="S963" s="89">
        <v>9500</v>
      </c>
      <c r="T963" s="89">
        <v>0</v>
      </c>
      <c r="U963" s="89">
        <v>19980</v>
      </c>
      <c r="V963" s="89">
        <v>19980</v>
      </c>
      <c r="W963" s="89">
        <v>37020</v>
      </c>
    </row>
    <row r="964" spans="1:23" ht="13">
      <c r="A964" t="s">
        <v>5144</v>
      </c>
      <c r="B964" t="s">
        <v>5145</v>
      </c>
      <c r="C964" s="88">
        <v>46149.102974537032</v>
      </c>
      <c r="D964" t="s">
        <v>105</v>
      </c>
      <c r="E964" t="s">
        <v>106</v>
      </c>
      <c r="F964" t="s">
        <v>5146</v>
      </c>
      <c r="G964" t="s">
        <v>5147</v>
      </c>
      <c r="H964" t="s">
        <v>5146</v>
      </c>
      <c r="I964" s="88">
        <v>46140.633946759262</v>
      </c>
      <c r="J964" t="s">
        <v>107</v>
      </c>
      <c r="K964" t="s">
        <v>108</v>
      </c>
      <c r="L964" t="s">
        <v>5148</v>
      </c>
      <c r="M964" s="88">
        <v>46141.500231481477</v>
      </c>
      <c r="N964" t="s">
        <v>637</v>
      </c>
      <c r="O964" t="s">
        <v>112</v>
      </c>
      <c r="P964" t="s">
        <v>111</v>
      </c>
      <c r="Q964" t="s">
        <v>2085</v>
      </c>
      <c r="R964">
        <v>1</v>
      </c>
      <c r="S964" s="89">
        <v>9500</v>
      </c>
      <c r="T964" s="89">
        <v>0</v>
      </c>
      <c r="U964" s="89">
        <v>2090</v>
      </c>
      <c r="V964" s="89">
        <v>2090</v>
      </c>
      <c r="W964" s="89">
        <v>7410</v>
      </c>
    </row>
    <row r="965" spans="1:23" ht="13">
      <c r="A965" t="s">
        <v>5149</v>
      </c>
      <c r="B965" t="s">
        <v>5150</v>
      </c>
      <c r="C965" s="88">
        <v>46149.102974537032</v>
      </c>
      <c r="D965" t="s">
        <v>105</v>
      </c>
      <c r="E965" t="s">
        <v>106</v>
      </c>
      <c r="F965" t="s">
        <v>5151</v>
      </c>
      <c r="G965" t="s">
        <v>5152</v>
      </c>
      <c r="H965" t="s">
        <v>5151</v>
      </c>
      <c r="I965" s="88">
        <v>46140.633900462963</v>
      </c>
      <c r="J965" t="s">
        <v>107</v>
      </c>
      <c r="K965" t="s">
        <v>108</v>
      </c>
      <c r="L965" t="s">
        <v>5153</v>
      </c>
      <c r="M965" s="88">
        <v>46141.692152777774</v>
      </c>
      <c r="N965" t="s">
        <v>637</v>
      </c>
      <c r="O965" t="s">
        <v>112</v>
      </c>
      <c r="P965" t="s">
        <v>111</v>
      </c>
      <c r="Q965" t="s">
        <v>2085</v>
      </c>
      <c r="R965">
        <v>3</v>
      </c>
      <c r="S965" s="89">
        <v>9500</v>
      </c>
      <c r="T965" s="89">
        <v>0</v>
      </c>
      <c r="U965" s="89">
        <v>6370</v>
      </c>
      <c r="V965" s="89">
        <v>6370</v>
      </c>
      <c r="W965" s="89">
        <v>22130</v>
      </c>
    </row>
    <row r="966" spans="1:23" ht="13">
      <c r="A966" t="s">
        <v>5154</v>
      </c>
      <c r="B966" t="s">
        <v>5155</v>
      </c>
      <c r="C966" s="88">
        <v>46149.102974537032</v>
      </c>
      <c r="D966" t="s">
        <v>105</v>
      </c>
      <c r="E966" t="s">
        <v>106</v>
      </c>
      <c r="F966" t="s">
        <v>5156</v>
      </c>
      <c r="G966" t="s">
        <v>5157</v>
      </c>
      <c r="H966" t="s">
        <v>5156</v>
      </c>
      <c r="I966" s="88">
        <v>46140.633900462963</v>
      </c>
      <c r="J966" t="s">
        <v>107</v>
      </c>
      <c r="K966" t="s">
        <v>108</v>
      </c>
      <c r="L966" t="s">
        <v>5158</v>
      </c>
      <c r="M966" s="88">
        <v>46141.500231481477</v>
      </c>
      <c r="N966" t="s">
        <v>637</v>
      </c>
      <c r="O966" t="s">
        <v>112</v>
      </c>
      <c r="P966" t="s">
        <v>111</v>
      </c>
      <c r="Q966" t="s">
        <v>2085</v>
      </c>
      <c r="R966">
        <v>7</v>
      </c>
      <c r="S966" s="89">
        <v>9500</v>
      </c>
      <c r="T966" s="89">
        <v>0</v>
      </c>
      <c r="U966" s="89">
        <v>23410</v>
      </c>
      <c r="V966" s="89">
        <v>23410</v>
      </c>
      <c r="W966" s="89">
        <v>43090</v>
      </c>
    </row>
    <row r="967" spans="1:23" ht="13">
      <c r="A967" t="s">
        <v>5159</v>
      </c>
      <c r="B967" t="s">
        <v>5160</v>
      </c>
      <c r="C967" s="88">
        <v>46149.10261574074</v>
      </c>
      <c r="D967" t="s">
        <v>105</v>
      </c>
      <c r="E967" t="s">
        <v>106</v>
      </c>
      <c r="F967" t="s">
        <v>5161</v>
      </c>
      <c r="G967" t="s">
        <v>5162</v>
      </c>
      <c r="H967" t="s">
        <v>5161</v>
      </c>
      <c r="I967" s="88">
        <v>46140.633958333332</v>
      </c>
      <c r="J967" t="s">
        <v>107</v>
      </c>
      <c r="K967" t="s">
        <v>108</v>
      </c>
      <c r="L967" t="s">
        <v>5163</v>
      </c>
      <c r="M967" s="88">
        <v>46141.740590277783</v>
      </c>
      <c r="N967" t="s">
        <v>637</v>
      </c>
      <c r="O967" t="s">
        <v>112</v>
      </c>
      <c r="P967" t="s">
        <v>111</v>
      </c>
      <c r="Q967" t="s">
        <v>2085</v>
      </c>
      <c r="R967">
        <v>1</v>
      </c>
      <c r="S967" s="89">
        <v>9500</v>
      </c>
      <c r="T967" s="89">
        <v>0</v>
      </c>
      <c r="U967" s="89">
        <v>2090</v>
      </c>
      <c r="V967" s="89">
        <v>2090</v>
      </c>
      <c r="W967" s="89">
        <v>7410</v>
      </c>
    </row>
    <row r="968" spans="1:23" ht="13">
      <c r="A968" t="s">
        <v>5164</v>
      </c>
      <c r="B968" t="s">
        <v>5165</v>
      </c>
      <c r="C968" s="88">
        <v>46149.10261574074</v>
      </c>
      <c r="D968" t="s">
        <v>105</v>
      </c>
      <c r="E968" t="s">
        <v>106</v>
      </c>
      <c r="F968" t="s">
        <v>5166</v>
      </c>
      <c r="G968" t="s">
        <v>5167</v>
      </c>
      <c r="H968" t="s">
        <v>5166</v>
      </c>
      <c r="I968" s="88">
        <v>46140.633946759262</v>
      </c>
      <c r="J968" t="s">
        <v>107</v>
      </c>
      <c r="K968" t="s">
        <v>108</v>
      </c>
      <c r="L968" t="s">
        <v>5168</v>
      </c>
      <c r="M968" s="88">
        <v>46141.689710648148</v>
      </c>
      <c r="N968" t="s">
        <v>637</v>
      </c>
      <c r="O968" t="s">
        <v>112</v>
      </c>
      <c r="P968" t="s">
        <v>111</v>
      </c>
      <c r="Q968" t="s">
        <v>2085</v>
      </c>
      <c r="R968">
        <v>2</v>
      </c>
      <c r="S968" s="89">
        <v>9500</v>
      </c>
      <c r="T968" s="89">
        <v>0</v>
      </c>
      <c r="U968" s="89">
        <v>4280</v>
      </c>
      <c r="V968" s="89">
        <v>4280</v>
      </c>
      <c r="W968" s="89">
        <v>14720</v>
      </c>
    </row>
    <row r="969" spans="1:23" ht="13">
      <c r="A969" t="s">
        <v>5169</v>
      </c>
      <c r="B969" t="s">
        <v>5170</v>
      </c>
      <c r="C969" s="88">
        <v>46149.10261574074</v>
      </c>
      <c r="D969" t="s">
        <v>105</v>
      </c>
      <c r="E969" t="s">
        <v>106</v>
      </c>
      <c r="F969" t="s">
        <v>5171</v>
      </c>
      <c r="G969" t="s">
        <v>5172</v>
      </c>
      <c r="H969" t="s">
        <v>5171</v>
      </c>
      <c r="I969" s="88">
        <v>46140.633946759262</v>
      </c>
      <c r="J969" t="s">
        <v>107</v>
      </c>
      <c r="K969" t="s">
        <v>108</v>
      </c>
      <c r="L969" t="s">
        <v>5173</v>
      </c>
      <c r="M969" s="88">
        <v>46141.475682870368</v>
      </c>
      <c r="N969" t="s">
        <v>637</v>
      </c>
      <c r="O969" t="s">
        <v>112</v>
      </c>
      <c r="P969" t="s">
        <v>111</v>
      </c>
      <c r="Q969" t="s">
        <v>2085</v>
      </c>
      <c r="R969">
        <v>2</v>
      </c>
      <c r="S969" s="89">
        <v>9500</v>
      </c>
      <c r="T969" s="89">
        <v>0</v>
      </c>
      <c r="U969" s="89">
        <v>4180</v>
      </c>
      <c r="V969" s="89">
        <v>4180</v>
      </c>
      <c r="W969" s="89">
        <v>14820</v>
      </c>
    </row>
    <row r="970" spans="1:23" ht="13">
      <c r="A970" t="s">
        <v>5174</v>
      </c>
      <c r="B970" t="s">
        <v>5175</v>
      </c>
      <c r="C970" s="88">
        <v>46149.10261574074</v>
      </c>
      <c r="D970" t="s">
        <v>105</v>
      </c>
      <c r="E970" t="s">
        <v>106</v>
      </c>
      <c r="F970" t="s">
        <v>5176</v>
      </c>
      <c r="G970" t="s">
        <v>5177</v>
      </c>
      <c r="H970" t="s">
        <v>5176</v>
      </c>
      <c r="I970" s="88">
        <v>46140.633935185186</v>
      </c>
      <c r="J970" t="s">
        <v>107</v>
      </c>
      <c r="K970" t="s">
        <v>108</v>
      </c>
      <c r="L970" t="s">
        <v>5178</v>
      </c>
      <c r="M970" s="88">
        <v>46141.644108796296</v>
      </c>
      <c r="N970" t="s">
        <v>637</v>
      </c>
      <c r="O970" t="s">
        <v>112</v>
      </c>
      <c r="P970" t="s">
        <v>111</v>
      </c>
      <c r="Q970" t="s">
        <v>2085</v>
      </c>
      <c r="R970">
        <v>2</v>
      </c>
      <c r="S970" s="89">
        <v>9500</v>
      </c>
      <c r="T970" s="89">
        <v>0</v>
      </c>
      <c r="U970" s="89">
        <v>4280</v>
      </c>
      <c r="V970" s="89">
        <v>4280</v>
      </c>
      <c r="W970" s="89">
        <v>14720</v>
      </c>
    </row>
    <row r="971" spans="1:23" ht="13">
      <c r="A971" t="s">
        <v>5179</v>
      </c>
      <c r="B971" t="s">
        <v>5180</v>
      </c>
      <c r="C971" s="88">
        <v>46149.10261574074</v>
      </c>
      <c r="D971" t="s">
        <v>105</v>
      </c>
      <c r="E971" t="s">
        <v>106</v>
      </c>
      <c r="F971" t="s">
        <v>2661</v>
      </c>
      <c r="G971" t="s">
        <v>5181</v>
      </c>
      <c r="H971" t="s">
        <v>2661</v>
      </c>
      <c r="I971" s="88">
        <v>46140.633923611109</v>
      </c>
      <c r="J971" t="s">
        <v>107</v>
      </c>
      <c r="K971" t="s">
        <v>108</v>
      </c>
      <c r="L971" t="s">
        <v>5182</v>
      </c>
      <c r="M971" s="88">
        <v>46141.678541666668</v>
      </c>
      <c r="N971" t="s">
        <v>637</v>
      </c>
      <c r="O971" t="s">
        <v>112</v>
      </c>
      <c r="P971" t="s">
        <v>111</v>
      </c>
      <c r="Q971" t="s">
        <v>2085</v>
      </c>
      <c r="R971">
        <v>3</v>
      </c>
      <c r="S971" s="89">
        <v>9500</v>
      </c>
      <c r="T971" s="89">
        <v>0</v>
      </c>
      <c r="U971" s="89">
        <v>6270</v>
      </c>
      <c r="V971" s="89">
        <v>6270</v>
      </c>
      <c r="W971" s="89">
        <v>22230</v>
      </c>
    </row>
    <row r="972" spans="1:23" ht="13">
      <c r="A972" t="s">
        <v>5183</v>
      </c>
      <c r="B972" t="s">
        <v>5184</v>
      </c>
      <c r="C972" s="88">
        <v>46149.10261574074</v>
      </c>
      <c r="D972" t="s">
        <v>105</v>
      </c>
      <c r="E972" t="s">
        <v>106</v>
      </c>
      <c r="F972" t="s">
        <v>5057</v>
      </c>
      <c r="G972" t="s">
        <v>1463</v>
      </c>
      <c r="H972" t="s">
        <v>5057</v>
      </c>
      <c r="I972" s="88">
        <v>46140.633923611109</v>
      </c>
      <c r="J972" t="s">
        <v>107</v>
      </c>
      <c r="K972" t="s">
        <v>108</v>
      </c>
      <c r="L972" t="s">
        <v>5185</v>
      </c>
      <c r="M972" s="88">
        <v>46141.473668981482</v>
      </c>
      <c r="N972" t="s">
        <v>637</v>
      </c>
      <c r="O972" t="s">
        <v>112</v>
      </c>
      <c r="P972" t="s">
        <v>111</v>
      </c>
      <c r="Q972" t="s">
        <v>2085</v>
      </c>
      <c r="R972">
        <v>6</v>
      </c>
      <c r="S972" s="89">
        <v>9500</v>
      </c>
      <c r="T972" s="89">
        <v>0</v>
      </c>
      <c r="U972" s="89">
        <v>20080</v>
      </c>
      <c r="V972" s="89">
        <v>20080</v>
      </c>
      <c r="W972" s="89">
        <v>36920</v>
      </c>
    </row>
    <row r="973" spans="1:23" ht="13">
      <c r="A973" t="s">
        <v>5186</v>
      </c>
      <c r="B973" t="s">
        <v>5187</v>
      </c>
      <c r="C973" s="88">
        <v>46149.102604166663</v>
      </c>
      <c r="D973" t="s">
        <v>105</v>
      </c>
      <c r="E973" t="s">
        <v>106</v>
      </c>
      <c r="F973" t="s">
        <v>5188</v>
      </c>
      <c r="G973" t="s">
        <v>5189</v>
      </c>
      <c r="H973" t="s">
        <v>5188</v>
      </c>
      <c r="I973" s="88">
        <v>46140.633923611109</v>
      </c>
      <c r="J973" t="s">
        <v>107</v>
      </c>
      <c r="K973" t="s">
        <v>108</v>
      </c>
      <c r="L973" t="s">
        <v>5190</v>
      </c>
      <c r="M973" s="88">
        <v>46141.677951388891</v>
      </c>
      <c r="N973" t="s">
        <v>637</v>
      </c>
      <c r="O973" t="s">
        <v>112</v>
      </c>
      <c r="P973" t="s">
        <v>111</v>
      </c>
      <c r="Q973" t="s">
        <v>2085</v>
      </c>
      <c r="R973">
        <v>3</v>
      </c>
      <c r="S973" s="89">
        <v>9500</v>
      </c>
      <c r="T973" s="89">
        <v>0</v>
      </c>
      <c r="U973" s="89">
        <v>6370</v>
      </c>
      <c r="V973" s="89">
        <v>6370</v>
      </c>
      <c r="W973" s="89">
        <v>22130</v>
      </c>
    </row>
    <row r="974" spans="1:23" ht="13">
      <c r="A974" t="s">
        <v>5191</v>
      </c>
      <c r="B974" t="s">
        <v>5192</v>
      </c>
      <c r="C974" s="88">
        <v>46149.102604166663</v>
      </c>
      <c r="D974" t="s">
        <v>105</v>
      </c>
      <c r="E974" t="s">
        <v>106</v>
      </c>
      <c r="F974" t="s">
        <v>221</v>
      </c>
      <c r="G974" t="s">
        <v>5193</v>
      </c>
      <c r="H974" t="s">
        <v>221</v>
      </c>
      <c r="I974" s="88">
        <v>46140.633912037039</v>
      </c>
      <c r="J974" t="s">
        <v>107</v>
      </c>
      <c r="K974" t="s">
        <v>108</v>
      </c>
      <c r="L974" t="s">
        <v>5194</v>
      </c>
      <c r="M974" s="88">
        <v>46141.548090277778</v>
      </c>
      <c r="N974" t="s">
        <v>637</v>
      </c>
      <c r="O974" t="s">
        <v>112</v>
      </c>
      <c r="P974" t="s">
        <v>111</v>
      </c>
      <c r="Q974" t="s">
        <v>2085</v>
      </c>
      <c r="R974">
        <v>3</v>
      </c>
      <c r="S974" s="89">
        <v>9500</v>
      </c>
      <c r="T974" s="89">
        <v>0</v>
      </c>
      <c r="U974" s="89">
        <v>6370</v>
      </c>
      <c r="V974" s="89">
        <v>6370</v>
      </c>
      <c r="W974" s="89">
        <v>22130</v>
      </c>
    </row>
    <row r="975" spans="1:23" ht="13">
      <c r="A975" t="s">
        <v>5195</v>
      </c>
      <c r="B975" t="s">
        <v>5196</v>
      </c>
      <c r="C975" s="88">
        <v>46149.102604166663</v>
      </c>
      <c r="D975" t="s">
        <v>105</v>
      </c>
      <c r="E975" t="s">
        <v>106</v>
      </c>
      <c r="F975" t="s">
        <v>5197</v>
      </c>
      <c r="G975" t="s">
        <v>5198</v>
      </c>
      <c r="H975" t="s">
        <v>5197</v>
      </c>
      <c r="I975" s="88">
        <v>46140.633912037039</v>
      </c>
      <c r="J975" t="s">
        <v>107</v>
      </c>
      <c r="K975" t="s">
        <v>108</v>
      </c>
      <c r="L975" t="s">
        <v>5199</v>
      </c>
      <c r="M975" s="88">
        <v>46141.500231481477</v>
      </c>
      <c r="N975" t="s">
        <v>637</v>
      </c>
      <c r="O975" t="s">
        <v>112</v>
      </c>
      <c r="P975" t="s">
        <v>111</v>
      </c>
      <c r="Q975" t="s">
        <v>2085</v>
      </c>
      <c r="R975">
        <v>8</v>
      </c>
      <c r="S975" s="89">
        <v>9500</v>
      </c>
      <c r="T975" s="89">
        <v>0</v>
      </c>
      <c r="U975" s="89">
        <v>26740</v>
      </c>
      <c r="V975" s="89">
        <v>26740</v>
      </c>
      <c r="W975" s="89">
        <v>49260</v>
      </c>
    </row>
    <row r="976" spans="1:23" ht="13">
      <c r="A976" t="s">
        <v>5200</v>
      </c>
      <c r="B976" t="s">
        <v>5201</v>
      </c>
      <c r="C976" s="88">
        <v>46149.102604166663</v>
      </c>
      <c r="D976" t="s">
        <v>105</v>
      </c>
      <c r="E976" t="s">
        <v>106</v>
      </c>
      <c r="F976" t="s">
        <v>5202</v>
      </c>
      <c r="G976" t="s">
        <v>5203</v>
      </c>
      <c r="H976" t="s">
        <v>5204</v>
      </c>
      <c r="I976" s="88">
        <v>46140.633912037039</v>
      </c>
      <c r="J976" t="s">
        <v>107</v>
      </c>
      <c r="K976" t="s">
        <v>108</v>
      </c>
      <c r="L976" t="s">
        <v>5205</v>
      </c>
      <c r="M976" s="88">
        <v>46141.473645833335</v>
      </c>
      <c r="N976" t="s">
        <v>637</v>
      </c>
      <c r="O976" t="s">
        <v>112</v>
      </c>
      <c r="P976" t="s">
        <v>111</v>
      </c>
      <c r="Q976" t="s">
        <v>2085</v>
      </c>
      <c r="R976">
        <v>6</v>
      </c>
      <c r="S976" s="89">
        <v>9500</v>
      </c>
      <c r="T976" s="89">
        <v>0</v>
      </c>
      <c r="U976" s="89">
        <v>20080</v>
      </c>
      <c r="V976" s="89">
        <v>20080</v>
      </c>
      <c r="W976" s="89">
        <v>36920</v>
      </c>
    </row>
    <row r="977" spans="1:23" ht="13">
      <c r="A977" t="s">
        <v>5206</v>
      </c>
      <c r="B977" t="s">
        <v>5207</v>
      </c>
      <c r="C977" s="88">
        <v>46149.10219907407</v>
      </c>
      <c r="D977" t="s">
        <v>105</v>
      </c>
      <c r="E977" t="s">
        <v>106</v>
      </c>
      <c r="F977" t="s">
        <v>5208</v>
      </c>
      <c r="G977" t="s">
        <v>5209</v>
      </c>
      <c r="H977" t="s">
        <v>5208</v>
      </c>
      <c r="I977" s="88">
        <v>46140.633958333332</v>
      </c>
      <c r="J977" t="s">
        <v>107</v>
      </c>
      <c r="K977" t="s">
        <v>108</v>
      </c>
      <c r="L977" t="s">
        <v>5210</v>
      </c>
      <c r="M977" s="88">
        <v>46141.383356481485</v>
      </c>
      <c r="N977" t="s">
        <v>637</v>
      </c>
      <c r="O977" t="s">
        <v>112</v>
      </c>
      <c r="P977" t="s">
        <v>111</v>
      </c>
      <c r="Q977" t="s">
        <v>2085</v>
      </c>
      <c r="R977">
        <v>1</v>
      </c>
      <c r="S977" s="89">
        <v>9500</v>
      </c>
      <c r="T977" s="89">
        <v>0</v>
      </c>
      <c r="U977" s="89">
        <v>2190</v>
      </c>
      <c r="V977" s="89">
        <v>2190</v>
      </c>
      <c r="W977" s="89">
        <v>7310</v>
      </c>
    </row>
    <row r="978" spans="1:23" ht="13">
      <c r="A978" t="s">
        <v>5211</v>
      </c>
      <c r="B978" t="s">
        <v>5212</v>
      </c>
      <c r="C978" s="88">
        <v>46149.102187500001</v>
      </c>
      <c r="D978" t="s">
        <v>105</v>
      </c>
      <c r="E978" t="s">
        <v>106</v>
      </c>
      <c r="F978" t="s">
        <v>319</v>
      </c>
      <c r="G978" t="s">
        <v>684</v>
      </c>
      <c r="H978" t="s">
        <v>319</v>
      </c>
      <c r="I978" s="88">
        <v>46140.633923611109</v>
      </c>
      <c r="J978" t="s">
        <v>107</v>
      </c>
      <c r="K978" t="s">
        <v>108</v>
      </c>
      <c r="L978" t="s">
        <v>5213</v>
      </c>
      <c r="M978" s="88">
        <v>46141.758437500001</v>
      </c>
      <c r="N978" t="s">
        <v>637</v>
      </c>
      <c r="O978" t="s">
        <v>112</v>
      </c>
      <c r="P978" t="s">
        <v>111</v>
      </c>
      <c r="Q978" t="s">
        <v>2085</v>
      </c>
      <c r="R978">
        <v>6</v>
      </c>
      <c r="S978" s="89">
        <v>9500</v>
      </c>
      <c r="T978" s="89">
        <v>0</v>
      </c>
      <c r="U978" s="89">
        <v>20080</v>
      </c>
      <c r="V978" s="89">
        <v>20080</v>
      </c>
      <c r="W978" s="89">
        <v>36920</v>
      </c>
    </row>
    <row r="979" spans="1:23" ht="13">
      <c r="A979" t="s">
        <v>5214</v>
      </c>
      <c r="B979" t="s">
        <v>5215</v>
      </c>
      <c r="C979" s="88">
        <v>46149.102187500001</v>
      </c>
      <c r="D979" t="s">
        <v>105</v>
      </c>
      <c r="E979" t="s">
        <v>106</v>
      </c>
      <c r="F979" t="s">
        <v>1741</v>
      </c>
      <c r="G979" t="s">
        <v>5216</v>
      </c>
      <c r="H979" t="s">
        <v>1741</v>
      </c>
      <c r="I979" s="88">
        <v>46140.633923611109</v>
      </c>
      <c r="J979" t="s">
        <v>107</v>
      </c>
      <c r="K979" t="s">
        <v>108</v>
      </c>
      <c r="L979" t="s">
        <v>5217</v>
      </c>
      <c r="M979" s="88">
        <v>46141.740590277783</v>
      </c>
      <c r="N979" t="s">
        <v>637</v>
      </c>
      <c r="O979" t="s">
        <v>112</v>
      </c>
      <c r="P979" t="s">
        <v>111</v>
      </c>
      <c r="Q979" t="s">
        <v>2085</v>
      </c>
      <c r="R979">
        <v>6</v>
      </c>
      <c r="S979" s="89">
        <v>9500</v>
      </c>
      <c r="T979" s="89">
        <v>0</v>
      </c>
      <c r="U979" s="89">
        <v>20080</v>
      </c>
      <c r="V979" s="89">
        <v>20080</v>
      </c>
      <c r="W979" s="89">
        <v>36920</v>
      </c>
    </row>
    <row r="980" spans="1:23" ht="13">
      <c r="A980" t="s">
        <v>5218</v>
      </c>
      <c r="B980" t="s">
        <v>5219</v>
      </c>
      <c r="C980" s="88">
        <v>46149.102187500001</v>
      </c>
      <c r="D980" t="s">
        <v>105</v>
      </c>
      <c r="E980" t="s">
        <v>106</v>
      </c>
      <c r="F980" t="s">
        <v>1717</v>
      </c>
      <c r="G980" t="s">
        <v>5220</v>
      </c>
      <c r="H980" t="s">
        <v>1717</v>
      </c>
      <c r="I980" s="88">
        <v>46140.633912037039</v>
      </c>
      <c r="J980" t="s">
        <v>107</v>
      </c>
      <c r="K980" t="s">
        <v>108</v>
      </c>
      <c r="L980" t="s">
        <v>5221</v>
      </c>
      <c r="M980" s="88">
        <v>46141.963194444441</v>
      </c>
      <c r="N980" t="s">
        <v>637</v>
      </c>
      <c r="O980" t="s">
        <v>112</v>
      </c>
      <c r="P980" t="s">
        <v>111</v>
      </c>
      <c r="Q980" t="s">
        <v>2085</v>
      </c>
      <c r="R980">
        <v>6</v>
      </c>
      <c r="S980" s="89">
        <v>9500</v>
      </c>
      <c r="T980" s="89">
        <v>0</v>
      </c>
      <c r="U980" s="89">
        <v>20080</v>
      </c>
      <c r="V980" s="89">
        <v>20080</v>
      </c>
      <c r="W980" s="89">
        <v>36920</v>
      </c>
    </row>
    <row r="981" spans="1:23" ht="13">
      <c r="A981" t="s">
        <v>5222</v>
      </c>
      <c r="B981" t="s">
        <v>5223</v>
      </c>
      <c r="C981" s="88">
        <v>46149.102187500001</v>
      </c>
      <c r="D981" t="s">
        <v>105</v>
      </c>
      <c r="E981" t="s">
        <v>106</v>
      </c>
      <c r="F981" t="s">
        <v>813</v>
      </c>
      <c r="G981" t="s">
        <v>5224</v>
      </c>
      <c r="H981" t="s">
        <v>813</v>
      </c>
      <c r="I981" s="88">
        <v>46140.633900462963</v>
      </c>
      <c r="J981" t="s">
        <v>107</v>
      </c>
      <c r="K981" t="s">
        <v>108</v>
      </c>
      <c r="L981" t="s">
        <v>5225</v>
      </c>
      <c r="M981" s="88">
        <v>46141.470995370371</v>
      </c>
      <c r="N981" t="s">
        <v>637</v>
      </c>
      <c r="O981" t="s">
        <v>112</v>
      </c>
      <c r="P981" t="s">
        <v>111</v>
      </c>
      <c r="Q981" t="s">
        <v>2085</v>
      </c>
      <c r="R981">
        <v>6</v>
      </c>
      <c r="S981" s="89">
        <v>9500</v>
      </c>
      <c r="T981" s="89">
        <v>0</v>
      </c>
      <c r="U981" s="89">
        <v>20080</v>
      </c>
      <c r="V981" s="89">
        <v>20080</v>
      </c>
      <c r="W981" s="89">
        <v>36920</v>
      </c>
    </row>
    <row r="982" spans="1:23" ht="13">
      <c r="A982" t="s">
        <v>5226</v>
      </c>
      <c r="B982" t="s">
        <v>5227</v>
      </c>
      <c r="C982" s="88">
        <v>46149.101967592593</v>
      </c>
      <c r="D982" t="s">
        <v>105</v>
      </c>
      <c r="E982" t="s">
        <v>106</v>
      </c>
      <c r="F982" t="s">
        <v>5228</v>
      </c>
      <c r="G982" t="s">
        <v>5229</v>
      </c>
      <c r="H982" t="s">
        <v>5230</v>
      </c>
      <c r="I982" s="88">
        <v>46140.633969907409</v>
      </c>
      <c r="J982" t="s">
        <v>107</v>
      </c>
      <c r="K982" t="s">
        <v>108</v>
      </c>
      <c r="L982" t="s">
        <v>5231</v>
      </c>
      <c r="M982" s="88">
        <v>46141.476516203707</v>
      </c>
      <c r="N982" t="s">
        <v>637</v>
      </c>
      <c r="O982" t="s">
        <v>112</v>
      </c>
      <c r="P982" t="s">
        <v>111</v>
      </c>
      <c r="Q982" t="s">
        <v>2085</v>
      </c>
      <c r="R982">
        <v>1</v>
      </c>
      <c r="S982" s="89">
        <v>9500</v>
      </c>
      <c r="T982" s="89">
        <v>0</v>
      </c>
      <c r="U982" s="89">
        <v>2090</v>
      </c>
      <c r="V982" s="89">
        <v>2090</v>
      </c>
      <c r="W982" s="89">
        <v>7410</v>
      </c>
    </row>
    <row r="983" spans="1:23" ht="13">
      <c r="A983" t="s">
        <v>5232</v>
      </c>
      <c r="B983" t="s">
        <v>5233</v>
      </c>
      <c r="C983" s="88">
        <v>46149.101944444439</v>
      </c>
      <c r="D983" t="s">
        <v>105</v>
      </c>
      <c r="E983" t="s">
        <v>106</v>
      </c>
      <c r="F983" t="s">
        <v>285</v>
      </c>
      <c r="G983" t="s">
        <v>5234</v>
      </c>
      <c r="H983" t="s">
        <v>285</v>
      </c>
      <c r="I983" s="88">
        <v>46140.633958333332</v>
      </c>
      <c r="J983" t="s">
        <v>107</v>
      </c>
      <c r="K983" t="s">
        <v>108</v>
      </c>
      <c r="L983" t="s">
        <v>5235</v>
      </c>
      <c r="M983" s="88">
        <v>46141.474062499998</v>
      </c>
      <c r="N983" t="s">
        <v>637</v>
      </c>
      <c r="O983" t="s">
        <v>112</v>
      </c>
      <c r="P983" t="s">
        <v>111</v>
      </c>
      <c r="Q983" t="s">
        <v>2085</v>
      </c>
      <c r="R983">
        <v>1</v>
      </c>
      <c r="S983" s="89">
        <v>9500</v>
      </c>
      <c r="T983" s="89">
        <v>0</v>
      </c>
      <c r="U983" s="89">
        <v>2190</v>
      </c>
      <c r="V983" s="89">
        <v>2190</v>
      </c>
      <c r="W983" s="89">
        <v>7310</v>
      </c>
    </row>
    <row r="984" spans="1:23" ht="13">
      <c r="A984" t="s">
        <v>5236</v>
      </c>
      <c r="B984" t="s">
        <v>5237</v>
      </c>
      <c r="C984" s="88">
        <v>46149.101944444439</v>
      </c>
      <c r="D984" t="s">
        <v>105</v>
      </c>
      <c r="E984" t="s">
        <v>106</v>
      </c>
      <c r="F984" t="s">
        <v>5238</v>
      </c>
      <c r="G984" t="s">
        <v>5239</v>
      </c>
      <c r="H984" t="s">
        <v>5238</v>
      </c>
      <c r="I984" s="88">
        <v>46140.633946759262</v>
      </c>
      <c r="J984" t="s">
        <v>107</v>
      </c>
      <c r="K984" t="s">
        <v>108</v>
      </c>
      <c r="L984" t="s">
        <v>5240</v>
      </c>
      <c r="M984" s="88">
        <v>46141.55574074074</v>
      </c>
      <c r="N984" t="s">
        <v>637</v>
      </c>
      <c r="O984" t="s">
        <v>112</v>
      </c>
      <c r="P984" t="s">
        <v>111</v>
      </c>
      <c r="Q984" t="s">
        <v>2085</v>
      </c>
      <c r="R984">
        <v>6</v>
      </c>
      <c r="S984" s="89">
        <v>9500</v>
      </c>
      <c r="T984" s="89">
        <v>0</v>
      </c>
      <c r="U984" s="89">
        <v>19980</v>
      </c>
      <c r="V984" s="89">
        <v>19980</v>
      </c>
      <c r="W984" s="89">
        <v>37020</v>
      </c>
    </row>
    <row r="985" spans="1:23" ht="13">
      <c r="A985" t="s">
        <v>5241</v>
      </c>
      <c r="B985" t="s">
        <v>5242</v>
      </c>
      <c r="C985" s="88">
        <v>46149.10193287037</v>
      </c>
      <c r="D985" t="s">
        <v>105</v>
      </c>
      <c r="E985" t="s">
        <v>106</v>
      </c>
      <c r="F985" t="s">
        <v>5243</v>
      </c>
      <c r="G985" t="s">
        <v>5244</v>
      </c>
      <c r="H985" t="s">
        <v>5243</v>
      </c>
      <c r="I985" s="88">
        <v>46140.633935185186</v>
      </c>
      <c r="J985" t="s">
        <v>107</v>
      </c>
      <c r="K985" t="s">
        <v>108</v>
      </c>
      <c r="L985" t="s">
        <v>5245</v>
      </c>
      <c r="M985" s="88">
        <v>46141.550011574072</v>
      </c>
      <c r="N985" t="s">
        <v>637</v>
      </c>
      <c r="O985" t="s">
        <v>112</v>
      </c>
      <c r="P985" t="s">
        <v>111</v>
      </c>
      <c r="Q985" t="s">
        <v>2085</v>
      </c>
      <c r="R985">
        <v>6</v>
      </c>
      <c r="S985" s="89">
        <v>9500</v>
      </c>
      <c r="T985" s="89">
        <v>0</v>
      </c>
      <c r="U985" s="89">
        <v>20080</v>
      </c>
      <c r="V985" s="89">
        <v>20080</v>
      </c>
      <c r="W985" s="89">
        <v>36920</v>
      </c>
    </row>
    <row r="986" spans="1:23" ht="13">
      <c r="A986" t="s">
        <v>5246</v>
      </c>
      <c r="B986" t="s">
        <v>5247</v>
      </c>
      <c r="C986" s="88">
        <v>46149.10193287037</v>
      </c>
      <c r="D986" t="s">
        <v>105</v>
      </c>
      <c r="E986" t="s">
        <v>106</v>
      </c>
      <c r="F986" t="s">
        <v>5248</v>
      </c>
      <c r="G986" t="s">
        <v>135</v>
      </c>
      <c r="H986" t="s">
        <v>5249</v>
      </c>
      <c r="I986" s="88">
        <v>46140.633923611109</v>
      </c>
      <c r="J986" t="s">
        <v>107</v>
      </c>
      <c r="K986" t="s">
        <v>108</v>
      </c>
      <c r="L986" t="s">
        <v>5250</v>
      </c>
      <c r="M986" s="88">
        <v>46141.59511574074</v>
      </c>
      <c r="N986" t="s">
        <v>637</v>
      </c>
      <c r="O986" t="s">
        <v>112</v>
      </c>
      <c r="P986" t="s">
        <v>111</v>
      </c>
      <c r="Q986" t="s">
        <v>2085</v>
      </c>
      <c r="R986">
        <v>3</v>
      </c>
      <c r="S986" s="89">
        <v>9500</v>
      </c>
      <c r="T986" s="89">
        <v>0</v>
      </c>
      <c r="U986" s="89">
        <v>6270</v>
      </c>
      <c r="V986" s="89">
        <v>6270</v>
      </c>
      <c r="W986" s="89">
        <v>22230</v>
      </c>
    </row>
    <row r="987" spans="1:23" ht="13">
      <c r="A987" t="s">
        <v>5251</v>
      </c>
      <c r="B987" t="s">
        <v>5252</v>
      </c>
      <c r="C987" s="88">
        <v>46149.1019212963</v>
      </c>
      <c r="D987" t="s">
        <v>105</v>
      </c>
      <c r="E987" t="s">
        <v>106</v>
      </c>
      <c r="F987" t="s">
        <v>5253</v>
      </c>
      <c r="G987" t="s">
        <v>5254</v>
      </c>
      <c r="H987" t="s">
        <v>5255</v>
      </c>
      <c r="I987" s="88">
        <v>46140.633912037039</v>
      </c>
      <c r="J987" t="s">
        <v>107</v>
      </c>
      <c r="K987" t="s">
        <v>108</v>
      </c>
      <c r="L987" t="s">
        <v>5256</v>
      </c>
      <c r="M987" s="88">
        <v>46141.692141203705</v>
      </c>
      <c r="N987" t="s">
        <v>637</v>
      </c>
      <c r="O987" t="s">
        <v>112</v>
      </c>
      <c r="P987" t="s">
        <v>111</v>
      </c>
      <c r="Q987" t="s">
        <v>2085</v>
      </c>
      <c r="R987">
        <v>6</v>
      </c>
      <c r="S987" s="89">
        <v>9500</v>
      </c>
      <c r="T987" s="89">
        <v>0</v>
      </c>
      <c r="U987" s="89">
        <v>20080</v>
      </c>
      <c r="V987" s="89">
        <v>20080</v>
      </c>
      <c r="W987" s="89">
        <v>36920</v>
      </c>
    </row>
    <row r="988" spans="1:23" ht="13">
      <c r="A988" t="s">
        <v>5257</v>
      </c>
      <c r="B988" t="s">
        <v>5258</v>
      </c>
      <c r="C988" s="88">
        <v>46149.1019212963</v>
      </c>
      <c r="D988" t="s">
        <v>105</v>
      </c>
      <c r="E988" t="s">
        <v>106</v>
      </c>
      <c r="F988" t="s">
        <v>5259</v>
      </c>
      <c r="G988" t="s">
        <v>5260</v>
      </c>
      <c r="H988" t="s">
        <v>5259</v>
      </c>
      <c r="I988" s="88">
        <v>46140.633912037039</v>
      </c>
      <c r="J988" t="s">
        <v>107</v>
      </c>
      <c r="K988" t="s">
        <v>108</v>
      </c>
      <c r="L988" t="s">
        <v>5261</v>
      </c>
      <c r="M988" s="88">
        <v>46141.500231481477</v>
      </c>
      <c r="N988" t="s">
        <v>637</v>
      </c>
      <c r="O988" t="s">
        <v>112</v>
      </c>
      <c r="P988" t="s">
        <v>111</v>
      </c>
      <c r="Q988" t="s">
        <v>2085</v>
      </c>
      <c r="R988">
        <v>6</v>
      </c>
      <c r="S988" s="89">
        <v>9500</v>
      </c>
      <c r="T988" s="89">
        <v>0</v>
      </c>
      <c r="U988" s="89">
        <v>20080</v>
      </c>
      <c r="V988" s="89">
        <v>20080</v>
      </c>
      <c r="W988" s="89">
        <v>36920</v>
      </c>
    </row>
    <row r="989" spans="1:23" ht="13">
      <c r="A989" t="s">
        <v>5262</v>
      </c>
      <c r="B989" t="s">
        <v>5263</v>
      </c>
      <c r="C989" s="88">
        <v>46149.1019212963</v>
      </c>
      <c r="D989" t="s">
        <v>105</v>
      </c>
      <c r="E989" t="s">
        <v>106</v>
      </c>
      <c r="F989" t="s">
        <v>5264</v>
      </c>
      <c r="G989" t="s">
        <v>5265</v>
      </c>
      <c r="H989" t="s">
        <v>5264</v>
      </c>
      <c r="I989" s="88">
        <v>46140.633900462963</v>
      </c>
      <c r="J989" t="s">
        <v>107</v>
      </c>
      <c r="K989" t="s">
        <v>108</v>
      </c>
      <c r="L989" t="s">
        <v>5266</v>
      </c>
      <c r="M989" s="88">
        <v>46141.47446759259</v>
      </c>
      <c r="N989" t="s">
        <v>637</v>
      </c>
      <c r="O989" t="s">
        <v>112</v>
      </c>
      <c r="P989" t="s">
        <v>111</v>
      </c>
      <c r="Q989" t="s">
        <v>2085</v>
      </c>
      <c r="R989">
        <v>2</v>
      </c>
      <c r="S989" s="89">
        <v>9500</v>
      </c>
      <c r="T989" s="89">
        <v>0</v>
      </c>
      <c r="U989" s="89">
        <v>4280</v>
      </c>
      <c r="V989" s="89">
        <v>4280</v>
      </c>
      <c r="W989" s="89">
        <v>14720</v>
      </c>
    </row>
    <row r="990" spans="1:23" ht="13">
      <c r="A990" t="s">
        <v>5267</v>
      </c>
      <c r="B990" t="s">
        <v>5268</v>
      </c>
      <c r="C990" s="88">
        <v>46149.1019212963</v>
      </c>
      <c r="D990" t="s">
        <v>105</v>
      </c>
      <c r="E990" t="s">
        <v>106</v>
      </c>
      <c r="F990" t="s">
        <v>5269</v>
      </c>
      <c r="G990" t="s">
        <v>5270</v>
      </c>
      <c r="H990" t="s">
        <v>5269</v>
      </c>
      <c r="I990" s="88">
        <v>46140.633900462963</v>
      </c>
      <c r="J990" t="s">
        <v>107</v>
      </c>
      <c r="K990" t="s">
        <v>108</v>
      </c>
      <c r="L990" t="s">
        <v>5271</v>
      </c>
      <c r="M990" s="88">
        <v>46141.59511574074</v>
      </c>
      <c r="N990" t="s">
        <v>637</v>
      </c>
      <c r="O990" t="s">
        <v>112</v>
      </c>
      <c r="P990" t="s">
        <v>111</v>
      </c>
      <c r="Q990" t="s">
        <v>2085</v>
      </c>
      <c r="R990">
        <v>6</v>
      </c>
      <c r="S990" s="89">
        <v>9500</v>
      </c>
      <c r="T990" s="89">
        <v>0</v>
      </c>
      <c r="U990" s="89">
        <v>20080</v>
      </c>
      <c r="V990" s="89">
        <v>20080</v>
      </c>
      <c r="W990" s="89">
        <v>36920</v>
      </c>
    </row>
    <row r="991" spans="1:23" ht="13">
      <c r="A991" t="s">
        <v>5272</v>
      </c>
      <c r="B991" t="s">
        <v>5273</v>
      </c>
      <c r="C991" s="88">
        <v>46149.1019212963</v>
      </c>
      <c r="D991" t="s">
        <v>105</v>
      </c>
      <c r="E991" t="s">
        <v>106</v>
      </c>
      <c r="F991" t="s">
        <v>5274</v>
      </c>
      <c r="G991" t="s">
        <v>5275</v>
      </c>
      <c r="H991" t="s">
        <v>5274</v>
      </c>
      <c r="I991" s="88">
        <v>46140.633900462963</v>
      </c>
      <c r="J991" t="s">
        <v>107</v>
      </c>
      <c r="K991" t="s">
        <v>108</v>
      </c>
      <c r="L991" t="s">
        <v>5276</v>
      </c>
      <c r="M991" s="88">
        <v>46141.552812499998</v>
      </c>
      <c r="N991" t="s">
        <v>637</v>
      </c>
      <c r="O991" t="s">
        <v>112</v>
      </c>
      <c r="P991" t="s">
        <v>111</v>
      </c>
      <c r="Q991" t="s">
        <v>2085</v>
      </c>
      <c r="R991">
        <v>2</v>
      </c>
      <c r="S991" s="89">
        <v>9500</v>
      </c>
      <c r="T991" s="89">
        <v>0</v>
      </c>
      <c r="U991" s="89">
        <v>4180</v>
      </c>
      <c r="V991" s="89">
        <v>4180</v>
      </c>
      <c r="W991" s="89">
        <v>14820</v>
      </c>
    </row>
    <row r="992" spans="1:23" ht="13">
      <c r="A992" t="s">
        <v>5277</v>
      </c>
      <c r="B992" t="s">
        <v>5278</v>
      </c>
      <c r="C992" s="88">
        <v>46149.101678240739</v>
      </c>
      <c r="D992" t="s">
        <v>105</v>
      </c>
      <c r="E992" t="s">
        <v>106</v>
      </c>
      <c r="F992" t="s">
        <v>5279</v>
      </c>
      <c r="G992" t="s">
        <v>5280</v>
      </c>
      <c r="H992" t="s">
        <v>5279</v>
      </c>
      <c r="I992" s="88">
        <v>46140.633946759262</v>
      </c>
      <c r="J992" t="s">
        <v>107</v>
      </c>
      <c r="K992" t="s">
        <v>108</v>
      </c>
      <c r="L992" t="s">
        <v>5281</v>
      </c>
      <c r="M992" s="88">
        <v>46141.692141203705</v>
      </c>
      <c r="N992" t="s">
        <v>637</v>
      </c>
      <c r="O992" t="s">
        <v>112</v>
      </c>
      <c r="P992" t="s">
        <v>111</v>
      </c>
      <c r="Q992" t="s">
        <v>2085</v>
      </c>
      <c r="R992">
        <v>6</v>
      </c>
      <c r="S992" s="89">
        <v>9500</v>
      </c>
      <c r="T992" s="89">
        <v>0</v>
      </c>
      <c r="U992" s="89">
        <v>20080</v>
      </c>
      <c r="V992" s="89">
        <v>20080</v>
      </c>
      <c r="W992" s="89">
        <v>36920</v>
      </c>
    </row>
    <row r="993" spans="1:23" ht="13">
      <c r="A993" t="s">
        <v>5282</v>
      </c>
      <c r="B993" t="s">
        <v>5283</v>
      </c>
      <c r="C993" s="88">
        <v>46149.101678240739</v>
      </c>
      <c r="D993" t="s">
        <v>105</v>
      </c>
      <c r="E993" t="s">
        <v>106</v>
      </c>
      <c r="F993" t="s">
        <v>367</v>
      </c>
      <c r="G993" t="s">
        <v>5284</v>
      </c>
      <c r="H993" t="s">
        <v>367</v>
      </c>
      <c r="I993" s="88">
        <v>46140.633946759262</v>
      </c>
      <c r="J993" t="s">
        <v>107</v>
      </c>
      <c r="K993" t="s">
        <v>108</v>
      </c>
      <c r="L993" t="s">
        <v>5285</v>
      </c>
      <c r="M993" s="88">
        <v>46141.678506944445</v>
      </c>
      <c r="N993" t="s">
        <v>637</v>
      </c>
      <c r="O993" t="s">
        <v>112</v>
      </c>
      <c r="P993" t="s">
        <v>111</v>
      </c>
      <c r="Q993" t="s">
        <v>2085</v>
      </c>
      <c r="R993">
        <v>1</v>
      </c>
      <c r="S993" s="89">
        <v>9500</v>
      </c>
      <c r="T993" s="89">
        <v>0</v>
      </c>
      <c r="U993" s="89">
        <v>2090</v>
      </c>
      <c r="V993" s="89">
        <v>2090</v>
      </c>
      <c r="W993" s="89">
        <v>7410</v>
      </c>
    </row>
    <row r="994" spans="1:23" ht="13">
      <c r="A994" t="s">
        <v>5286</v>
      </c>
      <c r="B994" t="s">
        <v>5287</v>
      </c>
      <c r="C994" s="88">
        <v>46149.101678240739</v>
      </c>
      <c r="D994" t="s">
        <v>105</v>
      </c>
      <c r="E994" t="s">
        <v>106</v>
      </c>
      <c r="F994" t="s">
        <v>5288</v>
      </c>
      <c r="G994" t="s">
        <v>5289</v>
      </c>
      <c r="H994" t="s">
        <v>5288</v>
      </c>
      <c r="I994" s="88">
        <v>46140.633946759262</v>
      </c>
      <c r="J994" t="s">
        <v>107</v>
      </c>
      <c r="K994" t="s">
        <v>108</v>
      </c>
      <c r="L994" t="s">
        <v>5290</v>
      </c>
      <c r="M994" s="88">
        <v>46141.687557870369</v>
      </c>
      <c r="N994" t="s">
        <v>637</v>
      </c>
      <c r="O994" t="s">
        <v>112</v>
      </c>
      <c r="P994" t="s">
        <v>111</v>
      </c>
      <c r="Q994" t="s">
        <v>2085</v>
      </c>
      <c r="R994">
        <v>6</v>
      </c>
      <c r="S994" s="89">
        <v>9500</v>
      </c>
      <c r="T994" s="89">
        <v>0</v>
      </c>
      <c r="U994" s="89">
        <v>20080</v>
      </c>
      <c r="V994" s="89">
        <v>20080</v>
      </c>
      <c r="W994" s="89">
        <v>36920</v>
      </c>
    </row>
    <row r="995" spans="1:23" ht="13">
      <c r="A995" t="s">
        <v>5291</v>
      </c>
      <c r="B995" t="s">
        <v>5292</v>
      </c>
      <c r="C995" s="88">
        <v>46149.101666666669</v>
      </c>
      <c r="D995" t="s">
        <v>105</v>
      </c>
      <c r="E995" t="s">
        <v>106</v>
      </c>
      <c r="F995" t="s">
        <v>182</v>
      </c>
      <c r="G995" t="s">
        <v>183</v>
      </c>
      <c r="H995" t="s">
        <v>182</v>
      </c>
      <c r="I995" s="88">
        <v>46140.633935185186</v>
      </c>
      <c r="J995" t="s">
        <v>107</v>
      </c>
      <c r="K995" t="s">
        <v>108</v>
      </c>
      <c r="L995" t="s">
        <v>5293</v>
      </c>
      <c r="M995" s="88">
        <v>46141.500231481477</v>
      </c>
      <c r="N995" t="s">
        <v>637</v>
      </c>
      <c r="O995" t="s">
        <v>112</v>
      </c>
      <c r="P995" t="s">
        <v>111</v>
      </c>
      <c r="Q995" t="s">
        <v>2085</v>
      </c>
      <c r="R995">
        <v>10</v>
      </c>
      <c r="S995" s="89">
        <v>9500</v>
      </c>
      <c r="T995" s="89">
        <v>0</v>
      </c>
      <c r="U995" s="89">
        <v>33300</v>
      </c>
      <c r="V995" s="89">
        <v>33300</v>
      </c>
      <c r="W995" s="89">
        <v>61700</v>
      </c>
    </row>
    <row r="996" spans="1:23" ht="13">
      <c r="A996" t="s">
        <v>5294</v>
      </c>
      <c r="B996" t="s">
        <v>5295</v>
      </c>
      <c r="C996" s="88">
        <v>46149.101666666669</v>
      </c>
      <c r="D996" t="s">
        <v>105</v>
      </c>
      <c r="E996" t="s">
        <v>106</v>
      </c>
      <c r="F996" t="s">
        <v>5296</v>
      </c>
      <c r="G996" t="s">
        <v>5297</v>
      </c>
      <c r="H996" t="s">
        <v>5296</v>
      </c>
      <c r="I996" s="88">
        <v>46140.633923611109</v>
      </c>
      <c r="J996" t="s">
        <v>107</v>
      </c>
      <c r="K996" t="s">
        <v>108</v>
      </c>
      <c r="L996" t="s">
        <v>5298</v>
      </c>
      <c r="M996" s="88">
        <v>46141.59511574074</v>
      </c>
      <c r="N996" t="s">
        <v>637</v>
      </c>
      <c r="O996" t="s">
        <v>112</v>
      </c>
      <c r="P996" t="s">
        <v>111</v>
      </c>
      <c r="Q996" t="s">
        <v>2085</v>
      </c>
      <c r="R996">
        <v>2</v>
      </c>
      <c r="S996" s="89">
        <v>9500</v>
      </c>
      <c r="T996" s="89">
        <v>0</v>
      </c>
      <c r="U996" s="89">
        <v>4180</v>
      </c>
      <c r="V996" s="89">
        <v>4180</v>
      </c>
      <c r="W996" s="89">
        <v>14820</v>
      </c>
    </row>
    <row r="997" spans="1:23" ht="13">
      <c r="A997" t="s">
        <v>5299</v>
      </c>
      <c r="B997" t="s">
        <v>5300</v>
      </c>
      <c r="C997" s="88">
        <v>46149.101666666669</v>
      </c>
      <c r="D997" t="s">
        <v>105</v>
      </c>
      <c r="E997" t="s">
        <v>106</v>
      </c>
      <c r="F997" t="s">
        <v>5301</v>
      </c>
      <c r="G997" t="s">
        <v>5302</v>
      </c>
      <c r="H997" t="s">
        <v>5301</v>
      </c>
      <c r="I997" s="88">
        <v>46140.633912037039</v>
      </c>
      <c r="J997" t="s">
        <v>107</v>
      </c>
      <c r="K997" t="s">
        <v>108</v>
      </c>
      <c r="L997" t="s">
        <v>5303</v>
      </c>
      <c r="M997" s="88">
        <v>46141.678518518514</v>
      </c>
      <c r="N997" t="s">
        <v>637</v>
      </c>
      <c r="O997" t="s">
        <v>112</v>
      </c>
      <c r="P997" t="s">
        <v>111</v>
      </c>
      <c r="Q997" t="s">
        <v>2085</v>
      </c>
      <c r="R997">
        <v>2</v>
      </c>
      <c r="S997" s="89">
        <v>9500</v>
      </c>
      <c r="T997" s="89">
        <v>0</v>
      </c>
      <c r="U997" s="89">
        <v>4280</v>
      </c>
      <c r="V997" s="89">
        <v>4280</v>
      </c>
      <c r="W997" s="89">
        <v>14720</v>
      </c>
    </row>
    <row r="998" spans="1:23" ht="13">
      <c r="A998" t="s">
        <v>5304</v>
      </c>
      <c r="B998" t="s">
        <v>5305</v>
      </c>
      <c r="C998" s="88">
        <v>46149.101666666669</v>
      </c>
      <c r="D998" t="s">
        <v>105</v>
      </c>
      <c r="E998" t="s">
        <v>106</v>
      </c>
      <c r="F998" t="s">
        <v>5306</v>
      </c>
      <c r="G998" t="s">
        <v>5307</v>
      </c>
      <c r="H998" t="s">
        <v>5306</v>
      </c>
      <c r="I998" s="88">
        <v>46140.633912037039</v>
      </c>
      <c r="J998" t="s">
        <v>107</v>
      </c>
      <c r="K998" t="s">
        <v>108</v>
      </c>
      <c r="L998" t="s">
        <v>5308</v>
      </c>
      <c r="M998" s="88">
        <v>46141.548611111109</v>
      </c>
      <c r="N998" t="s">
        <v>637</v>
      </c>
      <c r="O998" t="s">
        <v>112</v>
      </c>
      <c r="P998" t="s">
        <v>111</v>
      </c>
      <c r="Q998" t="s">
        <v>2085</v>
      </c>
      <c r="R998">
        <v>6</v>
      </c>
      <c r="S998" s="89">
        <v>9500</v>
      </c>
      <c r="T998" s="89">
        <v>0</v>
      </c>
      <c r="U998" s="89">
        <v>20080</v>
      </c>
      <c r="V998" s="89">
        <v>20080</v>
      </c>
      <c r="W998" s="89">
        <v>36920</v>
      </c>
    </row>
    <row r="999" spans="1:23" ht="13">
      <c r="A999" t="s">
        <v>5309</v>
      </c>
      <c r="B999" t="s">
        <v>5310</v>
      </c>
      <c r="C999" s="88">
        <v>46149.101666666669</v>
      </c>
      <c r="D999" t="s">
        <v>105</v>
      </c>
      <c r="E999" t="s">
        <v>106</v>
      </c>
      <c r="F999" t="s">
        <v>5311</v>
      </c>
      <c r="G999" t="s">
        <v>5312</v>
      </c>
      <c r="H999" t="s">
        <v>5311</v>
      </c>
      <c r="I999" s="88">
        <v>46140.633912037039</v>
      </c>
      <c r="J999" t="s">
        <v>107</v>
      </c>
      <c r="K999" t="s">
        <v>108</v>
      </c>
      <c r="L999" t="s">
        <v>5313</v>
      </c>
      <c r="M999" s="88">
        <v>46141.558356481481</v>
      </c>
      <c r="N999" t="s">
        <v>637</v>
      </c>
      <c r="O999" t="s">
        <v>112</v>
      </c>
      <c r="P999" t="s">
        <v>111</v>
      </c>
      <c r="Q999" t="s">
        <v>2085</v>
      </c>
      <c r="R999">
        <v>2</v>
      </c>
      <c r="S999" s="89">
        <v>9500</v>
      </c>
      <c r="T999" s="89">
        <v>0</v>
      </c>
      <c r="U999" s="89">
        <v>4280</v>
      </c>
      <c r="V999" s="89">
        <v>4280</v>
      </c>
      <c r="W999" s="89">
        <v>14720</v>
      </c>
    </row>
    <row r="1000" spans="1:23" ht="13">
      <c r="A1000" t="s">
        <v>5314</v>
      </c>
      <c r="B1000" t="s">
        <v>5315</v>
      </c>
      <c r="C1000" s="88">
        <v>46149.101655092592</v>
      </c>
      <c r="D1000" t="s">
        <v>105</v>
      </c>
      <c r="E1000" t="s">
        <v>106</v>
      </c>
      <c r="F1000" t="s">
        <v>5316</v>
      </c>
      <c r="G1000" t="s">
        <v>5317</v>
      </c>
      <c r="H1000" t="s">
        <v>5316</v>
      </c>
      <c r="I1000" s="88">
        <v>46140.633912037039</v>
      </c>
      <c r="J1000" t="s">
        <v>107</v>
      </c>
      <c r="K1000" t="s">
        <v>108</v>
      </c>
      <c r="L1000" t="s">
        <v>5318</v>
      </c>
      <c r="M1000" s="88">
        <v>46141.474432870367</v>
      </c>
      <c r="N1000" t="s">
        <v>637</v>
      </c>
      <c r="O1000" t="s">
        <v>112</v>
      </c>
      <c r="P1000" t="s">
        <v>111</v>
      </c>
      <c r="Q1000" t="s">
        <v>2085</v>
      </c>
      <c r="R1000">
        <v>8</v>
      </c>
      <c r="S1000" s="89">
        <v>9500</v>
      </c>
      <c r="T1000" s="89">
        <v>0</v>
      </c>
      <c r="U1000" s="89">
        <v>26640</v>
      </c>
      <c r="V1000" s="89">
        <v>26640</v>
      </c>
      <c r="W1000" s="89">
        <v>49360</v>
      </c>
    </row>
    <row r="1001" spans="1:23" ht="15.75" customHeight="1">
      <c r="A1001" t="s">
        <v>5319</v>
      </c>
      <c r="B1001" t="s">
        <v>5320</v>
      </c>
      <c r="C1001" s="88">
        <v>46149.101655092592</v>
      </c>
      <c r="D1001" t="s">
        <v>105</v>
      </c>
      <c r="E1001" t="s">
        <v>106</v>
      </c>
      <c r="F1001" t="s">
        <v>318</v>
      </c>
      <c r="G1001" t="s">
        <v>5321</v>
      </c>
      <c r="H1001" t="s">
        <v>318</v>
      </c>
      <c r="I1001" s="88">
        <v>46140.633900462963</v>
      </c>
      <c r="J1001" t="s">
        <v>107</v>
      </c>
      <c r="K1001" t="s">
        <v>108</v>
      </c>
      <c r="L1001" t="s">
        <v>5322</v>
      </c>
      <c r="M1001" s="88">
        <v>46141.548090277778</v>
      </c>
      <c r="N1001" t="s">
        <v>637</v>
      </c>
      <c r="O1001" t="s">
        <v>112</v>
      </c>
      <c r="P1001" t="s">
        <v>111</v>
      </c>
      <c r="Q1001" t="s">
        <v>2085</v>
      </c>
      <c r="R1001">
        <v>3</v>
      </c>
      <c r="S1001" s="89">
        <v>9500</v>
      </c>
      <c r="T1001" s="89">
        <v>0</v>
      </c>
      <c r="U1001" s="89">
        <v>6370</v>
      </c>
      <c r="V1001" s="89">
        <v>6370</v>
      </c>
      <c r="W1001" s="89">
        <v>22130</v>
      </c>
    </row>
    <row r="1002" spans="1:23" ht="15.75" customHeight="1">
      <c r="A1002" t="s">
        <v>5323</v>
      </c>
      <c r="B1002" t="s">
        <v>5324</v>
      </c>
      <c r="C1002" s="88">
        <v>46149.101608796293</v>
      </c>
      <c r="D1002" t="s">
        <v>105</v>
      </c>
      <c r="E1002" t="s">
        <v>106</v>
      </c>
      <c r="F1002" t="s">
        <v>5325</v>
      </c>
      <c r="G1002" t="s">
        <v>5326</v>
      </c>
      <c r="H1002" t="s">
        <v>5325</v>
      </c>
      <c r="I1002" s="88">
        <v>46140.633946759262</v>
      </c>
      <c r="J1002" t="s">
        <v>107</v>
      </c>
      <c r="K1002" t="s">
        <v>108</v>
      </c>
      <c r="L1002" t="s">
        <v>5327</v>
      </c>
      <c r="M1002" s="88">
        <v>46141.548622685186</v>
      </c>
      <c r="N1002" t="s">
        <v>637</v>
      </c>
      <c r="O1002" t="s">
        <v>112</v>
      </c>
      <c r="P1002" t="s">
        <v>111</v>
      </c>
      <c r="Q1002" t="s">
        <v>2085</v>
      </c>
      <c r="R1002">
        <v>3</v>
      </c>
      <c r="S1002" s="89">
        <v>9500</v>
      </c>
      <c r="T1002" s="89">
        <v>0</v>
      </c>
      <c r="U1002" s="89">
        <v>6370</v>
      </c>
      <c r="V1002" s="89">
        <v>6370</v>
      </c>
      <c r="W1002" s="89">
        <v>22130</v>
      </c>
    </row>
    <row r="1003" spans="1:23" ht="15.75" customHeight="1">
      <c r="A1003" t="s">
        <v>5328</v>
      </c>
      <c r="B1003" t="s">
        <v>5329</v>
      </c>
      <c r="C1003" s="88">
        <v>46149.101608796293</v>
      </c>
      <c r="D1003" t="s">
        <v>105</v>
      </c>
      <c r="E1003" t="s">
        <v>106</v>
      </c>
      <c r="F1003" t="s">
        <v>390</v>
      </c>
      <c r="G1003" t="s">
        <v>5330</v>
      </c>
      <c r="H1003" t="s">
        <v>390</v>
      </c>
      <c r="I1003" s="88">
        <v>46140.633946759262</v>
      </c>
      <c r="J1003" t="s">
        <v>107</v>
      </c>
      <c r="K1003" t="s">
        <v>108</v>
      </c>
      <c r="L1003" t="s">
        <v>5331</v>
      </c>
      <c r="M1003" s="88">
        <v>46141.679942129631</v>
      </c>
      <c r="N1003" t="s">
        <v>637</v>
      </c>
      <c r="O1003" t="s">
        <v>112</v>
      </c>
      <c r="P1003" t="s">
        <v>111</v>
      </c>
      <c r="Q1003" t="s">
        <v>2085</v>
      </c>
      <c r="R1003">
        <v>7</v>
      </c>
      <c r="S1003" s="89">
        <v>9500</v>
      </c>
      <c r="T1003" s="89">
        <v>0</v>
      </c>
      <c r="U1003" s="89">
        <v>23310</v>
      </c>
      <c r="V1003" s="89">
        <v>23310</v>
      </c>
      <c r="W1003" s="89">
        <v>43190</v>
      </c>
    </row>
    <row r="1004" spans="1:23" ht="15.75" customHeight="1">
      <c r="A1004" t="s">
        <v>5332</v>
      </c>
      <c r="B1004" t="s">
        <v>5333</v>
      </c>
      <c r="C1004" s="88">
        <v>46149.101597222223</v>
      </c>
      <c r="D1004" t="s">
        <v>105</v>
      </c>
      <c r="E1004" t="s">
        <v>106</v>
      </c>
      <c r="F1004" t="s">
        <v>304</v>
      </c>
      <c r="G1004" t="s">
        <v>3901</v>
      </c>
      <c r="H1004" t="s">
        <v>5334</v>
      </c>
      <c r="I1004" s="88">
        <v>46140.633923611109</v>
      </c>
      <c r="J1004" t="s">
        <v>107</v>
      </c>
      <c r="K1004" t="s">
        <v>108</v>
      </c>
      <c r="L1004" t="s">
        <v>5335</v>
      </c>
      <c r="M1004" s="88">
        <v>46141.473854166667</v>
      </c>
      <c r="N1004" t="s">
        <v>637</v>
      </c>
      <c r="O1004" t="s">
        <v>112</v>
      </c>
      <c r="P1004" t="s">
        <v>111</v>
      </c>
      <c r="Q1004" t="s">
        <v>2085</v>
      </c>
      <c r="R1004">
        <v>6</v>
      </c>
      <c r="S1004" s="89">
        <v>9500</v>
      </c>
      <c r="T1004" s="89">
        <v>0</v>
      </c>
      <c r="U1004" s="89">
        <v>20080</v>
      </c>
      <c r="V1004" s="89">
        <v>20080</v>
      </c>
      <c r="W1004" s="89">
        <v>36920</v>
      </c>
    </row>
    <row r="1005" spans="1:23" ht="15.75" customHeight="1">
      <c r="A1005" t="s">
        <v>5336</v>
      </c>
      <c r="B1005" t="s">
        <v>5337</v>
      </c>
      <c r="C1005" s="88">
        <v>46149.101597222223</v>
      </c>
      <c r="D1005" t="s">
        <v>105</v>
      </c>
      <c r="E1005" t="s">
        <v>106</v>
      </c>
      <c r="F1005" t="s">
        <v>5338</v>
      </c>
      <c r="G1005" t="s">
        <v>5339</v>
      </c>
      <c r="H1005" t="s">
        <v>5338</v>
      </c>
      <c r="I1005" s="88">
        <v>46140.633923611109</v>
      </c>
      <c r="J1005" t="s">
        <v>107</v>
      </c>
      <c r="K1005" t="s">
        <v>108</v>
      </c>
      <c r="L1005" t="s">
        <v>5340</v>
      </c>
      <c r="M1005" s="88">
        <v>46141.548611111109</v>
      </c>
      <c r="N1005" t="s">
        <v>637</v>
      </c>
      <c r="O1005" t="s">
        <v>112</v>
      </c>
      <c r="P1005" t="s">
        <v>111</v>
      </c>
      <c r="Q1005" t="s">
        <v>2085</v>
      </c>
      <c r="R1005">
        <v>3</v>
      </c>
      <c r="S1005" s="89">
        <v>9500</v>
      </c>
      <c r="T1005" s="89">
        <v>0</v>
      </c>
      <c r="U1005" s="89">
        <v>6270</v>
      </c>
      <c r="V1005" s="89">
        <v>6270</v>
      </c>
      <c r="W1005" s="89">
        <v>22230</v>
      </c>
    </row>
    <row r="1006" spans="1:23" ht="15.75" customHeight="1">
      <c r="A1006" t="s">
        <v>5341</v>
      </c>
      <c r="B1006" t="s">
        <v>5342</v>
      </c>
      <c r="C1006" s="88">
        <v>46149.101597222223</v>
      </c>
      <c r="D1006" t="s">
        <v>105</v>
      </c>
      <c r="E1006" t="s">
        <v>106</v>
      </c>
      <c r="F1006" t="s">
        <v>5343</v>
      </c>
      <c r="G1006" t="s">
        <v>5344</v>
      </c>
      <c r="H1006" t="s">
        <v>5343</v>
      </c>
      <c r="I1006" s="88">
        <v>46140.633912037039</v>
      </c>
      <c r="J1006" t="s">
        <v>107</v>
      </c>
      <c r="K1006" t="s">
        <v>108</v>
      </c>
      <c r="L1006" t="s">
        <v>5345</v>
      </c>
      <c r="M1006" s="88">
        <v>46141.552812499998</v>
      </c>
      <c r="N1006" t="s">
        <v>637</v>
      </c>
      <c r="O1006" t="s">
        <v>112</v>
      </c>
      <c r="P1006" t="s">
        <v>111</v>
      </c>
      <c r="Q1006" t="s">
        <v>2085</v>
      </c>
      <c r="R1006">
        <v>6</v>
      </c>
      <c r="S1006" s="89">
        <v>9500</v>
      </c>
      <c r="T1006" s="89">
        <v>0</v>
      </c>
      <c r="U1006" s="89">
        <v>19980</v>
      </c>
      <c r="V1006" s="89">
        <v>19980</v>
      </c>
      <c r="W1006" s="89">
        <v>37020</v>
      </c>
    </row>
    <row r="1007" spans="1:23" ht="15.75" customHeight="1">
      <c r="A1007" t="s">
        <v>5346</v>
      </c>
      <c r="B1007" t="s">
        <v>5347</v>
      </c>
      <c r="C1007" s="88">
        <v>46149.101597222223</v>
      </c>
      <c r="D1007" t="s">
        <v>105</v>
      </c>
      <c r="E1007" t="s">
        <v>106</v>
      </c>
      <c r="F1007" t="s">
        <v>5348</v>
      </c>
      <c r="G1007" t="s">
        <v>5349</v>
      </c>
      <c r="H1007" t="s">
        <v>5350</v>
      </c>
      <c r="I1007" s="88">
        <v>46140.633912037039</v>
      </c>
      <c r="J1007" t="s">
        <v>107</v>
      </c>
      <c r="K1007" t="s">
        <v>108</v>
      </c>
      <c r="L1007" t="s">
        <v>5351</v>
      </c>
      <c r="M1007" s="88">
        <v>46141.678506944445</v>
      </c>
      <c r="N1007" t="s">
        <v>637</v>
      </c>
      <c r="O1007" t="s">
        <v>112</v>
      </c>
      <c r="P1007" t="s">
        <v>111</v>
      </c>
      <c r="Q1007" t="s">
        <v>2085</v>
      </c>
      <c r="R1007">
        <v>4</v>
      </c>
      <c r="S1007" s="89">
        <v>9500</v>
      </c>
      <c r="T1007" s="89">
        <v>0</v>
      </c>
      <c r="U1007" s="89">
        <v>8360</v>
      </c>
      <c r="V1007" s="89">
        <v>8360</v>
      </c>
      <c r="W1007" s="89">
        <v>29640</v>
      </c>
    </row>
    <row r="1008" spans="1:23" ht="15.75" customHeight="1">
      <c r="A1008" t="s">
        <v>5352</v>
      </c>
      <c r="B1008" t="s">
        <v>5353</v>
      </c>
      <c r="C1008" s="88">
        <v>46149.101516203707</v>
      </c>
      <c r="D1008" t="s">
        <v>105</v>
      </c>
      <c r="E1008" t="s">
        <v>106</v>
      </c>
      <c r="F1008" t="s">
        <v>5354</v>
      </c>
      <c r="G1008" t="s">
        <v>2709</v>
      </c>
      <c r="H1008" t="s">
        <v>5354</v>
      </c>
      <c r="I1008" s="88">
        <v>46140.633923611109</v>
      </c>
      <c r="J1008" t="s">
        <v>107</v>
      </c>
      <c r="K1008" t="s">
        <v>108</v>
      </c>
      <c r="L1008" t="s">
        <v>5355</v>
      </c>
      <c r="M1008" s="88">
        <v>46141.968819444446</v>
      </c>
      <c r="N1008" t="s">
        <v>637</v>
      </c>
      <c r="O1008" t="s">
        <v>112</v>
      </c>
      <c r="P1008" t="s">
        <v>111</v>
      </c>
      <c r="Q1008" t="s">
        <v>2085</v>
      </c>
      <c r="R1008">
        <v>2</v>
      </c>
      <c r="S1008" s="89">
        <v>9500</v>
      </c>
      <c r="T1008" s="89">
        <v>0</v>
      </c>
      <c r="U1008" s="89">
        <v>4180</v>
      </c>
      <c r="V1008" s="89">
        <v>4180</v>
      </c>
      <c r="W1008" s="89">
        <v>14820</v>
      </c>
    </row>
    <row r="1009" spans="1:23" ht="15.75" customHeight="1">
      <c r="A1009" t="s">
        <v>5356</v>
      </c>
      <c r="B1009" t="s">
        <v>5357</v>
      </c>
      <c r="C1009" s="88">
        <v>46149.101516203707</v>
      </c>
      <c r="D1009" t="s">
        <v>105</v>
      </c>
      <c r="E1009" t="s">
        <v>106</v>
      </c>
      <c r="F1009" t="s">
        <v>5358</v>
      </c>
      <c r="G1009" t="s">
        <v>5359</v>
      </c>
      <c r="H1009" t="s">
        <v>5358</v>
      </c>
      <c r="I1009" s="88">
        <v>46140.633923611109</v>
      </c>
      <c r="J1009" t="s">
        <v>107</v>
      </c>
      <c r="K1009" t="s">
        <v>108</v>
      </c>
      <c r="L1009" t="s">
        <v>5360</v>
      </c>
      <c r="M1009" s="88">
        <v>46141.692152777774</v>
      </c>
      <c r="N1009" t="s">
        <v>637</v>
      </c>
      <c r="O1009" t="s">
        <v>112</v>
      </c>
      <c r="P1009" t="s">
        <v>111</v>
      </c>
      <c r="Q1009" t="s">
        <v>2085</v>
      </c>
      <c r="R1009">
        <v>6</v>
      </c>
      <c r="S1009" s="89">
        <v>9500</v>
      </c>
      <c r="T1009" s="89">
        <v>0</v>
      </c>
      <c r="U1009" s="89">
        <v>20080</v>
      </c>
      <c r="V1009" s="89">
        <v>20080</v>
      </c>
      <c r="W1009" s="89">
        <v>36920</v>
      </c>
    </row>
    <row r="1010" spans="1:23" ht="15.75" customHeight="1">
      <c r="A1010" t="s">
        <v>5361</v>
      </c>
      <c r="B1010" t="s">
        <v>5362</v>
      </c>
      <c r="C1010" s="88">
        <v>46149.101504629631</v>
      </c>
      <c r="D1010" t="s">
        <v>105</v>
      </c>
      <c r="E1010" t="s">
        <v>106</v>
      </c>
      <c r="F1010" t="s">
        <v>249</v>
      </c>
      <c r="G1010" t="s">
        <v>5363</v>
      </c>
      <c r="H1010" t="s">
        <v>249</v>
      </c>
      <c r="I1010" s="88">
        <v>46140.633912037039</v>
      </c>
      <c r="J1010" t="s">
        <v>107</v>
      </c>
      <c r="K1010" t="s">
        <v>108</v>
      </c>
      <c r="L1010" t="s">
        <v>5364</v>
      </c>
      <c r="M1010" s="88">
        <v>46141.548090277778</v>
      </c>
      <c r="N1010" t="s">
        <v>637</v>
      </c>
      <c r="O1010" t="s">
        <v>112</v>
      </c>
      <c r="P1010" t="s">
        <v>111</v>
      </c>
      <c r="Q1010" t="s">
        <v>2085</v>
      </c>
      <c r="R1010">
        <v>7</v>
      </c>
      <c r="S1010" s="89">
        <v>9500</v>
      </c>
      <c r="T1010" s="89">
        <v>0</v>
      </c>
      <c r="U1010" s="89">
        <v>23410</v>
      </c>
      <c r="V1010" s="89">
        <v>23410</v>
      </c>
      <c r="W1010" s="89">
        <v>43090</v>
      </c>
    </row>
    <row r="1011" spans="1:23" ht="15.75" customHeight="1">
      <c r="A1011" t="s">
        <v>5365</v>
      </c>
      <c r="B1011" t="s">
        <v>5366</v>
      </c>
      <c r="C1011" s="88">
        <v>46149.101504629631</v>
      </c>
      <c r="D1011" t="s">
        <v>105</v>
      </c>
      <c r="E1011" t="s">
        <v>106</v>
      </c>
      <c r="F1011" t="s">
        <v>5367</v>
      </c>
      <c r="G1011" t="s">
        <v>5368</v>
      </c>
      <c r="H1011" t="s">
        <v>5367</v>
      </c>
      <c r="I1011" s="88">
        <v>46140.633912037039</v>
      </c>
      <c r="J1011" t="s">
        <v>107</v>
      </c>
      <c r="K1011" t="s">
        <v>108</v>
      </c>
      <c r="L1011" t="s">
        <v>5369</v>
      </c>
      <c r="M1011" s="88">
        <v>46141.59511574074</v>
      </c>
      <c r="N1011" t="s">
        <v>637</v>
      </c>
      <c r="O1011" t="s">
        <v>112</v>
      </c>
      <c r="P1011" t="s">
        <v>111</v>
      </c>
      <c r="Q1011" t="s">
        <v>2085</v>
      </c>
      <c r="R1011">
        <v>10</v>
      </c>
      <c r="S1011" s="89">
        <v>9500</v>
      </c>
      <c r="T1011" s="89">
        <v>0</v>
      </c>
      <c r="U1011" s="89">
        <v>33300</v>
      </c>
      <c r="V1011" s="89">
        <v>33300</v>
      </c>
      <c r="W1011" s="89">
        <v>61700</v>
      </c>
    </row>
    <row r="1012" spans="1:23" ht="15.75" customHeight="1">
      <c r="A1012" t="s">
        <v>5370</v>
      </c>
      <c r="B1012" t="s">
        <v>5371</v>
      </c>
      <c r="C1012" s="88">
        <v>46149.101504629631</v>
      </c>
      <c r="D1012" t="s">
        <v>105</v>
      </c>
      <c r="E1012" t="s">
        <v>106</v>
      </c>
      <c r="F1012" t="s">
        <v>2410</v>
      </c>
      <c r="G1012" t="s">
        <v>5372</v>
      </c>
      <c r="H1012" t="s">
        <v>2410</v>
      </c>
      <c r="I1012" s="88">
        <v>46140.633912037039</v>
      </c>
      <c r="J1012" t="s">
        <v>107</v>
      </c>
      <c r="K1012" t="s">
        <v>108</v>
      </c>
      <c r="L1012" t="s">
        <v>5373</v>
      </c>
      <c r="M1012" s="88">
        <v>46141.55</v>
      </c>
      <c r="N1012" t="s">
        <v>637</v>
      </c>
      <c r="O1012" t="s">
        <v>112</v>
      </c>
      <c r="P1012" t="s">
        <v>111</v>
      </c>
      <c r="Q1012" t="s">
        <v>2085</v>
      </c>
      <c r="R1012">
        <v>6</v>
      </c>
      <c r="S1012" s="89">
        <v>9500</v>
      </c>
      <c r="T1012" s="89">
        <v>0</v>
      </c>
      <c r="U1012" s="89">
        <v>19980</v>
      </c>
      <c r="V1012" s="89">
        <v>19980</v>
      </c>
      <c r="W1012" s="89">
        <v>37020</v>
      </c>
    </row>
    <row r="1013" spans="1:23" ht="15.75" customHeight="1">
      <c r="A1013" t="s">
        <v>5374</v>
      </c>
      <c r="B1013" t="s">
        <v>5375</v>
      </c>
      <c r="C1013" s="88">
        <v>46149.101504629631</v>
      </c>
      <c r="D1013" t="s">
        <v>105</v>
      </c>
      <c r="E1013" t="s">
        <v>106</v>
      </c>
      <c r="F1013" t="s">
        <v>5376</v>
      </c>
      <c r="G1013" t="s">
        <v>5377</v>
      </c>
      <c r="H1013" t="s">
        <v>5376</v>
      </c>
      <c r="I1013" s="88">
        <v>46140.633912037039</v>
      </c>
      <c r="J1013" t="s">
        <v>107</v>
      </c>
      <c r="K1013" t="s">
        <v>108</v>
      </c>
      <c r="L1013" t="s">
        <v>5378</v>
      </c>
      <c r="M1013" s="88">
        <v>46141.758425925931</v>
      </c>
      <c r="N1013" t="s">
        <v>637</v>
      </c>
      <c r="O1013" t="s">
        <v>112</v>
      </c>
      <c r="P1013" t="s">
        <v>111</v>
      </c>
      <c r="Q1013" t="s">
        <v>2085</v>
      </c>
      <c r="R1013">
        <v>3</v>
      </c>
      <c r="S1013" s="89">
        <v>9500</v>
      </c>
      <c r="T1013" s="89">
        <v>0</v>
      </c>
      <c r="U1013" s="89">
        <v>6270</v>
      </c>
      <c r="V1013" s="89">
        <v>6270</v>
      </c>
      <c r="W1013" s="89">
        <v>22230</v>
      </c>
    </row>
    <row r="1014" spans="1:23" ht="15.75" customHeight="1">
      <c r="A1014" t="s">
        <v>5379</v>
      </c>
      <c r="B1014" t="s">
        <v>5380</v>
      </c>
      <c r="C1014" s="88">
        <v>46149.101504629631</v>
      </c>
      <c r="D1014" t="s">
        <v>105</v>
      </c>
      <c r="E1014" t="s">
        <v>106</v>
      </c>
      <c r="F1014" t="s">
        <v>5381</v>
      </c>
      <c r="G1014" t="s">
        <v>5382</v>
      </c>
      <c r="H1014" t="s">
        <v>5381</v>
      </c>
      <c r="I1014" s="88">
        <v>46140.633900462963</v>
      </c>
      <c r="J1014" t="s">
        <v>107</v>
      </c>
      <c r="K1014" t="s">
        <v>108</v>
      </c>
      <c r="L1014" t="s">
        <v>5383</v>
      </c>
      <c r="M1014" s="88">
        <v>46141.555752314816</v>
      </c>
      <c r="N1014" t="s">
        <v>637</v>
      </c>
      <c r="O1014" t="s">
        <v>112</v>
      </c>
      <c r="P1014" t="s">
        <v>111</v>
      </c>
      <c r="Q1014" t="s">
        <v>2085</v>
      </c>
      <c r="R1014">
        <v>6</v>
      </c>
      <c r="S1014" s="89">
        <v>9500</v>
      </c>
      <c r="T1014" s="89">
        <v>0</v>
      </c>
      <c r="U1014" s="89">
        <v>20080</v>
      </c>
      <c r="V1014" s="89">
        <v>20080</v>
      </c>
      <c r="W1014" s="89">
        <v>36920</v>
      </c>
    </row>
    <row r="1015" spans="1:23" ht="15.75" customHeight="1">
      <c r="A1015" t="s">
        <v>5384</v>
      </c>
      <c r="B1015" t="s">
        <v>5385</v>
      </c>
      <c r="C1015" s="88">
        <v>46149.101446759261</v>
      </c>
      <c r="D1015" t="s">
        <v>105</v>
      </c>
      <c r="E1015" t="s">
        <v>106</v>
      </c>
      <c r="F1015" t="s">
        <v>5386</v>
      </c>
      <c r="G1015" t="s">
        <v>5387</v>
      </c>
      <c r="H1015" t="s">
        <v>5386</v>
      </c>
      <c r="I1015" s="88">
        <v>46140.633958333332</v>
      </c>
      <c r="J1015" t="s">
        <v>107</v>
      </c>
      <c r="K1015" t="s">
        <v>108</v>
      </c>
      <c r="L1015" t="s">
        <v>5388</v>
      </c>
      <c r="M1015" s="88">
        <v>46141.768842592588</v>
      </c>
      <c r="N1015" t="s">
        <v>637</v>
      </c>
      <c r="O1015" t="s">
        <v>112</v>
      </c>
      <c r="P1015" t="s">
        <v>111</v>
      </c>
      <c r="Q1015" t="s">
        <v>2085</v>
      </c>
      <c r="R1015">
        <v>1</v>
      </c>
      <c r="S1015" s="89">
        <v>9500</v>
      </c>
      <c r="T1015" s="89">
        <v>0</v>
      </c>
      <c r="U1015" s="89">
        <v>2190</v>
      </c>
      <c r="V1015" s="89">
        <v>2190</v>
      </c>
      <c r="W1015" s="89">
        <v>7310</v>
      </c>
    </row>
    <row r="1016" spans="1:23" ht="15.75" customHeight="1">
      <c r="A1016" t="s">
        <v>5389</v>
      </c>
      <c r="B1016" t="s">
        <v>5390</v>
      </c>
      <c r="C1016" s="88">
        <v>46149.101446759261</v>
      </c>
      <c r="D1016" t="s">
        <v>105</v>
      </c>
      <c r="E1016" t="s">
        <v>106</v>
      </c>
      <c r="F1016" t="s">
        <v>5391</v>
      </c>
      <c r="G1016" t="s">
        <v>5392</v>
      </c>
      <c r="H1016" t="s">
        <v>5391</v>
      </c>
      <c r="I1016" s="88">
        <v>46140.633946759262</v>
      </c>
      <c r="J1016" t="s">
        <v>107</v>
      </c>
      <c r="K1016" t="s">
        <v>108</v>
      </c>
      <c r="L1016" t="s">
        <v>5393</v>
      </c>
      <c r="M1016" s="88">
        <v>46141.67796296296</v>
      </c>
      <c r="N1016" t="s">
        <v>637</v>
      </c>
      <c r="O1016" t="s">
        <v>112</v>
      </c>
      <c r="P1016" t="s">
        <v>111</v>
      </c>
      <c r="Q1016" t="s">
        <v>2085</v>
      </c>
      <c r="R1016">
        <v>1</v>
      </c>
      <c r="S1016" s="89">
        <v>9500</v>
      </c>
      <c r="T1016" s="89">
        <v>0</v>
      </c>
      <c r="U1016" s="89">
        <v>2190</v>
      </c>
      <c r="V1016" s="89">
        <v>2190</v>
      </c>
      <c r="W1016" s="89">
        <v>7310</v>
      </c>
    </row>
    <row r="1017" spans="1:23" ht="15.75" customHeight="1">
      <c r="A1017" t="s">
        <v>5394</v>
      </c>
      <c r="B1017" t="s">
        <v>5395</v>
      </c>
      <c r="C1017" s="88">
        <v>46149.101446759261</v>
      </c>
      <c r="D1017" t="s">
        <v>105</v>
      </c>
      <c r="E1017" t="s">
        <v>106</v>
      </c>
      <c r="F1017" t="s">
        <v>369</v>
      </c>
      <c r="G1017" t="s">
        <v>4250</v>
      </c>
      <c r="H1017" t="s">
        <v>369</v>
      </c>
      <c r="I1017" s="88">
        <v>46140.633935185186</v>
      </c>
      <c r="J1017" t="s">
        <v>107</v>
      </c>
      <c r="K1017" t="s">
        <v>108</v>
      </c>
      <c r="L1017" t="s">
        <v>5396</v>
      </c>
      <c r="M1017" s="88">
        <v>46141.644108796296</v>
      </c>
      <c r="N1017" t="s">
        <v>637</v>
      </c>
      <c r="O1017" t="s">
        <v>112</v>
      </c>
      <c r="P1017" t="s">
        <v>111</v>
      </c>
      <c r="Q1017" t="s">
        <v>2085</v>
      </c>
      <c r="R1017">
        <v>6</v>
      </c>
      <c r="S1017" s="89">
        <v>9500</v>
      </c>
      <c r="T1017" s="89">
        <v>0</v>
      </c>
      <c r="U1017" s="89">
        <v>19980</v>
      </c>
      <c r="V1017" s="89">
        <v>19980</v>
      </c>
      <c r="W1017" s="89">
        <v>37020</v>
      </c>
    </row>
    <row r="1018" spans="1:23" ht="15.75" customHeight="1">
      <c r="A1018" t="s">
        <v>5397</v>
      </c>
      <c r="B1018" t="s">
        <v>5398</v>
      </c>
      <c r="C1018" s="88">
        <v>46149.101446759261</v>
      </c>
      <c r="D1018" t="s">
        <v>105</v>
      </c>
      <c r="E1018" t="s">
        <v>106</v>
      </c>
      <c r="F1018" t="s">
        <v>5399</v>
      </c>
      <c r="G1018" t="s">
        <v>5400</v>
      </c>
      <c r="H1018" t="s">
        <v>5399</v>
      </c>
      <c r="I1018" s="88">
        <v>46140.633935185186</v>
      </c>
      <c r="J1018" t="s">
        <v>107</v>
      </c>
      <c r="K1018" t="s">
        <v>108</v>
      </c>
      <c r="L1018" t="s">
        <v>5401</v>
      </c>
      <c r="M1018" s="88">
        <v>46141.768842592588</v>
      </c>
      <c r="N1018" t="s">
        <v>637</v>
      </c>
      <c r="O1018" t="s">
        <v>112</v>
      </c>
      <c r="P1018" t="s">
        <v>111</v>
      </c>
      <c r="Q1018" t="s">
        <v>2085</v>
      </c>
      <c r="R1018">
        <v>3</v>
      </c>
      <c r="S1018" s="89">
        <v>9500</v>
      </c>
      <c r="T1018" s="89">
        <v>0</v>
      </c>
      <c r="U1018" s="89">
        <v>6270</v>
      </c>
      <c r="V1018" s="89">
        <v>6270</v>
      </c>
      <c r="W1018" s="89">
        <v>22230</v>
      </c>
    </row>
    <row r="1019" spans="1:23" ht="15.75" customHeight="1">
      <c r="A1019" t="s">
        <v>5402</v>
      </c>
      <c r="B1019" t="s">
        <v>5403</v>
      </c>
      <c r="C1019" s="88">
        <v>46149.101435185185</v>
      </c>
      <c r="D1019" t="s">
        <v>105</v>
      </c>
      <c r="E1019" t="s">
        <v>106</v>
      </c>
      <c r="F1019" t="s">
        <v>341</v>
      </c>
      <c r="G1019" t="s">
        <v>5404</v>
      </c>
      <c r="H1019" t="s">
        <v>341</v>
      </c>
      <c r="I1019" s="88">
        <v>46140.633923611109</v>
      </c>
      <c r="J1019" t="s">
        <v>107</v>
      </c>
      <c r="K1019" t="s">
        <v>108</v>
      </c>
      <c r="L1019" t="s">
        <v>5405</v>
      </c>
      <c r="M1019" s="88">
        <v>46141.558356481481</v>
      </c>
      <c r="N1019" t="s">
        <v>637</v>
      </c>
      <c r="O1019" t="s">
        <v>112</v>
      </c>
      <c r="P1019" t="s">
        <v>111</v>
      </c>
      <c r="Q1019" t="s">
        <v>2085</v>
      </c>
      <c r="R1019">
        <v>5</v>
      </c>
      <c r="S1019" s="89">
        <v>9500</v>
      </c>
      <c r="T1019" s="89">
        <v>0</v>
      </c>
      <c r="U1019" s="89">
        <v>10550</v>
      </c>
      <c r="V1019" s="89">
        <v>10550</v>
      </c>
      <c r="W1019" s="89">
        <v>36950</v>
      </c>
    </row>
    <row r="1020" spans="1:23" ht="15.75" customHeight="1">
      <c r="A1020" t="s">
        <v>5406</v>
      </c>
      <c r="B1020" t="s">
        <v>5407</v>
      </c>
      <c r="C1020" s="88">
        <v>46149.101435185185</v>
      </c>
      <c r="D1020" t="s">
        <v>105</v>
      </c>
      <c r="E1020" t="s">
        <v>106</v>
      </c>
      <c r="F1020" t="s">
        <v>5408</v>
      </c>
      <c r="G1020" t="s">
        <v>5409</v>
      </c>
      <c r="H1020" t="s">
        <v>5408</v>
      </c>
      <c r="I1020" s="88">
        <v>46140.633923611109</v>
      </c>
      <c r="J1020" t="s">
        <v>107</v>
      </c>
      <c r="K1020" t="s">
        <v>108</v>
      </c>
      <c r="L1020" t="s">
        <v>5410</v>
      </c>
      <c r="M1020" s="88">
        <v>46141.555717592593</v>
      </c>
      <c r="N1020" t="s">
        <v>637</v>
      </c>
      <c r="O1020" t="s">
        <v>112</v>
      </c>
      <c r="P1020" t="s">
        <v>111</v>
      </c>
      <c r="Q1020" t="s">
        <v>2085</v>
      </c>
      <c r="R1020">
        <v>3</v>
      </c>
      <c r="S1020" s="89">
        <v>9500</v>
      </c>
      <c r="T1020" s="89">
        <v>0</v>
      </c>
      <c r="U1020" s="89">
        <v>6370</v>
      </c>
      <c r="V1020" s="89">
        <v>6370</v>
      </c>
      <c r="W1020" s="89">
        <v>22130</v>
      </c>
    </row>
    <row r="1021" spans="1:23" ht="15.75" customHeight="1">
      <c r="A1021" t="s">
        <v>5411</v>
      </c>
      <c r="B1021" t="s">
        <v>5412</v>
      </c>
      <c r="C1021" s="88">
        <v>46149.101435185185</v>
      </c>
      <c r="D1021" t="s">
        <v>105</v>
      </c>
      <c r="E1021" t="s">
        <v>106</v>
      </c>
      <c r="F1021" t="s">
        <v>5413</v>
      </c>
      <c r="G1021" t="s">
        <v>5414</v>
      </c>
      <c r="H1021" t="s">
        <v>5413</v>
      </c>
      <c r="I1021" s="88">
        <v>46140.633912037039</v>
      </c>
      <c r="J1021" t="s">
        <v>107</v>
      </c>
      <c r="K1021" t="s">
        <v>108</v>
      </c>
      <c r="L1021" t="s">
        <v>5415</v>
      </c>
      <c r="M1021" s="88">
        <v>46141.402881944443</v>
      </c>
      <c r="N1021" t="s">
        <v>637</v>
      </c>
      <c r="O1021" t="s">
        <v>112</v>
      </c>
      <c r="P1021" t="s">
        <v>111</v>
      </c>
      <c r="Q1021" t="s">
        <v>2085</v>
      </c>
      <c r="R1021">
        <v>6</v>
      </c>
      <c r="S1021" s="89">
        <v>9500</v>
      </c>
      <c r="T1021" s="89">
        <v>0</v>
      </c>
      <c r="U1021" s="89">
        <v>20080</v>
      </c>
      <c r="V1021" s="89">
        <v>20080</v>
      </c>
      <c r="W1021" s="89">
        <v>36920</v>
      </c>
    </row>
    <row r="1022" spans="1:23" ht="15.75" customHeight="1">
      <c r="A1022" t="s">
        <v>5416</v>
      </c>
      <c r="B1022" t="s">
        <v>5417</v>
      </c>
      <c r="C1022" s="88">
        <v>46149.101435185185</v>
      </c>
      <c r="D1022" t="s">
        <v>105</v>
      </c>
      <c r="E1022" t="s">
        <v>106</v>
      </c>
      <c r="F1022" t="s">
        <v>307</v>
      </c>
      <c r="G1022" t="s">
        <v>5418</v>
      </c>
      <c r="H1022" t="s">
        <v>307</v>
      </c>
      <c r="I1022" s="88">
        <v>46140.633900462963</v>
      </c>
      <c r="J1022" t="s">
        <v>107</v>
      </c>
      <c r="K1022" t="s">
        <v>108</v>
      </c>
      <c r="L1022" t="s">
        <v>5419</v>
      </c>
      <c r="M1022" s="88">
        <v>46141.678518518514</v>
      </c>
      <c r="N1022" t="s">
        <v>637</v>
      </c>
      <c r="O1022" t="s">
        <v>112</v>
      </c>
      <c r="P1022" t="s">
        <v>111</v>
      </c>
      <c r="Q1022" t="s">
        <v>2085</v>
      </c>
      <c r="R1022">
        <v>2</v>
      </c>
      <c r="S1022" s="89">
        <v>9500</v>
      </c>
      <c r="T1022" s="89">
        <v>0</v>
      </c>
      <c r="U1022" s="89">
        <v>4180</v>
      </c>
      <c r="V1022" s="89">
        <v>4180</v>
      </c>
      <c r="W1022" s="89">
        <v>14820</v>
      </c>
    </row>
    <row r="1023" spans="1:23" ht="15.75" customHeight="1">
      <c r="A1023" t="s">
        <v>5420</v>
      </c>
      <c r="B1023" t="s">
        <v>5421</v>
      </c>
      <c r="C1023" s="88">
        <v>46149.082175925927</v>
      </c>
      <c r="D1023" t="s">
        <v>105</v>
      </c>
      <c r="E1023" t="s">
        <v>106</v>
      </c>
      <c r="F1023" t="s">
        <v>5422</v>
      </c>
      <c r="G1023" t="s">
        <v>5423</v>
      </c>
      <c r="H1023" t="s">
        <v>5422</v>
      </c>
      <c r="I1023" s="88">
        <v>46143.714733796296</v>
      </c>
      <c r="J1023" t="s">
        <v>107</v>
      </c>
      <c r="K1023" t="s">
        <v>108</v>
      </c>
      <c r="L1023" t="s">
        <v>5424</v>
      </c>
      <c r="M1023" s="88">
        <v>46146.507662037038</v>
      </c>
      <c r="N1023" t="s">
        <v>637</v>
      </c>
      <c r="O1023" t="s">
        <v>112</v>
      </c>
      <c r="P1023" t="s">
        <v>111</v>
      </c>
      <c r="Q1023" t="s">
        <v>1587</v>
      </c>
      <c r="R1023">
        <v>2</v>
      </c>
      <c r="S1023" s="89">
        <v>9500</v>
      </c>
      <c r="T1023" s="89">
        <v>0</v>
      </c>
      <c r="U1023" s="89">
        <v>4180</v>
      </c>
      <c r="V1023" s="89">
        <v>4180</v>
      </c>
      <c r="W1023" s="89">
        <v>14820</v>
      </c>
    </row>
    <row r="1024" spans="1:23" ht="15.75" customHeight="1">
      <c r="A1024" t="s">
        <v>5425</v>
      </c>
      <c r="B1024" t="s">
        <v>5426</v>
      </c>
      <c r="C1024" s="88">
        <v>46148.997592592597</v>
      </c>
      <c r="D1024" t="s">
        <v>105</v>
      </c>
      <c r="E1024" t="s">
        <v>106</v>
      </c>
      <c r="F1024" t="s">
        <v>401</v>
      </c>
      <c r="G1024" t="s">
        <v>1884</v>
      </c>
      <c r="H1024" t="s">
        <v>401</v>
      </c>
      <c r="I1024" s="88">
        <v>46143.71471064815</v>
      </c>
      <c r="J1024" t="s">
        <v>107</v>
      </c>
      <c r="K1024" t="s">
        <v>108</v>
      </c>
      <c r="L1024" t="s">
        <v>5427</v>
      </c>
      <c r="M1024" s="88">
        <v>46146.443043981482</v>
      </c>
      <c r="N1024" t="s">
        <v>637</v>
      </c>
      <c r="O1024" t="s">
        <v>112</v>
      </c>
      <c r="P1024" t="s">
        <v>111</v>
      </c>
      <c r="Q1024" t="s">
        <v>1587</v>
      </c>
      <c r="R1024">
        <v>6</v>
      </c>
      <c r="S1024" s="89">
        <v>9500</v>
      </c>
      <c r="T1024" s="89">
        <v>0</v>
      </c>
      <c r="U1024" s="89">
        <v>20080</v>
      </c>
      <c r="V1024" s="89">
        <v>20080</v>
      </c>
      <c r="W1024" s="89">
        <v>36920</v>
      </c>
    </row>
    <row r="1025" spans="1:23" ht="15.75" customHeight="1">
      <c r="A1025" t="s">
        <v>5428</v>
      </c>
      <c r="B1025" t="s">
        <v>1560</v>
      </c>
      <c r="C1025" s="88">
        <v>46148.97047453704</v>
      </c>
      <c r="D1025" t="s">
        <v>105</v>
      </c>
      <c r="E1025" t="s">
        <v>106</v>
      </c>
      <c r="F1025" t="s">
        <v>146</v>
      </c>
      <c r="G1025" t="s">
        <v>147</v>
      </c>
      <c r="H1025" t="s">
        <v>146</v>
      </c>
      <c r="I1025" s="88">
        <v>46146.722615740742</v>
      </c>
      <c r="J1025" t="s">
        <v>107</v>
      </c>
      <c r="K1025" t="s">
        <v>108</v>
      </c>
      <c r="L1025" t="s">
        <v>5429</v>
      </c>
      <c r="M1025" s="88">
        <v>46148.769745370373</v>
      </c>
      <c r="N1025" t="s">
        <v>637</v>
      </c>
      <c r="O1025" t="s">
        <v>112</v>
      </c>
      <c r="P1025" t="s">
        <v>111</v>
      </c>
      <c r="Q1025" t="s">
        <v>1587</v>
      </c>
      <c r="R1025">
        <v>2</v>
      </c>
      <c r="S1025" s="89">
        <v>9500</v>
      </c>
      <c r="T1025" s="89">
        <v>0</v>
      </c>
      <c r="U1025" s="89">
        <v>4180</v>
      </c>
      <c r="V1025" s="89">
        <v>4180</v>
      </c>
      <c r="W1025" s="89">
        <v>14820</v>
      </c>
    </row>
    <row r="1026" spans="1:23" ht="15.75" customHeight="1">
      <c r="A1026" t="s">
        <v>5430</v>
      </c>
      <c r="B1026" t="s">
        <v>1560</v>
      </c>
      <c r="C1026" s="88">
        <v>46148.970173611116</v>
      </c>
      <c r="D1026" t="s">
        <v>105</v>
      </c>
      <c r="E1026" t="s">
        <v>106</v>
      </c>
      <c r="F1026" t="s">
        <v>146</v>
      </c>
      <c r="G1026" t="s">
        <v>147</v>
      </c>
      <c r="H1026" t="s">
        <v>146</v>
      </c>
      <c r="I1026" s="88">
        <v>46146.722615740742</v>
      </c>
      <c r="J1026" t="s">
        <v>107</v>
      </c>
      <c r="K1026" t="s">
        <v>108</v>
      </c>
      <c r="L1026" t="s">
        <v>5429</v>
      </c>
      <c r="M1026" s="88">
        <v>46148.769745370373</v>
      </c>
      <c r="N1026" t="s">
        <v>1562</v>
      </c>
      <c r="O1026" t="s">
        <v>123</v>
      </c>
      <c r="P1026" t="s">
        <v>111</v>
      </c>
      <c r="Q1026" t="s">
        <v>60</v>
      </c>
      <c r="R1026">
        <v>1</v>
      </c>
      <c r="S1026" s="89">
        <v>22000</v>
      </c>
      <c r="T1026" s="89">
        <v>0</v>
      </c>
      <c r="U1026" s="89">
        <v>6600</v>
      </c>
      <c r="V1026" s="89">
        <v>6600</v>
      </c>
      <c r="W1026" s="89">
        <v>15400</v>
      </c>
    </row>
    <row r="1027" spans="1:23" ht="15.75" customHeight="1">
      <c r="A1027" t="s">
        <v>5431</v>
      </c>
      <c r="B1027" t="s">
        <v>1560</v>
      </c>
      <c r="C1027" s="88">
        <v>46148.970173611116</v>
      </c>
      <c r="D1027" t="s">
        <v>105</v>
      </c>
      <c r="E1027" t="s">
        <v>106</v>
      </c>
      <c r="F1027" t="s">
        <v>146</v>
      </c>
      <c r="G1027" t="s">
        <v>147</v>
      </c>
      <c r="H1027" t="s">
        <v>146</v>
      </c>
      <c r="I1027" s="88">
        <v>46146.722615740742</v>
      </c>
      <c r="J1027" t="s">
        <v>107</v>
      </c>
      <c r="K1027" t="s">
        <v>108</v>
      </c>
      <c r="L1027" t="s">
        <v>5429</v>
      </c>
      <c r="M1027" s="88">
        <v>46148.769745370373</v>
      </c>
      <c r="N1027" t="s">
        <v>1656</v>
      </c>
      <c r="O1027" t="s">
        <v>127</v>
      </c>
      <c r="P1027" t="s">
        <v>111</v>
      </c>
      <c r="Q1027" t="s">
        <v>5432</v>
      </c>
      <c r="R1027">
        <v>1</v>
      </c>
      <c r="S1027" s="89">
        <v>19000</v>
      </c>
      <c r="T1027" s="89">
        <v>0</v>
      </c>
      <c r="U1027" s="89">
        <v>5700</v>
      </c>
      <c r="V1027" s="89">
        <v>5700</v>
      </c>
      <c r="W1027" s="89">
        <v>13300</v>
      </c>
    </row>
    <row r="1028" spans="1:23" ht="15.75" customHeight="1">
      <c r="A1028" t="s">
        <v>5433</v>
      </c>
      <c r="B1028" t="s">
        <v>1560</v>
      </c>
      <c r="C1028" s="88">
        <v>46148.970173611116</v>
      </c>
      <c r="D1028" t="s">
        <v>105</v>
      </c>
      <c r="E1028" t="s">
        <v>106</v>
      </c>
      <c r="F1028" t="s">
        <v>146</v>
      </c>
      <c r="G1028" t="s">
        <v>147</v>
      </c>
      <c r="H1028" t="s">
        <v>146</v>
      </c>
      <c r="I1028" s="88">
        <v>46146.722615740742</v>
      </c>
      <c r="J1028" t="s">
        <v>107</v>
      </c>
      <c r="K1028" t="s">
        <v>108</v>
      </c>
      <c r="L1028" t="s">
        <v>5429</v>
      </c>
      <c r="M1028" s="88">
        <v>46148.769745370373</v>
      </c>
      <c r="N1028" t="s">
        <v>1656</v>
      </c>
      <c r="O1028" t="s">
        <v>127</v>
      </c>
      <c r="P1028" t="s">
        <v>111</v>
      </c>
      <c r="Q1028" t="s">
        <v>5434</v>
      </c>
      <c r="R1028">
        <v>1</v>
      </c>
      <c r="S1028" s="89">
        <v>19000</v>
      </c>
      <c r="T1028" s="89">
        <v>2100</v>
      </c>
      <c r="U1028" s="89">
        <v>5700</v>
      </c>
      <c r="V1028" s="89">
        <v>5700</v>
      </c>
      <c r="W1028" s="89">
        <v>15400</v>
      </c>
    </row>
    <row r="1029" spans="1:23" ht="15.75" customHeight="1">
      <c r="A1029" t="s">
        <v>5435</v>
      </c>
      <c r="B1029" t="s">
        <v>1560</v>
      </c>
      <c r="C1029" s="88">
        <v>46148.970173611116</v>
      </c>
      <c r="D1029" t="s">
        <v>105</v>
      </c>
      <c r="E1029" t="s">
        <v>106</v>
      </c>
      <c r="F1029" t="s">
        <v>146</v>
      </c>
      <c r="G1029" t="s">
        <v>147</v>
      </c>
      <c r="H1029" t="s">
        <v>146</v>
      </c>
      <c r="I1029" s="88">
        <v>46146.722615740742</v>
      </c>
      <c r="J1029" t="s">
        <v>107</v>
      </c>
      <c r="K1029" t="s">
        <v>108</v>
      </c>
      <c r="L1029" t="s">
        <v>5429</v>
      </c>
      <c r="M1029" s="88">
        <v>46148.769745370373</v>
      </c>
      <c r="N1029" t="s">
        <v>1656</v>
      </c>
      <c r="O1029" t="s">
        <v>127</v>
      </c>
      <c r="P1029" t="s">
        <v>111</v>
      </c>
      <c r="Q1029" t="s">
        <v>5436</v>
      </c>
      <c r="R1029">
        <v>1</v>
      </c>
      <c r="S1029" s="89">
        <v>19000</v>
      </c>
      <c r="T1029" s="89">
        <v>2100</v>
      </c>
      <c r="U1029" s="89">
        <v>5700</v>
      </c>
      <c r="V1029" s="89">
        <v>5700</v>
      </c>
      <c r="W1029" s="89">
        <v>15400</v>
      </c>
    </row>
    <row r="1030" spans="1:23" ht="15.75" customHeight="1">
      <c r="A1030" t="s">
        <v>5437</v>
      </c>
      <c r="B1030" t="s">
        <v>5438</v>
      </c>
      <c r="C1030" s="88">
        <v>46148.962465277778</v>
      </c>
      <c r="D1030" t="s">
        <v>105</v>
      </c>
      <c r="E1030" t="s">
        <v>106</v>
      </c>
      <c r="F1030" t="s">
        <v>355</v>
      </c>
      <c r="G1030" t="s">
        <v>5439</v>
      </c>
      <c r="H1030" t="s">
        <v>355</v>
      </c>
      <c r="I1030" s="88">
        <v>46146.729618055557</v>
      </c>
      <c r="J1030" t="s">
        <v>107</v>
      </c>
      <c r="K1030" t="s">
        <v>108</v>
      </c>
      <c r="L1030" t="s">
        <v>5440</v>
      </c>
      <c r="M1030" s="88">
        <v>46148.676018518519</v>
      </c>
      <c r="N1030" t="s">
        <v>637</v>
      </c>
      <c r="O1030" t="s">
        <v>112</v>
      </c>
      <c r="P1030" t="s">
        <v>111</v>
      </c>
      <c r="Q1030" t="s">
        <v>1417</v>
      </c>
      <c r="R1030">
        <v>6</v>
      </c>
      <c r="S1030" s="89">
        <v>9500</v>
      </c>
      <c r="T1030" s="89">
        <v>0</v>
      </c>
      <c r="U1030" s="89">
        <v>20080</v>
      </c>
      <c r="V1030" s="89">
        <v>20080</v>
      </c>
      <c r="W1030" s="89">
        <v>36920</v>
      </c>
    </row>
    <row r="1031" spans="1:23" ht="15.75" customHeight="1">
      <c r="A1031" t="s">
        <v>5441</v>
      </c>
      <c r="B1031" t="s">
        <v>5442</v>
      </c>
      <c r="C1031" s="88">
        <v>46148.890555555554</v>
      </c>
      <c r="D1031" t="s">
        <v>105</v>
      </c>
      <c r="E1031" t="s">
        <v>106</v>
      </c>
      <c r="F1031" t="s">
        <v>5443</v>
      </c>
      <c r="G1031" t="s">
        <v>3963</v>
      </c>
      <c r="H1031" t="s">
        <v>5443</v>
      </c>
      <c r="I1031" s="88">
        <v>46146.715717592597</v>
      </c>
      <c r="J1031" t="s">
        <v>107</v>
      </c>
      <c r="K1031" t="s">
        <v>108</v>
      </c>
      <c r="L1031" t="s">
        <v>5444</v>
      </c>
      <c r="M1031" s="88">
        <v>46148.594340277778</v>
      </c>
      <c r="N1031" t="s">
        <v>637</v>
      </c>
      <c r="O1031" t="s">
        <v>112</v>
      </c>
      <c r="P1031" t="s">
        <v>111</v>
      </c>
      <c r="Q1031" t="s">
        <v>2085</v>
      </c>
      <c r="R1031">
        <v>6</v>
      </c>
      <c r="S1031" s="89">
        <v>9500</v>
      </c>
      <c r="T1031" s="89">
        <v>0</v>
      </c>
      <c r="U1031" s="89">
        <v>20080</v>
      </c>
      <c r="V1031" s="89">
        <v>20080</v>
      </c>
      <c r="W1031" s="89">
        <v>36920</v>
      </c>
    </row>
    <row r="1032" spans="1:23" ht="15.75" customHeight="1">
      <c r="A1032" t="s">
        <v>5445</v>
      </c>
      <c r="B1032" t="s">
        <v>5446</v>
      </c>
      <c r="C1032" s="88">
        <v>46148.885925925926</v>
      </c>
      <c r="D1032" t="s">
        <v>105</v>
      </c>
      <c r="E1032" t="s">
        <v>106</v>
      </c>
      <c r="F1032" t="s">
        <v>5447</v>
      </c>
      <c r="G1032" t="s">
        <v>5448</v>
      </c>
      <c r="H1032" t="s">
        <v>5447</v>
      </c>
      <c r="I1032" s="88">
        <v>46141.751909722225</v>
      </c>
      <c r="J1032" t="s">
        <v>107</v>
      </c>
      <c r="K1032" t="s">
        <v>108</v>
      </c>
      <c r="L1032" t="s">
        <v>5449</v>
      </c>
      <c r="M1032" s="88">
        <v>46143.619745370372</v>
      </c>
      <c r="N1032" t="s">
        <v>637</v>
      </c>
      <c r="O1032" t="s">
        <v>112</v>
      </c>
      <c r="P1032" t="s">
        <v>111</v>
      </c>
      <c r="Q1032" t="s">
        <v>2085</v>
      </c>
      <c r="R1032">
        <v>1</v>
      </c>
      <c r="S1032" s="89">
        <v>9500</v>
      </c>
      <c r="T1032" s="89">
        <v>0</v>
      </c>
      <c r="U1032" s="89">
        <v>2190</v>
      </c>
      <c r="V1032" s="89">
        <v>2190</v>
      </c>
      <c r="W1032" s="89">
        <v>7310</v>
      </c>
    </row>
    <row r="1033" spans="1:23" ht="15.75" customHeight="1">
      <c r="A1033" t="s">
        <v>5450</v>
      </c>
      <c r="B1033" t="s">
        <v>5451</v>
      </c>
      <c r="C1033" s="88">
        <v>46148.861539351856</v>
      </c>
      <c r="D1033" t="s">
        <v>105</v>
      </c>
      <c r="E1033" t="s">
        <v>106</v>
      </c>
      <c r="F1033" t="s">
        <v>5452</v>
      </c>
      <c r="G1033" t="s">
        <v>5453</v>
      </c>
      <c r="H1033" t="s">
        <v>5452</v>
      </c>
      <c r="I1033" s="88">
        <v>46143.71475694445</v>
      </c>
      <c r="J1033" t="s">
        <v>107</v>
      </c>
      <c r="K1033" t="s">
        <v>108</v>
      </c>
      <c r="L1033" t="s">
        <v>5454</v>
      </c>
      <c r="M1033" s="88">
        <v>46146.603854166664</v>
      </c>
      <c r="N1033" t="s">
        <v>637</v>
      </c>
      <c r="O1033" t="s">
        <v>112</v>
      </c>
      <c r="P1033" t="s">
        <v>111</v>
      </c>
      <c r="Q1033" t="s">
        <v>1587</v>
      </c>
      <c r="R1033">
        <v>2</v>
      </c>
      <c r="S1033" s="89">
        <v>9500</v>
      </c>
      <c r="T1033" s="89">
        <v>0</v>
      </c>
      <c r="U1033" s="89">
        <v>4180</v>
      </c>
      <c r="V1033" s="89">
        <v>4180</v>
      </c>
      <c r="W1033" s="89">
        <v>14820</v>
      </c>
    </row>
    <row r="1034" spans="1:23" ht="15.75" customHeight="1">
      <c r="A1034" t="s">
        <v>5455</v>
      </c>
      <c r="B1034" t="s">
        <v>5456</v>
      </c>
      <c r="C1034" s="88">
        <v>46148.855833333335</v>
      </c>
      <c r="D1034" t="s">
        <v>105</v>
      </c>
      <c r="E1034" t="s">
        <v>106</v>
      </c>
      <c r="F1034" t="s">
        <v>5457</v>
      </c>
      <c r="G1034" t="s">
        <v>5458</v>
      </c>
      <c r="H1034" t="s">
        <v>5457</v>
      </c>
      <c r="I1034" s="88">
        <v>46141.751886574071</v>
      </c>
      <c r="J1034" t="s">
        <v>107</v>
      </c>
      <c r="K1034" t="s">
        <v>108</v>
      </c>
      <c r="L1034" t="s">
        <v>5459</v>
      </c>
      <c r="M1034" s="88">
        <v>46143.524212962962</v>
      </c>
      <c r="N1034" t="s">
        <v>637</v>
      </c>
      <c r="O1034" t="s">
        <v>112</v>
      </c>
      <c r="P1034" t="s">
        <v>111</v>
      </c>
      <c r="Q1034" t="s">
        <v>2085</v>
      </c>
      <c r="R1034">
        <v>6</v>
      </c>
      <c r="S1034" s="89">
        <v>9500</v>
      </c>
      <c r="T1034" s="89">
        <v>0</v>
      </c>
      <c r="U1034" s="89">
        <v>19980</v>
      </c>
      <c r="V1034" s="89">
        <v>19980</v>
      </c>
      <c r="W1034" s="89">
        <v>37020</v>
      </c>
    </row>
    <row r="1035" spans="1:23" ht="15.75" customHeight="1">
      <c r="A1035" t="s">
        <v>5460</v>
      </c>
      <c r="B1035" t="s">
        <v>5461</v>
      </c>
      <c r="C1035" s="88">
        <v>46148.839189814811</v>
      </c>
      <c r="D1035" t="s">
        <v>105</v>
      </c>
      <c r="E1035" t="s">
        <v>106</v>
      </c>
      <c r="F1035" t="s">
        <v>5462</v>
      </c>
      <c r="G1035" t="s">
        <v>5463</v>
      </c>
      <c r="H1035" t="s">
        <v>5462</v>
      </c>
      <c r="I1035" s="88">
        <v>46141.751909722225</v>
      </c>
      <c r="J1035" t="s">
        <v>107</v>
      </c>
      <c r="K1035" t="s">
        <v>108</v>
      </c>
      <c r="L1035" t="s">
        <v>5464</v>
      </c>
      <c r="M1035" s="88">
        <v>46143.476597222223</v>
      </c>
      <c r="N1035" t="s">
        <v>637</v>
      </c>
      <c r="O1035" t="s">
        <v>112</v>
      </c>
      <c r="P1035" t="s">
        <v>111</v>
      </c>
      <c r="Q1035" t="s">
        <v>2085</v>
      </c>
      <c r="R1035">
        <v>2</v>
      </c>
      <c r="S1035" s="89">
        <v>9500</v>
      </c>
      <c r="T1035" s="89">
        <v>0</v>
      </c>
      <c r="U1035" s="89">
        <v>4180</v>
      </c>
      <c r="V1035" s="89">
        <v>4180</v>
      </c>
      <c r="W1035" s="89">
        <v>14820</v>
      </c>
    </row>
    <row r="1036" spans="1:23" ht="15.75" customHeight="1">
      <c r="A1036" t="s">
        <v>5465</v>
      </c>
      <c r="B1036" t="s">
        <v>5466</v>
      </c>
      <c r="C1036" s="88">
        <v>46148.790775462963</v>
      </c>
      <c r="D1036" t="s">
        <v>105</v>
      </c>
      <c r="E1036" t="s">
        <v>106</v>
      </c>
      <c r="F1036" t="s">
        <v>5467</v>
      </c>
      <c r="G1036" t="s">
        <v>5468</v>
      </c>
      <c r="H1036" t="s">
        <v>5467</v>
      </c>
      <c r="I1036" s="88">
        <v>46141.751932870371</v>
      </c>
      <c r="J1036" t="s">
        <v>107</v>
      </c>
      <c r="K1036" t="s">
        <v>108</v>
      </c>
      <c r="L1036" t="s">
        <v>5469</v>
      </c>
      <c r="M1036" s="88">
        <v>46143.572164351848</v>
      </c>
      <c r="N1036" t="s">
        <v>637</v>
      </c>
      <c r="O1036" t="s">
        <v>112</v>
      </c>
      <c r="P1036" t="s">
        <v>111</v>
      </c>
      <c r="Q1036" t="s">
        <v>2085</v>
      </c>
      <c r="R1036">
        <v>6</v>
      </c>
      <c r="S1036" s="89">
        <v>9500</v>
      </c>
      <c r="T1036" s="89">
        <v>0</v>
      </c>
      <c r="U1036" s="89">
        <v>23080</v>
      </c>
      <c r="V1036" s="89">
        <v>20080</v>
      </c>
      <c r="W1036" s="89">
        <v>33920</v>
      </c>
    </row>
    <row r="1037" spans="1:23" ht="15.75" customHeight="1">
      <c r="A1037" t="s">
        <v>5470</v>
      </c>
      <c r="B1037" t="s">
        <v>5471</v>
      </c>
      <c r="C1037" s="88">
        <v>46148.758437500001</v>
      </c>
      <c r="D1037" t="s">
        <v>105</v>
      </c>
      <c r="E1037" t="s">
        <v>106</v>
      </c>
      <c r="F1037" t="s">
        <v>5472</v>
      </c>
      <c r="G1037" t="s">
        <v>5473</v>
      </c>
      <c r="H1037" t="s">
        <v>5472</v>
      </c>
      <c r="I1037" s="88">
        <v>46141.751909722225</v>
      </c>
      <c r="J1037" t="s">
        <v>107</v>
      </c>
      <c r="K1037" t="s">
        <v>108</v>
      </c>
      <c r="L1037" t="s">
        <v>5474</v>
      </c>
      <c r="M1037" s="88">
        <v>46146.633356481485</v>
      </c>
      <c r="N1037" t="s">
        <v>637</v>
      </c>
      <c r="O1037" t="s">
        <v>112</v>
      </c>
      <c r="P1037" t="s">
        <v>111</v>
      </c>
      <c r="Q1037" t="s">
        <v>2085</v>
      </c>
      <c r="R1037">
        <v>1</v>
      </c>
      <c r="S1037" s="89">
        <v>9500</v>
      </c>
      <c r="T1037" s="89">
        <v>0</v>
      </c>
      <c r="U1037" s="89">
        <v>2190</v>
      </c>
      <c r="V1037" s="89">
        <v>2190</v>
      </c>
      <c r="W1037" s="89">
        <v>7310</v>
      </c>
    </row>
    <row r="1038" spans="1:23" ht="15.75" customHeight="1">
      <c r="A1038" t="s">
        <v>5475</v>
      </c>
      <c r="B1038" t="s">
        <v>5476</v>
      </c>
      <c r="C1038" s="88">
        <v>46148.73033564815</v>
      </c>
      <c r="D1038" t="s">
        <v>105</v>
      </c>
      <c r="E1038" t="s">
        <v>106</v>
      </c>
      <c r="F1038" t="s">
        <v>339</v>
      </c>
      <c r="G1038" t="s">
        <v>5477</v>
      </c>
      <c r="H1038" t="s">
        <v>339</v>
      </c>
      <c r="I1038" s="88">
        <v>46143.714722222227</v>
      </c>
      <c r="J1038" t="s">
        <v>107</v>
      </c>
      <c r="K1038" t="s">
        <v>108</v>
      </c>
      <c r="L1038" t="s">
        <v>5478</v>
      </c>
      <c r="M1038" s="88">
        <v>46146.838194444441</v>
      </c>
      <c r="N1038" t="s">
        <v>637</v>
      </c>
      <c r="O1038" t="s">
        <v>112</v>
      </c>
      <c r="P1038" t="s">
        <v>111</v>
      </c>
      <c r="Q1038" t="s">
        <v>1587</v>
      </c>
      <c r="R1038">
        <v>2</v>
      </c>
      <c r="S1038" s="89">
        <v>9500</v>
      </c>
      <c r="T1038" s="89">
        <v>0</v>
      </c>
      <c r="U1038" s="89">
        <v>4180</v>
      </c>
      <c r="V1038" s="89">
        <v>4180</v>
      </c>
      <c r="W1038" s="89">
        <v>14820</v>
      </c>
    </row>
    <row r="1039" spans="1:23" ht="15.75" customHeight="1">
      <c r="A1039" t="s">
        <v>5479</v>
      </c>
      <c r="B1039" t="s">
        <v>5480</v>
      </c>
      <c r="C1039" s="88">
        <v>46148.701388888891</v>
      </c>
      <c r="D1039" t="s">
        <v>105</v>
      </c>
      <c r="E1039" t="s">
        <v>106</v>
      </c>
      <c r="F1039" t="s">
        <v>409</v>
      </c>
      <c r="G1039" t="s">
        <v>5481</v>
      </c>
      <c r="H1039" t="s">
        <v>409</v>
      </c>
      <c r="I1039" s="88">
        <v>46141.751840277779</v>
      </c>
      <c r="J1039" t="s">
        <v>107</v>
      </c>
      <c r="K1039" t="s">
        <v>108</v>
      </c>
      <c r="L1039" t="s">
        <v>5482</v>
      </c>
      <c r="M1039" s="88">
        <v>46143.753449074073</v>
      </c>
      <c r="N1039" t="s">
        <v>637</v>
      </c>
      <c r="O1039" t="s">
        <v>112</v>
      </c>
      <c r="P1039" t="s">
        <v>111</v>
      </c>
      <c r="Q1039" t="s">
        <v>2085</v>
      </c>
      <c r="R1039">
        <v>6</v>
      </c>
      <c r="S1039" s="89">
        <v>9500</v>
      </c>
      <c r="T1039" s="89">
        <v>0</v>
      </c>
      <c r="U1039" s="89">
        <v>20080</v>
      </c>
      <c r="V1039" s="89">
        <v>20080</v>
      </c>
      <c r="W1039" s="89">
        <v>36920</v>
      </c>
    </row>
    <row r="1040" spans="1:23" ht="15.75" customHeight="1">
      <c r="A1040" t="s">
        <v>5483</v>
      </c>
      <c r="B1040" t="s">
        <v>5484</v>
      </c>
      <c r="C1040" s="88">
        <v>46148.69767361111</v>
      </c>
      <c r="D1040" t="s">
        <v>105</v>
      </c>
      <c r="E1040" t="s">
        <v>106</v>
      </c>
      <c r="F1040" t="s">
        <v>5485</v>
      </c>
      <c r="G1040" t="s">
        <v>5486</v>
      </c>
      <c r="H1040" t="s">
        <v>5485</v>
      </c>
      <c r="I1040" s="88">
        <v>46143.714699074073</v>
      </c>
      <c r="J1040" t="s">
        <v>107</v>
      </c>
      <c r="K1040" t="s">
        <v>108</v>
      </c>
      <c r="L1040" t="s">
        <v>5487</v>
      </c>
      <c r="M1040" s="88">
        <v>46146.603854166664</v>
      </c>
      <c r="N1040" t="s">
        <v>637</v>
      </c>
      <c r="O1040" t="s">
        <v>112</v>
      </c>
      <c r="P1040" t="s">
        <v>111</v>
      </c>
      <c r="Q1040" t="s">
        <v>1587</v>
      </c>
      <c r="R1040">
        <v>2</v>
      </c>
      <c r="S1040" s="89">
        <v>9500</v>
      </c>
      <c r="T1040" s="89">
        <v>0</v>
      </c>
      <c r="U1040" s="89">
        <v>4280</v>
      </c>
      <c r="V1040" s="89">
        <v>4280</v>
      </c>
      <c r="W1040" s="89">
        <v>14720</v>
      </c>
    </row>
    <row r="1041" spans="1:23" ht="15.75" customHeight="1">
      <c r="A1041" t="s">
        <v>5488</v>
      </c>
      <c r="B1041" t="s">
        <v>5489</v>
      </c>
      <c r="C1041" s="88">
        <v>46148.681435185186</v>
      </c>
      <c r="D1041" t="s">
        <v>105</v>
      </c>
      <c r="E1041" t="s">
        <v>106</v>
      </c>
      <c r="F1041" t="s">
        <v>5490</v>
      </c>
      <c r="G1041" t="s">
        <v>136</v>
      </c>
      <c r="H1041" t="s">
        <v>5490</v>
      </c>
      <c r="I1041" s="88">
        <v>46143.714699074073</v>
      </c>
      <c r="J1041" t="s">
        <v>107</v>
      </c>
      <c r="K1041" t="s">
        <v>108</v>
      </c>
      <c r="L1041" t="s">
        <v>5491</v>
      </c>
      <c r="M1041" s="88">
        <v>46146.442372685182</v>
      </c>
      <c r="N1041" t="s">
        <v>637</v>
      </c>
      <c r="O1041" t="s">
        <v>112</v>
      </c>
      <c r="P1041" t="s">
        <v>111</v>
      </c>
      <c r="Q1041" t="s">
        <v>1587</v>
      </c>
      <c r="R1041">
        <v>3</v>
      </c>
      <c r="S1041" s="89">
        <v>9500</v>
      </c>
      <c r="T1041" s="89">
        <v>0</v>
      </c>
      <c r="U1041" s="89">
        <v>6370</v>
      </c>
      <c r="V1041" s="89">
        <v>6370</v>
      </c>
      <c r="W1041" s="89">
        <v>22130</v>
      </c>
    </row>
    <row r="1042" spans="1:23" ht="15.75" customHeight="1">
      <c r="A1042" t="s">
        <v>5492</v>
      </c>
      <c r="B1042" t="s">
        <v>5493</v>
      </c>
      <c r="C1042" s="88">
        <v>46148.636874999997</v>
      </c>
      <c r="D1042" t="s">
        <v>105</v>
      </c>
      <c r="E1042" t="s">
        <v>106</v>
      </c>
      <c r="F1042" t="s">
        <v>5494</v>
      </c>
      <c r="G1042" t="s">
        <v>5495</v>
      </c>
      <c r="H1042" t="s">
        <v>5494</v>
      </c>
      <c r="I1042" s="88">
        <v>46143.714699074073</v>
      </c>
      <c r="J1042" t="s">
        <v>107</v>
      </c>
      <c r="K1042" t="s">
        <v>108</v>
      </c>
      <c r="L1042" t="s">
        <v>5496</v>
      </c>
      <c r="M1042" s="88">
        <v>46146.507650462961</v>
      </c>
      <c r="N1042" t="s">
        <v>637</v>
      </c>
      <c r="O1042" t="s">
        <v>112</v>
      </c>
      <c r="P1042" t="s">
        <v>111</v>
      </c>
      <c r="Q1042" t="s">
        <v>2085</v>
      </c>
      <c r="R1042">
        <v>6</v>
      </c>
      <c r="S1042" s="89">
        <v>9500</v>
      </c>
      <c r="T1042" s="89">
        <v>0</v>
      </c>
      <c r="U1042" s="89">
        <v>23080</v>
      </c>
      <c r="V1042" s="89">
        <v>20080</v>
      </c>
      <c r="W1042" s="89">
        <v>33920</v>
      </c>
    </row>
    <row r="1043" spans="1:23" ht="15.75" customHeight="1">
      <c r="A1043" t="s">
        <v>5497</v>
      </c>
      <c r="B1043" t="s">
        <v>5498</v>
      </c>
      <c r="C1043" s="88">
        <v>46148.61109953704</v>
      </c>
      <c r="D1043" t="s">
        <v>105</v>
      </c>
      <c r="E1043" t="s">
        <v>106</v>
      </c>
      <c r="F1043" t="s">
        <v>5499</v>
      </c>
      <c r="G1043" t="s">
        <v>5500</v>
      </c>
      <c r="H1043" t="s">
        <v>5499</v>
      </c>
      <c r="I1043" s="88">
        <v>46141.751886574071</v>
      </c>
      <c r="J1043" t="s">
        <v>107</v>
      </c>
      <c r="K1043" t="s">
        <v>108</v>
      </c>
      <c r="L1043" t="s">
        <v>5501</v>
      </c>
      <c r="M1043" s="88">
        <v>46143.461111111115</v>
      </c>
      <c r="N1043" t="s">
        <v>637</v>
      </c>
      <c r="O1043" t="s">
        <v>112</v>
      </c>
      <c r="P1043" t="s">
        <v>111</v>
      </c>
      <c r="Q1043" t="s">
        <v>2085</v>
      </c>
      <c r="R1043">
        <v>3</v>
      </c>
      <c r="S1043" s="89">
        <v>9500</v>
      </c>
      <c r="T1043" s="89">
        <v>0</v>
      </c>
      <c r="U1043" s="89">
        <v>6270</v>
      </c>
      <c r="V1043" s="89">
        <v>6270</v>
      </c>
      <c r="W1043" s="89">
        <v>22230</v>
      </c>
    </row>
    <row r="1044" spans="1:23" ht="15.75" customHeight="1">
      <c r="A1044" t="s">
        <v>5502</v>
      </c>
      <c r="B1044" t="s">
        <v>5503</v>
      </c>
      <c r="C1044" s="88">
        <v>46148.594710648147</v>
      </c>
      <c r="D1044" t="s">
        <v>105</v>
      </c>
      <c r="E1044" t="s">
        <v>106</v>
      </c>
      <c r="F1044" t="s">
        <v>5504</v>
      </c>
      <c r="G1044" t="s">
        <v>5505</v>
      </c>
      <c r="H1044" t="s">
        <v>5504</v>
      </c>
      <c r="I1044" s="88">
        <v>46143.714733796296</v>
      </c>
      <c r="J1044" t="s">
        <v>107</v>
      </c>
      <c r="K1044" t="s">
        <v>108</v>
      </c>
      <c r="L1044" t="s">
        <v>5506</v>
      </c>
      <c r="M1044" s="88">
        <v>46146.629155092596</v>
      </c>
      <c r="N1044" t="s">
        <v>637</v>
      </c>
      <c r="O1044" t="s">
        <v>112</v>
      </c>
      <c r="P1044" t="s">
        <v>111</v>
      </c>
      <c r="Q1044" t="s">
        <v>1587</v>
      </c>
      <c r="R1044">
        <v>6</v>
      </c>
      <c r="S1044" s="89">
        <v>9500</v>
      </c>
      <c r="T1044" s="89">
        <v>0</v>
      </c>
      <c r="U1044" s="89">
        <v>20080</v>
      </c>
      <c r="V1044" s="89">
        <v>20080</v>
      </c>
      <c r="W1044" s="89">
        <v>36920</v>
      </c>
    </row>
    <row r="1045" spans="1:23" ht="15.75" customHeight="1">
      <c r="A1045" t="s">
        <v>5507</v>
      </c>
      <c r="B1045" t="s">
        <v>222</v>
      </c>
      <c r="C1045" s="88">
        <v>46148.507951388892</v>
      </c>
      <c r="D1045" t="s">
        <v>105</v>
      </c>
      <c r="E1045" t="s">
        <v>106</v>
      </c>
      <c r="F1045" t="s">
        <v>223</v>
      </c>
      <c r="G1045" t="s">
        <v>224</v>
      </c>
      <c r="H1045" t="s">
        <v>223</v>
      </c>
      <c r="I1045" s="88">
        <v>46140.633969907409</v>
      </c>
      <c r="J1045" t="s">
        <v>107</v>
      </c>
      <c r="K1045" t="s">
        <v>108</v>
      </c>
      <c r="L1045" t="s">
        <v>5508</v>
      </c>
      <c r="M1045" s="88">
        <v>46141.474432870367</v>
      </c>
      <c r="N1045" t="s">
        <v>637</v>
      </c>
      <c r="O1045" t="s">
        <v>112</v>
      </c>
      <c r="P1045" t="s">
        <v>111</v>
      </c>
      <c r="Q1045" t="s">
        <v>2085</v>
      </c>
      <c r="R1045">
        <v>1</v>
      </c>
      <c r="S1045" s="89">
        <v>9500</v>
      </c>
      <c r="T1045" s="89">
        <v>0</v>
      </c>
      <c r="U1045" s="89">
        <v>2190</v>
      </c>
      <c r="V1045" s="89">
        <v>2190</v>
      </c>
      <c r="W1045" s="89">
        <v>7310</v>
      </c>
    </row>
    <row r="1046" spans="1:23" ht="15.75" customHeight="1">
      <c r="A1046" t="s">
        <v>5509</v>
      </c>
      <c r="B1046" t="s">
        <v>5510</v>
      </c>
      <c r="C1046" s="88">
        <v>46148.491631944446</v>
      </c>
      <c r="D1046" t="s">
        <v>105</v>
      </c>
      <c r="E1046" t="s">
        <v>106</v>
      </c>
      <c r="F1046" t="s">
        <v>5511</v>
      </c>
      <c r="G1046" t="s">
        <v>5512</v>
      </c>
      <c r="H1046" t="s">
        <v>5511</v>
      </c>
      <c r="I1046" s="88">
        <v>46141.751886574071</v>
      </c>
      <c r="J1046" t="s">
        <v>107</v>
      </c>
      <c r="K1046" t="s">
        <v>108</v>
      </c>
      <c r="L1046" t="s">
        <v>5513</v>
      </c>
      <c r="M1046" s="88">
        <v>46143.463912037041</v>
      </c>
      <c r="N1046" t="s">
        <v>637</v>
      </c>
      <c r="O1046" t="s">
        <v>112</v>
      </c>
      <c r="P1046" t="s">
        <v>111</v>
      </c>
      <c r="Q1046" t="s">
        <v>2085</v>
      </c>
      <c r="R1046">
        <v>9</v>
      </c>
      <c r="S1046" s="89">
        <v>9500</v>
      </c>
      <c r="T1046" s="89">
        <v>0</v>
      </c>
      <c r="U1046" s="89">
        <v>30070</v>
      </c>
      <c r="V1046" s="89">
        <v>30070</v>
      </c>
      <c r="W1046" s="89">
        <v>55430</v>
      </c>
    </row>
    <row r="1047" spans="1:23" ht="15.75" customHeight="1">
      <c r="A1047" t="s">
        <v>5514</v>
      </c>
      <c r="B1047" t="s">
        <v>5515</v>
      </c>
      <c r="C1047" s="88">
        <v>46148.482800925922</v>
      </c>
      <c r="D1047" t="s">
        <v>105</v>
      </c>
      <c r="E1047" t="s">
        <v>106</v>
      </c>
      <c r="F1047" t="s">
        <v>3503</v>
      </c>
      <c r="G1047" t="s">
        <v>5516</v>
      </c>
      <c r="H1047" t="s">
        <v>3503</v>
      </c>
      <c r="I1047" s="88">
        <v>46143.71475694445</v>
      </c>
      <c r="J1047" t="s">
        <v>107</v>
      </c>
      <c r="K1047" t="s">
        <v>108</v>
      </c>
      <c r="L1047" t="s">
        <v>5517</v>
      </c>
      <c r="M1047" s="88">
        <v>46146.460648148146</v>
      </c>
      <c r="N1047" t="s">
        <v>637</v>
      </c>
      <c r="O1047" t="s">
        <v>112</v>
      </c>
      <c r="P1047" t="s">
        <v>111</v>
      </c>
      <c r="Q1047" t="s">
        <v>1587</v>
      </c>
      <c r="R1047">
        <v>6</v>
      </c>
      <c r="S1047" s="89">
        <v>9500</v>
      </c>
      <c r="T1047" s="89">
        <v>0</v>
      </c>
      <c r="U1047" s="89">
        <v>20080</v>
      </c>
      <c r="V1047" s="89">
        <v>20080</v>
      </c>
      <c r="W1047" s="89">
        <v>36920</v>
      </c>
    </row>
    <row r="1048" spans="1:23" ht="15.75" customHeight="1">
      <c r="A1048" t="s">
        <v>5518</v>
      </c>
      <c r="B1048" t="s">
        <v>5519</v>
      </c>
      <c r="C1048" s="88">
        <v>46148.468217592592</v>
      </c>
      <c r="D1048" t="s">
        <v>105</v>
      </c>
      <c r="E1048" t="s">
        <v>106</v>
      </c>
      <c r="F1048" t="s">
        <v>335</v>
      </c>
      <c r="G1048" t="s">
        <v>5520</v>
      </c>
      <c r="H1048" t="s">
        <v>335</v>
      </c>
      <c r="I1048" s="88">
        <v>46143.714722222227</v>
      </c>
      <c r="J1048" t="s">
        <v>107</v>
      </c>
      <c r="K1048" t="s">
        <v>108</v>
      </c>
      <c r="L1048" t="s">
        <v>5521</v>
      </c>
      <c r="M1048" s="88">
        <v>46146.507650462961</v>
      </c>
      <c r="N1048" t="s">
        <v>637</v>
      </c>
      <c r="O1048" t="s">
        <v>112</v>
      </c>
      <c r="P1048" t="s">
        <v>111</v>
      </c>
      <c r="Q1048" t="s">
        <v>1587</v>
      </c>
      <c r="R1048">
        <v>2</v>
      </c>
      <c r="S1048" s="89">
        <v>9500</v>
      </c>
      <c r="T1048" s="89">
        <v>0</v>
      </c>
      <c r="U1048" s="89">
        <v>4280</v>
      </c>
      <c r="V1048" s="89">
        <v>4280</v>
      </c>
      <c r="W1048" s="89">
        <v>14720</v>
      </c>
    </row>
    <row r="1049" spans="1:23" ht="15.75" customHeight="1">
      <c r="A1049" t="s">
        <v>5522</v>
      </c>
      <c r="B1049" t="s">
        <v>5523</v>
      </c>
      <c r="C1049" s="88">
        <v>46148.421168981484</v>
      </c>
      <c r="D1049" t="s">
        <v>105</v>
      </c>
      <c r="E1049" t="s">
        <v>106</v>
      </c>
      <c r="F1049" t="s">
        <v>1370</v>
      </c>
      <c r="G1049" t="s">
        <v>1635</v>
      </c>
      <c r="H1049" t="s">
        <v>1370</v>
      </c>
      <c r="I1049" s="88">
        <v>46143.71475694445</v>
      </c>
      <c r="J1049" t="s">
        <v>107</v>
      </c>
      <c r="K1049" t="s">
        <v>108</v>
      </c>
      <c r="L1049" t="s">
        <v>5524</v>
      </c>
      <c r="M1049" s="88">
        <v>46146.443043981482</v>
      </c>
      <c r="N1049" t="s">
        <v>637</v>
      </c>
      <c r="O1049" t="s">
        <v>112</v>
      </c>
      <c r="P1049" t="s">
        <v>111</v>
      </c>
      <c r="Q1049" t="s">
        <v>1587</v>
      </c>
      <c r="R1049">
        <v>6</v>
      </c>
      <c r="S1049" s="89">
        <v>9500</v>
      </c>
      <c r="T1049" s="89">
        <v>0</v>
      </c>
      <c r="U1049" s="89">
        <v>20080</v>
      </c>
      <c r="V1049" s="89">
        <v>20080</v>
      </c>
      <c r="W1049" s="89">
        <v>36920</v>
      </c>
    </row>
    <row r="1050" spans="1:23" ht="15.75" customHeight="1">
      <c r="A1050" t="s">
        <v>5525</v>
      </c>
      <c r="B1050" t="s">
        <v>5526</v>
      </c>
      <c r="C1050" s="88">
        <v>46148.418888888889</v>
      </c>
      <c r="D1050" t="s">
        <v>105</v>
      </c>
      <c r="E1050" t="s">
        <v>106</v>
      </c>
      <c r="F1050" t="s">
        <v>5527</v>
      </c>
      <c r="G1050" t="s">
        <v>5528</v>
      </c>
      <c r="H1050" t="s">
        <v>5527</v>
      </c>
      <c r="I1050" s="88">
        <v>46141.751932870371</v>
      </c>
      <c r="J1050" t="s">
        <v>107</v>
      </c>
      <c r="K1050" t="s">
        <v>108</v>
      </c>
      <c r="L1050" t="s">
        <v>5529</v>
      </c>
      <c r="M1050" s="88">
        <v>46143.670844907407</v>
      </c>
      <c r="N1050" t="s">
        <v>637</v>
      </c>
      <c r="O1050" t="s">
        <v>112</v>
      </c>
      <c r="P1050" t="s">
        <v>111</v>
      </c>
      <c r="Q1050" t="s">
        <v>2085</v>
      </c>
      <c r="R1050">
        <v>6</v>
      </c>
      <c r="S1050" s="89">
        <v>9500</v>
      </c>
      <c r="T1050" s="89">
        <v>0</v>
      </c>
      <c r="U1050" s="89">
        <v>20080</v>
      </c>
      <c r="V1050" s="89">
        <v>20080</v>
      </c>
      <c r="W1050" s="89">
        <v>36920</v>
      </c>
    </row>
    <row r="1051" spans="1:23" ht="15.75" customHeight="1">
      <c r="A1051" t="s">
        <v>5530</v>
      </c>
      <c r="B1051" t="s">
        <v>5531</v>
      </c>
      <c r="C1051" s="88">
        <v>46148.376898148148</v>
      </c>
      <c r="D1051" t="s">
        <v>105</v>
      </c>
      <c r="E1051" t="s">
        <v>106</v>
      </c>
      <c r="F1051" t="s">
        <v>5532</v>
      </c>
      <c r="G1051" t="s">
        <v>5533</v>
      </c>
      <c r="H1051" t="s">
        <v>5532</v>
      </c>
      <c r="I1051" s="88">
        <v>46143.71471064815</v>
      </c>
      <c r="J1051" t="s">
        <v>107</v>
      </c>
      <c r="K1051" t="s">
        <v>108</v>
      </c>
      <c r="L1051" t="s">
        <v>5534</v>
      </c>
      <c r="M1051" s="88">
        <v>46146.443090277782</v>
      </c>
      <c r="N1051" t="s">
        <v>637</v>
      </c>
      <c r="O1051" t="s">
        <v>112</v>
      </c>
      <c r="P1051" t="s">
        <v>111</v>
      </c>
      <c r="Q1051" t="s">
        <v>1587</v>
      </c>
      <c r="R1051">
        <v>10</v>
      </c>
      <c r="S1051" s="89">
        <v>9500</v>
      </c>
      <c r="T1051" s="89">
        <v>0</v>
      </c>
      <c r="U1051" s="89">
        <v>33300</v>
      </c>
      <c r="V1051" s="89">
        <v>33300</v>
      </c>
      <c r="W1051" s="89">
        <v>61700</v>
      </c>
    </row>
    <row r="1052" spans="1:23" ht="15.75" customHeight="1">
      <c r="A1052" t="s">
        <v>5535</v>
      </c>
      <c r="B1052" t="s">
        <v>5536</v>
      </c>
      <c r="C1052" s="88">
        <v>46148.356863425928</v>
      </c>
      <c r="D1052" t="s">
        <v>105</v>
      </c>
      <c r="E1052" t="s">
        <v>106</v>
      </c>
      <c r="F1052" t="s">
        <v>1644</v>
      </c>
      <c r="G1052" t="s">
        <v>1645</v>
      </c>
      <c r="H1052" t="s">
        <v>1646</v>
      </c>
      <c r="I1052" s="88">
        <v>46143.714722222227</v>
      </c>
      <c r="J1052" t="s">
        <v>107</v>
      </c>
      <c r="K1052" t="s">
        <v>108</v>
      </c>
      <c r="L1052" t="s">
        <v>5537</v>
      </c>
      <c r="M1052" s="88">
        <v>46146.629861111112</v>
      </c>
      <c r="N1052" t="s">
        <v>637</v>
      </c>
      <c r="O1052" t="s">
        <v>112</v>
      </c>
      <c r="P1052" t="s">
        <v>111</v>
      </c>
      <c r="Q1052" t="s">
        <v>1587</v>
      </c>
      <c r="R1052">
        <v>6</v>
      </c>
      <c r="S1052" s="89">
        <v>9500</v>
      </c>
      <c r="T1052" s="89">
        <v>0</v>
      </c>
      <c r="U1052" s="89">
        <v>19980</v>
      </c>
      <c r="V1052" s="89">
        <v>19980</v>
      </c>
      <c r="W1052" s="89">
        <v>37020</v>
      </c>
    </row>
    <row r="1053" spans="1:23" ht="15.75" customHeight="1">
      <c r="A1053" t="s">
        <v>5538</v>
      </c>
      <c r="B1053" t="s">
        <v>5539</v>
      </c>
      <c r="C1053" s="88">
        <v>46148.349189814813</v>
      </c>
      <c r="D1053" t="s">
        <v>105</v>
      </c>
      <c r="E1053" t="s">
        <v>106</v>
      </c>
      <c r="F1053" t="s">
        <v>5540</v>
      </c>
      <c r="G1053" t="s">
        <v>5541</v>
      </c>
      <c r="H1053" t="s">
        <v>5540</v>
      </c>
      <c r="I1053" s="88">
        <v>46143.714768518519</v>
      </c>
      <c r="J1053" t="s">
        <v>107</v>
      </c>
      <c r="K1053" t="s">
        <v>108</v>
      </c>
      <c r="L1053" t="s">
        <v>5542</v>
      </c>
      <c r="M1053" s="88">
        <v>46146.798993055556</v>
      </c>
      <c r="N1053" t="s">
        <v>637</v>
      </c>
      <c r="O1053" t="s">
        <v>112</v>
      </c>
      <c r="P1053" t="s">
        <v>111</v>
      </c>
      <c r="Q1053" t="s">
        <v>1587</v>
      </c>
      <c r="R1053">
        <v>1</v>
      </c>
      <c r="S1053" s="89">
        <v>9500</v>
      </c>
      <c r="T1053" s="89">
        <v>0</v>
      </c>
      <c r="U1053" s="89">
        <v>2190</v>
      </c>
      <c r="V1053" s="89">
        <v>2190</v>
      </c>
      <c r="W1053" s="89">
        <v>7310</v>
      </c>
    </row>
    <row r="1054" spans="1:23" ht="15.75" customHeight="1">
      <c r="A1054" t="s">
        <v>5543</v>
      </c>
      <c r="B1054" t="s">
        <v>5544</v>
      </c>
      <c r="C1054" s="88">
        <v>46148.155509259261</v>
      </c>
      <c r="D1054" t="s">
        <v>105</v>
      </c>
      <c r="E1054" t="s">
        <v>106</v>
      </c>
      <c r="F1054" t="s">
        <v>4212</v>
      </c>
      <c r="G1054" t="s">
        <v>5545</v>
      </c>
      <c r="H1054" t="s">
        <v>4212</v>
      </c>
      <c r="I1054" s="88">
        <v>46139.656597222223</v>
      </c>
      <c r="J1054" t="s">
        <v>107</v>
      </c>
      <c r="K1054" t="s">
        <v>108</v>
      </c>
      <c r="L1054" t="s">
        <v>5546</v>
      </c>
      <c r="M1054" s="88">
        <v>46140.757662037038</v>
      </c>
      <c r="N1054" t="s">
        <v>1562</v>
      </c>
      <c r="O1054" t="s">
        <v>123</v>
      </c>
      <c r="P1054" t="s">
        <v>111</v>
      </c>
      <c r="Q1054" t="s">
        <v>60</v>
      </c>
      <c r="R1054">
        <v>1</v>
      </c>
      <c r="S1054" s="89">
        <v>22000</v>
      </c>
      <c r="T1054" s="89">
        <v>0</v>
      </c>
      <c r="U1054" s="89">
        <v>6600</v>
      </c>
      <c r="V1054" s="89">
        <v>6600</v>
      </c>
      <c r="W1054" s="89">
        <v>15400</v>
      </c>
    </row>
    <row r="1055" spans="1:23" ht="15.75" customHeight="1">
      <c r="A1055" t="s">
        <v>5547</v>
      </c>
      <c r="B1055" t="s">
        <v>5544</v>
      </c>
      <c r="C1055" s="88">
        <v>46148.155509259261</v>
      </c>
      <c r="D1055" t="s">
        <v>105</v>
      </c>
      <c r="E1055" t="s">
        <v>106</v>
      </c>
      <c r="F1055" t="s">
        <v>4212</v>
      </c>
      <c r="G1055" t="s">
        <v>5545</v>
      </c>
      <c r="H1055" t="s">
        <v>4212</v>
      </c>
      <c r="I1055" s="88">
        <v>46139.656597222223</v>
      </c>
      <c r="J1055" t="s">
        <v>107</v>
      </c>
      <c r="K1055" t="s">
        <v>108</v>
      </c>
      <c r="L1055" t="s">
        <v>5546</v>
      </c>
      <c r="M1055" s="88">
        <v>46140.757662037038</v>
      </c>
      <c r="N1055" t="s">
        <v>1656</v>
      </c>
      <c r="O1055" t="s">
        <v>127</v>
      </c>
      <c r="P1055" t="s">
        <v>111</v>
      </c>
      <c r="Q1055" t="s">
        <v>5548</v>
      </c>
      <c r="R1055">
        <v>1</v>
      </c>
      <c r="S1055" s="89">
        <v>19000</v>
      </c>
      <c r="T1055" s="89">
        <v>2100</v>
      </c>
      <c r="U1055" s="89">
        <v>5700</v>
      </c>
      <c r="V1055" s="89">
        <v>5700</v>
      </c>
      <c r="W1055" s="89">
        <v>15400</v>
      </c>
    </row>
    <row r="1056" spans="1:23" ht="15.75" customHeight="1">
      <c r="A1056" t="s">
        <v>5549</v>
      </c>
      <c r="B1056" t="s">
        <v>5544</v>
      </c>
      <c r="C1056" s="88">
        <v>46148.155497685184</v>
      </c>
      <c r="D1056" t="s">
        <v>105</v>
      </c>
      <c r="E1056" t="s">
        <v>106</v>
      </c>
      <c r="F1056" t="s">
        <v>4212</v>
      </c>
      <c r="G1056" t="s">
        <v>5545</v>
      </c>
      <c r="H1056" t="s">
        <v>4212</v>
      </c>
      <c r="I1056" s="88">
        <v>46139.656597222223</v>
      </c>
      <c r="J1056" t="s">
        <v>107</v>
      </c>
      <c r="K1056" t="s">
        <v>108</v>
      </c>
      <c r="L1056" t="s">
        <v>5546</v>
      </c>
      <c r="M1056" s="88">
        <v>46140.757662037038</v>
      </c>
      <c r="N1056" t="s">
        <v>1656</v>
      </c>
      <c r="O1056" t="s">
        <v>127</v>
      </c>
      <c r="P1056" t="s">
        <v>111</v>
      </c>
      <c r="Q1056" t="s">
        <v>5436</v>
      </c>
      <c r="R1056">
        <v>1</v>
      </c>
      <c r="S1056" s="89">
        <v>19000</v>
      </c>
      <c r="T1056" s="89">
        <v>2100</v>
      </c>
      <c r="U1056" s="89">
        <v>5700</v>
      </c>
      <c r="V1056" s="89">
        <v>5700</v>
      </c>
      <c r="W1056" s="89">
        <v>15400</v>
      </c>
    </row>
    <row r="1057" spans="1:23" ht="15.75" customHeight="1">
      <c r="A1057" t="s">
        <v>5550</v>
      </c>
      <c r="B1057" t="s">
        <v>5544</v>
      </c>
      <c r="C1057" s="88">
        <v>46148.155497685184</v>
      </c>
      <c r="D1057" t="s">
        <v>105</v>
      </c>
      <c r="E1057" t="s">
        <v>106</v>
      </c>
      <c r="F1057" t="s">
        <v>4212</v>
      </c>
      <c r="G1057" t="s">
        <v>5545</v>
      </c>
      <c r="H1057" t="s">
        <v>4212</v>
      </c>
      <c r="I1057" s="88">
        <v>46139.656597222223</v>
      </c>
      <c r="J1057" t="s">
        <v>107</v>
      </c>
      <c r="K1057" t="s">
        <v>108</v>
      </c>
      <c r="L1057" t="s">
        <v>5546</v>
      </c>
      <c r="M1057" s="88">
        <v>46140.757662037038</v>
      </c>
      <c r="N1057" t="s">
        <v>1656</v>
      </c>
      <c r="O1057" t="s">
        <v>127</v>
      </c>
      <c r="P1057" t="s">
        <v>111</v>
      </c>
      <c r="Q1057" t="s">
        <v>5551</v>
      </c>
      <c r="R1057">
        <v>1</v>
      </c>
      <c r="S1057" s="89">
        <v>19000</v>
      </c>
      <c r="T1057" s="89">
        <v>2100</v>
      </c>
      <c r="U1057" s="89">
        <v>5700</v>
      </c>
      <c r="V1057" s="89">
        <v>5700</v>
      </c>
      <c r="W1057" s="89">
        <v>15400</v>
      </c>
    </row>
    <row r="1058" spans="1:23" ht="15.75" customHeight="1">
      <c r="A1058" t="s">
        <v>5552</v>
      </c>
      <c r="B1058" t="s">
        <v>235</v>
      </c>
      <c r="C1058" s="88">
        <v>46148.154490740737</v>
      </c>
      <c r="D1058" t="s">
        <v>105</v>
      </c>
      <c r="E1058" t="s">
        <v>106</v>
      </c>
      <c r="F1058" t="s">
        <v>163</v>
      </c>
      <c r="G1058" t="s">
        <v>164</v>
      </c>
      <c r="H1058" t="s">
        <v>163</v>
      </c>
      <c r="I1058" s="88">
        <v>46139.656597222223</v>
      </c>
      <c r="J1058" t="s">
        <v>107</v>
      </c>
      <c r="K1058" t="s">
        <v>108</v>
      </c>
      <c r="L1058" t="s">
        <v>5553</v>
      </c>
      <c r="M1058" s="88">
        <v>46140.508437500001</v>
      </c>
      <c r="N1058" t="s">
        <v>1562</v>
      </c>
      <c r="O1058" t="s">
        <v>123</v>
      </c>
      <c r="P1058" t="s">
        <v>111</v>
      </c>
      <c r="Q1058" t="s">
        <v>1563</v>
      </c>
      <c r="R1058">
        <v>1</v>
      </c>
      <c r="S1058" s="89">
        <v>22000</v>
      </c>
      <c r="T1058" s="89">
        <v>0</v>
      </c>
      <c r="U1058" s="89">
        <v>6600</v>
      </c>
      <c r="V1058" s="89">
        <v>6600</v>
      </c>
      <c r="W1058" s="89">
        <v>15400</v>
      </c>
    </row>
    <row r="1059" spans="1:23" ht="15.75" customHeight="1">
      <c r="A1059" t="s">
        <v>5554</v>
      </c>
      <c r="B1059" t="s">
        <v>235</v>
      </c>
      <c r="C1059" s="88">
        <v>46148.154490740737</v>
      </c>
      <c r="D1059" t="s">
        <v>105</v>
      </c>
      <c r="E1059" t="s">
        <v>106</v>
      </c>
      <c r="F1059" t="s">
        <v>163</v>
      </c>
      <c r="G1059" t="s">
        <v>164</v>
      </c>
      <c r="H1059" t="s">
        <v>163</v>
      </c>
      <c r="I1059" s="88">
        <v>46139.656597222223</v>
      </c>
      <c r="J1059" t="s">
        <v>107</v>
      </c>
      <c r="K1059" t="s">
        <v>108</v>
      </c>
      <c r="L1059" t="s">
        <v>5553</v>
      </c>
      <c r="M1059" s="88">
        <v>46140.508437500001</v>
      </c>
      <c r="N1059" t="s">
        <v>1656</v>
      </c>
      <c r="O1059" t="s">
        <v>127</v>
      </c>
      <c r="P1059" t="s">
        <v>111</v>
      </c>
      <c r="Q1059" t="s">
        <v>5555</v>
      </c>
      <c r="R1059">
        <v>1</v>
      </c>
      <c r="S1059" s="89">
        <v>19000</v>
      </c>
      <c r="T1059" s="89">
        <v>0</v>
      </c>
      <c r="U1059" s="89">
        <v>5700</v>
      </c>
      <c r="V1059" s="89">
        <v>5700</v>
      </c>
      <c r="W1059" s="89">
        <v>13300</v>
      </c>
    </row>
    <row r="1060" spans="1:23" ht="15.75" customHeight="1">
      <c r="A1060" t="s">
        <v>5556</v>
      </c>
      <c r="B1060" t="s">
        <v>5557</v>
      </c>
      <c r="C1060" s="88">
        <v>46148.14979166667</v>
      </c>
      <c r="D1060" t="s">
        <v>105</v>
      </c>
      <c r="E1060" t="s">
        <v>106</v>
      </c>
      <c r="F1060" t="s">
        <v>225</v>
      </c>
      <c r="G1060" t="s">
        <v>5302</v>
      </c>
      <c r="H1060" t="s">
        <v>225</v>
      </c>
      <c r="I1060" s="88">
        <v>46139.656597222223</v>
      </c>
      <c r="J1060" t="s">
        <v>107</v>
      </c>
      <c r="K1060" t="s">
        <v>108</v>
      </c>
      <c r="L1060" t="s">
        <v>5558</v>
      </c>
      <c r="M1060" s="88">
        <v>46140.459340277783</v>
      </c>
      <c r="N1060" t="s">
        <v>1562</v>
      </c>
      <c r="O1060" t="s">
        <v>123</v>
      </c>
      <c r="P1060" t="s">
        <v>111</v>
      </c>
      <c r="Q1060" t="s">
        <v>5559</v>
      </c>
      <c r="R1060">
        <v>1</v>
      </c>
      <c r="S1060" s="89">
        <v>22000</v>
      </c>
      <c r="T1060" s="89">
        <v>0</v>
      </c>
      <c r="U1060" s="89">
        <v>6600</v>
      </c>
      <c r="V1060" s="89">
        <v>6600</v>
      </c>
      <c r="W1060" s="89">
        <v>15400</v>
      </c>
    </row>
    <row r="1061" spans="1:23" ht="15.75" customHeight="1">
      <c r="A1061" t="s">
        <v>5560</v>
      </c>
      <c r="B1061" t="s">
        <v>5557</v>
      </c>
      <c r="C1061" s="88">
        <v>46148.14979166667</v>
      </c>
      <c r="D1061" t="s">
        <v>105</v>
      </c>
      <c r="E1061" t="s">
        <v>106</v>
      </c>
      <c r="F1061" t="s">
        <v>225</v>
      </c>
      <c r="G1061" t="s">
        <v>5302</v>
      </c>
      <c r="H1061" t="s">
        <v>225</v>
      </c>
      <c r="I1061" s="88">
        <v>46139.656597222223</v>
      </c>
      <c r="J1061" t="s">
        <v>107</v>
      </c>
      <c r="K1061" t="s">
        <v>108</v>
      </c>
      <c r="L1061" t="s">
        <v>5558</v>
      </c>
      <c r="M1061" s="88">
        <v>46140.459340277783</v>
      </c>
      <c r="N1061" t="s">
        <v>1656</v>
      </c>
      <c r="O1061" t="s">
        <v>127</v>
      </c>
      <c r="P1061" t="s">
        <v>111</v>
      </c>
      <c r="Q1061" t="s">
        <v>3191</v>
      </c>
      <c r="R1061">
        <v>1</v>
      </c>
      <c r="S1061" s="89">
        <v>19000</v>
      </c>
      <c r="T1061" s="89">
        <v>0</v>
      </c>
      <c r="U1061" s="89">
        <v>5800</v>
      </c>
      <c r="V1061" s="89">
        <v>5800</v>
      </c>
      <c r="W1061" s="89">
        <v>13200</v>
      </c>
    </row>
    <row r="1062" spans="1:23" ht="15.75" customHeight="1">
      <c r="A1062" t="s">
        <v>5561</v>
      </c>
      <c r="B1062" t="s">
        <v>5562</v>
      </c>
      <c r="C1062" s="88">
        <v>46148.064537037033</v>
      </c>
      <c r="D1062" t="s">
        <v>105</v>
      </c>
      <c r="E1062" t="s">
        <v>106</v>
      </c>
      <c r="F1062" t="s">
        <v>5563</v>
      </c>
      <c r="G1062" t="s">
        <v>5564</v>
      </c>
      <c r="H1062" t="s">
        <v>5565</v>
      </c>
      <c r="I1062" s="88">
        <v>46141.751863425925</v>
      </c>
      <c r="J1062" t="s">
        <v>107</v>
      </c>
      <c r="K1062" t="s">
        <v>108</v>
      </c>
      <c r="L1062" t="s">
        <v>5566</v>
      </c>
      <c r="M1062" s="88">
        <v>46143.465960648144</v>
      </c>
      <c r="N1062" t="s">
        <v>637</v>
      </c>
      <c r="O1062" t="s">
        <v>112</v>
      </c>
      <c r="P1062" t="s">
        <v>111</v>
      </c>
      <c r="Q1062" t="s">
        <v>2085</v>
      </c>
      <c r="R1062">
        <v>3</v>
      </c>
      <c r="S1062" s="89">
        <v>9500</v>
      </c>
      <c r="T1062" s="89">
        <v>0</v>
      </c>
      <c r="U1062" s="89">
        <v>6370</v>
      </c>
      <c r="V1062" s="89">
        <v>6370</v>
      </c>
      <c r="W1062" s="89">
        <v>22130</v>
      </c>
    </row>
    <row r="1063" spans="1:23" ht="15.75" customHeight="1">
      <c r="A1063" t="s">
        <v>5567</v>
      </c>
      <c r="B1063" t="s">
        <v>5568</v>
      </c>
      <c r="C1063" s="88">
        <v>46148.061226851853</v>
      </c>
      <c r="D1063" t="s">
        <v>105</v>
      </c>
      <c r="E1063" t="s">
        <v>106</v>
      </c>
      <c r="F1063" t="s">
        <v>1004</v>
      </c>
      <c r="G1063" t="s">
        <v>1005</v>
      </c>
      <c r="H1063" t="s">
        <v>1004</v>
      </c>
      <c r="I1063" s="88">
        <v>46140.633969907409</v>
      </c>
      <c r="J1063" t="s">
        <v>107</v>
      </c>
      <c r="K1063" t="s">
        <v>108</v>
      </c>
      <c r="L1063" t="s">
        <v>5569</v>
      </c>
      <c r="M1063" s="88">
        <v>46141.500231481477</v>
      </c>
      <c r="N1063" t="s">
        <v>637</v>
      </c>
      <c r="O1063" t="s">
        <v>112</v>
      </c>
      <c r="P1063" t="s">
        <v>111</v>
      </c>
      <c r="Q1063" t="s">
        <v>2085</v>
      </c>
      <c r="R1063">
        <v>1</v>
      </c>
      <c r="S1063" s="89">
        <v>9500</v>
      </c>
      <c r="T1063" s="89">
        <v>0</v>
      </c>
      <c r="U1063" s="89">
        <v>2090</v>
      </c>
      <c r="V1063" s="89">
        <v>2090</v>
      </c>
      <c r="W1063" s="89">
        <v>7410</v>
      </c>
    </row>
    <row r="1064" spans="1:23" ht="15.75" customHeight="1">
      <c r="A1064" t="s">
        <v>5570</v>
      </c>
      <c r="B1064" t="s">
        <v>5571</v>
      </c>
      <c r="C1064" s="88">
        <v>46148.019085648149</v>
      </c>
      <c r="D1064" t="s">
        <v>105</v>
      </c>
      <c r="E1064" t="s">
        <v>106</v>
      </c>
      <c r="F1064" t="s">
        <v>5572</v>
      </c>
      <c r="G1064" t="s">
        <v>5573</v>
      </c>
      <c r="H1064" t="s">
        <v>5572</v>
      </c>
      <c r="I1064" s="88">
        <v>46141.751851851848</v>
      </c>
      <c r="J1064" t="s">
        <v>107</v>
      </c>
      <c r="K1064" t="s">
        <v>108</v>
      </c>
      <c r="L1064" t="s">
        <v>5574</v>
      </c>
      <c r="M1064" s="88">
        <v>46143.54586805556</v>
      </c>
      <c r="N1064" t="s">
        <v>637</v>
      </c>
      <c r="O1064" t="s">
        <v>112</v>
      </c>
      <c r="P1064" t="s">
        <v>111</v>
      </c>
      <c r="Q1064" t="s">
        <v>2085</v>
      </c>
      <c r="R1064">
        <v>2</v>
      </c>
      <c r="S1064" s="89">
        <v>9500</v>
      </c>
      <c r="T1064" s="89">
        <v>0</v>
      </c>
      <c r="U1064" s="89">
        <v>4180</v>
      </c>
      <c r="V1064" s="89">
        <v>4180</v>
      </c>
      <c r="W1064" s="89">
        <v>14820</v>
      </c>
    </row>
    <row r="1065" spans="1:23" ht="15.75" customHeight="1">
      <c r="A1065" t="s">
        <v>5575</v>
      </c>
      <c r="B1065" t="s">
        <v>5576</v>
      </c>
      <c r="C1065" s="88">
        <v>46148.0078125</v>
      </c>
      <c r="D1065" t="s">
        <v>105</v>
      </c>
      <c r="E1065" t="s">
        <v>106</v>
      </c>
      <c r="F1065" t="s">
        <v>5577</v>
      </c>
      <c r="G1065" t="s">
        <v>5578</v>
      </c>
      <c r="H1065" t="s">
        <v>5577</v>
      </c>
      <c r="I1065" s="88">
        <v>46143.714699074073</v>
      </c>
      <c r="J1065" t="s">
        <v>107</v>
      </c>
      <c r="K1065" t="s">
        <v>108</v>
      </c>
      <c r="L1065" t="s">
        <v>5579</v>
      </c>
      <c r="M1065" s="88">
        <v>46146.507638888885</v>
      </c>
      <c r="N1065" t="s">
        <v>637</v>
      </c>
      <c r="O1065" t="s">
        <v>112</v>
      </c>
      <c r="P1065" t="s">
        <v>111</v>
      </c>
      <c r="Q1065" t="s">
        <v>1587</v>
      </c>
      <c r="R1065">
        <v>6</v>
      </c>
      <c r="S1065" s="89">
        <v>9500</v>
      </c>
      <c r="T1065" s="89">
        <v>0</v>
      </c>
      <c r="U1065" s="89">
        <v>20080</v>
      </c>
      <c r="V1065" s="89">
        <v>20080</v>
      </c>
      <c r="W1065" s="89">
        <v>36920</v>
      </c>
    </row>
    <row r="1066" spans="1:23" ht="15.75" customHeight="1">
      <c r="A1066" t="s">
        <v>5580</v>
      </c>
      <c r="B1066" t="s">
        <v>213</v>
      </c>
      <c r="C1066" s="88">
        <v>46147.984560185185</v>
      </c>
      <c r="D1066" t="s">
        <v>105</v>
      </c>
      <c r="E1066" t="s">
        <v>106</v>
      </c>
      <c r="F1066" t="s">
        <v>214</v>
      </c>
      <c r="G1066" t="s">
        <v>215</v>
      </c>
      <c r="H1066" t="s">
        <v>214</v>
      </c>
      <c r="I1066" s="88">
        <v>46143.714687500003</v>
      </c>
      <c r="J1066" t="s">
        <v>107</v>
      </c>
      <c r="K1066" t="s">
        <v>108</v>
      </c>
      <c r="L1066" t="s">
        <v>5581</v>
      </c>
      <c r="M1066" s="88">
        <v>46146.509004629625</v>
      </c>
      <c r="N1066" t="s">
        <v>637</v>
      </c>
      <c r="O1066" t="s">
        <v>112</v>
      </c>
      <c r="P1066" t="s">
        <v>111</v>
      </c>
      <c r="Q1066" t="s">
        <v>1587</v>
      </c>
      <c r="R1066">
        <v>7</v>
      </c>
      <c r="S1066" s="89">
        <v>9500</v>
      </c>
      <c r="T1066" s="89">
        <v>0</v>
      </c>
      <c r="U1066" s="89">
        <v>23310</v>
      </c>
      <c r="V1066" s="89">
        <v>23310</v>
      </c>
      <c r="W1066" s="89">
        <v>43190</v>
      </c>
    </row>
    <row r="1067" spans="1:23" ht="15.75" customHeight="1">
      <c r="A1067" t="s">
        <v>5582</v>
      </c>
      <c r="B1067" t="s">
        <v>5583</v>
      </c>
      <c r="C1067" s="88">
        <v>46147.964444444442</v>
      </c>
      <c r="D1067" t="s">
        <v>105</v>
      </c>
      <c r="E1067" t="s">
        <v>106</v>
      </c>
      <c r="F1067" t="s">
        <v>5584</v>
      </c>
      <c r="G1067" t="s">
        <v>5585</v>
      </c>
      <c r="H1067" t="s">
        <v>5586</v>
      </c>
      <c r="I1067" s="88">
        <v>46141.751932870371</v>
      </c>
      <c r="J1067" t="s">
        <v>107</v>
      </c>
      <c r="K1067" t="s">
        <v>108</v>
      </c>
      <c r="L1067" t="s">
        <v>5587</v>
      </c>
      <c r="M1067" s="88">
        <v>46143.428865740745</v>
      </c>
      <c r="N1067" t="s">
        <v>637</v>
      </c>
      <c r="O1067" t="s">
        <v>112</v>
      </c>
      <c r="P1067" t="s">
        <v>111</v>
      </c>
      <c r="Q1067" t="s">
        <v>2085</v>
      </c>
      <c r="R1067">
        <v>6</v>
      </c>
      <c r="S1067" s="89">
        <v>9500</v>
      </c>
      <c r="T1067" s="89">
        <v>0</v>
      </c>
      <c r="U1067" s="89">
        <v>20080</v>
      </c>
      <c r="V1067" s="89">
        <v>20080</v>
      </c>
      <c r="W1067" s="89">
        <v>36920</v>
      </c>
    </row>
    <row r="1068" spans="1:23" ht="15.75" customHeight="1">
      <c r="A1068" t="s">
        <v>5588</v>
      </c>
      <c r="B1068" t="s">
        <v>5589</v>
      </c>
      <c r="C1068" s="88">
        <v>46147.960173611107</v>
      </c>
      <c r="D1068" t="s">
        <v>105</v>
      </c>
      <c r="E1068" t="s">
        <v>106</v>
      </c>
      <c r="F1068" t="s">
        <v>5590</v>
      </c>
      <c r="G1068" t="s">
        <v>5591</v>
      </c>
      <c r="H1068" t="s">
        <v>5590</v>
      </c>
      <c r="I1068" s="88">
        <v>46140.633923611109</v>
      </c>
      <c r="J1068" t="s">
        <v>107</v>
      </c>
      <c r="K1068" t="s">
        <v>108</v>
      </c>
      <c r="L1068" t="s">
        <v>5592</v>
      </c>
      <c r="M1068" s="88">
        <v>46141.555717592593</v>
      </c>
      <c r="N1068" t="s">
        <v>637</v>
      </c>
      <c r="O1068" t="s">
        <v>112</v>
      </c>
      <c r="P1068" t="s">
        <v>111</v>
      </c>
      <c r="Q1068" t="s">
        <v>2085</v>
      </c>
      <c r="R1068">
        <v>2</v>
      </c>
      <c r="S1068" s="89">
        <v>9500</v>
      </c>
      <c r="T1068" s="89">
        <v>0</v>
      </c>
      <c r="U1068" s="89">
        <v>4280</v>
      </c>
      <c r="V1068" s="89">
        <v>4280</v>
      </c>
      <c r="W1068" s="89">
        <v>14720</v>
      </c>
    </row>
    <row r="1069" spans="1:23" ht="15.75" customHeight="1">
      <c r="A1069" t="s">
        <v>5593</v>
      </c>
      <c r="B1069" t="s">
        <v>5594</v>
      </c>
      <c r="C1069" s="88">
        <v>46147.912326388891</v>
      </c>
      <c r="D1069" t="s">
        <v>105</v>
      </c>
      <c r="E1069" t="s">
        <v>106</v>
      </c>
      <c r="F1069" t="s">
        <v>5595</v>
      </c>
      <c r="G1069" t="s">
        <v>5596</v>
      </c>
      <c r="H1069" t="s">
        <v>5595</v>
      </c>
      <c r="I1069" s="88">
        <v>46143.714687500003</v>
      </c>
      <c r="J1069" t="s">
        <v>107</v>
      </c>
      <c r="K1069" t="s">
        <v>108</v>
      </c>
      <c r="L1069" t="s">
        <v>5597</v>
      </c>
      <c r="M1069" s="88">
        <v>46146.509004629625</v>
      </c>
      <c r="N1069" t="s">
        <v>637</v>
      </c>
      <c r="O1069" t="s">
        <v>112</v>
      </c>
      <c r="P1069" t="s">
        <v>111</v>
      </c>
      <c r="Q1069" t="s">
        <v>1587</v>
      </c>
      <c r="R1069">
        <v>2</v>
      </c>
      <c r="S1069" s="89">
        <v>9500</v>
      </c>
      <c r="T1069" s="89">
        <v>0</v>
      </c>
      <c r="U1069" s="89">
        <v>4180</v>
      </c>
      <c r="V1069" s="89">
        <v>4180</v>
      </c>
      <c r="W1069" s="89">
        <v>14820</v>
      </c>
    </row>
    <row r="1070" spans="1:23" ht="15.75" customHeight="1">
      <c r="A1070" t="s">
        <v>5598</v>
      </c>
      <c r="B1070" t="s">
        <v>5599</v>
      </c>
      <c r="C1070" s="88">
        <v>46147.910856481481</v>
      </c>
      <c r="D1070" t="s">
        <v>105</v>
      </c>
      <c r="E1070" t="s">
        <v>106</v>
      </c>
      <c r="F1070" t="s">
        <v>5600</v>
      </c>
      <c r="G1070" t="s">
        <v>5601</v>
      </c>
      <c r="H1070" t="s">
        <v>5600</v>
      </c>
      <c r="I1070" s="88">
        <v>46143.714687500003</v>
      </c>
      <c r="J1070" t="s">
        <v>107</v>
      </c>
      <c r="K1070" t="s">
        <v>108</v>
      </c>
      <c r="L1070" t="s">
        <v>5602</v>
      </c>
      <c r="M1070" s="88">
        <v>46146.41134259259</v>
      </c>
      <c r="N1070" t="s">
        <v>637</v>
      </c>
      <c r="O1070" t="s">
        <v>112</v>
      </c>
      <c r="P1070" t="s">
        <v>111</v>
      </c>
      <c r="Q1070" t="s">
        <v>1587</v>
      </c>
      <c r="R1070">
        <v>6</v>
      </c>
      <c r="S1070" s="89">
        <v>9500</v>
      </c>
      <c r="T1070" s="89">
        <v>0</v>
      </c>
      <c r="U1070" s="89">
        <v>20080</v>
      </c>
      <c r="V1070" s="89">
        <v>20080</v>
      </c>
      <c r="W1070" s="89">
        <v>36920</v>
      </c>
    </row>
    <row r="1071" spans="1:23" ht="15.75" customHeight="1">
      <c r="A1071" t="s">
        <v>5603</v>
      </c>
      <c r="B1071" t="s">
        <v>5604</v>
      </c>
      <c r="C1071" s="88">
        <v>46147.901423611111</v>
      </c>
      <c r="D1071" t="s">
        <v>105</v>
      </c>
      <c r="E1071" t="s">
        <v>106</v>
      </c>
      <c r="F1071" t="s">
        <v>317</v>
      </c>
      <c r="G1071" t="s">
        <v>5605</v>
      </c>
      <c r="H1071" t="s">
        <v>5606</v>
      </c>
      <c r="I1071" s="88">
        <v>46143.71475694445</v>
      </c>
      <c r="J1071" t="s">
        <v>107</v>
      </c>
      <c r="K1071" t="s">
        <v>108</v>
      </c>
      <c r="L1071" t="s">
        <v>5607</v>
      </c>
      <c r="M1071" s="88">
        <v>46146.901608796295</v>
      </c>
      <c r="N1071" t="s">
        <v>637</v>
      </c>
      <c r="O1071" t="s">
        <v>112</v>
      </c>
      <c r="P1071" t="s">
        <v>111</v>
      </c>
      <c r="Q1071" t="s">
        <v>1587</v>
      </c>
      <c r="R1071">
        <v>6</v>
      </c>
      <c r="S1071" s="89">
        <v>9500</v>
      </c>
      <c r="T1071" s="89">
        <v>0</v>
      </c>
      <c r="U1071" s="89">
        <v>20080</v>
      </c>
      <c r="V1071" s="89">
        <v>20080</v>
      </c>
      <c r="W1071" s="89">
        <v>36920</v>
      </c>
    </row>
    <row r="1072" spans="1:23" ht="15.75" customHeight="1">
      <c r="A1072" t="s">
        <v>5608</v>
      </c>
      <c r="B1072" t="s">
        <v>5609</v>
      </c>
      <c r="C1072" s="88">
        <v>46147.897025462968</v>
      </c>
      <c r="D1072" t="s">
        <v>105</v>
      </c>
      <c r="E1072" t="s">
        <v>106</v>
      </c>
      <c r="F1072" t="s">
        <v>537</v>
      </c>
      <c r="G1072" t="s">
        <v>5610</v>
      </c>
      <c r="H1072" t="s">
        <v>537</v>
      </c>
      <c r="I1072" s="88">
        <v>46143.71471064815</v>
      </c>
      <c r="J1072" t="s">
        <v>107</v>
      </c>
      <c r="K1072" t="s">
        <v>108</v>
      </c>
      <c r="L1072" t="s">
        <v>5611</v>
      </c>
      <c r="M1072" s="88">
        <v>46146.507638888885</v>
      </c>
      <c r="N1072" t="s">
        <v>637</v>
      </c>
      <c r="O1072" t="s">
        <v>112</v>
      </c>
      <c r="P1072" t="s">
        <v>111</v>
      </c>
      <c r="Q1072" t="s">
        <v>1587</v>
      </c>
      <c r="R1072">
        <v>6</v>
      </c>
      <c r="S1072" s="89">
        <v>9500</v>
      </c>
      <c r="T1072" s="89">
        <v>0</v>
      </c>
      <c r="U1072" s="89">
        <v>20080</v>
      </c>
      <c r="V1072" s="89">
        <v>20080</v>
      </c>
      <c r="W1072" s="89">
        <v>36920</v>
      </c>
    </row>
    <row r="1073" spans="1:23" ht="15.75" customHeight="1">
      <c r="A1073" t="s">
        <v>5612</v>
      </c>
      <c r="B1073" t="s">
        <v>5613</v>
      </c>
      <c r="C1073" s="88">
        <v>46147.890694444446</v>
      </c>
      <c r="D1073" t="s">
        <v>105</v>
      </c>
      <c r="E1073" t="s">
        <v>106</v>
      </c>
      <c r="F1073" t="s">
        <v>5614</v>
      </c>
      <c r="G1073" t="s">
        <v>5615</v>
      </c>
      <c r="H1073" t="s">
        <v>5614</v>
      </c>
      <c r="I1073" s="88">
        <v>46141.751956018517</v>
      </c>
      <c r="J1073" t="s">
        <v>107</v>
      </c>
      <c r="K1073" t="s">
        <v>108</v>
      </c>
      <c r="L1073" t="s">
        <v>5616</v>
      </c>
      <c r="M1073" s="88">
        <v>46143.550717592589</v>
      </c>
      <c r="N1073" t="s">
        <v>637</v>
      </c>
      <c r="O1073" t="s">
        <v>112</v>
      </c>
      <c r="P1073" t="s">
        <v>111</v>
      </c>
      <c r="Q1073" t="s">
        <v>2085</v>
      </c>
      <c r="R1073">
        <v>2</v>
      </c>
      <c r="S1073" s="89">
        <v>9500</v>
      </c>
      <c r="T1073" s="89">
        <v>0</v>
      </c>
      <c r="U1073" s="89">
        <v>4280</v>
      </c>
      <c r="V1073" s="89">
        <v>4280</v>
      </c>
      <c r="W1073" s="89">
        <v>14720</v>
      </c>
    </row>
    <row r="1074" spans="1:23" ht="15.75" customHeight="1">
      <c r="A1074" t="s">
        <v>5617</v>
      </c>
      <c r="B1074" t="s">
        <v>5618</v>
      </c>
      <c r="C1074" s="88">
        <v>46147.871192129634</v>
      </c>
      <c r="D1074" t="s">
        <v>105</v>
      </c>
      <c r="E1074" t="s">
        <v>106</v>
      </c>
      <c r="F1074" t="s">
        <v>4212</v>
      </c>
      <c r="G1074" t="s">
        <v>5545</v>
      </c>
      <c r="H1074" t="s">
        <v>4212</v>
      </c>
      <c r="I1074" s="88">
        <v>46140.633900462963</v>
      </c>
      <c r="J1074" t="s">
        <v>107</v>
      </c>
      <c r="K1074" t="s">
        <v>108</v>
      </c>
      <c r="L1074" t="s">
        <v>5619</v>
      </c>
      <c r="M1074" s="88">
        <v>46141.644108796296</v>
      </c>
      <c r="N1074" t="s">
        <v>637</v>
      </c>
      <c r="O1074" t="s">
        <v>112</v>
      </c>
      <c r="P1074" t="s">
        <v>111</v>
      </c>
      <c r="Q1074" t="s">
        <v>2085</v>
      </c>
      <c r="R1074">
        <v>6</v>
      </c>
      <c r="S1074" s="89">
        <v>9500</v>
      </c>
      <c r="T1074" s="89">
        <v>0</v>
      </c>
      <c r="U1074" s="89">
        <v>19980</v>
      </c>
      <c r="V1074" s="89">
        <v>19980</v>
      </c>
      <c r="W1074" s="89">
        <v>37020</v>
      </c>
    </row>
    <row r="1075" spans="1:23" ht="15.75" customHeight="1">
      <c r="A1075" t="s">
        <v>5620</v>
      </c>
      <c r="B1075" t="s">
        <v>5621</v>
      </c>
      <c r="C1075" s="88">
        <v>46147.848599537036</v>
      </c>
      <c r="D1075" t="s">
        <v>105</v>
      </c>
      <c r="E1075" t="s">
        <v>106</v>
      </c>
      <c r="F1075" t="s">
        <v>5622</v>
      </c>
      <c r="G1075" t="s">
        <v>5623</v>
      </c>
      <c r="H1075" t="s">
        <v>5622</v>
      </c>
      <c r="I1075" s="88">
        <v>46140.633946759262</v>
      </c>
      <c r="J1075" t="s">
        <v>107</v>
      </c>
      <c r="K1075" t="s">
        <v>108</v>
      </c>
      <c r="L1075" t="s">
        <v>5624</v>
      </c>
      <c r="M1075" s="88">
        <v>46141.500231481477</v>
      </c>
      <c r="N1075" t="s">
        <v>637</v>
      </c>
      <c r="O1075" t="s">
        <v>112</v>
      </c>
      <c r="P1075" t="s">
        <v>111</v>
      </c>
      <c r="Q1075" t="s">
        <v>2085</v>
      </c>
      <c r="R1075">
        <v>8</v>
      </c>
      <c r="S1075" s="89">
        <v>9500</v>
      </c>
      <c r="T1075" s="89">
        <v>0</v>
      </c>
      <c r="U1075" s="89">
        <v>26740</v>
      </c>
      <c r="V1075" s="89">
        <v>26740</v>
      </c>
      <c r="W1075" s="89">
        <v>49260</v>
      </c>
    </row>
    <row r="1076" spans="1:23" ht="15.75" customHeight="1">
      <c r="A1076" t="s">
        <v>5625</v>
      </c>
      <c r="B1076" t="s">
        <v>5626</v>
      </c>
      <c r="C1076" s="88">
        <v>46147.827499999999</v>
      </c>
      <c r="D1076" t="s">
        <v>105</v>
      </c>
      <c r="E1076" t="s">
        <v>106</v>
      </c>
      <c r="F1076" t="s">
        <v>3464</v>
      </c>
      <c r="G1076" t="s">
        <v>5627</v>
      </c>
      <c r="H1076" t="s">
        <v>3464</v>
      </c>
      <c r="I1076" s="88">
        <v>46143.714722222227</v>
      </c>
      <c r="J1076" t="s">
        <v>107</v>
      </c>
      <c r="K1076" t="s">
        <v>108</v>
      </c>
      <c r="L1076" t="s">
        <v>5628</v>
      </c>
      <c r="M1076" s="88">
        <v>46146.443032407406</v>
      </c>
      <c r="N1076" t="s">
        <v>637</v>
      </c>
      <c r="O1076" t="s">
        <v>112</v>
      </c>
      <c r="P1076" t="s">
        <v>111</v>
      </c>
      <c r="Q1076" t="s">
        <v>1587</v>
      </c>
      <c r="R1076">
        <v>2</v>
      </c>
      <c r="S1076" s="89">
        <v>9500</v>
      </c>
      <c r="T1076" s="89">
        <v>0</v>
      </c>
      <c r="U1076" s="89">
        <v>4280</v>
      </c>
      <c r="V1076" s="89">
        <v>4280</v>
      </c>
      <c r="W1076" s="89">
        <v>14720</v>
      </c>
    </row>
    <row r="1077" spans="1:23" ht="15.75" customHeight="1">
      <c r="A1077" t="s">
        <v>5629</v>
      </c>
      <c r="B1077" t="s">
        <v>5630</v>
      </c>
      <c r="C1077" s="88">
        <v>46147.81013888889</v>
      </c>
      <c r="D1077" t="s">
        <v>105</v>
      </c>
      <c r="E1077" t="s">
        <v>106</v>
      </c>
      <c r="F1077" t="s">
        <v>5631</v>
      </c>
      <c r="G1077" t="s">
        <v>5632</v>
      </c>
      <c r="H1077" t="s">
        <v>5631</v>
      </c>
      <c r="I1077" s="88">
        <v>46143.714687500003</v>
      </c>
      <c r="J1077" t="s">
        <v>107</v>
      </c>
      <c r="K1077" t="s">
        <v>108</v>
      </c>
      <c r="L1077" t="s">
        <v>5633</v>
      </c>
      <c r="M1077" s="88">
        <v>46146.442384259259</v>
      </c>
      <c r="N1077" t="s">
        <v>637</v>
      </c>
      <c r="O1077" t="s">
        <v>112</v>
      </c>
      <c r="P1077" t="s">
        <v>111</v>
      </c>
      <c r="Q1077" t="s">
        <v>1587</v>
      </c>
      <c r="R1077">
        <v>6</v>
      </c>
      <c r="S1077" s="89">
        <v>9500</v>
      </c>
      <c r="T1077" s="89">
        <v>0</v>
      </c>
      <c r="U1077" s="89">
        <v>20080</v>
      </c>
      <c r="V1077" s="89">
        <v>20080</v>
      </c>
      <c r="W1077" s="89">
        <v>36920</v>
      </c>
    </row>
    <row r="1078" spans="1:23" ht="15.75" customHeight="1">
      <c r="A1078" t="s">
        <v>5634</v>
      </c>
      <c r="B1078" t="s">
        <v>5635</v>
      </c>
      <c r="C1078" s="88">
        <v>46147.785833333328</v>
      </c>
      <c r="D1078" t="s">
        <v>105</v>
      </c>
      <c r="E1078" t="s">
        <v>106</v>
      </c>
      <c r="F1078" t="s">
        <v>5636</v>
      </c>
      <c r="G1078" t="s">
        <v>5637</v>
      </c>
      <c r="H1078" t="s">
        <v>5636</v>
      </c>
      <c r="I1078" s="88">
        <v>46140.633923611109</v>
      </c>
      <c r="J1078" t="s">
        <v>107</v>
      </c>
      <c r="K1078" t="s">
        <v>108</v>
      </c>
      <c r="L1078" t="s">
        <v>5638</v>
      </c>
      <c r="M1078" s="88">
        <v>46141.473645833335</v>
      </c>
      <c r="N1078" t="s">
        <v>637</v>
      </c>
      <c r="O1078" t="s">
        <v>112</v>
      </c>
      <c r="P1078" t="s">
        <v>111</v>
      </c>
      <c r="Q1078" t="s">
        <v>2085</v>
      </c>
      <c r="R1078">
        <v>6</v>
      </c>
      <c r="S1078" s="89">
        <v>9500</v>
      </c>
      <c r="T1078" s="89">
        <v>0</v>
      </c>
      <c r="U1078" s="89">
        <v>20080</v>
      </c>
      <c r="V1078" s="89">
        <v>20080</v>
      </c>
      <c r="W1078" s="89">
        <v>36920</v>
      </c>
    </row>
    <row r="1079" spans="1:23" ht="15.75" customHeight="1">
      <c r="A1079" t="s">
        <v>5639</v>
      </c>
      <c r="B1079" t="s">
        <v>5640</v>
      </c>
      <c r="C1079" s="88">
        <v>46147.774965277778</v>
      </c>
      <c r="D1079" t="s">
        <v>105</v>
      </c>
      <c r="E1079" t="s">
        <v>106</v>
      </c>
      <c r="F1079" t="s">
        <v>4034</v>
      </c>
      <c r="G1079" t="s">
        <v>5641</v>
      </c>
      <c r="H1079" t="s">
        <v>4034</v>
      </c>
      <c r="I1079" s="88">
        <v>46143.714699074073</v>
      </c>
      <c r="J1079" t="s">
        <v>107</v>
      </c>
      <c r="K1079" t="s">
        <v>108</v>
      </c>
      <c r="L1079" t="s">
        <v>5642</v>
      </c>
      <c r="M1079" s="88">
        <v>46146.41134259259</v>
      </c>
      <c r="N1079" t="s">
        <v>637</v>
      </c>
      <c r="O1079" t="s">
        <v>112</v>
      </c>
      <c r="P1079" t="s">
        <v>111</v>
      </c>
      <c r="Q1079" t="s">
        <v>1587</v>
      </c>
      <c r="R1079">
        <v>3</v>
      </c>
      <c r="S1079" s="89">
        <v>9500</v>
      </c>
      <c r="T1079" s="89">
        <v>0</v>
      </c>
      <c r="U1079" s="89">
        <v>6370</v>
      </c>
      <c r="V1079" s="89">
        <v>6370</v>
      </c>
      <c r="W1079" s="89">
        <v>22130</v>
      </c>
    </row>
    <row r="1080" spans="1:23" ht="15.75" customHeight="1">
      <c r="A1080" t="s">
        <v>5643</v>
      </c>
      <c r="B1080" t="s">
        <v>5644</v>
      </c>
      <c r="C1080" s="88">
        <v>46147.763807870375</v>
      </c>
      <c r="D1080" t="s">
        <v>105</v>
      </c>
      <c r="E1080" t="s">
        <v>106</v>
      </c>
      <c r="F1080" t="s">
        <v>5146</v>
      </c>
      <c r="G1080" t="s">
        <v>5645</v>
      </c>
      <c r="H1080" t="s">
        <v>5146</v>
      </c>
      <c r="I1080" s="88">
        <v>46143.71475694445</v>
      </c>
      <c r="J1080" t="s">
        <v>107</v>
      </c>
      <c r="K1080" t="s">
        <v>108</v>
      </c>
      <c r="L1080" t="s">
        <v>5646</v>
      </c>
      <c r="M1080" s="88">
        <v>46147.1715162037</v>
      </c>
      <c r="N1080" t="s">
        <v>637</v>
      </c>
      <c r="O1080" t="s">
        <v>112</v>
      </c>
      <c r="P1080" t="s">
        <v>111</v>
      </c>
      <c r="Q1080" t="s">
        <v>1587</v>
      </c>
      <c r="R1080">
        <v>5</v>
      </c>
      <c r="S1080" s="89">
        <v>9500</v>
      </c>
      <c r="T1080" s="89">
        <v>0</v>
      </c>
      <c r="U1080" s="89">
        <v>10550</v>
      </c>
      <c r="V1080" s="89">
        <v>10550</v>
      </c>
      <c r="W1080" s="89">
        <v>36950</v>
      </c>
    </row>
    <row r="1081" spans="1:23" ht="15.75" customHeight="1">
      <c r="A1081" t="s">
        <v>5647</v>
      </c>
      <c r="B1081" t="s">
        <v>5648</v>
      </c>
      <c r="C1081" s="88">
        <v>46147.688784722224</v>
      </c>
      <c r="D1081" t="s">
        <v>105</v>
      </c>
      <c r="E1081" t="s">
        <v>106</v>
      </c>
      <c r="F1081" t="s">
        <v>5649</v>
      </c>
      <c r="G1081" t="s">
        <v>5650</v>
      </c>
      <c r="H1081" t="s">
        <v>5649</v>
      </c>
      <c r="I1081" s="88">
        <v>46143.714733796296</v>
      </c>
      <c r="J1081" t="s">
        <v>107</v>
      </c>
      <c r="K1081" t="s">
        <v>108</v>
      </c>
      <c r="L1081" t="s">
        <v>5651</v>
      </c>
      <c r="M1081" s="88">
        <v>46146.629155092596</v>
      </c>
      <c r="N1081" t="s">
        <v>637</v>
      </c>
      <c r="O1081" t="s">
        <v>112</v>
      </c>
      <c r="P1081" t="s">
        <v>111</v>
      </c>
      <c r="Q1081" t="s">
        <v>1587</v>
      </c>
      <c r="R1081">
        <v>6</v>
      </c>
      <c r="S1081" s="89">
        <v>9500</v>
      </c>
      <c r="T1081" s="89">
        <v>0</v>
      </c>
      <c r="U1081" s="89">
        <v>23080</v>
      </c>
      <c r="V1081" s="89">
        <v>20080</v>
      </c>
      <c r="W1081" s="89">
        <v>33920</v>
      </c>
    </row>
    <row r="1082" spans="1:23" ht="15.75" customHeight="1">
      <c r="A1082" t="s">
        <v>5652</v>
      </c>
      <c r="B1082" t="s">
        <v>5653</v>
      </c>
      <c r="C1082" s="88">
        <v>46147.679097222222</v>
      </c>
      <c r="D1082" t="s">
        <v>105</v>
      </c>
      <c r="E1082" t="s">
        <v>106</v>
      </c>
      <c r="F1082" t="s">
        <v>258</v>
      </c>
      <c r="G1082" t="s">
        <v>5654</v>
      </c>
      <c r="H1082" t="s">
        <v>258</v>
      </c>
      <c r="I1082" s="88">
        <v>46143.71475694445</v>
      </c>
      <c r="J1082" t="s">
        <v>107</v>
      </c>
      <c r="K1082" t="s">
        <v>108</v>
      </c>
      <c r="L1082" t="s">
        <v>5655</v>
      </c>
      <c r="M1082" s="88">
        <v>46146.629143518519</v>
      </c>
      <c r="N1082" t="s">
        <v>637</v>
      </c>
      <c r="O1082" t="s">
        <v>112</v>
      </c>
      <c r="P1082" t="s">
        <v>111</v>
      </c>
      <c r="Q1082" t="s">
        <v>1587</v>
      </c>
      <c r="R1082">
        <v>6</v>
      </c>
      <c r="S1082" s="89">
        <v>9500</v>
      </c>
      <c r="T1082" s="89">
        <v>0</v>
      </c>
      <c r="U1082" s="89">
        <v>20080</v>
      </c>
      <c r="V1082" s="89">
        <v>20080</v>
      </c>
      <c r="W1082" s="89">
        <v>36920</v>
      </c>
    </row>
    <row r="1083" spans="1:23" ht="15.75" customHeight="1">
      <c r="A1083" t="s">
        <v>5656</v>
      </c>
      <c r="B1083" t="s">
        <v>5657</v>
      </c>
      <c r="C1083" s="88">
        <v>46147.673715277779</v>
      </c>
      <c r="D1083" t="s">
        <v>105</v>
      </c>
      <c r="E1083" t="s">
        <v>106</v>
      </c>
      <c r="F1083" t="s">
        <v>5658</v>
      </c>
      <c r="G1083" t="s">
        <v>5659</v>
      </c>
      <c r="H1083" t="s">
        <v>5658</v>
      </c>
      <c r="I1083" s="88">
        <v>46140.633912037039</v>
      </c>
      <c r="J1083" t="s">
        <v>107</v>
      </c>
      <c r="K1083" t="s">
        <v>108</v>
      </c>
      <c r="L1083" t="s">
        <v>5660</v>
      </c>
      <c r="M1083" s="88">
        <v>46141.474421296298</v>
      </c>
      <c r="N1083" t="s">
        <v>637</v>
      </c>
      <c r="O1083" t="s">
        <v>112</v>
      </c>
      <c r="P1083" t="s">
        <v>111</v>
      </c>
      <c r="Q1083" t="s">
        <v>2085</v>
      </c>
      <c r="R1083">
        <v>2</v>
      </c>
      <c r="S1083" s="89">
        <v>9500</v>
      </c>
      <c r="T1083" s="89">
        <v>0</v>
      </c>
      <c r="U1083" s="89">
        <v>4280</v>
      </c>
      <c r="V1083" s="89">
        <v>4280</v>
      </c>
      <c r="W1083" s="89">
        <v>14720</v>
      </c>
    </row>
    <row r="1084" spans="1:23" ht="15.75" customHeight="1">
      <c r="A1084" t="s">
        <v>5661</v>
      </c>
      <c r="B1084" t="s">
        <v>5662</v>
      </c>
      <c r="C1084" s="88">
        <v>46147.661493055552</v>
      </c>
      <c r="D1084" t="s">
        <v>105</v>
      </c>
      <c r="E1084" t="s">
        <v>106</v>
      </c>
      <c r="F1084" t="s">
        <v>5663</v>
      </c>
      <c r="G1084" t="s">
        <v>5368</v>
      </c>
      <c r="H1084" t="s">
        <v>5663</v>
      </c>
      <c r="I1084" s="88">
        <v>46141.751851851848</v>
      </c>
      <c r="J1084" t="s">
        <v>107</v>
      </c>
      <c r="K1084" t="s">
        <v>108</v>
      </c>
      <c r="L1084" t="s">
        <v>5664</v>
      </c>
      <c r="M1084" s="88">
        <v>46143.670844907407</v>
      </c>
      <c r="N1084" t="s">
        <v>637</v>
      </c>
      <c r="O1084" t="s">
        <v>112</v>
      </c>
      <c r="P1084" t="s">
        <v>111</v>
      </c>
      <c r="Q1084" t="s">
        <v>2085</v>
      </c>
      <c r="R1084">
        <v>6</v>
      </c>
      <c r="S1084" s="89">
        <v>9500</v>
      </c>
      <c r="T1084" s="89">
        <v>0</v>
      </c>
      <c r="U1084" s="89">
        <v>19980</v>
      </c>
      <c r="V1084" s="89">
        <v>19980</v>
      </c>
      <c r="W1084" s="89">
        <v>37020</v>
      </c>
    </row>
    <row r="1085" spans="1:23" ht="15.75" customHeight="1">
      <c r="A1085" t="s">
        <v>5665</v>
      </c>
      <c r="B1085" t="s">
        <v>5666</v>
      </c>
      <c r="C1085" s="88">
        <v>46147.635833333334</v>
      </c>
      <c r="D1085" t="s">
        <v>105</v>
      </c>
      <c r="E1085" t="s">
        <v>106</v>
      </c>
      <c r="F1085" t="s">
        <v>139</v>
      </c>
      <c r="G1085" t="s">
        <v>5667</v>
      </c>
      <c r="H1085" t="s">
        <v>139</v>
      </c>
      <c r="I1085" s="88">
        <v>46140.633900462963</v>
      </c>
      <c r="J1085" t="s">
        <v>107</v>
      </c>
      <c r="K1085" t="s">
        <v>108</v>
      </c>
      <c r="L1085" t="s">
        <v>5668</v>
      </c>
      <c r="M1085" s="88">
        <v>46141.59511574074</v>
      </c>
      <c r="N1085" t="s">
        <v>637</v>
      </c>
      <c r="O1085" t="s">
        <v>112</v>
      </c>
      <c r="P1085" t="s">
        <v>111</v>
      </c>
      <c r="Q1085" t="s">
        <v>2085</v>
      </c>
      <c r="R1085">
        <v>3</v>
      </c>
      <c r="S1085" s="89">
        <v>9500</v>
      </c>
      <c r="T1085" s="89">
        <v>0</v>
      </c>
      <c r="U1085" s="89">
        <v>6270</v>
      </c>
      <c r="V1085" s="89">
        <v>6270</v>
      </c>
      <c r="W1085" s="89">
        <v>22230</v>
      </c>
    </row>
    <row r="1086" spans="1:23" ht="15.75" customHeight="1">
      <c r="A1086" t="s">
        <v>5669</v>
      </c>
      <c r="B1086" t="s">
        <v>5670</v>
      </c>
      <c r="C1086" s="88">
        <v>46147.63490740741</v>
      </c>
      <c r="D1086" t="s">
        <v>105</v>
      </c>
      <c r="E1086" t="s">
        <v>106</v>
      </c>
      <c r="F1086" t="s">
        <v>5671</v>
      </c>
      <c r="G1086" t="s">
        <v>5672</v>
      </c>
      <c r="H1086" t="s">
        <v>5671</v>
      </c>
      <c r="I1086" s="88">
        <v>46143.71471064815</v>
      </c>
      <c r="J1086" t="s">
        <v>107</v>
      </c>
      <c r="K1086" t="s">
        <v>108</v>
      </c>
      <c r="L1086" t="s">
        <v>5673</v>
      </c>
      <c r="M1086" s="88">
        <v>46146.507650462961</v>
      </c>
      <c r="N1086" t="s">
        <v>637</v>
      </c>
      <c r="O1086" t="s">
        <v>112</v>
      </c>
      <c r="P1086" t="s">
        <v>111</v>
      </c>
      <c r="Q1086" t="s">
        <v>1587</v>
      </c>
      <c r="R1086">
        <v>2</v>
      </c>
      <c r="S1086" s="89">
        <v>9500</v>
      </c>
      <c r="T1086" s="89">
        <v>0</v>
      </c>
      <c r="U1086" s="89">
        <v>4180</v>
      </c>
      <c r="V1086" s="89">
        <v>4180</v>
      </c>
      <c r="W1086" s="89">
        <v>14820</v>
      </c>
    </row>
    <row r="1087" spans="1:23" ht="15.75" customHeight="1">
      <c r="A1087" t="s">
        <v>5674</v>
      </c>
      <c r="B1087" t="s">
        <v>5675</v>
      </c>
      <c r="C1087" s="88">
        <v>46147.591562500005</v>
      </c>
      <c r="D1087" t="s">
        <v>105</v>
      </c>
      <c r="E1087" t="s">
        <v>106</v>
      </c>
      <c r="F1087" t="s">
        <v>318</v>
      </c>
      <c r="G1087" t="s">
        <v>5676</v>
      </c>
      <c r="H1087" t="s">
        <v>318</v>
      </c>
      <c r="I1087" s="88">
        <v>46141.751932870371</v>
      </c>
      <c r="J1087" t="s">
        <v>107</v>
      </c>
      <c r="K1087" t="s">
        <v>108</v>
      </c>
      <c r="L1087" t="s">
        <v>5677</v>
      </c>
      <c r="M1087" s="88">
        <v>46143.463912037041</v>
      </c>
      <c r="N1087" t="s">
        <v>637</v>
      </c>
      <c r="O1087" t="s">
        <v>112</v>
      </c>
      <c r="P1087" t="s">
        <v>111</v>
      </c>
      <c r="Q1087" t="s">
        <v>2085</v>
      </c>
      <c r="R1087">
        <v>2</v>
      </c>
      <c r="S1087" s="89">
        <v>9500</v>
      </c>
      <c r="T1087" s="89">
        <v>0</v>
      </c>
      <c r="U1087" s="89">
        <v>4280</v>
      </c>
      <c r="V1087" s="89">
        <v>4280</v>
      </c>
      <c r="W1087" s="89">
        <v>14720</v>
      </c>
    </row>
    <row r="1088" spans="1:23" ht="15.75" customHeight="1">
      <c r="A1088" t="s">
        <v>5678</v>
      </c>
      <c r="B1088" t="s">
        <v>5679</v>
      </c>
      <c r="C1088" s="88">
        <v>46147.588460648149</v>
      </c>
      <c r="D1088" t="s">
        <v>105</v>
      </c>
      <c r="E1088" t="s">
        <v>106</v>
      </c>
      <c r="F1088" t="s">
        <v>5680</v>
      </c>
      <c r="G1088" t="s">
        <v>5681</v>
      </c>
      <c r="H1088" t="s">
        <v>5682</v>
      </c>
      <c r="I1088" s="88">
        <v>46141.751909722225</v>
      </c>
      <c r="J1088" t="s">
        <v>107</v>
      </c>
      <c r="K1088" t="s">
        <v>108</v>
      </c>
      <c r="L1088" t="s">
        <v>5683</v>
      </c>
      <c r="M1088" s="88">
        <v>46143.6722337963</v>
      </c>
      <c r="N1088" t="s">
        <v>637</v>
      </c>
      <c r="O1088" t="s">
        <v>112</v>
      </c>
      <c r="P1088" t="s">
        <v>111</v>
      </c>
      <c r="Q1088" t="s">
        <v>2085</v>
      </c>
      <c r="R1088">
        <v>8</v>
      </c>
      <c r="S1088" s="89">
        <v>9500</v>
      </c>
      <c r="T1088" s="89">
        <v>0</v>
      </c>
      <c r="U1088" s="89">
        <v>26640</v>
      </c>
      <c r="V1088" s="89">
        <v>26640</v>
      </c>
      <c r="W1088" s="89">
        <v>49360</v>
      </c>
    </row>
    <row r="1089" spans="1:23" ht="15.75" customHeight="1">
      <c r="A1089" t="s">
        <v>5684</v>
      </c>
      <c r="B1089" t="s">
        <v>5685</v>
      </c>
      <c r="C1089" s="88">
        <v>46147.583680555559</v>
      </c>
      <c r="D1089" t="s">
        <v>105</v>
      </c>
      <c r="E1089" t="s">
        <v>106</v>
      </c>
      <c r="F1089" t="s">
        <v>378</v>
      </c>
      <c r="G1089" t="s">
        <v>5686</v>
      </c>
      <c r="H1089" t="s">
        <v>378</v>
      </c>
      <c r="I1089" s="88">
        <v>46141.751886574071</v>
      </c>
      <c r="J1089" t="s">
        <v>107</v>
      </c>
      <c r="K1089" t="s">
        <v>108</v>
      </c>
      <c r="L1089" t="s">
        <v>5687</v>
      </c>
      <c r="M1089" s="88">
        <v>46143.46597222222</v>
      </c>
      <c r="N1089" t="s">
        <v>637</v>
      </c>
      <c r="O1089" t="s">
        <v>112</v>
      </c>
      <c r="P1089" t="s">
        <v>111</v>
      </c>
      <c r="Q1089" t="s">
        <v>2085</v>
      </c>
      <c r="R1089">
        <v>4</v>
      </c>
      <c r="S1089" s="89">
        <v>9500</v>
      </c>
      <c r="T1089" s="89">
        <v>0</v>
      </c>
      <c r="U1089" s="89">
        <v>8460</v>
      </c>
      <c r="V1089" s="89">
        <v>8460</v>
      </c>
      <c r="W1089" s="89">
        <v>29540</v>
      </c>
    </row>
    <row r="1090" spans="1:23" ht="15.75" customHeight="1">
      <c r="A1090" t="s">
        <v>5688</v>
      </c>
      <c r="B1090" t="s">
        <v>5689</v>
      </c>
      <c r="C1090" s="88">
        <v>46147.552766203706</v>
      </c>
      <c r="D1090" t="s">
        <v>105</v>
      </c>
      <c r="E1090" t="s">
        <v>106</v>
      </c>
      <c r="F1090" t="s">
        <v>5690</v>
      </c>
      <c r="G1090" t="s">
        <v>5691</v>
      </c>
      <c r="H1090" t="s">
        <v>5690</v>
      </c>
      <c r="I1090" s="88">
        <v>46143.71475694445</v>
      </c>
      <c r="J1090" t="s">
        <v>107</v>
      </c>
      <c r="K1090" t="s">
        <v>108</v>
      </c>
      <c r="L1090" t="s">
        <v>5692</v>
      </c>
      <c r="M1090" s="88">
        <v>46146.443032407406</v>
      </c>
      <c r="N1090" t="s">
        <v>637</v>
      </c>
      <c r="O1090" t="s">
        <v>112</v>
      </c>
      <c r="P1090" t="s">
        <v>111</v>
      </c>
      <c r="Q1090" t="s">
        <v>1587</v>
      </c>
      <c r="R1090">
        <v>4</v>
      </c>
      <c r="S1090" s="89">
        <v>9500</v>
      </c>
      <c r="T1090" s="89">
        <v>0</v>
      </c>
      <c r="U1090" s="89">
        <v>8460</v>
      </c>
      <c r="V1090" s="89">
        <v>8460</v>
      </c>
      <c r="W1090" s="89">
        <v>29540</v>
      </c>
    </row>
    <row r="1091" spans="1:23" ht="15.75" customHeight="1">
      <c r="A1091" t="s">
        <v>5693</v>
      </c>
      <c r="B1091" t="s">
        <v>5694</v>
      </c>
      <c r="C1091" s="88">
        <v>46147.545300925922</v>
      </c>
      <c r="D1091" t="s">
        <v>105</v>
      </c>
      <c r="E1091" t="s">
        <v>106</v>
      </c>
      <c r="F1091" t="s">
        <v>3287</v>
      </c>
      <c r="G1091" t="s">
        <v>5695</v>
      </c>
      <c r="H1091" t="s">
        <v>3287</v>
      </c>
      <c r="I1091" s="88">
        <v>46143.714699074073</v>
      </c>
      <c r="J1091" t="s">
        <v>107</v>
      </c>
      <c r="K1091" t="s">
        <v>108</v>
      </c>
      <c r="L1091" t="s">
        <v>5696</v>
      </c>
      <c r="M1091" s="88">
        <v>46146.443101851852</v>
      </c>
      <c r="N1091" t="s">
        <v>637</v>
      </c>
      <c r="O1091" t="s">
        <v>112</v>
      </c>
      <c r="P1091" t="s">
        <v>111</v>
      </c>
      <c r="Q1091" t="s">
        <v>1587</v>
      </c>
      <c r="R1091">
        <v>6</v>
      </c>
      <c r="S1091" s="89">
        <v>9500</v>
      </c>
      <c r="T1091" s="89">
        <v>0</v>
      </c>
      <c r="U1091" s="89">
        <v>20080</v>
      </c>
      <c r="V1091" s="89">
        <v>20080</v>
      </c>
      <c r="W1091" s="89">
        <v>36920</v>
      </c>
    </row>
    <row r="1092" spans="1:23" ht="15.75" customHeight="1">
      <c r="A1092" t="s">
        <v>5697</v>
      </c>
      <c r="B1092" t="s">
        <v>5698</v>
      </c>
      <c r="C1092" s="88">
        <v>46147.537164351852</v>
      </c>
      <c r="D1092" t="s">
        <v>105</v>
      </c>
      <c r="E1092" t="s">
        <v>106</v>
      </c>
      <c r="F1092" t="s">
        <v>5699</v>
      </c>
      <c r="G1092" t="s">
        <v>5700</v>
      </c>
      <c r="H1092" t="s">
        <v>5701</v>
      </c>
      <c r="I1092" s="88">
        <v>46143.71471064815</v>
      </c>
      <c r="J1092" t="s">
        <v>107</v>
      </c>
      <c r="K1092" t="s">
        <v>108</v>
      </c>
      <c r="L1092" t="s">
        <v>5702</v>
      </c>
      <c r="M1092" s="88">
        <v>46146.443101851852</v>
      </c>
      <c r="N1092" t="s">
        <v>637</v>
      </c>
      <c r="O1092" t="s">
        <v>112</v>
      </c>
      <c r="P1092" t="s">
        <v>111</v>
      </c>
      <c r="Q1092" t="s">
        <v>1587</v>
      </c>
      <c r="R1092">
        <v>3</v>
      </c>
      <c r="S1092" s="89">
        <v>9500</v>
      </c>
      <c r="T1092" s="89">
        <v>0</v>
      </c>
      <c r="U1092" s="89">
        <v>6370</v>
      </c>
      <c r="V1092" s="89">
        <v>6370</v>
      </c>
      <c r="W1092" s="89">
        <v>22130</v>
      </c>
    </row>
    <row r="1093" spans="1:23" ht="15.75" customHeight="1">
      <c r="A1093" t="s">
        <v>5703</v>
      </c>
      <c r="B1093" t="s">
        <v>5704</v>
      </c>
      <c r="C1093" s="88">
        <v>46147.468993055554</v>
      </c>
      <c r="D1093" t="s">
        <v>105</v>
      </c>
      <c r="E1093" t="s">
        <v>106</v>
      </c>
      <c r="F1093" t="s">
        <v>5705</v>
      </c>
      <c r="G1093" t="s">
        <v>5706</v>
      </c>
      <c r="H1093" t="s">
        <v>5705</v>
      </c>
      <c r="I1093" s="88">
        <v>46141.751932870371</v>
      </c>
      <c r="J1093" t="s">
        <v>107</v>
      </c>
      <c r="K1093" t="s">
        <v>108</v>
      </c>
      <c r="L1093" t="s">
        <v>5707</v>
      </c>
      <c r="M1093" s="88">
        <v>46143.463912037041</v>
      </c>
      <c r="N1093" t="s">
        <v>637</v>
      </c>
      <c r="O1093" t="s">
        <v>112</v>
      </c>
      <c r="P1093" t="s">
        <v>111</v>
      </c>
      <c r="Q1093" t="s">
        <v>2085</v>
      </c>
      <c r="R1093">
        <v>6</v>
      </c>
      <c r="S1093" s="89">
        <v>9500</v>
      </c>
      <c r="T1093" s="89">
        <v>0</v>
      </c>
      <c r="U1093" s="89">
        <v>20080</v>
      </c>
      <c r="V1093" s="89">
        <v>20080</v>
      </c>
      <c r="W1093" s="89">
        <v>36920</v>
      </c>
    </row>
    <row r="1094" spans="1:23" ht="15.75" customHeight="1">
      <c r="A1094" t="s">
        <v>5708</v>
      </c>
      <c r="B1094" t="s">
        <v>5709</v>
      </c>
      <c r="C1094" s="88">
        <v>46147.460960648154</v>
      </c>
      <c r="D1094" t="s">
        <v>105</v>
      </c>
      <c r="E1094" t="s">
        <v>106</v>
      </c>
      <c r="F1094" t="s">
        <v>5710</v>
      </c>
      <c r="G1094" t="s">
        <v>5711</v>
      </c>
      <c r="H1094" t="s">
        <v>5712</v>
      </c>
      <c r="I1094" s="88">
        <v>46143.714745370366</v>
      </c>
      <c r="J1094" t="s">
        <v>107</v>
      </c>
      <c r="K1094" t="s">
        <v>108</v>
      </c>
      <c r="L1094" t="s">
        <v>5713</v>
      </c>
      <c r="M1094" s="88">
        <v>46146.443090277782</v>
      </c>
      <c r="N1094" t="s">
        <v>637</v>
      </c>
      <c r="O1094" t="s">
        <v>112</v>
      </c>
      <c r="P1094" t="s">
        <v>111</v>
      </c>
      <c r="Q1094" t="s">
        <v>1587</v>
      </c>
      <c r="R1094">
        <v>2</v>
      </c>
      <c r="S1094" s="89">
        <v>9500</v>
      </c>
      <c r="T1094" s="89">
        <v>0</v>
      </c>
      <c r="U1094" s="89">
        <v>4180</v>
      </c>
      <c r="V1094" s="89">
        <v>4180</v>
      </c>
      <c r="W1094" s="89">
        <v>14820</v>
      </c>
    </row>
    <row r="1095" spans="1:23" ht="15.75" customHeight="1">
      <c r="A1095" t="s">
        <v>5714</v>
      </c>
      <c r="B1095" t="s">
        <v>5715</v>
      </c>
      <c r="C1095" s="88">
        <v>46147.415023148147</v>
      </c>
      <c r="D1095" t="s">
        <v>105</v>
      </c>
      <c r="E1095" t="s">
        <v>106</v>
      </c>
      <c r="F1095" t="s">
        <v>114</v>
      </c>
      <c r="G1095" t="s">
        <v>115</v>
      </c>
      <c r="H1095" t="s">
        <v>114</v>
      </c>
      <c r="I1095" s="88">
        <v>46143.71471064815</v>
      </c>
      <c r="J1095" t="s">
        <v>107</v>
      </c>
      <c r="K1095" t="s">
        <v>108</v>
      </c>
      <c r="L1095" t="s">
        <v>5716</v>
      </c>
      <c r="M1095" s="88">
        <v>46146.629849537036</v>
      </c>
      <c r="N1095" t="s">
        <v>637</v>
      </c>
      <c r="O1095" t="s">
        <v>112</v>
      </c>
      <c r="P1095" t="s">
        <v>111</v>
      </c>
      <c r="Q1095" t="s">
        <v>1587</v>
      </c>
      <c r="R1095">
        <v>2</v>
      </c>
      <c r="S1095" s="89">
        <v>9500</v>
      </c>
      <c r="T1095" s="89">
        <v>0</v>
      </c>
      <c r="U1095" s="89">
        <v>4180</v>
      </c>
      <c r="V1095" s="89">
        <v>4180</v>
      </c>
      <c r="W1095" s="89">
        <v>14820</v>
      </c>
    </row>
    <row r="1096" spans="1:23" ht="15.75" customHeight="1">
      <c r="A1096" t="s">
        <v>5717</v>
      </c>
      <c r="B1096" t="s">
        <v>5718</v>
      </c>
      <c r="C1096" s="88">
        <v>46147.353645833333</v>
      </c>
      <c r="D1096" t="s">
        <v>105</v>
      </c>
      <c r="E1096" t="s">
        <v>106</v>
      </c>
      <c r="F1096" t="s">
        <v>5719</v>
      </c>
      <c r="G1096" t="s">
        <v>5720</v>
      </c>
      <c r="H1096" t="s">
        <v>5719</v>
      </c>
      <c r="I1096" s="88">
        <v>46143.714733796296</v>
      </c>
      <c r="J1096" t="s">
        <v>107</v>
      </c>
      <c r="K1096" t="s">
        <v>108</v>
      </c>
      <c r="L1096" t="s">
        <v>5721</v>
      </c>
      <c r="M1096" s="88">
        <v>46146.555509259255</v>
      </c>
      <c r="N1096" t="s">
        <v>637</v>
      </c>
      <c r="O1096" t="s">
        <v>112</v>
      </c>
      <c r="P1096" t="s">
        <v>111</v>
      </c>
      <c r="Q1096" t="s">
        <v>1587</v>
      </c>
      <c r="R1096">
        <v>6</v>
      </c>
      <c r="S1096" s="89">
        <v>9500</v>
      </c>
      <c r="T1096" s="89">
        <v>0</v>
      </c>
      <c r="U1096" s="89">
        <v>20080</v>
      </c>
      <c r="V1096" s="89">
        <v>20080</v>
      </c>
      <c r="W1096" s="89">
        <v>36920</v>
      </c>
    </row>
    <row r="1097" spans="1:23" ht="15.75" customHeight="1">
      <c r="A1097" t="s">
        <v>5722</v>
      </c>
      <c r="B1097" t="s">
        <v>5723</v>
      </c>
      <c r="C1097" s="88">
        <v>46147.341261574074</v>
      </c>
      <c r="D1097" t="s">
        <v>105</v>
      </c>
      <c r="E1097" t="s">
        <v>106</v>
      </c>
      <c r="F1097" t="s">
        <v>376</v>
      </c>
      <c r="G1097" t="s">
        <v>5724</v>
      </c>
      <c r="H1097" t="s">
        <v>376</v>
      </c>
      <c r="I1097" s="88">
        <v>46141.751840277779</v>
      </c>
      <c r="J1097" t="s">
        <v>107</v>
      </c>
      <c r="K1097" t="s">
        <v>108</v>
      </c>
      <c r="L1097" t="s">
        <v>5725</v>
      </c>
      <c r="M1097" s="88">
        <v>46143.461111111115</v>
      </c>
      <c r="N1097" t="s">
        <v>637</v>
      </c>
      <c r="O1097" t="s">
        <v>112</v>
      </c>
      <c r="P1097" t="s">
        <v>111</v>
      </c>
      <c r="Q1097" t="s">
        <v>2085</v>
      </c>
      <c r="R1097">
        <v>6</v>
      </c>
      <c r="S1097" s="89">
        <v>9500</v>
      </c>
      <c r="T1097" s="89">
        <v>0</v>
      </c>
      <c r="U1097" s="89">
        <v>20080</v>
      </c>
      <c r="V1097" s="89">
        <v>20080</v>
      </c>
      <c r="W1097" s="89">
        <v>36920</v>
      </c>
    </row>
    <row r="1098" spans="1:23" ht="15.75" customHeight="1">
      <c r="A1098" t="s">
        <v>5726</v>
      </c>
      <c r="B1098" t="s">
        <v>5727</v>
      </c>
      <c r="C1098" s="88">
        <v>46147.281296296293</v>
      </c>
      <c r="D1098" t="s">
        <v>105</v>
      </c>
      <c r="E1098" t="s">
        <v>106</v>
      </c>
      <c r="F1098" t="s">
        <v>328</v>
      </c>
      <c r="G1098" t="s">
        <v>5728</v>
      </c>
      <c r="H1098" t="s">
        <v>328</v>
      </c>
      <c r="I1098" s="88">
        <v>46140.633923611109</v>
      </c>
      <c r="J1098" t="s">
        <v>107</v>
      </c>
      <c r="K1098" t="s">
        <v>108</v>
      </c>
      <c r="L1098" t="s">
        <v>5729</v>
      </c>
      <c r="M1098" s="88">
        <v>46141.59511574074</v>
      </c>
      <c r="N1098" t="s">
        <v>637</v>
      </c>
      <c r="O1098" t="s">
        <v>112</v>
      </c>
      <c r="P1098" t="s">
        <v>111</v>
      </c>
      <c r="Q1098" t="s">
        <v>2085</v>
      </c>
      <c r="R1098">
        <v>6</v>
      </c>
      <c r="S1098" s="89">
        <v>9500</v>
      </c>
      <c r="T1098" s="89">
        <v>0</v>
      </c>
      <c r="U1098" s="89">
        <v>20080</v>
      </c>
      <c r="V1098" s="89">
        <v>20080</v>
      </c>
      <c r="W1098" s="89">
        <v>36920</v>
      </c>
    </row>
    <row r="1099" spans="1:23" ht="15.75" customHeight="1">
      <c r="A1099" t="s">
        <v>5730</v>
      </c>
      <c r="B1099" t="s">
        <v>5731</v>
      </c>
      <c r="C1099" s="88">
        <v>46147.281273148154</v>
      </c>
      <c r="D1099" t="s">
        <v>105</v>
      </c>
      <c r="E1099" t="s">
        <v>106</v>
      </c>
      <c r="F1099" t="s">
        <v>5732</v>
      </c>
      <c r="G1099" t="s">
        <v>5733</v>
      </c>
      <c r="H1099" t="s">
        <v>5732</v>
      </c>
      <c r="I1099" s="88">
        <v>46140.633912037039</v>
      </c>
      <c r="J1099" t="s">
        <v>107</v>
      </c>
      <c r="K1099" t="s">
        <v>108</v>
      </c>
      <c r="L1099" t="s">
        <v>5734</v>
      </c>
      <c r="M1099" s="88">
        <v>46141.770833333328</v>
      </c>
      <c r="N1099" t="s">
        <v>637</v>
      </c>
      <c r="O1099" t="s">
        <v>112</v>
      </c>
      <c r="P1099" t="s">
        <v>111</v>
      </c>
      <c r="Q1099" t="s">
        <v>2085</v>
      </c>
      <c r="R1099">
        <v>6</v>
      </c>
      <c r="S1099" s="89">
        <v>9500</v>
      </c>
      <c r="T1099" s="89">
        <v>0</v>
      </c>
      <c r="U1099" s="89">
        <v>20080</v>
      </c>
      <c r="V1099" s="89">
        <v>20080</v>
      </c>
      <c r="W1099" s="89">
        <v>36920</v>
      </c>
    </row>
    <row r="1100" spans="1:23" ht="15.75" customHeight="1">
      <c r="A1100" t="s">
        <v>5735</v>
      </c>
      <c r="B1100" t="s">
        <v>5736</v>
      </c>
      <c r="C1100" s="88">
        <v>46147.231828703705</v>
      </c>
      <c r="D1100" t="s">
        <v>105</v>
      </c>
      <c r="E1100" t="s">
        <v>106</v>
      </c>
      <c r="F1100" t="s">
        <v>5737</v>
      </c>
      <c r="G1100" t="s">
        <v>5738</v>
      </c>
      <c r="H1100" t="s">
        <v>5739</v>
      </c>
      <c r="I1100" s="88">
        <v>46143.714699074073</v>
      </c>
      <c r="J1100" t="s">
        <v>107</v>
      </c>
      <c r="K1100" t="s">
        <v>108</v>
      </c>
      <c r="L1100" t="s">
        <v>5740</v>
      </c>
      <c r="M1100" s="88">
        <v>46146.411354166667</v>
      </c>
      <c r="N1100" t="s">
        <v>637</v>
      </c>
      <c r="O1100" t="s">
        <v>112</v>
      </c>
      <c r="P1100" t="s">
        <v>111</v>
      </c>
      <c r="Q1100" t="s">
        <v>1587</v>
      </c>
      <c r="R1100">
        <v>5</v>
      </c>
      <c r="S1100" s="89">
        <v>9500</v>
      </c>
      <c r="T1100" s="89">
        <v>0</v>
      </c>
      <c r="U1100" s="89">
        <v>10550</v>
      </c>
      <c r="V1100" s="89">
        <v>10550</v>
      </c>
      <c r="W1100" s="89">
        <v>36950</v>
      </c>
    </row>
    <row r="1101" spans="1:23" ht="15.75" customHeight="1">
      <c r="A1101" t="s">
        <v>5741</v>
      </c>
      <c r="B1101" t="s">
        <v>5742</v>
      </c>
      <c r="C1101" s="88">
        <v>46147.119328703702</v>
      </c>
      <c r="D1101" t="s">
        <v>105</v>
      </c>
      <c r="E1101" t="s">
        <v>106</v>
      </c>
      <c r="F1101" t="s">
        <v>190</v>
      </c>
      <c r="G1101" t="s">
        <v>5743</v>
      </c>
      <c r="H1101" t="s">
        <v>190</v>
      </c>
      <c r="I1101" s="88">
        <v>46143.714699074073</v>
      </c>
      <c r="J1101" t="s">
        <v>107</v>
      </c>
      <c r="K1101" t="s">
        <v>108</v>
      </c>
      <c r="L1101" t="s">
        <v>5744</v>
      </c>
      <c r="M1101" s="88">
        <v>46146.443101851852</v>
      </c>
      <c r="N1101" t="s">
        <v>637</v>
      </c>
      <c r="O1101" t="s">
        <v>112</v>
      </c>
      <c r="P1101" t="s">
        <v>111</v>
      </c>
      <c r="Q1101" t="s">
        <v>1587</v>
      </c>
      <c r="R1101">
        <v>6</v>
      </c>
      <c r="S1101" s="89">
        <v>9500</v>
      </c>
      <c r="T1101" s="89">
        <v>0</v>
      </c>
      <c r="U1101" s="89">
        <v>20080</v>
      </c>
      <c r="V1101" s="89">
        <v>20080</v>
      </c>
      <c r="W1101" s="89">
        <v>36920</v>
      </c>
    </row>
    <row r="1102" spans="1:23" ht="15.75" customHeight="1">
      <c r="A1102" t="s">
        <v>5745</v>
      </c>
      <c r="B1102" t="s">
        <v>5746</v>
      </c>
      <c r="C1102" s="88">
        <v>46147.078287037039</v>
      </c>
      <c r="D1102" t="s">
        <v>105</v>
      </c>
      <c r="E1102" t="s">
        <v>106</v>
      </c>
      <c r="F1102" t="s">
        <v>5747</v>
      </c>
      <c r="G1102" t="s">
        <v>5748</v>
      </c>
      <c r="H1102" t="s">
        <v>5747</v>
      </c>
      <c r="I1102" s="88">
        <v>46141.751863425925</v>
      </c>
      <c r="J1102" t="s">
        <v>107</v>
      </c>
      <c r="K1102" t="s">
        <v>108</v>
      </c>
      <c r="L1102" t="s">
        <v>5749</v>
      </c>
      <c r="M1102" s="88">
        <v>46143.463912037041</v>
      </c>
      <c r="N1102" t="s">
        <v>637</v>
      </c>
      <c r="O1102" t="s">
        <v>112</v>
      </c>
      <c r="P1102" t="s">
        <v>111</v>
      </c>
      <c r="Q1102" t="s">
        <v>2085</v>
      </c>
      <c r="R1102">
        <v>6</v>
      </c>
      <c r="S1102" s="89">
        <v>9500</v>
      </c>
      <c r="T1102" s="89">
        <v>0</v>
      </c>
      <c r="U1102" s="89">
        <v>20080</v>
      </c>
      <c r="V1102" s="89">
        <v>20080</v>
      </c>
      <c r="W1102" s="89">
        <v>36920</v>
      </c>
    </row>
    <row r="1103" spans="1:23" ht="15.75" customHeight="1">
      <c r="A1103" t="s">
        <v>5750</v>
      </c>
      <c r="B1103" t="s">
        <v>5751</v>
      </c>
      <c r="C1103" s="88">
        <v>46147.031956018516</v>
      </c>
      <c r="D1103" t="s">
        <v>105</v>
      </c>
      <c r="E1103" t="s">
        <v>106</v>
      </c>
      <c r="F1103" t="s">
        <v>5752</v>
      </c>
      <c r="G1103" t="s">
        <v>5753</v>
      </c>
      <c r="H1103" t="s">
        <v>5752</v>
      </c>
      <c r="I1103" s="88">
        <v>46143.714722222227</v>
      </c>
      <c r="J1103" t="s">
        <v>107</v>
      </c>
      <c r="K1103" t="s">
        <v>108</v>
      </c>
      <c r="L1103" t="s">
        <v>5754</v>
      </c>
      <c r="M1103" s="88">
        <v>46146.629861111112</v>
      </c>
      <c r="N1103" t="s">
        <v>637</v>
      </c>
      <c r="O1103" t="s">
        <v>112</v>
      </c>
      <c r="P1103" t="s">
        <v>111</v>
      </c>
      <c r="Q1103" t="s">
        <v>1587</v>
      </c>
      <c r="R1103">
        <v>6</v>
      </c>
      <c r="S1103" s="89">
        <v>9500</v>
      </c>
      <c r="T1103" s="89">
        <v>0</v>
      </c>
      <c r="U1103" s="89">
        <v>20080</v>
      </c>
      <c r="V1103" s="89">
        <v>20080</v>
      </c>
      <c r="W1103" s="89">
        <v>36920</v>
      </c>
    </row>
    <row r="1104" spans="1:23" ht="15.75" customHeight="1">
      <c r="A1104" t="s">
        <v>5755</v>
      </c>
      <c r="B1104" t="s">
        <v>5756</v>
      </c>
      <c r="C1104" s="88">
        <v>46147.015949074077</v>
      </c>
      <c r="D1104" t="s">
        <v>105</v>
      </c>
      <c r="E1104" t="s">
        <v>106</v>
      </c>
      <c r="F1104" t="s">
        <v>420</v>
      </c>
      <c r="G1104" t="s">
        <v>1497</v>
      </c>
      <c r="H1104" t="s">
        <v>420</v>
      </c>
      <c r="I1104" s="88">
        <v>46143.71475694445</v>
      </c>
      <c r="J1104" t="s">
        <v>107</v>
      </c>
      <c r="K1104" t="s">
        <v>108</v>
      </c>
      <c r="L1104" t="s">
        <v>5757</v>
      </c>
      <c r="M1104" s="88">
        <v>46146.443090277782</v>
      </c>
      <c r="N1104" t="s">
        <v>637</v>
      </c>
      <c r="O1104" t="s">
        <v>112</v>
      </c>
      <c r="P1104" t="s">
        <v>111</v>
      </c>
      <c r="Q1104" t="s">
        <v>1587</v>
      </c>
      <c r="R1104">
        <v>6</v>
      </c>
      <c r="S1104" s="89">
        <v>9500</v>
      </c>
      <c r="T1104" s="89">
        <v>0</v>
      </c>
      <c r="U1104" s="89">
        <v>20080</v>
      </c>
      <c r="V1104" s="89">
        <v>20080</v>
      </c>
      <c r="W1104" s="89">
        <v>36920</v>
      </c>
    </row>
    <row r="1105" spans="1:23" ht="15.75" customHeight="1">
      <c r="A1105" t="s">
        <v>5758</v>
      </c>
      <c r="B1105" t="s">
        <v>5759</v>
      </c>
      <c r="C1105" s="88">
        <v>46147.00236111111</v>
      </c>
      <c r="D1105" t="s">
        <v>105</v>
      </c>
      <c r="E1105" t="s">
        <v>106</v>
      </c>
      <c r="F1105" t="s">
        <v>5760</v>
      </c>
      <c r="G1105" t="s">
        <v>5761</v>
      </c>
      <c r="H1105" t="s">
        <v>5762</v>
      </c>
      <c r="I1105" s="88">
        <v>46141.751956018517</v>
      </c>
      <c r="J1105" t="s">
        <v>107</v>
      </c>
      <c r="K1105" t="s">
        <v>108</v>
      </c>
      <c r="L1105" t="s">
        <v>5763</v>
      </c>
      <c r="M1105" s="88">
        <v>46143.476597222223</v>
      </c>
      <c r="N1105" t="s">
        <v>637</v>
      </c>
      <c r="O1105" t="s">
        <v>112</v>
      </c>
      <c r="P1105" t="s">
        <v>111</v>
      </c>
      <c r="Q1105" t="s">
        <v>2085</v>
      </c>
      <c r="R1105">
        <v>5</v>
      </c>
      <c r="S1105" s="89">
        <v>9500</v>
      </c>
      <c r="T1105" s="89">
        <v>0</v>
      </c>
      <c r="U1105" s="89">
        <v>10550</v>
      </c>
      <c r="V1105" s="89">
        <v>10550</v>
      </c>
      <c r="W1105" s="89">
        <v>36950</v>
      </c>
    </row>
    <row r="1106" spans="1:23" ht="15.75" customHeight="1">
      <c r="A1106" t="s">
        <v>5764</v>
      </c>
      <c r="B1106" t="s">
        <v>5765</v>
      </c>
      <c r="C1106" s="88">
        <v>46147.000509259262</v>
      </c>
      <c r="D1106" t="s">
        <v>105</v>
      </c>
      <c r="E1106" t="s">
        <v>106</v>
      </c>
      <c r="F1106" t="s">
        <v>5766</v>
      </c>
      <c r="G1106" t="s">
        <v>5767</v>
      </c>
      <c r="H1106" t="s">
        <v>5766</v>
      </c>
      <c r="I1106" s="88">
        <v>46140.633969907409</v>
      </c>
      <c r="J1106" t="s">
        <v>107</v>
      </c>
      <c r="K1106" t="s">
        <v>108</v>
      </c>
      <c r="L1106" t="s">
        <v>5768</v>
      </c>
      <c r="M1106" s="88">
        <v>46141.550011574072</v>
      </c>
      <c r="N1106" t="s">
        <v>637</v>
      </c>
      <c r="O1106" t="s">
        <v>112</v>
      </c>
      <c r="P1106" t="s">
        <v>111</v>
      </c>
      <c r="Q1106" t="s">
        <v>2085</v>
      </c>
      <c r="R1106">
        <v>1</v>
      </c>
      <c r="S1106" s="89">
        <v>9500</v>
      </c>
      <c r="T1106" s="89">
        <v>0</v>
      </c>
      <c r="U1106" s="89">
        <v>2190</v>
      </c>
      <c r="V1106" s="89">
        <v>2190</v>
      </c>
      <c r="W1106" s="89">
        <v>7310</v>
      </c>
    </row>
    <row r="1107" spans="1:23" ht="15.75" customHeight="1">
      <c r="A1107" t="s">
        <v>5769</v>
      </c>
      <c r="B1107" t="s">
        <v>5770</v>
      </c>
      <c r="C1107" s="88">
        <v>46146.9690162037</v>
      </c>
      <c r="D1107" t="s">
        <v>105</v>
      </c>
      <c r="E1107" t="s">
        <v>106</v>
      </c>
      <c r="F1107" t="s">
        <v>5771</v>
      </c>
      <c r="G1107" t="s">
        <v>5772</v>
      </c>
      <c r="H1107" t="s">
        <v>5771</v>
      </c>
      <c r="I1107" s="88">
        <v>46143.71471064815</v>
      </c>
      <c r="J1107" t="s">
        <v>107</v>
      </c>
      <c r="K1107" t="s">
        <v>108</v>
      </c>
      <c r="L1107" t="s">
        <v>5773</v>
      </c>
      <c r="M1107" s="88">
        <v>46146.443078703705</v>
      </c>
      <c r="N1107" t="s">
        <v>637</v>
      </c>
      <c r="O1107" t="s">
        <v>112</v>
      </c>
      <c r="P1107" t="s">
        <v>111</v>
      </c>
      <c r="Q1107" t="s">
        <v>1587</v>
      </c>
      <c r="R1107">
        <v>2</v>
      </c>
      <c r="S1107" s="89">
        <v>9500</v>
      </c>
      <c r="T1107" s="89">
        <v>0</v>
      </c>
      <c r="U1107" s="89">
        <v>4280</v>
      </c>
      <c r="V1107" s="89">
        <v>4280</v>
      </c>
      <c r="W1107" s="89">
        <v>14720</v>
      </c>
    </row>
    <row r="1108" spans="1:23" ht="15.75" customHeight="1">
      <c r="A1108" t="s">
        <v>5774</v>
      </c>
      <c r="B1108" t="s">
        <v>5775</v>
      </c>
      <c r="C1108" s="88">
        <v>46146.93414351852</v>
      </c>
      <c r="D1108" t="s">
        <v>105</v>
      </c>
      <c r="E1108" t="s">
        <v>106</v>
      </c>
      <c r="F1108" t="s">
        <v>5776</v>
      </c>
      <c r="G1108" t="s">
        <v>5777</v>
      </c>
      <c r="H1108" t="s">
        <v>5776</v>
      </c>
      <c r="I1108" s="88">
        <v>46143.714699074073</v>
      </c>
      <c r="J1108" t="s">
        <v>107</v>
      </c>
      <c r="K1108" t="s">
        <v>108</v>
      </c>
      <c r="L1108" t="s">
        <v>5778</v>
      </c>
      <c r="M1108" s="88">
        <v>46146.443043981482</v>
      </c>
      <c r="N1108" t="s">
        <v>637</v>
      </c>
      <c r="O1108" t="s">
        <v>112</v>
      </c>
      <c r="P1108" t="s">
        <v>111</v>
      </c>
      <c r="Q1108" t="s">
        <v>1587</v>
      </c>
      <c r="R1108">
        <v>6</v>
      </c>
      <c r="S1108" s="89">
        <v>9500</v>
      </c>
      <c r="T1108" s="89">
        <v>0</v>
      </c>
      <c r="U1108" s="89">
        <v>20080</v>
      </c>
      <c r="V1108" s="89">
        <v>20080</v>
      </c>
      <c r="W1108" s="89">
        <v>36920</v>
      </c>
    </row>
    <row r="1109" spans="1:23" ht="15.75" customHeight="1">
      <c r="A1109" t="s">
        <v>5779</v>
      </c>
      <c r="B1109" t="s">
        <v>5780</v>
      </c>
      <c r="C1109" s="88">
        <v>46146.87226851852</v>
      </c>
      <c r="D1109" t="s">
        <v>105</v>
      </c>
      <c r="E1109" t="s">
        <v>106</v>
      </c>
      <c r="F1109" t="s">
        <v>402</v>
      </c>
      <c r="G1109" t="s">
        <v>5781</v>
      </c>
      <c r="H1109" t="s">
        <v>402</v>
      </c>
      <c r="I1109" s="88">
        <v>46143.714687500003</v>
      </c>
      <c r="J1109" t="s">
        <v>107</v>
      </c>
      <c r="K1109" t="s">
        <v>108</v>
      </c>
      <c r="L1109" t="s">
        <v>5782</v>
      </c>
      <c r="M1109" s="88">
        <v>46146.650462962964</v>
      </c>
      <c r="N1109" t="s">
        <v>637</v>
      </c>
      <c r="O1109" t="s">
        <v>112</v>
      </c>
      <c r="P1109" t="s">
        <v>111</v>
      </c>
      <c r="Q1109" t="s">
        <v>1587</v>
      </c>
      <c r="R1109">
        <v>10</v>
      </c>
      <c r="S1109" s="89">
        <v>9500</v>
      </c>
      <c r="T1109" s="89">
        <v>0</v>
      </c>
      <c r="U1109" s="89">
        <v>33400</v>
      </c>
      <c r="V1109" s="89">
        <v>33400</v>
      </c>
      <c r="W1109" s="89">
        <v>61600</v>
      </c>
    </row>
    <row r="1110" spans="1:23" ht="15.75" customHeight="1">
      <c r="A1110" t="s">
        <v>5783</v>
      </c>
      <c r="B1110" t="s">
        <v>5784</v>
      </c>
      <c r="C1110" s="88">
        <v>46146.839594907404</v>
      </c>
      <c r="D1110" t="s">
        <v>105</v>
      </c>
      <c r="E1110" t="s">
        <v>106</v>
      </c>
      <c r="F1110" t="s">
        <v>298</v>
      </c>
      <c r="G1110" t="s">
        <v>5785</v>
      </c>
      <c r="H1110" t="s">
        <v>298</v>
      </c>
      <c r="I1110" s="88">
        <v>46141.751863425925</v>
      </c>
      <c r="J1110" t="s">
        <v>107</v>
      </c>
      <c r="K1110" t="s">
        <v>108</v>
      </c>
      <c r="L1110" t="s">
        <v>5786</v>
      </c>
      <c r="M1110" s="88">
        <v>46143.545856481476</v>
      </c>
      <c r="N1110" t="s">
        <v>637</v>
      </c>
      <c r="O1110" t="s">
        <v>112</v>
      </c>
      <c r="P1110" t="s">
        <v>111</v>
      </c>
      <c r="Q1110" t="s">
        <v>2085</v>
      </c>
      <c r="R1110">
        <v>8</v>
      </c>
      <c r="S1110" s="89">
        <v>9500</v>
      </c>
      <c r="T1110" s="89">
        <v>0</v>
      </c>
      <c r="U1110" s="89">
        <v>26740</v>
      </c>
      <c r="V1110" s="89">
        <v>26740</v>
      </c>
      <c r="W1110" s="89">
        <v>49260</v>
      </c>
    </row>
    <row r="1111" spans="1:23" ht="15.75" customHeight="1">
      <c r="A1111" t="s">
        <v>5787</v>
      </c>
      <c r="B1111" t="s">
        <v>5788</v>
      </c>
      <c r="C1111" s="88">
        <v>46146.822245370371</v>
      </c>
      <c r="D1111" t="s">
        <v>105</v>
      </c>
      <c r="E1111" t="s">
        <v>106</v>
      </c>
      <c r="F1111" t="s">
        <v>5789</v>
      </c>
      <c r="G1111" t="s">
        <v>5790</v>
      </c>
      <c r="H1111" t="s">
        <v>5789</v>
      </c>
      <c r="I1111" s="88">
        <v>46143.71471064815</v>
      </c>
      <c r="J1111" t="s">
        <v>107</v>
      </c>
      <c r="K1111" t="s">
        <v>108</v>
      </c>
      <c r="L1111" t="s">
        <v>5791</v>
      </c>
      <c r="M1111" s="88">
        <v>46146.631261574075</v>
      </c>
      <c r="N1111" t="s">
        <v>637</v>
      </c>
      <c r="O1111" t="s">
        <v>112</v>
      </c>
      <c r="P1111" t="s">
        <v>111</v>
      </c>
      <c r="Q1111" t="s">
        <v>1587</v>
      </c>
      <c r="R1111">
        <v>2</v>
      </c>
      <c r="S1111" s="89">
        <v>9500</v>
      </c>
      <c r="T1111" s="89">
        <v>0</v>
      </c>
      <c r="U1111" s="89">
        <v>4180</v>
      </c>
      <c r="V1111" s="89">
        <v>4180</v>
      </c>
      <c r="W1111" s="89">
        <v>14820</v>
      </c>
    </row>
    <row r="1112" spans="1:23" ht="15.75" customHeight="1">
      <c r="A1112" t="s">
        <v>5792</v>
      </c>
      <c r="B1112" t="s">
        <v>5793</v>
      </c>
      <c r="C1112" s="88">
        <v>46146.818472222221</v>
      </c>
      <c r="D1112" t="s">
        <v>105</v>
      </c>
      <c r="E1112" t="s">
        <v>106</v>
      </c>
      <c r="F1112" t="s">
        <v>5794</v>
      </c>
      <c r="G1112" t="s">
        <v>2289</v>
      </c>
      <c r="H1112" t="s">
        <v>5794</v>
      </c>
      <c r="I1112" s="88">
        <v>46140.633923611109</v>
      </c>
      <c r="J1112" t="s">
        <v>107</v>
      </c>
      <c r="K1112" t="s">
        <v>108</v>
      </c>
      <c r="L1112" t="s">
        <v>5795</v>
      </c>
      <c r="M1112" s="88">
        <v>46141.548090277778</v>
      </c>
      <c r="N1112" t="s">
        <v>637</v>
      </c>
      <c r="O1112" t="s">
        <v>112</v>
      </c>
      <c r="P1112" t="s">
        <v>111</v>
      </c>
      <c r="Q1112" t="s">
        <v>2085</v>
      </c>
      <c r="R1112">
        <v>6</v>
      </c>
      <c r="S1112" s="89">
        <v>9500</v>
      </c>
      <c r="T1112" s="89">
        <v>0</v>
      </c>
      <c r="U1112" s="89">
        <v>20080</v>
      </c>
      <c r="V1112" s="89">
        <v>20080</v>
      </c>
      <c r="W1112" s="89">
        <v>36920</v>
      </c>
    </row>
    <row r="1113" spans="1:23" ht="15.75" customHeight="1">
      <c r="A1113" t="s">
        <v>5796</v>
      </c>
      <c r="B1113" t="s">
        <v>5797</v>
      </c>
      <c r="C1113" s="88">
        <v>46146.795636574076</v>
      </c>
      <c r="D1113" t="s">
        <v>105</v>
      </c>
      <c r="E1113" t="s">
        <v>106</v>
      </c>
      <c r="F1113" t="s">
        <v>5798</v>
      </c>
      <c r="G1113" t="s">
        <v>5799</v>
      </c>
      <c r="H1113" t="s">
        <v>5798</v>
      </c>
      <c r="I1113" s="88">
        <v>46143.714722222227</v>
      </c>
      <c r="J1113" t="s">
        <v>107</v>
      </c>
      <c r="K1113" t="s">
        <v>108</v>
      </c>
      <c r="L1113" t="s">
        <v>5800</v>
      </c>
      <c r="M1113" s="88">
        <v>46146.442384259259</v>
      </c>
      <c r="N1113" t="s">
        <v>637</v>
      </c>
      <c r="O1113" t="s">
        <v>112</v>
      </c>
      <c r="P1113" t="s">
        <v>111</v>
      </c>
      <c r="Q1113" t="s">
        <v>1587</v>
      </c>
      <c r="R1113">
        <v>2</v>
      </c>
      <c r="S1113" s="89">
        <v>9500</v>
      </c>
      <c r="T1113" s="89">
        <v>0</v>
      </c>
      <c r="U1113" s="89">
        <v>4180</v>
      </c>
      <c r="V1113" s="89">
        <v>4180</v>
      </c>
      <c r="W1113" s="89">
        <v>14820</v>
      </c>
    </row>
    <row r="1114" spans="1:23" ht="15.75" customHeight="1">
      <c r="A1114" t="s">
        <v>5801</v>
      </c>
      <c r="B1114" t="s">
        <v>5802</v>
      </c>
      <c r="C1114" s="88">
        <v>46146.786979166667</v>
      </c>
      <c r="D1114" t="s">
        <v>105</v>
      </c>
      <c r="E1114" t="s">
        <v>106</v>
      </c>
      <c r="F1114" t="s">
        <v>5803</v>
      </c>
      <c r="G1114" t="s">
        <v>5804</v>
      </c>
      <c r="H1114" t="s">
        <v>5803</v>
      </c>
      <c r="I1114" s="88">
        <v>46143.71471064815</v>
      </c>
      <c r="J1114" t="s">
        <v>107</v>
      </c>
      <c r="K1114" t="s">
        <v>108</v>
      </c>
      <c r="L1114" t="s">
        <v>5805</v>
      </c>
      <c r="M1114" s="88">
        <v>46146.443043981482</v>
      </c>
      <c r="N1114" t="s">
        <v>637</v>
      </c>
      <c r="O1114" t="s">
        <v>112</v>
      </c>
      <c r="P1114" t="s">
        <v>111</v>
      </c>
      <c r="Q1114" t="s">
        <v>1587</v>
      </c>
      <c r="R1114">
        <v>5</v>
      </c>
      <c r="S1114" s="89">
        <v>9500</v>
      </c>
      <c r="T1114" s="89">
        <v>0</v>
      </c>
      <c r="U1114" s="89">
        <v>10550</v>
      </c>
      <c r="V1114" s="89">
        <v>10550</v>
      </c>
      <c r="W1114" s="89">
        <v>36950</v>
      </c>
    </row>
    <row r="1115" spans="1:23" ht="15.75" customHeight="1">
      <c r="A1115" t="s">
        <v>5806</v>
      </c>
      <c r="B1115" t="s">
        <v>5807</v>
      </c>
      <c r="C1115" s="88">
        <v>46146.742442129631</v>
      </c>
      <c r="D1115" t="s">
        <v>105</v>
      </c>
      <c r="E1115" t="s">
        <v>106</v>
      </c>
      <c r="F1115" t="s">
        <v>5808</v>
      </c>
      <c r="G1115" t="s">
        <v>5809</v>
      </c>
      <c r="H1115" t="s">
        <v>5808</v>
      </c>
      <c r="I1115" s="88">
        <v>46141.751886574071</v>
      </c>
      <c r="J1115" t="s">
        <v>107</v>
      </c>
      <c r="K1115" t="s">
        <v>108</v>
      </c>
      <c r="L1115" t="s">
        <v>5810</v>
      </c>
      <c r="M1115" s="88">
        <v>46143.54587962963</v>
      </c>
      <c r="N1115" t="s">
        <v>637</v>
      </c>
      <c r="O1115" t="s">
        <v>112</v>
      </c>
      <c r="P1115" t="s">
        <v>111</v>
      </c>
      <c r="Q1115" t="s">
        <v>2085</v>
      </c>
      <c r="R1115">
        <v>5</v>
      </c>
      <c r="S1115" s="89">
        <v>9500</v>
      </c>
      <c r="T1115" s="89">
        <v>0</v>
      </c>
      <c r="U1115" s="89">
        <v>10550</v>
      </c>
      <c r="V1115" s="89">
        <v>10550</v>
      </c>
      <c r="W1115" s="89">
        <v>36950</v>
      </c>
    </row>
    <row r="1116" spans="1:23" ht="15.75" customHeight="1">
      <c r="A1116" t="s">
        <v>5811</v>
      </c>
      <c r="B1116" t="s">
        <v>5812</v>
      </c>
      <c r="C1116" s="88">
        <v>46146.733530092592</v>
      </c>
      <c r="D1116" t="s">
        <v>105</v>
      </c>
      <c r="E1116" t="s">
        <v>106</v>
      </c>
      <c r="F1116" t="s">
        <v>5813</v>
      </c>
      <c r="G1116" t="s">
        <v>5814</v>
      </c>
      <c r="H1116" t="s">
        <v>5813</v>
      </c>
      <c r="I1116" s="88">
        <v>46143.714733796296</v>
      </c>
      <c r="J1116" t="s">
        <v>107</v>
      </c>
      <c r="K1116" t="s">
        <v>108</v>
      </c>
      <c r="L1116" t="s">
        <v>5815</v>
      </c>
      <c r="M1116" s="88">
        <v>46146.633344907408</v>
      </c>
      <c r="N1116" t="s">
        <v>637</v>
      </c>
      <c r="O1116" t="s">
        <v>112</v>
      </c>
      <c r="P1116" t="s">
        <v>111</v>
      </c>
      <c r="Q1116" t="s">
        <v>1587</v>
      </c>
      <c r="R1116">
        <v>6</v>
      </c>
      <c r="S1116" s="89">
        <v>9500</v>
      </c>
      <c r="T1116" s="89">
        <v>0</v>
      </c>
      <c r="U1116" s="89">
        <v>20080</v>
      </c>
      <c r="V1116" s="89">
        <v>20080</v>
      </c>
      <c r="W1116" s="89">
        <v>36920</v>
      </c>
    </row>
    <row r="1117" spans="1:23" ht="15.75" customHeight="1">
      <c r="A1117" t="s">
        <v>5816</v>
      </c>
      <c r="B1117" t="s">
        <v>5817</v>
      </c>
      <c r="C1117" s="88">
        <v>46146.730590277773</v>
      </c>
      <c r="D1117" t="s">
        <v>105</v>
      </c>
      <c r="E1117" t="s">
        <v>106</v>
      </c>
      <c r="F1117" t="s">
        <v>5818</v>
      </c>
      <c r="G1117" t="s">
        <v>5819</v>
      </c>
      <c r="H1117" t="s">
        <v>5818</v>
      </c>
      <c r="I1117" s="88">
        <v>46143.714722222227</v>
      </c>
      <c r="J1117" t="s">
        <v>107</v>
      </c>
      <c r="K1117" t="s">
        <v>108</v>
      </c>
      <c r="L1117" t="s">
        <v>5820</v>
      </c>
      <c r="M1117" s="88">
        <v>46146.443067129629</v>
      </c>
      <c r="N1117" t="s">
        <v>637</v>
      </c>
      <c r="O1117" t="s">
        <v>112</v>
      </c>
      <c r="P1117" t="s">
        <v>111</v>
      </c>
      <c r="Q1117" t="s">
        <v>1587</v>
      </c>
      <c r="R1117">
        <v>4</v>
      </c>
      <c r="S1117" s="89">
        <v>9500</v>
      </c>
      <c r="T1117" s="89">
        <v>0</v>
      </c>
      <c r="U1117" s="89">
        <v>8460</v>
      </c>
      <c r="V1117" s="89">
        <v>8460</v>
      </c>
      <c r="W1117" s="89">
        <v>29540</v>
      </c>
    </row>
    <row r="1118" spans="1:23" ht="15.75" customHeight="1">
      <c r="A1118" t="s">
        <v>5821</v>
      </c>
      <c r="B1118" t="s">
        <v>5822</v>
      </c>
      <c r="C1118" s="88">
        <v>46146.719490740739</v>
      </c>
      <c r="D1118" t="s">
        <v>105</v>
      </c>
      <c r="E1118" t="s">
        <v>106</v>
      </c>
      <c r="F1118" t="s">
        <v>5823</v>
      </c>
      <c r="G1118" t="s">
        <v>5824</v>
      </c>
      <c r="H1118" t="s">
        <v>5825</v>
      </c>
      <c r="I1118" s="88">
        <v>46143.71471064815</v>
      </c>
      <c r="J1118" t="s">
        <v>107</v>
      </c>
      <c r="K1118" t="s">
        <v>108</v>
      </c>
      <c r="L1118" t="s">
        <v>5826</v>
      </c>
      <c r="M1118" s="88">
        <v>46146.442384259259</v>
      </c>
      <c r="N1118" t="s">
        <v>637</v>
      </c>
      <c r="O1118" t="s">
        <v>112</v>
      </c>
      <c r="P1118" t="s">
        <v>111</v>
      </c>
      <c r="Q1118" t="s">
        <v>1587</v>
      </c>
      <c r="R1118">
        <v>6</v>
      </c>
      <c r="S1118" s="89">
        <v>9500</v>
      </c>
      <c r="T1118" s="89">
        <v>0</v>
      </c>
      <c r="U1118" s="89">
        <v>20080</v>
      </c>
      <c r="V1118" s="89">
        <v>20080</v>
      </c>
      <c r="W1118" s="89">
        <v>36920</v>
      </c>
    </row>
    <row r="1119" spans="1:23" ht="15.75" customHeight="1">
      <c r="A1119" t="s">
        <v>5827</v>
      </c>
      <c r="B1119" t="s">
        <v>5828</v>
      </c>
      <c r="C1119" s="88">
        <v>46146.686215277776</v>
      </c>
      <c r="D1119" t="s">
        <v>105</v>
      </c>
      <c r="E1119" t="s">
        <v>106</v>
      </c>
      <c r="F1119" t="s">
        <v>5829</v>
      </c>
      <c r="G1119" t="s">
        <v>4481</v>
      </c>
      <c r="H1119" t="s">
        <v>5829</v>
      </c>
      <c r="I1119" s="88">
        <v>46141.751863425925</v>
      </c>
      <c r="J1119" t="s">
        <v>107</v>
      </c>
      <c r="K1119" t="s">
        <v>108</v>
      </c>
      <c r="L1119" t="s">
        <v>5830</v>
      </c>
      <c r="M1119" s="88">
        <v>46143.524212962962</v>
      </c>
      <c r="N1119" t="s">
        <v>637</v>
      </c>
      <c r="O1119" t="s">
        <v>112</v>
      </c>
      <c r="P1119" t="s">
        <v>111</v>
      </c>
      <c r="Q1119" t="s">
        <v>2085</v>
      </c>
      <c r="R1119">
        <v>3</v>
      </c>
      <c r="S1119" s="89">
        <v>9500</v>
      </c>
      <c r="T1119" s="89">
        <v>0</v>
      </c>
      <c r="U1119" s="89">
        <v>6370</v>
      </c>
      <c r="V1119" s="89">
        <v>6370</v>
      </c>
      <c r="W1119" s="89">
        <v>22130</v>
      </c>
    </row>
    <row r="1120" spans="1:23" ht="15.75" customHeight="1">
      <c r="A1120" t="s">
        <v>5831</v>
      </c>
      <c r="B1120" t="s">
        <v>5832</v>
      </c>
      <c r="C1120" s="88">
        <v>46146.66679398148</v>
      </c>
      <c r="D1120" t="s">
        <v>105</v>
      </c>
      <c r="E1120" t="s">
        <v>106</v>
      </c>
      <c r="F1120" t="s">
        <v>5833</v>
      </c>
      <c r="G1120" t="s">
        <v>5834</v>
      </c>
      <c r="H1120" t="s">
        <v>5835</v>
      </c>
      <c r="I1120" s="88">
        <v>46141.751909722225</v>
      </c>
      <c r="J1120" t="s">
        <v>107</v>
      </c>
      <c r="K1120" t="s">
        <v>108</v>
      </c>
      <c r="L1120" t="s">
        <v>5836</v>
      </c>
      <c r="M1120" s="88">
        <v>46143.463923611111</v>
      </c>
      <c r="N1120" t="s">
        <v>637</v>
      </c>
      <c r="O1120" t="s">
        <v>112</v>
      </c>
      <c r="P1120" t="s">
        <v>111</v>
      </c>
      <c r="Q1120" t="s">
        <v>2085</v>
      </c>
      <c r="R1120">
        <v>1</v>
      </c>
      <c r="S1120" s="89">
        <v>9500</v>
      </c>
      <c r="T1120" s="89">
        <v>0</v>
      </c>
      <c r="U1120" s="89">
        <v>2190</v>
      </c>
      <c r="V1120" s="89">
        <v>2190</v>
      </c>
      <c r="W1120" s="89">
        <v>7310</v>
      </c>
    </row>
    <row r="1121" spans="1:23" ht="15.75" customHeight="1">
      <c r="A1121" t="s">
        <v>5837</v>
      </c>
      <c r="B1121" t="s">
        <v>5838</v>
      </c>
      <c r="C1121" s="88">
        <v>46146.63962962963</v>
      </c>
      <c r="D1121" t="s">
        <v>105</v>
      </c>
      <c r="E1121" t="s">
        <v>106</v>
      </c>
      <c r="F1121" t="s">
        <v>3962</v>
      </c>
      <c r="G1121" t="s">
        <v>5839</v>
      </c>
      <c r="H1121" t="s">
        <v>3962</v>
      </c>
      <c r="I1121" s="88">
        <v>46143.714745370366</v>
      </c>
      <c r="J1121" t="s">
        <v>107</v>
      </c>
      <c r="K1121" t="s">
        <v>108</v>
      </c>
      <c r="L1121" t="s">
        <v>5840</v>
      </c>
      <c r="M1121" s="88">
        <v>46146.41134259259</v>
      </c>
      <c r="N1121" t="s">
        <v>637</v>
      </c>
      <c r="O1121" t="s">
        <v>112</v>
      </c>
      <c r="P1121" t="s">
        <v>111</v>
      </c>
      <c r="Q1121" t="s">
        <v>1587</v>
      </c>
      <c r="R1121">
        <v>2</v>
      </c>
      <c r="S1121" s="89">
        <v>9500</v>
      </c>
      <c r="T1121" s="89">
        <v>0</v>
      </c>
      <c r="U1121" s="89">
        <v>4280</v>
      </c>
      <c r="V1121" s="89">
        <v>4280</v>
      </c>
      <c r="W1121" s="89">
        <v>14720</v>
      </c>
    </row>
    <row r="1122" spans="1:23" ht="15.75" customHeight="1">
      <c r="A1122" t="s">
        <v>5841</v>
      </c>
      <c r="B1122" t="s">
        <v>5842</v>
      </c>
      <c r="C1122" s="88">
        <v>46146.627291666664</v>
      </c>
      <c r="D1122" t="s">
        <v>105</v>
      </c>
      <c r="E1122" t="s">
        <v>106</v>
      </c>
      <c r="F1122" t="s">
        <v>5843</v>
      </c>
      <c r="G1122" t="s">
        <v>5844</v>
      </c>
      <c r="H1122" t="s">
        <v>5843</v>
      </c>
      <c r="I1122" s="88">
        <v>46141.596921296295</v>
      </c>
      <c r="J1122" t="s">
        <v>107</v>
      </c>
      <c r="K1122" t="s">
        <v>108</v>
      </c>
      <c r="L1122" t="s">
        <v>5845</v>
      </c>
      <c r="M1122" s="88">
        <v>46142.553611111114</v>
      </c>
      <c r="N1122" t="s">
        <v>1992</v>
      </c>
      <c r="O1122" t="s">
        <v>110</v>
      </c>
      <c r="P1122" t="s">
        <v>111</v>
      </c>
      <c r="Q1122" t="s">
        <v>4520</v>
      </c>
      <c r="R1122">
        <v>1</v>
      </c>
      <c r="S1122" s="89">
        <v>129000</v>
      </c>
      <c r="T1122" s="89">
        <v>0</v>
      </c>
      <c r="U1122" s="89">
        <v>29800</v>
      </c>
      <c r="V1122" s="89">
        <v>29800</v>
      </c>
      <c r="W1122" s="89">
        <v>99200</v>
      </c>
    </row>
    <row r="1123" spans="1:23" ht="15.75" customHeight="1">
      <c r="A1123" t="s">
        <v>5846</v>
      </c>
      <c r="B1123" t="s">
        <v>5847</v>
      </c>
      <c r="C1123" s="88">
        <v>46146.605925925927</v>
      </c>
      <c r="D1123" t="s">
        <v>105</v>
      </c>
      <c r="E1123" t="s">
        <v>106</v>
      </c>
      <c r="F1123" t="s">
        <v>289</v>
      </c>
      <c r="G1123" t="s">
        <v>5848</v>
      </c>
      <c r="H1123" t="s">
        <v>289</v>
      </c>
      <c r="I1123" s="88">
        <v>46141.751932870371</v>
      </c>
      <c r="J1123" t="s">
        <v>107</v>
      </c>
      <c r="K1123" t="s">
        <v>108</v>
      </c>
      <c r="L1123" t="s">
        <v>5849</v>
      </c>
      <c r="M1123" s="88">
        <v>46143.670844907407</v>
      </c>
      <c r="N1123" t="s">
        <v>637</v>
      </c>
      <c r="O1123" t="s">
        <v>112</v>
      </c>
      <c r="P1123" t="s">
        <v>111</v>
      </c>
      <c r="Q1123" t="s">
        <v>2085</v>
      </c>
      <c r="R1123">
        <v>6</v>
      </c>
      <c r="S1123" s="89">
        <v>9500</v>
      </c>
      <c r="T1123" s="89">
        <v>0</v>
      </c>
      <c r="U1123" s="89">
        <v>20080</v>
      </c>
      <c r="V1123" s="89">
        <v>20080</v>
      </c>
      <c r="W1123" s="89">
        <v>36920</v>
      </c>
    </row>
    <row r="1124" spans="1:23" ht="15.75" customHeight="1">
      <c r="A1124" t="s">
        <v>5850</v>
      </c>
      <c r="B1124" t="s">
        <v>5851</v>
      </c>
      <c r="C1124" s="88">
        <v>46146.60365740741</v>
      </c>
      <c r="D1124" t="s">
        <v>105</v>
      </c>
      <c r="E1124" t="s">
        <v>106</v>
      </c>
      <c r="F1124" t="s">
        <v>350</v>
      </c>
      <c r="G1124" t="s">
        <v>5852</v>
      </c>
      <c r="H1124" t="s">
        <v>350</v>
      </c>
      <c r="I1124" s="88">
        <v>46143.71471064815</v>
      </c>
      <c r="J1124" t="s">
        <v>107</v>
      </c>
      <c r="K1124" t="s">
        <v>108</v>
      </c>
      <c r="L1124" t="s">
        <v>5853</v>
      </c>
      <c r="M1124" s="88">
        <v>46146.443101851852</v>
      </c>
      <c r="N1124" t="s">
        <v>637</v>
      </c>
      <c r="O1124" t="s">
        <v>112</v>
      </c>
      <c r="P1124" t="s">
        <v>111</v>
      </c>
      <c r="Q1124" t="s">
        <v>1587</v>
      </c>
      <c r="R1124">
        <v>2</v>
      </c>
      <c r="S1124" s="89">
        <v>9500</v>
      </c>
      <c r="T1124" s="89">
        <v>0</v>
      </c>
      <c r="U1124" s="89">
        <v>4280</v>
      </c>
      <c r="V1124" s="89">
        <v>4280</v>
      </c>
      <c r="W1124" s="89">
        <v>14720</v>
      </c>
    </row>
    <row r="1125" spans="1:23" ht="15.75" customHeight="1">
      <c r="A1125" t="s">
        <v>5854</v>
      </c>
      <c r="B1125" t="s">
        <v>5855</v>
      </c>
      <c r="C1125" s="88">
        <v>46146.584155092598</v>
      </c>
      <c r="D1125" t="s">
        <v>105</v>
      </c>
      <c r="E1125" t="s">
        <v>106</v>
      </c>
      <c r="F1125" t="s">
        <v>5856</v>
      </c>
      <c r="G1125" t="s">
        <v>5857</v>
      </c>
      <c r="H1125" t="s">
        <v>5856</v>
      </c>
      <c r="I1125" s="88">
        <v>46143.714733796296</v>
      </c>
      <c r="J1125" t="s">
        <v>107</v>
      </c>
      <c r="K1125" t="s">
        <v>108</v>
      </c>
      <c r="L1125" t="s">
        <v>5858</v>
      </c>
      <c r="M1125" s="88">
        <v>46146.443101851852</v>
      </c>
      <c r="N1125" t="s">
        <v>637</v>
      </c>
      <c r="O1125" t="s">
        <v>112</v>
      </c>
      <c r="P1125" t="s">
        <v>111</v>
      </c>
      <c r="Q1125" t="s">
        <v>1587</v>
      </c>
      <c r="R1125">
        <v>6</v>
      </c>
      <c r="S1125" s="89">
        <v>9500</v>
      </c>
      <c r="T1125" s="89">
        <v>0</v>
      </c>
      <c r="U1125" s="89">
        <v>20080</v>
      </c>
      <c r="V1125" s="89">
        <v>20080</v>
      </c>
      <c r="W1125" s="89">
        <v>36920</v>
      </c>
    </row>
    <row r="1126" spans="1:23" ht="15.75" customHeight="1">
      <c r="A1126" t="s">
        <v>5859</v>
      </c>
      <c r="B1126" t="s">
        <v>5860</v>
      </c>
      <c r="C1126" s="88">
        <v>46146.567800925928</v>
      </c>
      <c r="D1126" t="s">
        <v>105</v>
      </c>
      <c r="E1126" t="s">
        <v>106</v>
      </c>
      <c r="F1126" t="s">
        <v>5861</v>
      </c>
      <c r="G1126" t="s">
        <v>5862</v>
      </c>
      <c r="H1126" t="s">
        <v>5861</v>
      </c>
      <c r="I1126" s="88">
        <v>46143.71471064815</v>
      </c>
      <c r="J1126" t="s">
        <v>107</v>
      </c>
      <c r="K1126" t="s">
        <v>108</v>
      </c>
      <c r="L1126" t="s">
        <v>5863</v>
      </c>
      <c r="M1126" s="88">
        <v>46146.507650462961</v>
      </c>
      <c r="N1126" t="s">
        <v>637</v>
      </c>
      <c r="O1126" t="s">
        <v>112</v>
      </c>
      <c r="P1126" t="s">
        <v>111</v>
      </c>
      <c r="Q1126" t="s">
        <v>1587</v>
      </c>
      <c r="R1126">
        <v>2</v>
      </c>
      <c r="S1126" s="89">
        <v>9500</v>
      </c>
      <c r="T1126" s="89">
        <v>0</v>
      </c>
      <c r="U1126" s="89">
        <v>4280</v>
      </c>
      <c r="V1126" s="89">
        <v>4280</v>
      </c>
      <c r="W1126" s="89">
        <v>14720</v>
      </c>
    </row>
    <row r="1127" spans="1:23" ht="15.75" customHeight="1">
      <c r="A1127" t="s">
        <v>5864</v>
      </c>
      <c r="B1127" t="s">
        <v>5865</v>
      </c>
      <c r="C1127" s="88">
        <v>46146.550740740742</v>
      </c>
      <c r="D1127" t="s">
        <v>105</v>
      </c>
      <c r="E1127" t="s">
        <v>106</v>
      </c>
      <c r="F1127" t="s">
        <v>190</v>
      </c>
      <c r="G1127" t="s">
        <v>5866</v>
      </c>
      <c r="H1127" t="s">
        <v>190</v>
      </c>
      <c r="I1127" s="88">
        <v>46143.71471064815</v>
      </c>
      <c r="J1127" t="s">
        <v>107</v>
      </c>
      <c r="K1127" t="s">
        <v>108</v>
      </c>
      <c r="L1127" t="s">
        <v>5867</v>
      </c>
      <c r="M1127" s="88">
        <v>46146.507650462961</v>
      </c>
      <c r="N1127" t="s">
        <v>637</v>
      </c>
      <c r="O1127" t="s">
        <v>112</v>
      </c>
      <c r="P1127" t="s">
        <v>111</v>
      </c>
      <c r="Q1127" t="s">
        <v>1587</v>
      </c>
      <c r="R1127">
        <v>6</v>
      </c>
      <c r="S1127" s="89">
        <v>9500</v>
      </c>
      <c r="T1127" s="89">
        <v>0</v>
      </c>
      <c r="U1127" s="89">
        <v>20080</v>
      </c>
      <c r="V1127" s="89">
        <v>20080</v>
      </c>
      <c r="W1127" s="89">
        <v>36920</v>
      </c>
    </row>
    <row r="1128" spans="1:23" ht="15.75" customHeight="1">
      <c r="A1128" t="s">
        <v>5868</v>
      </c>
      <c r="B1128" t="s">
        <v>5869</v>
      </c>
      <c r="C1128" s="88">
        <v>46146.538553240738</v>
      </c>
      <c r="D1128" t="s">
        <v>105</v>
      </c>
      <c r="E1128" t="s">
        <v>106</v>
      </c>
      <c r="F1128" t="s">
        <v>5870</v>
      </c>
      <c r="G1128" t="s">
        <v>5871</v>
      </c>
      <c r="H1128" t="s">
        <v>5870</v>
      </c>
      <c r="I1128" s="88">
        <v>46141.751956018517</v>
      </c>
      <c r="J1128" t="s">
        <v>107</v>
      </c>
      <c r="K1128" t="s">
        <v>108</v>
      </c>
      <c r="L1128" t="s">
        <v>5872</v>
      </c>
      <c r="M1128" s="88">
        <v>46143.46597222222</v>
      </c>
      <c r="N1128" t="s">
        <v>637</v>
      </c>
      <c r="O1128" t="s">
        <v>112</v>
      </c>
      <c r="P1128" t="s">
        <v>111</v>
      </c>
      <c r="Q1128" t="s">
        <v>2085</v>
      </c>
      <c r="R1128">
        <v>2</v>
      </c>
      <c r="S1128" s="89">
        <v>9500</v>
      </c>
      <c r="T1128" s="89">
        <v>0</v>
      </c>
      <c r="U1128" s="89">
        <v>4180</v>
      </c>
      <c r="V1128" s="89">
        <v>4180</v>
      </c>
      <c r="W1128" s="89">
        <v>14820</v>
      </c>
    </row>
    <row r="1129" spans="1:23" ht="15.75" customHeight="1">
      <c r="A1129" t="s">
        <v>5873</v>
      </c>
      <c r="B1129" t="s">
        <v>5874</v>
      </c>
      <c r="C1129" s="88">
        <v>46146.532858796301</v>
      </c>
      <c r="D1129" t="s">
        <v>105</v>
      </c>
      <c r="E1129" t="s">
        <v>106</v>
      </c>
      <c r="F1129" t="s">
        <v>5875</v>
      </c>
      <c r="G1129" t="s">
        <v>5876</v>
      </c>
      <c r="H1129" t="s">
        <v>5875</v>
      </c>
      <c r="I1129" s="88">
        <v>46143.714699074073</v>
      </c>
      <c r="J1129" t="s">
        <v>107</v>
      </c>
      <c r="K1129" t="s">
        <v>108</v>
      </c>
      <c r="L1129" t="s">
        <v>5877</v>
      </c>
      <c r="M1129" s="88">
        <v>46146.507650462961</v>
      </c>
      <c r="N1129" t="s">
        <v>637</v>
      </c>
      <c r="O1129" t="s">
        <v>112</v>
      </c>
      <c r="P1129" t="s">
        <v>111</v>
      </c>
      <c r="Q1129" t="s">
        <v>1587</v>
      </c>
      <c r="R1129">
        <v>2</v>
      </c>
      <c r="S1129" s="89">
        <v>9500</v>
      </c>
      <c r="T1129" s="89">
        <v>0</v>
      </c>
      <c r="U1129" s="89">
        <v>4180</v>
      </c>
      <c r="V1129" s="89">
        <v>4180</v>
      </c>
      <c r="W1129" s="89">
        <v>14820</v>
      </c>
    </row>
    <row r="1130" spans="1:23" ht="15.75" customHeight="1">
      <c r="A1130" t="s">
        <v>5878</v>
      </c>
      <c r="B1130" t="s">
        <v>5879</v>
      </c>
      <c r="C1130" s="88">
        <v>46146.532777777778</v>
      </c>
      <c r="D1130" t="s">
        <v>105</v>
      </c>
      <c r="E1130" t="s">
        <v>106</v>
      </c>
      <c r="F1130" t="s">
        <v>5875</v>
      </c>
      <c r="G1130" t="s">
        <v>5876</v>
      </c>
      <c r="H1130" t="s">
        <v>5875</v>
      </c>
      <c r="I1130" s="88">
        <v>46143.714699074073</v>
      </c>
      <c r="J1130" t="s">
        <v>107</v>
      </c>
      <c r="K1130" t="s">
        <v>108</v>
      </c>
      <c r="L1130" t="s">
        <v>5877</v>
      </c>
      <c r="M1130" s="88">
        <v>46146.507650462961</v>
      </c>
      <c r="N1130" t="s">
        <v>637</v>
      </c>
      <c r="O1130" t="s">
        <v>112</v>
      </c>
      <c r="P1130" t="s">
        <v>111</v>
      </c>
      <c r="Q1130" t="s">
        <v>2085</v>
      </c>
      <c r="R1130">
        <v>2</v>
      </c>
      <c r="S1130" s="89">
        <v>9500</v>
      </c>
      <c r="T1130" s="89">
        <v>0</v>
      </c>
      <c r="U1130" s="89">
        <v>4280</v>
      </c>
      <c r="V1130" s="89">
        <v>4280</v>
      </c>
      <c r="W1130" s="89">
        <v>14720</v>
      </c>
    </row>
    <row r="1131" spans="1:23" ht="15.75" customHeight="1">
      <c r="A1131" t="s">
        <v>5880</v>
      </c>
      <c r="B1131" t="s">
        <v>5881</v>
      </c>
      <c r="C1131" s="88">
        <v>46146.508344907408</v>
      </c>
      <c r="D1131" t="s">
        <v>105</v>
      </c>
      <c r="E1131" t="s">
        <v>106</v>
      </c>
      <c r="F1131" t="s">
        <v>1101</v>
      </c>
      <c r="G1131" t="s">
        <v>1654</v>
      </c>
      <c r="H1131" t="s">
        <v>1101</v>
      </c>
      <c r="I1131" s="88">
        <v>46141.751863425925</v>
      </c>
      <c r="J1131" t="s">
        <v>107</v>
      </c>
      <c r="K1131" t="s">
        <v>108</v>
      </c>
      <c r="L1131" t="s">
        <v>5882</v>
      </c>
      <c r="M1131" s="88">
        <v>46143.461111111115</v>
      </c>
      <c r="N1131" t="s">
        <v>637</v>
      </c>
      <c r="O1131" t="s">
        <v>112</v>
      </c>
      <c r="P1131" t="s">
        <v>111</v>
      </c>
      <c r="Q1131" t="s">
        <v>2085</v>
      </c>
      <c r="R1131">
        <v>2</v>
      </c>
      <c r="S1131" s="89">
        <v>9500</v>
      </c>
      <c r="T1131" s="89">
        <v>0</v>
      </c>
      <c r="U1131" s="89">
        <v>4180</v>
      </c>
      <c r="V1131" s="89">
        <v>4180</v>
      </c>
      <c r="W1131" s="89">
        <v>14820</v>
      </c>
    </row>
    <row r="1132" spans="1:23" ht="15.75" customHeight="1">
      <c r="A1132" t="s">
        <v>5883</v>
      </c>
      <c r="B1132" t="s">
        <v>5884</v>
      </c>
      <c r="C1132" s="88">
        <v>46146.504733796297</v>
      </c>
      <c r="D1132" t="s">
        <v>105</v>
      </c>
      <c r="E1132" t="s">
        <v>106</v>
      </c>
      <c r="F1132" t="s">
        <v>5885</v>
      </c>
      <c r="G1132" t="s">
        <v>5886</v>
      </c>
      <c r="H1132" t="s">
        <v>5885</v>
      </c>
      <c r="I1132" s="88">
        <v>46141.751886574071</v>
      </c>
      <c r="J1132" t="s">
        <v>107</v>
      </c>
      <c r="K1132" t="s">
        <v>108</v>
      </c>
      <c r="L1132" t="s">
        <v>5887</v>
      </c>
      <c r="M1132" s="88">
        <v>46143.572164351848</v>
      </c>
      <c r="N1132" t="s">
        <v>637</v>
      </c>
      <c r="O1132" t="s">
        <v>112</v>
      </c>
      <c r="P1132" t="s">
        <v>111</v>
      </c>
      <c r="Q1132" t="s">
        <v>2085</v>
      </c>
      <c r="R1132">
        <v>2</v>
      </c>
      <c r="S1132" s="89">
        <v>9500</v>
      </c>
      <c r="T1132" s="89">
        <v>0</v>
      </c>
      <c r="U1132" s="89">
        <v>4180</v>
      </c>
      <c r="V1132" s="89">
        <v>4180</v>
      </c>
      <c r="W1132" s="89">
        <v>14820</v>
      </c>
    </row>
    <row r="1133" spans="1:23" ht="15.75" customHeight="1">
      <c r="A1133" t="s">
        <v>5888</v>
      </c>
      <c r="B1133" t="s">
        <v>5889</v>
      </c>
      <c r="C1133" s="88">
        <v>46146.495196759264</v>
      </c>
      <c r="D1133" t="s">
        <v>105</v>
      </c>
      <c r="E1133" t="s">
        <v>106</v>
      </c>
      <c r="F1133" t="s">
        <v>5890</v>
      </c>
      <c r="G1133" t="s">
        <v>5891</v>
      </c>
      <c r="H1133" t="s">
        <v>5890</v>
      </c>
      <c r="I1133" s="88">
        <v>46143.71475694445</v>
      </c>
      <c r="J1133" t="s">
        <v>107</v>
      </c>
      <c r="K1133" t="s">
        <v>108</v>
      </c>
      <c r="L1133" t="s">
        <v>5892</v>
      </c>
      <c r="M1133" s="88">
        <v>46146.555509259255</v>
      </c>
      <c r="N1133" t="s">
        <v>637</v>
      </c>
      <c r="O1133" t="s">
        <v>112</v>
      </c>
      <c r="P1133" t="s">
        <v>111</v>
      </c>
      <c r="Q1133" t="s">
        <v>1587</v>
      </c>
      <c r="R1133">
        <v>6</v>
      </c>
      <c r="S1133" s="89">
        <v>9500</v>
      </c>
      <c r="T1133" s="89">
        <v>0</v>
      </c>
      <c r="U1133" s="89">
        <v>20080</v>
      </c>
      <c r="V1133" s="89">
        <v>20080</v>
      </c>
      <c r="W1133" s="89">
        <v>36920</v>
      </c>
    </row>
    <row r="1134" spans="1:23" ht="15.75" customHeight="1">
      <c r="A1134" t="s">
        <v>5893</v>
      </c>
      <c r="B1134" t="s">
        <v>5894</v>
      </c>
      <c r="C1134" s="88">
        <v>46146.490219907406</v>
      </c>
      <c r="D1134" t="s">
        <v>105</v>
      </c>
      <c r="E1134" t="s">
        <v>106</v>
      </c>
      <c r="F1134" t="s">
        <v>5895</v>
      </c>
      <c r="G1134" t="s">
        <v>5896</v>
      </c>
      <c r="H1134" t="s">
        <v>5895</v>
      </c>
      <c r="I1134" s="88">
        <v>46143.714768518519</v>
      </c>
      <c r="J1134" t="s">
        <v>107</v>
      </c>
      <c r="K1134" t="s">
        <v>108</v>
      </c>
      <c r="L1134" t="s">
        <v>5897</v>
      </c>
      <c r="M1134" s="88">
        <v>46146.443078703705</v>
      </c>
      <c r="N1134" t="s">
        <v>637</v>
      </c>
      <c r="O1134" t="s">
        <v>112</v>
      </c>
      <c r="P1134" t="s">
        <v>111</v>
      </c>
      <c r="Q1134" t="s">
        <v>2085</v>
      </c>
      <c r="R1134">
        <v>1</v>
      </c>
      <c r="S1134" s="89">
        <v>9500</v>
      </c>
      <c r="T1134" s="89">
        <v>0</v>
      </c>
      <c r="U1134" s="89">
        <v>2190</v>
      </c>
      <c r="V1134" s="89">
        <v>2190</v>
      </c>
      <c r="W1134" s="89">
        <v>7310</v>
      </c>
    </row>
    <row r="1135" spans="1:23" ht="15.75" customHeight="1">
      <c r="A1135" t="s">
        <v>5898</v>
      </c>
      <c r="B1135" t="s">
        <v>5899</v>
      </c>
      <c r="C1135" s="88">
        <v>46146.489305555559</v>
      </c>
      <c r="D1135" t="s">
        <v>105</v>
      </c>
      <c r="E1135" t="s">
        <v>106</v>
      </c>
      <c r="F1135" t="s">
        <v>5900</v>
      </c>
      <c r="G1135" t="s">
        <v>5901</v>
      </c>
      <c r="H1135" t="s">
        <v>5900</v>
      </c>
      <c r="I1135" s="88">
        <v>46141.751979166671</v>
      </c>
      <c r="J1135" t="s">
        <v>107</v>
      </c>
      <c r="K1135" t="s">
        <v>108</v>
      </c>
      <c r="L1135" t="s">
        <v>5902</v>
      </c>
      <c r="M1135" s="88">
        <v>46143.463912037041</v>
      </c>
      <c r="N1135" t="s">
        <v>637</v>
      </c>
      <c r="O1135" t="s">
        <v>112</v>
      </c>
      <c r="P1135" t="s">
        <v>111</v>
      </c>
      <c r="Q1135" t="s">
        <v>2085</v>
      </c>
      <c r="R1135">
        <v>1</v>
      </c>
      <c r="S1135" s="89">
        <v>9500</v>
      </c>
      <c r="T1135" s="89">
        <v>0</v>
      </c>
      <c r="U1135" s="89">
        <v>2190</v>
      </c>
      <c r="V1135" s="89">
        <v>2190</v>
      </c>
      <c r="W1135" s="89">
        <v>7310</v>
      </c>
    </row>
    <row r="1136" spans="1:23" ht="15.75" customHeight="1">
      <c r="A1136" t="s">
        <v>5903</v>
      </c>
      <c r="B1136" t="s">
        <v>5904</v>
      </c>
      <c r="C1136" s="88">
        <v>46146.47625</v>
      </c>
      <c r="D1136" t="s">
        <v>105</v>
      </c>
      <c r="E1136" t="s">
        <v>106</v>
      </c>
      <c r="F1136" t="s">
        <v>5905</v>
      </c>
      <c r="G1136" t="s">
        <v>5906</v>
      </c>
      <c r="H1136" t="s">
        <v>5905</v>
      </c>
      <c r="I1136" s="88">
        <v>46141.751956018517</v>
      </c>
      <c r="J1136" t="s">
        <v>107</v>
      </c>
      <c r="K1136" t="s">
        <v>108</v>
      </c>
      <c r="L1136" t="s">
        <v>5907</v>
      </c>
      <c r="M1136" s="88">
        <v>46143.524212962962</v>
      </c>
      <c r="N1136" t="s">
        <v>637</v>
      </c>
      <c r="O1136" t="s">
        <v>112</v>
      </c>
      <c r="P1136" t="s">
        <v>111</v>
      </c>
      <c r="Q1136" t="s">
        <v>2085</v>
      </c>
      <c r="R1136">
        <v>12</v>
      </c>
      <c r="S1136" s="89">
        <v>9500</v>
      </c>
      <c r="T1136" s="89">
        <v>0</v>
      </c>
      <c r="U1136" s="89">
        <v>39960</v>
      </c>
      <c r="V1136" s="89">
        <v>39960</v>
      </c>
      <c r="W1136" s="89">
        <v>74040</v>
      </c>
    </row>
    <row r="1137" spans="1:23" ht="15.75" customHeight="1">
      <c r="A1137" t="s">
        <v>5908</v>
      </c>
      <c r="B1137" t="s">
        <v>5909</v>
      </c>
      <c r="C1137" s="88">
        <v>46146.461689814816</v>
      </c>
      <c r="D1137" t="s">
        <v>105</v>
      </c>
      <c r="E1137" t="s">
        <v>106</v>
      </c>
      <c r="F1137" t="s">
        <v>5910</v>
      </c>
      <c r="G1137" t="s">
        <v>5911</v>
      </c>
      <c r="H1137" t="s">
        <v>5910</v>
      </c>
      <c r="I1137" s="88">
        <v>46141.751932870371</v>
      </c>
      <c r="J1137" t="s">
        <v>107</v>
      </c>
      <c r="K1137" t="s">
        <v>108</v>
      </c>
      <c r="L1137" t="s">
        <v>5912</v>
      </c>
      <c r="M1137" s="88">
        <v>46143.463912037041</v>
      </c>
      <c r="N1137" t="s">
        <v>637</v>
      </c>
      <c r="O1137" t="s">
        <v>112</v>
      </c>
      <c r="P1137" t="s">
        <v>111</v>
      </c>
      <c r="Q1137" t="s">
        <v>2085</v>
      </c>
      <c r="R1137">
        <v>6</v>
      </c>
      <c r="S1137" s="89">
        <v>9500</v>
      </c>
      <c r="T1137" s="89">
        <v>0</v>
      </c>
      <c r="U1137" s="89">
        <v>19980</v>
      </c>
      <c r="V1137" s="89">
        <v>19980</v>
      </c>
      <c r="W1137" s="89">
        <v>37020</v>
      </c>
    </row>
    <row r="1138" spans="1:23" ht="15.75" customHeight="1">
      <c r="A1138" t="s">
        <v>5913</v>
      </c>
      <c r="B1138" t="s">
        <v>5914</v>
      </c>
      <c r="C1138" s="88">
        <v>46146.457523148143</v>
      </c>
      <c r="D1138" t="s">
        <v>105</v>
      </c>
      <c r="E1138" t="s">
        <v>106</v>
      </c>
      <c r="F1138" t="s">
        <v>5915</v>
      </c>
      <c r="G1138" t="s">
        <v>5916</v>
      </c>
      <c r="H1138" t="s">
        <v>5915</v>
      </c>
      <c r="I1138" s="88">
        <v>46143.714768518519</v>
      </c>
      <c r="J1138" t="s">
        <v>107</v>
      </c>
      <c r="K1138" t="s">
        <v>108</v>
      </c>
      <c r="L1138" t="s">
        <v>5917</v>
      </c>
      <c r="M1138" s="88">
        <v>46146.411354166667</v>
      </c>
      <c r="N1138" t="s">
        <v>637</v>
      </c>
      <c r="O1138" t="s">
        <v>112</v>
      </c>
      <c r="P1138" t="s">
        <v>111</v>
      </c>
      <c r="Q1138" t="s">
        <v>1587</v>
      </c>
      <c r="R1138">
        <v>1</v>
      </c>
      <c r="S1138" s="89">
        <v>9500</v>
      </c>
      <c r="T1138" s="89">
        <v>0</v>
      </c>
      <c r="U1138" s="89">
        <v>2190</v>
      </c>
      <c r="V1138" s="89">
        <v>2190</v>
      </c>
      <c r="W1138" s="89">
        <v>7310</v>
      </c>
    </row>
    <row r="1139" spans="1:23" ht="15.75" customHeight="1">
      <c r="A1139" t="s">
        <v>5918</v>
      </c>
      <c r="B1139" t="s">
        <v>5919</v>
      </c>
      <c r="C1139" s="88">
        <v>46146.457060185188</v>
      </c>
      <c r="D1139" t="s">
        <v>105</v>
      </c>
      <c r="E1139" t="s">
        <v>106</v>
      </c>
      <c r="F1139" t="s">
        <v>5920</v>
      </c>
      <c r="G1139" t="s">
        <v>5921</v>
      </c>
      <c r="H1139" t="s">
        <v>5920</v>
      </c>
      <c r="I1139" s="88">
        <v>46141.751909722225</v>
      </c>
      <c r="J1139" t="s">
        <v>107</v>
      </c>
      <c r="K1139" t="s">
        <v>108</v>
      </c>
      <c r="L1139" t="s">
        <v>5922</v>
      </c>
      <c r="M1139" s="88">
        <v>46143.46738425926</v>
      </c>
      <c r="N1139" t="s">
        <v>637</v>
      </c>
      <c r="O1139" t="s">
        <v>112</v>
      </c>
      <c r="P1139" t="s">
        <v>111</v>
      </c>
      <c r="Q1139" t="s">
        <v>2085</v>
      </c>
      <c r="R1139">
        <v>6</v>
      </c>
      <c r="S1139" s="89">
        <v>9500</v>
      </c>
      <c r="T1139" s="89">
        <v>0</v>
      </c>
      <c r="U1139" s="89">
        <v>20080</v>
      </c>
      <c r="V1139" s="89">
        <v>20080</v>
      </c>
      <c r="W1139" s="89">
        <v>36920</v>
      </c>
    </row>
    <row r="1140" spans="1:23" ht="15.75" customHeight="1">
      <c r="A1140" t="s">
        <v>5923</v>
      </c>
      <c r="B1140" t="s">
        <v>5924</v>
      </c>
      <c r="C1140" s="88">
        <v>46146.439675925925</v>
      </c>
      <c r="D1140" t="s">
        <v>105</v>
      </c>
      <c r="E1140" t="s">
        <v>106</v>
      </c>
      <c r="F1140" t="s">
        <v>5925</v>
      </c>
      <c r="G1140" t="s">
        <v>5926</v>
      </c>
      <c r="H1140" t="s">
        <v>5925</v>
      </c>
      <c r="I1140" s="88">
        <v>46141.751956018517</v>
      </c>
      <c r="J1140" t="s">
        <v>107</v>
      </c>
      <c r="K1140" t="s">
        <v>108</v>
      </c>
      <c r="L1140" t="s">
        <v>5927</v>
      </c>
      <c r="M1140" s="88">
        <v>46143.6722337963</v>
      </c>
      <c r="N1140" t="s">
        <v>637</v>
      </c>
      <c r="O1140" t="s">
        <v>112</v>
      </c>
      <c r="P1140" t="s">
        <v>111</v>
      </c>
      <c r="Q1140" t="s">
        <v>2085</v>
      </c>
      <c r="R1140">
        <v>12</v>
      </c>
      <c r="S1140" s="89">
        <v>9500</v>
      </c>
      <c r="T1140" s="89">
        <v>0</v>
      </c>
      <c r="U1140" s="89">
        <v>40060</v>
      </c>
      <c r="V1140" s="89">
        <v>40060</v>
      </c>
      <c r="W1140" s="89">
        <v>73940</v>
      </c>
    </row>
    <row r="1141" spans="1:23" ht="15.75" customHeight="1">
      <c r="A1141" t="s">
        <v>5928</v>
      </c>
      <c r="B1141" t="s">
        <v>5929</v>
      </c>
      <c r="C1141" s="88">
        <v>46146.437094907407</v>
      </c>
      <c r="D1141" t="s">
        <v>105</v>
      </c>
      <c r="E1141" t="s">
        <v>106</v>
      </c>
      <c r="F1141" t="s">
        <v>5930</v>
      </c>
      <c r="G1141" t="s">
        <v>5931</v>
      </c>
      <c r="H1141" t="s">
        <v>5930</v>
      </c>
      <c r="I1141" s="88">
        <v>46141.751851851848</v>
      </c>
      <c r="J1141" t="s">
        <v>107</v>
      </c>
      <c r="K1141" t="s">
        <v>108</v>
      </c>
      <c r="L1141" t="s">
        <v>5932</v>
      </c>
      <c r="M1141" s="88">
        <v>46143.46738425926</v>
      </c>
      <c r="N1141" t="s">
        <v>637</v>
      </c>
      <c r="O1141" t="s">
        <v>112</v>
      </c>
      <c r="P1141" t="s">
        <v>111</v>
      </c>
      <c r="Q1141" t="s">
        <v>2085</v>
      </c>
      <c r="R1141">
        <v>6</v>
      </c>
      <c r="S1141" s="89">
        <v>9500</v>
      </c>
      <c r="T1141" s="89">
        <v>0</v>
      </c>
      <c r="U1141" s="89">
        <v>19980</v>
      </c>
      <c r="V1141" s="89">
        <v>19980</v>
      </c>
      <c r="W1141" s="89">
        <v>37020</v>
      </c>
    </row>
    <row r="1142" spans="1:23" ht="15.75" customHeight="1">
      <c r="A1142" t="s">
        <v>5933</v>
      </c>
      <c r="B1142" t="s">
        <v>5934</v>
      </c>
      <c r="C1142" s="88">
        <v>46146.433483796296</v>
      </c>
      <c r="D1142" t="s">
        <v>105</v>
      </c>
      <c r="E1142" t="s">
        <v>106</v>
      </c>
      <c r="F1142" t="s">
        <v>5935</v>
      </c>
      <c r="G1142" t="s">
        <v>5936</v>
      </c>
      <c r="H1142" t="s">
        <v>5935</v>
      </c>
      <c r="I1142" s="88">
        <v>46140.633912037039</v>
      </c>
      <c r="J1142" t="s">
        <v>107</v>
      </c>
      <c r="K1142" t="s">
        <v>108</v>
      </c>
      <c r="L1142" t="s">
        <v>5937</v>
      </c>
      <c r="M1142" s="88">
        <v>46141.47384259259</v>
      </c>
      <c r="N1142" t="s">
        <v>637</v>
      </c>
      <c r="O1142" t="s">
        <v>112</v>
      </c>
      <c r="P1142" t="s">
        <v>111</v>
      </c>
      <c r="Q1142" t="s">
        <v>2085</v>
      </c>
      <c r="R1142">
        <v>6</v>
      </c>
      <c r="S1142" s="89">
        <v>9500</v>
      </c>
      <c r="T1142" s="89">
        <v>0</v>
      </c>
      <c r="U1142" s="89">
        <v>20080</v>
      </c>
      <c r="V1142" s="89">
        <v>20080</v>
      </c>
      <c r="W1142" s="89">
        <v>36920</v>
      </c>
    </row>
    <row r="1143" spans="1:23" ht="15.75" customHeight="1">
      <c r="A1143" t="s">
        <v>5938</v>
      </c>
      <c r="B1143" t="s">
        <v>5939</v>
      </c>
      <c r="C1143" s="88">
        <v>46146.426585648151</v>
      </c>
      <c r="D1143" t="s">
        <v>105</v>
      </c>
      <c r="E1143" t="s">
        <v>106</v>
      </c>
      <c r="F1143" t="s">
        <v>289</v>
      </c>
      <c r="G1143" t="s">
        <v>5940</v>
      </c>
      <c r="H1143" t="s">
        <v>289</v>
      </c>
      <c r="I1143" s="88">
        <v>46141.751909722225</v>
      </c>
      <c r="J1143" t="s">
        <v>107</v>
      </c>
      <c r="K1143" t="s">
        <v>108</v>
      </c>
      <c r="L1143" t="s">
        <v>5941</v>
      </c>
      <c r="M1143" s="88">
        <v>46143.672210648147</v>
      </c>
      <c r="N1143" t="s">
        <v>637</v>
      </c>
      <c r="O1143" t="s">
        <v>112</v>
      </c>
      <c r="P1143" t="s">
        <v>111</v>
      </c>
      <c r="Q1143" t="s">
        <v>2085</v>
      </c>
      <c r="R1143">
        <v>1</v>
      </c>
      <c r="S1143" s="89">
        <v>9500</v>
      </c>
      <c r="T1143" s="89">
        <v>0</v>
      </c>
      <c r="U1143" s="89">
        <v>2190</v>
      </c>
      <c r="V1143" s="89">
        <v>2190</v>
      </c>
      <c r="W1143" s="89">
        <v>7310</v>
      </c>
    </row>
    <row r="1144" spans="1:23" ht="15.75" customHeight="1">
      <c r="A1144" t="s">
        <v>5942</v>
      </c>
      <c r="B1144" t="s">
        <v>5943</v>
      </c>
      <c r="C1144" s="88">
        <v>46146.419699074075</v>
      </c>
      <c r="D1144" t="s">
        <v>105</v>
      </c>
      <c r="E1144" t="s">
        <v>106</v>
      </c>
      <c r="F1144" t="s">
        <v>5944</v>
      </c>
      <c r="G1144" t="s">
        <v>5945</v>
      </c>
      <c r="H1144" t="s">
        <v>5944</v>
      </c>
      <c r="I1144" s="88">
        <v>46141.751956018517</v>
      </c>
      <c r="J1144" t="s">
        <v>107</v>
      </c>
      <c r="K1144" t="s">
        <v>108</v>
      </c>
      <c r="L1144" t="s">
        <v>5946</v>
      </c>
      <c r="M1144" s="88">
        <v>46143.463912037041</v>
      </c>
      <c r="N1144" t="s">
        <v>637</v>
      </c>
      <c r="O1144" t="s">
        <v>112</v>
      </c>
      <c r="P1144" t="s">
        <v>111</v>
      </c>
      <c r="Q1144" t="s">
        <v>2085</v>
      </c>
      <c r="R1144">
        <v>5</v>
      </c>
      <c r="S1144" s="89">
        <v>9500</v>
      </c>
      <c r="T1144" s="89">
        <v>0</v>
      </c>
      <c r="U1144" s="89">
        <v>10550</v>
      </c>
      <c r="V1144" s="89">
        <v>10550</v>
      </c>
      <c r="W1144" s="89">
        <v>36950</v>
      </c>
    </row>
    <row r="1145" spans="1:23" ht="15.75" customHeight="1">
      <c r="A1145" t="s">
        <v>5947</v>
      </c>
      <c r="B1145" t="s">
        <v>5948</v>
      </c>
      <c r="C1145" s="88">
        <v>46146.404444444444</v>
      </c>
      <c r="D1145" t="s">
        <v>105</v>
      </c>
      <c r="E1145" t="s">
        <v>106</v>
      </c>
      <c r="F1145" t="s">
        <v>5949</v>
      </c>
      <c r="G1145" t="s">
        <v>5950</v>
      </c>
      <c r="H1145" t="s">
        <v>5949</v>
      </c>
      <c r="I1145" s="88">
        <v>46141.751909722225</v>
      </c>
      <c r="J1145" t="s">
        <v>107</v>
      </c>
      <c r="K1145" t="s">
        <v>108</v>
      </c>
      <c r="L1145" t="s">
        <v>5951</v>
      </c>
      <c r="M1145" s="88">
        <v>46143.46597222222</v>
      </c>
      <c r="N1145" t="s">
        <v>637</v>
      </c>
      <c r="O1145" t="s">
        <v>112</v>
      </c>
      <c r="P1145" t="s">
        <v>111</v>
      </c>
      <c r="Q1145" t="s">
        <v>2085</v>
      </c>
      <c r="R1145">
        <v>3</v>
      </c>
      <c r="S1145" s="89">
        <v>9500</v>
      </c>
      <c r="T1145" s="89">
        <v>0</v>
      </c>
      <c r="U1145" s="89">
        <v>6370</v>
      </c>
      <c r="V1145" s="89">
        <v>6370</v>
      </c>
      <c r="W1145" s="89">
        <v>22130</v>
      </c>
    </row>
    <row r="1146" spans="1:23" ht="15.75" customHeight="1">
      <c r="A1146" t="s">
        <v>5952</v>
      </c>
      <c r="B1146" t="s">
        <v>5953</v>
      </c>
      <c r="C1146" s="88">
        <v>46146.391516203701</v>
      </c>
      <c r="D1146" t="s">
        <v>105</v>
      </c>
      <c r="E1146" t="s">
        <v>106</v>
      </c>
      <c r="F1146" t="s">
        <v>5954</v>
      </c>
      <c r="G1146" t="s">
        <v>5955</v>
      </c>
      <c r="H1146" t="s">
        <v>5954</v>
      </c>
      <c r="I1146" s="88">
        <v>46141.751932870371</v>
      </c>
      <c r="J1146" t="s">
        <v>107</v>
      </c>
      <c r="K1146" t="s">
        <v>108</v>
      </c>
      <c r="L1146" t="s">
        <v>5956</v>
      </c>
      <c r="M1146" s="88">
        <v>46143.54586805556</v>
      </c>
      <c r="N1146" t="s">
        <v>637</v>
      </c>
      <c r="O1146" t="s">
        <v>112</v>
      </c>
      <c r="P1146" t="s">
        <v>111</v>
      </c>
      <c r="Q1146" t="s">
        <v>2085</v>
      </c>
      <c r="R1146">
        <v>3</v>
      </c>
      <c r="S1146" s="89">
        <v>9500</v>
      </c>
      <c r="T1146" s="89">
        <v>0</v>
      </c>
      <c r="U1146" s="89">
        <v>6370</v>
      </c>
      <c r="V1146" s="89">
        <v>6370</v>
      </c>
      <c r="W1146" s="89">
        <v>22130</v>
      </c>
    </row>
    <row r="1147" spans="1:23" ht="15.75" customHeight="1">
      <c r="A1147" t="s">
        <v>5957</v>
      </c>
      <c r="B1147" t="s">
        <v>5958</v>
      </c>
      <c r="C1147" s="88">
        <v>46146.390543981484</v>
      </c>
      <c r="D1147" t="s">
        <v>105</v>
      </c>
      <c r="E1147" t="s">
        <v>106</v>
      </c>
      <c r="F1147" t="s">
        <v>5959</v>
      </c>
      <c r="G1147" t="s">
        <v>5960</v>
      </c>
      <c r="H1147" t="s">
        <v>5959</v>
      </c>
      <c r="I1147" s="88">
        <v>46141.751956018517</v>
      </c>
      <c r="J1147" t="s">
        <v>107</v>
      </c>
      <c r="K1147" t="s">
        <v>108</v>
      </c>
      <c r="L1147" t="s">
        <v>5961</v>
      </c>
      <c r="M1147" s="88">
        <v>46143.461111111115</v>
      </c>
      <c r="N1147" t="s">
        <v>637</v>
      </c>
      <c r="O1147" t="s">
        <v>112</v>
      </c>
      <c r="P1147" t="s">
        <v>111</v>
      </c>
      <c r="Q1147" t="s">
        <v>2085</v>
      </c>
      <c r="R1147">
        <v>7</v>
      </c>
      <c r="S1147" s="89">
        <v>9500</v>
      </c>
      <c r="T1147" s="89">
        <v>0</v>
      </c>
      <c r="U1147" s="89">
        <v>26410</v>
      </c>
      <c r="V1147" s="89">
        <v>23410</v>
      </c>
      <c r="W1147" s="89">
        <v>40090</v>
      </c>
    </row>
    <row r="1148" spans="1:23" ht="15.75" customHeight="1">
      <c r="A1148" t="s">
        <v>5962</v>
      </c>
      <c r="B1148" t="s">
        <v>5963</v>
      </c>
      <c r="C1148" s="88">
        <v>46146.38208333333</v>
      </c>
      <c r="D1148" t="s">
        <v>105</v>
      </c>
      <c r="E1148" t="s">
        <v>106</v>
      </c>
      <c r="F1148" t="s">
        <v>149</v>
      </c>
      <c r="G1148" t="s">
        <v>5964</v>
      </c>
      <c r="H1148" t="s">
        <v>149</v>
      </c>
      <c r="I1148" s="88">
        <v>46141.751886574071</v>
      </c>
      <c r="J1148" t="s">
        <v>107</v>
      </c>
      <c r="K1148" t="s">
        <v>108</v>
      </c>
      <c r="L1148" t="s">
        <v>5965</v>
      </c>
      <c r="M1148" s="88">
        <v>46143.463912037041</v>
      </c>
      <c r="N1148" t="s">
        <v>637</v>
      </c>
      <c r="O1148" t="s">
        <v>112</v>
      </c>
      <c r="P1148" t="s">
        <v>111</v>
      </c>
      <c r="Q1148" t="s">
        <v>2085</v>
      </c>
      <c r="R1148">
        <v>6</v>
      </c>
      <c r="S1148" s="89">
        <v>9500</v>
      </c>
      <c r="T1148" s="89">
        <v>0</v>
      </c>
      <c r="U1148" s="89">
        <v>20080</v>
      </c>
      <c r="V1148" s="89">
        <v>20080</v>
      </c>
      <c r="W1148" s="89">
        <v>36920</v>
      </c>
    </row>
    <row r="1149" spans="1:23" ht="15.75" customHeight="1">
      <c r="A1149" t="s">
        <v>5966</v>
      </c>
      <c r="B1149" t="s">
        <v>5967</v>
      </c>
      <c r="C1149" s="88">
        <v>46146.380601851852</v>
      </c>
      <c r="D1149" t="s">
        <v>105</v>
      </c>
      <c r="E1149" t="s">
        <v>106</v>
      </c>
      <c r="F1149" t="s">
        <v>5968</v>
      </c>
      <c r="G1149" t="s">
        <v>5969</v>
      </c>
      <c r="H1149" t="s">
        <v>5968</v>
      </c>
      <c r="I1149" s="88">
        <v>46141.751956018517</v>
      </c>
      <c r="J1149" t="s">
        <v>107</v>
      </c>
      <c r="K1149" t="s">
        <v>108</v>
      </c>
      <c r="L1149" t="s">
        <v>5970</v>
      </c>
      <c r="M1149" s="88">
        <v>46143.672905092593</v>
      </c>
      <c r="N1149" t="s">
        <v>637</v>
      </c>
      <c r="O1149" t="s">
        <v>112</v>
      </c>
      <c r="P1149" t="s">
        <v>111</v>
      </c>
      <c r="Q1149" t="s">
        <v>2085</v>
      </c>
      <c r="R1149">
        <v>6</v>
      </c>
      <c r="S1149" s="89">
        <v>9500</v>
      </c>
      <c r="T1149" s="89">
        <v>0</v>
      </c>
      <c r="U1149" s="89">
        <v>20080</v>
      </c>
      <c r="V1149" s="89">
        <v>20080</v>
      </c>
      <c r="W1149" s="89">
        <v>36920</v>
      </c>
    </row>
    <row r="1150" spans="1:23" ht="15.75" customHeight="1">
      <c r="A1150" t="s">
        <v>5971</v>
      </c>
      <c r="B1150" t="s">
        <v>5972</v>
      </c>
      <c r="C1150" s="88">
        <v>46146.378842592589</v>
      </c>
      <c r="D1150" t="s">
        <v>105</v>
      </c>
      <c r="E1150" t="s">
        <v>106</v>
      </c>
      <c r="F1150" t="s">
        <v>5973</v>
      </c>
      <c r="G1150" t="s">
        <v>5974</v>
      </c>
      <c r="H1150" t="s">
        <v>5973</v>
      </c>
      <c r="I1150" s="88">
        <v>46141.751851851848</v>
      </c>
      <c r="J1150" t="s">
        <v>107</v>
      </c>
      <c r="K1150" t="s">
        <v>108</v>
      </c>
      <c r="L1150" t="s">
        <v>5975</v>
      </c>
      <c r="M1150" s="88">
        <v>46143.67224537037</v>
      </c>
      <c r="N1150" t="s">
        <v>637</v>
      </c>
      <c r="O1150" t="s">
        <v>112</v>
      </c>
      <c r="P1150" t="s">
        <v>111</v>
      </c>
      <c r="Q1150" t="s">
        <v>2085</v>
      </c>
      <c r="R1150">
        <v>5</v>
      </c>
      <c r="S1150" s="89">
        <v>9500</v>
      </c>
      <c r="T1150" s="89">
        <v>0</v>
      </c>
      <c r="U1150" s="89">
        <v>10550</v>
      </c>
      <c r="V1150" s="89">
        <v>10550</v>
      </c>
      <c r="W1150" s="89">
        <v>36950</v>
      </c>
    </row>
    <row r="1151" spans="1:23" ht="15.75" customHeight="1">
      <c r="A1151" t="s">
        <v>5976</v>
      </c>
      <c r="B1151" t="s">
        <v>5977</v>
      </c>
      <c r="C1151" s="88">
        <v>46146.378738425927</v>
      </c>
      <c r="D1151" t="s">
        <v>105</v>
      </c>
      <c r="E1151" t="s">
        <v>106</v>
      </c>
      <c r="F1151" t="s">
        <v>282</v>
      </c>
      <c r="G1151" t="s">
        <v>5978</v>
      </c>
      <c r="H1151" t="s">
        <v>282</v>
      </c>
      <c r="I1151" s="88">
        <v>46141.751863425925</v>
      </c>
      <c r="J1151" t="s">
        <v>107</v>
      </c>
      <c r="K1151" t="s">
        <v>108</v>
      </c>
      <c r="L1151" t="s">
        <v>5979</v>
      </c>
      <c r="M1151" s="88">
        <v>46143.524212962962</v>
      </c>
      <c r="N1151" t="s">
        <v>637</v>
      </c>
      <c r="O1151" t="s">
        <v>112</v>
      </c>
      <c r="P1151" t="s">
        <v>111</v>
      </c>
      <c r="Q1151" t="s">
        <v>2085</v>
      </c>
      <c r="R1151">
        <v>6</v>
      </c>
      <c r="S1151" s="89">
        <v>9500</v>
      </c>
      <c r="T1151" s="89">
        <v>0</v>
      </c>
      <c r="U1151" s="89">
        <v>19980</v>
      </c>
      <c r="V1151" s="89">
        <v>19980</v>
      </c>
      <c r="W1151" s="89">
        <v>37020</v>
      </c>
    </row>
    <row r="1152" spans="1:23" ht="15.75" customHeight="1">
      <c r="A1152" t="s">
        <v>5980</v>
      </c>
      <c r="B1152" t="s">
        <v>5981</v>
      </c>
      <c r="C1152" s="88">
        <v>46146.378495370373</v>
      </c>
      <c r="D1152" t="s">
        <v>105</v>
      </c>
      <c r="E1152" t="s">
        <v>106</v>
      </c>
      <c r="F1152" t="s">
        <v>5982</v>
      </c>
      <c r="G1152" t="s">
        <v>5983</v>
      </c>
      <c r="H1152" t="s">
        <v>5982</v>
      </c>
      <c r="I1152" s="88">
        <v>46141.751909722225</v>
      </c>
      <c r="J1152" t="s">
        <v>107</v>
      </c>
      <c r="K1152" t="s">
        <v>108</v>
      </c>
      <c r="L1152" t="s">
        <v>5984</v>
      </c>
      <c r="M1152" s="88">
        <v>46143.461111111115</v>
      </c>
      <c r="N1152" t="s">
        <v>637</v>
      </c>
      <c r="O1152" t="s">
        <v>112</v>
      </c>
      <c r="P1152" t="s">
        <v>111</v>
      </c>
      <c r="Q1152" t="s">
        <v>2085</v>
      </c>
      <c r="R1152">
        <v>2</v>
      </c>
      <c r="S1152" s="89">
        <v>9500</v>
      </c>
      <c r="T1152" s="89">
        <v>0</v>
      </c>
      <c r="U1152" s="89">
        <v>4280</v>
      </c>
      <c r="V1152" s="89">
        <v>4280</v>
      </c>
      <c r="W1152" s="89">
        <v>14720</v>
      </c>
    </row>
    <row r="1153" spans="1:23" ht="15.75" customHeight="1">
      <c r="A1153" t="s">
        <v>5985</v>
      </c>
      <c r="B1153" t="s">
        <v>5986</v>
      </c>
      <c r="C1153" s="88">
        <v>46146.378483796296</v>
      </c>
      <c r="D1153" t="s">
        <v>105</v>
      </c>
      <c r="E1153" t="s">
        <v>106</v>
      </c>
      <c r="F1153" t="s">
        <v>5987</v>
      </c>
      <c r="G1153" t="s">
        <v>2690</v>
      </c>
      <c r="H1153" t="s">
        <v>5987</v>
      </c>
      <c r="I1153" s="88">
        <v>46141.751956018517</v>
      </c>
      <c r="J1153" t="s">
        <v>107</v>
      </c>
      <c r="K1153" t="s">
        <v>108</v>
      </c>
      <c r="L1153" t="s">
        <v>5988</v>
      </c>
      <c r="M1153" s="88">
        <v>46143.461111111115</v>
      </c>
      <c r="N1153" t="s">
        <v>637</v>
      </c>
      <c r="O1153" t="s">
        <v>112</v>
      </c>
      <c r="P1153" t="s">
        <v>111</v>
      </c>
      <c r="Q1153" t="s">
        <v>2085</v>
      </c>
      <c r="R1153">
        <v>4</v>
      </c>
      <c r="S1153" s="89">
        <v>9500</v>
      </c>
      <c r="T1153" s="89">
        <v>0</v>
      </c>
      <c r="U1153" s="89">
        <v>8460</v>
      </c>
      <c r="V1153" s="89">
        <v>8460</v>
      </c>
      <c r="W1153" s="89">
        <v>29540</v>
      </c>
    </row>
    <row r="1154" spans="1:23" ht="15.75" customHeight="1">
      <c r="A1154" t="s">
        <v>5989</v>
      </c>
      <c r="B1154" t="s">
        <v>5990</v>
      </c>
      <c r="C1154" s="88">
        <v>46146.378009259264</v>
      </c>
      <c r="D1154" t="s">
        <v>105</v>
      </c>
      <c r="E1154" t="s">
        <v>106</v>
      </c>
      <c r="F1154" t="s">
        <v>5991</v>
      </c>
      <c r="G1154" t="s">
        <v>5992</v>
      </c>
      <c r="H1154" t="s">
        <v>5991</v>
      </c>
      <c r="I1154" s="88">
        <v>46141.751840277779</v>
      </c>
      <c r="J1154" t="s">
        <v>107</v>
      </c>
      <c r="K1154" t="s">
        <v>108</v>
      </c>
      <c r="L1154" t="s">
        <v>5993</v>
      </c>
      <c r="M1154" s="88">
        <v>46143.463912037041</v>
      </c>
      <c r="N1154" t="s">
        <v>637</v>
      </c>
      <c r="O1154" t="s">
        <v>112</v>
      </c>
      <c r="P1154" t="s">
        <v>111</v>
      </c>
      <c r="Q1154" t="s">
        <v>2085</v>
      </c>
      <c r="R1154">
        <v>6</v>
      </c>
      <c r="S1154" s="89">
        <v>9500</v>
      </c>
      <c r="T1154" s="89">
        <v>0</v>
      </c>
      <c r="U1154" s="89">
        <v>20080</v>
      </c>
      <c r="V1154" s="89">
        <v>20080</v>
      </c>
      <c r="W1154" s="89">
        <v>36920</v>
      </c>
    </row>
    <row r="1155" spans="1:23" ht="15.75" customHeight="1">
      <c r="A1155" t="s">
        <v>5994</v>
      </c>
      <c r="B1155" t="s">
        <v>5995</v>
      </c>
      <c r="C1155" s="88">
        <v>46146.312881944439</v>
      </c>
      <c r="D1155" t="s">
        <v>105</v>
      </c>
      <c r="E1155" t="s">
        <v>106</v>
      </c>
      <c r="F1155" t="s">
        <v>5996</v>
      </c>
      <c r="G1155" t="s">
        <v>5997</v>
      </c>
      <c r="H1155" t="s">
        <v>5996</v>
      </c>
      <c r="I1155" s="88">
        <v>46140.633912037039</v>
      </c>
      <c r="J1155" t="s">
        <v>107</v>
      </c>
      <c r="K1155" t="s">
        <v>108</v>
      </c>
      <c r="L1155" t="s">
        <v>5998</v>
      </c>
      <c r="M1155" s="88">
        <v>46141.679942129631</v>
      </c>
      <c r="N1155" t="s">
        <v>637</v>
      </c>
      <c r="O1155" t="s">
        <v>112</v>
      </c>
      <c r="P1155" t="s">
        <v>111</v>
      </c>
      <c r="Q1155" t="s">
        <v>2085</v>
      </c>
      <c r="R1155">
        <v>6</v>
      </c>
      <c r="S1155" s="89">
        <v>9500</v>
      </c>
      <c r="T1155" s="89">
        <v>0</v>
      </c>
      <c r="U1155" s="89">
        <v>20080</v>
      </c>
      <c r="V1155" s="89">
        <v>20080</v>
      </c>
      <c r="W1155" s="89">
        <v>36920</v>
      </c>
    </row>
    <row r="1156" spans="1:23" ht="15.75" customHeight="1">
      <c r="A1156" t="s">
        <v>5999</v>
      </c>
      <c r="B1156" t="s">
        <v>6000</v>
      </c>
      <c r="C1156" s="88">
        <v>46146.127916666665</v>
      </c>
      <c r="D1156" t="s">
        <v>105</v>
      </c>
      <c r="E1156" t="s">
        <v>106</v>
      </c>
      <c r="F1156" t="s">
        <v>381</v>
      </c>
      <c r="G1156" t="s">
        <v>6001</v>
      </c>
      <c r="H1156" t="s">
        <v>381</v>
      </c>
      <c r="I1156" s="88">
        <v>46143.714687500003</v>
      </c>
      <c r="J1156" t="s">
        <v>107</v>
      </c>
      <c r="K1156" t="s">
        <v>108</v>
      </c>
      <c r="L1156" t="s">
        <v>6002</v>
      </c>
      <c r="M1156" s="88">
        <v>46146.442384259259</v>
      </c>
      <c r="N1156" t="s">
        <v>637</v>
      </c>
      <c r="O1156" t="s">
        <v>112</v>
      </c>
      <c r="P1156" t="s">
        <v>111</v>
      </c>
      <c r="Q1156" t="s">
        <v>1587</v>
      </c>
      <c r="R1156">
        <v>6</v>
      </c>
      <c r="S1156" s="89">
        <v>9500</v>
      </c>
      <c r="T1156" s="89">
        <v>0</v>
      </c>
      <c r="U1156" s="89">
        <v>20080</v>
      </c>
      <c r="V1156" s="89">
        <v>20080</v>
      </c>
      <c r="W1156" s="89">
        <v>36920</v>
      </c>
    </row>
    <row r="1157" spans="1:23" ht="15.75" customHeight="1">
      <c r="A1157" t="s">
        <v>6003</v>
      </c>
      <c r="B1157" t="s">
        <v>6004</v>
      </c>
      <c r="C1157" s="88">
        <v>46146.02208333333</v>
      </c>
      <c r="D1157" t="s">
        <v>105</v>
      </c>
      <c r="E1157" t="s">
        <v>106</v>
      </c>
      <c r="F1157" t="s">
        <v>6005</v>
      </c>
      <c r="G1157" t="s">
        <v>6006</v>
      </c>
      <c r="H1157" t="s">
        <v>6005</v>
      </c>
      <c r="I1157" s="88">
        <v>46141.751909722225</v>
      </c>
      <c r="J1157" t="s">
        <v>107</v>
      </c>
      <c r="K1157" t="s">
        <v>108</v>
      </c>
      <c r="L1157" t="s">
        <v>6007</v>
      </c>
      <c r="M1157" s="88">
        <v>46143.463912037041</v>
      </c>
      <c r="N1157" t="s">
        <v>637</v>
      </c>
      <c r="O1157" t="s">
        <v>112</v>
      </c>
      <c r="P1157" t="s">
        <v>111</v>
      </c>
      <c r="Q1157" t="s">
        <v>2085</v>
      </c>
      <c r="R1157">
        <v>2</v>
      </c>
      <c r="S1157" s="89">
        <v>9500</v>
      </c>
      <c r="T1157" s="89">
        <v>0</v>
      </c>
      <c r="U1157" s="89">
        <v>4180</v>
      </c>
      <c r="V1157" s="89">
        <v>4180</v>
      </c>
      <c r="W1157" s="89">
        <v>14820</v>
      </c>
    </row>
    <row r="1158" spans="1:23" ht="15.75" customHeight="1">
      <c r="A1158" t="s">
        <v>6008</v>
      </c>
      <c r="B1158" t="s">
        <v>6009</v>
      </c>
      <c r="C1158" s="88">
        <v>46146.017905092594</v>
      </c>
      <c r="D1158" t="s">
        <v>105</v>
      </c>
      <c r="E1158" t="s">
        <v>106</v>
      </c>
      <c r="F1158" t="s">
        <v>6005</v>
      </c>
      <c r="G1158" t="s">
        <v>6006</v>
      </c>
      <c r="H1158" t="s">
        <v>6005</v>
      </c>
      <c r="I1158" s="88">
        <v>46141.751909722225</v>
      </c>
      <c r="J1158" t="s">
        <v>107</v>
      </c>
      <c r="K1158" t="s">
        <v>108</v>
      </c>
      <c r="L1158" t="s">
        <v>6007</v>
      </c>
      <c r="M1158" s="88">
        <v>46143.463912037041</v>
      </c>
      <c r="N1158" t="s">
        <v>637</v>
      </c>
      <c r="O1158" t="s">
        <v>112</v>
      </c>
      <c r="P1158" t="s">
        <v>111</v>
      </c>
      <c r="Q1158" t="s">
        <v>2085</v>
      </c>
      <c r="R1158">
        <v>2</v>
      </c>
      <c r="S1158" s="89">
        <v>9500</v>
      </c>
      <c r="T1158" s="89">
        <v>0</v>
      </c>
      <c r="U1158" s="89">
        <v>4180</v>
      </c>
      <c r="V1158" s="89">
        <v>4180</v>
      </c>
      <c r="W1158" s="89">
        <v>14820</v>
      </c>
    </row>
    <row r="1159" spans="1:23" ht="15.75" customHeight="1">
      <c r="A1159" t="s">
        <v>6010</v>
      </c>
      <c r="B1159" t="s">
        <v>6011</v>
      </c>
      <c r="C1159" s="88">
        <v>46145.954629629632</v>
      </c>
      <c r="D1159" t="s">
        <v>105</v>
      </c>
      <c r="E1159" t="s">
        <v>106</v>
      </c>
      <c r="F1159" t="s">
        <v>322</v>
      </c>
      <c r="G1159" t="s">
        <v>6012</v>
      </c>
      <c r="H1159" t="s">
        <v>322</v>
      </c>
      <c r="I1159" s="88">
        <v>46141.751886574071</v>
      </c>
      <c r="J1159" t="s">
        <v>107</v>
      </c>
      <c r="K1159" t="s">
        <v>108</v>
      </c>
      <c r="L1159" t="s">
        <v>6013</v>
      </c>
      <c r="M1159" s="88">
        <v>46143.670844907407</v>
      </c>
      <c r="N1159" t="s">
        <v>637</v>
      </c>
      <c r="O1159" t="s">
        <v>112</v>
      </c>
      <c r="P1159" t="s">
        <v>111</v>
      </c>
      <c r="Q1159" t="s">
        <v>2085</v>
      </c>
      <c r="R1159">
        <v>6</v>
      </c>
      <c r="S1159" s="89">
        <v>9500</v>
      </c>
      <c r="T1159" s="89">
        <v>0</v>
      </c>
      <c r="U1159" s="89">
        <v>20080</v>
      </c>
      <c r="V1159" s="89">
        <v>20080</v>
      </c>
      <c r="W1159" s="89">
        <v>36920</v>
      </c>
    </row>
    <row r="1160" spans="1:23" ht="15.75" customHeight="1">
      <c r="A1160" t="s">
        <v>6014</v>
      </c>
      <c r="B1160" t="s">
        <v>6015</v>
      </c>
      <c r="C1160" s="88">
        <v>46145.929432870369</v>
      </c>
      <c r="D1160" t="s">
        <v>105</v>
      </c>
      <c r="E1160" t="s">
        <v>106</v>
      </c>
      <c r="F1160" t="s">
        <v>6016</v>
      </c>
      <c r="G1160" t="s">
        <v>6017</v>
      </c>
      <c r="H1160" t="s">
        <v>6016</v>
      </c>
      <c r="I1160" s="88">
        <v>46141.751886574071</v>
      </c>
      <c r="J1160" t="s">
        <v>107</v>
      </c>
      <c r="K1160" t="s">
        <v>108</v>
      </c>
      <c r="L1160" t="s">
        <v>6018</v>
      </c>
      <c r="M1160" s="88">
        <v>46143.54587962963</v>
      </c>
      <c r="N1160" t="s">
        <v>637</v>
      </c>
      <c r="O1160" t="s">
        <v>112</v>
      </c>
      <c r="P1160" t="s">
        <v>111</v>
      </c>
      <c r="Q1160" t="s">
        <v>2085</v>
      </c>
      <c r="R1160">
        <v>2</v>
      </c>
      <c r="S1160" s="89">
        <v>9500</v>
      </c>
      <c r="T1160" s="89">
        <v>0</v>
      </c>
      <c r="U1160" s="89">
        <v>4280</v>
      </c>
      <c r="V1160" s="89">
        <v>4280</v>
      </c>
      <c r="W1160" s="89">
        <v>14720</v>
      </c>
    </row>
    <row r="1161" spans="1:23" ht="15.75" customHeight="1">
      <c r="A1161" t="s">
        <v>6019</v>
      </c>
      <c r="B1161" t="s">
        <v>6020</v>
      </c>
      <c r="C1161" s="88">
        <v>46145.92763888889</v>
      </c>
      <c r="D1161" t="s">
        <v>105</v>
      </c>
      <c r="E1161" t="s">
        <v>106</v>
      </c>
      <c r="F1161" t="s">
        <v>6021</v>
      </c>
      <c r="G1161" t="s">
        <v>4897</v>
      </c>
      <c r="H1161" t="s">
        <v>6021</v>
      </c>
      <c r="I1161" s="88">
        <v>46141.751956018517</v>
      </c>
      <c r="J1161" t="s">
        <v>107</v>
      </c>
      <c r="K1161" t="s">
        <v>108</v>
      </c>
      <c r="L1161" t="s">
        <v>6022</v>
      </c>
      <c r="M1161" s="88">
        <v>46143.549409722225</v>
      </c>
      <c r="N1161" t="s">
        <v>637</v>
      </c>
      <c r="O1161" t="s">
        <v>112</v>
      </c>
      <c r="P1161" t="s">
        <v>111</v>
      </c>
      <c r="Q1161" t="s">
        <v>2085</v>
      </c>
      <c r="R1161">
        <v>3</v>
      </c>
      <c r="S1161" s="89">
        <v>9500</v>
      </c>
      <c r="T1161" s="89">
        <v>0</v>
      </c>
      <c r="U1161" s="89">
        <v>6270</v>
      </c>
      <c r="V1161" s="89">
        <v>6270</v>
      </c>
      <c r="W1161" s="89">
        <v>22230</v>
      </c>
    </row>
    <row r="1162" spans="1:23" ht="15.75" customHeight="1">
      <c r="A1162" t="s">
        <v>6023</v>
      </c>
      <c r="B1162" t="s">
        <v>6024</v>
      </c>
      <c r="C1162" s="88">
        <v>46145.813067129631</v>
      </c>
      <c r="D1162" t="s">
        <v>105</v>
      </c>
      <c r="E1162" t="s">
        <v>106</v>
      </c>
      <c r="F1162" t="s">
        <v>6025</v>
      </c>
      <c r="G1162" t="s">
        <v>6026</v>
      </c>
      <c r="H1162" t="s">
        <v>6025</v>
      </c>
      <c r="I1162" s="88">
        <v>46141.751840277779</v>
      </c>
      <c r="J1162" t="s">
        <v>107</v>
      </c>
      <c r="K1162" t="s">
        <v>108</v>
      </c>
      <c r="L1162" t="s">
        <v>6027</v>
      </c>
      <c r="M1162" s="88">
        <v>46143.54587962963</v>
      </c>
      <c r="N1162" t="s">
        <v>637</v>
      </c>
      <c r="O1162" t="s">
        <v>112</v>
      </c>
      <c r="P1162" t="s">
        <v>111</v>
      </c>
      <c r="Q1162" t="s">
        <v>2085</v>
      </c>
      <c r="R1162">
        <v>6</v>
      </c>
      <c r="S1162" s="89">
        <v>9500</v>
      </c>
      <c r="T1162" s="89">
        <v>0</v>
      </c>
      <c r="U1162" s="89">
        <v>20080</v>
      </c>
      <c r="V1162" s="89">
        <v>20080</v>
      </c>
      <c r="W1162" s="89">
        <v>36920</v>
      </c>
    </row>
    <row r="1163" spans="1:23" ht="15.75" customHeight="1">
      <c r="A1163" t="s">
        <v>6028</v>
      </c>
      <c r="B1163" t="s">
        <v>6029</v>
      </c>
      <c r="C1163" s="88">
        <v>46145.749548611115</v>
      </c>
      <c r="D1163" t="s">
        <v>105</v>
      </c>
      <c r="E1163" t="s">
        <v>106</v>
      </c>
      <c r="F1163" t="s">
        <v>1370</v>
      </c>
      <c r="G1163" t="s">
        <v>6030</v>
      </c>
      <c r="H1163" t="s">
        <v>1370</v>
      </c>
      <c r="I1163" s="88">
        <v>46141.751932870371</v>
      </c>
      <c r="J1163" t="s">
        <v>107</v>
      </c>
      <c r="K1163" t="s">
        <v>108</v>
      </c>
      <c r="L1163" t="s">
        <v>6031</v>
      </c>
      <c r="M1163" s="88">
        <v>46143.465960648144</v>
      </c>
      <c r="N1163" t="s">
        <v>637</v>
      </c>
      <c r="O1163" t="s">
        <v>112</v>
      </c>
      <c r="P1163" t="s">
        <v>111</v>
      </c>
      <c r="Q1163" t="s">
        <v>2085</v>
      </c>
      <c r="R1163">
        <v>4</v>
      </c>
      <c r="S1163" s="89">
        <v>9500</v>
      </c>
      <c r="T1163" s="89">
        <v>0</v>
      </c>
      <c r="U1163" s="89">
        <v>8360</v>
      </c>
      <c r="V1163" s="89">
        <v>8360</v>
      </c>
      <c r="W1163" s="89">
        <v>29640</v>
      </c>
    </row>
    <row r="1164" spans="1:23" ht="15.75" customHeight="1">
      <c r="A1164" t="s">
        <v>6032</v>
      </c>
      <c r="B1164" t="s">
        <v>156</v>
      </c>
      <c r="C1164" s="88">
        <v>46145.723194444443</v>
      </c>
      <c r="D1164" t="s">
        <v>105</v>
      </c>
      <c r="E1164" t="s">
        <v>106</v>
      </c>
      <c r="F1164" t="s">
        <v>157</v>
      </c>
      <c r="G1164" t="s">
        <v>158</v>
      </c>
      <c r="H1164" t="s">
        <v>157</v>
      </c>
      <c r="I1164" s="88">
        <v>46141.751932870371</v>
      </c>
      <c r="J1164" t="s">
        <v>107</v>
      </c>
      <c r="K1164" t="s">
        <v>108</v>
      </c>
      <c r="L1164" t="s">
        <v>6033</v>
      </c>
      <c r="M1164" s="88">
        <v>46143.524212962962</v>
      </c>
      <c r="N1164" t="s">
        <v>637</v>
      </c>
      <c r="O1164" t="s">
        <v>112</v>
      </c>
      <c r="P1164" t="s">
        <v>111</v>
      </c>
      <c r="Q1164" t="s">
        <v>2085</v>
      </c>
      <c r="R1164">
        <v>6</v>
      </c>
      <c r="S1164" s="89">
        <v>9500</v>
      </c>
      <c r="T1164" s="89">
        <v>0</v>
      </c>
      <c r="U1164" s="89">
        <v>19980</v>
      </c>
      <c r="V1164" s="89">
        <v>19980</v>
      </c>
      <c r="W1164" s="89">
        <v>37020</v>
      </c>
    </row>
    <row r="1165" spans="1:23" ht="15.75" customHeight="1">
      <c r="A1165" t="s">
        <v>6034</v>
      </c>
      <c r="B1165" t="s">
        <v>6035</v>
      </c>
      <c r="C1165" s="88">
        <v>46145.7028587963</v>
      </c>
      <c r="D1165" t="s">
        <v>105</v>
      </c>
      <c r="E1165" t="s">
        <v>106</v>
      </c>
      <c r="F1165" t="s">
        <v>206</v>
      </c>
      <c r="G1165" t="s">
        <v>6036</v>
      </c>
      <c r="H1165" t="s">
        <v>206</v>
      </c>
      <c r="I1165" s="88">
        <v>46141.751851851848</v>
      </c>
      <c r="J1165" t="s">
        <v>107</v>
      </c>
      <c r="K1165" t="s">
        <v>108</v>
      </c>
      <c r="L1165" t="s">
        <v>6037</v>
      </c>
      <c r="M1165" s="88">
        <v>46143.54587962963</v>
      </c>
      <c r="N1165" t="s">
        <v>637</v>
      </c>
      <c r="O1165" t="s">
        <v>112</v>
      </c>
      <c r="P1165" t="s">
        <v>111</v>
      </c>
      <c r="Q1165" t="s">
        <v>2085</v>
      </c>
      <c r="R1165">
        <v>6</v>
      </c>
      <c r="S1165" s="89">
        <v>9500</v>
      </c>
      <c r="T1165" s="89">
        <v>0</v>
      </c>
      <c r="U1165" s="89">
        <v>20080</v>
      </c>
      <c r="V1165" s="89">
        <v>20080</v>
      </c>
      <c r="W1165" s="89">
        <v>36920</v>
      </c>
    </row>
    <row r="1166" spans="1:23" ht="15.75" customHeight="1">
      <c r="A1166" t="s">
        <v>6038</v>
      </c>
      <c r="B1166" t="s">
        <v>1560</v>
      </c>
      <c r="C1166" s="88">
        <v>46145.646597222221</v>
      </c>
      <c r="D1166" t="s">
        <v>105</v>
      </c>
      <c r="E1166" t="s">
        <v>106</v>
      </c>
      <c r="F1166" t="s">
        <v>146</v>
      </c>
      <c r="G1166" t="s">
        <v>147</v>
      </c>
      <c r="H1166" t="s">
        <v>146</v>
      </c>
      <c r="I1166" s="88">
        <v>46141.751956018517</v>
      </c>
      <c r="J1166" t="s">
        <v>107</v>
      </c>
      <c r="K1166" t="s">
        <v>108</v>
      </c>
      <c r="L1166" t="s">
        <v>6039</v>
      </c>
      <c r="M1166" s="88">
        <v>46142.76461805556</v>
      </c>
      <c r="N1166" t="s">
        <v>1992</v>
      </c>
      <c r="O1166" t="s">
        <v>110</v>
      </c>
      <c r="P1166" t="s">
        <v>111</v>
      </c>
      <c r="Q1166" t="s">
        <v>4558</v>
      </c>
      <c r="R1166">
        <v>1</v>
      </c>
      <c r="S1166" s="89">
        <v>129000</v>
      </c>
      <c r="T1166" s="89">
        <v>0</v>
      </c>
      <c r="U1166" s="89">
        <v>29700</v>
      </c>
      <c r="V1166" s="89">
        <v>29700</v>
      </c>
      <c r="W1166" s="89">
        <v>99300</v>
      </c>
    </row>
    <row r="1167" spans="1:23" ht="15.75" customHeight="1">
      <c r="A1167" t="s">
        <v>6040</v>
      </c>
      <c r="B1167" t="s">
        <v>6041</v>
      </c>
      <c r="C1167" s="88">
        <v>46145.630752314813</v>
      </c>
      <c r="D1167" t="s">
        <v>105</v>
      </c>
      <c r="E1167" t="s">
        <v>106</v>
      </c>
      <c r="F1167" t="s">
        <v>6042</v>
      </c>
      <c r="G1167" t="s">
        <v>6043</v>
      </c>
      <c r="H1167" t="s">
        <v>6042</v>
      </c>
      <c r="I1167" s="88">
        <v>46141.751863425925</v>
      </c>
      <c r="J1167" t="s">
        <v>107</v>
      </c>
      <c r="K1167" t="s">
        <v>108</v>
      </c>
      <c r="L1167" t="s">
        <v>6044</v>
      </c>
      <c r="M1167" s="88">
        <v>46143.46597222222</v>
      </c>
      <c r="N1167" t="s">
        <v>637</v>
      </c>
      <c r="O1167" t="s">
        <v>112</v>
      </c>
      <c r="P1167" t="s">
        <v>111</v>
      </c>
      <c r="Q1167" t="s">
        <v>2085</v>
      </c>
      <c r="R1167">
        <v>3</v>
      </c>
      <c r="S1167" s="89">
        <v>9500</v>
      </c>
      <c r="T1167" s="89">
        <v>0</v>
      </c>
      <c r="U1167" s="89">
        <v>6370</v>
      </c>
      <c r="V1167" s="89">
        <v>6370</v>
      </c>
      <c r="W1167" s="89">
        <v>22130</v>
      </c>
    </row>
    <row r="1168" spans="1:23" ht="15.75" customHeight="1">
      <c r="A1168" t="s">
        <v>6045</v>
      </c>
      <c r="B1168" t="s">
        <v>6046</v>
      </c>
      <c r="C1168" s="88">
        <v>46145.629409722227</v>
      </c>
      <c r="D1168" t="s">
        <v>105</v>
      </c>
      <c r="E1168" t="s">
        <v>106</v>
      </c>
      <c r="F1168" t="s">
        <v>6047</v>
      </c>
      <c r="G1168" t="s">
        <v>6048</v>
      </c>
      <c r="H1168" t="s">
        <v>6047</v>
      </c>
      <c r="I1168" s="88">
        <v>46140.633900462963</v>
      </c>
      <c r="J1168" t="s">
        <v>107</v>
      </c>
      <c r="K1168" t="s">
        <v>108</v>
      </c>
      <c r="L1168" t="s">
        <v>6049</v>
      </c>
      <c r="M1168" s="88">
        <v>46141.555775462963</v>
      </c>
      <c r="N1168" t="s">
        <v>637</v>
      </c>
      <c r="O1168" t="s">
        <v>112</v>
      </c>
      <c r="P1168" t="s">
        <v>111</v>
      </c>
      <c r="Q1168" t="s">
        <v>2085</v>
      </c>
      <c r="R1168">
        <v>2</v>
      </c>
      <c r="S1168" s="89">
        <v>9500</v>
      </c>
      <c r="T1168" s="89">
        <v>0</v>
      </c>
      <c r="U1168" s="89">
        <v>4280</v>
      </c>
      <c r="V1168" s="89">
        <v>4280</v>
      </c>
      <c r="W1168" s="89">
        <v>14720</v>
      </c>
    </row>
    <row r="1169" spans="1:23" ht="15.75" customHeight="1">
      <c r="A1169" t="s">
        <v>6050</v>
      </c>
      <c r="B1169" t="s">
        <v>6051</v>
      </c>
      <c r="C1169" s="88">
        <v>46145.588854166665</v>
      </c>
      <c r="D1169" t="s">
        <v>105</v>
      </c>
      <c r="E1169" t="s">
        <v>106</v>
      </c>
      <c r="F1169" t="s">
        <v>6052</v>
      </c>
      <c r="G1169" t="s">
        <v>6053</v>
      </c>
      <c r="H1169" t="s">
        <v>6052</v>
      </c>
      <c r="I1169" s="88">
        <v>46141.751886574071</v>
      </c>
      <c r="J1169" t="s">
        <v>107</v>
      </c>
      <c r="K1169" t="s">
        <v>108</v>
      </c>
      <c r="L1169" t="s">
        <v>6054</v>
      </c>
      <c r="M1169" s="88">
        <v>46143.463912037041</v>
      </c>
      <c r="N1169" t="s">
        <v>637</v>
      </c>
      <c r="O1169" t="s">
        <v>112</v>
      </c>
      <c r="P1169" t="s">
        <v>111</v>
      </c>
      <c r="Q1169" t="s">
        <v>2085</v>
      </c>
      <c r="R1169">
        <v>6</v>
      </c>
      <c r="S1169" s="89">
        <v>9500</v>
      </c>
      <c r="T1169" s="89">
        <v>0</v>
      </c>
      <c r="U1169" s="89">
        <v>20080</v>
      </c>
      <c r="V1169" s="89">
        <v>20080</v>
      </c>
      <c r="W1169" s="89">
        <v>36920</v>
      </c>
    </row>
    <row r="1170" spans="1:23" ht="15.75" customHeight="1">
      <c r="A1170" t="s">
        <v>6055</v>
      </c>
      <c r="B1170" t="s">
        <v>6056</v>
      </c>
      <c r="C1170" s="88">
        <v>46145.583738425921</v>
      </c>
      <c r="D1170" t="s">
        <v>105</v>
      </c>
      <c r="E1170" t="s">
        <v>106</v>
      </c>
      <c r="F1170" t="s">
        <v>6057</v>
      </c>
      <c r="G1170" t="s">
        <v>6058</v>
      </c>
      <c r="H1170" t="s">
        <v>6057</v>
      </c>
      <c r="I1170" s="88">
        <v>46141.751956018517</v>
      </c>
      <c r="J1170" t="s">
        <v>107</v>
      </c>
      <c r="K1170" t="s">
        <v>108</v>
      </c>
      <c r="L1170" t="s">
        <v>6059</v>
      </c>
      <c r="M1170" s="88">
        <v>46143.545856481476</v>
      </c>
      <c r="N1170" t="s">
        <v>637</v>
      </c>
      <c r="O1170" t="s">
        <v>112</v>
      </c>
      <c r="P1170" t="s">
        <v>111</v>
      </c>
      <c r="Q1170" t="s">
        <v>2085</v>
      </c>
      <c r="R1170">
        <v>7</v>
      </c>
      <c r="S1170" s="89">
        <v>9500</v>
      </c>
      <c r="T1170" s="89">
        <v>0</v>
      </c>
      <c r="U1170" s="89">
        <v>23410</v>
      </c>
      <c r="V1170" s="89">
        <v>23410</v>
      </c>
      <c r="W1170" s="89">
        <v>43090</v>
      </c>
    </row>
    <row r="1171" spans="1:23" ht="15.75" customHeight="1">
      <c r="A1171" t="s">
        <v>6060</v>
      </c>
      <c r="B1171" t="s">
        <v>6061</v>
      </c>
      <c r="C1171" s="88">
        <v>46145.570370370369</v>
      </c>
      <c r="D1171" t="s">
        <v>105</v>
      </c>
      <c r="E1171" t="s">
        <v>106</v>
      </c>
      <c r="F1171" t="s">
        <v>6062</v>
      </c>
      <c r="G1171" t="s">
        <v>6063</v>
      </c>
      <c r="H1171" t="s">
        <v>6062</v>
      </c>
      <c r="I1171" s="88">
        <v>46141.751956018517</v>
      </c>
      <c r="J1171" t="s">
        <v>107</v>
      </c>
      <c r="K1171" t="s">
        <v>108</v>
      </c>
      <c r="L1171" t="s">
        <v>6064</v>
      </c>
      <c r="M1171" s="88">
        <v>46143.476597222223</v>
      </c>
      <c r="N1171" t="s">
        <v>637</v>
      </c>
      <c r="O1171" t="s">
        <v>112</v>
      </c>
      <c r="P1171" t="s">
        <v>111</v>
      </c>
      <c r="Q1171" t="s">
        <v>2085</v>
      </c>
      <c r="R1171">
        <v>3</v>
      </c>
      <c r="S1171" s="89">
        <v>9500</v>
      </c>
      <c r="T1171" s="89">
        <v>0</v>
      </c>
      <c r="U1171" s="89">
        <v>6270</v>
      </c>
      <c r="V1171" s="89">
        <v>6270</v>
      </c>
      <c r="W1171" s="89">
        <v>22230</v>
      </c>
    </row>
    <row r="1172" spans="1:23" ht="15.75" customHeight="1">
      <c r="A1172" t="s">
        <v>6065</v>
      </c>
      <c r="B1172" t="s">
        <v>6066</v>
      </c>
      <c r="C1172" s="88">
        <v>46145.550034722226</v>
      </c>
      <c r="D1172" t="s">
        <v>105</v>
      </c>
      <c r="E1172" t="s">
        <v>106</v>
      </c>
      <c r="F1172" t="s">
        <v>6067</v>
      </c>
      <c r="G1172" t="s">
        <v>6068</v>
      </c>
      <c r="H1172" t="s">
        <v>6067</v>
      </c>
      <c r="I1172" s="88">
        <v>46140.633935185186</v>
      </c>
      <c r="J1172" t="s">
        <v>107</v>
      </c>
      <c r="K1172" t="s">
        <v>108</v>
      </c>
      <c r="L1172" t="s">
        <v>6069</v>
      </c>
      <c r="M1172" s="88">
        <v>46141.762511574074</v>
      </c>
      <c r="N1172" t="s">
        <v>637</v>
      </c>
      <c r="O1172" t="s">
        <v>112</v>
      </c>
      <c r="P1172" t="s">
        <v>111</v>
      </c>
      <c r="Q1172" t="s">
        <v>2085</v>
      </c>
      <c r="R1172">
        <v>2</v>
      </c>
      <c r="S1172" s="89">
        <v>9500</v>
      </c>
      <c r="T1172" s="89">
        <v>0</v>
      </c>
      <c r="U1172" s="89">
        <v>4280</v>
      </c>
      <c r="V1172" s="89">
        <v>4280</v>
      </c>
      <c r="W1172" s="89">
        <v>14720</v>
      </c>
    </row>
    <row r="1173" spans="1:23" ht="15.75" customHeight="1">
      <c r="A1173" t="s">
        <v>6070</v>
      </c>
      <c r="B1173" t="s">
        <v>201</v>
      </c>
      <c r="C1173" s="88">
        <v>46145.533287037033</v>
      </c>
      <c r="D1173" t="s">
        <v>105</v>
      </c>
      <c r="E1173" t="s">
        <v>106</v>
      </c>
      <c r="F1173" t="s">
        <v>202</v>
      </c>
      <c r="G1173" t="s">
        <v>203</v>
      </c>
      <c r="H1173" t="s">
        <v>202</v>
      </c>
      <c r="I1173" s="88">
        <v>46141.639583333337</v>
      </c>
      <c r="J1173" t="s">
        <v>107</v>
      </c>
      <c r="K1173" t="s">
        <v>108</v>
      </c>
      <c r="L1173" t="s">
        <v>6071</v>
      </c>
      <c r="M1173" s="88">
        <v>46142.678090277783</v>
      </c>
      <c r="N1173" t="s">
        <v>1992</v>
      </c>
      <c r="O1173" t="s">
        <v>110</v>
      </c>
      <c r="P1173" t="s">
        <v>111</v>
      </c>
      <c r="Q1173" t="s">
        <v>4558</v>
      </c>
      <c r="R1173">
        <v>1</v>
      </c>
      <c r="S1173" s="89">
        <v>129000</v>
      </c>
      <c r="T1173" s="89">
        <v>0</v>
      </c>
      <c r="U1173" s="89">
        <v>29700</v>
      </c>
      <c r="V1173" s="89">
        <v>29700</v>
      </c>
      <c r="W1173" s="89">
        <v>99300</v>
      </c>
    </row>
    <row r="1174" spans="1:23" ht="15.75" customHeight="1">
      <c r="A1174" t="s">
        <v>6072</v>
      </c>
      <c r="B1174" t="s">
        <v>6073</v>
      </c>
      <c r="C1174" s="88">
        <v>46145.511064814811</v>
      </c>
      <c r="D1174" t="s">
        <v>105</v>
      </c>
      <c r="E1174" t="s">
        <v>106</v>
      </c>
      <c r="F1174" t="s">
        <v>6074</v>
      </c>
      <c r="G1174" t="s">
        <v>5084</v>
      </c>
      <c r="H1174" t="s">
        <v>6074</v>
      </c>
      <c r="I1174" s="88">
        <v>46141.751840277779</v>
      </c>
      <c r="J1174" t="s">
        <v>107</v>
      </c>
      <c r="K1174" t="s">
        <v>108</v>
      </c>
      <c r="L1174" t="s">
        <v>6075</v>
      </c>
      <c r="M1174" s="88">
        <v>46143.550717592589</v>
      </c>
      <c r="N1174" t="s">
        <v>637</v>
      </c>
      <c r="O1174" t="s">
        <v>112</v>
      </c>
      <c r="P1174" t="s">
        <v>111</v>
      </c>
      <c r="Q1174" t="s">
        <v>2085</v>
      </c>
      <c r="R1174">
        <v>6</v>
      </c>
      <c r="S1174" s="89">
        <v>9500</v>
      </c>
      <c r="T1174" s="89">
        <v>0</v>
      </c>
      <c r="U1174" s="89">
        <v>20080</v>
      </c>
      <c r="V1174" s="89">
        <v>20080</v>
      </c>
      <c r="W1174" s="89">
        <v>36920</v>
      </c>
    </row>
    <row r="1175" spans="1:23" ht="15.75" customHeight="1">
      <c r="A1175" t="s">
        <v>6076</v>
      </c>
      <c r="B1175" t="s">
        <v>6077</v>
      </c>
      <c r="C1175" s="88">
        <v>46145.503275462965</v>
      </c>
      <c r="D1175" t="s">
        <v>105</v>
      </c>
      <c r="E1175" t="s">
        <v>106</v>
      </c>
      <c r="F1175" t="s">
        <v>4315</v>
      </c>
      <c r="G1175" t="s">
        <v>6078</v>
      </c>
      <c r="H1175" t="s">
        <v>4315</v>
      </c>
      <c r="I1175" s="88">
        <v>46141.751863425925</v>
      </c>
      <c r="J1175" t="s">
        <v>107</v>
      </c>
      <c r="K1175" t="s">
        <v>108</v>
      </c>
      <c r="L1175" t="s">
        <v>6079</v>
      </c>
      <c r="M1175" s="88">
        <v>46143.672210648147</v>
      </c>
      <c r="N1175" t="s">
        <v>637</v>
      </c>
      <c r="O1175" t="s">
        <v>112</v>
      </c>
      <c r="P1175" t="s">
        <v>111</v>
      </c>
      <c r="Q1175" t="s">
        <v>2085</v>
      </c>
      <c r="R1175">
        <v>2</v>
      </c>
      <c r="S1175" s="89">
        <v>9500</v>
      </c>
      <c r="T1175" s="89">
        <v>0</v>
      </c>
      <c r="U1175" s="89">
        <v>4280</v>
      </c>
      <c r="V1175" s="89">
        <v>4280</v>
      </c>
      <c r="W1175" s="89">
        <v>14720</v>
      </c>
    </row>
    <row r="1176" spans="1:23" ht="15.75" customHeight="1">
      <c r="A1176" t="s">
        <v>6080</v>
      </c>
      <c r="B1176" t="s">
        <v>6081</v>
      </c>
      <c r="C1176" s="88">
        <v>46145.440081018518</v>
      </c>
      <c r="D1176" t="s">
        <v>105</v>
      </c>
      <c r="E1176" t="s">
        <v>106</v>
      </c>
      <c r="F1176" t="s">
        <v>393</v>
      </c>
      <c r="G1176" t="s">
        <v>6082</v>
      </c>
      <c r="H1176" t="s">
        <v>393</v>
      </c>
      <c r="I1176" s="88">
        <v>46141.751932870371</v>
      </c>
      <c r="J1176" t="s">
        <v>107</v>
      </c>
      <c r="K1176" t="s">
        <v>108</v>
      </c>
      <c r="L1176" t="s">
        <v>6083</v>
      </c>
      <c r="M1176" s="88">
        <v>46144.326956018514</v>
      </c>
      <c r="N1176" t="s">
        <v>637</v>
      </c>
      <c r="O1176" t="s">
        <v>112</v>
      </c>
      <c r="P1176" t="s">
        <v>111</v>
      </c>
      <c r="Q1176" t="s">
        <v>2085</v>
      </c>
      <c r="R1176">
        <v>6</v>
      </c>
      <c r="S1176" s="89">
        <v>9500</v>
      </c>
      <c r="T1176" s="89">
        <v>0</v>
      </c>
      <c r="U1176" s="89">
        <v>20080</v>
      </c>
      <c r="V1176" s="89">
        <v>20080</v>
      </c>
      <c r="W1176" s="89">
        <v>36920</v>
      </c>
    </row>
    <row r="1177" spans="1:23" ht="15.75" customHeight="1">
      <c r="A1177" t="s">
        <v>6084</v>
      </c>
      <c r="B1177" t="s">
        <v>6085</v>
      </c>
      <c r="C1177" s="88">
        <v>46145.396145833336</v>
      </c>
      <c r="D1177" t="s">
        <v>105</v>
      </c>
      <c r="E1177" t="s">
        <v>106</v>
      </c>
      <c r="F1177" t="s">
        <v>6086</v>
      </c>
      <c r="G1177" t="s">
        <v>6087</v>
      </c>
      <c r="H1177" t="s">
        <v>6086</v>
      </c>
      <c r="I1177" s="88">
        <v>46141.751909722225</v>
      </c>
      <c r="J1177" t="s">
        <v>107</v>
      </c>
      <c r="K1177" t="s">
        <v>108</v>
      </c>
      <c r="L1177" t="s">
        <v>6088</v>
      </c>
      <c r="M1177" s="88">
        <v>46143.463900462964</v>
      </c>
      <c r="N1177" t="s">
        <v>637</v>
      </c>
      <c r="O1177" t="s">
        <v>112</v>
      </c>
      <c r="P1177" t="s">
        <v>111</v>
      </c>
      <c r="Q1177" t="s">
        <v>2085</v>
      </c>
      <c r="R1177">
        <v>1</v>
      </c>
      <c r="S1177" s="89">
        <v>9500</v>
      </c>
      <c r="T1177" s="89">
        <v>0</v>
      </c>
      <c r="U1177" s="89">
        <v>2190</v>
      </c>
      <c r="V1177" s="89">
        <v>2190</v>
      </c>
      <c r="W1177" s="89">
        <v>7310</v>
      </c>
    </row>
    <row r="1178" spans="1:23" ht="15.75" customHeight="1">
      <c r="A1178" t="s">
        <v>6089</v>
      </c>
      <c r="B1178" t="s">
        <v>6090</v>
      </c>
      <c r="C1178" s="88">
        <v>46145.385335648149</v>
      </c>
      <c r="D1178" t="s">
        <v>105</v>
      </c>
      <c r="E1178" t="s">
        <v>106</v>
      </c>
      <c r="F1178" t="s">
        <v>387</v>
      </c>
      <c r="G1178" t="s">
        <v>6091</v>
      </c>
      <c r="H1178" t="s">
        <v>387</v>
      </c>
      <c r="I1178" s="88">
        <v>46141.639583333337</v>
      </c>
      <c r="J1178" t="s">
        <v>107</v>
      </c>
      <c r="K1178" t="s">
        <v>108</v>
      </c>
      <c r="L1178" t="s">
        <v>6092</v>
      </c>
      <c r="M1178" s="88">
        <v>46142.57194444444</v>
      </c>
      <c r="N1178" t="s">
        <v>1992</v>
      </c>
      <c r="O1178" t="s">
        <v>110</v>
      </c>
      <c r="P1178" t="s">
        <v>111</v>
      </c>
      <c r="Q1178" t="s">
        <v>1993</v>
      </c>
      <c r="R1178">
        <v>1</v>
      </c>
      <c r="S1178" s="89">
        <v>129000</v>
      </c>
      <c r="T1178" s="89">
        <v>0</v>
      </c>
      <c r="U1178" s="89">
        <v>29800</v>
      </c>
      <c r="V1178" s="89">
        <v>29800</v>
      </c>
      <c r="W1178" s="89">
        <v>99200</v>
      </c>
    </row>
    <row r="1179" spans="1:23" ht="15.75" customHeight="1">
      <c r="A1179" t="s">
        <v>6093</v>
      </c>
      <c r="B1179" t="s">
        <v>6094</v>
      </c>
      <c r="C1179" s="88">
        <v>46145.366400462968</v>
      </c>
      <c r="D1179" t="s">
        <v>105</v>
      </c>
      <c r="E1179" t="s">
        <v>106</v>
      </c>
      <c r="F1179" t="s">
        <v>6095</v>
      </c>
      <c r="G1179" t="s">
        <v>6096</v>
      </c>
      <c r="H1179" t="s">
        <v>6095</v>
      </c>
      <c r="I1179" s="88">
        <v>46141.751863425925</v>
      </c>
      <c r="J1179" t="s">
        <v>107</v>
      </c>
      <c r="K1179" t="s">
        <v>108</v>
      </c>
      <c r="L1179" t="s">
        <v>6097</v>
      </c>
      <c r="M1179" s="88">
        <v>46143.524212962962</v>
      </c>
      <c r="N1179" t="s">
        <v>637</v>
      </c>
      <c r="O1179" t="s">
        <v>112</v>
      </c>
      <c r="P1179" t="s">
        <v>111</v>
      </c>
      <c r="Q1179" t="s">
        <v>2085</v>
      </c>
      <c r="R1179">
        <v>6</v>
      </c>
      <c r="S1179" s="89">
        <v>9500</v>
      </c>
      <c r="T1179" s="89">
        <v>0</v>
      </c>
      <c r="U1179" s="89">
        <v>20080</v>
      </c>
      <c r="V1179" s="89">
        <v>20080</v>
      </c>
      <c r="W1179" s="89">
        <v>36920</v>
      </c>
    </row>
    <row r="1180" spans="1:23" ht="15.75" customHeight="1">
      <c r="A1180" t="s">
        <v>6098</v>
      </c>
      <c r="B1180" t="s">
        <v>6099</v>
      </c>
      <c r="C1180" s="88">
        <v>46145.262939814813</v>
      </c>
      <c r="D1180" t="s">
        <v>105</v>
      </c>
      <c r="E1180" t="s">
        <v>106</v>
      </c>
      <c r="F1180" t="s">
        <v>315</v>
      </c>
      <c r="G1180" t="s">
        <v>6100</v>
      </c>
      <c r="H1180" t="s">
        <v>315</v>
      </c>
      <c r="I1180" s="88">
        <v>46140.633969907409</v>
      </c>
      <c r="J1180" t="s">
        <v>107</v>
      </c>
      <c r="K1180" t="s">
        <v>108</v>
      </c>
      <c r="L1180" t="s">
        <v>6101</v>
      </c>
      <c r="M1180" s="88">
        <v>46141.644108796296</v>
      </c>
      <c r="N1180" t="s">
        <v>637</v>
      </c>
      <c r="O1180" t="s">
        <v>112</v>
      </c>
      <c r="P1180" t="s">
        <v>111</v>
      </c>
      <c r="Q1180" t="s">
        <v>2085</v>
      </c>
      <c r="R1180">
        <v>5</v>
      </c>
      <c r="S1180" s="89">
        <v>9500</v>
      </c>
      <c r="T1180" s="89">
        <v>0</v>
      </c>
      <c r="U1180" s="89">
        <v>10550</v>
      </c>
      <c r="V1180" s="89">
        <v>10550</v>
      </c>
      <c r="W1180" s="89">
        <v>36950</v>
      </c>
    </row>
    <row r="1181" spans="1:23" ht="15.75" customHeight="1">
      <c r="A1181" t="s">
        <v>6102</v>
      </c>
      <c r="B1181" t="s">
        <v>6103</v>
      </c>
      <c r="C1181" s="88">
        <v>46145.078194444446</v>
      </c>
      <c r="D1181" t="s">
        <v>105</v>
      </c>
      <c r="E1181" t="s">
        <v>106</v>
      </c>
      <c r="F1181" t="s">
        <v>6104</v>
      </c>
      <c r="G1181" t="s">
        <v>113</v>
      </c>
      <c r="H1181" t="s">
        <v>6104</v>
      </c>
      <c r="I1181" s="88">
        <v>46136.621817129635</v>
      </c>
      <c r="J1181" t="s">
        <v>107</v>
      </c>
      <c r="K1181" t="s">
        <v>108</v>
      </c>
      <c r="L1181" t="s">
        <v>6105</v>
      </c>
      <c r="M1181" s="88">
        <v>46137.468263888892</v>
      </c>
      <c r="N1181" t="s">
        <v>1562</v>
      </c>
      <c r="O1181" t="s">
        <v>123</v>
      </c>
      <c r="P1181" t="s">
        <v>111</v>
      </c>
      <c r="Q1181" t="s">
        <v>5559</v>
      </c>
      <c r="R1181">
        <v>1</v>
      </c>
      <c r="S1181" s="89">
        <v>22000</v>
      </c>
      <c r="T1181" s="89">
        <v>0</v>
      </c>
      <c r="U1181" s="89">
        <v>6600</v>
      </c>
      <c r="V1181" s="89">
        <v>6600</v>
      </c>
      <c r="W1181" s="89">
        <v>15400</v>
      </c>
    </row>
    <row r="1182" spans="1:23" ht="15.75" customHeight="1">
      <c r="A1182" t="s">
        <v>6106</v>
      </c>
      <c r="B1182" t="s">
        <v>6107</v>
      </c>
      <c r="C1182" s="88">
        <v>46144.981122685189</v>
      </c>
      <c r="D1182" t="s">
        <v>105</v>
      </c>
      <c r="E1182" t="s">
        <v>106</v>
      </c>
      <c r="F1182" t="s">
        <v>6108</v>
      </c>
      <c r="G1182" t="s">
        <v>6109</v>
      </c>
      <c r="H1182" t="s">
        <v>6108</v>
      </c>
      <c r="I1182" s="88">
        <v>46141.751886574071</v>
      </c>
      <c r="J1182" t="s">
        <v>107</v>
      </c>
      <c r="K1182" t="s">
        <v>108</v>
      </c>
      <c r="L1182" t="s">
        <v>6110</v>
      </c>
      <c r="M1182" s="88">
        <v>46143.674328703702</v>
      </c>
      <c r="N1182" t="s">
        <v>637</v>
      </c>
      <c r="O1182" t="s">
        <v>112</v>
      </c>
      <c r="P1182" t="s">
        <v>111</v>
      </c>
      <c r="Q1182" t="s">
        <v>2085</v>
      </c>
      <c r="R1182">
        <v>6</v>
      </c>
      <c r="S1182" s="89">
        <v>9500</v>
      </c>
      <c r="T1182" s="89">
        <v>0</v>
      </c>
      <c r="U1182" s="89">
        <v>20080</v>
      </c>
      <c r="V1182" s="89">
        <v>20080</v>
      </c>
      <c r="W1182" s="89">
        <v>36920</v>
      </c>
    </row>
    <row r="1183" spans="1:23" ht="15.75" customHeight="1">
      <c r="A1183" t="s">
        <v>6111</v>
      </c>
      <c r="B1183" t="s">
        <v>6112</v>
      </c>
      <c r="C1183" s="88">
        <v>46144.969027777777</v>
      </c>
      <c r="D1183" t="s">
        <v>105</v>
      </c>
      <c r="E1183" t="s">
        <v>106</v>
      </c>
      <c r="F1183" t="s">
        <v>6113</v>
      </c>
      <c r="G1183" t="s">
        <v>6114</v>
      </c>
      <c r="H1183" t="s">
        <v>6113</v>
      </c>
      <c r="I1183" s="88">
        <v>46141.751840277779</v>
      </c>
      <c r="J1183" t="s">
        <v>107</v>
      </c>
      <c r="K1183" t="s">
        <v>108</v>
      </c>
      <c r="L1183" t="s">
        <v>6115</v>
      </c>
      <c r="M1183" s="88">
        <v>46144.422673611116</v>
      </c>
      <c r="N1183" t="s">
        <v>637</v>
      </c>
      <c r="O1183" t="s">
        <v>112</v>
      </c>
      <c r="P1183" t="s">
        <v>111</v>
      </c>
      <c r="Q1183" t="s">
        <v>2085</v>
      </c>
      <c r="R1183">
        <v>2</v>
      </c>
      <c r="S1183" s="89">
        <v>9500</v>
      </c>
      <c r="T1183" s="89">
        <v>0</v>
      </c>
      <c r="U1183" s="89">
        <v>4280</v>
      </c>
      <c r="V1183" s="89">
        <v>4280</v>
      </c>
      <c r="W1183" s="89">
        <v>14720</v>
      </c>
    </row>
    <row r="1184" spans="1:23" ht="15.75" customHeight="1">
      <c r="A1184" t="s">
        <v>6116</v>
      </c>
      <c r="B1184" t="s">
        <v>6117</v>
      </c>
      <c r="C1184" s="88">
        <v>46144.93368055555</v>
      </c>
      <c r="D1184" t="s">
        <v>105</v>
      </c>
      <c r="E1184" t="s">
        <v>106</v>
      </c>
      <c r="F1184" t="s">
        <v>6118</v>
      </c>
      <c r="G1184" t="s">
        <v>6119</v>
      </c>
      <c r="H1184" t="s">
        <v>6118</v>
      </c>
      <c r="I1184" s="88">
        <v>46140.633935185186</v>
      </c>
      <c r="J1184" t="s">
        <v>107</v>
      </c>
      <c r="K1184" t="s">
        <v>108</v>
      </c>
      <c r="L1184" t="s">
        <v>6120</v>
      </c>
      <c r="M1184" s="88">
        <v>46141.383425925931</v>
      </c>
      <c r="N1184" t="s">
        <v>637</v>
      </c>
      <c r="O1184" t="s">
        <v>112</v>
      </c>
      <c r="P1184" t="s">
        <v>111</v>
      </c>
      <c r="Q1184" t="s">
        <v>2085</v>
      </c>
      <c r="R1184">
        <v>6</v>
      </c>
      <c r="S1184" s="89">
        <v>9500</v>
      </c>
      <c r="T1184" s="89">
        <v>0</v>
      </c>
      <c r="U1184" s="89">
        <v>20080</v>
      </c>
      <c r="V1184" s="89">
        <v>20080</v>
      </c>
      <c r="W1184" s="89">
        <v>36920</v>
      </c>
    </row>
    <row r="1185" spans="1:23" ht="15.75" customHeight="1">
      <c r="A1185" t="s">
        <v>6121</v>
      </c>
      <c r="B1185" t="s">
        <v>6122</v>
      </c>
      <c r="C1185" s="88">
        <v>46144.914756944447</v>
      </c>
      <c r="D1185" t="s">
        <v>105</v>
      </c>
      <c r="E1185" t="s">
        <v>106</v>
      </c>
      <c r="F1185" t="s">
        <v>6123</v>
      </c>
      <c r="G1185" t="s">
        <v>6124</v>
      </c>
      <c r="H1185" t="s">
        <v>6123</v>
      </c>
      <c r="I1185" s="88">
        <v>46141.751886574071</v>
      </c>
      <c r="J1185" t="s">
        <v>107</v>
      </c>
      <c r="K1185" t="s">
        <v>108</v>
      </c>
      <c r="L1185" t="s">
        <v>6125</v>
      </c>
      <c r="M1185" s="88">
        <v>46143.674328703702</v>
      </c>
      <c r="N1185" t="s">
        <v>637</v>
      </c>
      <c r="O1185" t="s">
        <v>112</v>
      </c>
      <c r="P1185" t="s">
        <v>111</v>
      </c>
      <c r="Q1185" t="s">
        <v>2085</v>
      </c>
      <c r="R1185">
        <v>6</v>
      </c>
      <c r="S1185" s="89">
        <v>9500</v>
      </c>
      <c r="T1185" s="89">
        <v>0</v>
      </c>
      <c r="U1185" s="89">
        <v>19980</v>
      </c>
      <c r="V1185" s="89">
        <v>19980</v>
      </c>
      <c r="W1185" s="89">
        <v>37020</v>
      </c>
    </row>
    <row r="1186" spans="1:23" ht="15.75" customHeight="1">
      <c r="A1186" t="s">
        <v>6126</v>
      </c>
      <c r="B1186" t="s">
        <v>6127</v>
      </c>
      <c r="C1186" s="88">
        <v>46144.913240740745</v>
      </c>
      <c r="D1186" t="s">
        <v>105</v>
      </c>
      <c r="E1186" t="s">
        <v>106</v>
      </c>
      <c r="F1186" t="s">
        <v>6128</v>
      </c>
      <c r="G1186" t="s">
        <v>6129</v>
      </c>
      <c r="H1186" t="s">
        <v>6128</v>
      </c>
      <c r="I1186" s="88">
        <v>46140.633946759262</v>
      </c>
      <c r="J1186" t="s">
        <v>107</v>
      </c>
      <c r="K1186" t="s">
        <v>108</v>
      </c>
      <c r="L1186" t="s">
        <v>6130</v>
      </c>
      <c r="M1186" s="88">
        <v>46141.474398148144</v>
      </c>
      <c r="N1186" t="s">
        <v>637</v>
      </c>
      <c r="O1186" t="s">
        <v>112</v>
      </c>
      <c r="P1186" t="s">
        <v>111</v>
      </c>
      <c r="Q1186" t="s">
        <v>2085</v>
      </c>
      <c r="R1186">
        <v>1</v>
      </c>
      <c r="S1186" s="89">
        <v>9500</v>
      </c>
      <c r="T1186" s="89">
        <v>0</v>
      </c>
      <c r="U1186" s="89">
        <v>2190</v>
      </c>
      <c r="V1186" s="89">
        <v>2190</v>
      </c>
      <c r="W1186" s="89">
        <v>7310</v>
      </c>
    </row>
    <row r="1187" spans="1:23" ht="15.75" customHeight="1">
      <c r="A1187" t="s">
        <v>6131</v>
      </c>
      <c r="B1187" t="s">
        <v>6132</v>
      </c>
      <c r="C1187" s="88">
        <v>46144.891724537039</v>
      </c>
      <c r="D1187" t="s">
        <v>105</v>
      </c>
      <c r="E1187" t="s">
        <v>106</v>
      </c>
      <c r="F1187" t="s">
        <v>6133</v>
      </c>
      <c r="G1187" t="s">
        <v>6134</v>
      </c>
      <c r="H1187" t="s">
        <v>6133</v>
      </c>
      <c r="I1187" s="88">
        <v>46141.751851851848</v>
      </c>
      <c r="J1187" t="s">
        <v>107</v>
      </c>
      <c r="K1187" t="s">
        <v>108</v>
      </c>
      <c r="L1187" t="s">
        <v>6135</v>
      </c>
      <c r="M1187" s="88">
        <v>46143.754166666666</v>
      </c>
      <c r="N1187" t="s">
        <v>637</v>
      </c>
      <c r="O1187" t="s">
        <v>112</v>
      </c>
      <c r="P1187" t="s">
        <v>111</v>
      </c>
      <c r="Q1187" t="s">
        <v>2085</v>
      </c>
      <c r="R1187">
        <v>4</v>
      </c>
      <c r="S1187" s="89">
        <v>9500</v>
      </c>
      <c r="T1187" s="89">
        <v>0</v>
      </c>
      <c r="U1187" s="89">
        <v>8360</v>
      </c>
      <c r="V1187" s="89">
        <v>8360</v>
      </c>
      <c r="W1187" s="89">
        <v>29640</v>
      </c>
    </row>
    <row r="1188" spans="1:23" ht="15.75" customHeight="1">
      <c r="A1188" t="s">
        <v>6136</v>
      </c>
      <c r="B1188" t="s">
        <v>6137</v>
      </c>
      <c r="C1188" s="88">
        <v>46144.862951388888</v>
      </c>
      <c r="D1188" t="s">
        <v>105</v>
      </c>
      <c r="E1188" t="s">
        <v>106</v>
      </c>
      <c r="F1188" t="s">
        <v>6138</v>
      </c>
      <c r="G1188" t="s">
        <v>6139</v>
      </c>
      <c r="H1188" t="s">
        <v>6138</v>
      </c>
      <c r="I1188" s="88">
        <v>46140.633923611109</v>
      </c>
      <c r="J1188" t="s">
        <v>107</v>
      </c>
      <c r="K1188" t="s">
        <v>108</v>
      </c>
      <c r="L1188" t="s">
        <v>6140</v>
      </c>
      <c r="M1188" s="88">
        <v>46141.552812499998</v>
      </c>
      <c r="N1188" t="s">
        <v>637</v>
      </c>
      <c r="O1188" t="s">
        <v>112</v>
      </c>
      <c r="P1188" t="s">
        <v>111</v>
      </c>
      <c r="Q1188" t="s">
        <v>2085</v>
      </c>
      <c r="R1188">
        <v>6</v>
      </c>
      <c r="S1188" s="89">
        <v>9500</v>
      </c>
      <c r="T1188" s="89">
        <v>0</v>
      </c>
      <c r="U1188" s="89">
        <v>20080</v>
      </c>
      <c r="V1188" s="89">
        <v>20080</v>
      </c>
      <c r="W1188" s="89">
        <v>36920</v>
      </c>
    </row>
    <row r="1189" spans="1:23" ht="15.75" customHeight="1">
      <c r="A1189" t="s">
        <v>6141</v>
      </c>
      <c r="B1189" t="s">
        <v>6142</v>
      </c>
      <c r="C1189" s="88">
        <v>46144.853668981479</v>
      </c>
      <c r="D1189" t="s">
        <v>105</v>
      </c>
      <c r="E1189" t="s">
        <v>106</v>
      </c>
      <c r="F1189" t="s">
        <v>6143</v>
      </c>
      <c r="G1189" t="s">
        <v>6144</v>
      </c>
      <c r="H1189" t="s">
        <v>6143</v>
      </c>
      <c r="I1189" s="88">
        <v>46141.751863425925</v>
      </c>
      <c r="J1189" t="s">
        <v>107</v>
      </c>
      <c r="K1189" t="s">
        <v>108</v>
      </c>
      <c r="L1189" t="s">
        <v>6145</v>
      </c>
      <c r="M1189" s="88">
        <v>46143.670844907407</v>
      </c>
      <c r="N1189" t="s">
        <v>637</v>
      </c>
      <c r="O1189" t="s">
        <v>112</v>
      </c>
      <c r="P1189" t="s">
        <v>111</v>
      </c>
      <c r="Q1189" t="s">
        <v>2085</v>
      </c>
      <c r="R1189">
        <v>3</v>
      </c>
      <c r="S1189" s="89">
        <v>9500</v>
      </c>
      <c r="T1189" s="89">
        <v>0</v>
      </c>
      <c r="U1189" s="89">
        <v>6370</v>
      </c>
      <c r="V1189" s="89">
        <v>6370</v>
      </c>
      <c r="W1189" s="89">
        <v>22130</v>
      </c>
    </row>
    <row r="1190" spans="1:23" ht="15.75" customHeight="1">
      <c r="A1190" t="s">
        <v>6146</v>
      </c>
      <c r="B1190" t="s">
        <v>6147</v>
      </c>
      <c r="C1190" s="88">
        <v>46144.795543981483</v>
      </c>
      <c r="D1190" t="s">
        <v>105</v>
      </c>
      <c r="E1190" t="s">
        <v>106</v>
      </c>
      <c r="F1190" t="s">
        <v>6148</v>
      </c>
      <c r="G1190" t="s">
        <v>6149</v>
      </c>
      <c r="H1190" t="s">
        <v>6148</v>
      </c>
      <c r="I1190" s="88">
        <v>46141.751886574071</v>
      </c>
      <c r="J1190" t="s">
        <v>107</v>
      </c>
      <c r="K1190" t="s">
        <v>108</v>
      </c>
      <c r="L1190" t="s">
        <v>6150</v>
      </c>
      <c r="M1190" s="88">
        <v>46143.674328703702</v>
      </c>
      <c r="N1190" t="s">
        <v>637</v>
      </c>
      <c r="O1190" t="s">
        <v>112</v>
      </c>
      <c r="P1190" t="s">
        <v>111</v>
      </c>
      <c r="Q1190" t="s">
        <v>2085</v>
      </c>
      <c r="R1190">
        <v>3</v>
      </c>
      <c r="S1190" s="89">
        <v>9500</v>
      </c>
      <c r="T1190" s="89">
        <v>0</v>
      </c>
      <c r="U1190" s="89">
        <v>6370</v>
      </c>
      <c r="V1190" s="89">
        <v>6370</v>
      </c>
      <c r="W1190" s="89">
        <v>22130</v>
      </c>
    </row>
    <row r="1191" spans="1:23" ht="15.75" customHeight="1">
      <c r="A1191" t="s">
        <v>6151</v>
      </c>
      <c r="B1191" t="s">
        <v>6152</v>
      </c>
      <c r="C1191" s="88">
        <v>46144.778043981481</v>
      </c>
      <c r="D1191" t="s">
        <v>105</v>
      </c>
      <c r="E1191" t="s">
        <v>106</v>
      </c>
      <c r="F1191" t="s">
        <v>6153</v>
      </c>
      <c r="G1191" t="s">
        <v>6154</v>
      </c>
      <c r="H1191" t="s">
        <v>6153</v>
      </c>
      <c r="I1191" s="88">
        <v>46140.633912037039</v>
      </c>
      <c r="J1191" t="s">
        <v>107</v>
      </c>
      <c r="K1191" t="s">
        <v>108</v>
      </c>
      <c r="L1191" t="s">
        <v>6155</v>
      </c>
      <c r="M1191" s="88">
        <v>46141.550011574072</v>
      </c>
      <c r="N1191" t="s">
        <v>637</v>
      </c>
      <c r="O1191" t="s">
        <v>112</v>
      </c>
      <c r="P1191" t="s">
        <v>111</v>
      </c>
      <c r="Q1191" t="s">
        <v>2085</v>
      </c>
      <c r="R1191">
        <v>4</v>
      </c>
      <c r="S1191" s="89">
        <v>9500</v>
      </c>
      <c r="T1191" s="89">
        <v>0</v>
      </c>
      <c r="U1191" s="89">
        <v>8460</v>
      </c>
      <c r="V1191" s="89">
        <v>8460</v>
      </c>
      <c r="W1191" s="89">
        <v>29540</v>
      </c>
    </row>
    <row r="1192" spans="1:23" ht="15.75" customHeight="1">
      <c r="A1192" t="s">
        <v>6156</v>
      </c>
      <c r="B1192" t="s">
        <v>6157</v>
      </c>
      <c r="C1192" s="88">
        <v>46144.75299768518</v>
      </c>
      <c r="D1192" t="s">
        <v>105</v>
      </c>
      <c r="E1192" t="s">
        <v>106</v>
      </c>
      <c r="F1192" t="s">
        <v>6158</v>
      </c>
      <c r="G1192" t="s">
        <v>6159</v>
      </c>
      <c r="H1192" t="s">
        <v>6158</v>
      </c>
      <c r="I1192" s="88">
        <v>46141.751909722225</v>
      </c>
      <c r="J1192" t="s">
        <v>107</v>
      </c>
      <c r="K1192" t="s">
        <v>108</v>
      </c>
      <c r="L1192" t="s">
        <v>6160</v>
      </c>
      <c r="M1192" s="88">
        <v>46143.550706018519</v>
      </c>
      <c r="N1192" t="s">
        <v>637</v>
      </c>
      <c r="O1192" t="s">
        <v>112</v>
      </c>
      <c r="P1192" t="s">
        <v>111</v>
      </c>
      <c r="Q1192" t="s">
        <v>2085</v>
      </c>
      <c r="R1192">
        <v>2</v>
      </c>
      <c r="S1192" s="89">
        <v>9500</v>
      </c>
      <c r="T1192" s="89">
        <v>0</v>
      </c>
      <c r="U1192" s="89">
        <v>4280</v>
      </c>
      <c r="V1192" s="89">
        <v>4280</v>
      </c>
      <c r="W1192" s="89">
        <v>14720</v>
      </c>
    </row>
    <row r="1193" spans="1:23" ht="15.75" customHeight="1">
      <c r="A1193" t="s">
        <v>6161</v>
      </c>
      <c r="B1193" t="s">
        <v>6162</v>
      </c>
      <c r="C1193" s="88">
        <v>46144.742245370369</v>
      </c>
      <c r="D1193" t="s">
        <v>105</v>
      </c>
      <c r="E1193" t="s">
        <v>106</v>
      </c>
      <c r="F1193" t="s">
        <v>1821</v>
      </c>
      <c r="G1193" t="s">
        <v>1822</v>
      </c>
      <c r="H1193" t="s">
        <v>1821</v>
      </c>
      <c r="I1193" s="88">
        <v>46141.751956018517</v>
      </c>
      <c r="J1193" t="s">
        <v>107</v>
      </c>
      <c r="K1193" t="s">
        <v>108</v>
      </c>
      <c r="L1193" t="s">
        <v>6163</v>
      </c>
      <c r="M1193" s="88">
        <v>46143.54586805556</v>
      </c>
      <c r="N1193" t="s">
        <v>637</v>
      </c>
      <c r="O1193" t="s">
        <v>112</v>
      </c>
      <c r="P1193" t="s">
        <v>111</v>
      </c>
      <c r="Q1193" t="s">
        <v>2085</v>
      </c>
      <c r="R1193">
        <v>3</v>
      </c>
      <c r="S1193" s="89">
        <v>9500</v>
      </c>
      <c r="T1193" s="89">
        <v>0</v>
      </c>
      <c r="U1193" s="89">
        <v>6370</v>
      </c>
      <c r="V1193" s="89">
        <v>6370</v>
      </c>
      <c r="W1193" s="89">
        <v>22130</v>
      </c>
    </row>
    <row r="1194" spans="1:23" ht="15.75" customHeight="1">
      <c r="A1194" t="s">
        <v>6164</v>
      </c>
      <c r="B1194" t="s">
        <v>6165</v>
      </c>
      <c r="C1194" s="88">
        <v>46144.710034722222</v>
      </c>
      <c r="D1194" t="s">
        <v>105</v>
      </c>
      <c r="E1194" t="s">
        <v>106</v>
      </c>
      <c r="F1194" t="s">
        <v>388</v>
      </c>
      <c r="G1194" t="s">
        <v>6166</v>
      </c>
      <c r="H1194" t="s">
        <v>388</v>
      </c>
      <c r="I1194" s="88">
        <v>46140.633969907409</v>
      </c>
      <c r="J1194" t="s">
        <v>107</v>
      </c>
      <c r="K1194" t="s">
        <v>108</v>
      </c>
      <c r="L1194" t="s">
        <v>6167</v>
      </c>
      <c r="M1194" s="88">
        <v>46141.558356481481</v>
      </c>
      <c r="N1194" t="s">
        <v>637</v>
      </c>
      <c r="O1194" t="s">
        <v>112</v>
      </c>
      <c r="P1194" t="s">
        <v>111</v>
      </c>
      <c r="Q1194" t="s">
        <v>2085</v>
      </c>
      <c r="R1194">
        <v>1</v>
      </c>
      <c r="S1194" s="89">
        <v>9500</v>
      </c>
      <c r="T1194" s="89">
        <v>0</v>
      </c>
      <c r="U1194" s="89">
        <v>2090</v>
      </c>
      <c r="V1194" s="89">
        <v>2090</v>
      </c>
      <c r="W1194" s="89">
        <v>7410</v>
      </c>
    </row>
    <row r="1195" spans="1:23" ht="15.75" customHeight="1">
      <c r="A1195" t="s">
        <v>6168</v>
      </c>
      <c r="B1195" t="s">
        <v>6169</v>
      </c>
      <c r="C1195" s="88">
        <v>46144.634189814809</v>
      </c>
      <c r="D1195" t="s">
        <v>105</v>
      </c>
      <c r="E1195" t="s">
        <v>106</v>
      </c>
      <c r="F1195" t="s">
        <v>128</v>
      </c>
      <c r="G1195" t="s">
        <v>6170</v>
      </c>
      <c r="H1195" t="s">
        <v>128</v>
      </c>
      <c r="I1195" s="88">
        <v>46141.751863425925</v>
      </c>
      <c r="J1195" t="s">
        <v>107</v>
      </c>
      <c r="K1195" t="s">
        <v>108</v>
      </c>
      <c r="L1195" t="s">
        <v>6171</v>
      </c>
      <c r="M1195" s="88">
        <v>46143.550706018519</v>
      </c>
      <c r="N1195" t="s">
        <v>637</v>
      </c>
      <c r="O1195" t="s">
        <v>112</v>
      </c>
      <c r="P1195" t="s">
        <v>111</v>
      </c>
      <c r="Q1195" t="s">
        <v>2085</v>
      </c>
      <c r="R1195">
        <v>10</v>
      </c>
      <c r="S1195" s="89">
        <v>9500</v>
      </c>
      <c r="T1195" s="89">
        <v>0</v>
      </c>
      <c r="U1195" s="89">
        <v>33400</v>
      </c>
      <c r="V1195" s="89">
        <v>33400</v>
      </c>
      <c r="W1195" s="89">
        <v>61600</v>
      </c>
    </row>
    <row r="1196" spans="1:23" ht="15.75" customHeight="1">
      <c r="A1196" t="s">
        <v>6172</v>
      </c>
      <c r="B1196" t="s">
        <v>6173</v>
      </c>
      <c r="C1196" s="88">
        <v>46144.610127314816</v>
      </c>
      <c r="D1196" t="s">
        <v>105</v>
      </c>
      <c r="E1196" t="s">
        <v>106</v>
      </c>
      <c r="F1196" t="s">
        <v>372</v>
      </c>
      <c r="G1196" t="s">
        <v>6174</v>
      </c>
      <c r="H1196" t="s">
        <v>372</v>
      </c>
      <c r="I1196" s="88">
        <v>46140.633935185186</v>
      </c>
      <c r="J1196" t="s">
        <v>107</v>
      </c>
      <c r="K1196" t="s">
        <v>108</v>
      </c>
      <c r="L1196" t="s">
        <v>6175</v>
      </c>
      <c r="M1196" s="88">
        <v>46141.55574074074</v>
      </c>
      <c r="N1196" t="s">
        <v>637</v>
      </c>
      <c r="O1196" t="s">
        <v>112</v>
      </c>
      <c r="P1196" t="s">
        <v>111</v>
      </c>
      <c r="Q1196" t="s">
        <v>2085</v>
      </c>
      <c r="R1196">
        <v>6</v>
      </c>
      <c r="S1196" s="89">
        <v>9500</v>
      </c>
      <c r="T1196" s="89">
        <v>0</v>
      </c>
      <c r="U1196" s="89">
        <v>19980</v>
      </c>
      <c r="V1196" s="89">
        <v>19980</v>
      </c>
      <c r="W1196" s="89">
        <v>37020</v>
      </c>
    </row>
    <row r="1197" spans="1:23" ht="15.75" customHeight="1">
      <c r="A1197" t="s">
        <v>6176</v>
      </c>
      <c r="B1197" t="s">
        <v>6177</v>
      </c>
      <c r="C1197" s="88">
        <v>46144.593206018515</v>
      </c>
      <c r="D1197" t="s">
        <v>105</v>
      </c>
      <c r="E1197" t="s">
        <v>106</v>
      </c>
      <c r="F1197" t="s">
        <v>6178</v>
      </c>
      <c r="G1197" t="s">
        <v>715</v>
      </c>
      <c r="H1197" t="s">
        <v>6178</v>
      </c>
      <c r="I1197" s="88">
        <v>46140.633900462963</v>
      </c>
      <c r="J1197" t="s">
        <v>107</v>
      </c>
      <c r="K1197" t="s">
        <v>108</v>
      </c>
      <c r="L1197" t="s">
        <v>6179</v>
      </c>
      <c r="M1197" s="88">
        <v>46141.678541666668</v>
      </c>
      <c r="N1197" t="s">
        <v>637</v>
      </c>
      <c r="O1197" t="s">
        <v>112</v>
      </c>
      <c r="P1197" t="s">
        <v>111</v>
      </c>
      <c r="Q1197" t="s">
        <v>2085</v>
      </c>
      <c r="R1197">
        <v>5</v>
      </c>
      <c r="S1197" s="89">
        <v>9500</v>
      </c>
      <c r="T1197" s="89">
        <v>0</v>
      </c>
      <c r="U1197" s="89">
        <v>10550</v>
      </c>
      <c r="V1197" s="89">
        <v>10550</v>
      </c>
      <c r="W1197" s="89">
        <v>36950</v>
      </c>
    </row>
    <row r="1198" spans="1:23" ht="15.75" customHeight="1">
      <c r="A1198" t="s">
        <v>6180</v>
      </c>
      <c r="B1198" t="s">
        <v>6181</v>
      </c>
      <c r="C1198" s="88">
        <v>46144.587488425925</v>
      </c>
      <c r="D1198" t="s">
        <v>105</v>
      </c>
      <c r="E1198" t="s">
        <v>106</v>
      </c>
      <c r="F1198" t="s">
        <v>6182</v>
      </c>
      <c r="G1198" t="s">
        <v>6183</v>
      </c>
      <c r="H1198" t="s">
        <v>6182</v>
      </c>
      <c r="I1198" s="88">
        <v>46140.633900462963</v>
      </c>
      <c r="J1198" t="s">
        <v>107</v>
      </c>
      <c r="K1198" t="s">
        <v>108</v>
      </c>
      <c r="L1198" t="s">
        <v>6184</v>
      </c>
      <c r="M1198" s="88">
        <v>46141.474062499998</v>
      </c>
      <c r="N1198" t="s">
        <v>637</v>
      </c>
      <c r="O1198" t="s">
        <v>112</v>
      </c>
      <c r="P1198" t="s">
        <v>111</v>
      </c>
      <c r="Q1198" t="s">
        <v>2085</v>
      </c>
      <c r="R1198">
        <v>6</v>
      </c>
      <c r="S1198" s="89">
        <v>9500</v>
      </c>
      <c r="T1198" s="89">
        <v>0</v>
      </c>
      <c r="U1198" s="89">
        <v>20080</v>
      </c>
      <c r="V1198" s="89">
        <v>20080</v>
      </c>
      <c r="W1198" s="89">
        <v>36920</v>
      </c>
    </row>
    <row r="1199" spans="1:23" ht="15.75" customHeight="1">
      <c r="A1199" t="s">
        <v>6185</v>
      </c>
      <c r="B1199" t="s">
        <v>6186</v>
      </c>
      <c r="C1199" s="88">
        <v>46144.581990740742</v>
      </c>
      <c r="D1199" t="s">
        <v>105</v>
      </c>
      <c r="E1199" t="s">
        <v>106</v>
      </c>
      <c r="F1199" t="s">
        <v>327</v>
      </c>
      <c r="G1199" t="s">
        <v>6187</v>
      </c>
      <c r="H1199" t="s">
        <v>327</v>
      </c>
      <c r="I1199" s="88">
        <v>46141.751886574071</v>
      </c>
      <c r="J1199" t="s">
        <v>107</v>
      </c>
      <c r="K1199" t="s">
        <v>108</v>
      </c>
      <c r="L1199" t="s">
        <v>6188</v>
      </c>
      <c r="M1199" s="88">
        <v>46143.754166666666</v>
      </c>
      <c r="N1199" t="s">
        <v>637</v>
      </c>
      <c r="O1199" t="s">
        <v>112</v>
      </c>
      <c r="P1199" t="s">
        <v>111</v>
      </c>
      <c r="Q1199" t="s">
        <v>2085</v>
      </c>
      <c r="R1199">
        <v>2</v>
      </c>
      <c r="S1199" s="89">
        <v>9500</v>
      </c>
      <c r="T1199" s="89">
        <v>0</v>
      </c>
      <c r="U1199" s="89">
        <v>4280</v>
      </c>
      <c r="V1199" s="89">
        <v>4280</v>
      </c>
      <c r="W1199" s="89">
        <v>14720</v>
      </c>
    </row>
    <row r="1200" spans="1:23" ht="15.75" customHeight="1">
      <c r="A1200" t="s">
        <v>6189</v>
      </c>
      <c r="B1200" t="s">
        <v>6190</v>
      </c>
      <c r="C1200" s="88">
        <v>46144.514837962968</v>
      </c>
      <c r="D1200" t="s">
        <v>105</v>
      </c>
      <c r="E1200" t="s">
        <v>106</v>
      </c>
      <c r="F1200" t="s">
        <v>6191</v>
      </c>
      <c r="G1200" t="s">
        <v>6192</v>
      </c>
      <c r="H1200" t="s">
        <v>6191</v>
      </c>
      <c r="I1200" s="88">
        <v>46141.751886574071</v>
      </c>
      <c r="J1200" t="s">
        <v>107</v>
      </c>
      <c r="K1200" t="s">
        <v>108</v>
      </c>
      <c r="L1200" t="s">
        <v>6193</v>
      </c>
      <c r="M1200" s="88">
        <v>46143.524212962962</v>
      </c>
      <c r="N1200" t="s">
        <v>637</v>
      </c>
      <c r="O1200" t="s">
        <v>112</v>
      </c>
      <c r="P1200" t="s">
        <v>111</v>
      </c>
      <c r="Q1200" t="s">
        <v>2085</v>
      </c>
      <c r="R1200">
        <v>6</v>
      </c>
      <c r="S1200" s="89">
        <v>9500</v>
      </c>
      <c r="T1200" s="89">
        <v>0</v>
      </c>
      <c r="U1200" s="89">
        <v>20080</v>
      </c>
      <c r="V1200" s="89">
        <v>20080</v>
      </c>
      <c r="W1200" s="89">
        <v>36920</v>
      </c>
    </row>
    <row r="1201" spans="1:23" ht="15.75" customHeight="1">
      <c r="A1201" t="s">
        <v>6194</v>
      </c>
      <c r="B1201" t="s">
        <v>6195</v>
      </c>
      <c r="C1201" s="88">
        <v>46144.458831018521</v>
      </c>
      <c r="D1201" t="s">
        <v>105</v>
      </c>
      <c r="E1201" t="s">
        <v>106</v>
      </c>
      <c r="F1201" t="s">
        <v>6196</v>
      </c>
      <c r="G1201" t="s">
        <v>6197</v>
      </c>
      <c r="H1201" t="s">
        <v>6196</v>
      </c>
      <c r="I1201" s="88">
        <v>46140.633912037039</v>
      </c>
      <c r="J1201" t="s">
        <v>107</v>
      </c>
      <c r="K1201" t="s">
        <v>108</v>
      </c>
      <c r="L1201" t="s">
        <v>6198</v>
      </c>
      <c r="M1201" s="88">
        <v>46141.678518518514</v>
      </c>
      <c r="N1201" t="s">
        <v>637</v>
      </c>
      <c r="O1201" t="s">
        <v>112</v>
      </c>
      <c r="P1201" t="s">
        <v>111</v>
      </c>
      <c r="Q1201" t="s">
        <v>2085</v>
      </c>
      <c r="R1201">
        <v>6</v>
      </c>
      <c r="S1201" s="89">
        <v>9500</v>
      </c>
      <c r="T1201" s="89">
        <v>0</v>
      </c>
      <c r="U1201" s="89">
        <v>20080</v>
      </c>
      <c r="V1201" s="89">
        <v>20080</v>
      </c>
      <c r="W1201" s="89">
        <v>36920</v>
      </c>
    </row>
    <row r="1202" spans="1:23" ht="15.75" customHeight="1">
      <c r="A1202" t="s">
        <v>6199</v>
      </c>
      <c r="B1202" t="s">
        <v>6200</v>
      </c>
      <c r="C1202" s="88">
        <v>46144.451388888891</v>
      </c>
      <c r="D1202" t="s">
        <v>105</v>
      </c>
      <c r="E1202" t="s">
        <v>106</v>
      </c>
      <c r="F1202" t="s">
        <v>6201</v>
      </c>
      <c r="G1202" t="s">
        <v>6202</v>
      </c>
      <c r="H1202" t="s">
        <v>6201</v>
      </c>
      <c r="I1202" s="88">
        <v>46140.633912037039</v>
      </c>
      <c r="J1202" t="s">
        <v>107</v>
      </c>
      <c r="K1202" t="s">
        <v>108</v>
      </c>
      <c r="L1202" t="s">
        <v>6203</v>
      </c>
      <c r="M1202" s="88">
        <v>46141.762511574074</v>
      </c>
      <c r="N1202" t="s">
        <v>637</v>
      </c>
      <c r="O1202" t="s">
        <v>112</v>
      </c>
      <c r="P1202" t="s">
        <v>111</v>
      </c>
      <c r="Q1202" t="s">
        <v>2085</v>
      </c>
      <c r="R1202">
        <v>4</v>
      </c>
      <c r="S1202" s="89">
        <v>9500</v>
      </c>
      <c r="T1202" s="89">
        <v>0</v>
      </c>
      <c r="U1202" s="89">
        <v>8460</v>
      </c>
      <c r="V1202" s="89">
        <v>8460</v>
      </c>
      <c r="W1202" s="89">
        <v>29540</v>
      </c>
    </row>
    <row r="1203" spans="1:23" ht="15.75" customHeight="1">
      <c r="A1203" t="s">
        <v>6204</v>
      </c>
      <c r="B1203" t="s">
        <v>6205</v>
      </c>
      <c r="C1203" s="88">
        <v>46144.448888888888</v>
      </c>
      <c r="D1203" t="s">
        <v>105</v>
      </c>
      <c r="E1203" t="s">
        <v>106</v>
      </c>
      <c r="F1203" t="s">
        <v>6206</v>
      </c>
      <c r="G1203" t="s">
        <v>6207</v>
      </c>
      <c r="H1203" t="s">
        <v>6206</v>
      </c>
      <c r="I1203" s="88">
        <v>46140.633912037039</v>
      </c>
      <c r="J1203" t="s">
        <v>107</v>
      </c>
      <c r="K1203" t="s">
        <v>108</v>
      </c>
      <c r="L1203" t="s">
        <v>6208</v>
      </c>
      <c r="M1203" s="88">
        <v>46141.678518518514</v>
      </c>
      <c r="N1203" t="s">
        <v>637</v>
      </c>
      <c r="O1203" t="s">
        <v>112</v>
      </c>
      <c r="P1203" t="s">
        <v>111</v>
      </c>
      <c r="Q1203" t="s">
        <v>2085</v>
      </c>
      <c r="R1203">
        <v>2</v>
      </c>
      <c r="S1203" s="89">
        <v>9500</v>
      </c>
      <c r="T1203" s="89">
        <v>0</v>
      </c>
      <c r="U1203" s="89">
        <v>4180</v>
      </c>
      <c r="V1203" s="89">
        <v>4180</v>
      </c>
      <c r="W1203" s="89">
        <v>14820</v>
      </c>
    </row>
    <row r="1204" spans="1:23" ht="15.75" customHeight="1">
      <c r="A1204" t="s">
        <v>6209</v>
      </c>
      <c r="B1204" t="s">
        <v>6210</v>
      </c>
      <c r="C1204" s="88">
        <v>46144.43614583333</v>
      </c>
      <c r="D1204" t="s">
        <v>105</v>
      </c>
      <c r="E1204" t="s">
        <v>106</v>
      </c>
      <c r="F1204" t="s">
        <v>6211</v>
      </c>
      <c r="G1204" t="s">
        <v>6212</v>
      </c>
      <c r="H1204" t="s">
        <v>6211</v>
      </c>
      <c r="I1204" s="88">
        <v>46140.633923611109</v>
      </c>
      <c r="J1204" t="s">
        <v>107</v>
      </c>
      <c r="K1204" t="s">
        <v>108</v>
      </c>
      <c r="L1204" t="s">
        <v>6213</v>
      </c>
      <c r="M1204" s="88">
        <v>46141.550011574072</v>
      </c>
      <c r="N1204" t="s">
        <v>637</v>
      </c>
      <c r="O1204" t="s">
        <v>112</v>
      </c>
      <c r="P1204" t="s">
        <v>111</v>
      </c>
      <c r="Q1204" t="s">
        <v>2085</v>
      </c>
      <c r="R1204">
        <v>6</v>
      </c>
      <c r="S1204" s="89">
        <v>9500</v>
      </c>
      <c r="T1204" s="89">
        <v>0</v>
      </c>
      <c r="U1204" s="89">
        <v>20080</v>
      </c>
      <c r="V1204" s="89">
        <v>20080</v>
      </c>
      <c r="W1204" s="89">
        <v>36920</v>
      </c>
    </row>
    <row r="1205" spans="1:23" ht="15.75" customHeight="1">
      <c r="A1205" t="s">
        <v>6214</v>
      </c>
      <c r="B1205" t="s">
        <v>6215</v>
      </c>
      <c r="C1205" s="88">
        <v>46144.416979166665</v>
      </c>
      <c r="D1205" t="s">
        <v>105</v>
      </c>
      <c r="E1205" t="s">
        <v>106</v>
      </c>
      <c r="F1205" t="s">
        <v>390</v>
      </c>
      <c r="G1205" t="s">
        <v>135</v>
      </c>
      <c r="H1205" t="s">
        <v>390</v>
      </c>
      <c r="I1205" s="88">
        <v>46140.633923611109</v>
      </c>
      <c r="J1205" t="s">
        <v>107</v>
      </c>
      <c r="K1205" t="s">
        <v>108</v>
      </c>
      <c r="L1205" t="s">
        <v>6216</v>
      </c>
      <c r="M1205" s="88">
        <v>46141.500231481477</v>
      </c>
      <c r="N1205" t="s">
        <v>637</v>
      </c>
      <c r="O1205" t="s">
        <v>112</v>
      </c>
      <c r="P1205" t="s">
        <v>111</v>
      </c>
      <c r="Q1205" t="s">
        <v>2085</v>
      </c>
      <c r="R1205">
        <v>6</v>
      </c>
      <c r="S1205" s="89">
        <v>9500</v>
      </c>
      <c r="T1205" s="89">
        <v>0</v>
      </c>
      <c r="U1205" s="89">
        <v>19980</v>
      </c>
      <c r="V1205" s="89">
        <v>19980</v>
      </c>
      <c r="W1205" s="89">
        <v>37020</v>
      </c>
    </row>
    <row r="1206" spans="1:23" ht="15.75" customHeight="1">
      <c r="A1206" t="s">
        <v>6217</v>
      </c>
      <c r="B1206" t="s">
        <v>6218</v>
      </c>
      <c r="C1206" s="88">
        <v>46144.389444444445</v>
      </c>
      <c r="D1206" t="s">
        <v>105</v>
      </c>
      <c r="E1206" t="s">
        <v>106</v>
      </c>
      <c r="F1206" t="s">
        <v>6219</v>
      </c>
      <c r="G1206" t="s">
        <v>6220</v>
      </c>
      <c r="H1206" t="s">
        <v>6219</v>
      </c>
      <c r="I1206" s="88">
        <v>46140.633958333332</v>
      </c>
      <c r="J1206" t="s">
        <v>107</v>
      </c>
      <c r="K1206" t="s">
        <v>108</v>
      </c>
      <c r="L1206" t="s">
        <v>6221</v>
      </c>
      <c r="M1206" s="88">
        <v>46141.59511574074</v>
      </c>
      <c r="N1206" t="s">
        <v>637</v>
      </c>
      <c r="O1206" t="s">
        <v>112</v>
      </c>
      <c r="P1206" t="s">
        <v>111</v>
      </c>
      <c r="Q1206" t="s">
        <v>2085</v>
      </c>
      <c r="R1206">
        <v>1</v>
      </c>
      <c r="S1206" s="89">
        <v>9500</v>
      </c>
      <c r="T1206" s="89">
        <v>0</v>
      </c>
      <c r="U1206" s="89">
        <v>2190</v>
      </c>
      <c r="V1206" s="89">
        <v>2190</v>
      </c>
      <c r="W1206" s="89">
        <v>7310</v>
      </c>
    </row>
    <row r="1207" spans="1:23" ht="15.75" customHeight="1">
      <c r="A1207" t="s">
        <v>6222</v>
      </c>
      <c r="B1207" t="s">
        <v>6223</v>
      </c>
      <c r="C1207" s="88">
        <v>46144.389189814814</v>
      </c>
      <c r="D1207" t="s">
        <v>105</v>
      </c>
      <c r="E1207" t="s">
        <v>106</v>
      </c>
      <c r="F1207" t="s">
        <v>293</v>
      </c>
      <c r="G1207" t="s">
        <v>6224</v>
      </c>
      <c r="H1207" t="s">
        <v>293</v>
      </c>
      <c r="I1207" s="88">
        <v>46140.633935185186</v>
      </c>
      <c r="J1207" t="s">
        <v>107</v>
      </c>
      <c r="K1207" t="s">
        <v>108</v>
      </c>
      <c r="L1207" t="s">
        <v>6225</v>
      </c>
      <c r="M1207" s="88">
        <v>46141.67796296296</v>
      </c>
      <c r="N1207" t="s">
        <v>637</v>
      </c>
      <c r="O1207" t="s">
        <v>112</v>
      </c>
      <c r="P1207" t="s">
        <v>111</v>
      </c>
      <c r="Q1207" t="s">
        <v>2085</v>
      </c>
      <c r="R1207">
        <v>6</v>
      </c>
      <c r="S1207" s="89">
        <v>9500</v>
      </c>
      <c r="T1207" s="89">
        <v>0</v>
      </c>
      <c r="U1207" s="89">
        <v>20080</v>
      </c>
      <c r="V1207" s="89">
        <v>20080</v>
      </c>
      <c r="W1207" s="89">
        <v>36920</v>
      </c>
    </row>
    <row r="1208" spans="1:23" ht="15.75" customHeight="1">
      <c r="A1208" t="s">
        <v>6226</v>
      </c>
      <c r="B1208" t="s">
        <v>6227</v>
      </c>
      <c r="C1208" s="88">
        <v>46144.383692129632</v>
      </c>
      <c r="D1208" t="s">
        <v>105</v>
      </c>
      <c r="E1208" t="s">
        <v>106</v>
      </c>
      <c r="F1208" t="s">
        <v>6228</v>
      </c>
      <c r="G1208" t="s">
        <v>6229</v>
      </c>
      <c r="H1208" t="s">
        <v>362</v>
      </c>
      <c r="I1208" s="88">
        <v>46140.633923611109</v>
      </c>
      <c r="J1208" t="s">
        <v>107</v>
      </c>
      <c r="K1208" t="s">
        <v>108</v>
      </c>
      <c r="L1208" t="s">
        <v>6230</v>
      </c>
      <c r="M1208" s="88">
        <v>46141.644108796296</v>
      </c>
      <c r="N1208" t="s">
        <v>637</v>
      </c>
      <c r="O1208" t="s">
        <v>112</v>
      </c>
      <c r="P1208" t="s">
        <v>111</v>
      </c>
      <c r="Q1208" t="s">
        <v>2085</v>
      </c>
      <c r="R1208">
        <v>6</v>
      </c>
      <c r="S1208" s="89">
        <v>9500</v>
      </c>
      <c r="T1208" s="89">
        <v>0</v>
      </c>
      <c r="U1208" s="89">
        <v>20080</v>
      </c>
      <c r="V1208" s="89">
        <v>20080</v>
      </c>
      <c r="W1208" s="89">
        <v>36920</v>
      </c>
    </row>
    <row r="1209" spans="1:23" ht="15.75" customHeight="1">
      <c r="A1209" t="s">
        <v>6231</v>
      </c>
      <c r="B1209" t="s">
        <v>6232</v>
      </c>
      <c r="C1209" s="88">
        <v>46144.381006944444</v>
      </c>
      <c r="D1209" t="s">
        <v>105</v>
      </c>
      <c r="E1209" t="s">
        <v>106</v>
      </c>
      <c r="F1209" t="s">
        <v>6233</v>
      </c>
      <c r="G1209" t="s">
        <v>6234</v>
      </c>
      <c r="H1209" t="s">
        <v>6235</v>
      </c>
      <c r="I1209" s="88">
        <v>46141.751909722225</v>
      </c>
      <c r="J1209" t="s">
        <v>107</v>
      </c>
      <c r="K1209" t="s">
        <v>108</v>
      </c>
      <c r="L1209" t="s">
        <v>6236</v>
      </c>
      <c r="M1209" s="88">
        <v>46143.754166666666</v>
      </c>
      <c r="N1209" t="s">
        <v>637</v>
      </c>
      <c r="O1209" t="s">
        <v>112</v>
      </c>
      <c r="P1209" t="s">
        <v>111</v>
      </c>
      <c r="Q1209" t="s">
        <v>2085</v>
      </c>
      <c r="R1209">
        <v>6</v>
      </c>
      <c r="S1209" s="89">
        <v>9500</v>
      </c>
      <c r="T1209" s="89">
        <v>0</v>
      </c>
      <c r="U1209" s="89">
        <v>19980</v>
      </c>
      <c r="V1209" s="89">
        <v>19980</v>
      </c>
      <c r="W1209" s="89">
        <v>37020</v>
      </c>
    </row>
    <row r="1210" spans="1:23" ht="15.75" customHeight="1">
      <c r="A1210" t="s">
        <v>6237</v>
      </c>
      <c r="B1210" t="s">
        <v>6238</v>
      </c>
      <c r="C1210" s="88">
        <v>46144.380833333329</v>
      </c>
      <c r="D1210" t="s">
        <v>105</v>
      </c>
      <c r="E1210" t="s">
        <v>106</v>
      </c>
      <c r="F1210" t="s">
        <v>6239</v>
      </c>
      <c r="G1210" t="s">
        <v>6240</v>
      </c>
      <c r="H1210" t="s">
        <v>6239</v>
      </c>
      <c r="I1210" s="88">
        <v>46140.633923611109</v>
      </c>
      <c r="J1210" t="s">
        <v>107</v>
      </c>
      <c r="K1210" t="s">
        <v>108</v>
      </c>
      <c r="L1210" t="s">
        <v>6241</v>
      </c>
      <c r="M1210" s="88">
        <v>46141.692141203705</v>
      </c>
      <c r="N1210" t="s">
        <v>637</v>
      </c>
      <c r="O1210" t="s">
        <v>112</v>
      </c>
      <c r="P1210" t="s">
        <v>111</v>
      </c>
      <c r="Q1210" t="s">
        <v>2085</v>
      </c>
      <c r="R1210">
        <v>3</v>
      </c>
      <c r="S1210" s="89">
        <v>9500</v>
      </c>
      <c r="T1210" s="89">
        <v>0</v>
      </c>
      <c r="U1210" s="89">
        <v>6370</v>
      </c>
      <c r="V1210" s="89">
        <v>6370</v>
      </c>
      <c r="W1210" s="89">
        <v>22130</v>
      </c>
    </row>
    <row r="1211" spans="1:23" ht="15.75" customHeight="1">
      <c r="A1211" t="s">
        <v>6242</v>
      </c>
      <c r="B1211" t="s">
        <v>6243</v>
      </c>
      <c r="C1211" s="88">
        <v>46144.123611111107</v>
      </c>
      <c r="D1211" t="s">
        <v>105</v>
      </c>
      <c r="E1211" t="s">
        <v>106</v>
      </c>
      <c r="F1211" t="s">
        <v>5875</v>
      </c>
      <c r="G1211" t="s">
        <v>6244</v>
      </c>
      <c r="H1211" t="s">
        <v>5875</v>
      </c>
      <c r="I1211" s="88">
        <v>46141.751828703702</v>
      </c>
      <c r="J1211" t="s">
        <v>107</v>
      </c>
      <c r="K1211" t="s">
        <v>108</v>
      </c>
      <c r="L1211" t="s">
        <v>6245</v>
      </c>
      <c r="M1211" s="88">
        <v>46143.524212962962</v>
      </c>
      <c r="N1211" t="s">
        <v>637</v>
      </c>
      <c r="O1211" t="s">
        <v>112</v>
      </c>
      <c r="P1211" t="s">
        <v>111</v>
      </c>
      <c r="Q1211" t="s">
        <v>2085</v>
      </c>
      <c r="R1211">
        <v>2</v>
      </c>
      <c r="S1211" s="89">
        <v>9500</v>
      </c>
      <c r="T1211" s="89">
        <v>0</v>
      </c>
      <c r="U1211" s="89">
        <v>4280</v>
      </c>
      <c r="V1211" s="89">
        <v>4280</v>
      </c>
      <c r="W1211" s="89">
        <v>14720</v>
      </c>
    </row>
    <row r="1212" spans="1:23" ht="15.75" customHeight="1">
      <c r="A1212" t="s">
        <v>6246</v>
      </c>
      <c r="B1212" t="s">
        <v>1653</v>
      </c>
      <c r="C1212" s="88">
        <v>46144.085277777776</v>
      </c>
      <c r="D1212" t="s">
        <v>105</v>
      </c>
      <c r="E1212" t="s">
        <v>106</v>
      </c>
      <c r="F1212" t="s">
        <v>373</v>
      </c>
      <c r="G1212" t="s">
        <v>1654</v>
      </c>
      <c r="H1212" t="s">
        <v>373</v>
      </c>
      <c r="I1212" s="88">
        <v>46135.633668981478</v>
      </c>
      <c r="J1212" t="s">
        <v>107</v>
      </c>
      <c r="K1212" t="s">
        <v>108</v>
      </c>
      <c r="L1212" t="s">
        <v>6247</v>
      </c>
      <c r="M1212" s="88">
        <v>46136.544618055559</v>
      </c>
      <c r="N1212" t="s">
        <v>1562</v>
      </c>
      <c r="O1212" t="s">
        <v>123</v>
      </c>
      <c r="P1212" t="s">
        <v>111</v>
      </c>
      <c r="Q1212" t="s">
        <v>59</v>
      </c>
      <c r="R1212">
        <v>1</v>
      </c>
      <c r="S1212" s="89">
        <v>22000</v>
      </c>
      <c r="T1212" s="89">
        <v>0</v>
      </c>
      <c r="U1212" s="89">
        <v>6600</v>
      </c>
      <c r="V1212" s="89">
        <v>6600</v>
      </c>
      <c r="W1212" s="89">
        <v>15400</v>
      </c>
    </row>
    <row r="1213" spans="1:23" ht="15.75" customHeight="1">
      <c r="A1213" t="s">
        <v>6248</v>
      </c>
      <c r="B1213" t="s">
        <v>6249</v>
      </c>
      <c r="C1213" s="88">
        <v>46144.058923611112</v>
      </c>
      <c r="D1213" t="s">
        <v>105</v>
      </c>
      <c r="E1213" t="s">
        <v>106</v>
      </c>
      <c r="F1213" t="s">
        <v>405</v>
      </c>
      <c r="G1213" t="s">
        <v>6250</v>
      </c>
      <c r="H1213" t="s">
        <v>405</v>
      </c>
      <c r="I1213" s="88">
        <v>46141.751956018517</v>
      </c>
      <c r="J1213" t="s">
        <v>107</v>
      </c>
      <c r="K1213" t="s">
        <v>108</v>
      </c>
      <c r="L1213" t="s">
        <v>6251</v>
      </c>
      <c r="M1213" s="88">
        <v>46143.670844907407</v>
      </c>
      <c r="N1213" t="s">
        <v>637</v>
      </c>
      <c r="O1213" t="s">
        <v>112</v>
      </c>
      <c r="P1213" t="s">
        <v>111</v>
      </c>
      <c r="Q1213" t="s">
        <v>2085</v>
      </c>
      <c r="R1213">
        <v>6</v>
      </c>
      <c r="S1213" s="89">
        <v>9500</v>
      </c>
      <c r="T1213" s="89">
        <v>0</v>
      </c>
      <c r="U1213" s="89">
        <v>20080</v>
      </c>
      <c r="V1213" s="89">
        <v>20080</v>
      </c>
      <c r="W1213" s="89">
        <v>36920</v>
      </c>
    </row>
    <row r="1214" spans="1:23" ht="15.75" customHeight="1">
      <c r="A1214" t="s">
        <v>6252</v>
      </c>
      <c r="B1214" t="s">
        <v>6253</v>
      </c>
      <c r="C1214" s="88">
        <v>46144.02275462963</v>
      </c>
      <c r="D1214" t="s">
        <v>105</v>
      </c>
      <c r="E1214" t="s">
        <v>106</v>
      </c>
      <c r="F1214" t="s">
        <v>6254</v>
      </c>
      <c r="G1214" t="s">
        <v>6255</v>
      </c>
      <c r="H1214" t="s">
        <v>6254</v>
      </c>
      <c r="I1214" s="88">
        <v>46140.633912037039</v>
      </c>
      <c r="J1214" t="s">
        <v>107</v>
      </c>
      <c r="K1214" t="s">
        <v>108</v>
      </c>
      <c r="L1214" t="s">
        <v>6256</v>
      </c>
      <c r="M1214" s="88">
        <v>46141.764236111107</v>
      </c>
      <c r="N1214" t="s">
        <v>637</v>
      </c>
      <c r="O1214" t="s">
        <v>112</v>
      </c>
      <c r="P1214" t="s">
        <v>111</v>
      </c>
      <c r="Q1214" t="s">
        <v>2085</v>
      </c>
      <c r="R1214">
        <v>10</v>
      </c>
      <c r="S1214" s="89">
        <v>9500</v>
      </c>
      <c r="T1214" s="89">
        <v>0</v>
      </c>
      <c r="U1214" s="89">
        <v>33400</v>
      </c>
      <c r="V1214" s="89">
        <v>33400</v>
      </c>
      <c r="W1214" s="89">
        <v>61600</v>
      </c>
    </row>
    <row r="1215" spans="1:23" ht="15.75" customHeight="1">
      <c r="A1215" t="s">
        <v>6257</v>
      </c>
      <c r="B1215" t="s">
        <v>6258</v>
      </c>
      <c r="C1215" s="88">
        <v>46144.016493055555</v>
      </c>
      <c r="D1215" t="s">
        <v>105</v>
      </c>
      <c r="E1215" t="s">
        <v>106</v>
      </c>
      <c r="F1215" t="s">
        <v>6259</v>
      </c>
      <c r="G1215" t="s">
        <v>6260</v>
      </c>
      <c r="H1215" t="s">
        <v>6259</v>
      </c>
      <c r="I1215" s="88">
        <v>46141.751932870371</v>
      </c>
      <c r="J1215" t="s">
        <v>107</v>
      </c>
      <c r="K1215" t="s">
        <v>108</v>
      </c>
      <c r="L1215" t="s">
        <v>6261</v>
      </c>
      <c r="M1215" s="88">
        <v>46143.670844907407</v>
      </c>
      <c r="N1215" t="s">
        <v>637</v>
      </c>
      <c r="O1215" t="s">
        <v>112</v>
      </c>
      <c r="P1215" t="s">
        <v>111</v>
      </c>
      <c r="Q1215" t="s">
        <v>2085</v>
      </c>
      <c r="R1215">
        <v>2</v>
      </c>
      <c r="S1215" s="89">
        <v>9500</v>
      </c>
      <c r="T1215" s="89">
        <v>0</v>
      </c>
      <c r="U1215" s="89">
        <v>4280</v>
      </c>
      <c r="V1215" s="89">
        <v>4280</v>
      </c>
      <c r="W1215" s="89">
        <v>14720</v>
      </c>
    </row>
    <row r="1216" spans="1:23" ht="15.75" customHeight="1">
      <c r="A1216" t="s">
        <v>6262</v>
      </c>
      <c r="B1216" t="s">
        <v>6263</v>
      </c>
      <c r="C1216" s="88">
        <v>46143.986712962964</v>
      </c>
      <c r="D1216" t="s">
        <v>105</v>
      </c>
      <c r="E1216" t="s">
        <v>106</v>
      </c>
      <c r="F1216" t="s">
        <v>6264</v>
      </c>
      <c r="G1216" t="s">
        <v>6265</v>
      </c>
      <c r="H1216" t="s">
        <v>6264</v>
      </c>
      <c r="I1216" s="88">
        <v>46141.751863425925</v>
      </c>
      <c r="J1216" t="s">
        <v>107</v>
      </c>
      <c r="K1216" t="s">
        <v>108</v>
      </c>
      <c r="L1216" t="s">
        <v>6266</v>
      </c>
      <c r="M1216" s="88">
        <v>46143.46597222222</v>
      </c>
      <c r="N1216" t="s">
        <v>637</v>
      </c>
      <c r="O1216" t="s">
        <v>112</v>
      </c>
      <c r="P1216" t="s">
        <v>111</v>
      </c>
      <c r="Q1216" t="s">
        <v>2085</v>
      </c>
      <c r="R1216">
        <v>6</v>
      </c>
      <c r="S1216" s="89">
        <v>9500</v>
      </c>
      <c r="T1216" s="89">
        <v>0</v>
      </c>
      <c r="U1216" s="89">
        <v>20080</v>
      </c>
      <c r="V1216" s="89">
        <v>20080</v>
      </c>
      <c r="W1216" s="89">
        <v>36920</v>
      </c>
    </row>
    <row r="1217" spans="1:23" ht="15.75" customHeight="1">
      <c r="A1217" t="s">
        <v>6267</v>
      </c>
      <c r="B1217" t="s">
        <v>6268</v>
      </c>
      <c r="C1217" s="88">
        <v>46143.969525462962</v>
      </c>
      <c r="D1217" t="s">
        <v>105</v>
      </c>
      <c r="E1217" t="s">
        <v>106</v>
      </c>
      <c r="F1217" t="s">
        <v>1615</v>
      </c>
      <c r="G1217" t="s">
        <v>6269</v>
      </c>
      <c r="H1217" t="s">
        <v>1615</v>
      </c>
      <c r="I1217" s="88">
        <v>46141.751863425925</v>
      </c>
      <c r="J1217" t="s">
        <v>107</v>
      </c>
      <c r="K1217" t="s">
        <v>108</v>
      </c>
      <c r="L1217" t="s">
        <v>6270</v>
      </c>
      <c r="M1217" s="88">
        <v>46143.550717592589</v>
      </c>
      <c r="N1217" t="s">
        <v>637</v>
      </c>
      <c r="O1217" t="s">
        <v>112</v>
      </c>
      <c r="P1217" t="s">
        <v>111</v>
      </c>
      <c r="Q1217" t="s">
        <v>2085</v>
      </c>
      <c r="R1217">
        <v>10</v>
      </c>
      <c r="S1217" s="89">
        <v>9500</v>
      </c>
      <c r="T1217" s="89">
        <v>0</v>
      </c>
      <c r="U1217" s="89">
        <v>36400</v>
      </c>
      <c r="V1217" s="89">
        <v>33400</v>
      </c>
      <c r="W1217" s="89">
        <v>58600</v>
      </c>
    </row>
    <row r="1218" spans="1:23" ht="15.75" customHeight="1">
      <c r="A1218" t="s">
        <v>6271</v>
      </c>
      <c r="B1218" t="s">
        <v>6272</v>
      </c>
      <c r="C1218" s="88">
        <v>46143.923541666663</v>
      </c>
      <c r="D1218" t="s">
        <v>105</v>
      </c>
      <c r="E1218" t="s">
        <v>106</v>
      </c>
      <c r="F1218" t="s">
        <v>6273</v>
      </c>
      <c r="G1218" t="s">
        <v>6274</v>
      </c>
      <c r="H1218" t="s">
        <v>6273</v>
      </c>
      <c r="I1218" s="88">
        <v>46141.751909722225</v>
      </c>
      <c r="J1218" t="s">
        <v>107</v>
      </c>
      <c r="K1218" t="s">
        <v>108</v>
      </c>
      <c r="L1218" t="s">
        <v>6275</v>
      </c>
      <c r="M1218" s="88">
        <v>46143.524212962962</v>
      </c>
      <c r="N1218" t="s">
        <v>637</v>
      </c>
      <c r="O1218" t="s">
        <v>112</v>
      </c>
      <c r="P1218" t="s">
        <v>111</v>
      </c>
      <c r="Q1218" t="s">
        <v>2085</v>
      </c>
      <c r="R1218">
        <v>1</v>
      </c>
      <c r="S1218" s="89">
        <v>9500</v>
      </c>
      <c r="T1218" s="89">
        <v>0</v>
      </c>
      <c r="U1218" s="89">
        <v>2090</v>
      </c>
      <c r="V1218" s="89">
        <v>2090</v>
      </c>
      <c r="W1218" s="89">
        <v>7410</v>
      </c>
    </row>
    <row r="1219" spans="1:23" ht="15.75" customHeight="1">
      <c r="A1219" t="s">
        <v>6276</v>
      </c>
      <c r="B1219" t="s">
        <v>192</v>
      </c>
      <c r="C1219" s="88">
        <v>46143.914178240739</v>
      </c>
      <c r="D1219" t="s">
        <v>105</v>
      </c>
      <c r="E1219" t="s">
        <v>106</v>
      </c>
      <c r="F1219" t="s">
        <v>193</v>
      </c>
      <c r="G1219" t="s">
        <v>194</v>
      </c>
      <c r="H1219" t="s">
        <v>193</v>
      </c>
      <c r="I1219" s="88">
        <v>46141.751932870371</v>
      </c>
      <c r="J1219" t="s">
        <v>107</v>
      </c>
      <c r="K1219" t="s">
        <v>108</v>
      </c>
      <c r="L1219" t="s">
        <v>6277</v>
      </c>
      <c r="M1219" s="88">
        <v>46143.54586805556</v>
      </c>
      <c r="N1219" t="s">
        <v>637</v>
      </c>
      <c r="O1219" t="s">
        <v>112</v>
      </c>
      <c r="P1219" t="s">
        <v>111</v>
      </c>
      <c r="Q1219" t="s">
        <v>2085</v>
      </c>
      <c r="R1219">
        <v>6</v>
      </c>
      <c r="S1219" s="89">
        <v>9500</v>
      </c>
      <c r="T1219" s="89">
        <v>0</v>
      </c>
      <c r="U1219" s="89">
        <v>19980</v>
      </c>
      <c r="V1219" s="89">
        <v>19980</v>
      </c>
      <c r="W1219" s="89">
        <v>37020</v>
      </c>
    </row>
    <row r="1220" spans="1:23" ht="15.75" customHeight="1">
      <c r="A1220" t="s">
        <v>6278</v>
      </c>
      <c r="B1220" t="s">
        <v>6279</v>
      </c>
      <c r="C1220" s="88">
        <v>46143.913078703699</v>
      </c>
      <c r="D1220" t="s">
        <v>105</v>
      </c>
      <c r="E1220" t="s">
        <v>106</v>
      </c>
      <c r="F1220" t="s">
        <v>329</v>
      </c>
      <c r="G1220" t="s">
        <v>6280</v>
      </c>
      <c r="H1220" t="s">
        <v>329</v>
      </c>
      <c r="I1220" s="88">
        <v>46140.633912037039</v>
      </c>
      <c r="J1220" t="s">
        <v>107</v>
      </c>
      <c r="K1220" t="s">
        <v>108</v>
      </c>
      <c r="L1220" t="s">
        <v>6281</v>
      </c>
      <c r="M1220" s="88">
        <v>46141.678518518514</v>
      </c>
      <c r="N1220" t="s">
        <v>637</v>
      </c>
      <c r="O1220" t="s">
        <v>112</v>
      </c>
      <c r="P1220" t="s">
        <v>111</v>
      </c>
      <c r="Q1220" t="s">
        <v>2085</v>
      </c>
      <c r="R1220">
        <v>6</v>
      </c>
      <c r="S1220" s="89">
        <v>9500</v>
      </c>
      <c r="T1220" s="89">
        <v>0</v>
      </c>
      <c r="U1220" s="89">
        <v>20080</v>
      </c>
      <c r="V1220" s="89">
        <v>20080</v>
      </c>
      <c r="W1220" s="89">
        <v>36920</v>
      </c>
    </row>
    <row r="1221" spans="1:23" ht="15.75" customHeight="1">
      <c r="A1221" t="s">
        <v>6282</v>
      </c>
      <c r="B1221" t="s">
        <v>6283</v>
      </c>
      <c r="C1221" s="88">
        <v>46143.911666666667</v>
      </c>
      <c r="D1221" t="s">
        <v>105</v>
      </c>
      <c r="E1221" t="s">
        <v>106</v>
      </c>
      <c r="F1221" t="s">
        <v>5248</v>
      </c>
      <c r="G1221" t="s">
        <v>6284</v>
      </c>
      <c r="H1221" t="s">
        <v>5248</v>
      </c>
      <c r="I1221" s="88">
        <v>46141.751909722225</v>
      </c>
      <c r="J1221" t="s">
        <v>107</v>
      </c>
      <c r="K1221" t="s">
        <v>108</v>
      </c>
      <c r="L1221" t="s">
        <v>6285</v>
      </c>
      <c r="M1221" s="88">
        <v>46143.619756944448</v>
      </c>
      <c r="N1221" t="s">
        <v>637</v>
      </c>
      <c r="O1221" t="s">
        <v>112</v>
      </c>
      <c r="P1221" t="s">
        <v>111</v>
      </c>
      <c r="Q1221" t="s">
        <v>2085</v>
      </c>
      <c r="R1221">
        <v>2</v>
      </c>
      <c r="S1221" s="89">
        <v>9500</v>
      </c>
      <c r="T1221" s="89">
        <v>0</v>
      </c>
      <c r="U1221" s="89">
        <v>4280</v>
      </c>
      <c r="V1221" s="89">
        <v>4280</v>
      </c>
      <c r="W1221" s="89">
        <v>14720</v>
      </c>
    </row>
    <row r="1222" spans="1:23" ht="15.75" customHeight="1">
      <c r="A1222" t="s">
        <v>6286</v>
      </c>
      <c r="B1222" t="s">
        <v>6287</v>
      </c>
      <c r="C1222" s="88">
        <v>46143.905324074076</v>
      </c>
      <c r="D1222" t="s">
        <v>105</v>
      </c>
      <c r="E1222" t="s">
        <v>106</v>
      </c>
      <c r="F1222" t="s">
        <v>285</v>
      </c>
      <c r="G1222" t="s">
        <v>6288</v>
      </c>
      <c r="H1222" t="s">
        <v>6289</v>
      </c>
      <c r="I1222" s="88">
        <v>46141.751909722225</v>
      </c>
      <c r="J1222" t="s">
        <v>107</v>
      </c>
      <c r="K1222" t="s">
        <v>108</v>
      </c>
      <c r="L1222" t="s">
        <v>6290</v>
      </c>
      <c r="M1222" s="88">
        <v>46143.545856481476</v>
      </c>
      <c r="N1222" t="s">
        <v>637</v>
      </c>
      <c r="O1222" t="s">
        <v>112</v>
      </c>
      <c r="P1222" t="s">
        <v>111</v>
      </c>
      <c r="Q1222" t="s">
        <v>2085</v>
      </c>
      <c r="R1222">
        <v>6</v>
      </c>
      <c r="S1222" s="89">
        <v>9500</v>
      </c>
      <c r="T1222" s="89">
        <v>0</v>
      </c>
      <c r="U1222" s="89">
        <v>20080</v>
      </c>
      <c r="V1222" s="89">
        <v>20080</v>
      </c>
      <c r="W1222" s="89">
        <v>36920</v>
      </c>
    </row>
    <row r="1223" spans="1:23" ht="15.75" customHeight="1">
      <c r="A1223" t="s">
        <v>6291</v>
      </c>
      <c r="B1223" t="s">
        <v>6292</v>
      </c>
      <c r="C1223" s="88">
        <v>46143.896018518513</v>
      </c>
      <c r="D1223" t="s">
        <v>105</v>
      </c>
      <c r="E1223" t="s">
        <v>106</v>
      </c>
      <c r="F1223" t="s">
        <v>206</v>
      </c>
      <c r="G1223" t="s">
        <v>204</v>
      </c>
      <c r="H1223" t="s">
        <v>6293</v>
      </c>
      <c r="I1223" s="88">
        <v>46141.751956018517</v>
      </c>
      <c r="J1223" t="s">
        <v>107</v>
      </c>
      <c r="K1223" t="s">
        <v>108</v>
      </c>
      <c r="L1223" t="s">
        <v>6294</v>
      </c>
      <c r="M1223" s="88">
        <v>46143.549409722225</v>
      </c>
      <c r="N1223" t="s">
        <v>637</v>
      </c>
      <c r="O1223" t="s">
        <v>112</v>
      </c>
      <c r="P1223" t="s">
        <v>111</v>
      </c>
      <c r="Q1223" t="s">
        <v>2085</v>
      </c>
      <c r="R1223">
        <v>2</v>
      </c>
      <c r="S1223" s="89">
        <v>9500</v>
      </c>
      <c r="T1223" s="89">
        <v>0</v>
      </c>
      <c r="U1223" s="89">
        <v>4280</v>
      </c>
      <c r="V1223" s="89">
        <v>4280</v>
      </c>
      <c r="W1223" s="89">
        <v>14720</v>
      </c>
    </row>
    <row r="1224" spans="1:23" ht="15.75" customHeight="1">
      <c r="A1224" t="s">
        <v>6295</v>
      </c>
      <c r="B1224" t="s">
        <v>6296</v>
      </c>
      <c r="C1224" s="88">
        <v>46143.883553240739</v>
      </c>
      <c r="D1224" t="s">
        <v>105</v>
      </c>
      <c r="E1224" t="s">
        <v>106</v>
      </c>
      <c r="F1224" t="s">
        <v>3854</v>
      </c>
      <c r="G1224" t="s">
        <v>6297</v>
      </c>
      <c r="H1224" t="s">
        <v>6298</v>
      </c>
      <c r="I1224" s="88">
        <v>46141.751932870371</v>
      </c>
      <c r="J1224" t="s">
        <v>107</v>
      </c>
      <c r="K1224" t="s">
        <v>108</v>
      </c>
      <c r="L1224" t="s">
        <v>6299</v>
      </c>
      <c r="M1224" s="88">
        <v>46143.54586805556</v>
      </c>
      <c r="N1224" t="s">
        <v>637</v>
      </c>
      <c r="O1224" t="s">
        <v>112</v>
      </c>
      <c r="P1224" t="s">
        <v>111</v>
      </c>
      <c r="Q1224" t="s">
        <v>2085</v>
      </c>
      <c r="R1224">
        <v>3</v>
      </c>
      <c r="S1224" s="89">
        <v>9500</v>
      </c>
      <c r="T1224" s="89">
        <v>0</v>
      </c>
      <c r="U1224" s="89">
        <v>6370</v>
      </c>
      <c r="V1224" s="89">
        <v>6370</v>
      </c>
      <c r="W1224" s="89">
        <v>22130</v>
      </c>
    </row>
    <row r="1225" spans="1:23" ht="15.75" customHeight="1">
      <c r="A1225" t="s">
        <v>6300</v>
      </c>
      <c r="B1225" t="s">
        <v>6301</v>
      </c>
      <c r="C1225" s="88">
        <v>46143.814722222218</v>
      </c>
      <c r="D1225" t="s">
        <v>105</v>
      </c>
      <c r="E1225" t="s">
        <v>106</v>
      </c>
      <c r="F1225" t="s">
        <v>6302</v>
      </c>
      <c r="G1225" t="s">
        <v>6303</v>
      </c>
      <c r="H1225" t="s">
        <v>6302</v>
      </c>
      <c r="I1225" s="88">
        <v>46141.751909722225</v>
      </c>
      <c r="J1225" t="s">
        <v>107</v>
      </c>
      <c r="K1225" t="s">
        <v>108</v>
      </c>
      <c r="L1225" t="s">
        <v>6304</v>
      </c>
      <c r="M1225" s="88">
        <v>46143.476597222223</v>
      </c>
      <c r="N1225" t="s">
        <v>637</v>
      </c>
      <c r="O1225" t="s">
        <v>112</v>
      </c>
      <c r="P1225" t="s">
        <v>111</v>
      </c>
      <c r="Q1225" t="s">
        <v>2085</v>
      </c>
      <c r="R1225">
        <v>1</v>
      </c>
      <c r="S1225" s="89">
        <v>9500</v>
      </c>
      <c r="T1225" s="89">
        <v>0</v>
      </c>
      <c r="U1225" s="89">
        <v>2190</v>
      </c>
      <c r="V1225" s="89">
        <v>2190</v>
      </c>
      <c r="W1225" s="89">
        <v>7310</v>
      </c>
    </row>
    <row r="1226" spans="1:23" ht="15.75" customHeight="1">
      <c r="A1226" t="s">
        <v>6305</v>
      </c>
      <c r="B1226" t="s">
        <v>6306</v>
      </c>
      <c r="C1226" s="88">
        <v>46143.792384259257</v>
      </c>
      <c r="D1226" t="s">
        <v>105</v>
      </c>
      <c r="E1226" t="s">
        <v>106</v>
      </c>
      <c r="F1226" t="s">
        <v>6307</v>
      </c>
      <c r="G1226" t="s">
        <v>6308</v>
      </c>
      <c r="H1226" t="s">
        <v>6307</v>
      </c>
      <c r="I1226" s="88">
        <v>46141.751840277779</v>
      </c>
      <c r="J1226" t="s">
        <v>107</v>
      </c>
      <c r="K1226" t="s">
        <v>108</v>
      </c>
      <c r="L1226" t="s">
        <v>6309</v>
      </c>
      <c r="M1226" s="88">
        <v>46143.549409722225</v>
      </c>
      <c r="N1226" t="s">
        <v>637</v>
      </c>
      <c r="O1226" t="s">
        <v>112</v>
      </c>
      <c r="P1226" t="s">
        <v>111</v>
      </c>
      <c r="Q1226" t="s">
        <v>2085</v>
      </c>
      <c r="R1226">
        <v>2</v>
      </c>
      <c r="S1226" s="89">
        <v>9500</v>
      </c>
      <c r="T1226" s="89">
        <v>0</v>
      </c>
      <c r="U1226" s="89">
        <v>4280</v>
      </c>
      <c r="V1226" s="89">
        <v>4280</v>
      </c>
      <c r="W1226" s="89">
        <v>14720</v>
      </c>
    </row>
    <row r="1227" spans="1:23" ht="15.75" customHeight="1">
      <c r="A1227" t="s">
        <v>6310</v>
      </c>
      <c r="B1227" t="s">
        <v>6311</v>
      </c>
      <c r="C1227" s="88">
        <v>46143.783287037033</v>
      </c>
      <c r="D1227" t="s">
        <v>105</v>
      </c>
      <c r="E1227" t="s">
        <v>106</v>
      </c>
      <c r="F1227" t="s">
        <v>6312</v>
      </c>
      <c r="G1227" t="s">
        <v>6313</v>
      </c>
      <c r="H1227" t="s">
        <v>6312</v>
      </c>
      <c r="I1227" s="88">
        <v>46140.633923611109</v>
      </c>
      <c r="J1227" t="s">
        <v>107</v>
      </c>
      <c r="K1227" t="s">
        <v>108</v>
      </c>
      <c r="L1227" t="s">
        <v>6314</v>
      </c>
      <c r="M1227" s="88">
        <v>46141.677951388891</v>
      </c>
      <c r="N1227" t="s">
        <v>637</v>
      </c>
      <c r="O1227" t="s">
        <v>112</v>
      </c>
      <c r="P1227" t="s">
        <v>111</v>
      </c>
      <c r="Q1227" t="s">
        <v>2085</v>
      </c>
      <c r="R1227">
        <v>7</v>
      </c>
      <c r="S1227" s="89">
        <v>9500</v>
      </c>
      <c r="T1227" s="89">
        <v>0</v>
      </c>
      <c r="U1227" s="89">
        <v>23410</v>
      </c>
      <c r="V1227" s="89">
        <v>23410</v>
      </c>
      <c r="W1227" s="89">
        <v>43090</v>
      </c>
    </row>
    <row r="1228" spans="1:23" ht="15.75" customHeight="1">
      <c r="A1228" t="s">
        <v>6315</v>
      </c>
      <c r="B1228" t="s">
        <v>6316</v>
      </c>
      <c r="C1228" s="88">
        <v>46143.747314814813</v>
      </c>
      <c r="D1228" t="s">
        <v>105</v>
      </c>
      <c r="E1228" t="s">
        <v>106</v>
      </c>
      <c r="F1228" t="s">
        <v>6317</v>
      </c>
      <c r="G1228" t="s">
        <v>6318</v>
      </c>
      <c r="H1228" t="s">
        <v>6317</v>
      </c>
      <c r="I1228" s="88">
        <v>46140.633935185186</v>
      </c>
      <c r="J1228" t="s">
        <v>107</v>
      </c>
      <c r="K1228" t="s">
        <v>108</v>
      </c>
      <c r="L1228" t="s">
        <v>6319</v>
      </c>
      <c r="M1228" s="88">
        <v>46141.470891203702</v>
      </c>
      <c r="N1228" t="s">
        <v>637</v>
      </c>
      <c r="O1228" t="s">
        <v>112</v>
      </c>
      <c r="P1228" t="s">
        <v>111</v>
      </c>
      <c r="Q1228" t="s">
        <v>2085</v>
      </c>
      <c r="R1228">
        <v>6</v>
      </c>
      <c r="S1228" s="89">
        <v>9500</v>
      </c>
      <c r="T1228" s="89">
        <v>0</v>
      </c>
      <c r="U1228" s="89">
        <v>19980</v>
      </c>
      <c r="V1228" s="89">
        <v>19980</v>
      </c>
      <c r="W1228" s="89">
        <v>37020</v>
      </c>
    </row>
    <row r="1229" spans="1:23" ht="15.75" customHeight="1">
      <c r="A1229" t="s">
        <v>6320</v>
      </c>
      <c r="B1229" t="s">
        <v>6321</v>
      </c>
      <c r="C1229" s="88">
        <v>46143.745486111111</v>
      </c>
      <c r="D1229" t="s">
        <v>105</v>
      </c>
      <c r="E1229" t="s">
        <v>106</v>
      </c>
      <c r="F1229" t="s">
        <v>6322</v>
      </c>
      <c r="G1229" t="s">
        <v>6323</v>
      </c>
      <c r="H1229" t="s">
        <v>6322</v>
      </c>
      <c r="I1229" s="88">
        <v>46141.751956018517</v>
      </c>
      <c r="J1229" t="s">
        <v>107</v>
      </c>
      <c r="K1229" t="s">
        <v>108</v>
      </c>
      <c r="L1229" t="s">
        <v>6324</v>
      </c>
      <c r="M1229" s="88">
        <v>46143.463923611111</v>
      </c>
      <c r="N1229" t="s">
        <v>637</v>
      </c>
      <c r="O1229" t="s">
        <v>112</v>
      </c>
      <c r="P1229" t="s">
        <v>111</v>
      </c>
      <c r="Q1229" t="s">
        <v>2085</v>
      </c>
      <c r="R1229">
        <v>2</v>
      </c>
      <c r="S1229" s="89">
        <v>9500</v>
      </c>
      <c r="T1229" s="89">
        <v>0</v>
      </c>
      <c r="U1229" s="89">
        <v>4280</v>
      </c>
      <c r="V1229" s="89">
        <v>4280</v>
      </c>
      <c r="W1229" s="89">
        <v>14720</v>
      </c>
    </row>
    <row r="1230" spans="1:23" ht="15.75" customHeight="1">
      <c r="A1230" t="s">
        <v>6325</v>
      </c>
      <c r="B1230" t="s">
        <v>254</v>
      </c>
      <c r="C1230" s="88">
        <v>46143.739849537036</v>
      </c>
      <c r="D1230" t="s">
        <v>105</v>
      </c>
      <c r="E1230" t="s">
        <v>106</v>
      </c>
      <c r="F1230" t="s">
        <v>255</v>
      </c>
      <c r="G1230" t="s">
        <v>256</v>
      </c>
      <c r="H1230" t="s">
        <v>255</v>
      </c>
      <c r="I1230" s="88">
        <v>46141.596921296295</v>
      </c>
      <c r="J1230" t="s">
        <v>107</v>
      </c>
      <c r="K1230" t="s">
        <v>108</v>
      </c>
      <c r="L1230" t="s">
        <v>6326</v>
      </c>
      <c r="M1230" s="88">
        <v>46142.714687500003</v>
      </c>
      <c r="N1230" t="s">
        <v>1992</v>
      </c>
      <c r="O1230" t="s">
        <v>110</v>
      </c>
      <c r="P1230" t="s">
        <v>111</v>
      </c>
      <c r="Q1230" t="s">
        <v>4558</v>
      </c>
      <c r="R1230">
        <v>1</v>
      </c>
      <c r="S1230" s="89">
        <v>129000</v>
      </c>
      <c r="T1230" s="89">
        <v>0</v>
      </c>
      <c r="U1230" s="89">
        <v>29700</v>
      </c>
      <c r="V1230" s="89">
        <v>29700</v>
      </c>
      <c r="W1230" s="89">
        <v>99300</v>
      </c>
    </row>
    <row r="1231" spans="1:23" ht="15.75" customHeight="1">
      <c r="A1231" t="s">
        <v>6327</v>
      </c>
      <c r="B1231" t="s">
        <v>6328</v>
      </c>
      <c r="C1231" s="88">
        <v>46143.738483796296</v>
      </c>
      <c r="D1231" t="s">
        <v>105</v>
      </c>
      <c r="E1231" t="s">
        <v>106</v>
      </c>
      <c r="F1231" t="s">
        <v>6329</v>
      </c>
      <c r="G1231" t="s">
        <v>6330</v>
      </c>
      <c r="H1231" t="s">
        <v>6331</v>
      </c>
      <c r="I1231" s="88">
        <v>46141.751840277779</v>
      </c>
      <c r="J1231" t="s">
        <v>107</v>
      </c>
      <c r="K1231" t="s">
        <v>108</v>
      </c>
      <c r="L1231" t="s">
        <v>6332</v>
      </c>
      <c r="M1231" s="88">
        <v>46143.670844907407</v>
      </c>
      <c r="N1231" t="s">
        <v>637</v>
      </c>
      <c r="O1231" t="s">
        <v>112</v>
      </c>
      <c r="P1231" t="s">
        <v>111</v>
      </c>
      <c r="Q1231" t="s">
        <v>2085</v>
      </c>
      <c r="R1231">
        <v>8</v>
      </c>
      <c r="S1231" s="89">
        <v>9500</v>
      </c>
      <c r="T1231" s="89">
        <v>0</v>
      </c>
      <c r="U1231" s="89">
        <v>26740</v>
      </c>
      <c r="V1231" s="89">
        <v>26740</v>
      </c>
      <c r="W1231" s="89">
        <v>49260</v>
      </c>
    </row>
    <row r="1232" spans="1:23" ht="15.75" customHeight="1">
      <c r="A1232" t="s">
        <v>6333</v>
      </c>
      <c r="B1232" t="s">
        <v>6334</v>
      </c>
      <c r="C1232" s="88">
        <v>46143.733923611115</v>
      </c>
      <c r="D1232" t="s">
        <v>105</v>
      </c>
      <c r="E1232" t="s">
        <v>106</v>
      </c>
      <c r="F1232" t="s">
        <v>258</v>
      </c>
      <c r="G1232" t="s">
        <v>6335</v>
      </c>
      <c r="H1232" t="s">
        <v>258</v>
      </c>
      <c r="I1232" s="88">
        <v>46141.751840277779</v>
      </c>
      <c r="J1232" t="s">
        <v>107</v>
      </c>
      <c r="K1232" t="s">
        <v>108</v>
      </c>
      <c r="L1232" t="s">
        <v>6336</v>
      </c>
      <c r="M1232" s="88">
        <v>46143.549409722225</v>
      </c>
      <c r="N1232" t="s">
        <v>637</v>
      </c>
      <c r="O1232" t="s">
        <v>112</v>
      </c>
      <c r="P1232" t="s">
        <v>111</v>
      </c>
      <c r="Q1232" t="s">
        <v>2085</v>
      </c>
      <c r="R1232">
        <v>6</v>
      </c>
      <c r="S1232" s="89">
        <v>9500</v>
      </c>
      <c r="T1232" s="89">
        <v>0</v>
      </c>
      <c r="U1232" s="89">
        <v>21080</v>
      </c>
      <c r="V1232" s="89">
        <v>20080</v>
      </c>
      <c r="W1232" s="89">
        <v>35920</v>
      </c>
    </row>
    <row r="1233" spans="1:23" ht="15.75" customHeight="1">
      <c r="A1233" t="s">
        <v>6337</v>
      </c>
      <c r="B1233" t="s">
        <v>6338</v>
      </c>
      <c r="C1233" s="88">
        <v>46143.709074074075</v>
      </c>
      <c r="D1233" t="s">
        <v>105</v>
      </c>
      <c r="E1233" t="s">
        <v>106</v>
      </c>
      <c r="F1233" t="s">
        <v>6339</v>
      </c>
      <c r="G1233" t="s">
        <v>244</v>
      </c>
      <c r="H1233" t="s">
        <v>6339</v>
      </c>
      <c r="I1233" s="88">
        <v>46141.751932870371</v>
      </c>
      <c r="J1233" t="s">
        <v>107</v>
      </c>
      <c r="K1233" t="s">
        <v>108</v>
      </c>
      <c r="L1233" t="s">
        <v>6340</v>
      </c>
      <c r="M1233" s="88">
        <v>46143.672905092593</v>
      </c>
      <c r="N1233" t="s">
        <v>637</v>
      </c>
      <c r="O1233" t="s">
        <v>112</v>
      </c>
      <c r="P1233" t="s">
        <v>111</v>
      </c>
      <c r="Q1233" t="s">
        <v>2085</v>
      </c>
      <c r="R1233">
        <v>8</v>
      </c>
      <c r="S1233" s="89">
        <v>9500</v>
      </c>
      <c r="T1233" s="89">
        <v>0</v>
      </c>
      <c r="U1233" s="89">
        <v>26740</v>
      </c>
      <c r="V1233" s="89">
        <v>26740</v>
      </c>
      <c r="W1233" s="89">
        <v>49260</v>
      </c>
    </row>
    <row r="1234" spans="1:23" ht="15.75" customHeight="1">
      <c r="A1234" t="s">
        <v>6341</v>
      </c>
      <c r="B1234" t="s">
        <v>6342</v>
      </c>
      <c r="C1234" s="88">
        <v>46143.695740740739</v>
      </c>
      <c r="D1234" t="s">
        <v>105</v>
      </c>
      <c r="E1234" t="s">
        <v>106</v>
      </c>
      <c r="F1234" t="s">
        <v>6343</v>
      </c>
      <c r="G1234" t="s">
        <v>6344</v>
      </c>
      <c r="H1234" t="s">
        <v>6343</v>
      </c>
      <c r="I1234" s="88">
        <v>46141.751886574071</v>
      </c>
      <c r="J1234" t="s">
        <v>107</v>
      </c>
      <c r="K1234" t="s">
        <v>108</v>
      </c>
      <c r="L1234" t="s">
        <v>6345</v>
      </c>
      <c r="M1234" s="88">
        <v>46143.672905092593</v>
      </c>
      <c r="N1234" t="s">
        <v>637</v>
      </c>
      <c r="O1234" t="s">
        <v>112</v>
      </c>
      <c r="P1234" t="s">
        <v>111</v>
      </c>
      <c r="Q1234" t="s">
        <v>2085</v>
      </c>
      <c r="R1234">
        <v>6</v>
      </c>
      <c r="S1234" s="89">
        <v>9500</v>
      </c>
      <c r="T1234" s="89">
        <v>0</v>
      </c>
      <c r="U1234" s="89">
        <v>20080</v>
      </c>
      <c r="V1234" s="89">
        <v>20080</v>
      </c>
      <c r="W1234" s="89">
        <v>36920</v>
      </c>
    </row>
    <row r="1235" spans="1:23" ht="15.75" customHeight="1">
      <c r="A1235" t="s">
        <v>6346</v>
      </c>
      <c r="B1235" t="s">
        <v>6347</v>
      </c>
      <c r="C1235" s="88">
        <v>46143.69222222222</v>
      </c>
      <c r="D1235" t="s">
        <v>105</v>
      </c>
      <c r="E1235" t="s">
        <v>106</v>
      </c>
      <c r="F1235" t="s">
        <v>358</v>
      </c>
      <c r="G1235" t="s">
        <v>6348</v>
      </c>
      <c r="H1235" t="s">
        <v>358</v>
      </c>
      <c r="I1235" s="88">
        <v>46141.639583333337</v>
      </c>
      <c r="J1235" t="s">
        <v>107</v>
      </c>
      <c r="K1235" t="s">
        <v>108</v>
      </c>
      <c r="L1235" t="s">
        <v>6349</v>
      </c>
      <c r="M1235" s="88">
        <v>46142.525254629625</v>
      </c>
      <c r="N1235" t="s">
        <v>1992</v>
      </c>
      <c r="O1235" t="s">
        <v>110</v>
      </c>
      <c r="P1235" t="s">
        <v>111</v>
      </c>
      <c r="Q1235" t="s">
        <v>2170</v>
      </c>
      <c r="R1235">
        <v>1</v>
      </c>
      <c r="S1235" s="89">
        <v>129000</v>
      </c>
      <c r="T1235" s="89">
        <v>0</v>
      </c>
      <c r="U1235" s="89">
        <v>29700</v>
      </c>
      <c r="V1235" s="89">
        <v>29700</v>
      </c>
      <c r="W1235" s="89">
        <v>99300</v>
      </c>
    </row>
    <row r="1236" spans="1:23" ht="15.75" customHeight="1">
      <c r="A1236" t="s">
        <v>6350</v>
      </c>
      <c r="B1236" t="s">
        <v>6351</v>
      </c>
      <c r="C1236" s="88">
        <v>46143.677222222221</v>
      </c>
      <c r="D1236" t="s">
        <v>105</v>
      </c>
      <c r="E1236" t="s">
        <v>106</v>
      </c>
      <c r="F1236" t="s">
        <v>6352</v>
      </c>
      <c r="G1236" t="s">
        <v>6353</v>
      </c>
      <c r="H1236" t="s">
        <v>6352</v>
      </c>
      <c r="I1236" s="88">
        <v>46141.751956018517</v>
      </c>
      <c r="J1236" t="s">
        <v>107</v>
      </c>
      <c r="K1236" t="s">
        <v>108</v>
      </c>
      <c r="L1236" t="s">
        <v>6354</v>
      </c>
      <c r="M1236" s="88">
        <v>46143.54587962963</v>
      </c>
      <c r="N1236" t="s">
        <v>637</v>
      </c>
      <c r="O1236" t="s">
        <v>112</v>
      </c>
      <c r="P1236" t="s">
        <v>111</v>
      </c>
      <c r="Q1236" t="s">
        <v>2085</v>
      </c>
      <c r="R1236">
        <v>2</v>
      </c>
      <c r="S1236" s="89">
        <v>9500</v>
      </c>
      <c r="T1236" s="89">
        <v>0</v>
      </c>
      <c r="U1236" s="89">
        <v>4280</v>
      </c>
      <c r="V1236" s="89">
        <v>4280</v>
      </c>
      <c r="W1236" s="89">
        <v>14720</v>
      </c>
    </row>
    <row r="1237" spans="1:23" ht="15.75" customHeight="1">
      <c r="A1237" t="s">
        <v>6355</v>
      </c>
      <c r="B1237" t="s">
        <v>6356</v>
      </c>
      <c r="C1237" s="88">
        <v>46143.645949074074</v>
      </c>
      <c r="D1237" t="s">
        <v>105</v>
      </c>
      <c r="E1237" t="s">
        <v>106</v>
      </c>
      <c r="F1237" t="s">
        <v>6357</v>
      </c>
      <c r="G1237" t="s">
        <v>6358</v>
      </c>
      <c r="H1237" t="s">
        <v>6357</v>
      </c>
      <c r="I1237" s="88">
        <v>46141.751851851848</v>
      </c>
      <c r="J1237" t="s">
        <v>107</v>
      </c>
      <c r="K1237" t="s">
        <v>108</v>
      </c>
      <c r="L1237" t="s">
        <v>6359</v>
      </c>
      <c r="M1237" s="88">
        <v>46143.545856481476</v>
      </c>
      <c r="N1237" t="s">
        <v>637</v>
      </c>
      <c r="O1237" t="s">
        <v>112</v>
      </c>
      <c r="P1237" t="s">
        <v>111</v>
      </c>
      <c r="Q1237" t="s">
        <v>2085</v>
      </c>
      <c r="R1237">
        <v>4</v>
      </c>
      <c r="S1237" s="89">
        <v>9500</v>
      </c>
      <c r="T1237" s="89">
        <v>0</v>
      </c>
      <c r="U1237" s="89">
        <v>8460</v>
      </c>
      <c r="V1237" s="89">
        <v>8460</v>
      </c>
      <c r="W1237" s="89">
        <v>29540</v>
      </c>
    </row>
    <row r="1238" spans="1:23" ht="15.75" customHeight="1">
      <c r="A1238" t="s">
        <v>6360</v>
      </c>
      <c r="B1238" t="s">
        <v>6361</v>
      </c>
      <c r="C1238" s="88">
        <v>46143.644166666665</v>
      </c>
      <c r="D1238" t="s">
        <v>105</v>
      </c>
      <c r="E1238" t="s">
        <v>106</v>
      </c>
      <c r="F1238" t="s">
        <v>6362</v>
      </c>
      <c r="G1238" t="s">
        <v>6363</v>
      </c>
      <c r="H1238" t="s">
        <v>6362</v>
      </c>
      <c r="I1238" s="88">
        <v>46141.751909722225</v>
      </c>
      <c r="J1238" t="s">
        <v>107</v>
      </c>
      <c r="K1238" t="s">
        <v>108</v>
      </c>
      <c r="L1238" t="s">
        <v>6364</v>
      </c>
      <c r="M1238" s="88">
        <v>46143.545856481476</v>
      </c>
      <c r="N1238" t="s">
        <v>637</v>
      </c>
      <c r="O1238" t="s">
        <v>112</v>
      </c>
      <c r="P1238" t="s">
        <v>111</v>
      </c>
      <c r="Q1238" t="s">
        <v>2085</v>
      </c>
      <c r="R1238">
        <v>3</v>
      </c>
      <c r="S1238" s="89">
        <v>9500</v>
      </c>
      <c r="T1238" s="89">
        <v>0</v>
      </c>
      <c r="U1238" s="89">
        <v>6270</v>
      </c>
      <c r="V1238" s="89">
        <v>6270</v>
      </c>
      <c r="W1238" s="89">
        <v>22230</v>
      </c>
    </row>
    <row r="1239" spans="1:23" ht="15.75" customHeight="1">
      <c r="A1239" t="s">
        <v>6365</v>
      </c>
      <c r="B1239" t="s">
        <v>6366</v>
      </c>
      <c r="C1239" s="88">
        <v>46143.621365740742</v>
      </c>
      <c r="D1239" t="s">
        <v>105</v>
      </c>
      <c r="E1239" t="s">
        <v>106</v>
      </c>
      <c r="F1239" t="s">
        <v>276</v>
      </c>
      <c r="G1239" t="s">
        <v>6367</v>
      </c>
      <c r="H1239" t="s">
        <v>276</v>
      </c>
      <c r="I1239" s="88">
        <v>46141.751932870371</v>
      </c>
      <c r="J1239" t="s">
        <v>107</v>
      </c>
      <c r="K1239" t="s">
        <v>108</v>
      </c>
      <c r="L1239" t="s">
        <v>6368</v>
      </c>
      <c r="M1239" s="88">
        <v>46143.463900462964</v>
      </c>
      <c r="N1239" t="s">
        <v>637</v>
      </c>
      <c r="O1239" t="s">
        <v>112</v>
      </c>
      <c r="P1239" t="s">
        <v>111</v>
      </c>
      <c r="Q1239" t="s">
        <v>2085</v>
      </c>
      <c r="R1239">
        <v>2</v>
      </c>
      <c r="S1239" s="89">
        <v>9500</v>
      </c>
      <c r="T1239" s="89">
        <v>0</v>
      </c>
      <c r="U1239" s="89">
        <v>4280</v>
      </c>
      <c r="V1239" s="89">
        <v>4280</v>
      </c>
      <c r="W1239" s="89">
        <v>14720</v>
      </c>
    </row>
    <row r="1240" spans="1:23" ht="15.75" customHeight="1">
      <c r="A1240" t="s">
        <v>6369</v>
      </c>
      <c r="B1240" t="s">
        <v>6370</v>
      </c>
      <c r="C1240" s="88">
        <v>46143.616273148145</v>
      </c>
      <c r="D1240" t="s">
        <v>105</v>
      </c>
      <c r="E1240" t="s">
        <v>106</v>
      </c>
      <c r="F1240" t="s">
        <v>6371</v>
      </c>
      <c r="G1240" t="s">
        <v>6372</v>
      </c>
      <c r="H1240" t="s">
        <v>6371</v>
      </c>
      <c r="I1240" s="88">
        <v>46141.751863425925</v>
      </c>
      <c r="J1240" t="s">
        <v>107</v>
      </c>
      <c r="K1240" t="s">
        <v>108</v>
      </c>
      <c r="L1240" t="s">
        <v>6373</v>
      </c>
      <c r="M1240" s="88">
        <v>46143.476597222223</v>
      </c>
      <c r="N1240" t="s">
        <v>637</v>
      </c>
      <c r="O1240" t="s">
        <v>112</v>
      </c>
      <c r="P1240" t="s">
        <v>111</v>
      </c>
      <c r="Q1240" t="s">
        <v>2085</v>
      </c>
      <c r="R1240">
        <v>2</v>
      </c>
      <c r="S1240" s="89">
        <v>9500</v>
      </c>
      <c r="T1240" s="89">
        <v>0</v>
      </c>
      <c r="U1240" s="89">
        <v>4280</v>
      </c>
      <c r="V1240" s="89">
        <v>4280</v>
      </c>
      <c r="W1240" s="89">
        <v>14720</v>
      </c>
    </row>
    <row r="1241" spans="1:23" ht="15.75" customHeight="1">
      <c r="A1241" t="s">
        <v>6374</v>
      </c>
      <c r="B1241" t="s">
        <v>6375</v>
      </c>
      <c r="C1241" s="88">
        <v>46143.586238425924</v>
      </c>
      <c r="D1241" t="s">
        <v>105</v>
      </c>
      <c r="E1241" t="s">
        <v>106</v>
      </c>
      <c r="F1241" t="s">
        <v>442</v>
      </c>
      <c r="G1241" t="s">
        <v>6376</v>
      </c>
      <c r="H1241" t="s">
        <v>6377</v>
      </c>
      <c r="I1241" s="88">
        <v>46141.751956018517</v>
      </c>
      <c r="J1241" t="s">
        <v>107</v>
      </c>
      <c r="K1241" t="s">
        <v>108</v>
      </c>
      <c r="L1241" t="s">
        <v>6378</v>
      </c>
      <c r="M1241" s="88">
        <v>46143.428854166668</v>
      </c>
      <c r="N1241" t="s">
        <v>637</v>
      </c>
      <c r="O1241" t="s">
        <v>112</v>
      </c>
      <c r="P1241" t="s">
        <v>111</v>
      </c>
      <c r="Q1241" t="s">
        <v>2085</v>
      </c>
      <c r="R1241">
        <v>6</v>
      </c>
      <c r="S1241" s="89">
        <v>9500</v>
      </c>
      <c r="T1241" s="89">
        <v>0</v>
      </c>
      <c r="U1241" s="89">
        <v>19980</v>
      </c>
      <c r="V1241" s="89">
        <v>19980</v>
      </c>
      <c r="W1241" s="89">
        <v>37020</v>
      </c>
    </row>
    <row r="1242" spans="1:23" ht="15.75" customHeight="1">
      <c r="A1242" t="s">
        <v>6379</v>
      </c>
      <c r="B1242" t="s">
        <v>6380</v>
      </c>
      <c r="C1242" s="88">
        <v>46143.584421296298</v>
      </c>
      <c r="D1242" t="s">
        <v>105</v>
      </c>
      <c r="E1242" t="s">
        <v>106</v>
      </c>
      <c r="F1242" t="s">
        <v>306</v>
      </c>
      <c r="G1242" t="s">
        <v>6381</v>
      </c>
      <c r="H1242" t="s">
        <v>306</v>
      </c>
      <c r="I1242" s="88">
        <v>46141.596921296295</v>
      </c>
      <c r="J1242" t="s">
        <v>107</v>
      </c>
      <c r="K1242" t="s">
        <v>108</v>
      </c>
      <c r="L1242" t="s">
        <v>6382</v>
      </c>
      <c r="M1242" s="88">
        <v>46142.466712962967</v>
      </c>
      <c r="N1242" t="s">
        <v>1992</v>
      </c>
      <c r="O1242" t="s">
        <v>110</v>
      </c>
      <c r="P1242" t="s">
        <v>111</v>
      </c>
      <c r="Q1242" t="s">
        <v>4526</v>
      </c>
      <c r="R1242">
        <v>1</v>
      </c>
      <c r="S1242" s="89">
        <v>129000</v>
      </c>
      <c r="T1242" s="89">
        <v>0</v>
      </c>
      <c r="U1242" s="89">
        <v>29800</v>
      </c>
      <c r="V1242" s="89">
        <v>29800</v>
      </c>
      <c r="W1242" s="89">
        <v>99200</v>
      </c>
    </row>
    <row r="1243" spans="1:23" ht="15.75" customHeight="1">
      <c r="A1243" t="s">
        <v>6383</v>
      </c>
      <c r="B1243" t="s">
        <v>6384</v>
      </c>
      <c r="C1243" s="88">
        <v>46143.572696759264</v>
      </c>
      <c r="D1243" t="s">
        <v>105</v>
      </c>
      <c r="E1243" t="s">
        <v>106</v>
      </c>
      <c r="F1243" t="s">
        <v>2821</v>
      </c>
      <c r="G1243" t="s">
        <v>6385</v>
      </c>
      <c r="H1243" t="s">
        <v>2821</v>
      </c>
      <c r="I1243" s="88">
        <v>46141.751863425925</v>
      </c>
      <c r="J1243" t="s">
        <v>107</v>
      </c>
      <c r="K1243" t="s">
        <v>108</v>
      </c>
      <c r="L1243" t="s">
        <v>6386</v>
      </c>
      <c r="M1243" s="88">
        <v>46143.463912037041</v>
      </c>
      <c r="N1243" t="s">
        <v>637</v>
      </c>
      <c r="O1243" t="s">
        <v>112</v>
      </c>
      <c r="P1243" t="s">
        <v>111</v>
      </c>
      <c r="Q1243" t="s">
        <v>2085</v>
      </c>
      <c r="R1243">
        <v>2</v>
      </c>
      <c r="S1243" s="89">
        <v>9500</v>
      </c>
      <c r="T1243" s="89">
        <v>0</v>
      </c>
      <c r="U1243" s="89">
        <v>4280</v>
      </c>
      <c r="V1243" s="89">
        <v>4280</v>
      </c>
      <c r="W1243" s="89">
        <v>14720</v>
      </c>
    </row>
    <row r="1244" spans="1:23" ht="15.75" customHeight="1">
      <c r="A1244" t="s">
        <v>6387</v>
      </c>
      <c r="B1244" t="s">
        <v>6388</v>
      </c>
      <c r="C1244" s="88">
        <v>46143.555787037039</v>
      </c>
      <c r="D1244" t="s">
        <v>105</v>
      </c>
      <c r="E1244" t="s">
        <v>106</v>
      </c>
      <c r="F1244" t="s">
        <v>6389</v>
      </c>
      <c r="G1244" t="s">
        <v>6390</v>
      </c>
      <c r="H1244" t="s">
        <v>6389</v>
      </c>
      <c r="I1244" s="88">
        <v>46141.751851851848</v>
      </c>
      <c r="J1244" t="s">
        <v>107</v>
      </c>
      <c r="K1244" t="s">
        <v>108</v>
      </c>
      <c r="L1244" t="s">
        <v>6391</v>
      </c>
      <c r="M1244" s="88">
        <v>46143.46739583333</v>
      </c>
      <c r="N1244" t="s">
        <v>637</v>
      </c>
      <c r="O1244" t="s">
        <v>112</v>
      </c>
      <c r="P1244" t="s">
        <v>111</v>
      </c>
      <c r="Q1244" t="s">
        <v>2085</v>
      </c>
      <c r="R1244">
        <v>3</v>
      </c>
      <c r="S1244" s="89">
        <v>9500</v>
      </c>
      <c r="T1244" s="89">
        <v>0</v>
      </c>
      <c r="U1244" s="89">
        <v>6270</v>
      </c>
      <c r="V1244" s="89">
        <v>6270</v>
      </c>
      <c r="W1244" s="89">
        <v>22230</v>
      </c>
    </row>
    <row r="1245" spans="1:23" ht="15.75" customHeight="1">
      <c r="A1245" t="s">
        <v>6392</v>
      </c>
      <c r="B1245" t="s">
        <v>6393</v>
      </c>
      <c r="C1245" s="88">
        <v>46143.546076388884</v>
      </c>
      <c r="D1245" t="s">
        <v>105</v>
      </c>
      <c r="E1245" t="s">
        <v>106</v>
      </c>
      <c r="F1245" t="s">
        <v>624</v>
      </c>
      <c r="G1245" t="s">
        <v>6394</v>
      </c>
      <c r="H1245" t="s">
        <v>624</v>
      </c>
      <c r="I1245" s="88">
        <v>46141.751828703702</v>
      </c>
      <c r="J1245" t="s">
        <v>107</v>
      </c>
      <c r="K1245" t="s">
        <v>108</v>
      </c>
      <c r="L1245" t="s">
        <v>6395</v>
      </c>
      <c r="M1245" s="88">
        <v>46143.54587962963</v>
      </c>
      <c r="N1245" t="s">
        <v>637</v>
      </c>
      <c r="O1245" t="s">
        <v>112</v>
      </c>
      <c r="P1245" t="s">
        <v>111</v>
      </c>
      <c r="Q1245" t="s">
        <v>2085</v>
      </c>
      <c r="R1245">
        <v>3</v>
      </c>
      <c r="S1245" s="89">
        <v>9500</v>
      </c>
      <c r="T1245" s="89">
        <v>0</v>
      </c>
      <c r="U1245" s="89">
        <v>6370</v>
      </c>
      <c r="V1245" s="89">
        <v>6370</v>
      </c>
      <c r="W1245" s="89">
        <v>22130</v>
      </c>
    </row>
    <row r="1246" spans="1:23" ht="15.75" customHeight="1">
      <c r="A1246" t="s">
        <v>6396</v>
      </c>
      <c r="B1246" t="s">
        <v>6397</v>
      </c>
      <c r="C1246" s="88">
        <v>46143.54277777778</v>
      </c>
      <c r="D1246" t="s">
        <v>105</v>
      </c>
      <c r="E1246" t="s">
        <v>106</v>
      </c>
      <c r="F1246" t="s">
        <v>6398</v>
      </c>
      <c r="G1246" t="s">
        <v>3196</v>
      </c>
      <c r="H1246" t="s">
        <v>6398</v>
      </c>
      <c r="I1246" s="88">
        <v>46140.633946759262</v>
      </c>
      <c r="J1246" t="s">
        <v>107</v>
      </c>
      <c r="K1246" t="s">
        <v>108</v>
      </c>
      <c r="L1246" t="s">
        <v>6399</v>
      </c>
      <c r="M1246" s="88">
        <v>46141.548090277778</v>
      </c>
      <c r="N1246" t="s">
        <v>637</v>
      </c>
      <c r="O1246" t="s">
        <v>112</v>
      </c>
      <c r="P1246" t="s">
        <v>111</v>
      </c>
      <c r="Q1246" t="s">
        <v>2085</v>
      </c>
      <c r="R1246">
        <v>6</v>
      </c>
      <c r="S1246" s="89">
        <v>9500</v>
      </c>
      <c r="T1246" s="89">
        <v>0</v>
      </c>
      <c r="U1246" s="89">
        <v>20080</v>
      </c>
      <c r="V1246" s="89">
        <v>20080</v>
      </c>
      <c r="W1246" s="89">
        <v>36920</v>
      </c>
    </row>
    <row r="1247" spans="1:23" ht="15.75" customHeight="1">
      <c r="A1247" t="s">
        <v>6400</v>
      </c>
      <c r="B1247" t="s">
        <v>6401</v>
      </c>
      <c r="C1247" s="88">
        <v>46143.537974537037</v>
      </c>
      <c r="D1247" t="s">
        <v>105</v>
      </c>
      <c r="E1247" t="s">
        <v>106</v>
      </c>
      <c r="F1247" t="s">
        <v>379</v>
      </c>
      <c r="G1247" t="s">
        <v>6363</v>
      </c>
      <c r="H1247" t="s">
        <v>379</v>
      </c>
      <c r="I1247" s="88">
        <v>46141.751851851848</v>
      </c>
      <c r="J1247" t="s">
        <v>107</v>
      </c>
      <c r="K1247" t="s">
        <v>108</v>
      </c>
      <c r="L1247" t="s">
        <v>6402</v>
      </c>
      <c r="M1247" s="88">
        <v>46143.549409722225</v>
      </c>
      <c r="N1247" t="s">
        <v>637</v>
      </c>
      <c r="O1247" t="s">
        <v>112</v>
      </c>
      <c r="P1247" t="s">
        <v>111</v>
      </c>
      <c r="Q1247" t="s">
        <v>2085</v>
      </c>
      <c r="R1247">
        <v>6</v>
      </c>
      <c r="S1247" s="89">
        <v>9500</v>
      </c>
      <c r="T1247" s="89">
        <v>0</v>
      </c>
      <c r="U1247" s="89">
        <v>20080</v>
      </c>
      <c r="V1247" s="89">
        <v>20080</v>
      </c>
      <c r="W1247" s="89">
        <v>36920</v>
      </c>
    </row>
    <row r="1248" spans="1:23" ht="15.75" customHeight="1">
      <c r="A1248" t="s">
        <v>6403</v>
      </c>
      <c r="B1248" t="s">
        <v>152</v>
      </c>
      <c r="C1248" s="88">
        <v>46143.486712962964</v>
      </c>
      <c r="D1248" t="s">
        <v>105</v>
      </c>
      <c r="E1248" t="s">
        <v>106</v>
      </c>
      <c r="F1248" t="s">
        <v>153</v>
      </c>
      <c r="G1248" t="s">
        <v>154</v>
      </c>
      <c r="H1248" t="s">
        <v>153</v>
      </c>
      <c r="I1248" s="88">
        <v>46141.596921296295</v>
      </c>
      <c r="J1248" t="s">
        <v>107</v>
      </c>
      <c r="K1248" t="s">
        <v>108</v>
      </c>
      <c r="L1248" t="s">
        <v>6404</v>
      </c>
      <c r="M1248" s="88">
        <v>46142.965983796297</v>
      </c>
      <c r="N1248" t="s">
        <v>1992</v>
      </c>
      <c r="O1248" t="s">
        <v>110</v>
      </c>
      <c r="P1248" t="s">
        <v>111</v>
      </c>
      <c r="Q1248" t="s">
        <v>4558</v>
      </c>
      <c r="R1248">
        <v>1</v>
      </c>
      <c r="S1248" s="89">
        <v>129000</v>
      </c>
      <c r="T1248" s="89">
        <v>0</v>
      </c>
      <c r="U1248" s="89">
        <v>29700</v>
      </c>
      <c r="V1248" s="89">
        <v>29700</v>
      </c>
      <c r="W1248" s="89">
        <v>99300</v>
      </c>
    </row>
    <row r="1249" spans="1:23" ht="15.75" customHeight="1">
      <c r="A1249" t="s">
        <v>6405</v>
      </c>
      <c r="B1249" t="s">
        <v>6406</v>
      </c>
      <c r="C1249" s="88">
        <v>46143.302870370375</v>
      </c>
      <c r="D1249" t="s">
        <v>105</v>
      </c>
      <c r="E1249" t="s">
        <v>106</v>
      </c>
      <c r="F1249" t="s">
        <v>310</v>
      </c>
      <c r="G1249" t="s">
        <v>259</v>
      </c>
      <c r="H1249" t="s">
        <v>310</v>
      </c>
      <c r="I1249" s="88">
        <v>46140.633912037039</v>
      </c>
      <c r="J1249" t="s">
        <v>107</v>
      </c>
      <c r="K1249" t="s">
        <v>108</v>
      </c>
      <c r="L1249" t="s">
        <v>6407</v>
      </c>
      <c r="M1249" s="88">
        <v>46141.470914351856</v>
      </c>
      <c r="N1249" t="s">
        <v>637</v>
      </c>
      <c r="O1249" t="s">
        <v>112</v>
      </c>
      <c r="P1249" t="s">
        <v>111</v>
      </c>
      <c r="Q1249" t="s">
        <v>2085</v>
      </c>
      <c r="R1249">
        <v>6</v>
      </c>
      <c r="S1249" s="89">
        <v>9500</v>
      </c>
      <c r="T1249" s="89">
        <v>0</v>
      </c>
      <c r="U1249" s="89">
        <v>20080</v>
      </c>
      <c r="V1249" s="89">
        <v>20080</v>
      </c>
      <c r="W1249" s="89">
        <v>36920</v>
      </c>
    </row>
  </sheetData>
  <phoneticPr fontId="2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98"/>
  <sheetViews>
    <sheetView workbookViewId="0">
      <selection activeCell="E65" sqref="E65"/>
    </sheetView>
  </sheetViews>
  <sheetFormatPr baseColWidth="10" defaultColWidth="12.6640625" defaultRowHeight="15.75" customHeight="1"/>
  <cols>
    <col min="1" max="1" width="18.33203125" customWidth="1"/>
    <col min="2" max="2" width="18.83203125" customWidth="1"/>
    <col min="3" max="3" width="24.6640625" customWidth="1"/>
    <col min="5" max="5" width="131.33203125" customWidth="1"/>
  </cols>
  <sheetData>
    <row r="1" spans="1:6" ht="15.75" customHeight="1">
      <c r="A1" s="83" t="s">
        <v>83</v>
      </c>
      <c r="B1" s="83" t="s">
        <v>268</v>
      </c>
      <c r="C1" s="83" t="s">
        <v>269</v>
      </c>
      <c r="D1" s="83" t="s">
        <v>270</v>
      </c>
      <c r="E1" s="83" t="s">
        <v>271</v>
      </c>
      <c r="F1" s="83" t="s">
        <v>99</v>
      </c>
    </row>
    <row r="2" spans="1:6" ht="15.75" customHeight="1">
      <c r="A2" s="83" t="s">
        <v>454</v>
      </c>
      <c r="B2" s="84">
        <v>46141.481099537035</v>
      </c>
      <c r="C2" s="84">
        <v>46141.481099537035</v>
      </c>
      <c r="D2" s="83" t="s">
        <v>257</v>
      </c>
      <c r="E2" s="83" t="s">
        <v>363</v>
      </c>
      <c r="F2" s="83">
        <v>1</v>
      </c>
    </row>
    <row r="3" spans="1:6" ht="15.75" customHeight="1">
      <c r="A3" s="83" t="s">
        <v>455</v>
      </c>
      <c r="B3" s="84">
        <v>46141.570925925924</v>
      </c>
      <c r="C3" s="84">
        <v>46141.570925925924</v>
      </c>
      <c r="D3" s="83" t="s">
        <v>287</v>
      </c>
      <c r="E3" s="83" t="s">
        <v>365</v>
      </c>
      <c r="F3" s="83">
        <v>1</v>
      </c>
    </row>
    <row r="4" spans="1:6" ht="15.75" customHeight="1">
      <c r="A4" s="83" t="s">
        <v>456</v>
      </c>
      <c r="B4" s="84">
        <v>46142.616041666668</v>
      </c>
      <c r="C4" s="84">
        <v>46142.616041666668</v>
      </c>
      <c r="D4" s="83" t="s">
        <v>457</v>
      </c>
      <c r="E4" s="83" t="s">
        <v>363</v>
      </c>
      <c r="F4" s="83">
        <v>1</v>
      </c>
    </row>
    <row r="5" spans="1:6" ht="15.75" customHeight="1">
      <c r="A5" s="83" t="s">
        <v>458</v>
      </c>
      <c r="B5" s="84">
        <v>46142.648842592593</v>
      </c>
      <c r="C5" s="84">
        <v>46142.648842592593</v>
      </c>
      <c r="D5" s="83" t="s">
        <v>459</v>
      </c>
      <c r="E5" s="83" t="s">
        <v>365</v>
      </c>
      <c r="F5" s="83">
        <v>1</v>
      </c>
    </row>
    <row r="6" spans="1:6" ht="15.75" customHeight="1">
      <c r="A6" s="83" t="s">
        <v>460</v>
      </c>
      <c r="B6" s="84">
        <v>46143.112384259257</v>
      </c>
      <c r="C6" s="84">
        <v>46143.112384259257</v>
      </c>
      <c r="D6" s="83" t="s">
        <v>461</v>
      </c>
      <c r="E6" s="83" t="s">
        <v>363</v>
      </c>
      <c r="F6" s="83">
        <v>1</v>
      </c>
    </row>
    <row r="7" spans="1:6" ht="15.75" customHeight="1">
      <c r="A7" s="83" t="s">
        <v>462</v>
      </c>
      <c r="B7" s="84">
        <v>46145.585532407407</v>
      </c>
      <c r="C7" s="84">
        <v>46145.585532407407</v>
      </c>
      <c r="D7" s="83" t="s">
        <v>463</v>
      </c>
      <c r="E7" s="83" t="s">
        <v>365</v>
      </c>
      <c r="F7" s="83">
        <v>1</v>
      </c>
    </row>
    <row r="8" spans="1:6" ht="15.75" customHeight="1">
      <c r="A8" s="83" t="s">
        <v>464</v>
      </c>
      <c r="B8" s="84">
        <v>46145.97278935185</v>
      </c>
      <c r="C8" s="84">
        <v>46145.97278935185</v>
      </c>
      <c r="D8" s="83" t="s">
        <v>465</v>
      </c>
      <c r="E8" s="83" t="s">
        <v>364</v>
      </c>
      <c r="F8" s="83">
        <v>1</v>
      </c>
    </row>
    <row r="9" spans="1:6" ht="15.75" customHeight="1">
      <c r="A9" s="83" t="s">
        <v>466</v>
      </c>
      <c r="B9" s="84">
        <v>46147.730810185189</v>
      </c>
      <c r="C9" s="84">
        <v>46147.730810185189</v>
      </c>
      <c r="D9" s="83" t="s">
        <v>467</v>
      </c>
      <c r="E9" s="83" t="s">
        <v>363</v>
      </c>
      <c r="F9" s="83">
        <v>1</v>
      </c>
    </row>
    <row r="10" spans="1:6" ht="15.75" customHeight="1">
      <c r="A10" s="83" t="s">
        <v>468</v>
      </c>
      <c r="B10" s="84">
        <v>46147.747569444444</v>
      </c>
      <c r="C10" s="84">
        <v>46147.747569444444</v>
      </c>
      <c r="D10" s="83" t="s">
        <v>469</v>
      </c>
      <c r="E10" s="83" t="s">
        <v>364</v>
      </c>
      <c r="F10" s="83">
        <v>1</v>
      </c>
    </row>
    <row r="11" spans="1:6" ht="15.75" customHeight="1">
      <c r="A11" s="83" t="s">
        <v>470</v>
      </c>
      <c r="B11" s="84">
        <v>46147.856458333335</v>
      </c>
      <c r="C11" s="84">
        <v>46147.856458333335</v>
      </c>
      <c r="D11" s="83" t="s">
        <v>471</v>
      </c>
      <c r="E11" s="83" t="s">
        <v>365</v>
      </c>
      <c r="F11" s="83">
        <v>1</v>
      </c>
    </row>
    <row r="12" spans="1:6" ht="15.75" customHeight="1">
      <c r="A12" s="83" t="s">
        <v>472</v>
      </c>
      <c r="B12" s="84">
        <v>46148.975231481483</v>
      </c>
      <c r="C12" s="84">
        <v>46148.975231481483</v>
      </c>
      <c r="D12" s="83" t="s">
        <v>473</v>
      </c>
      <c r="E12" s="83" t="s">
        <v>363</v>
      </c>
      <c r="F12" s="83">
        <v>1</v>
      </c>
    </row>
    <row r="13" spans="1:6" ht="15.75" customHeight="1">
      <c r="A13" s="83" t="s">
        <v>474</v>
      </c>
      <c r="B13" s="84">
        <v>46149.012430555558</v>
      </c>
      <c r="C13" s="84">
        <v>46149.012430555558</v>
      </c>
      <c r="D13" s="83" t="s">
        <v>336</v>
      </c>
      <c r="E13" s="83" t="s">
        <v>365</v>
      </c>
      <c r="F13" s="83">
        <v>1</v>
      </c>
    </row>
    <row r="14" spans="1:6" ht="15.75" customHeight="1">
      <c r="A14" s="83" t="s">
        <v>475</v>
      </c>
      <c r="B14" s="84">
        <v>46149.381793981483</v>
      </c>
      <c r="C14" s="84">
        <v>46149.381793981483</v>
      </c>
      <c r="D14" s="83" t="s">
        <v>476</v>
      </c>
      <c r="E14" s="83" t="s">
        <v>363</v>
      </c>
      <c r="F14" s="83">
        <v>1</v>
      </c>
    </row>
    <row r="15" spans="1:6" ht="15.75" customHeight="1">
      <c r="A15" s="83" t="s">
        <v>477</v>
      </c>
      <c r="B15" s="84">
        <v>46149.580671296295</v>
      </c>
      <c r="C15" s="84">
        <v>46149.580671296295</v>
      </c>
      <c r="D15" s="83" t="s">
        <v>283</v>
      </c>
      <c r="E15" s="83" t="s">
        <v>368</v>
      </c>
      <c r="F15" s="83">
        <v>1</v>
      </c>
    </row>
    <row r="16" spans="1:6" ht="15.75" customHeight="1">
      <c r="A16" s="83" t="s">
        <v>478</v>
      </c>
      <c r="B16" s="84">
        <v>46149.643263888887</v>
      </c>
      <c r="C16" s="84">
        <v>46149.643263888887</v>
      </c>
      <c r="D16" s="83" t="s">
        <v>207</v>
      </c>
      <c r="E16" s="83" t="s">
        <v>368</v>
      </c>
      <c r="F16" s="83">
        <v>1</v>
      </c>
    </row>
    <row r="17" spans="1:6" ht="15.75" customHeight="1">
      <c r="A17" s="83" t="s">
        <v>479</v>
      </c>
      <c r="B17" s="84">
        <v>46149.644120370373</v>
      </c>
      <c r="C17" s="84">
        <v>46149.644120370373</v>
      </c>
      <c r="D17" s="83" t="s">
        <v>207</v>
      </c>
      <c r="E17" s="83" t="s">
        <v>368</v>
      </c>
      <c r="F17" s="83">
        <v>1</v>
      </c>
    </row>
    <row r="18" spans="1:6" ht="15.75" customHeight="1">
      <c r="A18" s="83" t="s">
        <v>480</v>
      </c>
      <c r="B18" s="84">
        <v>46149.714305555557</v>
      </c>
      <c r="C18" s="84">
        <v>46149.714305555557</v>
      </c>
      <c r="D18" s="83" t="s">
        <v>481</v>
      </c>
      <c r="E18" s="83" t="s">
        <v>377</v>
      </c>
      <c r="F18" s="83">
        <v>1</v>
      </c>
    </row>
    <row r="19" spans="1:6" ht="15.75" customHeight="1">
      <c r="A19" s="83" t="s">
        <v>482</v>
      </c>
      <c r="B19" s="84">
        <v>46149.860486111109</v>
      </c>
      <c r="C19" s="84">
        <v>46149.860486111109</v>
      </c>
      <c r="D19" s="83" t="s">
        <v>483</v>
      </c>
      <c r="E19" s="83" t="s">
        <v>365</v>
      </c>
      <c r="F19" s="83">
        <v>1</v>
      </c>
    </row>
    <row r="20" spans="1:6" ht="15.75" customHeight="1">
      <c r="A20" s="83" t="s">
        <v>484</v>
      </c>
      <c r="B20" s="84">
        <v>46149.864675925928</v>
      </c>
      <c r="C20" s="84">
        <v>46149.864675925928</v>
      </c>
      <c r="D20" s="83" t="s">
        <v>485</v>
      </c>
      <c r="E20" s="83" t="s">
        <v>363</v>
      </c>
      <c r="F20" s="83">
        <v>1</v>
      </c>
    </row>
    <row r="21" spans="1:6" ht="15.75" customHeight="1">
      <c r="A21" s="83" t="s">
        <v>486</v>
      </c>
      <c r="B21" s="84">
        <v>46149.942233796297</v>
      </c>
      <c r="C21" s="84">
        <v>46149.942233796297</v>
      </c>
      <c r="D21" s="83" t="s">
        <v>487</v>
      </c>
      <c r="E21" s="83" t="s">
        <v>365</v>
      </c>
      <c r="F21" s="83">
        <v>1</v>
      </c>
    </row>
    <row r="22" spans="1:6" ht="15.75" customHeight="1">
      <c r="A22" s="83" t="s">
        <v>488</v>
      </c>
      <c r="B22" s="84">
        <v>46150.193530092591</v>
      </c>
      <c r="C22" s="84">
        <v>46150.193530092591</v>
      </c>
      <c r="D22" s="83" t="s">
        <v>489</v>
      </c>
      <c r="E22" s="83" t="s">
        <v>365</v>
      </c>
      <c r="F22" s="83">
        <v>1</v>
      </c>
    </row>
    <row r="23" spans="1:6" ht="15.75" customHeight="1">
      <c r="A23" s="83" t="s">
        <v>490</v>
      </c>
      <c r="B23" s="84">
        <v>46150.323969907404</v>
      </c>
      <c r="C23" s="84">
        <v>46150.323969907404</v>
      </c>
      <c r="D23" s="83" t="s">
        <v>294</v>
      </c>
      <c r="E23" s="83" t="s">
        <v>365</v>
      </c>
      <c r="F23" s="83">
        <v>1</v>
      </c>
    </row>
    <row r="24" spans="1:6" ht="15.75" customHeight="1">
      <c r="A24" s="83" t="s">
        <v>491</v>
      </c>
      <c r="B24" s="84">
        <v>46150.711377314816</v>
      </c>
      <c r="C24" s="84">
        <v>46150.711377314816</v>
      </c>
      <c r="D24" s="83" t="s">
        <v>492</v>
      </c>
      <c r="E24" s="83" t="s">
        <v>365</v>
      </c>
      <c r="F24" s="83">
        <v>1</v>
      </c>
    </row>
    <row r="25" spans="1:6" ht="15.75" customHeight="1">
      <c r="A25" s="83" t="s">
        <v>493</v>
      </c>
      <c r="B25" s="84">
        <v>46150.917812500003</v>
      </c>
      <c r="C25" s="84">
        <v>46150.917812500003</v>
      </c>
      <c r="D25" s="83" t="s">
        <v>190</v>
      </c>
      <c r="E25" s="83" t="s">
        <v>365</v>
      </c>
      <c r="F25" s="83">
        <v>1</v>
      </c>
    </row>
    <row r="26" spans="1:6" ht="15.75" customHeight="1">
      <c r="A26" s="83" t="s">
        <v>494</v>
      </c>
      <c r="B26" s="84">
        <v>46151.611817129633</v>
      </c>
      <c r="C26" s="84">
        <v>46151.611817129633</v>
      </c>
      <c r="D26" s="83" t="s">
        <v>334</v>
      </c>
      <c r="E26" s="83" t="s">
        <v>365</v>
      </c>
      <c r="F26" s="83">
        <v>1</v>
      </c>
    </row>
    <row r="27" spans="1:6" ht="15.75" customHeight="1">
      <c r="A27" s="83" t="s">
        <v>495</v>
      </c>
      <c r="B27" s="84">
        <v>46151.75335648148</v>
      </c>
      <c r="C27" s="84">
        <v>46151.75335648148</v>
      </c>
      <c r="D27" s="83" t="s">
        <v>496</v>
      </c>
      <c r="E27" s="83" t="s">
        <v>365</v>
      </c>
      <c r="F27" s="83">
        <v>1</v>
      </c>
    </row>
    <row r="28" spans="1:6" ht="15.75" customHeight="1">
      <c r="A28" s="83" t="s">
        <v>497</v>
      </c>
      <c r="B28" s="84">
        <v>46151.98741898148</v>
      </c>
      <c r="C28" s="84">
        <v>46151.98741898148</v>
      </c>
      <c r="D28" s="83" t="s">
        <v>232</v>
      </c>
      <c r="E28" s="83" t="s">
        <v>365</v>
      </c>
      <c r="F28" s="83">
        <v>1</v>
      </c>
    </row>
    <row r="29" spans="1:6" ht="15.75" customHeight="1">
      <c r="A29" s="83" t="s">
        <v>498</v>
      </c>
      <c r="B29" s="84">
        <v>46152.534479166665</v>
      </c>
      <c r="C29" s="84">
        <v>46152.534479166665</v>
      </c>
      <c r="D29" s="83" t="s">
        <v>499</v>
      </c>
      <c r="E29" s="83" t="s">
        <v>368</v>
      </c>
      <c r="F29" s="83">
        <v>1</v>
      </c>
    </row>
    <row r="30" spans="1:6" ht="15.75" customHeight="1">
      <c r="A30" s="83" t="s">
        <v>500</v>
      </c>
      <c r="B30" s="84">
        <v>46152.555625000001</v>
      </c>
      <c r="C30" s="84">
        <v>46152.555625000001</v>
      </c>
      <c r="D30" s="83" t="s">
        <v>501</v>
      </c>
      <c r="E30" s="83" t="s">
        <v>363</v>
      </c>
      <c r="F30" s="83">
        <v>1</v>
      </c>
    </row>
    <row r="31" spans="1:6" ht="15.75" customHeight="1">
      <c r="A31" s="83" t="s">
        <v>502</v>
      </c>
      <c r="B31" s="84">
        <v>46154.046238425923</v>
      </c>
      <c r="C31" s="84">
        <v>46154.046238425923</v>
      </c>
      <c r="D31" s="83" t="s">
        <v>317</v>
      </c>
      <c r="E31" s="83" t="s">
        <v>363</v>
      </c>
      <c r="F31" s="83">
        <v>1</v>
      </c>
    </row>
    <row r="32" spans="1:6" ht="15.75" customHeight="1">
      <c r="A32" s="83" t="s">
        <v>503</v>
      </c>
      <c r="B32" s="84">
        <v>46155.588726851849</v>
      </c>
      <c r="C32" s="84">
        <v>46155.588726851849</v>
      </c>
      <c r="D32" s="83" t="s">
        <v>313</v>
      </c>
      <c r="E32" s="83" t="s">
        <v>365</v>
      </c>
      <c r="F32" s="83">
        <v>1</v>
      </c>
    </row>
    <row r="33" spans="1:6" ht="15.75" customHeight="1">
      <c r="A33" s="83" t="s">
        <v>504</v>
      </c>
      <c r="B33" s="84">
        <v>46155.62122685185</v>
      </c>
      <c r="C33" s="84">
        <v>46155.62122685185</v>
      </c>
      <c r="D33" s="83" t="s">
        <v>505</v>
      </c>
      <c r="E33" s="83" t="s">
        <v>364</v>
      </c>
      <c r="F33" s="83">
        <v>1</v>
      </c>
    </row>
    <row r="34" spans="1:6" ht="15.75" customHeight="1">
      <c r="A34" s="83" t="s">
        <v>506</v>
      </c>
      <c r="B34" s="84">
        <v>46155.706863425927</v>
      </c>
      <c r="C34" s="84">
        <v>46155.706863425927</v>
      </c>
      <c r="D34" s="83" t="s">
        <v>359</v>
      </c>
      <c r="E34" s="83" t="s">
        <v>363</v>
      </c>
      <c r="F34" s="83">
        <v>1</v>
      </c>
    </row>
    <row r="35" spans="1:6" ht="15.75" customHeight="1">
      <c r="A35" s="83" t="s">
        <v>507</v>
      </c>
      <c r="B35" s="84">
        <v>46155.801666666666</v>
      </c>
      <c r="C35" s="84">
        <v>46155.801666666666</v>
      </c>
      <c r="D35" s="83" t="s">
        <v>508</v>
      </c>
      <c r="E35" s="83" t="s">
        <v>365</v>
      </c>
      <c r="F35" s="83">
        <v>1</v>
      </c>
    </row>
    <row r="36" spans="1:6" ht="15.75" customHeight="1">
      <c r="A36" s="83" t="s">
        <v>509</v>
      </c>
      <c r="B36" s="84">
        <v>46156.577430555553</v>
      </c>
      <c r="C36" s="84">
        <v>46156.577430555553</v>
      </c>
      <c r="D36" s="83" t="s">
        <v>510</v>
      </c>
      <c r="E36" s="83" t="s">
        <v>377</v>
      </c>
      <c r="F36" s="83">
        <v>1</v>
      </c>
    </row>
    <row r="37" spans="1:6" ht="15.75" customHeight="1">
      <c r="A37" s="83" t="s">
        <v>511</v>
      </c>
      <c r="B37" s="84">
        <v>46156.920972222222</v>
      </c>
      <c r="C37" s="84">
        <v>46156.920972222222</v>
      </c>
      <c r="D37" s="83" t="s">
        <v>246</v>
      </c>
      <c r="E37" s="83" t="s">
        <v>365</v>
      </c>
      <c r="F37" s="83">
        <v>1</v>
      </c>
    </row>
    <row r="38" spans="1:6" ht="15.75" customHeight="1">
      <c r="A38" s="83" t="s">
        <v>512</v>
      </c>
      <c r="B38" s="84">
        <v>46157.421539351853</v>
      </c>
      <c r="C38" s="84">
        <v>46157.421539351853</v>
      </c>
      <c r="D38" s="83" t="s">
        <v>125</v>
      </c>
      <c r="E38" s="83" t="s">
        <v>365</v>
      </c>
      <c r="F38" s="83">
        <v>1</v>
      </c>
    </row>
    <row r="39" spans="1:6" ht="15.75" customHeight="1">
      <c r="A39" s="83" t="s">
        <v>513</v>
      </c>
      <c r="B39" s="84">
        <v>46157.602812500001</v>
      </c>
      <c r="C39" s="84">
        <v>46157.602812500001</v>
      </c>
      <c r="D39" s="83" t="s">
        <v>514</v>
      </c>
      <c r="E39" s="83" t="s">
        <v>363</v>
      </c>
      <c r="F39" s="83">
        <v>1</v>
      </c>
    </row>
    <row r="40" spans="1:6" ht="15.75" customHeight="1">
      <c r="A40" s="83" t="s">
        <v>515</v>
      </c>
      <c r="B40" s="84">
        <v>46157.635439814818</v>
      </c>
      <c r="C40" s="84">
        <v>46157.635439814818</v>
      </c>
      <c r="D40" s="83" t="s">
        <v>516</v>
      </c>
      <c r="E40" s="83" t="s">
        <v>365</v>
      </c>
      <c r="F40" s="83">
        <v>1</v>
      </c>
    </row>
    <row r="41" spans="1:6" ht="15.75" customHeight="1">
      <c r="A41" s="83" t="s">
        <v>517</v>
      </c>
      <c r="B41" s="84">
        <v>46157.895231481481</v>
      </c>
      <c r="C41" s="84">
        <v>46157.895231481481</v>
      </c>
      <c r="D41" s="83" t="s">
        <v>518</v>
      </c>
      <c r="E41" s="83" t="s">
        <v>365</v>
      </c>
      <c r="F41" s="83">
        <v>1</v>
      </c>
    </row>
    <row r="42" spans="1:6" ht="15.75" customHeight="1">
      <c r="A42" s="83" t="s">
        <v>519</v>
      </c>
      <c r="B42" s="84">
        <v>46158.526643518519</v>
      </c>
      <c r="C42" s="84">
        <v>46158.526643518519</v>
      </c>
      <c r="D42" s="83" t="s">
        <v>520</v>
      </c>
      <c r="E42" s="83" t="s">
        <v>365</v>
      </c>
      <c r="F42" s="83">
        <v>1</v>
      </c>
    </row>
    <row r="43" spans="1:6" ht="15.75" customHeight="1">
      <c r="A43" s="83" t="s">
        <v>521</v>
      </c>
      <c r="B43" s="84">
        <v>46158.538703703707</v>
      </c>
      <c r="C43" s="84">
        <v>46158.538703703707</v>
      </c>
      <c r="D43" s="83" t="s">
        <v>522</v>
      </c>
      <c r="E43" s="83" t="s">
        <v>363</v>
      </c>
      <c r="F43" s="83">
        <v>1</v>
      </c>
    </row>
    <row r="44" spans="1:6" ht="15.75" customHeight="1">
      <c r="A44" s="83" t="s">
        <v>523</v>
      </c>
      <c r="B44" s="84">
        <v>46158.840370370373</v>
      </c>
      <c r="C44" s="84">
        <v>46158.840370370373</v>
      </c>
      <c r="D44" s="83" t="s">
        <v>524</v>
      </c>
      <c r="E44" s="83" t="s">
        <v>365</v>
      </c>
      <c r="F44" s="83">
        <v>1</v>
      </c>
    </row>
    <row r="45" spans="1:6" ht="15.75" customHeight="1">
      <c r="A45" s="83" t="s">
        <v>525</v>
      </c>
      <c r="B45" s="84">
        <v>46158.910393518519</v>
      </c>
      <c r="C45" s="84">
        <v>46158.910393518519</v>
      </c>
      <c r="D45" s="83" t="s">
        <v>335</v>
      </c>
      <c r="E45" s="83" t="s">
        <v>363</v>
      </c>
      <c r="F45" s="83">
        <v>1</v>
      </c>
    </row>
    <row r="46" spans="1:6" ht="15.75" customHeight="1">
      <c r="A46" s="83" t="s">
        <v>526</v>
      </c>
      <c r="B46" s="84">
        <v>46159.446747685186</v>
      </c>
      <c r="C46" s="84">
        <v>46159.446747685186</v>
      </c>
      <c r="D46" s="83" t="s">
        <v>527</v>
      </c>
      <c r="E46" s="83" t="s">
        <v>365</v>
      </c>
      <c r="F46" s="83">
        <v>1</v>
      </c>
    </row>
    <row r="47" spans="1:6" ht="15.75" customHeight="1">
      <c r="A47" s="83" t="s">
        <v>528</v>
      </c>
      <c r="B47" s="84">
        <v>46159.525335648148</v>
      </c>
      <c r="C47" s="84">
        <v>46159.525335648148</v>
      </c>
      <c r="D47" s="83" t="s">
        <v>360</v>
      </c>
      <c r="E47" s="83" t="s">
        <v>365</v>
      </c>
      <c r="F47" s="83">
        <v>1</v>
      </c>
    </row>
    <row r="48" spans="1:6" ht="15.75" customHeight="1">
      <c r="A48" s="83" t="s">
        <v>529</v>
      </c>
      <c r="B48" s="84">
        <v>46159.866249999999</v>
      </c>
      <c r="C48" s="84">
        <v>46159.866249999999</v>
      </c>
      <c r="D48" s="83" t="s">
        <v>530</v>
      </c>
      <c r="E48" s="83" t="s">
        <v>365</v>
      </c>
      <c r="F48" s="83">
        <v>1</v>
      </c>
    </row>
    <row r="49" spans="1:6" ht="15.75" customHeight="1">
      <c r="A49" s="83" t="s">
        <v>531</v>
      </c>
      <c r="B49" s="84">
        <v>46160.016493055555</v>
      </c>
      <c r="C49" s="84">
        <v>46160.016493055555</v>
      </c>
      <c r="D49" s="83" t="s">
        <v>532</v>
      </c>
      <c r="E49" s="83" t="s">
        <v>364</v>
      </c>
      <c r="F49" s="83">
        <v>1</v>
      </c>
    </row>
    <row r="50" spans="1:6" ht="15.75" customHeight="1">
      <c r="A50" s="83" t="s">
        <v>533</v>
      </c>
      <c r="B50" s="84">
        <v>46160.44672453704</v>
      </c>
      <c r="C50" s="84">
        <v>46160.44672453704</v>
      </c>
      <c r="D50" s="83" t="s">
        <v>399</v>
      </c>
      <c r="E50" s="83" t="s">
        <v>365</v>
      </c>
      <c r="F50" s="83">
        <v>1</v>
      </c>
    </row>
    <row r="51" spans="1:6" ht="13">
      <c r="A51" s="83" t="s">
        <v>534</v>
      </c>
      <c r="B51" s="84">
        <v>46160.467187499999</v>
      </c>
      <c r="C51" s="84">
        <v>46160.467187499999</v>
      </c>
      <c r="D51" s="83" t="s">
        <v>535</v>
      </c>
      <c r="E51" s="83" t="s">
        <v>363</v>
      </c>
      <c r="F51" s="83">
        <v>1</v>
      </c>
    </row>
    <row r="52" spans="1:6" ht="13">
      <c r="A52" s="83" t="s">
        <v>536</v>
      </c>
      <c r="B52" s="84">
        <v>46160.570856481485</v>
      </c>
      <c r="C52" s="84">
        <v>46160.570856481485</v>
      </c>
      <c r="D52" s="83" t="s">
        <v>537</v>
      </c>
      <c r="E52" s="83" t="s">
        <v>365</v>
      </c>
      <c r="F52" s="83">
        <v>1</v>
      </c>
    </row>
    <row r="53" spans="1:6" ht="13">
      <c r="A53" s="83" t="s">
        <v>538</v>
      </c>
      <c r="B53" s="84">
        <v>46160.633043981485</v>
      </c>
      <c r="C53" s="84">
        <v>46160.633043981485</v>
      </c>
      <c r="D53" s="83" t="s">
        <v>385</v>
      </c>
      <c r="E53" s="83" t="s">
        <v>365</v>
      </c>
      <c r="F53" s="83">
        <v>1</v>
      </c>
    </row>
    <row r="54" spans="1:6" ht="13">
      <c r="A54" s="83" t="s">
        <v>539</v>
      </c>
      <c r="B54" s="84">
        <v>46160.644606481481</v>
      </c>
      <c r="C54" s="84">
        <v>46160.644606481481</v>
      </c>
      <c r="D54" s="83" t="s">
        <v>540</v>
      </c>
      <c r="E54" s="83" t="s">
        <v>365</v>
      </c>
      <c r="F54" s="83">
        <v>1</v>
      </c>
    </row>
    <row r="55" spans="1:6" ht="13">
      <c r="A55" s="83" t="s">
        <v>541</v>
      </c>
      <c r="B55" s="84">
        <v>46160.653854166667</v>
      </c>
      <c r="C55" s="84">
        <v>46160.653854166667</v>
      </c>
      <c r="D55" s="83" t="s">
        <v>542</v>
      </c>
      <c r="E55" s="83" t="s">
        <v>365</v>
      </c>
      <c r="F55" s="83">
        <v>1</v>
      </c>
    </row>
    <row r="56" spans="1:6" ht="13">
      <c r="A56" s="83" t="s">
        <v>543</v>
      </c>
      <c r="B56" s="84">
        <v>46160.656145833331</v>
      </c>
      <c r="C56" s="84">
        <v>46160.656145833331</v>
      </c>
      <c r="D56" s="83" t="s">
        <v>186</v>
      </c>
      <c r="E56" s="83" t="s">
        <v>364</v>
      </c>
      <c r="F56" s="83">
        <v>1</v>
      </c>
    </row>
    <row r="57" spans="1:6" ht="13">
      <c r="A57" s="83" t="s">
        <v>544</v>
      </c>
      <c r="B57" s="84">
        <v>46160.682546296295</v>
      </c>
      <c r="C57" s="84">
        <v>46160.682546296295</v>
      </c>
      <c r="D57" s="83" t="s">
        <v>320</v>
      </c>
      <c r="E57" s="83" t="s">
        <v>365</v>
      </c>
      <c r="F57" s="83">
        <v>1</v>
      </c>
    </row>
    <row r="58" spans="1:6" ht="13">
      <c r="A58" s="83" t="s">
        <v>545</v>
      </c>
      <c r="B58" s="84">
        <v>46160.79315972222</v>
      </c>
      <c r="C58" s="84">
        <v>46160.79315972222</v>
      </c>
      <c r="D58" s="83" t="s">
        <v>546</v>
      </c>
      <c r="E58" s="83" t="s">
        <v>365</v>
      </c>
      <c r="F58" s="83">
        <v>1</v>
      </c>
    </row>
    <row r="59" spans="1:6" ht="13">
      <c r="A59" s="83" t="s">
        <v>547</v>
      </c>
      <c r="B59" s="84">
        <v>46160.915300925924</v>
      </c>
      <c r="C59" s="84">
        <v>46160.915300925924</v>
      </c>
      <c r="D59" s="83" t="s">
        <v>548</v>
      </c>
      <c r="E59" s="83" t="s">
        <v>365</v>
      </c>
      <c r="F59" s="83">
        <v>1</v>
      </c>
    </row>
    <row r="60" spans="1:6" ht="13">
      <c r="A60" s="83" t="s">
        <v>549</v>
      </c>
      <c r="B60" s="84">
        <v>46160.921377314815</v>
      </c>
      <c r="C60" s="84">
        <v>46160.921377314815</v>
      </c>
      <c r="D60" s="83" t="s">
        <v>550</v>
      </c>
      <c r="E60" s="83" t="s">
        <v>365</v>
      </c>
      <c r="F60" s="83">
        <v>1</v>
      </c>
    </row>
    <row r="61" spans="1:6" ht="13">
      <c r="A61" s="83" t="s">
        <v>551</v>
      </c>
      <c r="B61" s="84">
        <v>46161.031342592592</v>
      </c>
      <c r="C61" s="84">
        <v>46161.031342592592</v>
      </c>
      <c r="D61" s="83" t="s">
        <v>552</v>
      </c>
      <c r="E61" s="83" t="s">
        <v>365</v>
      </c>
      <c r="F61" s="83">
        <v>1</v>
      </c>
    </row>
    <row r="62" spans="1:6" ht="13">
      <c r="A62" s="83" t="s">
        <v>553</v>
      </c>
      <c r="B62" s="84">
        <v>46161.076238425929</v>
      </c>
      <c r="C62" s="84">
        <v>46161.076238425929</v>
      </c>
      <c r="D62" s="83" t="s">
        <v>554</v>
      </c>
      <c r="E62" s="83" t="s">
        <v>365</v>
      </c>
      <c r="F62" s="83">
        <v>1</v>
      </c>
    </row>
    <row r="63" spans="1:6" ht="13">
      <c r="A63" s="83" t="s">
        <v>555</v>
      </c>
      <c r="B63" s="84">
        <v>46161.748680555553</v>
      </c>
      <c r="C63" s="84">
        <v>46161.748680555553</v>
      </c>
      <c r="D63" s="83" t="s">
        <v>262</v>
      </c>
      <c r="E63" s="83" t="s">
        <v>365</v>
      </c>
      <c r="F63" s="83">
        <v>1</v>
      </c>
    </row>
    <row r="64" spans="1:6" ht="13">
      <c r="A64" s="83" t="s">
        <v>556</v>
      </c>
      <c r="B64" s="84">
        <v>46161.765648148146</v>
      </c>
      <c r="C64" s="84">
        <v>46161.765648148146</v>
      </c>
      <c r="D64" s="83" t="s">
        <v>130</v>
      </c>
      <c r="E64" s="83" t="s">
        <v>365</v>
      </c>
      <c r="F64" s="83">
        <v>1</v>
      </c>
    </row>
    <row r="65" spans="1:6" ht="13">
      <c r="A65" s="83" t="s">
        <v>557</v>
      </c>
      <c r="B65" s="84">
        <v>46162.037523148145</v>
      </c>
      <c r="C65" s="84">
        <v>46162.037523148145</v>
      </c>
      <c r="D65" s="83" t="s">
        <v>558</v>
      </c>
      <c r="E65" s="83" t="s">
        <v>364</v>
      </c>
      <c r="F65" s="83">
        <v>1</v>
      </c>
    </row>
    <row r="66" spans="1:6" ht="13">
      <c r="A66" s="83" t="s">
        <v>559</v>
      </c>
      <c r="B66" s="84">
        <v>46162.513391203705</v>
      </c>
      <c r="C66" s="84">
        <v>46162.513391203705</v>
      </c>
      <c r="D66" s="83" t="s">
        <v>560</v>
      </c>
      <c r="E66" s="83" t="s">
        <v>561</v>
      </c>
      <c r="F66" s="83">
        <v>1</v>
      </c>
    </row>
    <row r="67" spans="1:6" ht="13">
      <c r="A67" s="83" t="s">
        <v>562</v>
      </c>
      <c r="B67" s="84">
        <v>46162.532766203702</v>
      </c>
      <c r="C67" s="84">
        <v>46162.532766203702</v>
      </c>
      <c r="D67" s="83" t="s">
        <v>155</v>
      </c>
      <c r="E67" s="83" t="s">
        <v>563</v>
      </c>
      <c r="F67" s="83">
        <v>1</v>
      </c>
    </row>
    <row r="68" spans="1:6" ht="13">
      <c r="A68" s="83" t="s">
        <v>564</v>
      </c>
      <c r="B68" s="84">
        <v>46162.641226851854</v>
      </c>
      <c r="C68" s="84">
        <v>46162.641226851854</v>
      </c>
      <c r="D68" s="83" t="s">
        <v>565</v>
      </c>
      <c r="E68" s="83" t="s">
        <v>561</v>
      </c>
      <c r="F68" s="83">
        <v>1</v>
      </c>
    </row>
    <row r="69" spans="1:6" ht="13">
      <c r="A69" s="83" t="s">
        <v>566</v>
      </c>
      <c r="B69" s="84">
        <v>46162.957546296297</v>
      </c>
      <c r="C69" s="84">
        <v>46162.957546296297</v>
      </c>
      <c r="D69" s="83" t="s">
        <v>567</v>
      </c>
      <c r="E69" s="83" t="s">
        <v>561</v>
      </c>
      <c r="F69" s="83">
        <v>1</v>
      </c>
    </row>
    <row r="70" spans="1:6" ht="13">
      <c r="A70" s="83" t="s">
        <v>568</v>
      </c>
      <c r="B70" s="84">
        <v>46162.974120370367</v>
      </c>
      <c r="C70" s="84">
        <v>46162.974120370367</v>
      </c>
      <c r="D70" s="83" t="s">
        <v>442</v>
      </c>
      <c r="E70" s="83" t="s">
        <v>561</v>
      </c>
      <c r="F70" s="83">
        <v>1</v>
      </c>
    </row>
    <row r="71" spans="1:6" ht="13">
      <c r="A71" s="83" t="s">
        <v>569</v>
      </c>
      <c r="B71" s="84">
        <v>46163.371481481481</v>
      </c>
      <c r="C71" s="84">
        <v>46163.371481481481</v>
      </c>
      <c r="D71" s="83" t="s">
        <v>570</v>
      </c>
      <c r="E71" s="83" t="s">
        <v>561</v>
      </c>
      <c r="F71" s="83">
        <v>1</v>
      </c>
    </row>
    <row r="72" spans="1:6" ht="13">
      <c r="A72" s="83" t="s">
        <v>571</v>
      </c>
      <c r="B72" s="84">
        <v>46163.434756944444</v>
      </c>
      <c r="C72" s="84">
        <v>46163.434756944444</v>
      </c>
      <c r="D72" s="83" t="s">
        <v>572</v>
      </c>
      <c r="E72" s="83" t="s">
        <v>561</v>
      </c>
      <c r="F72" s="83">
        <v>1</v>
      </c>
    </row>
    <row r="73" spans="1:6" ht="13">
      <c r="A73" s="83" t="s">
        <v>573</v>
      </c>
      <c r="B73" s="84">
        <v>46163.723738425928</v>
      </c>
      <c r="C73" s="84">
        <v>46163.723738425928</v>
      </c>
      <c r="D73" s="83" t="s">
        <v>574</v>
      </c>
      <c r="E73" s="83" t="s">
        <v>563</v>
      </c>
      <c r="F73" s="83">
        <v>1</v>
      </c>
    </row>
    <row r="74" spans="1:6" ht="13">
      <c r="A74" s="83" t="s">
        <v>575</v>
      </c>
      <c r="B74" s="84">
        <v>46164.531944444447</v>
      </c>
      <c r="C74" s="84">
        <v>46164.531944444447</v>
      </c>
      <c r="D74" s="83" t="s">
        <v>576</v>
      </c>
      <c r="E74" s="83" t="s">
        <v>561</v>
      </c>
      <c r="F74" s="83">
        <v>1</v>
      </c>
    </row>
    <row r="75" spans="1:6" ht="13">
      <c r="A75" s="83" t="s">
        <v>577</v>
      </c>
      <c r="B75" s="84">
        <v>46165.766076388885</v>
      </c>
      <c r="C75" s="84">
        <v>46165.766076388885</v>
      </c>
      <c r="D75" s="83" t="s">
        <v>578</v>
      </c>
      <c r="E75" s="83" t="s">
        <v>561</v>
      </c>
      <c r="F75" s="83">
        <v>1</v>
      </c>
    </row>
    <row r="76" spans="1:6" ht="13">
      <c r="A76" s="83" t="s">
        <v>579</v>
      </c>
      <c r="B76" s="84">
        <v>46165.930532407408</v>
      </c>
      <c r="C76" s="84">
        <v>46165.930532407408</v>
      </c>
      <c r="D76" s="83" t="s">
        <v>580</v>
      </c>
      <c r="E76" s="83" t="s">
        <v>561</v>
      </c>
      <c r="F76" s="83">
        <v>1</v>
      </c>
    </row>
    <row r="77" spans="1:6" ht="13">
      <c r="A77" s="83" t="s">
        <v>581</v>
      </c>
      <c r="B77" s="84">
        <v>46167.454884259256</v>
      </c>
      <c r="C77" s="84">
        <v>46167.454884259256</v>
      </c>
      <c r="D77" s="83" t="s">
        <v>582</v>
      </c>
      <c r="E77" s="83" t="s">
        <v>583</v>
      </c>
      <c r="F77" s="83">
        <v>1</v>
      </c>
    </row>
    <row r="78" spans="1:6" ht="13">
      <c r="A78" s="83" t="s">
        <v>584</v>
      </c>
      <c r="B78" s="84">
        <v>46167.458865740744</v>
      </c>
      <c r="C78" s="84">
        <v>46167.458865740744</v>
      </c>
      <c r="D78" s="83" t="s">
        <v>398</v>
      </c>
      <c r="E78" s="83" t="s">
        <v>561</v>
      </c>
      <c r="F78" s="83">
        <v>1</v>
      </c>
    </row>
    <row r="79" spans="1:6" ht="13">
      <c r="A79" s="83" t="s">
        <v>585</v>
      </c>
      <c r="B79" s="84">
        <v>46167.737164351849</v>
      </c>
      <c r="C79" s="84">
        <v>46167.737164351849</v>
      </c>
      <c r="D79" s="83" t="s">
        <v>586</v>
      </c>
      <c r="E79" s="83" t="s">
        <v>563</v>
      </c>
      <c r="F79" s="83">
        <v>1</v>
      </c>
    </row>
    <row r="80" spans="1:6" ht="13">
      <c r="A80" s="83" t="s">
        <v>587</v>
      </c>
      <c r="B80" s="84">
        <v>46168.129664351851</v>
      </c>
      <c r="C80" s="84">
        <v>46168.129664351851</v>
      </c>
      <c r="D80" s="83" t="s">
        <v>588</v>
      </c>
      <c r="E80" s="83" t="s">
        <v>561</v>
      </c>
      <c r="F80" s="83">
        <v>1</v>
      </c>
    </row>
    <row r="81" spans="1:6" ht="13">
      <c r="A81" s="83" t="s">
        <v>589</v>
      </c>
      <c r="B81" s="84">
        <v>46168.542650462965</v>
      </c>
      <c r="C81" s="84">
        <v>46168.542650462965</v>
      </c>
      <c r="D81" s="83" t="s">
        <v>590</v>
      </c>
      <c r="E81" s="83" t="s">
        <v>563</v>
      </c>
      <c r="F81" s="83">
        <v>1</v>
      </c>
    </row>
    <row r="82" spans="1:6" ht="13">
      <c r="A82" s="83" t="s">
        <v>591</v>
      </c>
      <c r="B82" s="84">
        <v>46168.611284722225</v>
      </c>
      <c r="C82" s="84">
        <v>46168.611284722225</v>
      </c>
      <c r="D82" s="83" t="s">
        <v>592</v>
      </c>
      <c r="E82" s="83" t="s">
        <v>563</v>
      </c>
      <c r="F82" s="83">
        <v>1</v>
      </c>
    </row>
    <row r="83" spans="1:6" ht="13">
      <c r="A83" s="83" t="s">
        <v>593</v>
      </c>
      <c r="B83" s="84">
        <v>46168.836168981485</v>
      </c>
      <c r="C83" s="84">
        <v>46168.836168981485</v>
      </c>
      <c r="D83" s="83" t="s">
        <v>594</v>
      </c>
      <c r="E83" s="83" t="s">
        <v>583</v>
      </c>
      <c r="F83" s="83">
        <v>1</v>
      </c>
    </row>
    <row r="84" spans="1:6" ht="13">
      <c r="A84" s="83" t="s">
        <v>595</v>
      </c>
      <c r="B84" s="84">
        <v>46168.985451388886</v>
      </c>
      <c r="C84" s="84">
        <v>46168.985451388886</v>
      </c>
      <c r="D84" s="83" t="s">
        <v>596</v>
      </c>
      <c r="E84" s="83" t="s">
        <v>561</v>
      </c>
      <c r="F84" s="83">
        <v>1</v>
      </c>
    </row>
    <row r="85" spans="1:6" ht="13">
      <c r="A85" s="83" t="s">
        <v>597</v>
      </c>
      <c r="B85" s="84">
        <v>46169.624502314815</v>
      </c>
      <c r="C85" s="84">
        <v>46169.624502314815</v>
      </c>
      <c r="D85" s="83" t="s">
        <v>598</v>
      </c>
      <c r="E85" s="83" t="s">
        <v>561</v>
      </c>
      <c r="F85" s="83">
        <v>1</v>
      </c>
    </row>
    <row r="86" spans="1:6" ht="13">
      <c r="A86" s="83" t="s">
        <v>599</v>
      </c>
      <c r="B86" s="84">
        <v>46169.988194444442</v>
      </c>
      <c r="C86" s="84">
        <v>46169.988194444442</v>
      </c>
      <c r="D86" s="83" t="s">
        <v>600</v>
      </c>
      <c r="E86" s="83" t="s">
        <v>561</v>
      </c>
      <c r="F86" s="83">
        <v>1</v>
      </c>
    </row>
    <row r="87" spans="1:6" ht="13">
      <c r="A87" s="83" t="s">
        <v>564</v>
      </c>
      <c r="B87" s="84">
        <v>46162.641226851854</v>
      </c>
      <c r="C87" s="84">
        <v>46162.641226851854</v>
      </c>
      <c r="D87" s="83" t="s">
        <v>565</v>
      </c>
      <c r="E87" s="83" t="s">
        <v>561</v>
      </c>
      <c r="F87" s="83">
        <v>1</v>
      </c>
    </row>
    <row r="88" spans="1:6" ht="13">
      <c r="A88" s="83" t="s">
        <v>601</v>
      </c>
      <c r="B88" s="84">
        <v>46170.455081018517</v>
      </c>
      <c r="C88" s="84">
        <v>46170.455081018517</v>
      </c>
      <c r="D88" s="83" t="s">
        <v>602</v>
      </c>
      <c r="E88" s="83" t="s">
        <v>561</v>
      </c>
      <c r="F88" s="83">
        <v>1</v>
      </c>
    </row>
    <row r="89" spans="1:6" ht="13">
      <c r="A89" s="83" t="s">
        <v>603</v>
      </c>
      <c r="B89" s="84">
        <v>46170.563564814816</v>
      </c>
      <c r="C89" s="84">
        <v>46170.563564814816</v>
      </c>
      <c r="D89" s="83" t="s">
        <v>604</v>
      </c>
      <c r="E89" s="83" t="s">
        <v>561</v>
      </c>
      <c r="F89" s="83">
        <v>1</v>
      </c>
    </row>
    <row r="90" spans="1:6" ht="13">
      <c r="A90" s="83" t="s">
        <v>605</v>
      </c>
      <c r="B90" s="84">
        <v>46170.590995370374</v>
      </c>
      <c r="C90" s="84">
        <v>46170.590995370374</v>
      </c>
      <c r="D90" s="83" t="s">
        <v>606</v>
      </c>
      <c r="E90" s="83" t="s">
        <v>563</v>
      </c>
      <c r="F90" s="83">
        <v>1</v>
      </c>
    </row>
    <row r="91" spans="1:6" ht="13">
      <c r="A91" s="83" t="s">
        <v>607</v>
      </c>
      <c r="B91" s="84">
        <v>46170.596631944441</v>
      </c>
      <c r="C91" s="84">
        <v>46170.596631944441</v>
      </c>
      <c r="D91" s="83" t="s">
        <v>608</v>
      </c>
      <c r="E91" s="83" t="s">
        <v>561</v>
      </c>
      <c r="F91" s="83">
        <v>1</v>
      </c>
    </row>
    <row r="92" spans="1:6" ht="13">
      <c r="A92" s="83" t="s">
        <v>609</v>
      </c>
      <c r="B92" s="84">
        <v>46170.721701388888</v>
      </c>
      <c r="C92" s="84">
        <v>46170.721701388888</v>
      </c>
      <c r="D92" s="83" t="s">
        <v>237</v>
      </c>
      <c r="E92" s="83" t="s">
        <v>561</v>
      </c>
      <c r="F92" s="83">
        <v>1</v>
      </c>
    </row>
    <row r="93" spans="1:6" ht="13">
      <c r="A93" s="83" t="s">
        <v>610</v>
      </c>
      <c r="B93" s="84">
        <v>46171.101689814815</v>
      </c>
      <c r="C93" s="84">
        <v>46171.101689814815</v>
      </c>
      <c r="D93" s="83" t="s">
        <v>611</v>
      </c>
      <c r="E93" s="83" t="s">
        <v>561</v>
      </c>
      <c r="F93" s="83">
        <v>1</v>
      </c>
    </row>
    <row r="94" spans="1:6" ht="13">
      <c r="A94" s="83" t="s">
        <v>612</v>
      </c>
      <c r="B94" s="84">
        <v>46171.275451388887</v>
      </c>
      <c r="C94" s="84">
        <v>46171.275451388887</v>
      </c>
      <c r="D94" s="83" t="s">
        <v>281</v>
      </c>
      <c r="E94" s="83" t="s">
        <v>561</v>
      </c>
      <c r="F94" s="83">
        <v>1</v>
      </c>
    </row>
    <row r="95" spans="1:6" ht="13">
      <c r="A95" s="83" t="s">
        <v>613</v>
      </c>
      <c r="B95" s="84">
        <v>46171.311701388891</v>
      </c>
      <c r="C95" s="84">
        <v>46171.311701388891</v>
      </c>
      <c r="D95" s="83" t="s">
        <v>353</v>
      </c>
      <c r="E95" s="83" t="s">
        <v>561</v>
      </c>
      <c r="F95" s="83">
        <v>1</v>
      </c>
    </row>
    <row r="96" spans="1:6" ht="13">
      <c r="A96" s="83" t="s">
        <v>614</v>
      </c>
      <c r="B96" s="84">
        <v>46171.332141203704</v>
      </c>
      <c r="C96" s="84">
        <v>46171.332141203704</v>
      </c>
      <c r="D96" s="83" t="s">
        <v>615</v>
      </c>
      <c r="E96" s="83" t="s">
        <v>583</v>
      </c>
      <c r="F96" s="83">
        <v>1</v>
      </c>
    </row>
    <row r="97" spans="1:6" ht="13">
      <c r="A97" s="83" t="s">
        <v>616</v>
      </c>
      <c r="B97" s="84">
        <v>46171.370289351849</v>
      </c>
      <c r="C97" s="84">
        <v>46171.370289351849</v>
      </c>
      <c r="D97" s="83" t="s">
        <v>343</v>
      </c>
      <c r="E97" s="83" t="s">
        <v>561</v>
      </c>
      <c r="F97" s="83">
        <v>1</v>
      </c>
    </row>
    <row r="98" spans="1:6" ht="13">
      <c r="A98" s="83" t="s">
        <v>617</v>
      </c>
      <c r="B98" s="84">
        <v>46171.550057870372</v>
      </c>
      <c r="C98" s="84">
        <v>46171.550057870372</v>
      </c>
      <c r="D98" s="83" t="s">
        <v>618</v>
      </c>
      <c r="E98" s="83" t="s">
        <v>561</v>
      </c>
      <c r="F98" s="83">
        <v>1</v>
      </c>
    </row>
  </sheetData>
  <phoneticPr fontId="2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F38"/>
  <sheetViews>
    <sheetView workbookViewId="0">
      <selection activeCell="E24" sqref="E24"/>
    </sheetView>
  </sheetViews>
  <sheetFormatPr baseColWidth="10" defaultColWidth="12.6640625" defaultRowHeight="15.75" customHeight="1"/>
  <cols>
    <col min="1" max="1" width="18" bestFit="1" customWidth="1"/>
    <col min="2" max="2" width="15.33203125" bestFit="1" customWidth="1"/>
    <col min="3" max="3" width="15.1640625" customWidth="1"/>
    <col min="4" max="4" width="7.6640625" customWidth="1"/>
    <col min="5" max="5" width="91.33203125" bestFit="1" customWidth="1"/>
    <col min="6" max="6" width="3.83203125" customWidth="1"/>
  </cols>
  <sheetData>
    <row r="1" spans="1:6" ht="15.75" customHeight="1">
      <c r="A1" s="85" t="s">
        <v>83</v>
      </c>
      <c r="B1" s="85" t="s">
        <v>268</v>
      </c>
      <c r="C1" s="85" t="s">
        <v>269</v>
      </c>
      <c r="D1" s="85" t="s">
        <v>270</v>
      </c>
      <c r="E1" s="85" t="s">
        <v>271</v>
      </c>
      <c r="F1" s="85" t="s">
        <v>99</v>
      </c>
    </row>
    <row r="2" spans="1:6" ht="15.75" customHeight="1">
      <c r="A2" s="85" t="s">
        <v>619</v>
      </c>
      <c r="B2" s="86">
        <v>46133.936388888891</v>
      </c>
      <c r="C2" s="86">
        <v>46133.93414351852</v>
      </c>
      <c r="D2" s="85" t="s">
        <v>620</v>
      </c>
      <c r="E2" s="85" t="s">
        <v>396</v>
      </c>
      <c r="F2" s="85">
        <v>1</v>
      </c>
    </row>
    <row r="3" spans="1:6" ht="15.75" customHeight="1">
      <c r="A3" s="85" t="s">
        <v>621</v>
      </c>
      <c r="B3" s="86">
        <v>46134.482627314814</v>
      </c>
      <c r="C3" s="86">
        <v>46134.479571759257</v>
      </c>
      <c r="D3" s="85" t="s">
        <v>622</v>
      </c>
      <c r="E3" s="85" t="s">
        <v>396</v>
      </c>
      <c r="F3" s="85">
        <v>1</v>
      </c>
    </row>
    <row r="4" spans="1:6" ht="15.75" customHeight="1">
      <c r="A4" s="85" t="s">
        <v>623</v>
      </c>
      <c r="B4" s="86">
        <v>46135.936342592591</v>
      </c>
      <c r="C4" s="86">
        <v>46135.933680555558</v>
      </c>
      <c r="D4" s="85" t="s">
        <v>624</v>
      </c>
      <c r="E4" s="85" t="s">
        <v>397</v>
      </c>
      <c r="F4" s="85">
        <v>1</v>
      </c>
    </row>
    <row r="5" spans="1:6" ht="15.75" customHeight="1">
      <c r="A5" s="85" t="s">
        <v>625</v>
      </c>
      <c r="B5" s="86">
        <v>46136.412627314814</v>
      </c>
      <c r="C5" s="86">
        <v>46136.410601851851</v>
      </c>
      <c r="D5" s="85" t="s">
        <v>626</v>
      </c>
      <c r="E5" s="85" t="s">
        <v>397</v>
      </c>
      <c r="F5" s="85">
        <v>1</v>
      </c>
    </row>
    <row r="6" spans="1:6" ht="15.75" customHeight="1">
      <c r="A6" s="85" t="s">
        <v>627</v>
      </c>
      <c r="B6" s="86">
        <v>46138.141979166663</v>
      </c>
      <c r="C6" s="86">
        <v>46138.13994212963</v>
      </c>
      <c r="D6" s="85" t="s">
        <v>325</v>
      </c>
      <c r="E6" s="85" t="s">
        <v>397</v>
      </c>
      <c r="F6" s="85">
        <v>1</v>
      </c>
    </row>
    <row r="7" spans="1:6" ht="15.75" customHeight="1">
      <c r="A7" s="85" t="s">
        <v>628</v>
      </c>
      <c r="B7" s="86">
        <v>46138.936539351853</v>
      </c>
      <c r="C7" s="86">
        <v>46138.933530092596</v>
      </c>
      <c r="D7" s="85" t="s">
        <v>295</v>
      </c>
      <c r="E7" s="85" t="s">
        <v>397</v>
      </c>
      <c r="F7" s="85">
        <v>1</v>
      </c>
    </row>
    <row r="8" spans="1:6" ht="15.75" customHeight="1">
      <c r="A8" s="85" t="s">
        <v>629</v>
      </c>
      <c r="B8" s="86">
        <v>46141.440694444442</v>
      </c>
      <c r="C8" s="86">
        <v>46141.438194444447</v>
      </c>
      <c r="D8" s="85" t="s">
        <v>630</v>
      </c>
      <c r="E8" s="85" t="s">
        <v>396</v>
      </c>
      <c r="F8" s="85">
        <v>1</v>
      </c>
    </row>
    <row r="9" spans="1:6" ht="15.75" customHeight="1">
      <c r="A9" s="85" t="s">
        <v>631</v>
      </c>
      <c r="B9" s="86">
        <v>46141.636724537035</v>
      </c>
      <c r="C9" s="86">
        <v>46141.634074074071</v>
      </c>
      <c r="D9" s="85" t="s">
        <v>632</v>
      </c>
      <c r="E9" s="85" t="s">
        <v>397</v>
      </c>
      <c r="F9" s="85">
        <v>1</v>
      </c>
    </row>
    <row r="10" spans="1:6" ht="15.75" customHeight="1">
      <c r="A10" s="85" t="s">
        <v>408</v>
      </c>
      <c r="B10" s="86">
        <v>46143.604803240742</v>
      </c>
      <c r="C10" s="86">
        <v>46143.601898148147</v>
      </c>
      <c r="D10" s="85" t="s">
        <v>409</v>
      </c>
      <c r="E10" s="85" t="s">
        <v>396</v>
      </c>
      <c r="F10" s="85">
        <v>1</v>
      </c>
    </row>
    <row r="11" spans="1:6" ht="15.75" customHeight="1">
      <c r="A11" s="85" t="s">
        <v>410</v>
      </c>
      <c r="B11" s="86">
        <v>46144.922384259262</v>
      </c>
      <c r="C11" s="86">
        <v>46144.922384259262</v>
      </c>
      <c r="D11" s="85" t="s">
        <v>411</v>
      </c>
      <c r="E11" s="85" t="s">
        <v>396</v>
      </c>
      <c r="F11" s="85">
        <v>1</v>
      </c>
    </row>
    <row r="12" spans="1:6" ht="15.75" customHeight="1">
      <c r="A12" s="85" t="s">
        <v>412</v>
      </c>
      <c r="B12" s="86">
        <v>46145.825312499997</v>
      </c>
      <c r="C12" s="86">
        <v>46145.82335648148</v>
      </c>
      <c r="D12" s="85" t="s">
        <v>413</v>
      </c>
      <c r="E12" s="85" t="s">
        <v>396</v>
      </c>
      <c r="F12" s="85">
        <v>1</v>
      </c>
    </row>
    <row r="13" spans="1:6" ht="15.75" customHeight="1">
      <c r="A13" s="85" t="s">
        <v>414</v>
      </c>
      <c r="B13" s="86">
        <v>46146.539039351854</v>
      </c>
      <c r="C13" s="86">
        <v>46146.536585648151</v>
      </c>
      <c r="D13" s="85" t="s">
        <v>321</v>
      </c>
      <c r="E13" s="85" t="s">
        <v>397</v>
      </c>
      <c r="F13" s="85">
        <v>1</v>
      </c>
    </row>
    <row r="14" spans="1:6" ht="15.75" customHeight="1">
      <c r="A14" s="85" t="s">
        <v>415</v>
      </c>
      <c r="B14" s="86">
        <v>46147.889247685183</v>
      </c>
      <c r="C14" s="86">
        <v>46147.889247685183</v>
      </c>
      <c r="D14" s="85" t="s">
        <v>416</v>
      </c>
      <c r="E14" s="85" t="s">
        <v>396</v>
      </c>
      <c r="F14" s="85">
        <v>1</v>
      </c>
    </row>
    <row r="15" spans="1:6" ht="15.75" customHeight="1">
      <c r="A15" s="85" t="s">
        <v>417</v>
      </c>
      <c r="B15" s="86">
        <v>46148.000358796293</v>
      </c>
      <c r="C15" s="86">
        <v>46147.997442129628</v>
      </c>
      <c r="D15" s="85" t="s">
        <v>418</v>
      </c>
      <c r="E15" s="85" t="s">
        <v>397</v>
      </c>
      <c r="F15" s="85">
        <v>1</v>
      </c>
    </row>
    <row r="16" spans="1:6" ht="15.75" customHeight="1">
      <c r="A16" s="85" t="s">
        <v>419</v>
      </c>
      <c r="B16" s="86">
        <v>46148.684872685182</v>
      </c>
      <c r="C16" s="86">
        <v>46148.683368055557</v>
      </c>
      <c r="D16" s="85" t="s">
        <v>420</v>
      </c>
      <c r="E16" s="85" t="s">
        <v>396</v>
      </c>
      <c r="F16" s="85">
        <v>1</v>
      </c>
    </row>
    <row r="17" spans="1:6" ht="15.75" customHeight="1">
      <c r="A17" s="85" t="s">
        <v>421</v>
      </c>
      <c r="B17" s="86">
        <v>46149.972627314812</v>
      </c>
      <c r="C17" s="86">
        <v>46149.969583333332</v>
      </c>
      <c r="D17" s="85" t="s">
        <v>422</v>
      </c>
      <c r="E17" s="85" t="s">
        <v>396</v>
      </c>
      <c r="F17" s="85">
        <v>1</v>
      </c>
    </row>
    <row r="18" spans="1:6" ht="15.75" customHeight="1">
      <c r="A18" s="85" t="s">
        <v>423</v>
      </c>
      <c r="B18" s="86">
        <v>46151.97996527778</v>
      </c>
      <c r="C18" s="86">
        <v>46151.977824074071</v>
      </c>
      <c r="D18" s="85" t="s">
        <v>232</v>
      </c>
      <c r="E18" s="85" t="s">
        <v>396</v>
      </c>
      <c r="F18" s="85">
        <v>1</v>
      </c>
    </row>
    <row r="19" spans="1:6" ht="15.75" customHeight="1">
      <c r="A19" s="85" t="s">
        <v>424</v>
      </c>
      <c r="B19" s="86">
        <v>46155.510057870371</v>
      </c>
      <c r="C19" s="86">
        <v>46155.507708333331</v>
      </c>
      <c r="D19" s="85" t="s">
        <v>425</v>
      </c>
      <c r="E19" s="85" t="s">
        <v>397</v>
      </c>
      <c r="F19" s="85">
        <v>1</v>
      </c>
    </row>
    <row r="20" spans="1:6" ht="15.75" customHeight="1">
      <c r="A20" s="85" t="s">
        <v>426</v>
      </c>
      <c r="B20" s="86">
        <v>46155.545115740744</v>
      </c>
      <c r="C20" s="86">
        <v>46155.542303240742</v>
      </c>
      <c r="D20" s="85" t="s">
        <v>338</v>
      </c>
      <c r="E20" s="85" t="s">
        <v>396</v>
      </c>
      <c r="F20" s="85">
        <v>1</v>
      </c>
    </row>
    <row r="21" spans="1:6" ht="15.75" customHeight="1">
      <c r="A21" s="85" t="s">
        <v>427</v>
      </c>
      <c r="B21" s="86">
        <v>46155.587037037039</v>
      </c>
      <c r="C21" s="86">
        <v>46155.584629629629</v>
      </c>
      <c r="D21" s="85" t="s">
        <v>428</v>
      </c>
      <c r="E21" s="85" t="s">
        <v>395</v>
      </c>
      <c r="F21" s="85">
        <v>1</v>
      </c>
    </row>
    <row r="22" spans="1:6" ht="15.75" customHeight="1">
      <c r="A22" s="85" t="s">
        <v>429</v>
      </c>
      <c r="B22" s="86">
        <v>46155.693796296298</v>
      </c>
      <c r="C22" s="86">
        <v>46155.690972222219</v>
      </c>
      <c r="D22" s="85" t="s">
        <v>430</v>
      </c>
      <c r="E22" s="85" t="s">
        <v>397</v>
      </c>
      <c r="F22" s="85">
        <v>1</v>
      </c>
    </row>
    <row r="23" spans="1:6" ht="15.75" customHeight="1">
      <c r="A23" s="85" t="s">
        <v>431</v>
      </c>
      <c r="B23" s="86">
        <v>46155.827569444446</v>
      </c>
      <c r="C23" s="86">
        <v>46155.826296296298</v>
      </c>
      <c r="D23" s="85" t="s">
        <v>116</v>
      </c>
      <c r="E23" s="85" t="s">
        <v>396</v>
      </c>
      <c r="F23" s="85">
        <v>1</v>
      </c>
    </row>
    <row r="24" spans="1:6" ht="15.75" customHeight="1">
      <c r="A24" s="85" t="s">
        <v>432</v>
      </c>
      <c r="B24" s="86">
        <v>46155.969710648147</v>
      </c>
      <c r="C24" s="86">
        <v>46155.966840277775</v>
      </c>
      <c r="D24" s="85" t="s">
        <v>433</v>
      </c>
      <c r="E24" s="85" t="s">
        <v>395</v>
      </c>
      <c r="F24" s="85">
        <v>1</v>
      </c>
    </row>
    <row r="25" spans="1:6" ht="15.75" customHeight="1">
      <c r="A25" s="85" t="s">
        <v>434</v>
      </c>
      <c r="B25" s="86">
        <v>46156.026990740742</v>
      </c>
      <c r="C25" s="86">
        <v>46156.024270833332</v>
      </c>
      <c r="D25" s="85" t="s">
        <v>435</v>
      </c>
      <c r="E25" s="85" t="s">
        <v>396</v>
      </c>
      <c r="F25" s="85">
        <v>1</v>
      </c>
    </row>
    <row r="26" spans="1:6" ht="15.75" customHeight="1">
      <c r="A26" s="85" t="s">
        <v>436</v>
      </c>
      <c r="B26" s="86">
        <v>46156.207511574074</v>
      </c>
      <c r="C26" s="86">
        <v>46156.207511574074</v>
      </c>
      <c r="D26" s="85" t="s">
        <v>353</v>
      </c>
      <c r="E26" s="85" t="s">
        <v>396</v>
      </c>
      <c r="F26" s="85">
        <v>1</v>
      </c>
    </row>
    <row r="27" spans="1:6" ht="15.75" customHeight="1">
      <c r="A27" s="85" t="s">
        <v>437</v>
      </c>
      <c r="B27" s="86">
        <v>46156.393043981479</v>
      </c>
      <c r="C27" s="86">
        <v>46156.393043981479</v>
      </c>
      <c r="D27" s="85" t="s">
        <v>253</v>
      </c>
      <c r="E27" s="85" t="s">
        <v>396</v>
      </c>
      <c r="F27" s="85">
        <v>1</v>
      </c>
    </row>
    <row r="28" spans="1:6" ht="15.75" customHeight="1">
      <c r="A28" s="85" t="s">
        <v>438</v>
      </c>
      <c r="B28" s="86">
        <v>46156.630393518521</v>
      </c>
      <c r="C28" s="86">
        <v>46156.630393518521</v>
      </c>
      <c r="D28" s="85" t="s">
        <v>439</v>
      </c>
      <c r="E28" s="85" t="s">
        <v>397</v>
      </c>
      <c r="F28" s="85">
        <v>1</v>
      </c>
    </row>
    <row r="29" spans="1:6" ht="15.75" customHeight="1">
      <c r="A29" s="85" t="s">
        <v>440</v>
      </c>
      <c r="B29" s="86">
        <v>46156.678622685184</v>
      </c>
      <c r="C29" s="86">
        <v>46156.67628472222</v>
      </c>
      <c r="D29" s="85" t="s">
        <v>328</v>
      </c>
      <c r="E29" s="85" t="s">
        <v>397</v>
      </c>
      <c r="F29" s="85">
        <v>1</v>
      </c>
    </row>
    <row r="30" spans="1:6" ht="15.75" customHeight="1">
      <c r="A30" s="85" t="s">
        <v>441</v>
      </c>
      <c r="B30" s="86">
        <v>46156.788807870369</v>
      </c>
      <c r="C30" s="86">
        <v>46156.788807870369</v>
      </c>
      <c r="D30" s="85" t="s">
        <v>442</v>
      </c>
      <c r="E30" s="85" t="s">
        <v>397</v>
      </c>
      <c r="F30" s="85">
        <v>1</v>
      </c>
    </row>
    <row r="31" spans="1:6" ht="15.75" customHeight="1">
      <c r="A31" s="85" t="s">
        <v>443</v>
      </c>
      <c r="B31" s="86">
        <v>46157.119513888887</v>
      </c>
      <c r="C31" s="86">
        <v>46157.117685185185</v>
      </c>
      <c r="D31" s="85" t="s">
        <v>444</v>
      </c>
      <c r="E31" s="85" t="s">
        <v>396</v>
      </c>
      <c r="F31" s="85">
        <v>1</v>
      </c>
    </row>
    <row r="32" spans="1:6" ht="15.75" customHeight="1">
      <c r="A32" s="85" t="s">
        <v>445</v>
      </c>
      <c r="B32" s="86">
        <v>46157.470694444448</v>
      </c>
      <c r="C32" s="86">
        <v>46157.470706018517</v>
      </c>
      <c r="D32" s="85" t="s">
        <v>279</v>
      </c>
      <c r="E32" s="85" t="s">
        <v>397</v>
      </c>
      <c r="F32" s="85">
        <v>1</v>
      </c>
    </row>
    <row r="33" spans="1:6" ht="15.75" customHeight="1">
      <c r="A33" s="85" t="s">
        <v>446</v>
      </c>
      <c r="B33" s="86">
        <v>46157.979629629626</v>
      </c>
      <c r="C33" s="86">
        <v>46157.977175925924</v>
      </c>
      <c r="D33" s="85" t="s">
        <v>391</v>
      </c>
      <c r="E33" s="85" t="s">
        <v>397</v>
      </c>
      <c r="F33" s="85">
        <v>1</v>
      </c>
    </row>
    <row r="34" spans="1:6" ht="15.75" customHeight="1">
      <c r="A34" s="85" t="s">
        <v>447</v>
      </c>
      <c r="B34" s="86">
        <v>46158.005694444444</v>
      </c>
      <c r="C34" s="86">
        <v>46158.002893518518</v>
      </c>
      <c r="D34" s="85" t="s">
        <v>382</v>
      </c>
      <c r="E34" s="85" t="s">
        <v>396</v>
      </c>
      <c r="F34" s="85">
        <v>1</v>
      </c>
    </row>
    <row r="35" spans="1:6" ht="15.75" customHeight="1">
      <c r="A35" s="85" t="s">
        <v>448</v>
      </c>
      <c r="B35" s="86">
        <v>46159.854317129626</v>
      </c>
      <c r="C35" s="86">
        <v>46159.854317129626</v>
      </c>
      <c r="D35" s="85" t="s">
        <v>449</v>
      </c>
      <c r="E35" s="85" t="s">
        <v>397</v>
      </c>
      <c r="F35" s="85">
        <v>1</v>
      </c>
    </row>
    <row r="36" spans="1:6" ht="15.75" customHeight="1">
      <c r="A36" s="85" t="s">
        <v>450</v>
      </c>
      <c r="B36" s="86">
        <v>46159.922361111108</v>
      </c>
      <c r="C36" s="86">
        <v>46159.91951388889</v>
      </c>
      <c r="D36" s="85" t="s">
        <v>311</v>
      </c>
      <c r="E36" s="85" t="s">
        <v>396</v>
      </c>
      <c r="F36" s="85">
        <v>1</v>
      </c>
    </row>
    <row r="37" spans="1:6" ht="15.75" customHeight="1">
      <c r="A37" s="85" t="s">
        <v>451</v>
      </c>
      <c r="B37" s="86">
        <v>46159.932442129626</v>
      </c>
      <c r="C37" s="86">
        <v>46159.932442129626</v>
      </c>
      <c r="D37" s="85" t="s">
        <v>452</v>
      </c>
      <c r="E37" s="85" t="s">
        <v>396</v>
      </c>
      <c r="F37" s="85">
        <v>1</v>
      </c>
    </row>
    <row r="38" spans="1:6" ht="15.75" customHeight="1">
      <c r="A38" s="85" t="s">
        <v>453</v>
      </c>
      <c r="B38" s="86">
        <v>46166.671840277777</v>
      </c>
      <c r="C38" s="86">
        <v>46166.671840277777</v>
      </c>
      <c r="D38" s="85" t="s">
        <v>407</v>
      </c>
      <c r="E38" s="85" t="s">
        <v>395</v>
      </c>
      <c r="F38" s="85">
        <v>1</v>
      </c>
    </row>
  </sheetData>
  <phoneticPr fontId="2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공구영수증</vt:lpstr>
      <vt:lpstr>광고비용 집계</vt:lpstr>
      <vt:lpstr>판매내역집계</vt:lpstr>
      <vt:lpstr>DB) 스마트스토어(5월구매확정)</vt:lpstr>
      <vt:lpstr>DB) 콘디(5월배송완료)</vt:lpstr>
      <vt:lpstr>DB) 도톤(5월배송완료)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 교영</cp:lastModifiedBy>
  <dcterms:created xsi:type="dcterms:W3CDTF">2026-06-10T12:37:27Z</dcterms:created>
  <dcterms:modified xsi:type="dcterms:W3CDTF">2026-06-10T13:21:32Z</dcterms:modified>
</cp:coreProperties>
</file>