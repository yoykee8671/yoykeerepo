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esktop/004.입점채널관리_온라인/공구/영이 공구 2604_아웃도어/"/>
    </mc:Choice>
  </mc:AlternateContent>
  <xr:revisionPtr revIDLastSave="0" documentId="13_ncr:1_{2CD73B09-FF66-5B4B-B0BC-5394D7141C7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공구영수증" sheetId="1" r:id="rId1"/>
    <sheet name="광고비용 집계" sheetId="3" r:id="rId2"/>
    <sheet name="판매내역집계" sheetId="7" r:id="rId3"/>
    <sheet name="DB) 스마트스토어(6월구매확정)" sheetId="4" r:id="rId4"/>
    <sheet name="DB) 콘디(6월배송완료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1" i="1"/>
  <c r="F20" i="1"/>
  <c r="F19" i="1"/>
  <c r="G4" i="3"/>
  <c r="H21" i="7"/>
  <c r="G22" i="7"/>
  <c r="F22" i="7"/>
  <c r="E22" i="7"/>
  <c r="G21" i="7"/>
  <c r="F21" i="7"/>
  <c r="E21" i="7"/>
  <c r="D4" i="3"/>
  <c r="F20" i="7"/>
  <c r="G20" i="7" s="1"/>
  <c r="F19" i="7"/>
  <c r="G19" i="7" s="1"/>
  <c r="F18" i="7"/>
  <c r="E17" i="7"/>
  <c r="F16" i="7"/>
  <c r="G16" i="7" s="1"/>
  <c r="F15" i="7"/>
  <c r="G15" i="7" s="1"/>
  <c r="F14" i="7"/>
  <c r="G14" i="7" s="1"/>
  <c r="F13" i="7"/>
  <c r="G13" i="7" s="1"/>
  <c r="F12" i="7"/>
  <c r="E11" i="7"/>
  <c r="F10" i="7"/>
  <c r="G10" i="7" s="1"/>
  <c r="F9" i="7"/>
  <c r="G9" i="7" s="1"/>
  <c r="F8" i="7"/>
  <c r="G8" i="7" s="1"/>
  <c r="F7" i="7"/>
  <c r="E4" i="5"/>
  <c r="E3" i="5"/>
  <c r="E2" i="5"/>
  <c r="E6" i="5" s="1"/>
  <c r="F17" i="7" l="1"/>
  <c r="F11" i="7"/>
  <c r="G7" i="7"/>
  <c r="G11" i="7" s="1"/>
  <c r="G18" i="7"/>
  <c r="G12" i="7"/>
  <c r="G17" i="7" s="1"/>
  <c r="B3" i="3" l="1"/>
  <c r="C3" i="3" s="1"/>
  <c r="C4" i="3" s="1"/>
  <c r="B4" i="3"/>
  <c r="F28" i="1" s="1"/>
  <c r="C8" i="1"/>
  <c r="H29" i="1" l="1"/>
  <c r="H32" i="1" s="1"/>
  <c r="F29" i="1"/>
  <c r="H21" i="1"/>
  <c r="H20" i="1" l="1"/>
  <c r="F25" i="1" l="1"/>
  <c r="H19" i="1"/>
  <c r="H25" i="1" s="1"/>
  <c r="H31" i="1" s="1"/>
  <c r="H34" i="1" s="1"/>
</calcChain>
</file>

<file path=xl/sharedStrings.xml><?xml version="1.0" encoding="utf-8"?>
<sst xmlns="http://schemas.openxmlformats.org/spreadsheetml/2006/main" count="3227" uniqueCount="1253">
  <si>
    <t>문서번호</t>
  </si>
  <si>
    <t>주식회사 우프컴퍼니  (314-87-00725)</t>
  </si>
  <si>
    <t>날짜</t>
  </si>
  <si>
    <t>서울 용산구 한남대로8길 6-17, 1F</t>
  </si>
  <si>
    <t>문서제목</t>
  </si>
  <si>
    <t>대표자명</t>
  </si>
  <si>
    <t>이교영 (인)</t>
  </si>
  <si>
    <t>수신</t>
  </si>
  <si>
    <t>안진양 대표님 (영이공구)</t>
  </si>
  <si>
    <t>team@wooof.co.kr</t>
  </si>
  <si>
    <t>1. 귀사의 무궁한 발전과 건승을 기원합니다.</t>
  </si>
  <si>
    <t>2. 아래와 같이 판매의 내역을 공유드리며, 확인 후 이상이 없으신 경우 지급처리를 위한 전자계산서 발행을 요청드립니다.</t>
  </si>
  <si>
    <t>- 아           래 -</t>
  </si>
  <si>
    <t>품목</t>
  </si>
  <si>
    <t>세부항목</t>
  </si>
  <si>
    <t>진행기간</t>
  </si>
  <si>
    <t>판매금액</t>
  </si>
  <si>
    <t>공구수수료</t>
  </si>
  <si>
    <t>합계</t>
  </si>
  <si>
    <t>지출광고비</t>
  </si>
  <si>
    <t>부담비용</t>
  </si>
  <si>
    <t>판매수수료 합계</t>
  </si>
  <si>
    <t>광고비 공제(-)</t>
  </si>
  <si>
    <t>총 합계액 (부가세 포함)</t>
  </si>
  <si>
    <t>영이공구 판매내역 집계</t>
  </si>
  <si>
    <t>블루화이트 1개</t>
  </si>
  <si>
    <t>블루화이트 2개</t>
  </si>
  <si>
    <t>블루화이트 3개</t>
  </si>
  <si>
    <t>포포타올</t>
  </si>
  <si>
    <t>6개이상</t>
  </si>
  <si>
    <t>행 레이블</t>
  </si>
  <si>
    <t>합계 : 지출 금액 (KRW)</t>
  </si>
  <si>
    <t>총합계</t>
  </si>
  <si>
    <t>보고 시작</t>
  </si>
  <si>
    <t>보고 종료</t>
  </si>
  <si>
    <t>광고 이름</t>
  </si>
  <si>
    <t>지출 금액 (KRW)</t>
  </si>
  <si>
    <t>노출</t>
  </si>
  <si>
    <t>도달</t>
  </si>
  <si>
    <t>빈도</t>
  </si>
  <si>
    <t>링크 클릭</t>
  </si>
  <si>
    <t>CPC(전체) (KRW)</t>
  </si>
  <si>
    <t>상품주문번호</t>
  </si>
  <si>
    <t>주문번호</t>
  </si>
  <si>
    <t>판매채널</t>
  </si>
  <si>
    <t>주문상태</t>
  </si>
  <si>
    <t>구매자명</t>
  </si>
  <si>
    <t>구매자ID</t>
  </si>
  <si>
    <t>수취인명</t>
  </si>
  <si>
    <t>발송처리일</t>
  </si>
  <si>
    <t>배송방법</t>
  </si>
  <si>
    <t>택배사</t>
  </si>
  <si>
    <t>송장번호</t>
  </si>
  <si>
    <t>배송완료일</t>
  </si>
  <si>
    <t>상품번호</t>
  </si>
  <si>
    <t>상품명</t>
  </si>
  <si>
    <t>상품종류</t>
  </si>
  <si>
    <t>옵션정보</t>
  </si>
  <si>
    <t>수량</t>
  </si>
  <si>
    <t>상품가격</t>
  </si>
  <si>
    <t>옵션가격</t>
  </si>
  <si>
    <t>최종 상품별 할인액</t>
  </si>
  <si>
    <t>판매자 부담 할인액</t>
  </si>
  <si>
    <t>최종 상품별 총 주문금액</t>
  </si>
  <si>
    <t>스마트스토어</t>
  </si>
  <si>
    <t>구매확정</t>
  </si>
  <si>
    <t>택배,등기,소포</t>
  </si>
  <si>
    <t>로젠택배</t>
  </si>
  <si>
    <t>추가구성상품</t>
  </si>
  <si>
    <t>조합형옵션상품</t>
  </si>
  <si>
    <t>[영이 공구x베럴즈] PAW PAW TOWEL 특가</t>
  </si>
  <si>
    <t>김민경</t>
  </si>
  <si>
    <t>김지현</t>
  </si>
  <si>
    <t>정임경</t>
  </si>
  <si>
    <t>jyk3***</t>
  </si>
  <si>
    <t>이혜민</t>
  </si>
  <si>
    <t>hyem******</t>
  </si>
  <si>
    <t>김보라</t>
  </si>
  <si>
    <t>김민지</t>
  </si>
  <si>
    <t>youn******</t>
  </si>
  <si>
    <t>주문일시</t>
  </si>
  <si>
    <t>결제일시(입금확인일)</t>
  </si>
  <si>
    <t>주문자명</t>
  </si>
  <si>
    <t>주문상품명(옵션포함)</t>
  </si>
  <si>
    <t>김혜진</t>
  </si>
  <si>
    <t>김도연</t>
  </si>
  <si>
    <t>김소연</t>
  </si>
  <si>
    <t>김유진</t>
  </si>
  <si>
    <t>최유진</t>
  </si>
  <si>
    <t>정선아</t>
  </si>
  <si>
    <t>윤은숙</t>
  </si>
  <si>
    <t>김예지</t>
  </si>
  <si>
    <t>이은지</t>
  </si>
  <si>
    <t>김혜련</t>
  </si>
  <si>
    <t>김은정</t>
  </si>
  <si>
    <t>김정은</t>
  </si>
  <si>
    <t>신소연</t>
  </si>
  <si>
    <t>김보미</t>
  </si>
  <si>
    <t>안수진</t>
  </si>
  <si>
    <t>윤정은</t>
  </si>
  <si>
    <t>남기선</t>
  </si>
  <si>
    <t>권우희</t>
  </si>
  <si>
    <t>이지혜</t>
  </si>
  <si>
    <t>9927394880</t>
  </si>
  <si>
    <t>드라잉타올추가 (정가 27000원): 1개</t>
  </si>
  <si>
    <t>0109***</t>
  </si>
  <si>
    <t>10639966326</t>
  </si>
  <si>
    <t>[영이네 공구x베럴즈] 그루밍잼 드라잉 타올 특가</t>
  </si>
  <si>
    <t>오주연</t>
  </si>
  <si>
    <t>이다희</t>
  </si>
  <si>
    <t>이정화</t>
  </si>
  <si>
    <t>신선영</t>
  </si>
  <si>
    <t>shan****</t>
  </si>
  <si>
    <t>김경미</t>
  </si>
  <si>
    <t>milk****</t>
  </si>
  <si>
    <t>박미경</t>
  </si>
  <si>
    <t>hz****</t>
  </si>
  <si>
    <t>이예림</t>
  </si>
  <si>
    <t>김규리</t>
  </si>
  <si>
    <t>손민정</t>
  </si>
  <si>
    <t>김은경</t>
  </si>
  <si>
    <t>윤경선</t>
  </si>
  <si>
    <t>hepb******</t>
  </si>
  <si>
    <t>성희경</t>
  </si>
  <si>
    <t>박재경</t>
  </si>
  <si>
    <t>miru****</t>
  </si>
  <si>
    <t>김금정</t>
  </si>
  <si>
    <t>권문영</t>
  </si>
  <si>
    <t>ansd*****</t>
  </si>
  <si>
    <t>김은화</t>
  </si>
  <si>
    <t>김소이</t>
  </si>
  <si>
    <t>박민주</t>
  </si>
  <si>
    <t>홍혜미</t>
  </si>
  <si>
    <t>polo****</t>
  </si>
  <si>
    <t>정은주</t>
  </si>
  <si>
    <t>오민혜</t>
  </si>
  <si>
    <t>joun*****</t>
  </si>
  <si>
    <t>박선영</t>
  </si>
  <si>
    <t>ky****</t>
  </si>
  <si>
    <t>김보연</t>
  </si>
  <si>
    <t>ko****</t>
  </si>
  <si>
    <t>cho9*****</t>
  </si>
  <si>
    <t>김정연</t>
  </si>
  <si>
    <t>임현정</t>
  </si>
  <si>
    <r>
      <t>CPM(1,000</t>
    </r>
    <r>
      <rPr>
        <b/>
        <sz val="11"/>
        <color rgb="FF000000"/>
        <rFont val="Malgun Gothic"/>
        <family val="2"/>
        <charset val="129"/>
      </rPr>
      <t>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노출당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비용</t>
    </r>
    <r>
      <rPr>
        <b/>
        <sz val="11"/>
        <color rgb="FF000000"/>
        <rFont val="Calibri"/>
        <family val="2"/>
      </rPr>
      <t>) (KRW)</t>
    </r>
    <phoneticPr fontId="30" type="noConversion"/>
  </si>
  <si>
    <t>구매 ROAS(광고 지출 대비 수익률)</t>
  </si>
  <si>
    <t>20260417_포포타올 광고 캠페인</t>
  </si>
  <si>
    <t>제품</t>
    <phoneticPr fontId="25" type="noConversion"/>
  </si>
  <si>
    <t>구매옵션</t>
    <phoneticPr fontId="25" type="noConversion"/>
  </si>
  <si>
    <t>정상가</t>
    <phoneticPr fontId="25" type="noConversion"/>
  </si>
  <si>
    <t>공구판매가</t>
    <phoneticPr fontId="25" type="noConversion"/>
  </si>
  <si>
    <t>판매수량</t>
    <phoneticPr fontId="25" type="noConversion"/>
  </si>
  <si>
    <t>공구매출계</t>
    <phoneticPr fontId="25" type="noConversion"/>
  </si>
  <si>
    <t>공구수수료</t>
    <phoneticPr fontId="25" type="noConversion"/>
  </si>
  <si>
    <t>콘디</t>
    <phoneticPr fontId="25" type="noConversion"/>
  </si>
  <si>
    <t>포포타올</t>
    <phoneticPr fontId="25" type="noConversion"/>
  </si>
  <si>
    <t>1~5개</t>
    <phoneticPr fontId="25" type="noConversion"/>
  </si>
  <si>
    <t>최종 합계</t>
    <phoneticPr fontId="25" type="noConversion"/>
  </si>
  <si>
    <t>포포타올 광고비</t>
    <phoneticPr fontId="25" type="noConversion"/>
  </si>
  <si>
    <r>
      <t>CTR(</t>
    </r>
    <r>
      <rPr>
        <b/>
        <sz val="11"/>
        <color rgb="FF000000"/>
        <rFont val="Malgun Gothic"/>
        <family val="2"/>
        <charset val="129"/>
      </rPr>
      <t>전체</t>
    </r>
    <r>
      <rPr>
        <b/>
        <sz val="11"/>
        <color rgb="FF000000"/>
        <rFont val="Calibri"/>
        <family val="2"/>
      </rPr>
      <t>) %</t>
    </r>
    <phoneticPr fontId="25" type="noConversion"/>
  </si>
  <si>
    <t>구매확정일</t>
    <phoneticPr fontId="25" type="noConversion"/>
  </si>
  <si>
    <t>판매자 상품코드</t>
  </si>
  <si>
    <t>판매자 내부코드1</t>
  </si>
  <si>
    <t>판매자 내부코드2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</si>
  <si>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</si>
  <si>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</si>
  <si>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</si>
  <si>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</si>
  <si>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</si>
  <si>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</si>
  <si>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</si>
  <si>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결제수단</t>
  </si>
  <si>
    <t>결제위치</t>
  </si>
  <si>
    <t>네이버페이 주문관리 수수료</t>
  </si>
  <si>
    <t>매출연동 수수료</t>
  </si>
  <si>
    <t>정산예정금액</t>
  </si>
  <si>
    <t>2026052596708711</t>
  </si>
  <si>
    <t>2026052544072241</t>
  </si>
  <si>
    <t>강현진</t>
  </si>
  <si>
    <t>deda*******</t>
  </si>
  <si>
    <t>92235430350</t>
  </si>
  <si>
    <t>2026052594980609</t>
  </si>
  <si>
    <t>선결제</t>
  </si>
  <si>
    <t>조건부무료</t>
  </si>
  <si>
    <t>후불결제</t>
  </si>
  <si>
    <t>MOBILE</t>
  </si>
  <si>
    <t>2026052491896041</t>
  </si>
  <si>
    <t>2026052441033491</t>
  </si>
  <si>
    <t>정혜련</t>
  </si>
  <si>
    <t>beau*****</t>
  </si>
  <si>
    <t>92235430335</t>
  </si>
  <si>
    <t>2026052494689904</t>
  </si>
  <si>
    <t>머니결제</t>
  </si>
  <si>
    <t>2026052465272871</t>
  </si>
  <si>
    <t>2026052422664091</t>
  </si>
  <si>
    <t>이나현</t>
  </si>
  <si>
    <t>hoyh****</t>
  </si>
  <si>
    <t>92235430243</t>
  </si>
  <si>
    <t>2026052492917696</t>
  </si>
  <si>
    <t>포인트결제</t>
  </si>
  <si>
    <t>2026052999818151</t>
  </si>
  <si>
    <t>2026052975792181</t>
  </si>
  <si>
    <t>김영백</t>
  </si>
  <si>
    <t>sksm*******</t>
  </si>
  <si>
    <t>92235601942</t>
  </si>
  <si>
    <t>6개이상</t>
    <phoneticPr fontId="25" type="noConversion"/>
  </si>
  <si>
    <t>2026052916676287</t>
  </si>
  <si>
    <t>무료</t>
  </si>
  <si>
    <t>2026052910069431</t>
  </si>
  <si>
    <t>2026052975959971</t>
  </si>
  <si>
    <t>정설영</t>
  </si>
  <si>
    <t>mayb*****</t>
  </si>
  <si>
    <t>92235601953</t>
  </si>
  <si>
    <t>2026052916692177</t>
  </si>
  <si>
    <t>신용카드 간편결제</t>
  </si>
  <si>
    <t>2026052997813261</t>
  </si>
  <si>
    <t>2026052974446091</t>
  </si>
  <si>
    <t>김민희</t>
  </si>
  <si>
    <t>mini******</t>
  </si>
  <si>
    <t>92235601931</t>
  </si>
  <si>
    <t>2026052916548092</t>
  </si>
  <si>
    <t>2026052997813251</t>
  </si>
  <si>
    <t>2026052876209461</t>
  </si>
  <si>
    <t>2026052860134141</t>
  </si>
  <si>
    <t>유주애</t>
  </si>
  <si>
    <t>snic*****</t>
  </si>
  <si>
    <t>92235591383</t>
  </si>
  <si>
    <t>2026052815185932</t>
  </si>
  <si>
    <t>신용카드</t>
  </si>
  <si>
    <t>2026053174832791</t>
  </si>
  <si>
    <t>2026053131263021</t>
  </si>
  <si>
    <t>유영선</t>
  </si>
  <si>
    <t>rose*********</t>
  </si>
  <si>
    <t>92235668313</t>
  </si>
  <si>
    <t>2026053120973818</t>
  </si>
  <si>
    <t>2026060129841931</t>
  </si>
  <si>
    <t>2026060160336291</t>
  </si>
  <si>
    <t>dahe*****</t>
  </si>
  <si>
    <t>카페봄</t>
  </si>
  <si>
    <t>92235679911</t>
  </si>
  <si>
    <t>2026060123739802</t>
  </si>
  <si>
    <t>2026060192709831</t>
  </si>
  <si>
    <t>2026060143024241</t>
  </si>
  <si>
    <t>rltj*****</t>
  </si>
  <si>
    <t>92235669481</t>
  </si>
  <si>
    <t>2026060122065734</t>
  </si>
  <si>
    <t>휴대폰</t>
  </si>
  <si>
    <t>2026053183119031</t>
  </si>
  <si>
    <t>2026053137058801</t>
  </si>
  <si>
    <t>92235668556</t>
  </si>
  <si>
    <t>2026053121513701</t>
  </si>
  <si>
    <t>2026053037843151</t>
  </si>
  <si>
    <t>2026053095134471</t>
  </si>
  <si>
    <t>김진화</t>
  </si>
  <si>
    <t>rosa****</t>
  </si>
  <si>
    <t>92235668125</t>
  </si>
  <si>
    <t>2026053018510535</t>
  </si>
  <si>
    <t>2026053037843141</t>
  </si>
  <si>
    <t>2026052921431781</t>
  </si>
  <si>
    <t>2026052983836921</t>
  </si>
  <si>
    <t>정규림</t>
  </si>
  <si>
    <t>jag0***</t>
  </si>
  <si>
    <t>92235668070</t>
  </si>
  <si>
    <t>2026052917438279</t>
  </si>
  <si>
    <t>2026052484280541</t>
  </si>
  <si>
    <t>2026052435928481</t>
  </si>
  <si>
    <t>dldm*******</t>
  </si>
  <si>
    <t>92235430324</t>
  </si>
  <si>
    <t>2026052494201015</t>
  </si>
  <si>
    <t>2026052354673131</t>
  </si>
  <si>
    <t>2026052315384851</t>
  </si>
  <si>
    <t>최윤정</t>
  </si>
  <si>
    <t>zelo***</t>
  </si>
  <si>
    <t>92235430221</t>
  </si>
  <si>
    <t>2026052392230002</t>
  </si>
  <si>
    <t>2026052354673121</t>
  </si>
  <si>
    <t>2026052533747811</t>
  </si>
  <si>
    <t>2026052562592401</t>
  </si>
  <si>
    <t>ojy7***</t>
  </si>
  <si>
    <t>92235430453</t>
  </si>
  <si>
    <t>2026052596776473</t>
  </si>
  <si>
    <t>2026052466667041</t>
  </si>
  <si>
    <t>2026052423574121</t>
  </si>
  <si>
    <t>dlek******</t>
  </si>
  <si>
    <t>92235430265</t>
  </si>
  <si>
    <t>2026052493002897</t>
  </si>
  <si>
    <t>2026052227749471</t>
  </si>
  <si>
    <t>2026052286663521</t>
  </si>
  <si>
    <t>조이빈</t>
  </si>
  <si>
    <t>ibin****</t>
  </si>
  <si>
    <t>92235430836</t>
  </si>
  <si>
    <t>2026052290439843</t>
  </si>
  <si>
    <t>2026052359110701</t>
  </si>
  <si>
    <t>2026052318569351</t>
  </si>
  <si>
    <t>moon****</t>
  </si>
  <si>
    <t>92235430755</t>
  </si>
  <si>
    <t>2026052392531332</t>
  </si>
  <si>
    <t>2026052595298691</t>
  </si>
  <si>
    <t>2026052543179531</t>
  </si>
  <si>
    <t>우현주</t>
  </si>
  <si>
    <t>whj9*****</t>
  </si>
  <si>
    <t>92235430346</t>
  </si>
  <si>
    <t>2026052594894849</t>
  </si>
  <si>
    <t>2026052511794201</t>
  </si>
  <si>
    <t>2026052547558201</t>
  </si>
  <si>
    <t>leey*****</t>
  </si>
  <si>
    <t>92235430394</t>
  </si>
  <si>
    <t>2026052595319192</t>
  </si>
  <si>
    <t>계좌 간편결제</t>
  </si>
  <si>
    <t>2026052471414511</t>
  </si>
  <si>
    <t>2026052426904241</t>
  </si>
  <si>
    <t>송경란</t>
  </si>
  <si>
    <t>song********</t>
  </si>
  <si>
    <t>92235430674</t>
  </si>
  <si>
    <t>2026052493320624</t>
  </si>
  <si>
    <t>2026052643144121</t>
  </si>
  <si>
    <t>2026052668542071</t>
  </si>
  <si>
    <t>ANMINGZHE</t>
  </si>
  <si>
    <t>zhen*******</t>
  </si>
  <si>
    <t>92235430534</t>
  </si>
  <si>
    <t>2026052697350142</t>
  </si>
  <si>
    <t>무통장입금</t>
  </si>
  <si>
    <t>2026052469091041</t>
  </si>
  <si>
    <t>2026052425265241</t>
  </si>
  <si>
    <t>이수정</t>
  </si>
  <si>
    <t>cris******</t>
  </si>
  <si>
    <t>92235430276</t>
  </si>
  <si>
    <t>2026052493160514</t>
  </si>
  <si>
    <t>2026052364653371</t>
  </si>
  <si>
    <t>2026052322254571</t>
  </si>
  <si>
    <t>ejoo****</t>
  </si>
  <si>
    <t>92235430232</t>
  </si>
  <si>
    <t>2026052392879714</t>
  </si>
  <si>
    <t>2026052467407311</t>
  </si>
  <si>
    <t>2026052424035611</t>
  </si>
  <si>
    <t>권연수</t>
  </si>
  <si>
    <t>92235430685</t>
  </si>
  <si>
    <t>2026052493046888</t>
  </si>
  <si>
    <t>2026052229278301</t>
  </si>
  <si>
    <t>2026052287741961</t>
  </si>
  <si>
    <t>권주연</t>
  </si>
  <si>
    <t>myu6***</t>
  </si>
  <si>
    <t>92235430136</t>
  </si>
  <si>
    <t>2026052290543065</t>
  </si>
  <si>
    <t>2026052340966411</t>
  </si>
  <si>
    <t>2026052395588541</t>
  </si>
  <si>
    <t>양주영</t>
  </si>
  <si>
    <t>bibi****</t>
  </si>
  <si>
    <t>92235430173</t>
  </si>
  <si>
    <t>2026052391284957</t>
  </si>
  <si>
    <t>2026052526328691</t>
  </si>
  <si>
    <t>2026052557515861</t>
  </si>
  <si>
    <t>구준호</t>
  </si>
  <si>
    <t>92235430416</t>
  </si>
  <si>
    <t>2026052596290583</t>
  </si>
  <si>
    <t>2026052537683301</t>
  </si>
  <si>
    <t>2026052565126091</t>
  </si>
  <si>
    <t>92235430475</t>
  </si>
  <si>
    <t>2026052597020229</t>
  </si>
  <si>
    <t>2026052655210701</t>
  </si>
  <si>
    <t>2026052676523051</t>
  </si>
  <si>
    <t>조혜진</t>
  </si>
  <si>
    <t>toy5***</t>
  </si>
  <si>
    <t>조볼</t>
  </si>
  <si>
    <t>92235453030</t>
  </si>
  <si>
    <t>2026052698131261</t>
  </si>
  <si>
    <t>2026052651863451</t>
  </si>
  <si>
    <t>2026052674314341</t>
  </si>
  <si>
    <t>강린</t>
  </si>
  <si>
    <t>rinv****</t>
  </si>
  <si>
    <t>92235453026</t>
  </si>
  <si>
    <t>2026052697913088</t>
  </si>
  <si>
    <t>2026052866004511</t>
  </si>
  <si>
    <t>2026052853078391</t>
  </si>
  <si>
    <t>우보람</t>
  </si>
  <si>
    <t>wbr6***</t>
  </si>
  <si>
    <t>92235591372</t>
  </si>
  <si>
    <t>2026052814515717</t>
  </si>
  <si>
    <t>2026060265131101</t>
  </si>
  <si>
    <t>2026060283569181</t>
  </si>
  <si>
    <t>15zl***</t>
  </si>
  <si>
    <t>92235722434</t>
  </si>
  <si>
    <t>2026060225953735</t>
  </si>
  <si>
    <t>2026053160340801</t>
  </si>
  <si>
    <t>2026053120808551</t>
  </si>
  <si>
    <t>김성주</t>
  </si>
  <si>
    <t>sung*****</t>
  </si>
  <si>
    <t>92235668221</t>
  </si>
  <si>
    <t>2026053119994728</t>
  </si>
  <si>
    <t>2026060262633881</t>
  </si>
  <si>
    <t>2026060281947811</t>
  </si>
  <si>
    <t>최은혜</t>
  </si>
  <si>
    <t>kiss*************</t>
  </si>
  <si>
    <t>92235722364</t>
  </si>
  <si>
    <t>2026060225797925</t>
  </si>
  <si>
    <t>2026060267747351</t>
  </si>
  <si>
    <t>2026060285280641</t>
  </si>
  <si>
    <t>only******</t>
  </si>
  <si>
    <t>92235722401</t>
  </si>
  <si>
    <t>2026060226119155</t>
  </si>
  <si>
    <t>2026052528744551</t>
  </si>
  <si>
    <t>2026052559184251</t>
  </si>
  <si>
    <t>오민희</t>
  </si>
  <si>
    <t>minh******</t>
  </si>
  <si>
    <t>92235430442</t>
  </si>
  <si>
    <t>2026052596450876</t>
  </si>
  <si>
    <t>2026052352162271</t>
  </si>
  <si>
    <t>2026052313579871</t>
  </si>
  <si>
    <t>황성진</t>
  </si>
  <si>
    <t>ador********</t>
  </si>
  <si>
    <t>92235430210</t>
  </si>
  <si>
    <t>2026052392057356</t>
  </si>
  <si>
    <t>2026052685853301</t>
  </si>
  <si>
    <t>2026052696661741</t>
  </si>
  <si>
    <t>조인서</t>
  </si>
  <si>
    <t>hban****</t>
  </si>
  <si>
    <t>92235491854</t>
  </si>
  <si>
    <t>2026052610068806</t>
  </si>
  <si>
    <t>2026052713688881</t>
  </si>
  <si>
    <t>2026052718301221</t>
  </si>
  <si>
    <t>조성심</t>
  </si>
  <si>
    <t>92235510566</t>
  </si>
  <si>
    <t>2026052711187954</t>
  </si>
  <si>
    <t>2026052798181791</t>
  </si>
  <si>
    <t>2026052714683991</t>
  </si>
  <si>
    <t>정다정</t>
  </si>
  <si>
    <t>chel******</t>
  </si>
  <si>
    <t>92235510544</t>
  </si>
  <si>
    <t>2026052710837190</t>
  </si>
  <si>
    <t>2026052718100491</t>
  </si>
  <si>
    <t>2026052721234121</t>
  </si>
  <si>
    <t>rlag*******</t>
  </si>
  <si>
    <t>92235510570</t>
  </si>
  <si>
    <t>2026052711471206</t>
  </si>
  <si>
    <t>2026060129042411</t>
  </si>
  <si>
    <t>2026060159825611</t>
  </si>
  <si>
    <t>김혜림</t>
  </si>
  <si>
    <t>hye8***</t>
  </si>
  <si>
    <t>92235679900</t>
  </si>
  <si>
    <t>2026060123690652</t>
  </si>
  <si>
    <t>휴대폰 간편결제</t>
  </si>
  <si>
    <t>PC</t>
  </si>
  <si>
    <t>2026053161405871</t>
  </si>
  <si>
    <t>2026053121595411</t>
  </si>
  <si>
    <t>김태선</t>
  </si>
  <si>
    <t>kim7****</t>
  </si>
  <si>
    <t>92235669621</t>
  </si>
  <si>
    <t>2026053120068006</t>
  </si>
  <si>
    <t>2026060282952711</t>
  </si>
  <si>
    <t>2026060295329131</t>
  </si>
  <si>
    <t>김희주</t>
  </si>
  <si>
    <t>hjd3***</t>
  </si>
  <si>
    <t>92235764460</t>
  </si>
  <si>
    <t>2026060227077533</t>
  </si>
  <si>
    <t>2026060325435981</t>
  </si>
  <si>
    <t>2026060327440911</t>
  </si>
  <si>
    <t>강은수</t>
  </si>
  <si>
    <t>love*****</t>
  </si>
  <si>
    <t>92235764563</t>
  </si>
  <si>
    <t>2026060329186006</t>
  </si>
  <si>
    <t>2026052844069871</t>
  </si>
  <si>
    <t>2026052838438111</t>
  </si>
  <si>
    <t>설미지</t>
  </si>
  <si>
    <t>alwl****</t>
  </si>
  <si>
    <t>92235529875</t>
  </si>
  <si>
    <t>2026052813106707</t>
  </si>
  <si>
    <t>2026052862088941</t>
  </si>
  <si>
    <t>2026052850468351</t>
  </si>
  <si>
    <t>강명선</t>
  </si>
  <si>
    <t>msni****</t>
  </si>
  <si>
    <t>92235560782</t>
  </si>
  <si>
    <t>2026052814267559</t>
  </si>
  <si>
    <t>2026052739131491</t>
  </si>
  <si>
    <t>2026052735331581</t>
  </si>
  <si>
    <t>문세하</t>
  </si>
  <si>
    <t>tpgk****</t>
  </si>
  <si>
    <t>92235529853</t>
  </si>
  <si>
    <t>2026052712810700</t>
  </si>
  <si>
    <t>2026052736130601</t>
  </si>
  <si>
    <t>2026052733397751</t>
  </si>
  <si>
    <t>김지윤</t>
  </si>
  <si>
    <t>hpm1***</t>
  </si>
  <si>
    <t>92235529842</t>
  </si>
  <si>
    <t>2026052712626719</t>
  </si>
  <si>
    <t>2026052856895521</t>
  </si>
  <si>
    <t>2026052847005171</t>
  </si>
  <si>
    <t>최은비</t>
  </si>
  <si>
    <t>eb_c*****</t>
  </si>
  <si>
    <t>92235560454</t>
  </si>
  <si>
    <t>2026052813934882</t>
  </si>
  <si>
    <t>2026052877627071</t>
  </si>
  <si>
    <t>2026052861082661</t>
  </si>
  <si>
    <t>이효진</t>
  </si>
  <si>
    <t>lhjd********</t>
  </si>
  <si>
    <t>92235591394</t>
  </si>
  <si>
    <t>2026052815274102</t>
  </si>
  <si>
    <t>2026052911393621</t>
  </si>
  <si>
    <t>2026052976837951</t>
  </si>
  <si>
    <t>장하온</t>
  </si>
  <si>
    <t>jang********</t>
  </si>
  <si>
    <t>92235601964</t>
  </si>
  <si>
    <t>2026052916775607</t>
  </si>
  <si>
    <t>2026060149383951</t>
  </si>
  <si>
    <t>2026060173311611</t>
  </si>
  <si>
    <t>강누리</t>
  </si>
  <si>
    <t>nllo******</t>
  </si>
  <si>
    <t>92235693314</t>
  </si>
  <si>
    <t>2026060124972611</t>
  </si>
  <si>
    <t>2026060149563941</t>
  </si>
  <si>
    <t>2026060173426151</t>
  </si>
  <si>
    <t>한보현</t>
  </si>
  <si>
    <t>bohy******</t>
  </si>
  <si>
    <t>92235693325</t>
  </si>
  <si>
    <t>2026060124983274</t>
  </si>
  <si>
    <t>2026060263065901</t>
  </si>
  <si>
    <t>2026060282230391</t>
  </si>
  <si>
    <t>현명희</t>
  </si>
  <si>
    <t>deaf***</t>
  </si>
  <si>
    <t>박덕열</t>
  </si>
  <si>
    <t>92235722375</t>
  </si>
  <si>
    <t>2026060225825415</t>
  </si>
  <si>
    <t>2026060447518781</t>
  </si>
  <si>
    <t>2026060442097191</t>
  </si>
  <si>
    <t>진현주</t>
  </si>
  <si>
    <t>thhj****</t>
  </si>
  <si>
    <t>92235780136</t>
  </si>
  <si>
    <t>2026060430592961</t>
  </si>
  <si>
    <t>2026060447518771</t>
  </si>
  <si>
    <t>2026060325423261</t>
  </si>
  <si>
    <t>2026060327432031</t>
  </si>
  <si>
    <t>구태균</t>
  </si>
  <si>
    <t>92235764552</t>
  </si>
  <si>
    <t>2026060329184957</t>
  </si>
  <si>
    <t>2026060325423251</t>
  </si>
  <si>
    <t>2026060445475081</t>
  </si>
  <si>
    <t>2026060440670451</t>
  </si>
  <si>
    <t>이부희</t>
  </si>
  <si>
    <t>lbh6***</t>
  </si>
  <si>
    <t>92235764633</t>
  </si>
  <si>
    <t>2026060430454088</t>
  </si>
  <si>
    <t>2026053162618061</t>
  </si>
  <si>
    <t>2026053122482841</t>
  </si>
  <si>
    <t>이승아</t>
  </si>
  <si>
    <t>cybe***</t>
  </si>
  <si>
    <t>92235668243</t>
  </si>
  <si>
    <t>2026053120149881</t>
  </si>
  <si>
    <t>2026053187540941</t>
  </si>
  <si>
    <t>2026053139959091</t>
  </si>
  <si>
    <t>남궁지윤</t>
  </si>
  <si>
    <t>cccl****</t>
  </si>
  <si>
    <t>92235668700</t>
  </si>
  <si>
    <t>2026053121784130</t>
  </si>
  <si>
    <t>2026053179887251</t>
  </si>
  <si>
    <t>2026053134856201</t>
  </si>
  <si>
    <t>김영욱</t>
  </si>
  <si>
    <t>wook****</t>
  </si>
  <si>
    <t>92235668324</t>
  </si>
  <si>
    <t>2026053121308251</t>
  </si>
  <si>
    <t>2026053156784921</t>
  </si>
  <si>
    <t>2026053118298021</t>
  </si>
  <si>
    <t>전성익</t>
  </si>
  <si>
    <t>mary***</t>
  </si>
  <si>
    <t>92235668195</t>
  </si>
  <si>
    <t>2026053119762916</t>
  </si>
  <si>
    <t>2026053156784911</t>
  </si>
  <si>
    <t>2026060124248191</t>
  </si>
  <si>
    <t>2026060156749591</t>
  </si>
  <si>
    <t>서소리</t>
  </si>
  <si>
    <t>ssr5***</t>
  </si>
  <si>
    <t>92235668851</t>
  </si>
  <si>
    <t>2026060123395416</t>
  </si>
  <si>
    <t>2026052922817381</t>
  </si>
  <si>
    <t>2026052984779431</t>
  </si>
  <si>
    <t>임정숙</t>
  </si>
  <si>
    <t>jsli*****</t>
  </si>
  <si>
    <t>92235668081</t>
  </si>
  <si>
    <t>2026052917527429</t>
  </si>
  <si>
    <t>2026052916735591</t>
  </si>
  <si>
    <t>2026052980486201</t>
  </si>
  <si>
    <t>kkm7***</t>
  </si>
  <si>
    <t>92235668033</t>
  </si>
  <si>
    <t>2026052917120547</t>
  </si>
  <si>
    <t>2026060117800681</t>
  </si>
  <si>
    <t>2026060152595471</t>
  </si>
  <si>
    <t>안서희</t>
  </si>
  <si>
    <t>dldd********</t>
  </si>
  <si>
    <t>92235668840</t>
  </si>
  <si>
    <t>2026060122993303</t>
  </si>
  <si>
    <t>2026053156744861</t>
  </si>
  <si>
    <t>2026053118271971</t>
  </si>
  <si>
    <t>우성희</t>
  </si>
  <si>
    <t>pren****</t>
  </si>
  <si>
    <t>92235668184</t>
  </si>
  <si>
    <t>2026053119760434</t>
  </si>
  <si>
    <t>2026053159423701</t>
  </si>
  <si>
    <t>2026053120124971</t>
  </si>
  <si>
    <t>김하은</t>
  </si>
  <si>
    <t>haeu*****</t>
  </si>
  <si>
    <t>92235669643</t>
  </si>
  <si>
    <t>2026053119932108</t>
  </si>
  <si>
    <t>2026053039917251</t>
  </si>
  <si>
    <t>2026053096632101</t>
  </si>
  <si>
    <t>서국지</t>
  </si>
  <si>
    <t>kukj***</t>
  </si>
  <si>
    <t>92235668136</t>
  </si>
  <si>
    <t>2026053018655076</t>
  </si>
  <si>
    <t>2026053180714881</t>
  </si>
  <si>
    <t>2026053135425521</t>
  </si>
  <si>
    <t>sopb***</t>
  </si>
  <si>
    <t>92235668361</t>
  </si>
  <si>
    <t>2026053121361303</t>
  </si>
  <si>
    <t>2026060767532291</t>
  </si>
  <si>
    <t>2026060726529101</t>
  </si>
  <si>
    <t>허희수</t>
  </si>
  <si>
    <t>hiis***</t>
  </si>
  <si>
    <t>92235882152</t>
  </si>
  <si>
    <t>2026060737702898</t>
  </si>
  <si>
    <t>2026060585468631</t>
  </si>
  <si>
    <t>2026060567277881</t>
  </si>
  <si>
    <t>천현진</t>
  </si>
  <si>
    <t>venu*****</t>
  </si>
  <si>
    <t>92235795831</t>
  </si>
  <si>
    <t>2026060532997174</t>
  </si>
  <si>
    <t>2026060598443931</t>
  </si>
  <si>
    <t>2026060575970061</t>
  </si>
  <si>
    <t>전은혜</t>
  </si>
  <si>
    <t>wjsd******</t>
  </si>
  <si>
    <t>92235811533</t>
  </si>
  <si>
    <t>2026060533837856</t>
  </si>
  <si>
    <t>2026060137580001</t>
  </si>
  <si>
    <t>2026060165444071</t>
  </si>
  <si>
    <t>윤보영</t>
  </si>
  <si>
    <t>ybyq****</t>
  </si>
  <si>
    <t>92235693281</t>
  </si>
  <si>
    <t>2026060124226730</t>
  </si>
  <si>
    <t>2026060256437741</t>
  </si>
  <si>
    <t>2026060277736971</t>
  </si>
  <si>
    <t>qlrq*******</t>
  </si>
  <si>
    <t>92235693351</t>
  </si>
  <si>
    <t>2026060225392686</t>
  </si>
  <si>
    <t>2026060135744281</t>
  </si>
  <si>
    <t>2026060164220951</t>
  </si>
  <si>
    <t>김유수</t>
  </si>
  <si>
    <t>mati******</t>
  </si>
  <si>
    <t>92235693384</t>
  </si>
  <si>
    <t>2026060124110777</t>
  </si>
  <si>
    <t>2026060149880921</t>
  </si>
  <si>
    <t>2026060173624711</t>
  </si>
  <si>
    <t>김현영</t>
  </si>
  <si>
    <t>dkag******</t>
  </si>
  <si>
    <t>92235693336</t>
  </si>
  <si>
    <t>2026060125002294</t>
  </si>
  <si>
    <t>2026060265080141</t>
  </si>
  <si>
    <t>2026060283535031</t>
  </si>
  <si>
    <t>92235722390</t>
  </si>
  <si>
    <t>2026060225951100</t>
  </si>
  <si>
    <t>2026060264115931</t>
  </si>
  <si>
    <t>2026060282921491</t>
  </si>
  <si>
    <t>jeeh*******</t>
  </si>
  <si>
    <t>92235722386</t>
  </si>
  <si>
    <t>2026060225891810</t>
  </si>
  <si>
    <t>2026060338112391</t>
  </si>
  <si>
    <t>2026060335948491</t>
  </si>
  <si>
    <t>박소민</t>
  </si>
  <si>
    <t>somi*****</t>
  </si>
  <si>
    <t>92235764611</t>
  </si>
  <si>
    <t>2026060330000292</t>
  </si>
  <si>
    <t>2026060319795181</t>
  </si>
  <si>
    <t>2026060323538251</t>
  </si>
  <si>
    <t>박지현</t>
  </si>
  <si>
    <t>wlgu*****</t>
  </si>
  <si>
    <t>92235764530</t>
  </si>
  <si>
    <t>2026060328812089</t>
  </si>
  <si>
    <t>2026060319795171</t>
  </si>
  <si>
    <t>2026060289414141</t>
  </si>
  <si>
    <t>2026060299734761</t>
  </si>
  <si>
    <t>최민희</t>
  </si>
  <si>
    <t>alic******</t>
  </si>
  <si>
    <t>92235764493</t>
  </si>
  <si>
    <t>2026060227493705</t>
  </si>
  <si>
    <t>2026060441489301</t>
  </si>
  <si>
    <t>2026060438079091</t>
  </si>
  <si>
    <t>유수현</t>
  </si>
  <si>
    <t>soo9***</t>
  </si>
  <si>
    <t>92235764622</t>
  </si>
  <si>
    <t>2026060430204849</t>
  </si>
  <si>
    <t>2026060396461031</t>
  </si>
  <si>
    <t>2026060314245841</t>
  </si>
  <si>
    <t>이서인</t>
  </si>
  <si>
    <t>boya***</t>
  </si>
  <si>
    <t>92235764655</t>
  </si>
  <si>
    <t>2026060327918752</t>
  </si>
  <si>
    <t>2026060319219551</t>
  </si>
  <si>
    <t>2026060323139211</t>
  </si>
  <si>
    <t>김남은</t>
  </si>
  <si>
    <t>skad*****</t>
  </si>
  <si>
    <t>김은재</t>
  </si>
  <si>
    <t>92235764526</t>
  </si>
  <si>
    <t>2026060328773633</t>
  </si>
  <si>
    <t>2026060398427461</t>
  </si>
  <si>
    <t>2026060315626461</t>
  </si>
  <si>
    <t>김순덕</t>
  </si>
  <si>
    <t>namh*******</t>
  </si>
  <si>
    <t>92235764504</t>
  </si>
  <si>
    <t>2026060328048551</t>
  </si>
  <si>
    <t>2026060320720391</t>
  </si>
  <si>
    <t>2026060324177081</t>
  </si>
  <si>
    <t>홍성연</t>
  </si>
  <si>
    <t>92235764541</t>
  </si>
  <si>
    <t>2026060328873611</t>
  </si>
  <si>
    <t>2026060321779931</t>
  </si>
  <si>
    <t>2026060324903861</t>
  </si>
  <si>
    <t>박정윤</t>
  </si>
  <si>
    <t>sons******</t>
  </si>
  <si>
    <t>92235764644</t>
  </si>
  <si>
    <t>2026060328943088</t>
  </si>
  <si>
    <t>2026060282146851</t>
  </si>
  <si>
    <t>2026060294775091</t>
  </si>
  <si>
    <t>92235764456</t>
  </si>
  <si>
    <t>2026060227025166</t>
  </si>
  <si>
    <t>2026060325561461</t>
  </si>
  <si>
    <t>2026060327528031</t>
  </si>
  <si>
    <t>전보연</t>
  </si>
  <si>
    <t>99****</t>
  </si>
  <si>
    <t>92235764574</t>
  </si>
  <si>
    <t>2026060329194121</t>
  </si>
  <si>
    <t>2026060399109001</t>
  </si>
  <si>
    <t>2026060316098731</t>
  </si>
  <si>
    <t>최환희</t>
  </si>
  <si>
    <t>hwan*****</t>
  </si>
  <si>
    <t>92235764515</t>
  </si>
  <si>
    <t>2026060328093676</t>
  </si>
  <si>
    <t>2026060516057061</t>
  </si>
  <si>
    <t>2026060581205681</t>
  </si>
  <si>
    <t>gyur*****</t>
  </si>
  <si>
    <t>92235882060</t>
  </si>
  <si>
    <t>2026060534322600</t>
  </si>
  <si>
    <t>2026060467299191</t>
  </si>
  <si>
    <t>2026060455186661</t>
  </si>
  <si>
    <t>김민준</t>
  </si>
  <si>
    <t>vv07****</t>
  </si>
  <si>
    <t>92235795783</t>
  </si>
  <si>
    <t>2026060431849886</t>
  </si>
  <si>
    <t>2026060525750021</t>
  </si>
  <si>
    <t>2026060587904811</t>
  </si>
  <si>
    <t>박준희</t>
  </si>
  <si>
    <t>leem*******</t>
  </si>
  <si>
    <t>92235882093</t>
  </si>
  <si>
    <t>2026060534957058</t>
  </si>
  <si>
    <t>2026060476867871</t>
  </si>
  <si>
    <t>2026060461765061</t>
  </si>
  <si>
    <t>조윤서</t>
  </si>
  <si>
    <t>fk****</t>
  </si>
  <si>
    <t>92235795794</t>
  </si>
  <si>
    <t>2026060432473777</t>
  </si>
  <si>
    <t>2026060599098391</t>
  </si>
  <si>
    <t>2026060576406021</t>
  </si>
  <si>
    <t>92235811544</t>
  </si>
  <si>
    <t>2026060533879573</t>
  </si>
  <si>
    <t>2026060518890211</t>
  </si>
  <si>
    <t>2026060583176051</t>
  </si>
  <si>
    <t>문아현</t>
  </si>
  <si>
    <t>ansd******</t>
  </si>
  <si>
    <t>92235882071</t>
  </si>
  <si>
    <t>2026060534509223</t>
  </si>
  <si>
    <t>2026061644134001</t>
  </si>
  <si>
    <t>2026061672845031</t>
  </si>
  <si>
    <t>박은영</t>
  </si>
  <si>
    <t>dudq******</t>
  </si>
  <si>
    <t>CJ대한통운</t>
  </si>
  <si>
    <t>522089876692</t>
  </si>
  <si>
    <t>2026061659402569</t>
  </si>
  <si>
    <t>2026061644812531</t>
  </si>
  <si>
    <t>2026061673268071</t>
  </si>
  <si>
    <t>홍윤지</t>
  </si>
  <si>
    <t>522089876666</t>
  </si>
  <si>
    <t>2026061659442980</t>
  </si>
  <si>
    <t>2026061282979011</t>
  </si>
  <si>
    <t>2026061266793441</t>
  </si>
  <si>
    <t>522064901403</t>
  </si>
  <si>
    <t>2026061250191678</t>
  </si>
  <si>
    <t>2026061840925961</t>
  </si>
  <si>
    <t>2026061840766501</t>
  </si>
  <si>
    <t>황유리</t>
  </si>
  <si>
    <t>uri1***</t>
  </si>
  <si>
    <t>황두식</t>
  </si>
  <si>
    <t>522106066745</t>
  </si>
  <si>
    <t>2026061864921534</t>
  </si>
  <si>
    <t>2026061645249951</t>
  </si>
  <si>
    <t>2026061673534741</t>
  </si>
  <si>
    <t>522089878195</t>
  </si>
  <si>
    <t>2026061659468503</t>
  </si>
  <si>
    <t>2026062497832711</t>
  </si>
  <si>
    <t>2026062419784181</t>
  </si>
  <si>
    <t>문성경</t>
  </si>
  <si>
    <t>tjdr******</t>
  </si>
  <si>
    <t>522151587804</t>
  </si>
  <si>
    <t>2026062480054775</t>
  </si>
  <si>
    <t>2026062437936071</t>
  </si>
  <si>
    <t>2026062439912921</t>
  </si>
  <si>
    <t>522159687014</t>
  </si>
  <si>
    <t>10571327351</t>
  </si>
  <si>
    <t>영이공구 X 베럴즈 이케코 메쉬백 2026ver.</t>
  </si>
  <si>
    <t>사이즈: ML</t>
  </si>
  <si>
    <t>2026062481980128</t>
  </si>
  <si>
    <t>2026062589971051</t>
  </si>
  <si>
    <t>2026062574856071</t>
  </si>
  <si>
    <t>황윤희</t>
  </si>
  <si>
    <t>qaz5***</t>
  </si>
  <si>
    <t>511924690224</t>
  </si>
  <si>
    <t>2026062585336835</t>
  </si>
  <si>
    <t>2026062291305161</t>
  </si>
  <si>
    <t>2026062246289141</t>
  </si>
  <si>
    <t>홍예주</t>
  </si>
  <si>
    <t>yyes***</t>
  </si>
  <si>
    <t>코코</t>
  </si>
  <si>
    <t>522126419982</t>
  </si>
  <si>
    <t>2026062274013237</t>
  </si>
  <si>
    <t>2026062561377491</t>
  </si>
  <si>
    <t>2026062555634701</t>
  </si>
  <si>
    <t>황지혜</t>
  </si>
  <si>
    <t>nann*****</t>
  </si>
  <si>
    <t>522161253065</t>
  </si>
  <si>
    <t>2026062583479253</t>
  </si>
  <si>
    <t>2026062433446091</t>
  </si>
  <si>
    <t>2026062436816141</t>
  </si>
  <si>
    <t>배여름</t>
  </si>
  <si>
    <t>blos******</t>
  </si>
  <si>
    <t>522159686900</t>
  </si>
  <si>
    <t>2026062481685901</t>
  </si>
  <si>
    <t>2026062573005211</t>
  </si>
  <si>
    <t>2026062563290791</t>
  </si>
  <si>
    <t>522161252785</t>
  </si>
  <si>
    <t>2026062584234285</t>
  </si>
  <si>
    <t>2026062616080821</t>
  </si>
  <si>
    <t>2026062685637171</t>
  </si>
  <si>
    <t>임수진</t>
  </si>
  <si>
    <t>limj***</t>
  </si>
  <si>
    <t>522168544921</t>
  </si>
  <si>
    <t>10565999120</t>
  </si>
  <si>
    <t>[영이 공구x베럴즈] 이케코백</t>
  </si>
  <si>
    <t>사이즈: ML / 색상: 체크옐로우 (바로배송)</t>
    <phoneticPr fontId="25" type="noConversion"/>
  </si>
  <si>
    <t>2026062686362345</t>
  </si>
  <si>
    <t>2026062616080811</t>
  </si>
  <si>
    <t>2026062686362344</t>
  </si>
  <si>
    <t>2026061997554431</t>
  </si>
  <si>
    <t>2026061979031051</t>
  </si>
  <si>
    <t>배문주</t>
  </si>
  <si>
    <t>zas2***</t>
  </si>
  <si>
    <t>배강문</t>
  </si>
  <si>
    <t>522118651603</t>
  </si>
  <si>
    <t>2026061968561251</t>
  </si>
  <si>
    <t>2026062563502821</t>
  </si>
  <si>
    <t>2026062556990321</t>
  </si>
  <si>
    <t>이다영</t>
  </si>
  <si>
    <t>moni********</t>
  </si>
  <si>
    <t>522168546192</t>
  </si>
  <si>
    <t>사이즈: SM / 색상: 체크옐로우 (6월 26일 순차배송)</t>
  </si>
  <si>
    <t>2026062583613682</t>
  </si>
  <si>
    <t>2026062611001481</t>
  </si>
  <si>
    <t>2026062682208071</t>
  </si>
  <si>
    <t>구현지</t>
  </si>
  <si>
    <t>522168544906</t>
  </si>
  <si>
    <t>2026062686036148</t>
  </si>
  <si>
    <t>2026062611001471</t>
  </si>
  <si>
    <t>사이즈: ML / 색상: 체크옐로우 (바로배송)</t>
  </si>
  <si>
    <t>2026062686036147</t>
  </si>
  <si>
    <t>2026062411064951</t>
  </si>
  <si>
    <t>2026062421862471</t>
  </si>
  <si>
    <t>신미애</t>
  </si>
  <si>
    <t>pees*******</t>
  </si>
  <si>
    <t>522151587830</t>
  </si>
  <si>
    <t>2026062480253532</t>
  </si>
  <si>
    <t>2026062610649911</t>
  </si>
  <si>
    <t>2026062681968281</t>
  </si>
  <si>
    <t>김해니</t>
  </si>
  <si>
    <t>haen*****</t>
  </si>
  <si>
    <t>522168544932</t>
  </si>
  <si>
    <t>2026062686013442</t>
  </si>
  <si>
    <t>2026062562290391</t>
  </si>
  <si>
    <t>2026062556214251</t>
  </si>
  <si>
    <t>정지오</t>
  </si>
  <si>
    <t>spej***</t>
  </si>
  <si>
    <t>522161253076</t>
  </si>
  <si>
    <t>2026062583537020</t>
  </si>
  <si>
    <t>2026062440700501</t>
  </si>
  <si>
    <t>2026062441856961</t>
  </si>
  <si>
    <t>522159687025</t>
  </si>
  <si>
    <t>2026062482166252</t>
  </si>
  <si>
    <t>2026062551376211</t>
  </si>
  <si>
    <t>2026062548959191</t>
  </si>
  <si>
    <t>김재영</t>
  </si>
  <si>
    <t>kjca****</t>
  </si>
  <si>
    <t>522159686896</t>
  </si>
  <si>
    <t>2026062582833704</t>
  </si>
  <si>
    <t>2026062567709281</t>
  </si>
  <si>
    <t>2026062559766831</t>
  </si>
  <si>
    <t>유현빈</t>
  </si>
  <si>
    <t>egge******</t>
  </si>
  <si>
    <t>522161253032</t>
  </si>
  <si>
    <t>2026062583886635</t>
  </si>
  <si>
    <t>2026062583880801</t>
  </si>
  <si>
    <t>2026062570727871</t>
  </si>
  <si>
    <t>co****</t>
  </si>
  <si>
    <t>522168546170</t>
  </si>
  <si>
    <t>2026062584944616</t>
  </si>
  <si>
    <t>2026062585479061</t>
  </si>
  <si>
    <t>2026062571848471</t>
  </si>
  <si>
    <t>xk****</t>
  </si>
  <si>
    <t>511924690235</t>
  </si>
  <si>
    <t>2026062585051722</t>
  </si>
  <si>
    <t>2026062562841461</t>
  </si>
  <si>
    <t>2026062556562421</t>
  </si>
  <si>
    <t>박정숙</t>
  </si>
  <si>
    <t>mint******</t>
  </si>
  <si>
    <t>522168544884</t>
  </si>
  <si>
    <t>2026062583571557</t>
  </si>
  <si>
    <t>2026062562841451</t>
  </si>
  <si>
    <t>사이즈: ML / 색상: 체크블루 (6월 26일 순차배송)</t>
  </si>
  <si>
    <t>2026062583571556</t>
  </si>
  <si>
    <t>구분</t>
  </si>
  <si>
    <t>주문수</t>
    <phoneticPr fontId="25" type="noConversion"/>
  </si>
  <si>
    <t>옵션(수량)</t>
    <phoneticPr fontId="25" type="noConversion"/>
  </si>
  <si>
    <t>단품</t>
  </si>
  <si>
    <t>아이스팩 파우치</t>
    <phoneticPr fontId="25" type="noConversion"/>
  </si>
  <si>
    <t>안정민</t>
  </si>
  <si>
    <t>20260529-0000175</t>
  </si>
  <si>
    <t>유혜림</t>
  </si>
  <si>
    <t>20260530-0000014</t>
  </si>
  <si>
    <t>윤미선</t>
  </si>
  <si>
    <t>20260530-0000029</t>
  </si>
  <si>
    <t>박윤주</t>
  </si>
  <si>
    <t>20260530-0000107</t>
  </si>
  <si>
    <t>노수빈</t>
  </si>
  <si>
    <t>20260530-0000121</t>
  </si>
  <si>
    <t>남장훈</t>
  </si>
  <si>
    <t>20260530-0000190</t>
  </si>
  <si>
    <t>최가은</t>
  </si>
  <si>
    <t>20260531-0000017</t>
  </si>
  <si>
    <t>임유아</t>
  </si>
  <si>
    <t>20260531-0000023</t>
  </si>
  <si>
    <t>정여민</t>
  </si>
  <si>
    <t>20260531-0000038</t>
  </si>
  <si>
    <t>조원란</t>
  </si>
  <si>
    <t>20260531-0000069</t>
  </si>
  <si>
    <t>조예진</t>
  </si>
  <si>
    <t>20260531-0000080</t>
  </si>
  <si>
    <t>박성미</t>
  </si>
  <si>
    <t>20260531-0000093</t>
  </si>
  <si>
    <t>김소운</t>
  </si>
  <si>
    <t>20260531-0000104</t>
  </si>
  <si>
    <t>20260531-0000118</t>
  </si>
  <si>
    <t>이슬</t>
  </si>
  <si>
    <t>20260531-0000131</t>
  </si>
  <si>
    <t>오규영</t>
  </si>
  <si>
    <t>20260531-0000149</t>
  </si>
  <si>
    <t>이연주</t>
  </si>
  <si>
    <t>20260531-0000165</t>
  </si>
  <si>
    <t>송용원</t>
  </si>
  <si>
    <t>20260531-0000174</t>
  </si>
  <si>
    <t>이정윤</t>
  </si>
  <si>
    <t>20260531-0000188</t>
  </si>
  <si>
    <t>송뭉치</t>
  </si>
  <si>
    <t>20260531-0000208</t>
  </si>
  <si>
    <t>김미애</t>
  </si>
  <si>
    <t>20260531-0000214</t>
  </si>
  <si>
    <t>원재희</t>
  </si>
  <si>
    <t>20260531-0000226</t>
  </si>
  <si>
    <t>20260531-0000239</t>
  </si>
  <si>
    <t>김지원</t>
  </si>
  <si>
    <t>20260531-0000267</t>
  </si>
  <si>
    <t>문경란</t>
  </si>
  <si>
    <t>20260531-0000279</t>
  </si>
  <si>
    <t>김나경</t>
  </si>
  <si>
    <t>20260531-0000281</t>
  </si>
  <si>
    <t>김영은</t>
  </si>
  <si>
    <t>20260531-0000303</t>
  </si>
  <si>
    <t>이애린</t>
  </si>
  <si>
    <t>20260531-0000312</t>
  </si>
  <si>
    <t>정슬기</t>
  </si>
  <si>
    <t>20260531-0000328</t>
  </si>
  <si>
    <t>이동준</t>
  </si>
  <si>
    <t>20260531-0000338</t>
  </si>
  <si>
    <t>안수현</t>
  </si>
  <si>
    <t>20260531-0000349</t>
  </si>
  <si>
    <t>보블</t>
  </si>
  <si>
    <t>20260531-0000358</t>
  </si>
  <si>
    <t>20260531-0000364</t>
  </si>
  <si>
    <t>20260531-0000373</t>
  </si>
  <si>
    <t>별이</t>
  </si>
  <si>
    <t>20260531-0000388</t>
  </si>
  <si>
    <t>20260531-0000391</t>
  </si>
  <si>
    <t>buddy</t>
  </si>
  <si>
    <t>20260531-0000400</t>
  </si>
  <si>
    <t>20260531-0000414</t>
  </si>
  <si>
    <t>이선이</t>
  </si>
  <si>
    <t>20260531-0000432</t>
  </si>
  <si>
    <t>배선미</t>
  </si>
  <si>
    <t>20260531-0000450</t>
  </si>
  <si>
    <t>박지수</t>
  </si>
  <si>
    <t>20260531-0000466</t>
  </si>
  <si>
    <t>장선연</t>
  </si>
  <si>
    <t>20260531-0000475</t>
  </si>
  <si>
    <t>이은선</t>
  </si>
  <si>
    <t>20260531-0000481</t>
  </si>
  <si>
    <t>임나현</t>
  </si>
  <si>
    <t>20260531-0000491</t>
  </si>
  <si>
    <t>염혜인</t>
  </si>
  <si>
    <t>20260531-0000536</t>
  </si>
  <si>
    <t>20260531-0000542</t>
  </si>
  <si>
    <t>임현선</t>
  </si>
  <si>
    <t>20260531-0000551</t>
  </si>
  <si>
    <t>쏭히히</t>
  </si>
  <si>
    <t>20260531-0000561</t>
  </si>
  <si>
    <t>김동백</t>
  </si>
  <si>
    <t>20260531-0000573</t>
  </si>
  <si>
    <t>김지수</t>
  </si>
  <si>
    <t>20260531-0000585</t>
  </si>
  <si>
    <t>20260531-0000597</t>
  </si>
  <si>
    <t>주소연</t>
  </si>
  <si>
    <t>20260531-0000601</t>
  </si>
  <si>
    <t>김아름</t>
  </si>
  <si>
    <t>20260531-0000611</t>
  </si>
  <si>
    <t>유예선</t>
  </si>
  <si>
    <t>20260531-0000626</t>
  </si>
  <si>
    <t>20260531-0000631</t>
  </si>
  <si>
    <t>최수빈</t>
  </si>
  <si>
    <t>20260531-0000647</t>
  </si>
  <si>
    <t>Loveunsue</t>
  </si>
  <si>
    <t>20260531-0000652</t>
  </si>
  <si>
    <t>안지영</t>
  </si>
  <si>
    <t>20260531-0000665</t>
  </si>
  <si>
    <t>재해</t>
  </si>
  <si>
    <t>20260531-0000686</t>
  </si>
  <si>
    <t>백민진</t>
  </si>
  <si>
    <t>20260531-0000698</t>
  </si>
  <si>
    <t>전지영</t>
  </si>
  <si>
    <t>20260531-0000703</t>
  </si>
  <si>
    <t>안수지</t>
  </si>
  <si>
    <t>20260531-0000711</t>
  </si>
  <si>
    <t>김선미</t>
  </si>
  <si>
    <t>20260531-0000731</t>
  </si>
  <si>
    <t>20260531-0000769</t>
  </si>
  <si>
    <t>20260531-0000774</t>
  </si>
  <si>
    <t>장다영</t>
  </si>
  <si>
    <t>20260531-0000784</t>
  </si>
  <si>
    <t>엄지희</t>
  </si>
  <si>
    <t>20260531-0000791</t>
  </si>
  <si>
    <t>신민정</t>
  </si>
  <si>
    <t>20260531-0000803</t>
  </si>
  <si>
    <t>신미지</t>
  </si>
  <si>
    <t>20260531-0000817</t>
  </si>
  <si>
    <t>이유정</t>
  </si>
  <si>
    <t>20260531-0000829</t>
  </si>
  <si>
    <t>정지유</t>
  </si>
  <si>
    <t>20260531-0000833</t>
  </si>
  <si>
    <t>박희정</t>
  </si>
  <si>
    <t>20260531-0000857</t>
  </si>
  <si>
    <t>강서진</t>
  </si>
  <si>
    <t>20260531-0000860</t>
  </si>
  <si>
    <t>최누림</t>
  </si>
  <si>
    <t>20260531-0000876</t>
  </si>
  <si>
    <t>강윤미</t>
  </si>
  <si>
    <t>20260531-0000882</t>
  </si>
  <si>
    <t>정온애</t>
  </si>
  <si>
    <t>20260531-0000907</t>
  </si>
  <si>
    <t>최춘화</t>
  </si>
  <si>
    <t>20260531-0000913</t>
  </si>
  <si>
    <t>김은나래</t>
  </si>
  <si>
    <t>20260531-0000921</t>
  </si>
  <si>
    <t>김다솜</t>
  </si>
  <si>
    <t>20260531-0000933</t>
  </si>
  <si>
    <t>황윤정</t>
  </si>
  <si>
    <t>20260531-0000944</t>
  </si>
  <si>
    <t>창지수</t>
  </si>
  <si>
    <t>20260531-0000950</t>
  </si>
  <si>
    <t>최정아</t>
  </si>
  <si>
    <t>20260531-0000965</t>
  </si>
  <si>
    <t>20260531-0000979</t>
  </si>
  <si>
    <t>백승희</t>
  </si>
  <si>
    <t>20260531-0000984</t>
  </si>
  <si>
    <t>박송이</t>
  </si>
  <si>
    <t>20260531-0000993</t>
  </si>
  <si>
    <t>20260531-0001000</t>
  </si>
  <si>
    <t>인화</t>
  </si>
  <si>
    <t>20260531-0001012</t>
  </si>
  <si>
    <t>20260531-0001036</t>
  </si>
  <si>
    <t>황효신</t>
  </si>
  <si>
    <t>20260531-0001055</t>
  </si>
  <si>
    <t>임설</t>
  </si>
  <si>
    <t>20260531-0001061</t>
  </si>
  <si>
    <t>20260531-0001070</t>
  </si>
  <si>
    <t>20260531-0001084</t>
  </si>
  <si>
    <t>장윤선</t>
  </si>
  <si>
    <t>20260531-0001091</t>
  </si>
  <si>
    <t>강민채</t>
  </si>
  <si>
    <t>20260531-0001137</t>
  </si>
  <si>
    <t>20260531-0001148</t>
  </si>
  <si>
    <t>미소</t>
  </si>
  <si>
    <t>20260531-0001163</t>
  </si>
  <si>
    <t>박시원</t>
  </si>
  <si>
    <t>20260531-0001174</t>
  </si>
  <si>
    <t>주현</t>
  </si>
  <si>
    <t>20260531-0001181</t>
  </si>
  <si>
    <t>윤현숙</t>
  </si>
  <si>
    <t>20260531-0001199</t>
  </si>
  <si>
    <t>20260531-0001201</t>
  </si>
  <si>
    <t>김재한</t>
  </si>
  <si>
    <t>20260531-0001215</t>
  </si>
  <si>
    <t>20260531-0001228</t>
  </si>
  <si>
    <t>류수진</t>
  </si>
  <si>
    <t>20260531-0001256</t>
  </si>
  <si>
    <t>노재중</t>
  </si>
  <si>
    <t>20260531-0001273</t>
  </si>
  <si>
    <t>순</t>
  </si>
  <si>
    <t>20260531-0001291</t>
  </si>
  <si>
    <t>노시은</t>
  </si>
  <si>
    <t>20260531-0001308</t>
  </si>
  <si>
    <t>최혜은</t>
  </si>
  <si>
    <t>20260531-0001325</t>
  </si>
  <si>
    <t>문원동</t>
  </si>
  <si>
    <t>20260531-0001338</t>
  </si>
  <si>
    <t>20260531-0001342</t>
  </si>
  <si>
    <t>김남경</t>
  </si>
  <si>
    <t>20260612-0000041</t>
  </si>
  <si>
    <t>김인수</t>
  </si>
  <si>
    <t>20260614-0000073</t>
  </si>
  <si>
    <t>안수정</t>
  </si>
  <si>
    <t>20260614-0000092</t>
  </si>
  <si>
    <t>김성기</t>
  </si>
  <si>
    <t>20260615-0000012</t>
  </si>
  <si>
    <t>김미숙</t>
  </si>
  <si>
    <t>20260616-0000049</t>
  </si>
  <si>
    <t>김명선</t>
  </si>
  <si>
    <t>20260616-0000065</t>
  </si>
  <si>
    <t>세계최강 김성애</t>
  </si>
  <si>
    <t>20260616-0000089</t>
  </si>
  <si>
    <t>한재성</t>
  </si>
  <si>
    <t>20260617-0000018</t>
  </si>
  <si>
    <t>아이스팩 파우치</t>
  </si>
  <si>
    <t>20260617-0000039</t>
  </si>
  <si>
    <t>김우연</t>
  </si>
  <si>
    <t>20260617-0000053</t>
  </si>
  <si>
    <t>20260618-0000011</t>
  </si>
  <si>
    <t>정해정</t>
  </si>
  <si>
    <t>20260618-0000067</t>
  </si>
  <si>
    <t>이세영</t>
  </si>
  <si>
    <t>20260618-0000079</t>
  </si>
  <si>
    <t>송영탁</t>
  </si>
  <si>
    <t>20260618-0000101</t>
  </si>
  <si>
    <t>20260618-0000111</t>
  </si>
  <si>
    <t>20260618-0000136</t>
  </si>
  <si>
    <t>20260618-0000158</t>
  </si>
  <si>
    <t>장진희</t>
  </si>
  <si>
    <t>20260618-0000161</t>
  </si>
  <si>
    <t>20260618-0000176</t>
  </si>
  <si>
    <t>김선욱</t>
  </si>
  <si>
    <t>20260618-0000187</t>
  </si>
  <si>
    <t>고수영</t>
  </si>
  <si>
    <t>20260618-0000196</t>
  </si>
  <si>
    <t>박지애</t>
  </si>
  <si>
    <t>20260618-0000217</t>
  </si>
  <si>
    <t>20260618-0000228</t>
  </si>
  <si>
    <t>최은미</t>
  </si>
  <si>
    <t>20260618-0000251</t>
  </si>
  <si>
    <t>강연정</t>
  </si>
  <si>
    <t>20260618-0000273</t>
  </si>
  <si>
    <t>한아영</t>
  </si>
  <si>
    <t>20260618-0000281</t>
  </si>
  <si>
    <t>신다예</t>
  </si>
  <si>
    <t>20260619-0000011</t>
  </si>
  <si>
    <t>20260619-0000039</t>
  </si>
  <si>
    <t>박성희</t>
  </si>
  <si>
    <t>20260619-0000058</t>
  </si>
  <si>
    <t>최유미</t>
  </si>
  <si>
    <t>20260619-0000079</t>
  </si>
  <si>
    <t>김성원</t>
  </si>
  <si>
    <t>20260619-0000131</t>
  </si>
  <si>
    <t>공하람</t>
  </si>
  <si>
    <t>20260619-0000157</t>
  </si>
  <si>
    <t>김효선</t>
  </si>
  <si>
    <t>20260619-0000171</t>
  </si>
  <si>
    <t>명수지</t>
  </si>
  <si>
    <t>20260619-0000198</t>
  </si>
  <si>
    <t>황예지</t>
  </si>
  <si>
    <t>20260619-0000212</t>
  </si>
  <si>
    <t>20260619-0000246</t>
  </si>
  <si>
    <t>송영효</t>
  </si>
  <si>
    <t>20260620-0000030</t>
  </si>
  <si>
    <t>김효은</t>
  </si>
  <si>
    <t>20260620-0000044</t>
  </si>
  <si>
    <t>고승미</t>
  </si>
  <si>
    <t>20260621-0000057</t>
  </si>
  <si>
    <t>박인수</t>
  </si>
  <si>
    <t>20260621-0000088</t>
  </si>
  <si>
    <t>20260621-0000090</t>
  </si>
  <si>
    <t>김현아</t>
  </si>
  <si>
    <t>20260621-0000101</t>
  </si>
  <si>
    <t>정민섭</t>
  </si>
  <si>
    <t>20260621-0000131</t>
  </si>
  <si>
    <t>20260621-0000175</t>
  </si>
  <si>
    <t>이연희</t>
  </si>
  <si>
    <t>20260621-0000187</t>
  </si>
  <si>
    <t>신창용</t>
  </si>
  <si>
    <t>20260621-0000195</t>
  </si>
  <si>
    <t>최미란</t>
  </si>
  <si>
    <t>20260622-0000012</t>
  </si>
  <si>
    <t>김채원</t>
  </si>
  <si>
    <t>20260622-0000085</t>
  </si>
  <si>
    <t>이현정</t>
  </si>
  <si>
    <t>20260622-0000095</t>
  </si>
  <si>
    <t>20260622-0000109</t>
  </si>
  <si>
    <t>제리</t>
  </si>
  <si>
    <t>20260622-0000111</t>
  </si>
  <si>
    <t>김지예</t>
  </si>
  <si>
    <t>20260623-0000041</t>
  </si>
  <si>
    <t>안지현</t>
  </si>
  <si>
    <t>20260623-0000067</t>
  </si>
  <si>
    <t>이지영</t>
  </si>
  <si>
    <t>20260623-0000128</t>
  </si>
  <si>
    <t>김지염</t>
  </si>
  <si>
    <t>20260623-0000167</t>
  </si>
  <si>
    <t>박정언</t>
  </si>
  <si>
    <t>20260624-0000023</t>
  </si>
  <si>
    <t>Kim Junglim</t>
  </si>
  <si>
    <t>20260625-0000036</t>
  </si>
  <si>
    <t>이준행</t>
  </si>
  <si>
    <t>20260625-0000111</t>
  </si>
  <si>
    <t>이성민</t>
  </si>
  <si>
    <t>20260626-0000041</t>
  </si>
  <si>
    <r>
      <rPr>
        <sz val="10"/>
        <color rgb="FF000000"/>
        <rFont val="Malgun Gothic"/>
        <family val="2"/>
      </rPr>
      <t>총수량</t>
    </r>
    <r>
      <rPr>
        <sz val="10"/>
        <color rgb="FF000000"/>
        <rFont val="Arial"/>
        <scheme val="minor"/>
      </rPr>
      <t>(개)</t>
    </r>
    <phoneticPr fontId="25" type="noConversion"/>
  </si>
  <si>
    <r>
      <rPr>
        <sz val="10"/>
        <color theme="1"/>
        <rFont val="Malgun Gothic"/>
        <family val="2"/>
      </rPr>
      <t>스마트스토어</t>
    </r>
    <r>
      <rPr>
        <sz val="10"/>
        <color theme="1"/>
        <rFont val="Arial"/>
        <family val="2"/>
        <scheme val="minor"/>
      </rPr>
      <t xml:space="preserve"> : 6/1-6/30 </t>
    </r>
    <r>
      <rPr>
        <b/>
        <sz val="10"/>
        <color theme="1"/>
        <rFont val="Arial"/>
        <family val="2"/>
        <scheme val="minor"/>
      </rPr>
      <t>[</t>
    </r>
    <r>
      <rPr>
        <b/>
        <sz val="10"/>
        <color theme="1"/>
        <rFont val="Malgun Gothic"/>
        <family val="2"/>
      </rPr>
      <t>구매확정</t>
    </r>
    <r>
      <rPr>
        <b/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집계</t>
    </r>
    <phoneticPr fontId="25" type="noConversion"/>
  </si>
  <si>
    <r>
      <rPr>
        <sz val="10"/>
        <color theme="1"/>
        <rFont val="Malgun Gothic"/>
        <family val="2"/>
      </rPr>
      <t>우프자사몰</t>
    </r>
    <r>
      <rPr>
        <sz val="10"/>
        <color theme="1"/>
        <rFont val="Arial"/>
        <family val="2"/>
        <scheme val="minor"/>
      </rPr>
      <t xml:space="preserve"> : 6/1-6/30 </t>
    </r>
    <r>
      <rPr>
        <b/>
        <sz val="10"/>
        <color theme="1"/>
        <rFont val="Arial"/>
        <family val="2"/>
        <scheme val="minor"/>
      </rPr>
      <t>[</t>
    </r>
    <r>
      <rPr>
        <b/>
        <sz val="10"/>
        <color theme="1"/>
        <rFont val="Malgun Gothic"/>
        <family val="2"/>
      </rPr>
      <t>배송완료</t>
    </r>
    <r>
      <rPr>
        <b/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집계</t>
    </r>
    <phoneticPr fontId="25" type="noConversion"/>
  </si>
  <si>
    <t>이케코백</t>
    <phoneticPr fontId="25" type="noConversion"/>
  </si>
  <si>
    <t>체크 옐로우 SM</t>
    <phoneticPr fontId="25" type="noConversion"/>
  </si>
  <si>
    <t>체크 옐로우 ML</t>
    <phoneticPr fontId="25" type="noConversion"/>
  </si>
  <si>
    <t>체크 블루 ML</t>
    <phoneticPr fontId="25" type="noConversion"/>
  </si>
  <si>
    <t>메쉬백 SM</t>
    <phoneticPr fontId="25" type="noConversion"/>
  </si>
  <si>
    <t>메쉬백 ML</t>
    <phoneticPr fontId="25" type="noConversion"/>
  </si>
  <si>
    <r>
      <t>*</t>
    </r>
    <r>
      <rPr>
        <b/>
        <sz val="11"/>
        <color rgb="FF000000"/>
        <rFont val="Arial"/>
        <family val="2"/>
      </rPr>
      <t>광고비는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전체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총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판매합계금액의</t>
    </r>
    <r>
      <rPr>
        <b/>
        <sz val="11"/>
        <color rgb="FF000000"/>
        <rFont val="Calibri"/>
        <family val="2"/>
      </rPr>
      <t xml:space="preserve"> 5%(</t>
    </r>
    <r>
      <rPr>
        <b/>
        <sz val="11"/>
        <color rgb="FF000000"/>
        <rFont val="Arial"/>
        <family val="2"/>
      </rPr>
      <t>수수료</t>
    </r>
    <r>
      <rPr>
        <b/>
        <sz val="11"/>
        <color rgb="FF000000"/>
        <rFont val="Calibri"/>
        <family val="2"/>
      </rPr>
      <t xml:space="preserve">15%) </t>
    </r>
    <r>
      <rPr>
        <b/>
        <sz val="11"/>
        <color rgb="FF000000"/>
        <rFont val="Arial"/>
        <family val="2"/>
      </rPr>
      <t>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총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광고지출금액의</t>
    </r>
    <r>
      <rPr>
        <b/>
        <sz val="11"/>
        <color rgb="FF000000"/>
        <rFont val="Calibri"/>
        <family val="2"/>
      </rPr>
      <t xml:space="preserve"> 50% </t>
    </r>
    <r>
      <rPr>
        <b/>
        <sz val="11"/>
        <color rgb="FF000000"/>
        <rFont val="Arial"/>
        <family val="2"/>
      </rPr>
      <t>중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값이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작은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쪽으로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청구</t>
    </r>
    <phoneticPr fontId="25" type="noConversion"/>
  </si>
  <si>
    <r>
      <rPr>
        <b/>
        <sz val="11"/>
        <color rgb="FF000000"/>
        <rFont val="Arial"/>
        <family val="2"/>
      </rPr>
      <t>광고비</t>
    </r>
    <r>
      <rPr>
        <b/>
        <sz val="11"/>
        <color rgb="FF000000"/>
        <rFont val="Calibri"/>
        <family val="2"/>
      </rPr>
      <t>(50%)</t>
    </r>
    <phoneticPr fontId="25" type="noConversion"/>
  </si>
  <si>
    <t>드라잉타올 추가</t>
    <phoneticPr fontId="25" type="noConversion"/>
  </si>
  <si>
    <r>
      <t>6</t>
    </r>
    <r>
      <rPr>
        <sz val="10"/>
        <color rgb="FF000000"/>
        <rFont val="Arial"/>
        <family val="2"/>
        <charset val="129"/>
        <scheme val="minor"/>
      </rPr>
      <t>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포포타올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매출 기준 5%</t>
    </r>
    <phoneticPr fontId="25" type="noConversion"/>
  </si>
  <si>
    <t>6월 판매액</t>
    <phoneticPr fontId="25" type="noConversion"/>
  </si>
  <si>
    <t>W-20260710-1</t>
    <phoneticPr fontId="25" type="noConversion"/>
  </si>
  <si>
    <t>영이공구 (2026.06) 판매 내역 정산</t>
    <phoneticPr fontId="25" type="noConversion"/>
  </si>
  <si>
    <t>6월</t>
    <phoneticPr fontId="25" type="noConversion"/>
  </si>
  <si>
    <t>포포타올(드라잉타올) 공구</t>
    <phoneticPr fontId="25" type="noConversion"/>
  </si>
  <si>
    <t>콘디 냉감블랭킷(아이스파우치) 공구</t>
    <phoneticPr fontId="25" type="noConversion"/>
  </si>
  <si>
    <t>이케코백 (메쉬백) 공구</t>
    <phoneticPr fontId="25" type="noConversion"/>
  </si>
  <si>
    <t>6월 광고비 정산</t>
    <phoneticPr fontId="25" type="noConversion"/>
  </si>
  <si>
    <t>* 6/1-6/30 배송완료 내역 및 구매확정(스마트스토어) 내역 기준입니다.</t>
    <phoneticPr fontId="25" type="noConversion"/>
  </si>
  <si>
    <t>* 6/30 일 기준으로 매출 세금계산서 정발행해 주시면 익월 15일 까지 지정된 계좌로 지급 예정입니다.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</si>
</sst>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76" formatCode="yyyy&quot;년 &quot;m&quot;월 &quot;d&quot;일&quot;"/>
    <numFmt numFmtId="177" formatCode="[$₩-412]#,##0"/>
    <numFmt numFmtId="178" formatCode="[$₩]#,##0"/>
    <numFmt numFmtId="179" formatCode="[$₩]#,000"/>
    <numFmt numFmtId="180" formatCode="#,000"/>
    <numFmt numFmtId="181" formatCode="yyyy/mm/dd\ hh:mm"/>
    <numFmt numFmtId="182" formatCode="&quot;\&quot;#,##0"/>
    <numFmt numFmtId="188" formatCode="_(* #,##0_);_(* \(#,##0\);_(* &quot;-&quot;??_);_(@_)"/>
  </numFmts>
  <fonts count="43">
    <font>
      <sz val="10"/>
      <color rgb="FF000000"/>
      <name val="Arial"/>
      <scheme val="minor"/>
    </font>
    <font>
      <sz val="10"/>
      <color rgb="FF000000"/>
      <name val="Noto Sans KR"/>
      <family val="2"/>
    </font>
    <font>
      <sz val="14"/>
      <color rgb="FF000000"/>
      <name val="Noto Sans KR"/>
      <charset val="129"/>
    </font>
    <font>
      <b/>
      <sz val="23"/>
      <color rgb="FF000000"/>
      <name val="Noto Sans KR"/>
      <charset val="129"/>
    </font>
    <font>
      <sz val="13"/>
      <color rgb="FF000000"/>
      <name val="Noto Sans KR"/>
      <charset val="129"/>
    </font>
    <font>
      <b/>
      <sz val="10"/>
      <color theme="1"/>
      <name val="Noto Sans KR"/>
      <charset val="129"/>
    </font>
    <font>
      <sz val="10"/>
      <name val="Arial"/>
      <family val="2"/>
    </font>
    <font>
      <b/>
      <sz val="12"/>
      <color rgb="FF000000"/>
      <name val="Noto Sans KR"/>
      <charset val="129"/>
    </font>
    <font>
      <sz val="10"/>
      <color theme="1"/>
      <name val="Noto Sans KR"/>
      <charset val="129"/>
    </font>
    <font>
      <b/>
      <sz val="10"/>
      <color rgb="FF000000"/>
      <name val="Noto Sans KR"/>
      <charset val="129"/>
    </font>
    <font>
      <sz val="9"/>
      <color rgb="FF000000"/>
      <name val="Noto Sans KR"/>
      <charset val="129"/>
    </font>
    <font>
      <sz val="10"/>
      <color rgb="FF000000"/>
      <name val="Noto Sans KR"/>
      <charset val="129"/>
    </font>
    <font>
      <sz val="10"/>
      <color theme="1"/>
      <name val="Noto Sans KR"/>
      <charset val="129"/>
    </font>
    <font>
      <sz val="8"/>
      <color theme="1"/>
      <name val="Noto Sans KR"/>
      <charset val="129"/>
    </font>
    <font>
      <b/>
      <sz val="9"/>
      <color theme="1"/>
      <name val="Noto Sans KR"/>
      <charset val="129"/>
    </font>
    <font>
      <sz val="8"/>
      <color rgb="FF000000"/>
      <name val="Noto Sans KR"/>
      <charset val="129"/>
    </font>
    <font>
      <b/>
      <sz val="9"/>
      <color rgb="FF000000"/>
      <name val="Noto Sans KR"/>
      <charset val="129"/>
    </font>
    <font>
      <sz val="9"/>
      <color theme="1"/>
      <name val="Noto Sans KR"/>
      <charset val="129"/>
    </font>
    <font>
      <b/>
      <sz val="10"/>
      <color rgb="FF000000"/>
      <name val="Noto Sans KR"/>
      <charset val="129"/>
    </font>
    <font>
      <b/>
      <sz val="13"/>
      <color rgb="FF000000"/>
      <name val="Noto Sans KR"/>
      <charset val="129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2"/>
    </font>
    <font>
      <b/>
      <sz val="11"/>
      <color rgb="FF000000"/>
      <name val="Malgun Gothic"/>
      <family val="2"/>
      <charset val="129"/>
    </font>
    <font>
      <sz val="8"/>
      <name val="나눔고딕OTF"/>
      <family val="3"/>
      <charset val="129"/>
    </font>
    <font>
      <b/>
      <sz val="10"/>
      <color theme="1"/>
      <name val="Arial"/>
      <family val="2"/>
      <charset val="129"/>
      <scheme val="minor"/>
    </font>
    <font>
      <b/>
      <sz val="10"/>
      <color theme="1"/>
      <name val="Malgun Gothic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9"/>
      <name val="Arial"/>
      <family val="2"/>
      <charset val="129"/>
      <scheme val="minor"/>
    </font>
    <font>
      <sz val="9"/>
      <color theme="1"/>
      <name val="Arial"/>
      <family val="2"/>
      <charset val="129"/>
      <scheme val="minor"/>
    </font>
    <font>
      <b/>
      <sz val="11"/>
      <color theme="1"/>
      <name val="Arial"/>
      <family val="2"/>
      <charset val="129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charset val="129"/>
      <scheme val="minor"/>
    </font>
    <font>
      <sz val="10"/>
      <color rgb="FF000000"/>
      <name val="Malgun Gothic"/>
      <family val="2"/>
    </font>
    <font>
      <sz val="10"/>
      <color theme="1"/>
      <name val="Malgun Gothic"/>
      <family val="2"/>
      <charset val="129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CCCCFF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medium">
        <color rgb="FF000000"/>
      </right>
      <top/>
      <bottom style="hair">
        <color theme="0" tint="-0.499984740745262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24" fillId="0" borderId="0" applyFont="0" applyFill="0" applyBorder="0" applyAlignment="0" applyProtection="0">
      <alignment vertical="center"/>
    </xf>
    <xf numFmtId="0" fontId="33" fillId="0" borderId="0"/>
    <xf numFmtId="41" fontId="33" fillId="0" borderId="0" applyFont="0" applyFill="0" applyBorder="0" applyAlignment="0" applyProtection="0">
      <alignment vertical="center"/>
    </xf>
  </cellStyleXfs>
  <cellXfs count="1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8" fillId="0" borderId="2" xfId="0" applyFont="1" applyBorder="1"/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78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177" fontId="18" fillId="0" borderId="5" xfId="0" applyNumberFormat="1" applyFont="1" applyBorder="1"/>
    <xf numFmtId="0" fontId="1" fillId="0" borderId="6" xfId="0" applyFont="1" applyBorder="1"/>
    <xf numFmtId="177" fontId="18" fillId="0" borderId="7" xfId="0" applyNumberFormat="1" applyFont="1" applyBorder="1"/>
    <xf numFmtId="179" fontId="1" fillId="0" borderId="7" xfId="0" applyNumberFormat="1" applyFont="1" applyBorder="1"/>
    <xf numFmtId="0" fontId="1" fillId="3" borderId="8" xfId="0" applyFont="1" applyFill="1" applyBorder="1"/>
    <xf numFmtId="0" fontId="1" fillId="3" borderId="9" xfId="0" applyFont="1" applyFill="1" applyBorder="1"/>
    <xf numFmtId="178" fontId="19" fillId="3" borderId="1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80" fontId="23" fillId="0" borderId="11" xfId="0" applyNumberFormat="1" applyFont="1" applyBorder="1" applyAlignment="1">
      <alignment horizontal="right" vertical="center"/>
    </xf>
    <xf numFmtId="180" fontId="22" fillId="0" borderId="11" xfId="0" applyNumberFormat="1" applyFont="1" applyBorder="1" applyAlignment="1">
      <alignment horizontal="right" vertical="center"/>
    </xf>
    <xf numFmtId="0" fontId="26" fillId="0" borderId="0" xfId="0" applyFont="1" applyAlignment="1">
      <alignment vertical="center"/>
    </xf>
    <xf numFmtId="22" fontId="2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82" fontId="0" fillId="0" borderId="0" xfId="0" applyNumberFormat="1" applyAlignment="1">
      <alignment wrapText="1"/>
    </xf>
    <xf numFmtId="0" fontId="22" fillId="0" borderId="0" xfId="0" applyFont="1"/>
    <xf numFmtId="41" fontId="0" fillId="0" borderId="0" xfId="1" applyFont="1" applyAlignment="1"/>
    <xf numFmtId="0" fontId="26" fillId="0" borderId="0" xfId="0" applyFont="1"/>
    <xf numFmtId="41" fontId="31" fillId="5" borderId="12" xfId="3" applyFont="1" applyFill="1" applyBorder="1" applyAlignment="1">
      <alignment horizontal="center"/>
    </xf>
    <xf numFmtId="0" fontId="33" fillId="0" borderId="0" xfId="2"/>
    <xf numFmtId="41" fontId="21" fillId="0" borderId="12" xfId="3" applyFont="1" applyBorder="1" applyAlignment="1"/>
    <xf numFmtId="41" fontId="20" fillId="6" borderId="12" xfId="3" applyFont="1" applyFill="1" applyBorder="1" applyAlignment="1"/>
    <xf numFmtId="41" fontId="31" fillId="0" borderId="12" xfId="3" applyFont="1" applyBorder="1" applyAlignment="1"/>
    <xf numFmtId="0" fontId="14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1" fillId="0" borderId="14" xfId="0" applyFont="1" applyBorder="1"/>
    <xf numFmtId="3" fontId="16" fillId="0" borderId="14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center" vertical="center"/>
    </xf>
    <xf numFmtId="177" fontId="16" fillId="0" borderId="1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right" vertical="center"/>
    </xf>
    <xf numFmtId="0" fontId="6" fillId="0" borderId="9" xfId="0" applyFont="1" applyBorder="1"/>
    <xf numFmtId="0" fontId="1" fillId="0" borderId="4" xfId="0" applyFont="1" applyBorder="1" applyAlignment="1">
      <alignment horizontal="right"/>
    </xf>
    <xf numFmtId="0" fontId="6" fillId="0" borderId="4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8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176" fontId="1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7" fillId="0" borderId="2" xfId="0" applyFont="1" applyBorder="1"/>
    <xf numFmtId="0" fontId="6" fillId="0" borderId="2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14" fontId="0" fillId="0" borderId="0" xfId="0" applyNumberFormat="1"/>
    <xf numFmtId="0" fontId="35" fillId="4" borderId="0" xfId="0" applyFont="1" applyFill="1" applyAlignment="1">
      <alignment horizontal="center"/>
    </xf>
    <xf numFmtId="0" fontId="36" fillId="0" borderId="0" xfId="0" applyFont="1"/>
    <xf numFmtId="181" fontId="36" fillId="0" borderId="0" xfId="0" applyNumberFormat="1" applyFont="1" applyAlignment="1">
      <alignment horizontal="right" wrapText="1"/>
    </xf>
    <xf numFmtId="182" fontId="36" fillId="0" borderId="0" xfId="0" applyNumberFormat="1" applyFont="1" applyAlignment="1">
      <alignment wrapText="1"/>
    </xf>
    <xf numFmtId="0" fontId="34" fillId="7" borderId="0" xfId="0" applyFont="1" applyFill="1"/>
    <xf numFmtId="0" fontId="0" fillId="7" borderId="0" xfId="0" applyFill="1" applyAlignment="1">
      <alignment vertical="center"/>
    </xf>
    <xf numFmtId="0" fontId="0" fillId="7" borderId="0" xfId="0" applyFill="1"/>
    <xf numFmtId="0" fontId="27" fillId="0" borderId="0" xfId="0" applyFont="1"/>
    <xf numFmtId="0" fontId="37" fillId="0" borderId="0" xfId="0" applyFont="1"/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26" fillId="7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24" fillId="7" borderId="0" xfId="0" applyFont="1" applyFill="1"/>
    <xf numFmtId="0" fontId="31" fillId="5" borderId="12" xfId="0" applyFont="1" applyFill="1" applyBorder="1" applyAlignment="1">
      <alignment horizontal="center"/>
    </xf>
    <xf numFmtId="0" fontId="31" fillId="0" borderId="12" xfId="0" applyFont="1" applyBorder="1" applyAlignment="1">
      <alignment horizontal="center" vertical="center"/>
    </xf>
    <xf numFmtId="0" fontId="27" fillId="0" borderId="12" xfId="0" applyFont="1" applyBorder="1"/>
    <xf numFmtId="0" fontId="21" fillId="0" borderId="12" xfId="0" applyFont="1" applyBorder="1"/>
    <xf numFmtId="41" fontId="21" fillId="0" borderId="12" xfId="0" applyNumberFormat="1" applyFont="1" applyBorder="1"/>
    <xf numFmtId="0" fontId="41" fillId="0" borderId="12" xfId="0" applyFont="1" applyBorder="1"/>
    <xf numFmtId="0" fontId="31" fillId="6" borderId="12" xfId="0" applyFont="1" applyFill="1" applyBorder="1" applyAlignment="1">
      <alignment horizontal="center" vertical="center"/>
    </xf>
    <xf numFmtId="0" fontId="34" fillId="6" borderId="12" xfId="0" applyFont="1" applyFill="1" applyBorder="1"/>
    <xf numFmtId="0" fontId="20" fillId="6" borderId="12" xfId="0" applyFont="1" applyFill="1" applyBorder="1"/>
    <xf numFmtId="41" fontId="20" fillId="6" borderId="12" xfId="0" applyNumberFormat="1" applyFont="1" applyFill="1" applyBorder="1"/>
    <xf numFmtId="0" fontId="21" fillId="0" borderId="12" xfId="0" applyFont="1" applyBorder="1" applyAlignment="1">
      <alignment horizontal="left" indent="1"/>
    </xf>
    <xf numFmtId="0" fontId="20" fillId="6" borderId="12" xfId="0" applyFont="1" applyFill="1" applyBorder="1" applyAlignment="1">
      <alignment horizontal="left" indent="1"/>
    </xf>
    <xf numFmtId="0" fontId="21" fillId="0" borderId="12" xfId="0" applyFont="1" applyBorder="1" applyAlignment="1">
      <alignment horizontal="center"/>
    </xf>
    <xf numFmtId="0" fontId="22" fillId="0" borderId="16" xfId="0" applyFont="1" applyFill="1" applyBorder="1" applyAlignment="1">
      <alignment horizontal="left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188" fontId="21" fillId="0" borderId="0" xfId="2" applyNumberFormat="1" applyFont="1"/>
    <xf numFmtId="0" fontId="24" fillId="0" borderId="12" xfId="0" applyFont="1" applyBorder="1" applyAlignment="1">
      <alignment horizontal="center"/>
    </xf>
    <xf numFmtId="41" fontId="0" fillId="0" borderId="12" xfId="1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3" fontId="22" fillId="0" borderId="20" xfId="0" applyNumberFormat="1" applyFont="1" applyBorder="1" applyAlignment="1">
      <alignment horizontal="right" vertical="center"/>
    </xf>
    <xf numFmtId="180" fontId="22" fillId="0" borderId="20" xfId="0" applyNumberFormat="1" applyFont="1" applyBorder="1" applyAlignment="1">
      <alignment horizontal="right" vertical="center"/>
    </xf>
    <xf numFmtId="0" fontId="22" fillId="0" borderId="12" xfId="0" applyFont="1" applyFill="1" applyBorder="1" applyAlignment="1">
      <alignment horizontal="center" vertical="center"/>
    </xf>
    <xf numFmtId="0" fontId="0" fillId="0" borderId="12" xfId="0" applyBorder="1"/>
    <xf numFmtId="41" fontId="0" fillId="0" borderId="12" xfId="1" applyFont="1" applyBorder="1" applyAlignment="1"/>
    <xf numFmtId="41" fontId="10" fillId="0" borderId="14" xfId="0" applyNumberFormat="1" applyFont="1" applyBorder="1" applyAlignment="1">
      <alignment horizontal="center" vertical="center"/>
    </xf>
  </cellXfs>
  <cellStyles count="4">
    <cellStyle name="쉼표 [0]" xfId="1" builtinId="6"/>
    <cellStyle name="쉼표 [0] 2" xfId="3" xr:uid="{57A72FEB-065D-A443-816F-4EDF671D8B66}"/>
    <cellStyle name="표준" xfId="0" builtinId="0"/>
    <cellStyle name="표준 2" xfId="2" xr:uid="{CBAE9E5D-25E2-5F43-8A04-BB4CB3FAD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628650</xdr:colOff>
      <xdr:row>7</xdr:row>
      <xdr:rowOff>133350</xdr:rowOff>
    </xdr:from>
    <xdr:ext cx="390525" cy="419100"/>
    <xdr:pic>
      <xdr:nvPicPr>
        <xdr:cNvPr id="2" name="image2.jp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047750" cy="266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47"/>
  <sheetViews>
    <sheetView showGridLines="0" tabSelected="1" workbookViewId="0">
      <pane ySplit="1" topLeftCell="A2" activePane="bottomLeft" state="frozen"/>
      <selection pane="bottomLeft" activeCell="B38" sqref="B38"/>
    </sheetView>
  </sheetViews>
  <sheetFormatPr baseColWidth="10" defaultColWidth="12.6640625" defaultRowHeight="15.75" customHeight="1"/>
  <cols>
    <col min="1" max="1" width="5" customWidth="1"/>
    <col min="2" max="2" width="13.6640625" customWidth="1"/>
    <col min="3" max="3" width="6.6640625" customWidth="1"/>
    <col min="4" max="4" width="27" customWidth="1"/>
    <col min="5" max="5" width="16" customWidth="1"/>
    <col min="6" max="6" width="9.6640625" customWidth="1"/>
    <col min="7" max="7" width="11.33203125" customWidth="1"/>
    <col min="8" max="8" width="19" customWidth="1"/>
    <col min="9" max="9" width="6.1640625" customWidth="1"/>
  </cols>
  <sheetData>
    <row r="1" spans="1:9" ht="6" customHeight="1">
      <c r="A1" s="1"/>
      <c r="B1" s="1"/>
      <c r="C1" s="1"/>
      <c r="D1" s="2"/>
      <c r="E1" s="2"/>
      <c r="F1" s="3"/>
      <c r="G1" s="4"/>
      <c r="H1" s="4"/>
      <c r="I1" s="1"/>
    </row>
    <row r="2" spans="1:9" ht="27" customHeight="1">
      <c r="A2" s="5"/>
      <c r="B2" s="5"/>
      <c r="C2" s="5"/>
      <c r="D2" s="6"/>
      <c r="E2" s="6"/>
      <c r="F2" s="6"/>
      <c r="G2" s="6"/>
      <c r="H2" s="6"/>
      <c r="I2" s="5"/>
    </row>
    <row r="3" spans="1:9" ht="27.75" customHeight="1">
      <c r="A3" s="5"/>
      <c r="B3" s="99"/>
      <c r="C3" s="90"/>
      <c r="D3" s="90"/>
      <c r="E3" s="90"/>
      <c r="F3" s="90"/>
      <c r="G3" s="90"/>
      <c r="H3" s="90"/>
      <c r="I3" s="5"/>
    </row>
    <row r="4" spans="1:9" ht="7.5" customHeight="1">
      <c r="A4" s="5"/>
      <c r="B4" s="92"/>
      <c r="C4" s="90"/>
      <c r="D4" s="93"/>
      <c r="E4" s="90"/>
      <c r="F4" s="93"/>
      <c r="G4" s="90"/>
      <c r="H4" s="6"/>
      <c r="I4" s="5"/>
    </row>
    <row r="5" spans="1:9" ht="15.75" customHeight="1">
      <c r="A5" s="7"/>
      <c r="B5" s="100"/>
      <c r="C5" s="101"/>
      <c r="D5" s="101"/>
      <c r="E5" s="101"/>
      <c r="F5" s="101"/>
      <c r="G5" s="101"/>
      <c r="H5" s="101"/>
      <c r="I5" s="8"/>
    </row>
    <row r="6" spans="1:9" ht="13.5" customHeight="1">
      <c r="A6" s="7"/>
      <c r="B6" s="9"/>
      <c r="C6" s="10"/>
      <c r="D6" s="10"/>
      <c r="E6" s="11"/>
      <c r="F6" s="8"/>
      <c r="G6" s="8"/>
      <c r="H6" s="8"/>
      <c r="I6" s="8"/>
    </row>
    <row r="7" spans="1:9" ht="15.75" customHeight="1">
      <c r="A7" s="7"/>
      <c r="B7" s="9" t="s">
        <v>0</v>
      </c>
      <c r="C7" s="10" t="s">
        <v>1244</v>
      </c>
      <c r="D7" s="10"/>
      <c r="E7" s="11"/>
      <c r="F7" s="94" t="s">
        <v>1</v>
      </c>
      <c r="G7" s="90"/>
      <c r="H7" s="90"/>
      <c r="I7" s="90"/>
    </row>
    <row r="8" spans="1:9" ht="15.75" customHeight="1">
      <c r="A8" s="5"/>
      <c r="B8" s="12" t="s">
        <v>2</v>
      </c>
      <c r="C8" s="95">
        <f ca="1">TODAY()</f>
        <v>46216</v>
      </c>
      <c r="D8" s="90"/>
      <c r="E8" s="13"/>
      <c r="F8" s="96" t="s">
        <v>3</v>
      </c>
      <c r="G8" s="90"/>
      <c r="H8" s="90"/>
      <c r="I8" s="15"/>
    </row>
    <row r="9" spans="1:9" ht="15.75" customHeight="1">
      <c r="A9" s="7"/>
      <c r="B9" s="12" t="s">
        <v>4</v>
      </c>
      <c r="C9" s="6" t="s">
        <v>1245</v>
      </c>
      <c r="D9" s="8"/>
      <c r="E9" s="8"/>
      <c r="F9" s="14" t="s">
        <v>5</v>
      </c>
      <c r="G9" s="96" t="s">
        <v>6</v>
      </c>
      <c r="H9" s="90"/>
      <c r="I9" s="10"/>
    </row>
    <row r="10" spans="1:9" ht="15.75" customHeight="1">
      <c r="A10" s="7"/>
      <c r="B10" s="12" t="s">
        <v>7</v>
      </c>
      <c r="C10" s="16" t="s">
        <v>8</v>
      </c>
      <c r="D10" s="8"/>
      <c r="E10" s="8"/>
      <c r="F10" s="10" t="s">
        <v>9</v>
      </c>
      <c r="G10" s="10"/>
      <c r="H10" s="10"/>
      <c r="I10" s="10"/>
    </row>
    <row r="11" spans="1:9" ht="18" customHeight="1">
      <c r="A11" s="7"/>
      <c r="B11" s="8"/>
      <c r="C11" s="8"/>
      <c r="D11" s="8"/>
      <c r="E11" s="8"/>
      <c r="F11" s="10"/>
      <c r="G11" s="10"/>
      <c r="H11" s="10"/>
      <c r="I11" s="10"/>
    </row>
    <row r="12" spans="1:9" ht="19">
      <c r="A12" s="7"/>
      <c r="B12" s="97"/>
      <c r="C12" s="98"/>
      <c r="D12" s="98"/>
      <c r="E12" s="98"/>
      <c r="F12" s="17"/>
      <c r="G12" s="17"/>
      <c r="H12" s="17"/>
      <c r="I12" s="10"/>
    </row>
    <row r="13" spans="1:9" ht="15.75" customHeight="1">
      <c r="A13" s="7"/>
      <c r="B13" s="18" t="s">
        <v>10</v>
      </c>
      <c r="C13" s="18"/>
      <c r="D13" s="18"/>
      <c r="E13" s="18"/>
      <c r="F13" s="10"/>
      <c r="G13" s="10"/>
      <c r="H13" s="10"/>
      <c r="I13" s="10"/>
    </row>
    <row r="14" spans="1:9" ht="15" customHeight="1">
      <c r="A14" s="15"/>
      <c r="B14" s="19" t="s">
        <v>11</v>
      </c>
      <c r="C14" s="10"/>
      <c r="D14" s="10"/>
      <c r="E14" s="10"/>
      <c r="F14" s="10"/>
      <c r="G14" s="10"/>
      <c r="H14" s="10"/>
      <c r="I14" s="10"/>
    </row>
    <row r="15" spans="1:9" ht="33" customHeight="1">
      <c r="A15" s="15"/>
      <c r="B15" s="20"/>
      <c r="C15" s="10"/>
      <c r="D15" s="10"/>
      <c r="E15" s="10"/>
      <c r="F15" s="10"/>
      <c r="G15" s="10"/>
      <c r="H15" s="10"/>
      <c r="I15" s="10"/>
    </row>
    <row r="16" spans="1:9" ht="12.75" customHeight="1">
      <c r="A16" s="15"/>
      <c r="B16" s="20"/>
      <c r="C16" s="10"/>
      <c r="D16" s="91" t="s">
        <v>12</v>
      </c>
      <c r="E16" s="90"/>
      <c r="F16" s="90"/>
      <c r="G16" s="10"/>
      <c r="H16" s="10"/>
      <c r="I16" s="10"/>
    </row>
    <row r="17" spans="1:9" ht="15">
      <c r="A17" s="5"/>
      <c r="B17" s="92"/>
      <c r="C17" s="90"/>
      <c r="D17" s="92"/>
      <c r="E17" s="90"/>
      <c r="F17" s="93"/>
      <c r="G17" s="90"/>
      <c r="H17" s="90"/>
      <c r="I17" s="5"/>
    </row>
    <row r="18" spans="1:9" ht="21" customHeight="1">
      <c r="A18" s="5"/>
      <c r="B18" s="21" t="s">
        <v>13</v>
      </c>
      <c r="C18" s="22" t="s">
        <v>14</v>
      </c>
      <c r="D18" s="22"/>
      <c r="E18" s="22" t="s">
        <v>15</v>
      </c>
      <c r="F18" s="22" t="s">
        <v>16</v>
      </c>
      <c r="G18" s="22" t="s">
        <v>17</v>
      </c>
      <c r="H18" s="23" t="s">
        <v>18</v>
      </c>
      <c r="I18" s="5"/>
    </row>
    <row r="19" spans="1:9" ht="19.5" customHeight="1">
      <c r="A19" s="15"/>
      <c r="B19" s="24" t="s">
        <v>1243</v>
      </c>
      <c r="C19" s="25" t="s">
        <v>1247</v>
      </c>
      <c r="D19" s="14"/>
      <c r="E19" s="26" t="s">
        <v>1246</v>
      </c>
      <c r="F19" s="27">
        <f>판매내역집계!F21</f>
        <v>2978030</v>
      </c>
      <c r="G19" s="28">
        <v>0.2</v>
      </c>
      <c r="H19" s="29">
        <f t="shared" ref="H19:H24" si="0">F19*G19</f>
        <v>595606</v>
      </c>
      <c r="I19" s="15"/>
    </row>
    <row r="20" spans="1:9" ht="19.5" customHeight="1">
      <c r="A20" s="30"/>
      <c r="B20" s="31"/>
      <c r="C20" s="25" t="s">
        <v>1248</v>
      </c>
      <c r="D20" s="14"/>
      <c r="E20" s="26" t="s">
        <v>1246</v>
      </c>
      <c r="F20" s="27">
        <f>판매내역집계!F11</f>
        <v>6499000</v>
      </c>
      <c r="G20" s="28">
        <v>0.2</v>
      </c>
      <c r="H20" s="29">
        <f t="shared" si="0"/>
        <v>1299800</v>
      </c>
      <c r="I20" s="30"/>
    </row>
    <row r="21" spans="1:9" ht="19.5" customHeight="1">
      <c r="A21" s="5"/>
      <c r="B21" s="32"/>
      <c r="C21" s="25" t="s">
        <v>1249</v>
      </c>
      <c r="D21" s="33"/>
      <c r="E21" s="26" t="s">
        <v>1246</v>
      </c>
      <c r="F21" s="27">
        <f>판매내역집계!F17</f>
        <v>955050</v>
      </c>
      <c r="G21" s="28">
        <v>0.2</v>
      </c>
      <c r="H21" s="29">
        <f t="shared" si="0"/>
        <v>191010</v>
      </c>
      <c r="I21" s="5"/>
    </row>
    <row r="22" spans="1:9" ht="19.5" customHeight="1">
      <c r="A22" s="5"/>
      <c r="B22" s="34"/>
      <c r="C22" s="25"/>
      <c r="D22" s="13"/>
      <c r="E22" s="35"/>
      <c r="F22" s="27"/>
      <c r="G22" s="28"/>
      <c r="H22" s="29"/>
      <c r="I22" s="5"/>
    </row>
    <row r="23" spans="1:9" ht="19.5" customHeight="1">
      <c r="A23" s="5"/>
      <c r="B23" s="34"/>
      <c r="C23" s="25"/>
      <c r="D23" s="13"/>
      <c r="E23" s="35"/>
      <c r="F23" s="27"/>
      <c r="G23" s="28"/>
      <c r="H23" s="29"/>
      <c r="I23" s="5"/>
    </row>
    <row r="24" spans="1:9" ht="19.5" customHeight="1">
      <c r="A24" s="5"/>
      <c r="B24" s="82"/>
      <c r="C24" s="77"/>
      <c r="D24" s="83"/>
      <c r="E24" s="84"/>
      <c r="F24" s="79"/>
      <c r="G24" s="80"/>
      <c r="H24" s="81"/>
      <c r="I24" s="5"/>
    </row>
    <row r="25" spans="1:9" ht="24" customHeight="1">
      <c r="A25" s="5"/>
      <c r="B25" s="36"/>
      <c r="C25" s="37" t="s">
        <v>18</v>
      </c>
      <c r="D25" s="38"/>
      <c r="E25" s="39"/>
      <c r="F25" s="40">
        <f>SUM(F19:F24)</f>
        <v>10432080</v>
      </c>
      <c r="G25" s="41"/>
      <c r="H25" s="42">
        <f>SUM(H19:H24)</f>
        <v>2086416</v>
      </c>
      <c r="I25" s="5"/>
    </row>
    <row r="26" spans="1:9" ht="19.5" customHeight="1">
      <c r="A26" s="6"/>
      <c r="B26" s="43"/>
      <c r="C26" s="6"/>
      <c r="D26" s="6"/>
      <c r="E26" s="6"/>
      <c r="F26" s="44"/>
      <c r="G26" s="44"/>
      <c r="H26" s="45"/>
      <c r="I26" s="6"/>
    </row>
    <row r="27" spans="1:9" ht="19.5" customHeight="1">
      <c r="A27" s="6"/>
      <c r="B27" s="21" t="s">
        <v>13</v>
      </c>
      <c r="C27" s="22" t="s">
        <v>14</v>
      </c>
      <c r="D27" s="22"/>
      <c r="E27" s="22"/>
      <c r="F27" s="22" t="s">
        <v>19</v>
      </c>
      <c r="G27" s="22" t="s">
        <v>20</v>
      </c>
      <c r="H27" s="23" t="s">
        <v>18</v>
      </c>
      <c r="I27" s="6"/>
    </row>
    <row r="28" spans="1:9" ht="19.5" customHeight="1">
      <c r="A28" s="6"/>
      <c r="B28" s="76" t="s">
        <v>1250</v>
      </c>
      <c r="C28" s="77" t="s">
        <v>158</v>
      </c>
      <c r="D28" s="78"/>
      <c r="E28" s="78"/>
      <c r="F28" s="79">
        <f>'광고비용 집계'!B4</f>
        <v>599517</v>
      </c>
      <c r="G28" s="143">
        <f>F19*5%</f>
        <v>148901.5</v>
      </c>
      <c r="H28" s="81">
        <f>G28</f>
        <v>148901.5</v>
      </c>
      <c r="I28" s="6"/>
    </row>
    <row r="29" spans="1:9" ht="24" customHeight="1">
      <c r="A29" s="6"/>
      <c r="B29" s="36"/>
      <c r="C29" s="37" t="s">
        <v>18</v>
      </c>
      <c r="D29" s="38"/>
      <c r="E29" s="39"/>
      <c r="F29" s="40">
        <f>SUM(F28)</f>
        <v>599517</v>
      </c>
      <c r="G29" s="41"/>
      <c r="H29" s="42">
        <f>SUM(H28:H28)</f>
        <v>148901.5</v>
      </c>
      <c r="I29" s="6"/>
    </row>
    <row r="30" spans="1:9" ht="18" customHeight="1">
      <c r="A30" s="6"/>
      <c r="B30" s="6"/>
      <c r="C30" s="6"/>
      <c r="D30" s="6"/>
      <c r="I30" s="6"/>
    </row>
    <row r="31" spans="1:9" ht="19.5" customHeight="1">
      <c r="A31" s="6"/>
      <c r="B31" s="46"/>
      <c r="C31" s="47"/>
      <c r="D31" s="47"/>
      <c r="E31" s="47"/>
      <c r="F31" s="87" t="s">
        <v>21</v>
      </c>
      <c r="G31" s="88"/>
      <c r="H31" s="48">
        <f>H25</f>
        <v>2086416</v>
      </c>
      <c r="I31" s="6"/>
    </row>
    <row r="32" spans="1:9" ht="18" customHeight="1">
      <c r="A32" s="6"/>
      <c r="B32" s="49"/>
      <c r="C32" s="6"/>
      <c r="D32" s="6"/>
      <c r="E32" s="6"/>
      <c r="F32" s="89" t="s">
        <v>22</v>
      </c>
      <c r="G32" s="90"/>
      <c r="H32" s="50">
        <f>H29</f>
        <v>148901.5</v>
      </c>
      <c r="I32" s="6"/>
    </row>
    <row r="33" spans="1:9" ht="18" customHeight="1">
      <c r="A33" s="6"/>
      <c r="B33" s="49"/>
      <c r="C33" s="6"/>
      <c r="D33" s="6"/>
      <c r="E33" s="6"/>
      <c r="F33" s="89"/>
      <c r="G33" s="90"/>
      <c r="H33" s="51"/>
      <c r="I33" s="6"/>
    </row>
    <row r="34" spans="1:9" ht="18" customHeight="1">
      <c r="A34" s="6"/>
      <c r="B34" s="52"/>
      <c r="C34" s="53"/>
      <c r="D34" s="53"/>
      <c r="E34" s="85" t="s">
        <v>23</v>
      </c>
      <c r="F34" s="86"/>
      <c r="G34" s="86"/>
      <c r="H34" s="54">
        <f>H31-H32</f>
        <v>1937514.5</v>
      </c>
      <c r="I34" s="6"/>
    </row>
    <row r="35" spans="1:9" ht="12" customHeight="1">
      <c r="A35" s="5"/>
      <c r="B35" s="14"/>
      <c r="C35" s="5"/>
      <c r="D35" s="5"/>
      <c r="E35" s="5"/>
      <c r="F35" s="55"/>
      <c r="G35" s="5"/>
      <c r="H35" s="5"/>
      <c r="I35" s="5"/>
    </row>
    <row r="36" spans="1:9" ht="12" customHeight="1">
      <c r="A36" s="5"/>
      <c r="B36" s="14" t="s">
        <v>1251</v>
      </c>
      <c r="C36" s="5"/>
      <c r="D36" s="5"/>
      <c r="E36" s="5"/>
      <c r="F36" s="55"/>
      <c r="G36" s="5"/>
      <c r="H36" s="5"/>
      <c r="I36" s="5"/>
    </row>
    <row r="37" spans="1:9" ht="19.5" customHeight="1">
      <c r="A37" s="5"/>
      <c r="B37" s="14" t="s">
        <v>1252</v>
      </c>
      <c r="C37" s="5"/>
      <c r="D37" s="5"/>
      <c r="E37" s="5"/>
      <c r="F37" s="55"/>
      <c r="G37" s="5"/>
      <c r="H37" s="5"/>
      <c r="I37" s="5"/>
    </row>
    <row r="38" spans="1:9" ht="12" customHeight="1">
      <c r="A38" s="5"/>
      <c r="B38" s="14"/>
      <c r="C38" s="5"/>
      <c r="D38" s="5"/>
      <c r="E38" s="5"/>
      <c r="F38" s="55"/>
      <c r="G38" s="5"/>
      <c r="H38" s="5"/>
      <c r="I38" s="5"/>
    </row>
    <row r="39" spans="1:9" ht="12" customHeight="1">
      <c r="A39" s="5"/>
      <c r="B39" s="14"/>
      <c r="C39" s="5"/>
      <c r="D39" s="5"/>
      <c r="E39" s="5"/>
      <c r="F39" s="55"/>
      <c r="G39" s="5"/>
      <c r="H39" s="5"/>
      <c r="I39" s="5"/>
    </row>
    <row r="40" spans="1:9" ht="12" customHeight="1">
      <c r="A40" s="5"/>
      <c r="B40" s="14"/>
      <c r="C40" s="5"/>
      <c r="D40" s="5"/>
      <c r="E40" s="5"/>
      <c r="F40" s="55"/>
      <c r="G40" s="5"/>
      <c r="H40" s="5"/>
      <c r="I40" s="5"/>
    </row>
    <row r="41" spans="1:9" ht="12" customHeight="1">
      <c r="A41" s="5"/>
      <c r="B41" s="14"/>
      <c r="C41" s="5"/>
      <c r="D41" s="5"/>
      <c r="E41" s="5"/>
      <c r="F41" s="55"/>
      <c r="G41" s="5"/>
      <c r="H41" s="5"/>
      <c r="I41" s="5"/>
    </row>
    <row r="42" spans="1:9" ht="12" customHeight="1">
      <c r="A42" s="5"/>
      <c r="B42" s="14"/>
      <c r="C42" s="5"/>
      <c r="D42" s="5"/>
      <c r="E42" s="5"/>
      <c r="F42" s="55"/>
      <c r="G42" s="5"/>
      <c r="H42" s="5"/>
      <c r="I42" s="5"/>
    </row>
    <row r="43" spans="1:9" ht="12" customHeight="1">
      <c r="A43" s="5"/>
      <c r="B43" s="14"/>
      <c r="C43" s="5"/>
      <c r="D43" s="5"/>
      <c r="E43" s="5"/>
      <c r="F43" s="55"/>
      <c r="G43" s="5"/>
      <c r="H43" s="5"/>
      <c r="I43" s="5"/>
    </row>
    <row r="44" spans="1:9" ht="12" customHeight="1">
      <c r="A44" s="5"/>
      <c r="B44" s="14"/>
      <c r="C44" s="5"/>
      <c r="D44" s="5"/>
      <c r="E44" s="5"/>
      <c r="F44" s="55"/>
      <c r="G44" s="5"/>
      <c r="H44" s="5"/>
      <c r="I44" s="5"/>
    </row>
    <row r="45" spans="1:9" ht="24" customHeight="1">
      <c r="A45" s="5"/>
      <c r="B45" s="14"/>
      <c r="C45" s="5"/>
      <c r="D45" s="5"/>
      <c r="E45" s="5"/>
      <c r="F45" s="55"/>
      <c r="G45" s="5"/>
      <c r="H45" s="5"/>
      <c r="I45" s="5"/>
    </row>
    <row r="46" spans="1:9" ht="16.5" customHeight="1">
      <c r="A46" s="14"/>
      <c r="B46" s="14"/>
      <c r="C46" s="14"/>
      <c r="D46" s="14"/>
      <c r="E46" s="14"/>
      <c r="F46" s="56"/>
      <c r="G46" s="14"/>
      <c r="H46" s="14"/>
      <c r="I46" s="14"/>
    </row>
    <row r="47" spans="1:9" ht="19.5" customHeight="1">
      <c r="A47" s="5"/>
      <c r="B47" s="14"/>
      <c r="C47" s="5"/>
      <c r="D47" s="5"/>
      <c r="E47" s="5"/>
      <c r="F47" s="55"/>
      <c r="G47" s="5"/>
      <c r="H47" s="5"/>
      <c r="I47" s="5"/>
    </row>
  </sheetData>
  <mergeCells count="18">
    <mergeCell ref="B3:H3"/>
    <mergeCell ref="B4:C4"/>
    <mergeCell ref="D4:E4"/>
    <mergeCell ref="F4:G4"/>
    <mergeCell ref="B5:H5"/>
    <mergeCell ref="F7:I7"/>
    <mergeCell ref="C8:D8"/>
    <mergeCell ref="F8:H8"/>
    <mergeCell ref="G9:H9"/>
    <mergeCell ref="B12:E12"/>
    <mergeCell ref="E34:G34"/>
    <mergeCell ref="F31:G31"/>
    <mergeCell ref="F32:G32"/>
    <mergeCell ref="D16:F16"/>
    <mergeCell ref="B17:C17"/>
    <mergeCell ref="D17:E17"/>
    <mergeCell ref="F17:H17"/>
    <mergeCell ref="F33:G33"/>
  </mergeCells>
  <phoneticPr fontId="25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9"/>
  <sheetViews>
    <sheetView workbookViewId="0">
      <selection activeCell="G4" sqref="G4:H4"/>
    </sheetView>
  </sheetViews>
  <sheetFormatPr baseColWidth="10" defaultColWidth="12.6640625" defaultRowHeight="15.75" customHeight="1"/>
  <cols>
    <col min="2" max="2" width="20.6640625" bestFit="1" customWidth="1"/>
    <col min="3" max="3" width="18.6640625" customWidth="1"/>
    <col min="4" max="4" width="15.1640625" customWidth="1"/>
    <col min="5" max="5" width="13.33203125" customWidth="1"/>
    <col min="11" max="11" width="14.5" customWidth="1"/>
  </cols>
  <sheetData>
    <row r="2" spans="1:12" ht="15">
      <c r="A2" s="60" t="s">
        <v>30</v>
      </c>
      <c r="B2" s="60" t="s">
        <v>31</v>
      </c>
      <c r="C2" s="137" t="s">
        <v>18</v>
      </c>
      <c r="D2" s="140" t="s">
        <v>1240</v>
      </c>
      <c r="G2" s="130" t="s">
        <v>1239</v>
      </c>
    </row>
    <row r="3" spans="1:12" ht="15">
      <c r="A3" s="61" t="s">
        <v>28</v>
      </c>
      <c r="B3" s="62">
        <f>D9</f>
        <v>599517</v>
      </c>
      <c r="C3" s="138">
        <f>B3</f>
        <v>599517</v>
      </c>
      <c r="D3" s="141"/>
      <c r="G3" s="135" t="s">
        <v>1242</v>
      </c>
      <c r="H3" s="135"/>
    </row>
    <row r="4" spans="1:12" ht="15">
      <c r="A4" s="61" t="s">
        <v>32</v>
      </c>
      <c r="B4" s="63">
        <f>SUM(B3)</f>
        <v>599517</v>
      </c>
      <c r="C4" s="139">
        <f>SUM(C3)</f>
        <v>599517</v>
      </c>
      <c r="D4" s="142">
        <f>C4/2</f>
        <v>299758.5</v>
      </c>
      <c r="G4" s="136">
        <f>판매내역집계!H21</f>
        <v>148901.5</v>
      </c>
      <c r="H4" s="136"/>
    </row>
    <row r="8" spans="1:12" ht="15.75" customHeight="1">
      <c r="A8" s="68" t="s">
        <v>33</v>
      </c>
      <c r="B8" s="68" t="s">
        <v>34</v>
      </c>
      <c r="C8" s="68" t="s">
        <v>35</v>
      </c>
      <c r="D8" s="68" t="s">
        <v>36</v>
      </c>
      <c r="E8" s="68" t="s">
        <v>37</v>
      </c>
      <c r="F8" s="68" t="s">
        <v>144</v>
      </c>
      <c r="G8" s="68" t="s">
        <v>38</v>
      </c>
      <c r="H8" s="68" t="s">
        <v>39</v>
      </c>
      <c r="I8" s="68" t="s">
        <v>159</v>
      </c>
      <c r="J8" s="68" t="s">
        <v>40</v>
      </c>
      <c r="K8" s="68" t="s">
        <v>41</v>
      </c>
      <c r="L8" s="68" t="s">
        <v>145</v>
      </c>
    </row>
    <row r="9" spans="1:12" ht="15.75" customHeight="1">
      <c r="A9" s="102">
        <v>46174</v>
      </c>
      <c r="B9" s="102">
        <v>46203</v>
      </c>
      <c r="C9" t="s">
        <v>146</v>
      </c>
      <c r="D9" s="69">
        <v>599517</v>
      </c>
      <c r="E9">
        <v>71512</v>
      </c>
      <c r="F9">
        <v>8383</v>
      </c>
      <c r="G9">
        <v>57598</v>
      </c>
      <c r="H9">
        <v>1.24</v>
      </c>
      <c r="I9">
        <v>7.64</v>
      </c>
      <c r="J9">
        <v>4702</v>
      </c>
      <c r="K9">
        <v>110</v>
      </c>
    </row>
  </sheetData>
  <mergeCells count="2">
    <mergeCell ref="G4:H4"/>
    <mergeCell ref="G3:H3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2CD6-4C41-C345-BF48-B735A9DF03CC}">
  <dimension ref="A1:H22"/>
  <sheetViews>
    <sheetView workbookViewId="0">
      <selection activeCell="H21" sqref="H21"/>
    </sheetView>
  </sheetViews>
  <sheetFormatPr baseColWidth="10" defaultRowHeight="14"/>
  <cols>
    <col min="1" max="1" width="10.83203125" style="72"/>
    <col min="2" max="2" width="47.83203125" style="72" bestFit="1" customWidth="1"/>
    <col min="3" max="5" width="10.83203125" style="72"/>
    <col min="6" max="6" width="12.33203125" style="72" bestFit="1" customWidth="1"/>
    <col min="7" max="7" width="15.6640625" style="72" customWidth="1"/>
    <col min="8" max="8" width="12.33203125" style="72" bestFit="1" customWidth="1"/>
    <col min="9" max="16384" width="10.83203125" style="72"/>
  </cols>
  <sheetData>
    <row r="1" spans="1:7">
      <c r="A1" s="57">
        <v>202606</v>
      </c>
      <c r="B1" s="58" t="s">
        <v>24</v>
      </c>
    </row>
    <row r="2" spans="1:7" ht="15">
      <c r="A2"/>
      <c r="B2" s="59" t="s">
        <v>1231</v>
      </c>
    </row>
    <row r="3" spans="1:7" ht="15">
      <c r="A3"/>
      <c r="B3" s="70" t="s">
        <v>1232</v>
      </c>
    </row>
    <row r="6" spans="1:7">
      <c r="A6" s="117" t="s">
        <v>147</v>
      </c>
      <c r="B6" s="117" t="s">
        <v>148</v>
      </c>
      <c r="C6" s="117" t="s">
        <v>149</v>
      </c>
      <c r="D6" s="71" t="s">
        <v>150</v>
      </c>
      <c r="E6" s="117" t="s">
        <v>151</v>
      </c>
      <c r="F6" s="117" t="s">
        <v>152</v>
      </c>
      <c r="G6" s="117" t="s">
        <v>153</v>
      </c>
    </row>
    <row r="7" spans="1:7">
      <c r="A7" s="118" t="s">
        <v>154</v>
      </c>
      <c r="B7" s="119" t="s">
        <v>25</v>
      </c>
      <c r="C7" s="120"/>
      <c r="D7" s="73">
        <v>26900</v>
      </c>
      <c r="E7" s="73">
        <v>99</v>
      </c>
      <c r="F7" s="121">
        <f>D7*E7</f>
        <v>2663100</v>
      </c>
      <c r="G7" s="121">
        <f>F7*20%</f>
        <v>532620</v>
      </c>
    </row>
    <row r="8" spans="1:7">
      <c r="A8" s="118"/>
      <c r="B8" s="119" t="s">
        <v>26</v>
      </c>
      <c r="C8" s="120"/>
      <c r="D8" s="73">
        <v>51900</v>
      </c>
      <c r="E8" s="73">
        <v>57</v>
      </c>
      <c r="F8" s="121">
        <f t="shared" ref="F8:F10" si="0">D8*E8</f>
        <v>2958300</v>
      </c>
      <c r="G8" s="121">
        <f t="shared" ref="G8:G10" si="1">F8*20%</f>
        <v>591660</v>
      </c>
    </row>
    <row r="9" spans="1:7">
      <c r="A9" s="118"/>
      <c r="B9" s="119" t="s">
        <v>27</v>
      </c>
      <c r="C9" s="120"/>
      <c r="D9" s="73">
        <v>71900</v>
      </c>
      <c r="E9" s="73">
        <v>8</v>
      </c>
      <c r="F9" s="121">
        <f t="shared" si="0"/>
        <v>575200</v>
      </c>
      <c r="G9" s="121">
        <f t="shared" si="1"/>
        <v>115040</v>
      </c>
    </row>
    <row r="10" spans="1:7" ht="15">
      <c r="A10" s="118"/>
      <c r="B10" s="122" t="s">
        <v>924</v>
      </c>
      <c r="C10" s="120"/>
      <c r="D10" s="73">
        <v>18900</v>
      </c>
      <c r="E10" s="73">
        <v>16</v>
      </c>
      <c r="F10" s="121">
        <f t="shared" si="0"/>
        <v>302400</v>
      </c>
      <c r="G10" s="121">
        <f t="shared" si="1"/>
        <v>60480</v>
      </c>
    </row>
    <row r="11" spans="1:7">
      <c r="A11" s="123"/>
      <c r="B11" s="124" t="s">
        <v>18</v>
      </c>
      <c r="C11" s="125"/>
      <c r="D11" s="74"/>
      <c r="E11" s="74">
        <f>SUM(E7:E10)</f>
        <v>180</v>
      </c>
      <c r="F11" s="126">
        <f>SUM(F7:F10)</f>
        <v>6499000</v>
      </c>
      <c r="G11" s="126">
        <f>SUM(G7:G10)</f>
        <v>1299800</v>
      </c>
    </row>
    <row r="12" spans="1:7">
      <c r="A12" s="118" t="s">
        <v>1233</v>
      </c>
      <c r="B12" s="127" t="s">
        <v>1234</v>
      </c>
      <c r="C12" s="120"/>
      <c r="D12" s="73">
        <v>89250</v>
      </c>
      <c r="E12" s="73">
        <v>2</v>
      </c>
      <c r="F12" s="121">
        <f t="shared" ref="F12:F16" si="2">D12*E12</f>
        <v>178500</v>
      </c>
      <c r="G12" s="121">
        <f t="shared" ref="G12:G16" si="3">F12*20%</f>
        <v>35700</v>
      </c>
    </row>
    <row r="13" spans="1:7">
      <c r="A13" s="118"/>
      <c r="B13" s="127" t="s">
        <v>1235</v>
      </c>
      <c r="C13" s="120"/>
      <c r="D13" s="73">
        <v>99250</v>
      </c>
      <c r="E13" s="73">
        <v>2</v>
      </c>
      <c r="F13" s="121">
        <f t="shared" si="2"/>
        <v>198500</v>
      </c>
      <c r="G13" s="121">
        <f t="shared" si="3"/>
        <v>39700</v>
      </c>
    </row>
    <row r="14" spans="1:7">
      <c r="A14" s="118"/>
      <c r="B14" s="127" t="s">
        <v>1236</v>
      </c>
      <c r="C14" s="120"/>
      <c r="D14" s="73">
        <v>99250</v>
      </c>
      <c r="E14" s="73">
        <v>1</v>
      </c>
      <c r="F14" s="121">
        <f t="shared" si="2"/>
        <v>99250</v>
      </c>
      <c r="G14" s="121">
        <f t="shared" si="3"/>
        <v>19850</v>
      </c>
    </row>
    <row r="15" spans="1:7">
      <c r="A15" s="118"/>
      <c r="B15" s="127" t="s">
        <v>1237</v>
      </c>
      <c r="C15" s="120"/>
      <c r="D15" s="73">
        <v>31200</v>
      </c>
      <c r="E15" s="73">
        <v>0</v>
      </c>
      <c r="F15" s="121">
        <f t="shared" si="2"/>
        <v>0</v>
      </c>
      <c r="G15" s="121">
        <f t="shared" si="3"/>
        <v>0</v>
      </c>
    </row>
    <row r="16" spans="1:7">
      <c r="A16" s="118"/>
      <c r="B16" s="127" t="s">
        <v>1238</v>
      </c>
      <c r="C16" s="120"/>
      <c r="D16" s="73">
        <v>34200</v>
      </c>
      <c r="E16" s="73">
        <v>14</v>
      </c>
      <c r="F16" s="121">
        <f t="shared" si="2"/>
        <v>478800</v>
      </c>
      <c r="G16" s="121">
        <f t="shared" si="3"/>
        <v>95760</v>
      </c>
    </row>
    <row r="17" spans="1:8">
      <c r="A17" s="123"/>
      <c r="B17" s="128" t="s">
        <v>18</v>
      </c>
      <c r="C17" s="125"/>
      <c r="D17" s="74"/>
      <c r="E17" s="74">
        <f>SUBTOTAL(9,E12:E16)</f>
        <v>19</v>
      </c>
      <c r="F17" s="74">
        <f>SUBTOTAL(9,F12:F16)</f>
        <v>955050</v>
      </c>
      <c r="G17" s="74">
        <f>SUBTOTAL(9,G12:G16)</f>
        <v>191010</v>
      </c>
    </row>
    <row r="18" spans="1:8">
      <c r="A18" s="131" t="s">
        <v>155</v>
      </c>
      <c r="B18" s="127" t="s">
        <v>1241</v>
      </c>
      <c r="C18" s="120"/>
      <c r="D18" s="73">
        <v>21060</v>
      </c>
      <c r="E18" s="73">
        <v>24</v>
      </c>
      <c r="F18" s="121">
        <f t="shared" ref="F18" si="4">D18*E18</f>
        <v>505440</v>
      </c>
      <c r="G18" s="121">
        <f t="shared" ref="G18" si="5">F18*20%</f>
        <v>101088</v>
      </c>
    </row>
    <row r="19" spans="1:8">
      <c r="A19" s="132"/>
      <c r="B19" s="127" t="s">
        <v>29</v>
      </c>
      <c r="C19" s="120"/>
      <c r="D19" s="73">
        <v>6170</v>
      </c>
      <c r="E19" s="73">
        <v>223</v>
      </c>
      <c r="F19" s="121">
        <f t="shared" ref="F19:F20" si="6">D19*E19</f>
        <v>1375910</v>
      </c>
      <c r="G19" s="121">
        <f t="shared" ref="G19:G20" si="7">F19*20%</f>
        <v>275182</v>
      </c>
    </row>
    <row r="20" spans="1:8">
      <c r="A20" s="133"/>
      <c r="B20" s="127" t="s">
        <v>156</v>
      </c>
      <c r="C20" s="120"/>
      <c r="D20" s="73">
        <v>7410</v>
      </c>
      <c r="E20" s="73">
        <v>148</v>
      </c>
      <c r="F20" s="121">
        <f t="shared" si="6"/>
        <v>1096680</v>
      </c>
      <c r="G20" s="121">
        <f t="shared" si="7"/>
        <v>219336</v>
      </c>
    </row>
    <row r="21" spans="1:8">
      <c r="A21" s="123"/>
      <c r="B21" s="128" t="s">
        <v>18</v>
      </c>
      <c r="C21" s="125"/>
      <c r="D21" s="74"/>
      <c r="E21" s="74">
        <f>SUM(E18:E20)</f>
        <v>395</v>
      </c>
      <c r="F21" s="74">
        <f>SUM(F18:F20)</f>
        <v>2978030</v>
      </c>
      <c r="G21" s="74">
        <f>SUM(G18:G20)</f>
        <v>595606</v>
      </c>
      <c r="H21" s="134">
        <f>F21*5%</f>
        <v>148901.5</v>
      </c>
    </row>
    <row r="22" spans="1:8">
      <c r="A22" s="129"/>
      <c r="B22" s="120" t="s">
        <v>157</v>
      </c>
      <c r="C22" s="120"/>
      <c r="D22" s="73"/>
      <c r="E22" s="75">
        <f>E11+E17+E21</f>
        <v>594</v>
      </c>
      <c r="F22" s="75">
        <f>F11+F17+F21</f>
        <v>10432080</v>
      </c>
      <c r="G22" s="75">
        <f>G11+G17+G21</f>
        <v>2086416</v>
      </c>
    </row>
  </sheetData>
  <mergeCells count="3">
    <mergeCell ref="A7:A10"/>
    <mergeCell ref="A12:A16"/>
    <mergeCell ref="A18:A20"/>
  </mergeCells>
  <phoneticPr fontId="25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249"/>
  <sheetViews>
    <sheetView workbookViewId="0">
      <selection activeCell="I27" sqref="I27"/>
    </sheetView>
  </sheetViews>
  <sheetFormatPr baseColWidth="10" defaultColWidth="12.6640625" defaultRowHeight="15.75" customHeight="1"/>
  <cols>
    <col min="1" max="2" width="15.6640625" bestFit="1" customWidth="1"/>
    <col min="3" max="3" width="14.1640625" bestFit="1" customWidth="1"/>
    <col min="4" max="4" width="11" bestFit="1" customWidth="1"/>
    <col min="5" max="5" width="8" bestFit="1" customWidth="1"/>
    <col min="6" max="6" width="10.6640625" bestFit="1" customWidth="1"/>
    <col min="7" max="7" width="13.6640625" bestFit="1" customWidth="1"/>
    <col min="8" max="8" width="10.6640625" bestFit="1" customWidth="1"/>
    <col min="9" max="9" width="14.1640625" bestFit="1" customWidth="1"/>
    <col min="10" max="10" width="12" bestFit="1" customWidth="1"/>
    <col min="11" max="11" width="9.83203125" bestFit="1" customWidth="1"/>
    <col min="12" max="12" width="12" bestFit="1" customWidth="1"/>
    <col min="13" max="13" width="14.1640625" bestFit="1" customWidth="1"/>
    <col min="14" max="14" width="11.1640625" bestFit="1" customWidth="1"/>
    <col min="15" max="15" width="37.1640625" bestFit="1" customWidth="1"/>
    <col min="16" max="16" width="12.5" bestFit="1" customWidth="1"/>
    <col min="17" max="17" width="38.83203125" bestFit="1" customWidth="1"/>
    <col min="18" max="18" width="5" bestFit="1" customWidth="1"/>
    <col min="19" max="20" width="8" bestFit="1" customWidth="1"/>
    <col min="21" max="22" width="15.33203125" bestFit="1" customWidth="1"/>
    <col min="23" max="23" width="19.1640625" bestFit="1" customWidth="1"/>
    <col min="24" max="24" width="13" bestFit="1" customWidth="1"/>
    <col min="25" max="26" width="14" bestFit="1" customWidth="1"/>
    <col min="27" max="27" width="15.6640625" bestFit="1" customWidth="1"/>
    <col min="28" max="30" width="10" bestFit="1" customWidth="1"/>
    <col min="31" max="31" width="17" bestFit="1" customWidth="1"/>
    <col min="32" max="32" width="11.5" bestFit="1" customWidth="1"/>
    <col min="33" max="33" width="14.1640625" bestFit="1" customWidth="1"/>
    <col min="34" max="34" width="14.6640625" bestFit="1" customWidth="1"/>
    <col min="35" max="35" width="8" bestFit="1" customWidth="1"/>
    <col min="36" max="36" width="22" bestFit="1" customWidth="1"/>
    <col min="37" max="37" width="13" bestFit="1" customWidth="1"/>
    <col min="38" max="38" width="11" bestFit="1" customWidth="1"/>
  </cols>
  <sheetData>
    <row r="1" spans="1:38" ht="15.75" customHeight="1">
      <c r="A1" s="103" t="s">
        <v>42</v>
      </c>
      <c r="B1" s="103" t="s">
        <v>43</v>
      </c>
      <c r="C1" s="103" t="s">
        <v>160</v>
      </c>
      <c r="D1" s="103" t="s">
        <v>44</v>
      </c>
      <c r="E1" s="103" t="s">
        <v>45</v>
      </c>
      <c r="F1" s="103" t="s">
        <v>46</v>
      </c>
      <c r="G1" s="103" t="s">
        <v>47</v>
      </c>
      <c r="H1" s="103" t="s">
        <v>48</v>
      </c>
      <c r="I1" s="103" t="s">
        <v>49</v>
      </c>
      <c r="J1" s="103" t="s">
        <v>50</v>
      </c>
      <c r="K1" s="103" t="s">
        <v>51</v>
      </c>
      <c r="L1" s="103" t="s">
        <v>52</v>
      </c>
      <c r="M1" s="103" t="s">
        <v>53</v>
      </c>
      <c r="N1" s="103" t="s">
        <v>54</v>
      </c>
      <c r="O1" s="103" t="s">
        <v>55</v>
      </c>
      <c r="P1" s="103" t="s">
        <v>56</v>
      </c>
      <c r="Q1" s="103" t="s">
        <v>57</v>
      </c>
      <c r="R1" s="103" t="s">
        <v>58</v>
      </c>
      <c r="S1" s="103" t="s">
        <v>59</v>
      </c>
      <c r="T1" s="103" t="s">
        <v>60</v>
      </c>
      <c r="U1" s="103" t="s">
        <v>61</v>
      </c>
      <c r="V1" s="103" t="s">
        <v>62</v>
      </c>
      <c r="W1" s="103" t="s">
        <v>63</v>
      </c>
      <c r="X1" s="103" t="s">
        <v>161</v>
      </c>
      <c r="Y1" s="103" t="s">
        <v>162</v>
      </c>
      <c r="Z1" s="103" t="s">
        <v>163</v>
      </c>
      <c r="AA1" s="103" t="s">
        <v>164</v>
      </c>
      <c r="AB1" s="103" t="s">
        <v>165</v>
      </c>
      <c r="AC1" s="103" t="s">
        <v>166</v>
      </c>
      <c r="AD1" s="103" t="s">
        <v>167</v>
      </c>
      <c r="AE1" s="103" t="s">
        <v>168</v>
      </c>
      <c r="AF1" s="103" t="s">
        <v>169</v>
      </c>
      <c r="AG1" s="103" t="s">
        <v>170</v>
      </c>
      <c r="AH1" s="103" t="s">
        <v>171</v>
      </c>
      <c r="AI1" s="103" t="s">
        <v>172</v>
      </c>
      <c r="AJ1" s="103" t="s">
        <v>173</v>
      </c>
      <c r="AK1" s="103" t="s">
        <v>174</v>
      </c>
      <c r="AL1" s="103" t="s">
        <v>175</v>
      </c>
    </row>
    <row r="2" spans="1:38" ht="15.75" customHeight="1">
      <c r="A2" s="104" t="s">
        <v>176</v>
      </c>
      <c r="B2" s="104" t="s">
        <v>177</v>
      </c>
      <c r="C2" s="105">
        <v>46174.467430555553</v>
      </c>
      <c r="D2" s="104" t="s">
        <v>64</v>
      </c>
      <c r="E2" s="104" t="s">
        <v>65</v>
      </c>
      <c r="F2" s="104" t="s">
        <v>178</v>
      </c>
      <c r="G2" s="104" t="s">
        <v>179</v>
      </c>
      <c r="H2" s="104" t="s">
        <v>178</v>
      </c>
      <c r="I2" s="105">
        <v>46168.437893518523</v>
      </c>
      <c r="J2" s="104" t="s">
        <v>66</v>
      </c>
      <c r="K2" s="104" t="s">
        <v>67</v>
      </c>
      <c r="L2" s="104" t="s">
        <v>180</v>
      </c>
      <c r="M2" s="105">
        <v>46169.769537037035</v>
      </c>
      <c r="N2" s="104" t="s">
        <v>103</v>
      </c>
      <c r="O2" s="104" t="s">
        <v>70</v>
      </c>
      <c r="P2" s="104" t="s">
        <v>69</v>
      </c>
      <c r="Q2" s="104" t="s">
        <v>156</v>
      </c>
      <c r="R2" s="104">
        <v>3</v>
      </c>
      <c r="S2" s="106">
        <v>9500</v>
      </c>
      <c r="T2" s="106">
        <v>0</v>
      </c>
      <c r="U2" s="106">
        <v>6270</v>
      </c>
      <c r="V2" s="106">
        <v>6270</v>
      </c>
      <c r="W2" s="106">
        <v>22230</v>
      </c>
      <c r="X2" s="106"/>
      <c r="Y2" s="106"/>
      <c r="Z2" s="106"/>
      <c r="AA2" s="104" t="s">
        <v>181</v>
      </c>
      <c r="AB2" s="104" t="s">
        <v>182</v>
      </c>
      <c r="AC2" s="104" t="s">
        <v>183</v>
      </c>
      <c r="AD2" s="106">
        <v>3000</v>
      </c>
      <c r="AE2" s="106">
        <v>0</v>
      </c>
      <c r="AF2" s="106">
        <v>0</v>
      </c>
      <c r="AG2" s="105">
        <v>46167.097175925926</v>
      </c>
      <c r="AH2" s="104" t="s">
        <v>184</v>
      </c>
      <c r="AI2" s="104" t="s">
        <v>185</v>
      </c>
      <c r="AJ2" s="104">
        <v>-606</v>
      </c>
      <c r="AK2" s="104">
        <v>-222</v>
      </c>
      <c r="AL2" s="106">
        <v>21402</v>
      </c>
    </row>
    <row r="3" spans="1:38" ht="15.75" customHeight="1">
      <c r="A3" s="104" t="s">
        <v>186</v>
      </c>
      <c r="B3" s="104" t="s">
        <v>187</v>
      </c>
      <c r="C3" s="105">
        <v>46174.472418981481</v>
      </c>
      <c r="D3" s="104" t="s">
        <v>64</v>
      </c>
      <c r="E3" s="104" t="s">
        <v>65</v>
      </c>
      <c r="F3" s="104" t="s">
        <v>188</v>
      </c>
      <c r="G3" s="104" t="s">
        <v>189</v>
      </c>
      <c r="H3" s="104" t="s">
        <v>188</v>
      </c>
      <c r="I3" s="105">
        <v>46168.437893518523</v>
      </c>
      <c r="J3" s="104" t="s">
        <v>66</v>
      </c>
      <c r="K3" s="104" t="s">
        <v>67</v>
      </c>
      <c r="L3" s="104" t="s">
        <v>190</v>
      </c>
      <c r="M3" s="105">
        <v>46169.552812499998</v>
      </c>
      <c r="N3" s="104" t="s">
        <v>103</v>
      </c>
      <c r="O3" s="104" t="s">
        <v>70</v>
      </c>
      <c r="P3" s="104" t="s">
        <v>69</v>
      </c>
      <c r="Q3" s="104" t="s">
        <v>156</v>
      </c>
      <c r="R3" s="104">
        <v>3</v>
      </c>
      <c r="S3" s="106">
        <v>9500</v>
      </c>
      <c r="T3" s="106">
        <v>0</v>
      </c>
      <c r="U3" s="106">
        <v>6270</v>
      </c>
      <c r="V3" s="106">
        <v>6270</v>
      </c>
      <c r="W3" s="106">
        <v>22230</v>
      </c>
      <c r="X3" s="106"/>
      <c r="Y3" s="106"/>
      <c r="Z3" s="106"/>
      <c r="AA3" s="104" t="s">
        <v>191</v>
      </c>
      <c r="AB3" s="104" t="s">
        <v>182</v>
      </c>
      <c r="AC3" s="104" t="s">
        <v>183</v>
      </c>
      <c r="AD3" s="106">
        <v>3000</v>
      </c>
      <c r="AE3" s="106">
        <v>0</v>
      </c>
      <c r="AF3" s="106">
        <v>0</v>
      </c>
      <c r="AG3" s="105">
        <v>46166.932789351849</v>
      </c>
      <c r="AH3" s="104" t="s">
        <v>192</v>
      </c>
      <c r="AI3" s="104" t="s">
        <v>185</v>
      </c>
      <c r="AJ3" s="104">
        <v>-606</v>
      </c>
      <c r="AK3" s="104">
        <v>-222</v>
      </c>
      <c r="AL3" s="106">
        <v>21402</v>
      </c>
    </row>
    <row r="4" spans="1:38" ht="15.75" customHeight="1">
      <c r="A4" s="104" t="s">
        <v>193</v>
      </c>
      <c r="B4" s="104" t="s">
        <v>194</v>
      </c>
      <c r="C4" s="105">
        <v>46174.488206018519</v>
      </c>
      <c r="D4" s="104" t="s">
        <v>64</v>
      </c>
      <c r="E4" s="104" t="s">
        <v>65</v>
      </c>
      <c r="F4" s="104" t="s">
        <v>195</v>
      </c>
      <c r="G4" s="104" t="s">
        <v>196</v>
      </c>
      <c r="H4" s="104" t="s">
        <v>195</v>
      </c>
      <c r="I4" s="105">
        <v>46168.437893518523</v>
      </c>
      <c r="J4" s="104" t="s">
        <v>66</v>
      </c>
      <c r="K4" s="104" t="s">
        <v>67</v>
      </c>
      <c r="L4" s="104" t="s">
        <v>197</v>
      </c>
      <c r="M4" s="105">
        <v>46169.68550925926</v>
      </c>
      <c r="N4" s="104" t="s">
        <v>103</v>
      </c>
      <c r="O4" s="104" t="s">
        <v>70</v>
      </c>
      <c r="P4" s="104" t="s">
        <v>69</v>
      </c>
      <c r="Q4" s="104" t="s">
        <v>156</v>
      </c>
      <c r="R4" s="104">
        <v>2</v>
      </c>
      <c r="S4" s="106">
        <v>9500</v>
      </c>
      <c r="T4" s="106">
        <v>0</v>
      </c>
      <c r="U4" s="106">
        <v>4180</v>
      </c>
      <c r="V4" s="106">
        <v>4180</v>
      </c>
      <c r="W4" s="106">
        <v>14820</v>
      </c>
      <c r="X4" s="106"/>
      <c r="Y4" s="106"/>
      <c r="Z4" s="106"/>
      <c r="AA4" s="104" t="s">
        <v>198</v>
      </c>
      <c r="AB4" s="104" t="s">
        <v>182</v>
      </c>
      <c r="AC4" s="104" t="s">
        <v>183</v>
      </c>
      <c r="AD4" s="106">
        <v>3000</v>
      </c>
      <c r="AE4" s="106">
        <v>0</v>
      </c>
      <c r="AF4" s="106">
        <v>0</v>
      </c>
      <c r="AG4" s="105">
        <v>46166.004143518519</v>
      </c>
      <c r="AH4" s="104" t="s">
        <v>199</v>
      </c>
      <c r="AI4" s="104" t="s">
        <v>185</v>
      </c>
      <c r="AJ4" s="104">
        <v>-404</v>
      </c>
      <c r="AK4" s="104">
        <v>-148</v>
      </c>
      <c r="AL4" s="106">
        <v>14268</v>
      </c>
    </row>
    <row r="5" spans="1:38" ht="15.75" customHeight="1">
      <c r="A5" s="104" t="s">
        <v>200</v>
      </c>
      <c r="B5" s="104" t="s">
        <v>201</v>
      </c>
      <c r="C5" s="105">
        <v>46174.758773148147</v>
      </c>
      <c r="D5" s="104" t="s">
        <v>64</v>
      </c>
      <c r="E5" s="104" t="s">
        <v>65</v>
      </c>
      <c r="F5" s="104" t="s">
        <v>202</v>
      </c>
      <c r="G5" s="104" t="s">
        <v>203</v>
      </c>
      <c r="H5" s="104" t="s">
        <v>202</v>
      </c>
      <c r="I5" s="105">
        <v>46171.653124999997</v>
      </c>
      <c r="J5" s="104" t="s">
        <v>66</v>
      </c>
      <c r="K5" s="104" t="s">
        <v>67</v>
      </c>
      <c r="L5" s="104" t="s">
        <v>204</v>
      </c>
      <c r="M5" s="105">
        <v>46172.548645833333</v>
      </c>
      <c r="N5" s="104" t="s">
        <v>103</v>
      </c>
      <c r="O5" s="104" t="s">
        <v>70</v>
      </c>
      <c r="P5" s="104" t="s">
        <v>69</v>
      </c>
      <c r="Q5" s="104" t="s">
        <v>205</v>
      </c>
      <c r="R5" s="104">
        <v>6</v>
      </c>
      <c r="S5" s="106">
        <v>9500</v>
      </c>
      <c r="T5" s="106">
        <v>0</v>
      </c>
      <c r="U5" s="106">
        <v>19980</v>
      </c>
      <c r="V5" s="106">
        <v>19980</v>
      </c>
      <c r="W5" s="106">
        <v>37020</v>
      </c>
      <c r="X5" s="106"/>
      <c r="Y5" s="106"/>
      <c r="Z5" s="106"/>
      <c r="AA5" s="104" t="s">
        <v>206</v>
      </c>
      <c r="AB5" s="104" t="s">
        <v>207</v>
      </c>
      <c r="AC5" s="104" t="s">
        <v>183</v>
      </c>
      <c r="AD5" s="106">
        <v>0</v>
      </c>
      <c r="AE5" s="106">
        <v>0</v>
      </c>
      <c r="AF5" s="106">
        <v>0</v>
      </c>
      <c r="AG5" s="105">
        <v>46171.567824074074</v>
      </c>
      <c r="AH5" s="104" t="s">
        <v>192</v>
      </c>
      <c r="AI5" s="104" t="s">
        <v>185</v>
      </c>
      <c r="AJ5" s="104">
        <v>-1009</v>
      </c>
      <c r="AK5" s="104">
        <v>-370</v>
      </c>
      <c r="AL5" s="106">
        <v>35641</v>
      </c>
    </row>
    <row r="6" spans="1:38" ht="15.75" customHeight="1">
      <c r="A6" s="104" t="s">
        <v>208</v>
      </c>
      <c r="B6" s="104" t="s">
        <v>209</v>
      </c>
      <c r="C6" s="105">
        <v>46174.793020833335</v>
      </c>
      <c r="D6" s="104" t="s">
        <v>64</v>
      </c>
      <c r="E6" s="104" t="s">
        <v>65</v>
      </c>
      <c r="F6" s="104" t="s">
        <v>210</v>
      </c>
      <c r="G6" s="104" t="s">
        <v>211</v>
      </c>
      <c r="H6" s="104" t="s">
        <v>210</v>
      </c>
      <c r="I6" s="105">
        <v>46171.646192129629</v>
      </c>
      <c r="J6" s="104" t="s">
        <v>66</v>
      </c>
      <c r="K6" s="104" t="s">
        <v>67</v>
      </c>
      <c r="L6" s="104" t="s">
        <v>212</v>
      </c>
      <c r="M6" s="105">
        <v>46172.679861111115</v>
      </c>
      <c r="N6" s="104" t="s">
        <v>103</v>
      </c>
      <c r="O6" s="104" t="s">
        <v>70</v>
      </c>
      <c r="P6" s="104" t="s">
        <v>69</v>
      </c>
      <c r="Q6" s="104" t="s">
        <v>156</v>
      </c>
      <c r="R6" s="104">
        <v>2</v>
      </c>
      <c r="S6" s="106">
        <v>9500</v>
      </c>
      <c r="T6" s="106">
        <v>0</v>
      </c>
      <c r="U6" s="106">
        <v>4180</v>
      </c>
      <c r="V6" s="106">
        <v>4180</v>
      </c>
      <c r="W6" s="106">
        <v>14820</v>
      </c>
      <c r="X6" s="106"/>
      <c r="Y6" s="106"/>
      <c r="Z6" s="106"/>
      <c r="AA6" s="104" t="s">
        <v>213</v>
      </c>
      <c r="AB6" s="104" t="s">
        <v>182</v>
      </c>
      <c r="AC6" s="104" t="s">
        <v>183</v>
      </c>
      <c r="AD6" s="106">
        <v>3000</v>
      </c>
      <c r="AE6" s="106">
        <v>0</v>
      </c>
      <c r="AF6" s="106">
        <v>0</v>
      </c>
      <c r="AG6" s="105">
        <v>46171.572326388894</v>
      </c>
      <c r="AH6" s="104" t="s">
        <v>214</v>
      </c>
      <c r="AI6" s="104" t="s">
        <v>185</v>
      </c>
      <c r="AJ6" s="104">
        <v>-403</v>
      </c>
      <c r="AK6" s="104">
        <v>-148</v>
      </c>
      <c r="AL6" s="106">
        <v>14269</v>
      </c>
    </row>
    <row r="7" spans="1:38" ht="15.75" customHeight="1">
      <c r="A7" s="104" t="s">
        <v>215</v>
      </c>
      <c r="B7" s="104" t="s">
        <v>216</v>
      </c>
      <c r="C7" s="105">
        <v>46175.514537037037</v>
      </c>
      <c r="D7" s="104" t="s">
        <v>64</v>
      </c>
      <c r="E7" s="104" t="s">
        <v>65</v>
      </c>
      <c r="F7" s="104" t="s">
        <v>217</v>
      </c>
      <c r="G7" s="104" t="s">
        <v>218</v>
      </c>
      <c r="H7" s="104" t="s">
        <v>217</v>
      </c>
      <c r="I7" s="105">
        <v>46171.653124999997</v>
      </c>
      <c r="J7" s="104" t="s">
        <v>66</v>
      </c>
      <c r="K7" s="104" t="s">
        <v>67</v>
      </c>
      <c r="L7" s="104" t="s">
        <v>219</v>
      </c>
      <c r="M7" s="105">
        <v>46172.551527777774</v>
      </c>
      <c r="N7" s="104" t="s">
        <v>103</v>
      </c>
      <c r="O7" s="104" t="s">
        <v>107</v>
      </c>
      <c r="P7" s="104" t="s">
        <v>68</v>
      </c>
      <c r="Q7" s="104" t="s">
        <v>104</v>
      </c>
      <c r="R7" s="104">
        <v>1</v>
      </c>
      <c r="S7" s="106">
        <v>21060</v>
      </c>
      <c r="T7" s="106">
        <v>0</v>
      </c>
      <c r="U7" s="106">
        <v>0</v>
      </c>
      <c r="V7" s="106">
        <v>0</v>
      </c>
      <c r="W7" s="106">
        <v>21060</v>
      </c>
      <c r="X7" s="106"/>
      <c r="Y7" s="106"/>
      <c r="Z7" s="106"/>
      <c r="AA7" s="104" t="s">
        <v>220</v>
      </c>
      <c r="AB7" s="104" t="s">
        <v>182</v>
      </c>
      <c r="AC7" s="104" t="s">
        <v>183</v>
      </c>
      <c r="AD7" s="106">
        <v>3000</v>
      </c>
      <c r="AE7" s="106">
        <v>0</v>
      </c>
      <c r="AF7" s="106">
        <v>0</v>
      </c>
      <c r="AG7" s="105">
        <v>46171.531319444446</v>
      </c>
      <c r="AH7" s="104" t="s">
        <v>214</v>
      </c>
      <c r="AI7" s="104" t="s">
        <v>185</v>
      </c>
      <c r="AJ7" s="104">
        <v>-574</v>
      </c>
      <c r="AK7" s="104">
        <v>-210</v>
      </c>
      <c r="AL7" s="106">
        <v>20276</v>
      </c>
    </row>
    <row r="8" spans="1:38" ht="15.75" customHeight="1">
      <c r="A8" s="104" t="s">
        <v>221</v>
      </c>
      <c r="B8" s="104" t="s">
        <v>216</v>
      </c>
      <c r="C8" s="105">
        <v>46175.514537037037</v>
      </c>
      <c r="D8" s="104" t="s">
        <v>64</v>
      </c>
      <c r="E8" s="104" t="s">
        <v>65</v>
      </c>
      <c r="F8" s="104" t="s">
        <v>217</v>
      </c>
      <c r="G8" s="104" t="s">
        <v>218</v>
      </c>
      <c r="H8" s="104" t="s">
        <v>217</v>
      </c>
      <c r="I8" s="105">
        <v>46171.653124999997</v>
      </c>
      <c r="J8" s="104" t="s">
        <v>66</v>
      </c>
      <c r="K8" s="104" t="s">
        <v>67</v>
      </c>
      <c r="L8" s="104" t="s">
        <v>219</v>
      </c>
      <c r="M8" s="105">
        <v>46172.551527777774</v>
      </c>
      <c r="N8" s="104" t="s">
        <v>103</v>
      </c>
      <c r="O8" s="104" t="s">
        <v>70</v>
      </c>
      <c r="P8" s="104" t="s">
        <v>69</v>
      </c>
      <c r="Q8" s="104" t="s">
        <v>156</v>
      </c>
      <c r="R8" s="104">
        <v>1</v>
      </c>
      <c r="S8" s="106">
        <v>9500</v>
      </c>
      <c r="T8" s="106">
        <v>0</v>
      </c>
      <c r="U8" s="106">
        <v>2090</v>
      </c>
      <c r="V8" s="106">
        <v>2090</v>
      </c>
      <c r="W8" s="106">
        <v>7410</v>
      </c>
      <c r="X8" s="106"/>
      <c r="Y8" s="106"/>
      <c r="Z8" s="106"/>
      <c r="AA8" s="104" t="s">
        <v>220</v>
      </c>
      <c r="AB8" s="104" t="s">
        <v>182</v>
      </c>
      <c r="AC8" s="104" t="s">
        <v>183</v>
      </c>
      <c r="AD8" s="106">
        <v>3000</v>
      </c>
      <c r="AE8" s="106">
        <v>0</v>
      </c>
      <c r="AF8" s="106">
        <v>0</v>
      </c>
      <c r="AG8" s="105">
        <v>46171.531319444446</v>
      </c>
      <c r="AH8" s="104" t="s">
        <v>214</v>
      </c>
      <c r="AI8" s="104" t="s">
        <v>185</v>
      </c>
      <c r="AJ8" s="104">
        <v>-201</v>
      </c>
      <c r="AK8" s="104">
        <v>-74</v>
      </c>
      <c r="AL8" s="106">
        <v>7135</v>
      </c>
    </row>
    <row r="9" spans="1:38" ht="15.75" customHeight="1">
      <c r="A9" s="104" t="s">
        <v>222</v>
      </c>
      <c r="B9" s="104" t="s">
        <v>223</v>
      </c>
      <c r="C9" s="105">
        <v>46175.640752314815</v>
      </c>
      <c r="D9" s="104" t="s">
        <v>64</v>
      </c>
      <c r="E9" s="104" t="s">
        <v>65</v>
      </c>
      <c r="F9" s="104" t="s">
        <v>224</v>
      </c>
      <c r="G9" s="104" t="s">
        <v>225</v>
      </c>
      <c r="H9" s="104" t="s">
        <v>224</v>
      </c>
      <c r="I9" s="105">
        <v>46171.500567129631</v>
      </c>
      <c r="J9" s="104" t="s">
        <v>66</v>
      </c>
      <c r="K9" s="104" t="s">
        <v>67</v>
      </c>
      <c r="L9" s="104" t="s">
        <v>226</v>
      </c>
      <c r="M9" s="105">
        <v>46172.466689814813</v>
      </c>
      <c r="N9" s="104" t="s">
        <v>103</v>
      </c>
      <c r="O9" s="104" t="s">
        <v>70</v>
      </c>
      <c r="P9" s="104" t="s">
        <v>69</v>
      </c>
      <c r="Q9" s="104" t="s">
        <v>156</v>
      </c>
      <c r="R9" s="104">
        <v>1</v>
      </c>
      <c r="S9" s="106">
        <v>9500</v>
      </c>
      <c r="T9" s="106">
        <v>0</v>
      </c>
      <c r="U9" s="106">
        <v>2090</v>
      </c>
      <c r="V9" s="106">
        <v>2090</v>
      </c>
      <c r="W9" s="106">
        <v>7410</v>
      </c>
      <c r="X9" s="106"/>
      <c r="Y9" s="106"/>
      <c r="Z9" s="106"/>
      <c r="AA9" s="104" t="s">
        <v>227</v>
      </c>
      <c r="AB9" s="104" t="s">
        <v>182</v>
      </c>
      <c r="AC9" s="104" t="s">
        <v>183</v>
      </c>
      <c r="AD9" s="106">
        <v>3000</v>
      </c>
      <c r="AE9" s="106">
        <v>0</v>
      </c>
      <c r="AF9" s="106">
        <v>0</v>
      </c>
      <c r="AG9" s="105">
        <v>46170.869791666672</v>
      </c>
      <c r="AH9" s="104" t="s">
        <v>228</v>
      </c>
      <c r="AI9" s="104" t="s">
        <v>185</v>
      </c>
      <c r="AJ9" s="104">
        <v>-202</v>
      </c>
      <c r="AK9" s="104">
        <v>-74</v>
      </c>
      <c r="AL9" s="106">
        <v>7134</v>
      </c>
    </row>
    <row r="10" spans="1:38" ht="15.75" customHeight="1">
      <c r="A10" s="104" t="s">
        <v>229</v>
      </c>
      <c r="B10" s="104" t="s">
        <v>230</v>
      </c>
      <c r="C10" s="105">
        <v>46175.738171296296</v>
      </c>
      <c r="D10" s="104" t="s">
        <v>64</v>
      </c>
      <c r="E10" s="104" t="s">
        <v>65</v>
      </c>
      <c r="F10" s="104" t="s">
        <v>231</v>
      </c>
      <c r="G10" s="104" t="s">
        <v>232</v>
      </c>
      <c r="H10" s="104" t="s">
        <v>231</v>
      </c>
      <c r="I10" s="105">
        <v>46174.63857638889</v>
      </c>
      <c r="J10" s="104" t="s">
        <v>66</v>
      </c>
      <c r="K10" s="104" t="s">
        <v>67</v>
      </c>
      <c r="L10" s="104" t="s">
        <v>233</v>
      </c>
      <c r="M10" s="105">
        <v>46175.470995370371</v>
      </c>
      <c r="N10" s="104" t="s">
        <v>103</v>
      </c>
      <c r="O10" s="104" t="s">
        <v>70</v>
      </c>
      <c r="P10" s="104" t="s">
        <v>69</v>
      </c>
      <c r="Q10" s="104" t="s">
        <v>156</v>
      </c>
      <c r="R10" s="104">
        <v>4</v>
      </c>
      <c r="S10" s="106">
        <v>9500</v>
      </c>
      <c r="T10" s="106">
        <v>0</v>
      </c>
      <c r="U10" s="106">
        <v>8360</v>
      </c>
      <c r="V10" s="106">
        <v>8360</v>
      </c>
      <c r="W10" s="106">
        <v>29640</v>
      </c>
      <c r="X10" s="106"/>
      <c r="Y10" s="106"/>
      <c r="Z10" s="106"/>
      <c r="AA10" s="104" t="s">
        <v>234</v>
      </c>
      <c r="AB10" s="104" t="s">
        <v>182</v>
      </c>
      <c r="AC10" s="104" t="s">
        <v>183</v>
      </c>
      <c r="AD10" s="106">
        <v>3000</v>
      </c>
      <c r="AE10" s="106">
        <v>0</v>
      </c>
      <c r="AF10" s="106">
        <v>0</v>
      </c>
      <c r="AG10" s="105">
        <v>46173.727905092594</v>
      </c>
      <c r="AH10" s="104" t="s">
        <v>228</v>
      </c>
      <c r="AI10" s="104" t="s">
        <v>185</v>
      </c>
      <c r="AJ10" s="104">
        <v>-808</v>
      </c>
      <c r="AK10" s="104">
        <v>-296</v>
      </c>
      <c r="AL10" s="106">
        <v>28536</v>
      </c>
    </row>
    <row r="11" spans="1:38" ht="15.75" customHeight="1">
      <c r="A11" s="104" t="s">
        <v>235</v>
      </c>
      <c r="B11" s="104" t="s">
        <v>236</v>
      </c>
      <c r="C11" s="105">
        <v>46175.827349537038</v>
      </c>
      <c r="D11" s="104" t="s">
        <v>64</v>
      </c>
      <c r="E11" s="104" t="s">
        <v>65</v>
      </c>
      <c r="F11" s="104" t="s">
        <v>97</v>
      </c>
      <c r="G11" s="104" t="s">
        <v>237</v>
      </c>
      <c r="H11" s="104" t="s">
        <v>238</v>
      </c>
      <c r="I11" s="105">
        <v>46174.652453703704</v>
      </c>
      <c r="J11" s="104" t="s">
        <v>66</v>
      </c>
      <c r="K11" s="104" t="s">
        <v>67</v>
      </c>
      <c r="L11" s="104" t="s">
        <v>239</v>
      </c>
      <c r="M11" s="105">
        <v>46175.554548611108</v>
      </c>
      <c r="N11" s="104" t="s">
        <v>103</v>
      </c>
      <c r="O11" s="104" t="s">
        <v>70</v>
      </c>
      <c r="P11" s="104" t="s">
        <v>69</v>
      </c>
      <c r="Q11" s="104" t="s">
        <v>156</v>
      </c>
      <c r="R11" s="104">
        <v>4</v>
      </c>
      <c r="S11" s="106">
        <v>9500</v>
      </c>
      <c r="T11" s="106">
        <v>0</v>
      </c>
      <c r="U11" s="106">
        <v>8360</v>
      </c>
      <c r="V11" s="106">
        <v>8360</v>
      </c>
      <c r="W11" s="106">
        <v>29640</v>
      </c>
      <c r="X11" s="106"/>
      <c r="Y11" s="106"/>
      <c r="Z11" s="106"/>
      <c r="AA11" s="104" t="s">
        <v>240</v>
      </c>
      <c r="AB11" s="104" t="s">
        <v>182</v>
      </c>
      <c r="AC11" s="104" t="s">
        <v>183</v>
      </c>
      <c r="AD11" s="106">
        <v>3000</v>
      </c>
      <c r="AE11" s="106">
        <v>0</v>
      </c>
      <c r="AF11" s="106">
        <v>0</v>
      </c>
      <c r="AG11" s="105">
        <v>46174.616736111115</v>
      </c>
      <c r="AH11" s="104" t="s">
        <v>214</v>
      </c>
      <c r="AI11" s="104" t="s">
        <v>185</v>
      </c>
      <c r="AJ11" s="104">
        <v>-808</v>
      </c>
      <c r="AK11" s="104">
        <v>-296</v>
      </c>
      <c r="AL11" s="106">
        <v>28536</v>
      </c>
    </row>
    <row r="12" spans="1:38" ht="15.75" customHeight="1">
      <c r="A12" s="104" t="s">
        <v>241</v>
      </c>
      <c r="B12" s="104" t="s">
        <v>242</v>
      </c>
      <c r="C12" s="105">
        <v>46175.905486111107</v>
      </c>
      <c r="D12" s="104" t="s">
        <v>64</v>
      </c>
      <c r="E12" s="104" t="s">
        <v>65</v>
      </c>
      <c r="F12" s="104" t="s">
        <v>100</v>
      </c>
      <c r="G12" s="104" t="s">
        <v>243</v>
      </c>
      <c r="H12" s="104" t="s">
        <v>100</v>
      </c>
      <c r="I12" s="105">
        <v>46174.63857638889</v>
      </c>
      <c r="J12" s="104" t="s">
        <v>66</v>
      </c>
      <c r="K12" s="104" t="s">
        <v>67</v>
      </c>
      <c r="L12" s="104" t="s">
        <v>244</v>
      </c>
      <c r="M12" s="105">
        <v>46175.966712962967</v>
      </c>
      <c r="N12" s="104" t="s">
        <v>106</v>
      </c>
      <c r="O12" s="104" t="s">
        <v>107</v>
      </c>
      <c r="P12" s="104" t="s">
        <v>69</v>
      </c>
      <c r="Q12" s="104" t="s">
        <v>104</v>
      </c>
      <c r="R12" s="104">
        <v>1</v>
      </c>
      <c r="S12" s="106">
        <v>27000</v>
      </c>
      <c r="T12" s="106">
        <v>0</v>
      </c>
      <c r="U12" s="106">
        <v>5940</v>
      </c>
      <c r="V12" s="106">
        <v>5940</v>
      </c>
      <c r="W12" s="106">
        <v>21060</v>
      </c>
      <c r="X12" s="106"/>
      <c r="Y12" s="106"/>
      <c r="Z12" s="106"/>
      <c r="AA12" s="104" t="s">
        <v>245</v>
      </c>
      <c r="AB12" s="104" t="s">
        <v>182</v>
      </c>
      <c r="AC12" s="104" t="s">
        <v>183</v>
      </c>
      <c r="AD12" s="106">
        <v>3000</v>
      </c>
      <c r="AE12" s="106">
        <v>0</v>
      </c>
      <c r="AF12" s="106">
        <v>0</v>
      </c>
      <c r="AG12" s="105">
        <v>46174.059270833328</v>
      </c>
      <c r="AH12" s="104" t="s">
        <v>246</v>
      </c>
      <c r="AI12" s="104" t="s">
        <v>185</v>
      </c>
      <c r="AJ12" s="104">
        <v>-574</v>
      </c>
      <c r="AK12" s="104">
        <v>-210</v>
      </c>
      <c r="AL12" s="106">
        <v>20276</v>
      </c>
    </row>
    <row r="13" spans="1:38" ht="15.75" customHeight="1">
      <c r="A13" s="104" t="s">
        <v>247</v>
      </c>
      <c r="B13" s="104" t="s">
        <v>248</v>
      </c>
      <c r="C13" s="105">
        <v>46175.974490740744</v>
      </c>
      <c r="D13" s="104" t="s">
        <v>64</v>
      </c>
      <c r="E13" s="104" t="s">
        <v>65</v>
      </c>
      <c r="F13" s="104" t="s">
        <v>99</v>
      </c>
      <c r="G13" s="104" t="s">
        <v>114</v>
      </c>
      <c r="H13" s="104" t="s">
        <v>99</v>
      </c>
      <c r="I13" s="105">
        <v>46174.63857638889</v>
      </c>
      <c r="J13" s="104" t="s">
        <v>66</v>
      </c>
      <c r="K13" s="104" t="s">
        <v>67</v>
      </c>
      <c r="L13" s="104" t="s">
        <v>249</v>
      </c>
      <c r="M13" s="105">
        <v>46175.681400462963</v>
      </c>
      <c r="N13" s="104" t="s">
        <v>103</v>
      </c>
      <c r="O13" s="104" t="s">
        <v>70</v>
      </c>
      <c r="P13" s="104" t="s">
        <v>69</v>
      </c>
      <c r="Q13" s="104" t="s">
        <v>205</v>
      </c>
      <c r="R13" s="104">
        <v>6</v>
      </c>
      <c r="S13" s="106">
        <v>9500</v>
      </c>
      <c r="T13" s="106">
        <v>0</v>
      </c>
      <c r="U13" s="106">
        <v>19980</v>
      </c>
      <c r="V13" s="106">
        <v>19980</v>
      </c>
      <c r="W13" s="106">
        <v>37020</v>
      </c>
      <c r="X13" s="106"/>
      <c r="Y13" s="106"/>
      <c r="Z13" s="106"/>
      <c r="AA13" s="104" t="s">
        <v>250</v>
      </c>
      <c r="AB13" s="104" t="s">
        <v>207</v>
      </c>
      <c r="AC13" s="104" t="s">
        <v>183</v>
      </c>
      <c r="AD13" s="106">
        <v>0</v>
      </c>
      <c r="AE13" s="106">
        <v>0</v>
      </c>
      <c r="AF13" s="106">
        <v>0</v>
      </c>
      <c r="AG13" s="105">
        <v>46173.89707175926</v>
      </c>
      <c r="AH13" s="104" t="s">
        <v>214</v>
      </c>
      <c r="AI13" s="104" t="s">
        <v>185</v>
      </c>
      <c r="AJ13" s="104">
        <v>-1009</v>
      </c>
      <c r="AK13" s="104">
        <v>-370</v>
      </c>
      <c r="AL13" s="106">
        <v>35641</v>
      </c>
    </row>
    <row r="14" spans="1:38" ht="15.75" customHeight="1">
      <c r="A14" s="104" t="s">
        <v>251</v>
      </c>
      <c r="B14" s="104" t="s">
        <v>252</v>
      </c>
      <c r="C14" s="105">
        <v>46176.126284722224</v>
      </c>
      <c r="D14" s="104" t="s">
        <v>64</v>
      </c>
      <c r="E14" s="104" t="s">
        <v>65</v>
      </c>
      <c r="F14" s="104" t="s">
        <v>253</v>
      </c>
      <c r="G14" s="104" t="s">
        <v>254</v>
      </c>
      <c r="H14" s="104" t="s">
        <v>253</v>
      </c>
      <c r="I14" s="105">
        <v>46174.63857638889</v>
      </c>
      <c r="J14" s="104" t="s">
        <v>66</v>
      </c>
      <c r="K14" s="104" t="s">
        <v>67</v>
      </c>
      <c r="L14" s="104" t="s">
        <v>255</v>
      </c>
      <c r="M14" s="105">
        <v>46175.655601851853</v>
      </c>
      <c r="N14" s="104" t="s">
        <v>103</v>
      </c>
      <c r="O14" s="104" t="s">
        <v>107</v>
      </c>
      <c r="P14" s="104" t="s">
        <v>68</v>
      </c>
      <c r="Q14" s="104" t="s">
        <v>104</v>
      </c>
      <c r="R14" s="104">
        <v>1</v>
      </c>
      <c r="S14" s="106">
        <v>21060</v>
      </c>
      <c r="T14" s="106">
        <v>0</v>
      </c>
      <c r="U14" s="106">
        <v>0</v>
      </c>
      <c r="V14" s="106">
        <v>0</v>
      </c>
      <c r="W14" s="106">
        <v>21060</v>
      </c>
      <c r="X14" s="106"/>
      <c r="Y14" s="106"/>
      <c r="Z14" s="106"/>
      <c r="AA14" s="104" t="s">
        <v>256</v>
      </c>
      <c r="AB14" s="104" t="s">
        <v>207</v>
      </c>
      <c r="AC14" s="104" t="s">
        <v>183</v>
      </c>
      <c r="AD14" s="106">
        <v>0</v>
      </c>
      <c r="AE14" s="106">
        <v>0</v>
      </c>
      <c r="AF14" s="106">
        <v>0</v>
      </c>
      <c r="AG14" s="105">
        <v>46172.523483796293</v>
      </c>
      <c r="AH14" s="104" t="s">
        <v>214</v>
      </c>
      <c r="AI14" s="104" t="s">
        <v>185</v>
      </c>
      <c r="AJ14" s="104">
        <v>-574</v>
      </c>
      <c r="AK14" s="104">
        <v>-631</v>
      </c>
      <c r="AL14" s="106">
        <v>19855</v>
      </c>
    </row>
    <row r="15" spans="1:38" ht="15.75" customHeight="1">
      <c r="A15" s="104" t="s">
        <v>257</v>
      </c>
      <c r="B15" s="104" t="s">
        <v>252</v>
      </c>
      <c r="C15" s="105">
        <v>46176.126284722224</v>
      </c>
      <c r="D15" s="104" t="s">
        <v>64</v>
      </c>
      <c r="E15" s="104" t="s">
        <v>65</v>
      </c>
      <c r="F15" s="104" t="s">
        <v>253</v>
      </c>
      <c r="G15" s="104" t="s">
        <v>254</v>
      </c>
      <c r="H15" s="104" t="s">
        <v>253</v>
      </c>
      <c r="I15" s="105">
        <v>46174.63857638889</v>
      </c>
      <c r="J15" s="104" t="s">
        <v>66</v>
      </c>
      <c r="K15" s="104" t="s">
        <v>67</v>
      </c>
      <c r="L15" s="104" t="s">
        <v>255</v>
      </c>
      <c r="M15" s="105">
        <v>46175.655601851853</v>
      </c>
      <c r="N15" s="104" t="s">
        <v>103</v>
      </c>
      <c r="O15" s="104" t="s">
        <v>70</v>
      </c>
      <c r="P15" s="104" t="s">
        <v>69</v>
      </c>
      <c r="Q15" s="104" t="s">
        <v>156</v>
      </c>
      <c r="R15" s="104">
        <v>2</v>
      </c>
      <c r="S15" s="106">
        <v>9500</v>
      </c>
      <c r="T15" s="106">
        <v>0</v>
      </c>
      <c r="U15" s="106">
        <v>4180</v>
      </c>
      <c r="V15" s="106">
        <v>4180</v>
      </c>
      <c r="W15" s="106">
        <v>14820</v>
      </c>
      <c r="X15" s="106"/>
      <c r="Y15" s="106"/>
      <c r="Z15" s="106"/>
      <c r="AA15" s="104" t="s">
        <v>256</v>
      </c>
      <c r="AB15" s="104" t="s">
        <v>207</v>
      </c>
      <c r="AC15" s="104" t="s">
        <v>183</v>
      </c>
      <c r="AD15" s="106">
        <v>0</v>
      </c>
      <c r="AE15" s="106">
        <v>0</v>
      </c>
      <c r="AF15" s="106">
        <v>0</v>
      </c>
      <c r="AG15" s="105">
        <v>46172.523483796293</v>
      </c>
      <c r="AH15" s="104" t="s">
        <v>214</v>
      </c>
      <c r="AI15" s="104" t="s">
        <v>185</v>
      </c>
      <c r="AJ15" s="104">
        <v>-403</v>
      </c>
      <c r="AK15" s="104">
        <v>-444</v>
      </c>
      <c r="AL15" s="106">
        <v>13973</v>
      </c>
    </row>
    <row r="16" spans="1:38" ht="15.75" customHeight="1">
      <c r="A16" s="104" t="s">
        <v>258</v>
      </c>
      <c r="B16" s="104" t="s">
        <v>259</v>
      </c>
      <c r="C16" s="105">
        <v>46176.777361111112</v>
      </c>
      <c r="D16" s="104" t="s">
        <v>64</v>
      </c>
      <c r="E16" s="104" t="s">
        <v>65</v>
      </c>
      <c r="F16" s="104" t="s">
        <v>260</v>
      </c>
      <c r="G16" s="104" t="s">
        <v>261</v>
      </c>
      <c r="H16" s="104" t="s">
        <v>260</v>
      </c>
      <c r="I16" s="105">
        <v>46174.63857638889</v>
      </c>
      <c r="J16" s="104" t="s">
        <v>66</v>
      </c>
      <c r="K16" s="104" t="s">
        <v>67</v>
      </c>
      <c r="L16" s="104" t="s">
        <v>262</v>
      </c>
      <c r="M16" s="105">
        <v>46175.655590277776</v>
      </c>
      <c r="N16" s="104" t="s">
        <v>103</v>
      </c>
      <c r="O16" s="104" t="s">
        <v>70</v>
      </c>
      <c r="P16" s="104" t="s">
        <v>69</v>
      </c>
      <c r="Q16" s="104" t="s">
        <v>156</v>
      </c>
      <c r="R16" s="104">
        <v>2</v>
      </c>
      <c r="S16" s="106">
        <v>9500</v>
      </c>
      <c r="T16" s="106">
        <v>0</v>
      </c>
      <c r="U16" s="106">
        <v>4180</v>
      </c>
      <c r="V16" s="106">
        <v>4180</v>
      </c>
      <c r="W16" s="106">
        <v>14820</v>
      </c>
      <c r="X16" s="106"/>
      <c r="Y16" s="106"/>
      <c r="Z16" s="106"/>
      <c r="AA16" s="104" t="s">
        <v>263</v>
      </c>
      <c r="AB16" s="104" t="s">
        <v>182</v>
      </c>
      <c r="AC16" s="104" t="s">
        <v>183</v>
      </c>
      <c r="AD16" s="106">
        <v>3000</v>
      </c>
      <c r="AE16" s="106">
        <v>0</v>
      </c>
      <c r="AF16" s="106">
        <v>0</v>
      </c>
      <c r="AG16" s="105">
        <v>46171.824675925927</v>
      </c>
      <c r="AH16" s="104" t="s">
        <v>228</v>
      </c>
      <c r="AI16" s="104" t="s">
        <v>185</v>
      </c>
      <c r="AJ16" s="104">
        <v>-404</v>
      </c>
      <c r="AK16" s="104">
        <v>-148</v>
      </c>
      <c r="AL16" s="106">
        <v>14268</v>
      </c>
    </row>
    <row r="17" spans="1:38" ht="15.75" customHeight="1">
      <c r="A17" s="104" t="s">
        <v>264</v>
      </c>
      <c r="B17" s="104" t="s">
        <v>265</v>
      </c>
      <c r="C17" s="105">
        <v>46177.081342592588</v>
      </c>
      <c r="D17" s="104" t="s">
        <v>64</v>
      </c>
      <c r="E17" s="104" t="s">
        <v>65</v>
      </c>
      <c r="F17" s="104" t="s">
        <v>92</v>
      </c>
      <c r="G17" s="104" t="s">
        <v>266</v>
      </c>
      <c r="H17" s="104" t="s">
        <v>92</v>
      </c>
      <c r="I17" s="105">
        <v>46168.437893518523</v>
      </c>
      <c r="J17" s="104" t="s">
        <v>66</v>
      </c>
      <c r="K17" s="104" t="s">
        <v>67</v>
      </c>
      <c r="L17" s="104" t="s">
        <v>267</v>
      </c>
      <c r="M17" s="105">
        <v>46169.689270833333</v>
      </c>
      <c r="N17" s="104" t="s">
        <v>103</v>
      </c>
      <c r="O17" s="104" t="s">
        <v>70</v>
      </c>
      <c r="P17" s="104" t="s">
        <v>69</v>
      </c>
      <c r="Q17" s="104" t="s">
        <v>205</v>
      </c>
      <c r="R17" s="104">
        <v>6</v>
      </c>
      <c r="S17" s="106">
        <v>9500</v>
      </c>
      <c r="T17" s="106">
        <v>0</v>
      </c>
      <c r="U17" s="106">
        <v>19980</v>
      </c>
      <c r="V17" s="106">
        <v>19980</v>
      </c>
      <c r="W17" s="106">
        <v>37020</v>
      </c>
      <c r="X17" s="106"/>
      <c r="Y17" s="106"/>
      <c r="Z17" s="106"/>
      <c r="AA17" s="104" t="s">
        <v>268</v>
      </c>
      <c r="AB17" s="104" t="s">
        <v>207</v>
      </c>
      <c r="AC17" s="104" t="s">
        <v>183</v>
      </c>
      <c r="AD17" s="106">
        <v>0</v>
      </c>
      <c r="AE17" s="106">
        <v>0</v>
      </c>
      <c r="AF17" s="106">
        <v>0</v>
      </c>
      <c r="AG17" s="105">
        <v>46166.752800925926</v>
      </c>
      <c r="AH17" s="104" t="s">
        <v>192</v>
      </c>
      <c r="AI17" s="104" t="s">
        <v>185</v>
      </c>
      <c r="AJ17" s="104">
        <v>-1009</v>
      </c>
      <c r="AK17" s="104">
        <v>-370</v>
      </c>
      <c r="AL17" s="106">
        <v>35641</v>
      </c>
    </row>
    <row r="18" spans="1:38" ht="15.75" customHeight="1">
      <c r="A18" s="104" t="s">
        <v>269</v>
      </c>
      <c r="B18" s="104" t="s">
        <v>270</v>
      </c>
      <c r="C18" s="105">
        <v>46177.081342592588</v>
      </c>
      <c r="D18" s="104" t="s">
        <v>64</v>
      </c>
      <c r="E18" s="104" t="s">
        <v>65</v>
      </c>
      <c r="F18" s="104" t="s">
        <v>271</v>
      </c>
      <c r="G18" s="104" t="s">
        <v>272</v>
      </c>
      <c r="H18" s="104" t="s">
        <v>271</v>
      </c>
      <c r="I18" s="105">
        <v>46168.437893518523</v>
      </c>
      <c r="J18" s="104" t="s">
        <v>66</v>
      </c>
      <c r="K18" s="104" t="s">
        <v>67</v>
      </c>
      <c r="L18" s="104" t="s">
        <v>273</v>
      </c>
      <c r="M18" s="105">
        <v>46169.963425925926</v>
      </c>
      <c r="N18" s="104" t="s">
        <v>103</v>
      </c>
      <c r="O18" s="104" t="s">
        <v>107</v>
      </c>
      <c r="P18" s="104" t="s">
        <v>68</v>
      </c>
      <c r="Q18" s="104" t="s">
        <v>104</v>
      </c>
      <c r="R18" s="104">
        <v>1</v>
      </c>
      <c r="S18" s="106">
        <v>21060</v>
      </c>
      <c r="T18" s="106">
        <v>0</v>
      </c>
      <c r="U18" s="106">
        <v>0</v>
      </c>
      <c r="V18" s="106">
        <v>0</v>
      </c>
      <c r="W18" s="106">
        <v>21060</v>
      </c>
      <c r="X18" s="106"/>
      <c r="Y18" s="106"/>
      <c r="Z18" s="106"/>
      <c r="AA18" s="104" t="s">
        <v>274</v>
      </c>
      <c r="AB18" s="104" t="s">
        <v>207</v>
      </c>
      <c r="AC18" s="104" t="s">
        <v>183</v>
      </c>
      <c r="AD18" s="106">
        <v>0</v>
      </c>
      <c r="AE18" s="106">
        <v>0</v>
      </c>
      <c r="AF18" s="106">
        <v>0</v>
      </c>
      <c r="AG18" s="105">
        <v>46165.713101851856</v>
      </c>
      <c r="AH18" s="104" t="s">
        <v>192</v>
      </c>
      <c r="AI18" s="104" t="s">
        <v>185</v>
      </c>
      <c r="AJ18" s="104">
        <v>-574</v>
      </c>
      <c r="AK18" s="104">
        <v>-210</v>
      </c>
      <c r="AL18" s="106">
        <v>20276</v>
      </c>
    </row>
    <row r="19" spans="1:38" ht="15.75" customHeight="1">
      <c r="A19" s="104" t="s">
        <v>275</v>
      </c>
      <c r="B19" s="104" t="s">
        <v>270</v>
      </c>
      <c r="C19" s="105">
        <v>46177.081342592588</v>
      </c>
      <c r="D19" s="104" t="s">
        <v>64</v>
      </c>
      <c r="E19" s="104" t="s">
        <v>65</v>
      </c>
      <c r="F19" s="104" t="s">
        <v>271</v>
      </c>
      <c r="G19" s="104" t="s">
        <v>272</v>
      </c>
      <c r="H19" s="104" t="s">
        <v>271</v>
      </c>
      <c r="I19" s="105">
        <v>46168.437893518523</v>
      </c>
      <c r="J19" s="104" t="s">
        <v>66</v>
      </c>
      <c r="K19" s="104" t="s">
        <v>67</v>
      </c>
      <c r="L19" s="104" t="s">
        <v>273</v>
      </c>
      <c r="M19" s="105">
        <v>46169.963425925926</v>
      </c>
      <c r="N19" s="104" t="s">
        <v>103</v>
      </c>
      <c r="O19" s="104" t="s">
        <v>70</v>
      </c>
      <c r="P19" s="104" t="s">
        <v>69</v>
      </c>
      <c r="Q19" s="104" t="s">
        <v>156</v>
      </c>
      <c r="R19" s="104">
        <v>3</v>
      </c>
      <c r="S19" s="106">
        <v>9500</v>
      </c>
      <c r="T19" s="106">
        <v>0</v>
      </c>
      <c r="U19" s="106">
        <v>6270</v>
      </c>
      <c r="V19" s="106">
        <v>6270</v>
      </c>
      <c r="W19" s="106">
        <v>22230</v>
      </c>
      <c r="X19" s="106"/>
      <c r="Y19" s="106"/>
      <c r="Z19" s="106"/>
      <c r="AA19" s="104" t="s">
        <v>274</v>
      </c>
      <c r="AB19" s="104" t="s">
        <v>207</v>
      </c>
      <c r="AC19" s="104" t="s">
        <v>183</v>
      </c>
      <c r="AD19" s="106">
        <v>0</v>
      </c>
      <c r="AE19" s="106">
        <v>0</v>
      </c>
      <c r="AF19" s="106">
        <v>0</v>
      </c>
      <c r="AG19" s="105">
        <v>46165.713101851856</v>
      </c>
      <c r="AH19" s="104" t="s">
        <v>192</v>
      </c>
      <c r="AI19" s="104" t="s">
        <v>185</v>
      </c>
      <c r="AJ19" s="104">
        <v>-606</v>
      </c>
      <c r="AK19" s="104">
        <v>-222</v>
      </c>
      <c r="AL19" s="106">
        <v>21402</v>
      </c>
    </row>
    <row r="20" spans="1:38" ht="15.75" customHeight="1">
      <c r="A20" s="104" t="s">
        <v>276</v>
      </c>
      <c r="B20" s="104" t="s">
        <v>277</v>
      </c>
      <c r="C20" s="105">
        <v>46177.081493055557</v>
      </c>
      <c r="D20" s="104" t="s">
        <v>64</v>
      </c>
      <c r="E20" s="104" t="s">
        <v>65</v>
      </c>
      <c r="F20" s="104" t="s">
        <v>108</v>
      </c>
      <c r="G20" s="104" t="s">
        <v>278</v>
      </c>
      <c r="H20" s="104" t="s">
        <v>108</v>
      </c>
      <c r="I20" s="105">
        <v>46168.437893518523</v>
      </c>
      <c r="J20" s="104" t="s">
        <v>66</v>
      </c>
      <c r="K20" s="104" t="s">
        <v>67</v>
      </c>
      <c r="L20" s="104" t="s">
        <v>279</v>
      </c>
      <c r="M20" s="105">
        <v>46169.555555555555</v>
      </c>
      <c r="N20" s="104" t="s">
        <v>103</v>
      </c>
      <c r="O20" s="104" t="s">
        <v>70</v>
      </c>
      <c r="P20" s="104" t="s">
        <v>69</v>
      </c>
      <c r="Q20" s="104" t="s">
        <v>205</v>
      </c>
      <c r="R20" s="104">
        <v>7</v>
      </c>
      <c r="S20" s="106">
        <v>9500</v>
      </c>
      <c r="T20" s="106">
        <v>0</v>
      </c>
      <c r="U20" s="106">
        <v>23310</v>
      </c>
      <c r="V20" s="106">
        <v>23310</v>
      </c>
      <c r="W20" s="106">
        <v>43190</v>
      </c>
      <c r="X20" s="106"/>
      <c r="Y20" s="106"/>
      <c r="Z20" s="106"/>
      <c r="AA20" s="104" t="s">
        <v>280</v>
      </c>
      <c r="AB20" s="104" t="s">
        <v>207</v>
      </c>
      <c r="AC20" s="104" t="s">
        <v>183</v>
      </c>
      <c r="AD20" s="106">
        <v>0</v>
      </c>
      <c r="AE20" s="106">
        <v>0</v>
      </c>
      <c r="AF20" s="106">
        <v>0</v>
      </c>
      <c r="AG20" s="105">
        <v>46167.871863425928</v>
      </c>
      <c r="AH20" s="104" t="s">
        <v>192</v>
      </c>
      <c r="AI20" s="104" t="s">
        <v>185</v>
      </c>
      <c r="AJ20" s="104">
        <v>-1178</v>
      </c>
      <c r="AK20" s="104">
        <v>-431</v>
      </c>
      <c r="AL20" s="106">
        <v>41581</v>
      </c>
    </row>
    <row r="21" spans="1:38" ht="15.75" customHeight="1">
      <c r="A21" s="104" t="s">
        <v>281</v>
      </c>
      <c r="B21" s="104" t="s">
        <v>282</v>
      </c>
      <c r="C21" s="105">
        <v>46177.081666666665</v>
      </c>
      <c r="D21" s="104" t="s">
        <v>64</v>
      </c>
      <c r="E21" s="104" t="s">
        <v>65</v>
      </c>
      <c r="F21" s="104" t="s">
        <v>109</v>
      </c>
      <c r="G21" s="104" t="s">
        <v>283</v>
      </c>
      <c r="H21" s="104" t="s">
        <v>109</v>
      </c>
      <c r="I21" s="105">
        <v>46168.437893518523</v>
      </c>
      <c r="J21" s="104" t="s">
        <v>66</v>
      </c>
      <c r="K21" s="104" t="s">
        <v>67</v>
      </c>
      <c r="L21" s="104" t="s">
        <v>284</v>
      </c>
      <c r="M21" s="105">
        <v>46169.973055555558</v>
      </c>
      <c r="N21" s="104" t="s">
        <v>103</v>
      </c>
      <c r="O21" s="104" t="s">
        <v>70</v>
      </c>
      <c r="P21" s="104" t="s">
        <v>69</v>
      </c>
      <c r="Q21" s="104" t="s">
        <v>156</v>
      </c>
      <c r="R21" s="104">
        <v>2</v>
      </c>
      <c r="S21" s="106">
        <v>9500</v>
      </c>
      <c r="T21" s="106">
        <v>0</v>
      </c>
      <c r="U21" s="106">
        <v>4180</v>
      </c>
      <c r="V21" s="106">
        <v>4180</v>
      </c>
      <c r="W21" s="106">
        <v>14820</v>
      </c>
      <c r="X21" s="106"/>
      <c r="Y21" s="106"/>
      <c r="Z21" s="106"/>
      <c r="AA21" s="104" t="s">
        <v>285</v>
      </c>
      <c r="AB21" s="104" t="s">
        <v>182</v>
      </c>
      <c r="AC21" s="104" t="s">
        <v>183</v>
      </c>
      <c r="AD21" s="106">
        <v>3000</v>
      </c>
      <c r="AE21" s="106">
        <v>0</v>
      </c>
      <c r="AF21" s="106">
        <v>0</v>
      </c>
      <c r="AG21" s="105">
        <v>46166.07876157407</v>
      </c>
      <c r="AH21" s="104" t="s">
        <v>192</v>
      </c>
      <c r="AI21" s="104" t="s">
        <v>185</v>
      </c>
      <c r="AJ21" s="104">
        <v>-404</v>
      </c>
      <c r="AK21" s="104">
        <v>-148</v>
      </c>
      <c r="AL21" s="106">
        <v>14268</v>
      </c>
    </row>
    <row r="22" spans="1:38" ht="15.75" customHeight="1">
      <c r="A22" s="104" t="s">
        <v>286</v>
      </c>
      <c r="B22" s="104" t="s">
        <v>287</v>
      </c>
      <c r="C22" s="105">
        <v>46177.082719907412</v>
      </c>
      <c r="D22" s="104" t="s">
        <v>64</v>
      </c>
      <c r="E22" s="104" t="s">
        <v>65</v>
      </c>
      <c r="F22" s="104" t="s">
        <v>288</v>
      </c>
      <c r="G22" s="104" t="s">
        <v>289</v>
      </c>
      <c r="H22" s="104" t="s">
        <v>288</v>
      </c>
      <c r="I22" s="105">
        <v>46168.437905092593</v>
      </c>
      <c r="J22" s="104" t="s">
        <v>66</v>
      </c>
      <c r="K22" s="104" t="s">
        <v>67</v>
      </c>
      <c r="L22" s="104" t="s">
        <v>290</v>
      </c>
      <c r="M22" s="105">
        <v>46169.777418981481</v>
      </c>
      <c r="N22" s="104" t="s">
        <v>103</v>
      </c>
      <c r="O22" s="104" t="s">
        <v>70</v>
      </c>
      <c r="P22" s="104" t="s">
        <v>69</v>
      </c>
      <c r="Q22" s="104" t="s">
        <v>156</v>
      </c>
      <c r="R22" s="104">
        <v>1</v>
      </c>
      <c r="S22" s="106">
        <v>9500</v>
      </c>
      <c r="T22" s="106">
        <v>0</v>
      </c>
      <c r="U22" s="106">
        <v>2090</v>
      </c>
      <c r="V22" s="106">
        <v>2090</v>
      </c>
      <c r="W22" s="106">
        <v>7410</v>
      </c>
      <c r="X22" s="106"/>
      <c r="Y22" s="106"/>
      <c r="Z22" s="106"/>
      <c r="AA22" s="104" t="s">
        <v>291</v>
      </c>
      <c r="AB22" s="104" t="s">
        <v>182</v>
      </c>
      <c r="AC22" s="104" t="s">
        <v>183</v>
      </c>
      <c r="AD22" s="106">
        <v>3000</v>
      </c>
      <c r="AE22" s="106">
        <v>0</v>
      </c>
      <c r="AF22" s="106">
        <v>0</v>
      </c>
      <c r="AG22" s="105">
        <v>46164.739490740743</v>
      </c>
      <c r="AH22" s="104" t="s">
        <v>214</v>
      </c>
      <c r="AI22" s="104" t="s">
        <v>185</v>
      </c>
      <c r="AJ22" s="104">
        <v>-202</v>
      </c>
      <c r="AK22" s="104">
        <v>-74</v>
      </c>
      <c r="AL22" s="106">
        <v>7134</v>
      </c>
    </row>
    <row r="23" spans="1:38" ht="15.75" customHeight="1">
      <c r="A23" s="104" t="s">
        <v>292</v>
      </c>
      <c r="B23" s="104" t="s">
        <v>293</v>
      </c>
      <c r="C23" s="105">
        <v>46177.082858796297</v>
      </c>
      <c r="D23" s="104" t="s">
        <v>64</v>
      </c>
      <c r="E23" s="104" t="s">
        <v>65</v>
      </c>
      <c r="F23" s="104" t="s">
        <v>95</v>
      </c>
      <c r="G23" s="104" t="s">
        <v>294</v>
      </c>
      <c r="H23" s="104" t="s">
        <v>95</v>
      </c>
      <c r="I23" s="105">
        <v>46168.437893518523</v>
      </c>
      <c r="J23" s="104" t="s">
        <v>66</v>
      </c>
      <c r="K23" s="104" t="s">
        <v>67</v>
      </c>
      <c r="L23" s="104" t="s">
        <v>295</v>
      </c>
      <c r="M23" s="105">
        <v>46169.672951388886</v>
      </c>
      <c r="N23" s="104" t="s">
        <v>103</v>
      </c>
      <c r="O23" s="104" t="s">
        <v>70</v>
      </c>
      <c r="P23" s="104" t="s">
        <v>69</v>
      </c>
      <c r="Q23" s="104" t="s">
        <v>156</v>
      </c>
      <c r="R23" s="104">
        <v>1</v>
      </c>
      <c r="S23" s="106">
        <v>9500</v>
      </c>
      <c r="T23" s="106">
        <v>0</v>
      </c>
      <c r="U23" s="106">
        <v>2090</v>
      </c>
      <c r="V23" s="106">
        <v>2090</v>
      </c>
      <c r="W23" s="106">
        <v>7410</v>
      </c>
      <c r="X23" s="106"/>
      <c r="Y23" s="106"/>
      <c r="Z23" s="106"/>
      <c r="AA23" s="104" t="s">
        <v>296</v>
      </c>
      <c r="AB23" s="104" t="s">
        <v>182</v>
      </c>
      <c r="AC23" s="104" t="s">
        <v>183</v>
      </c>
      <c r="AD23" s="106">
        <v>3000</v>
      </c>
      <c r="AE23" s="106">
        <v>0</v>
      </c>
      <c r="AF23" s="106">
        <v>0</v>
      </c>
      <c r="AG23" s="105">
        <v>46165.838414351849</v>
      </c>
      <c r="AH23" s="104" t="s">
        <v>214</v>
      </c>
      <c r="AI23" s="104" t="s">
        <v>185</v>
      </c>
      <c r="AJ23" s="104">
        <v>-202</v>
      </c>
      <c r="AK23" s="104">
        <v>-74</v>
      </c>
      <c r="AL23" s="106">
        <v>7134</v>
      </c>
    </row>
    <row r="24" spans="1:38" ht="15.75" customHeight="1">
      <c r="A24" s="104" t="s">
        <v>297</v>
      </c>
      <c r="B24" s="104" t="s">
        <v>298</v>
      </c>
      <c r="C24" s="105">
        <v>46177.083101851851</v>
      </c>
      <c r="D24" s="104" t="s">
        <v>64</v>
      </c>
      <c r="E24" s="104" t="s">
        <v>65</v>
      </c>
      <c r="F24" s="104" t="s">
        <v>299</v>
      </c>
      <c r="G24" s="104" t="s">
        <v>300</v>
      </c>
      <c r="H24" s="104" t="s">
        <v>299</v>
      </c>
      <c r="I24" s="105">
        <v>46168.437893518523</v>
      </c>
      <c r="J24" s="104" t="s">
        <v>66</v>
      </c>
      <c r="K24" s="104" t="s">
        <v>67</v>
      </c>
      <c r="L24" s="104" t="s">
        <v>301</v>
      </c>
      <c r="M24" s="105">
        <v>46169.769548611112</v>
      </c>
      <c r="N24" s="104" t="s">
        <v>103</v>
      </c>
      <c r="O24" s="104" t="s">
        <v>70</v>
      </c>
      <c r="P24" s="104" t="s">
        <v>69</v>
      </c>
      <c r="Q24" s="104" t="s">
        <v>205</v>
      </c>
      <c r="R24" s="104">
        <v>6</v>
      </c>
      <c r="S24" s="106">
        <v>9500</v>
      </c>
      <c r="T24" s="106">
        <v>0</v>
      </c>
      <c r="U24" s="106">
        <v>19980</v>
      </c>
      <c r="V24" s="106">
        <v>19980</v>
      </c>
      <c r="W24" s="106">
        <v>37020</v>
      </c>
      <c r="X24" s="106"/>
      <c r="Y24" s="106"/>
      <c r="Z24" s="106"/>
      <c r="AA24" s="104" t="s">
        <v>302</v>
      </c>
      <c r="AB24" s="104" t="s">
        <v>207</v>
      </c>
      <c r="AC24" s="104" t="s">
        <v>183</v>
      </c>
      <c r="AD24" s="106">
        <v>0</v>
      </c>
      <c r="AE24" s="106">
        <v>0</v>
      </c>
      <c r="AF24" s="106">
        <v>0</v>
      </c>
      <c r="AG24" s="105">
        <v>46167.017905092594</v>
      </c>
      <c r="AH24" s="104" t="s">
        <v>214</v>
      </c>
      <c r="AI24" s="104" t="s">
        <v>185</v>
      </c>
      <c r="AJ24" s="104">
        <v>-1009</v>
      </c>
      <c r="AK24" s="104">
        <v>-370</v>
      </c>
      <c r="AL24" s="106">
        <v>35641</v>
      </c>
    </row>
    <row r="25" spans="1:38" ht="15.75" customHeight="1">
      <c r="A25" s="104" t="s">
        <v>303</v>
      </c>
      <c r="B25" s="104" t="s">
        <v>304</v>
      </c>
      <c r="C25" s="105">
        <v>46177.08421296296</v>
      </c>
      <c r="D25" s="104" t="s">
        <v>64</v>
      </c>
      <c r="E25" s="104" t="s">
        <v>65</v>
      </c>
      <c r="F25" s="104" t="s">
        <v>117</v>
      </c>
      <c r="G25" s="104" t="s">
        <v>305</v>
      </c>
      <c r="H25" s="104" t="s">
        <v>117</v>
      </c>
      <c r="I25" s="105">
        <v>46168.437893518523</v>
      </c>
      <c r="J25" s="104" t="s">
        <v>66</v>
      </c>
      <c r="K25" s="104" t="s">
        <v>67</v>
      </c>
      <c r="L25" s="104" t="s">
        <v>306</v>
      </c>
      <c r="M25" s="105">
        <v>46169.760046296295</v>
      </c>
      <c r="N25" s="104" t="s">
        <v>103</v>
      </c>
      <c r="O25" s="104" t="s">
        <v>70</v>
      </c>
      <c r="P25" s="104" t="s">
        <v>69</v>
      </c>
      <c r="Q25" s="104" t="s">
        <v>156</v>
      </c>
      <c r="R25" s="104">
        <v>2</v>
      </c>
      <c r="S25" s="106">
        <v>9500</v>
      </c>
      <c r="T25" s="106">
        <v>0</v>
      </c>
      <c r="U25" s="106">
        <v>4180</v>
      </c>
      <c r="V25" s="106">
        <v>4180</v>
      </c>
      <c r="W25" s="106">
        <v>14820</v>
      </c>
      <c r="X25" s="106"/>
      <c r="Y25" s="106"/>
      <c r="Z25" s="106"/>
      <c r="AA25" s="104" t="s">
        <v>307</v>
      </c>
      <c r="AB25" s="104" t="s">
        <v>182</v>
      </c>
      <c r="AC25" s="104" t="s">
        <v>183</v>
      </c>
      <c r="AD25" s="106">
        <v>3000</v>
      </c>
      <c r="AE25" s="106">
        <v>0</v>
      </c>
      <c r="AF25" s="106">
        <v>0</v>
      </c>
      <c r="AG25" s="105">
        <v>46167.426666666666</v>
      </c>
      <c r="AH25" s="104" t="s">
        <v>308</v>
      </c>
      <c r="AI25" s="104" t="s">
        <v>185</v>
      </c>
      <c r="AJ25" s="104">
        <v>-403</v>
      </c>
      <c r="AK25" s="104">
        <v>-148</v>
      </c>
      <c r="AL25" s="106">
        <v>14269</v>
      </c>
    </row>
    <row r="26" spans="1:38" ht="15.75" customHeight="1">
      <c r="A26" s="104" t="s">
        <v>309</v>
      </c>
      <c r="B26" s="104" t="s">
        <v>310</v>
      </c>
      <c r="C26" s="105">
        <v>46177.084502314814</v>
      </c>
      <c r="D26" s="104" t="s">
        <v>64</v>
      </c>
      <c r="E26" s="104" t="s">
        <v>65</v>
      </c>
      <c r="F26" s="104" t="s">
        <v>311</v>
      </c>
      <c r="G26" s="104" t="s">
        <v>312</v>
      </c>
      <c r="H26" s="104" t="s">
        <v>311</v>
      </c>
      <c r="I26" s="105">
        <v>46168.437893518523</v>
      </c>
      <c r="J26" s="104" t="s">
        <v>66</v>
      </c>
      <c r="K26" s="104" t="s">
        <v>67</v>
      </c>
      <c r="L26" s="104" t="s">
        <v>313</v>
      </c>
      <c r="M26" s="105">
        <v>46169.969513888893</v>
      </c>
      <c r="N26" s="104" t="s">
        <v>103</v>
      </c>
      <c r="O26" s="104" t="s">
        <v>70</v>
      </c>
      <c r="P26" s="104" t="s">
        <v>69</v>
      </c>
      <c r="Q26" s="104" t="s">
        <v>156</v>
      </c>
      <c r="R26" s="104">
        <v>1</v>
      </c>
      <c r="S26" s="106">
        <v>9500</v>
      </c>
      <c r="T26" s="106">
        <v>0</v>
      </c>
      <c r="U26" s="106">
        <v>2090</v>
      </c>
      <c r="V26" s="106">
        <v>2090</v>
      </c>
      <c r="W26" s="106">
        <v>7410</v>
      </c>
      <c r="X26" s="106"/>
      <c r="Y26" s="106"/>
      <c r="Z26" s="106"/>
      <c r="AA26" s="104" t="s">
        <v>314</v>
      </c>
      <c r="AB26" s="104" t="s">
        <v>182</v>
      </c>
      <c r="AC26" s="104" t="s">
        <v>183</v>
      </c>
      <c r="AD26" s="106">
        <v>3000</v>
      </c>
      <c r="AE26" s="106">
        <v>0</v>
      </c>
      <c r="AF26" s="106">
        <v>0</v>
      </c>
      <c r="AG26" s="105">
        <v>46166.430428240739</v>
      </c>
      <c r="AH26" s="104" t="s">
        <v>228</v>
      </c>
      <c r="AI26" s="104" t="s">
        <v>185</v>
      </c>
      <c r="AJ26" s="104">
        <v>-201</v>
      </c>
      <c r="AK26" s="104">
        <v>-74</v>
      </c>
      <c r="AL26" s="106">
        <v>7135</v>
      </c>
    </row>
    <row r="27" spans="1:38" ht="15.75" customHeight="1">
      <c r="A27" s="104" t="s">
        <v>315</v>
      </c>
      <c r="B27" s="104" t="s">
        <v>316</v>
      </c>
      <c r="C27" s="105">
        <v>46177.084502314814</v>
      </c>
      <c r="D27" s="104" t="s">
        <v>64</v>
      </c>
      <c r="E27" s="104" t="s">
        <v>65</v>
      </c>
      <c r="F27" s="104" t="s">
        <v>317</v>
      </c>
      <c r="G27" s="104" t="s">
        <v>318</v>
      </c>
      <c r="H27" s="104" t="s">
        <v>317</v>
      </c>
      <c r="I27" s="105">
        <v>46168.437893518523</v>
      </c>
      <c r="J27" s="104" t="s">
        <v>66</v>
      </c>
      <c r="K27" s="104" t="s">
        <v>67</v>
      </c>
      <c r="L27" s="104" t="s">
        <v>319</v>
      </c>
      <c r="M27" s="105">
        <v>46169.689270833333</v>
      </c>
      <c r="N27" s="104" t="s">
        <v>103</v>
      </c>
      <c r="O27" s="104" t="s">
        <v>70</v>
      </c>
      <c r="P27" s="104" t="s">
        <v>69</v>
      </c>
      <c r="Q27" s="104" t="s">
        <v>156</v>
      </c>
      <c r="R27" s="104">
        <v>1</v>
      </c>
      <c r="S27" s="106">
        <v>9500</v>
      </c>
      <c r="T27" s="106">
        <v>0</v>
      </c>
      <c r="U27" s="106">
        <v>2090</v>
      </c>
      <c r="V27" s="106">
        <v>2090</v>
      </c>
      <c r="W27" s="106">
        <v>7410</v>
      </c>
      <c r="X27" s="106"/>
      <c r="Y27" s="106"/>
      <c r="Z27" s="106"/>
      <c r="AA27" s="104" t="s">
        <v>320</v>
      </c>
      <c r="AB27" s="104" t="s">
        <v>182</v>
      </c>
      <c r="AC27" s="104" t="s">
        <v>183</v>
      </c>
      <c r="AD27" s="106">
        <v>3000</v>
      </c>
      <c r="AE27" s="106">
        <v>0</v>
      </c>
      <c r="AF27" s="106">
        <v>0</v>
      </c>
      <c r="AG27" s="105">
        <v>46168.054606481484</v>
      </c>
      <c r="AH27" s="104" t="s">
        <v>321</v>
      </c>
      <c r="AI27" s="104" t="s">
        <v>185</v>
      </c>
      <c r="AJ27" s="104">
        <v>-201</v>
      </c>
      <c r="AK27" s="104">
        <v>-74</v>
      </c>
      <c r="AL27" s="106">
        <v>7135</v>
      </c>
    </row>
    <row r="28" spans="1:38" ht="15.75" customHeight="1">
      <c r="A28" s="104" t="s">
        <v>322</v>
      </c>
      <c r="B28" s="104" t="s">
        <v>323</v>
      </c>
      <c r="C28" s="105">
        <v>46177.098969907413</v>
      </c>
      <c r="D28" s="104" t="s">
        <v>64</v>
      </c>
      <c r="E28" s="104" t="s">
        <v>65</v>
      </c>
      <c r="F28" s="104" t="s">
        <v>324</v>
      </c>
      <c r="G28" s="104" t="s">
        <v>325</v>
      </c>
      <c r="H28" s="104" t="s">
        <v>324</v>
      </c>
      <c r="I28" s="105">
        <v>46168.437893518523</v>
      </c>
      <c r="J28" s="104" t="s">
        <v>66</v>
      </c>
      <c r="K28" s="104" t="s">
        <v>67</v>
      </c>
      <c r="L28" s="104" t="s">
        <v>326</v>
      </c>
      <c r="M28" s="105">
        <v>46169.571921296301</v>
      </c>
      <c r="N28" s="104" t="s">
        <v>103</v>
      </c>
      <c r="O28" s="104" t="s">
        <v>70</v>
      </c>
      <c r="P28" s="104" t="s">
        <v>69</v>
      </c>
      <c r="Q28" s="104" t="s">
        <v>156</v>
      </c>
      <c r="R28" s="104">
        <v>4</v>
      </c>
      <c r="S28" s="106">
        <v>9500</v>
      </c>
      <c r="T28" s="106">
        <v>0</v>
      </c>
      <c r="U28" s="106">
        <v>8360</v>
      </c>
      <c r="V28" s="106">
        <v>8360</v>
      </c>
      <c r="W28" s="106">
        <v>29640</v>
      </c>
      <c r="X28" s="106"/>
      <c r="Y28" s="106"/>
      <c r="Z28" s="106"/>
      <c r="AA28" s="104" t="s">
        <v>327</v>
      </c>
      <c r="AB28" s="104" t="s">
        <v>182</v>
      </c>
      <c r="AC28" s="104" t="s">
        <v>183</v>
      </c>
      <c r="AD28" s="106">
        <v>3000</v>
      </c>
      <c r="AE28" s="106">
        <v>0</v>
      </c>
      <c r="AF28" s="106">
        <v>0</v>
      </c>
      <c r="AG28" s="105">
        <v>46166.354629629626</v>
      </c>
      <c r="AH28" s="104" t="s">
        <v>214</v>
      </c>
      <c r="AI28" s="104" t="s">
        <v>185</v>
      </c>
      <c r="AJ28" s="104">
        <v>-807</v>
      </c>
      <c r="AK28" s="104">
        <v>-889</v>
      </c>
      <c r="AL28" s="106">
        <v>27944</v>
      </c>
    </row>
    <row r="29" spans="1:38" ht="15.75" customHeight="1">
      <c r="A29" s="104" t="s">
        <v>328</v>
      </c>
      <c r="B29" s="104" t="s">
        <v>329</v>
      </c>
      <c r="C29" s="105">
        <v>46177.099155092597</v>
      </c>
      <c r="D29" s="104" t="s">
        <v>64</v>
      </c>
      <c r="E29" s="104" t="s">
        <v>65</v>
      </c>
      <c r="F29" s="104" t="s">
        <v>134</v>
      </c>
      <c r="G29" s="104" t="s">
        <v>330</v>
      </c>
      <c r="H29" s="104" t="s">
        <v>134</v>
      </c>
      <c r="I29" s="105">
        <v>46168.437893518523</v>
      </c>
      <c r="J29" s="104" t="s">
        <v>66</v>
      </c>
      <c r="K29" s="104" t="s">
        <v>67</v>
      </c>
      <c r="L29" s="104" t="s">
        <v>331</v>
      </c>
      <c r="M29" s="105">
        <v>46169.780578703707</v>
      </c>
      <c r="N29" s="104" t="s">
        <v>103</v>
      </c>
      <c r="O29" s="104" t="s">
        <v>70</v>
      </c>
      <c r="P29" s="104" t="s">
        <v>69</v>
      </c>
      <c r="Q29" s="104" t="s">
        <v>156</v>
      </c>
      <c r="R29" s="104">
        <v>2</v>
      </c>
      <c r="S29" s="106">
        <v>9500</v>
      </c>
      <c r="T29" s="106">
        <v>0</v>
      </c>
      <c r="U29" s="106">
        <v>4180</v>
      </c>
      <c r="V29" s="106">
        <v>4180</v>
      </c>
      <c r="W29" s="106">
        <v>14820</v>
      </c>
      <c r="X29" s="106"/>
      <c r="Y29" s="106"/>
      <c r="Z29" s="106"/>
      <c r="AA29" s="104" t="s">
        <v>332</v>
      </c>
      <c r="AB29" s="104" t="s">
        <v>182</v>
      </c>
      <c r="AC29" s="104" t="s">
        <v>183</v>
      </c>
      <c r="AD29" s="106">
        <v>3000</v>
      </c>
      <c r="AE29" s="106">
        <v>0</v>
      </c>
      <c r="AF29" s="106">
        <v>0</v>
      </c>
      <c r="AG29" s="105">
        <v>46165.982592592598</v>
      </c>
      <c r="AH29" s="104" t="s">
        <v>199</v>
      </c>
      <c r="AI29" s="104" t="s">
        <v>185</v>
      </c>
      <c r="AJ29" s="104">
        <v>-404</v>
      </c>
      <c r="AK29" s="104">
        <v>-148</v>
      </c>
      <c r="AL29" s="106">
        <v>14268</v>
      </c>
    </row>
    <row r="30" spans="1:38" ht="15.75" customHeight="1">
      <c r="A30" s="104" t="s">
        <v>333</v>
      </c>
      <c r="B30" s="104" t="s">
        <v>334</v>
      </c>
      <c r="C30" s="105">
        <v>46177.099166666667</v>
      </c>
      <c r="D30" s="104" t="s">
        <v>64</v>
      </c>
      <c r="E30" s="104" t="s">
        <v>65</v>
      </c>
      <c r="F30" s="104" t="s">
        <v>335</v>
      </c>
      <c r="G30" s="104" t="s">
        <v>138</v>
      </c>
      <c r="H30" s="104" t="s">
        <v>335</v>
      </c>
      <c r="I30" s="105">
        <v>46168.437893518523</v>
      </c>
      <c r="J30" s="104" t="s">
        <v>66</v>
      </c>
      <c r="K30" s="104" t="s">
        <v>67</v>
      </c>
      <c r="L30" s="104" t="s">
        <v>336</v>
      </c>
      <c r="M30" s="105">
        <v>46169.626192129625</v>
      </c>
      <c r="N30" s="104" t="s">
        <v>103</v>
      </c>
      <c r="O30" s="104" t="s">
        <v>70</v>
      </c>
      <c r="P30" s="104" t="s">
        <v>69</v>
      </c>
      <c r="Q30" s="104" t="s">
        <v>156</v>
      </c>
      <c r="R30" s="104">
        <v>1</v>
      </c>
      <c r="S30" s="106">
        <v>9500</v>
      </c>
      <c r="T30" s="106">
        <v>0</v>
      </c>
      <c r="U30" s="106">
        <v>2090</v>
      </c>
      <c r="V30" s="106">
        <v>2090</v>
      </c>
      <c r="W30" s="106">
        <v>7410</v>
      </c>
      <c r="X30" s="106"/>
      <c r="Y30" s="106"/>
      <c r="Z30" s="106"/>
      <c r="AA30" s="104" t="s">
        <v>337</v>
      </c>
      <c r="AB30" s="104" t="s">
        <v>182</v>
      </c>
      <c r="AC30" s="104" t="s">
        <v>183</v>
      </c>
      <c r="AD30" s="106">
        <v>3000</v>
      </c>
      <c r="AE30" s="106">
        <v>0</v>
      </c>
      <c r="AF30" s="106">
        <v>0</v>
      </c>
      <c r="AG30" s="105">
        <v>46166.188958333332</v>
      </c>
      <c r="AH30" s="104" t="s">
        <v>214</v>
      </c>
      <c r="AI30" s="104" t="s">
        <v>185</v>
      </c>
      <c r="AJ30" s="104">
        <v>-201</v>
      </c>
      <c r="AK30" s="104">
        <v>-74</v>
      </c>
      <c r="AL30" s="106">
        <v>7135</v>
      </c>
    </row>
    <row r="31" spans="1:38" ht="15.75" customHeight="1">
      <c r="A31" s="104" t="s">
        <v>338</v>
      </c>
      <c r="B31" s="104" t="s">
        <v>339</v>
      </c>
      <c r="C31" s="105">
        <v>46177.099525462967</v>
      </c>
      <c r="D31" s="104" t="s">
        <v>64</v>
      </c>
      <c r="E31" s="104" t="s">
        <v>65</v>
      </c>
      <c r="F31" s="104" t="s">
        <v>340</v>
      </c>
      <c r="G31" s="104" t="s">
        <v>341</v>
      </c>
      <c r="H31" s="104" t="s">
        <v>340</v>
      </c>
      <c r="I31" s="105">
        <v>46168.437893518523</v>
      </c>
      <c r="J31" s="104" t="s">
        <v>66</v>
      </c>
      <c r="K31" s="104" t="s">
        <v>67</v>
      </c>
      <c r="L31" s="104" t="s">
        <v>342</v>
      </c>
      <c r="M31" s="105">
        <v>46169.555555555555</v>
      </c>
      <c r="N31" s="104" t="s">
        <v>103</v>
      </c>
      <c r="O31" s="104" t="s">
        <v>70</v>
      </c>
      <c r="P31" s="104" t="s">
        <v>69</v>
      </c>
      <c r="Q31" s="104" t="s">
        <v>205</v>
      </c>
      <c r="R31" s="104">
        <v>6</v>
      </c>
      <c r="S31" s="106">
        <v>9500</v>
      </c>
      <c r="T31" s="106">
        <v>0</v>
      </c>
      <c r="U31" s="106">
        <v>19980</v>
      </c>
      <c r="V31" s="106">
        <v>19980</v>
      </c>
      <c r="W31" s="106">
        <v>37020</v>
      </c>
      <c r="X31" s="106"/>
      <c r="Y31" s="106"/>
      <c r="Z31" s="106"/>
      <c r="AA31" s="104" t="s">
        <v>343</v>
      </c>
      <c r="AB31" s="104" t="s">
        <v>207</v>
      </c>
      <c r="AC31" s="104" t="s">
        <v>183</v>
      </c>
      <c r="AD31" s="106">
        <v>0</v>
      </c>
      <c r="AE31" s="106">
        <v>0</v>
      </c>
      <c r="AF31" s="106">
        <v>0</v>
      </c>
      <c r="AG31" s="105">
        <v>46164.77857638889</v>
      </c>
      <c r="AH31" s="104" t="s">
        <v>214</v>
      </c>
      <c r="AI31" s="104" t="s">
        <v>185</v>
      </c>
      <c r="AJ31" s="104">
        <v>-1009</v>
      </c>
      <c r="AK31" s="104">
        <v>-370</v>
      </c>
      <c r="AL31" s="106">
        <v>35641</v>
      </c>
    </row>
    <row r="32" spans="1:38" ht="15.75" customHeight="1">
      <c r="A32" s="104" t="s">
        <v>344</v>
      </c>
      <c r="B32" s="104" t="s">
        <v>345</v>
      </c>
      <c r="C32" s="105">
        <v>46177.099525462967</v>
      </c>
      <c r="D32" s="104" t="s">
        <v>64</v>
      </c>
      <c r="E32" s="104" t="s">
        <v>65</v>
      </c>
      <c r="F32" s="104" t="s">
        <v>346</v>
      </c>
      <c r="G32" s="104" t="s">
        <v>347</v>
      </c>
      <c r="H32" s="104" t="s">
        <v>346</v>
      </c>
      <c r="I32" s="105">
        <v>46168.437893518523</v>
      </c>
      <c r="J32" s="104" t="s">
        <v>66</v>
      </c>
      <c r="K32" s="104" t="s">
        <v>67</v>
      </c>
      <c r="L32" s="104" t="s">
        <v>348</v>
      </c>
      <c r="M32" s="105">
        <v>46169.681759259256</v>
      </c>
      <c r="N32" s="104" t="s">
        <v>103</v>
      </c>
      <c r="O32" s="104" t="s">
        <v>70</v>
      </c>
      <c r="P32" s="104" t="s">
        <v>69</v>
      </c>
      <c r="Q32" s="104" t="s">
        <v>156</v>
      </c>
      <c r="R32" s="104">
        <v>3</v>
      </c>
      <c r="S32" s="106">
        <v>9500</v>
      </c>
      <c r="T32" s="106">
        <v>0</v>
      </c>
      <c r="U32" s="106">
        <v>6270</v>
      </c>
      <c r="V32" s="106">
        <v>6270</v>
      </c>
      <c r="W32" s="106">
        <v>22230</v>
      </c>
      <c r="X32" s="106"/>
      <c r="Y32" s="106"/>
      <c r="Z32" s="106"/>
      <c r="AA32" s="104" t="s">
        <v>349</v>
      </c>
      <c r="AB32" s="104" t="s">
        <v>182</v>
      </c>
      <c r="AC32" s="104" t="s">
        <v>183</v>
      </c>
      <c r="AD32" s="106">
        <v>3000</v>
      </c>
      <c r="AE32" s="106">
        <v>0</v>
      </c>
      <c r="AF32" s="106">
        <v>0</v>
      </c>
      <c r="AG32" s="105">
        <v>46165.329016203701</v>
      </c>
      <c r="AH32" s="104" t="s">
        <v>214</v>
      </c>
      <c r="AI32" s="104" t="s">
        <v>185</v>
      </c>
      <c r="AJ32" s="104">
        <v>-606</v>
      </c>
      <c r="AK32" s="104">
        <v>-222</v>
      </c>
      <c r="AL32" s="106">
        <v>21402</v>
      </c>
    </row>
    <row r="33" spans="1:38" ht="15.75" customHeight="1">
      <c r="A33" s="104" t="s">
        <v>350</v>
      </c>
      <c r="B33" s="104" t="s">
        <v>351</v>
      </c>
      <c r="C33" s="105">
        <v>46177.100289351853</v>
      </c>
      <c r="D33" s="104" t="s">
        <v>64</v>
      </c>
      <c r="E33" s="104" t="s">
        <v>65</v>
      </c>
      <c r="F33" s="104" t="s">
        <v>352</v>
      </c>
      <c r="G33" s="104" t="s">
        <v>105</v>
      </c>
      <c r="H33" s="104" t="s">
        <v>352</v>
      </c>
      <c r="I33" s="105">
        <v>46168.437893518523</v>
      </c>
      <c r="J33" s="104" t="s">
        <v>66</v>
      </c>
      <c r="K33" s="104" t="s">
        <v>67</v>
      </c>
      <c r="L33" s="104" t="s">
        <v>353</v>
      </c>
      <c r="M33" s="105">
        <v>46169.78125</v>
      </c>
      <c r="N33" s="104" t="s">
        <v>103</v>
      </c>
      <c r="O33" s="104" t="s">
        <v>70</v>
      </c>
      <c r="P33" s="104" t="s">
        <v>69</v>
      </c>
      <c r="Q33" s="104" t="s">
        <v>156</v>
      </c>
      <c r="R33" s="104">
        <v>2</v>
      </c>
      <c r="S33" s="106">
        <v>9500</v>
      </c>
      <c r="T33" s="106">
        <v>0</v>
      </c>
      <c r="U33" s="106">
        <v>4180</v>
      </c>
      <c r="V33" s="106">
        <v>4180</v>
      </c>
      <c r="W33" s="106">
        <v>14820</v>
      </c>
      <c r="X33" s="106"/>
      <c r="Y33" s="106"/>
      <c r="Z33" s="106"/>
      <c r="AA33" s="104" t="s">
        <v>354</v>
      </c>
      <c r="AB33" s="104" t="s">
        <v>182</v>
      </c>
      <c r="AC33" s="104" t="s">
        <v>183</v>
      </c>
      <c r="AD33" s="106">
        <v>3000</v>
      </c>
      <c r="AE33" s="106">
        <v>0</v>
      </c>
      <c r="AF33" s="106">
        <v>0</v>
      </c>
      <c r="AG33" s="105">
        <v>46167.725624999999</v>
      </c>
      <c r="AH33" s="104" t="s">
        <v>214</v>
      </c>
      <c r="AI33" s="104" t="s">
        <v>185</v>
      </c>
      <c r="AJ33" s="104">
        <v>-403</v>
      </c>
      <c r="AK33" s="104">
        <v>-148</v>
      </c>
      <c r="AL33" s="106">
        <v>14269</v>
      </c>
    </row>
    <row r="34" spans="1:38" ht="15.75" customHeight="1">
      <c r="A34" s="104" t="s">
        <v>355</v>
      </c>
      <c r="B34" s="104" t="s">
        <v>356</v>
      </c>
      <c r="C34" s="105">
        <v>46177.105960648143</v>
      </c>
      <c r="D34" s="104" t="s">
        <v>64</v>
      </c>
      <c r="E34" s="104" t="s">
        <v>65</v>
      </c>
      <c r="F34" s="104" t="s">
        <v>124</v>
      </c>
      <c r="G34" s="104" t="s">
        <v>125</v>
      </c>
      <c r="H34" s="104" t="s">
        <v>124</v>
      </c>
      <c r="I34" s="105">
        <v>46168.444826388892</v>
      </c>
      <c r="J34" s="104" t="s">
        <v>66</v>
      </c>
      <c r="K34" s="104" t="s">
        <v>67</v>
      </c>
      <c r="L34" s="104" t="s">
        <v>357</v>
      </c>
      <c r="M34" s="105">
        <v>46169.879791666666</v>
      </c>
      <c r="N34" s="104" t="s">
        <v>103</v>
      </c>
      <c r="O34" s="104" t="s">
        <v>70</v>
      </c>
      <c r="P34" s="104" t="s">
        <v>69</v>
      </c>
      <c r="Q34" s="104" t="s">
        <v>205</v>
      </c>
      <c r="R34" s="104">
        <v>10</v>
      </c>
      <c r="S34" s="106">
        <v>9500</v>
      </c>
      <c r="T34" s="106">
        <v>0</v>
      </c>
      <c r="U34" s="106">
        <v>33300</v>
      </c>
      <c r="V34" s="106">
        <v>33300</v>
      </c>
      <c r="W34" s="106">
        <v>61700</v>
      </c>
      <c r="X34" s="106"/>
      <c r="Y34" s="106"/>
      <c r="Z34" s="106"/>
      <c r="AA34" s="104" t="s">
        <v>358</v>
      </c>
      <c r="AB34" s="104" t="s">
        <v>207</v>
      </c>
      <c r="AC34" s="104" t="s">
        <v>183</v>
      </c>
      <c r="AD34" s="106">
        <v>0</v>
      </c>
      <c r="AE34" s="106">
        <v>0</v>
      </c>
      <c r="AF34" s="106">
        <v>0</v>
      </c>
      <c r="AG34" s="105">
        <v>46167.935335648144</v>
      </c>
      <c r="AH34" s="104" t="s">
        <v>214</v>
      </c>
      <c r="AI34" s="104" t="s">
        <v>185</v>
      </c>
      <c r="AJ34" s="104">
        <v>-1683</v>
      </c>
      <c r="AK34" s="104">
        <v>-1851</v>
      </c>
      <c r="AL34" s="106">
        <v>58166</v>
      </c>
    </row>
    <row r="35" spans="1:38" ht="15.75" customHeight="1">
      <c r="A35" s="104" t="s">
        <v>359</v>
      </c>
      <c r="B35" s="104" t="s">
        <v>360</v>
      </c>
      <c r="C35" s="105">
        <v>46177.128449074073</v>
      </c>
      <c r="D35" s="104" t="s">
        <v>64</v>
      </c>
      <c r="E35" s="104" t="s">
        <v>65</v>
      </c>
      <c r="F35" s="104" t="s">
        <v>361</v>
      </c>
      <c r="G35" s="104" t="s">
        <v>362</v>
      </c>
      <c r="H35" s="104" t="s">
        <v>363</v>
      </c>
      <c r="I35" s="105">
        <v>46168.569849537038</v>
      </c>
      <c r="J35" s="104" t="s">
        <v>66</v>
      </c>
      <c r="K35" s="104" t="s">
        <v>67</v>
      </c>
      <c r="L35" s="104" t="s">
        <v>364</v>
      </c>
      <c r="M35" s="105">
        <v>46169.963958333334</v>
      </c>
      <c r="N35" s="104" t="s">
        <v>103</v>
      </c>
      <c r="O35" s="104" t="s">
        <v>70</v>
      </c>
      <c r="P35" s="104" t="s">
        <v>69</v>
      </c>
      <c r="Q35" s="104" t="s">
        <v>156</v>
      </c>
      <c r="R35" s="104">
        <v>4</v>
      </c>
      <c r="S35" s="106">
        <v>9500</v>
      </c>
      <c r="T35" s="106">
        <v>0</v>
      </c>
      <c r="U35" s="106">
        <v>8360</v>
      </c>
      <c r="V35" s="106">
        <v>8360</v>
      </c>
      <c r="W35" s="106">
        <v>29640</v>
      </c>
      <c r="X35" s="106"/>
      <c r="Y35" s="106"/>
      <c r="Z35" s="106"/>
      <c r="AA35" s="104" t="s">
        <v>365</v>
      </c>
      <c r="AB35" s="104" t="s">
        <v>182</v>
      </c>
      <c r="AC35" s="104" t="s">
        <v>183</v>
      </c>
      <c r="AD35" s="106">
        <v>3000</v>
      </c>
      <c r="AE35" s="106">
        <v>0</v>
      </c>
      <c r="AF35" s="106">
        <v>0</v>
      </c>
      <c r="AG35" s="105">
        <v>46168.464016203703</v>
      </c>
      <c r="AH35" s="104" t="s">
        <v>214</v>
      </c>
      <c r="AI35" s="104" t="s">
        <v>185</v>
      </c>
      <c r="AJ35" s="104">
        <v>-808</v>
      </c>
      <c r="AK35" s="104">
        <v>-296</v>
      </c>
      <c r="AL35" s="106">
        <v>28536</v>
      </c>
    </row>
    <row r="36" spans="1:38" ht="15.75" customHeight="1">
      <c r="A36" s="104" t="s">
        <v>366</v>
      </c>
      <c r="B36" s="104" t="s">
        <v>367</v>
      </c>
      <c r="C36" s="105">
        <v>46177.133252314816</v>
      </c>
      <c r="D36" s="104" t="s">
        <v>64</v>
      </c>
      <c r="E36" s="104" t="s">
        <v>65</v>
      </c>
      <c r="F36" s="104" t="s">
        <v>368</v>
      </c>
      <c r="G36" s="104" t="s">
        <v>369</v>
      </c>
      <c r="H36" s="104" t="s">
        <v>368</v>
      </c>
      <c r="I36" s="105">
        <v>46168.569849537038</v>
      </c>
      <c r="J36" s="104" t="s">
        <v>66</v>
      </c>
      <c r="K36" s="104" t="s">
        <v>67</v>
      </c>
      <c r="L36" s="104" t="s">
        <v>370</v>
      </c>
      <c r="M36" s="105">
        <v>46169.777708333335</v>
      </c>
      <c r="N36" s="104" t="s">
        <v>103</v>
      </c>
      <c r="O36" s="104" t="s">
        <v>70</v>
      </c>
      <c r="P36" s="104" t="s">
        <v>69</v>
      </c>
      <c r="Q36" s="104" t="s">
        <v>205</v>
      </c>
      <c r="R36" s="104">
        <v>6</v>
      </c>
      <c r="S36" s="106">
        <v>9500</v>
      </c>
      <c r="T36" s="106">
        <v>0</v>
      </c>
      <c r="U36" s="106">
        <v>19980</v>
      </c>
      <c r="V36" s="106">
        <v>19980</v>
      </c>
      <c r="W36" s="106">
        <v>37020</v>
      </c>
      <c r="X36" s="106"/>
      <c r="Y36" s="106"/>
      <c r="Z36" s="106"/>
      <c r="AA36" s="104" t="s">
        <v>371</v>
      </c>
      <c r="AB36" s="104" t="s">
        <v>207</v>
      </c>
      <c r="AC36" s="104" t="s">
        <v>183</v>
      </c>
      <c r="AD36" s="106">
        <v>0</v>
      </c>
      <c r="AE36" s="106">
        <v>0</v>
      </c>
      <c r="AF36" s="106">
        <v>0</v>
      </c>
      <c r="AG36" s="105">
        <v>46168.423159722224</v>
      </c>
      <c r="AH36" s="104" t="s">
        <v>214</v>
      </c>
      <c r="AI36" s="104" t="s">
        <v>185</v>
      </c>
      <c r="AJ36" s="104">
        <v>-1009</v>
      </c>
      <c r="AK36" s="104">
        <v>-370</v>
      </c>
      <c r="AL36" s="106">
        <v>35641</v>
      </c>
    </row>
    <row r="37" spans="1:38" ht="15.75" customHeight="1">
      <c r="A37" s="104" t="s">
        <v>372</v>
      </c>
      <c r="B37" s="104" t="s">
        <v>373</v>
      </c>
      <c r="C37" s="105">
        <v>46177.468009259261</v>
      </c>
      <c r="D37" s="104" t="s">
        <v>64</v>
      </c>
      <c r="E37" s="104" t="s">
        <v>65</v>
      </c>
      <c r="F37" s="104" t="s">
        <v>374</v>
      </c>
      <c r="G37" s="104" t="s">
        <v>375</v>
      </c>
      <c r="H37" s="104" t="s">
        <v>374</v>
      </c>
      <c r="I37" s="105">
        <v>46171.507268518515</v>
      </c>
      <c r="J37" s="104" t="s">
        <v>66</v>
      </c>
      <c r="K37" s="104" t="s">
        <v>67</v>
      </c>
      <c r="L37" s="104" t="s">
        <v>376</v>
      </c>
      <c r="M37" s="105">
        <v>46172.710590277777</v>
      </c>
      <c r="N37" s="104" t="s">
        <v>103</v>
      </c>
      <c r="O37" s="104" t="s">
        <v>70</v>
      </c>
      <c r="P37" s="104" t="s">
        <v>69</v>
      </c>
      <c r="Q37" s="104" t="s">
        <v>156</v>
      </c>
      <c r="R37" s="104">
        <v>2</v>
      </c>
      <c r="S37" s="106">
        <v>9500</v>
      </c>
      <c r="T37" s="106">
        <v>0</v>
      </c>
      <c r="U37" s="106">
        <v>4180</v>
      </c>
      <c r="V37" s="106">
        <v>4180</v>
      </c>
      <c r="W37" s="106">
        <v>14820</v>
      </c>
      <c r="X37" s="106"/>
      <c r="Y37" s="106"/>
      <c r="Z37" s="106"/>
      <c r="AA37" s="104" t="s">
        <v>377</v>
      </c>
      <c r="AB37" s="104" t="s">
        <v>182</v>
      </c>
      <c r="AC37" s="104" t="s">
        <v>183</v>
      </c>
      <c r="AD37" s="106">
        <v>3000</v>
      </c>
      <c r="AE37" s="106">
        <v>0</v>
      </c>
      <c r="AF37" s="106">
        <v>0</v>
      </c>
      <c r="AG37" s="105">
        <v>46170.662962962961</v>
      </c>
      <c r="AH37" s="104" t="s">
        <v>214</v>
      </c>
      <c r="AI37" s="104" t="s">
        <v>185</v>
      </c>
      <c r="AJ37" s="104">
        <v>-404</v>
      </c>
      <c r="AK37" s="104">
        <v>-148</v>
      </c>
      <c r="AL37" s="106">
        <v>14268</v>
      </c>
    </row>
    <row r="38" spans="1:38" ht="15.75" customHeight="1">
      <c r="A38" s="104" t="s">
        <v>378</v>
      </c>
      <c r="B38" s="104" t="s">
        <v>379</v>
      </c>
      <c r="C38" s="105">
        <v>46177.508009259254</v>
      </c>
      <c r="D38" s="104" t="s">
        <v>64</v>
      </c>
      <c r="E38" s="104" t="s">
        <v>65</v>
      </c>
      <c r="F38" s="104" t="s">
        <v>71</v>
      </c>
      <c r="G38" s="104" t="s">
        <v>380</v>
      </c>
      <c r="H38" s="104" t="s">
        <v>71</v>
      </c>
      <c r="I38" s="105">
        <v>46175.645486111112</v>
      </c>
      <c r="J38" s="104" t="s">
        <v>66</v>
      </c>
      <c r="K38" s="104" t="s">
        <v>67</v>
      </c>
      <c r="L38" s="104" t="s">
        <v>381</v>
      </c>
      <c r="M38" s="105">
        <v>46177.531666666662</v>
      </c>
      <c r="N38" s="104" t="s">
        <v>103</v>
      </c>
      <c r="O38" s="104" t="s">
        <v>70</v>
      </c>
      <c r="P38" s="104" t="s">
        <v>69</v>
      </c>
      <c r="Q38" s="104" t="s">
        <v>156</v>
      </c>
      <c r="R38" s="104">
        <v>1</v>
      </c>
      <c r="S38" s="106">
        <v>9500</v>
      </c>
      <c r="T38" s="106">
        <v>0</v>
      </c>
      <c r="U38" s="106">
        <v>2090</v>
      </c>
      <c r="V38" s="106">
        <v>2090</v>
      </c>
      <c r="W38" s="106">
        <v>7410</v>
      </c>
      <c r="X38" s="106"/>
      <c r="Y38" s="106"/>
      <c r="Z38" s="106"/>
      <c r="AA38" s="104" t="s">
        <v>382</v>
      </c>
      <c r="AB38" s="104" t="s">
        <v>182</v>
      </c>
      <c r="AC38" s="104" t="s">
        <v>183</v>
      </c>
      <c r="AD38" s="106">
        <v>3000</v>
      </c>
      <c r="AE38" s="106">
        <v>0</v>
      </c>
      <c r="AF38" s="106">
        <v>0</v>
      </c>
      <c r="AG38" s="105">
        <v>46175.458599537036</v>
      </c>
      <c r="AH38" s="104" t="s">
        <v>214</v>
      </c>
      <c r="AI38" s="104" t="s">
        <v>185</v>
      </c>
      <c r="AJ38" s="104">
        <v>-202</v>
      </c>
      <c r="AK38" s="104">
        <v>-74</v>
      </c>
      <c r="AL38" s="106">
        <v>7134</v>
      </c>
    </row>
    <row r="39" spans="1:38" ht="15.75" customHeight="1">
      <c r="A39" s="104" t="s">
        <v>383</v>
      </c>
      <c r="B39" s="104" t="s">
        <v>384</v>
      </c>
      <c r="C39" s="105">
        <v>46177.732534722221</v>
      </c>
      <c r="D39" s="104" t="s">
        <v>64</v>
      </c>
      <c r="E39" s="104" t="s">
        <v>65</v>
      </c>
      <c r="F39" s="104" t="s">
        <v>385</v>
      </c>
      <c r="G39" s="104" t="s">
        <v>386</v>
      </c>
      <c r="H39" s="104" t="s">
        <v>385</v>
      </c>
      <c r="I39" s="105">
        <v>46174.63857638889</v>
      </c>
      <c r="J39" s="104" t="s">
        <v>66</v>
      </c>
      <c r="K39" s="104" t="s">
        <v>67</v>
      </c>
      <c r="L39" s="104" t="s">
        <v>387</v>
      </c>
      <c r="M39" s="105">
        <v>46175.555613425924</v>
      </c>
      <c r="N39" s="104" t="s">
        <v>103</v>
      </c>
      <c r="O39" s="104" t="s">
        <v>70</v>
      </c>
      <c r="P39" s="104" t="s">
        <v>69</v>
      </c>
      <c r="Q39" s="104" t="s">
        <v>205</v>
      </c>
      <c r="R39" s="104">
        <v>6</v>
      </c>
      <c r="S39" s="106">
        <v>9500</v>
      </c>
      <c r="T39" s="106">
        <v>0</v>
      </c>
      <c r="U39" s="106">
        <v>19980</v>
      </c>
      <c r="V39" s="106">
        <v>19980</v>
      </c>
      <c r="W39" s="106">
        <v>37020</v>
      </c>
      <c r="X39" s="106"/>
      <c r="Y39" s="106"/>
      <c r="Z39" s="106"/>
      <c r="AA39" s="104" t="s">
        <v>388</v>
      </c>
      <c r="AB39" s="104" t="s">
        <v>207</v>
      </c>
      <c r="AC39" s="104" t="s">
        <v>183</v>
      </c>
      <c r="AD39" s="106">
        <v>0</v>
      </c>
      <c r="AE39" s="106">
        <v>0</v>
      </c>
      <c r="AF39" s="106">
        <v>0</v>
      </c>
      <c r="AG39" s="105">
        <v>46173.37972222222</v>
      </c>
      <c r="AH39" s="104" t="s">
        <v>214</v>
      </c>
      <c r="AI39" s="104" t="s">
        <v>185</v>
      </c>
      <c r="AJ39" s="104">
        <v>-1009</v>
      </c>
      <c r="AK39" s="104">
        <v>-370</v>
      </c>
      <c r="AL39" s="106">
        <v>35641</v>
      </c>
    </row>
    <row r="40" spans="1:38" ht="15.75" customHeight="1">
      <c r="A40" s="104" t="s">
        <v>389</v>
      </c>
      <c r="B40" s="104" t="s">
        <v>390</v>
      </c>
      <c r="C40" s="105">
        <v>46177.785740740743</v>
      </c>
      <c r="D40" s="104" t="s">
        <v>64</v>
      </c>
      <c r="E40" s="104" t="s">
        <v>65</v>
      </c>
      <c r="F40" s="104" t="s">
        <v>391</v>
      </c>
      <c r="G40" s="104" t="s">
        <v>392</v>
      </c>
      <c r="H40" s="104" t="s">
        <v>391</v>
      </c>
      <c r="I40" s="105">
        <v>46175.645486111112</v>
      </c>
      <c r="J40" s="104" t="s">
        <v>66</v>
      </c>
      <c r="K40" s="104" t="s">
        <v>67</v>
      </c>
      <c r="L40" s="104" t="s">
        <v>393</v>
      </c>
      <c r="M40" s="105">
        <v>46177.469594907408</v>
      </c>
      <c r="N40" s="104" t="s">
        <v>103</v>
      </c>
      <c r="O40" s="104" t="s">
        <v>70</v>
      </c>
      <c r="P40" s="104" t="s">
        <v>69</v>
      </c>
      <c r="Q40" s="104" t="s">
        <v>156</v>
      </c>
      <c r="R40" s="104">
        <v>4</v>
      </c>
      <c r="S40" s="106">
        <v>9500</v>
      </c>
      <c r="T40" s="106">
        <v>0</v>
      </c>
      <c r="U40" s="106">
        <v>8360</v>
      </c>
      <c r="V40" s="106">
        <v>8360</v>
      </c>
      <c r="W40" s="106">
        <v>29640</v>
      </c>
      <c r="X40" s="106"/>
      <c r="Y40" s="106"/>
      <c r="Z40" s="106"/>
      <c r="AA40" s="104" t="s">
        <v>394</v>
      </c>
      <c r="AB40" s="104" t="s">
        <v>182</v>
      </c>
      <c r="AC40" s="104" t="s">
        <v>183</v>
      </c>
      <c r="AD40" s="106">
        <v>3000</v>
      </c>
      <c r="AE40" s="106">
        <v>0</v>
      </c>
      <c r="AF40" s="106">
        <v>0</v>
      </c>
      <c r="AG40" s="105">
        <v>46175.422361111108</v>
      </c>
      <c r="AH40" s="104" t="s">
        <v>214</v>
      </c>
      <c r="AI40" s="104" t="s">
        <v>185</v>
      </c>
      <c r="AJ40" s="104">
        <v>-808</v>
      </c>
      <c r="AK40" s="104">
        <v>-296</v>
      </c>
      <c r="AL40" s="106">
        <v>28536</v>
      </c>
    </row>
    <row r="41" spans="1:38" ht="15.75" customHeight="1">
      <c r="A41" s="104" t="s">
        <v>395</v>
      </c>
      <c r="B41" s="104" t="s">
        <v>396</v>
      </c>
      <c r="C41" s="105">
        <v>46177.83699074074</v>
      </c>
      <c r="D41" s="104" t="s">
        <v>64</v>
      </c>
      <c r="E41" s="104" t="s">
        <v>65</v>
      </c>
      <c r="F41" s="104" t="s">
        <v>78</v>
      </c>
      <c r="G41" s="104" t="s">
        <v>397</v>
      </c>
      <c r="H41" s="104" t="s">
        <v>78</v>
      </c>
      <c r="I41" s="105">
        <v>46175.645486111112</v>
      </c>
      <c r="J41" s="104" t="s">
        <v>66</v>
      </c>
      <c r="K41" s="104" t="s">
        <v>67</v>
      </c>
      <c r="L41" s="104" t="s">
        <v>398</v>
      </c>
      <c r="M41" s="105">
        <v>46177.6722337963</v>
      </c>
      <c r="N41" s="104" t="s">
        <v>103</v>
      </c>
      <c r="O41" s="104" t="s">
        <v>70</v>
      </c>
      <c r="P41" s="104" t="s">
        <v>69</v>
      </c>
      <c r="Q41" s="104" t="s">
        <v>205</v>
      </c>
      <c r="R41" s="104">
        <v>6</v>
      </c>
      <c r="S41" s="106">
        <v>9500</v>
      </c>
      <c r="T41" s="106">
        <v>0</v>
      </c>
      <c r="U41" s="106">
        <v>19980</v>
      </c>
      <c r="V41" s="106">
        <v>19980</v>
      </c>
      <c r="W41" s="106">
        <v>37020</v>
      </c>
      <c r="X41" s="106"/>
      <c r="Y41" s="106"/>
      <c r="Z41" s="106"/>
      <c r="AA41" s="104" t="s">
        <v>399</v>
      </c>
      <c r="AB41" s="104" t="s">
        <v>207</v>
      </c>
      <c r="AC41" s="104" t="s">
        <v>183</v>
      </c>
      <c r="AD41" s="106">
        <v>0</v>
      </c>
      <c r="AE41" s="106">
        <v>0</v>
      </c>
      <c r="AF41" s="106">
        <v>0</v>
      </c>
      <c r="AG41" s="105">
        <v>46175.496134259258</v>
      </c>
      <c r="AH41" s="104" t="s">
        <v>228</v>
      </c>
      <c r="AI41" s="104" t="s">
        <v>185</v>
      </c>
      <c r="AJ41" s="104">
        <v>-1009</v>
      </c>
      <c r="AK41" s="104">
        <v>-370</v>
      </c>
      <c r="AL41" s="106">
        <v>35641</v>
      </c>
    </row>
    <row r="42" spans="1:38" ht="15.75" customHeight="1">
      <c r="A42" s="104" t="s">
        <v>400</v>
      </c>
      <c r="B42" s="104" t="s">
        <v>401</v>
      </c>
      <c r="C42" s="105">
        <v>46178.033136574071</v>
      </c>
      <c r="D42" s="104" t="s">
        <v>64</v>
      </c>
      <c r="E42" s="104" t="s">
        <v>65</v>
      </c>
      <c r="F42" s="104" t="s">
        <v>402</v>
      </c>
      <c r="G42" s="104" t="s">
        <v>403</v>
      </c>
      <c r="H42" s="104" t="s">
        <v>402</v>
      </c>
      <c r="I42" s="105">
        <v>46168.437893518523</v>
      </c>
      <c r="J42" s="104" t="s">
        <v>66</v>
      </c>
      <c r="K42" s="104" t="s">
        <v>67</v>
      </c>
      <c r="L42" s="104" t="s">
        <v>404</v>
      </c>
      <c r="M42" s="105">
        <v>46170.546550925923</v>
      </c>
      <c r="N42" s="104" t="s">
        <v>103</v>
      </c>
      <c r="O42" s="104" t="s">
        <v>70</v>
      </c>
      <c r="P42" s="104" t="s">
        <v>69</v>
      </c>
      <c r="Q42" s="104" t="s">
        <v>205</v>
      </c>
      <c r="R42" s="104">
        <v>6</v>
      </c>
      <c r="S42" s="106">
        <v>9500</v>
      </c>
      <c r="T42" s="106">
        <v>0</v>
      </c>
      <c r="U42" s="106">
        <v>19980</v>
      </c>
      <c r="V42" s="106">
        <v>19980</v>
      </c>
      <c r="W42" s="106">
        <v>37020</v>
      </c>
      <c r="X42" s="106"/>
      <c r="Y42" s="106"/>
      <c r="Z42" s="106"/>
      <c r="AA42" s="104" t="s">
        <v>405</v>
      </c>
      <c r="AB42" s="104" t="s">
        <v>207</v>
      </c>
      <c r="AC42" s="104" t="s">
        <v>183</v>
      </c>
      <c r="AD42" s="106">
        <v>0</v>
      </c>
      <c r="AE42" s="106">
        <v>0</v>
      </c>
      <c r="AF42" s="106">
        <v>0</v>
      </c>
      <c r="AG42" s="105">
        <v>46167.775717592594</v>
      </c>
      <c r="AH42" s="104" t="s">
        <v>192</v>
      </c>
      <c r="AI42" s="104" t="s">
        <v>185</v>
      </c>
      <c r="AJ42" s="104">
        <v>-1009</v>
      </c>
      <c r="AK42" s="104">
        <v>-1110</v>
      </c>
      <c r="AL42" s="106">
        <v>34901</v>
      </c>
    </row>
    <row r="43" spans="1:38" ht="15.75" customHeight="1">
      <c r="A43" s="104" t="s">
        <v>406</v>
      </c>
      <c r="B43" s="104" t="s">
        <v>407</v>
      </c>
      <c r="C43" s="105">
        <v>46178.036979166667</v>
      </c>
      <c r="D43" s="104" t="s">
        <v>64</v>
      </c>
      <c r="E43" s="104" t="s">
        <v>65</v>
      </c>
      <c r="F43" s="104" t="s">
        <v>408</v>
      </c>
      <c r="G43" s="104" t="s">
        <v>409</v>
      </c>
      <c r="H43" s="104" t="s">
        <v>408</v>
      </c>
      <c r="I43" s="105">
        <v>46168.437893518523</v>
      </c>
      <c r="J43" s="104" t="s">
        <v>66</v>
      </c>
      <c r="K43" s="104" t="s">
        <v>67</v>
      </c>
      <c r="L43" s="104" t="s">
        <v>410</v>
      </c>
      <c r="M43" s="105">
        <v>46170.671550925923</v>
      </c>
      <c r="N43" s="104" t="s">
        <v>103</v>
      </c>
      <c r="O43" s="104" t="s">
        <v>70</v>
      </c>
      <c r="P43" s="104" t="s">
        <v>69</v>
      </c>
      <c r="Q43" s="104" t="s">
        <v>156</v>
      </c>
      <c r="R43" s="104">
        <v>2</v>
      </c>
      <c r="S43" s="106">
        <v>9500</v>
      </c>
      <c r="T43" s="106">
        <v>0</v>
      </c>
      <c r="U43" s="106">
        <v>4180</v>
      </c>
      <c r="V43" s="106">
        <v>4180</v>
      </c>
      <c r="W43" s="106">
        <v>14820</v>
      </c>
      <c r="X43" s="106"/>
      <c r="Y43" s="106"/>
      <c r="Z43" s="106"/>
      <c r="AA43" s="104" t="s">
        <v>411</v>
      </c>
      <c r="AB43" s="104" t="s">
        <v>182</v>
      </c>
      <c r="AC43" s="104" t="s">
        <v>183</v>
      </c>
      <c r="AD43" s="106">
        <v>3000</v>
      </c>
      <c r="AE43" s="106">
        <v>0</v>
      </c>
      <c r="AF43" s="106">
        <v>0</v>
      </c>
      <c r="AG43" s="105">
        <v>46165.646180555559</v>
      </c>
      <c r="AH43" s="104" t="s">
        <v>214</v>
      </c>
      <c r="AI43" s="104" t="s">
        <v>185</v>
      </c>
      <c r="AJ43" s="104">
        <v>-404</v>
      </c>
      <c r="AK43" s="104">
        <v>-148</v>
      </c>
      <c r="AL43" s="106">
        <v>14268</v>
      </c>
    </row>
    <row r="44" spans="1:38" ht="15.75" customHeight="1">
      <c r="A44" s="104" t="s">
        <v>412</v>
      </c>
      <c r="B44" s="104" t="s">
        <v>413</v>
      </c>
      <c r="C44" s="105">
        <v>46178.06759259259</v>
      </c>
      <c r="D44" s="104" t="s">
        <v>64</v>
      </c>
      <c r="E44" s="104" t="s">
        <v>65</v>
      </c>
      <c r="F44" s="104" t="s">
        <v>414</v>
      </c>
      <c r="G44" s="104" t="s">
        <v>415</v>
      </c>
      <c r="H44" s="104" t="s">
        <v>414</v>
      </c>
      <c r="I44" s="105">
        <v>46169.42396990741</v>
      </c>
      <c r="J44" s="104" t="s">
        <v>66</v>
      </c>
      <c r="K44" s="104" t="s">
        <v>67</v>
      </c>
      <c r="L44" s="104" t="s">
        <v>416</v>
      </c>
      <c r="M44" s="105">
        <v>46170.672997685186</v>
      </c>
      <c r="N44" s="104" t="s">
        <v>103</v>
      </c>
      <c r="O44" s="104" t="s">
        <v>70</v>
      </c>
      <c r="P44" s="104" t="s">
        <v>69</v>
      </c>
      <c r="Q44" s="104" t="s">
        <v>205</v>
      </c>
      <c r="R44" s="104">
        <v>6</v>
      </c>
      <c r="S44" s="106">
        <v>9500</v>
      </c>
      <c r="T44" s="106">
        <v>0</v>
      </c>
      <c r="U44" s="106">
        <v>19980</v>
      </c>
      <c r="V44" s="106">
        <v>19980</v>
      </c>
      <c r="W44" s="106">
        <v>37020</v>
      </c>
      <c r="X44" s="106"/>
      <c r="Y44" s="106"/>
      <c r="Z44" s="106"/>
      <c r="AA44" s="104" t="s">
        <v>417</v>
      </c>
      <c r="AB44" s="104" t="s">
        <v>207</v>
      </c>
      <c r="AC44" s="104" t="s">
        <v>183</v>
      </c>
      <c r="AD44" s="106">
        <v>0</v>
      </c>
      <c r="AE44" s="106">
        <v>0</v>
      </c>
      <c r="AF44" s="106">
        <v>0</v>
      </c>
      <c r="AG44" s="105">
        <v>46168.931527777779</v>
      </c>
      <c r="AH44" s="104" t="s">
        <v>192</v>
      </c>
      <c r="AI44" s="104" t="s">
        <v>185</v>
      </c>
      <c r="AJ44" s="104">
        <v>-1009</v>
      </c>
      <c r="AK44" s="104">
        <v>-1110</v>
      </c>
      <c r="AL44" s="106">
        <v>34901</v>
      </c>
    </row>
    <row r="45" spans="1:38" ht="15.75" customHeight="1">
      <c r="A45" s="104" t="s">
        <v>418</v>
      </c>
      <c r="B45" s="104" t="s">
        <v>419</v>
      </c>
      <c r="C45" s="105">
        <v>46178.103298611109</v>
      </c>
      <c r="D45" s="104" t="s">
        <v>64</v>
      </c>
      <c r="E45" s="104" t="s">
        <v>65</v>
      </c>
      <c r="F45" s="104" t="s">
        <v>420</v>
      </c>
      <c r="G45" s="104" t="s">
        <v>141</v>
      </c>
      <c r="H45" s="104" t="s">
        <v>420</v>
      </c>
      <c r="I45" s="105">
        <v>46169.618391203709</v>
      </c>
      <c r="J45" s="104" t="s">
        <v>66</v>
      </c>
      <c r="K45" s="104" t="s">
        <v>67</v>
      </c>
      <c r="L45" s="104" t="s">
        <v>421</v>
      </c>
      <c r="M45" s="105">
        <v>46170.472280092596</v>
      </c>
      <c r="N45" s="104" t="s">
        <v>103</v>
      </c>
      <c r="O45" s="104" t="s">
        <v>70</v>
      </c>
      <c r="P45" s="104" t="s">
        <v>69</v>
      </c>
      <c r="Q45" s="104" t="s">
        <v>156</v>
      </c>
      <c r="R45" s="104">
        <v>2</v>
      </c>
      <c r="S45" s="106">
        <v>9500</v>
      </c>
      <c r="T45" s="106">
        <v>0</v>
      </c>
      <c r="U45" s="106">
        <v>4180</v>
      </c>
      <c r="V45" s="106">
        <v>4180</v>
      </c>
      <c r="W45" s="106">
        <v>14820</v>
      </c>
      <c r="X45" s="106"/>
      <c r="Y45" s="106"/>
      <c r="Z45" s="106"/>
      <c r="AA45" s="104" t="s">
        <v>422</v>
      </c>
      <c r="AB45" s="104" t="s">
        <v>182</v>
      </c>
      <c r="AC45" s="104" t="s">
        <v>183</v>
      </c>
      <c r="AD45" s="106">
        <v>3000</v>
      </c>
      <c r="AE45" s="106">
        <v>0</v>
      </c>
      <c r="AF45" s="106">
        <v>0</v>
      </c>
      <c r="AG45" s="105">
        <v>46169.489884259259</v>
      </c>
      <c r="AH45" s="104" t="s">
        <v>321</v>
      </c>
      <c r="AI45" s="104" t="s">
        <v>185</v>
      </c>
      <c r="AJ45" s="104">
        <v>-404</v>
      </c>
      <c r="AK45" s="104">
        <v>-148</v>
      </c>
      <c r="AL45" s="106">
        <v>14268</v>
      </c>
    </row>
    <row r="46" spans="1:38" ht="15.75" customHeight="1">
      <c r="A46" s="104" t="s">
        <v>423</v>
      </c>
      <c r="B46" s="104" t="s">
        <v>424</v>
      </c>
      <c r="C46" s="105">
        <v>46178.13118055556</v>
      </c>
      <c r="D46" s="104" t="s">
        <v>64</v>
      </c>
      <c r="E46" s="104" t="s">
        <v>65</v>
      </c>
      <c r="F46" s="104" t="s">
        <v>425</v>
      </c>
      <c r="G46" s="104" t="s">
        <v>426</v>
      </c>
      <c r="H46" s="104" t="s">
        <v>425</v>
      </c>
      <c r="I46" s="105">
        <v>46169.618391203709</v>
      </c>
      <c r="J46" s="104" t="s">
        <v>66</v>
      </c>
      <c r="K46" s="104" t="s">
        <v>67</v>
      </c>
      <c r="L46" s="104" t="s">
        <v>427</v>
      </c>
      <c r="M46" s="105">
        <v>46170.436481481476</v>
      </c>
      <c r="N46" s="104" t="s">
        <v>103</v>
      </c>
      <c r="O46" s="104" t="s">
        <v>70</v>
      </c>
      <c r="P46" s="104" t="s">
        <v>69</v>
      </c>
      <c r="Q46" s="104" t="s">
        <v>205</v>
      </c>
      <c r="R46" s="104">
        <v>6</v>
      </c>
      <c r="S46" s="106">
        <v>9500</v>
      </c>
      <c r="T46" s="106">
        <v>0</v>
      </c>
      <c r="U46" s="106">
        <v>19980</v>
      </c>
      <c r="V46" s="106">
        <v>19980</v>
      </c>
      <c r="W46" s="106">
        <v>37020</v>
      </c>
      <c r="X46" s="106"/>
      <c r="Y46" s="106"/>
      <c r="Z46" s="106"/>
      <c r="AA46" s="104" t="s">
        <v>428</v>
      </c>
      <c r="AB46" s="104" t="s">
        <v>207</v>
      </c>
      <c r="AC46" s="104" t="s">
        <v>183</v>
      </c>
      <c r="AD46" s="106">
        <v>0</v>
      </c>
      <c r="AE46" s="106">
        <v>0</v>
      </c>
      <c r="AF46" s="106">
        <v>0</v>
      </c>
      <c r="AG46" s="105">
        <v>46169.406863425931</v>
      </c>
      <c r="AH46" s="104" t="s">
        <v>214</v>
      </c>
      <c r="AI46" s="104" t="s">
        <v>185</v>
      </c>
      <c r="AJ46" s="104">
        <v>-1009</v>
      </c>
      <c r="AK46" s="104">
        <v>-1110</v>
      </c>
      <c r="AL46" s="106">
        <v>34901</v>
      </c>
    </row>
    <row r="47" spans="1:38" ht="15.75" customHeight="1">
      <c r="A47" s="104" t="s">
        <v>429</v>
      </c>
      <c r="B47" s="104" t="s">
        <v>430</v>
      </c>
      <c r="C47" s="105">
        <v>46178.13118055556</v>
      </c>
      <c r="D47" s="104" t="s">
        <v>64</v>
      </c>
      <c r="E47" s="104" t="s">
        <v>65</v>
      </c>
      <c r="F47" s="104" t="s">
        <v>84</v>
      </c>
      <c r="G47" s="104" t="s">
        <v>431</v>
      </c>
      <c r="H47" s="104" t="s">
        <v>84</v>
      </c>
      <c r="I47" s="105">
        <v>46169.618391203709</v>
      </c>
      <c r="J47" s="104" t="s">
        <v>66</v>
      </c>
      <c r="K47" s="104" t="s">
        <v>67</v>
      </c>
      <c r="L47" s="104" t="s">
        <v>432</v>
      </c>
      <c r="M47" s="105">
        <v>46170.475960648153</v>
      </c>
      <c r="N47" s="104" t="s">
        <v>103</v>
      </c>
      <c r="O47" s="104" t="s">
        <v>70</v>
      </c>
      <c r="P47" s="104" t="s">
        <v>69</v>
      </c>
      <c r="Q47" s="104" t="s">
        <v>156</v>
      </c>
      <c r="R47" s="104">
        <v>4</v>
      </c>
      <c r="S47" s="106">
        <v>9500</v>
      </c>
      <c r="T47" s="106">
        <v>0</v>
      </c>
      <c r="U47" s="106">
        <v>8360</v>
      </c>
      <c r="V47" s="106">
        <v>8360</v>
      </c>
      <c r="W47" s="106">
        <v>29640</v>
      </c>
      <c r="X47" s="106"/>
      <c r="Y47" s="106"/>
      <c r="Z47" s="106"/>
      <c r="AA47" s="104" t="s">
        <v>433</v>
      </c>
      <c r="AB47" s="104" t="s">
        <v>182</v>
      </c>
      <c r="AC47" s="104" t="s">
        <v>183</v>
      </c>
      <c r="AD47" s="106">
        <v>3000</v>
      </c>
      <c r="AE47" s="106">
        <v>0</v>
      </c>
      <c r="AF47" s="106">
        <v>0</v>
      </c>
      <c r="AG47" s="105">
        <v>46169.560891203699</v>
      </c>
      <c r="AH47" s="104" t="s">
        <v>228</v>
      </c>
      <c r="AI47" s="104" t="s">
        <v>185</v>
      </c>
      <c r="AJ47" s="104">
        <v>-808</v>
      </c>
      <c r="AK47" s="104">
        <v>-296</v>
      </c>
      <c r="AL47" s="106">
        <v>28536</v>
      </c>
    </row>
    <row r="48" spans="1:38" ht="15.75" customHeight="1">
      <c r="A48" s="104" t="s">
        <v>434</v>
      </c>
      <c r="B48" s="104" t="s">
        <v>435</v>
      </c>
      <c r="C48" s="105">
        <v>46178.374131944445</v>
      </c>
      <c r="D48" s="104" t="s">
        <v>64</v>
      </c>
      <c r="E48" s="104" t="s">
        <v>65</v>
      </c>
      <c r="F48" s="104" t="s">
        <v>436</v>
      </c>
      <c r="G48" s="104" t="s">
        <v>437</v>
      </c>
      <c r="H48" s="104" t="s">
        <v>436</v>
      </c>
      <c r="I48" s="105">
        <v>46174.652453703704</v>
      </c>
      <c r="J48" s="104" t="s">
        <v>66</v>
      </c>
      <c r="K48" s="104" t="s">
        <v>67</v>
      </c>
      <c r="L48" s="104" t="s">
        <v>438</v>
      </c>
      <c r="M48" s="105">
        <v>46175.768831018519</v>
      </c>
      <c r="N48" s="104" t="s">
        <v>103</v>
      </c>
      <c r="O48" s="104" t="s">
        <v>70</v>
      </c>
      <c r="P48" s="104" t="s">
        <v>69</v>
      </c>
      <c r="Q48" s="104" t="s">
        <v>156</v>
      </c>
      <c r="R48" s="104">
        <v>4</v>
      </c>
      <c r="S48" s="106">
        <v>9500</v>
      </c>
      <c r="T48" s="106">
        <v>0</v>
      </c>
      <c r="U48" s="106">
        <v>8360</v>
      </c>
      <c r="V48" s="106">
        <v>8360</v>
      </c>
      <c r="W48" s="106">
        <v>29640</v>
      </c>
      <c r="X48" s="106"/>
      <c r="Y48" s="106"/>
      <c r="Z48" s="106"/>
      <c r="AA48" s="104" t="s">
        <v>439</v>
      </c>
      <c r="AB48" s="104" t="s">
        <v>182</v>
      </c>
      <c r="AC48" s="104" t="s">
        <v>183</v>
      </c>
      <c r="AD48" s="106">
        <v>3000</v>
      </c>
      <c r="AE48" s="106">
        <v>0</v>
      </c>
      <c r="AF48" s="106">
        <v>0</v>
      </c>
      <c r="AG48" s="105">
        <v>46174.606157407412</v>
      </c>
      <c r="AH48" s="104" t="s">
        <v>440</v>
      </c>
      <c r="AI48" s="104" t="s">
        <v>441</v>
      </c>
      <c r="AJ48" s="104">
        <v>-808</v>
      </c>
      <c r="AK48" s="104">
        <v>-296</v>
      </c>
      <c r="AL48" s="106">
        <v>28536</v>
      </c>
    </row>
    <row r="49" spans="1:38" ht="15.75" customHeight="1">
      <c r="A49" s="104" t="s">
        <v>442</v>
      </c>
      <c r="B49" s="104" t="s">
        <v>443</v>
      </c>
      <c r="C49" s="105">
        <v>46178.510497685187</v>
      </c>
      <c r="D49" s="104" t="s">
        <v>64</v>
      </c>
      <c r="E49" s="104" t="s">
        <v>65</v>
      </c>
      <c r="F49" s="104" t="s">
        <v>444</v>
      </c>
      <c r="G49" s="104" t="s">
        <v>445</v>
      </c>
      <c r="H49" s="104" t="s">
        <v>444</v>
      </c>
      <c r="I49" s="105">
        <v>46174.63857638889</v>
      </c>
      <c r="J49" s="104" t="s">
        <v>66</v>
      </c>
      <c r="K49" s="104" t="s">
        <v>67</v>
      </c>
      <c r="L49" s="104" t="s">
        <v>446</v>
      </c>
      <c r="M49" s="105">
        <v>46175.766909722224</v>
      </c>
      <c r="N49" s="104" t="s">
        <v>103</v>
      </c>
      <c r="O49" s="104" t="s">
        <v>70</v>
      </c>
      <c r="P49" s="104" t="s">
        <v>69</v>
      </c>
      <c r="Q49" s="104" t="s">
        <v>156</v>
      </c>
      <c r="R49" s="104">
        <v>1</v>
      </c>
      <c r="S49" s="106">
        <v>9500</v>
      </c>
      <c r="T49" s="106">
        <v>0</v>
      </c>
      <c r="U49" s="106">
        <v>2090</v>
      </c>
      <c r="V49" s="106">
        <v>2090</v>
      </c>
      <c r="W49" s="106">
        <v>7410</v>
      </c>
      <c r="X49" s="106"/>
      <c r="Y49" s="106"/>
      <c r="Z49" s="106"/>
      <c r="AA49" s="104" t="s">
        <v>447</v>
      </c>
      <c r="AB49" s="104" t="s">
        <v>182</v>
      </c>
      <c r="AC49" s="104" t="s">
        <v>183</v>
      </c>
      <c r="AD49" s="106">
        <v>3000</v>
      </c>
      <c r="AE49" s="106">
        <v>0</v>
      </c>
      <c r="AF49" s="106">
        <v>0</v>
      </c>
      <c r="AG49" s="105">
        <v>46173.41479166667</v>
      </c>
      <c r="AH49" s="104" t="s">
        <v>228</v>
      </c>
      <c r="AI49" s="104" t="s">
        <v>185</v>
      </c>
      <c r="AJ49" s="104">
        <v>-202</v>
      </c>
      <c r="AK49" s="104">
        <v>-74</v>
      </c>
      <c r="AL49" s="106">
        <v>7134</v>
      </c>
    </row>
    <row r="50" spans="1:38" ht="15.75" customHeight="1">
      <c r="A50" s="104" t="s">
        <v>448</v>
      </c>
      <c r="B50" s="104" t="s">
        <v>449</v>
      </c>
      <c r="C50" s="105">
        <v>46178.705057870371</v>
      </c>
      <c r="D50" s="104" t="s">
        <v>64</v>
      </c>
      <c r="E50" s="104" t="s">
        <v>65</v>
      </c>
      <c r="F50" s="104" t="s">
        <v>450</v>
      </c>
      <c r="G50" s="104" t="s">
        <v>451</v>
      </c>
      <c r="H50" s="104" t="s">
        <v>450</v>
      </c>
      <c r="I50" s="105">
        <v>46177.582986111112</v>
      </c>
      <c r="J50" s="104" t="s">
        <v>66</v>
      </c>
      <c r="K50" s="104" t="s">
        <v>67</v>
      </c>
      <c r="L50" s="104" t="s">
        <v>452</v>
      </c>
      <c r="M50" s="105">
        <v>46178.68482638889</v>
      </c>
      <c r="N50" s="104" t="s">
        <v>103</v>
      </c>
      <c r="O50" s="104" t="s">
        <v>70</v>
      </c>
      <c r="P50" s="104" t="s">
        <v>69</v>
      </c>
      <c r="Q50" s="104" t="s">
        <v>205</v>
      </c>
      <c r="R50" s="104">
        <v>6</v>
      </c>
      <c r="S50" s="106">
        <v>9500</v>
      </c>
      <c r="T50" s="106">
        <v>0</v>
      </c>
      <c r="U50" s="106">
        <v>19980</v>
      </c>
      <c r="V50" s="106">
        <v>19980</v>
      </c>
      <c r="W50" s="106">
        <v>37020</v>
      </c>
      <c r="X50" s="106"/>
      <c r="Y50" s="106"/>
      <c r="Z50" s="106"/>
      <c r="AA50" s="104" t="s">
        <v>453</v>
      </c>
      <c r="AB50" s="104" t="s">
        <v>207</v>
      </c>
      <c r="AC50" s="104" t="s">
        <v>183</v>
      </c>
      <c r="AD50" s="106">
        <v>0</v>
      </c>
      <c r="AE50" s="106">
        <v>0</v>
      </c>
      <c r="AF50" s="106">
        <v>0</v>
      </c>
      <c r="AG50" s="105">
        <v>46175.756192129629</v>
      </c>
      <c r="AH50" s="104" t="s">
        <v>192</v>
      </c>
      <c r="AI50" s="104" t="s">
        <v>185</v>
      </c>
      <c r="AJ50" s="104">
        <v>-1009</v>
      </c>
      <c r="AK50" s="104">
        <v>-370</v>
      </c>
      <c r="AL50" s="106">
        <v>35641</v>
      </c>
    </row>
    <row r="51" spans="1:38" ht="13">
      <c r="A51" s="104" t="s">
        <v>454</v>
      </c>
      <c r="B51" s="104" t="s">
        <v>455</v>
      </c>
      <c r="C51" s="105">
        <v>46178.799363425926</v>
      </c>
      <c r="D51" s="104" t="s">
        <v>64</v>
      </c>
      <c r="E51" s="104" t="s">
        <v>65</v>
      </c>
      <c r="F51" s="104" t="s">
        <v>456</v>
      </c>
      <c r="G51" s="104" t="s">
        <v>457</v>
      </c>
      <c r="H51" s="104" t="s">
        <v>456</v>
      </c>
      <c r="I51" s="105">
        <v>46177.582986111112</v>
      </c>
      <c r="J51" s="104" t="s">
        <v>66</v>
      </c>
      <c r="K51" s="104" t="s">
        <v>67</v>
      </c>
      <c r="L51" s="104" t="s">
        <v>458</v>
      </c>
      <c r="M51" s="105">
        <v>46178.681967592594</v>
      </c>
      <c r="N51" s="104" t="s">
        <v>103</v>
      </c>
      <c r="O51" s="104" t="s">
        <v>70</v>
      </c>
      <c r="P51" s="104" t="s">
        <v>69</v>
      </c>
      <c r="Q51" s="104" t="s">
        <v>156</v>
      </c>
      <c r="R51" s="104">
        <v>2</v>
      </c>
      <c r="S51" s="106">
        <v>9500</v>
      </c>
      <c r="T51" s="106">
        <v>0</v>
      </c>
      <c r="U51" s="106">
        <v>4180</v>
      </c>
      <c r="V51" s="106">
        <v>4180</v>
      </c>
      <c r="W51" s="106">
        <v>14820</v>
      </c>
      <c r="X51" s="106"/>
      <c r="Y51" s="106"/>
      <c r="Z51" s="106"/>
      <c r="AA51" s="104" t="s">
        <v>459</v>
      </c>
      <c r="AB51" s="104" t="s">
        <v>182</v>
      </c>
      <c r="AC51" s="104" t="s">
        <v>183</v>
      </c>
      <c r="AD51" s="106">
        <v>3000</v>
      </c>
      <c r="AE51" s="106">
        <v>0</v>
      </c>
      <c r="AF51" s="106">
        <v>0</v>
      </c>
      <c r="AG51" s="105">
        <v>46176.713958333334</v>
      </c>
      <c r="AH51" s="104" t="s">
        <v>214</v>
      </c>
      <c r="AI51" s="104" t="s">
        <v>185</v>
      </c>
      <c r="AJ51" s="104">
        <v>-404</v>
      </c>
      <c r="AK51" s="104">
        <v>-444</v>
      </c>
      <c r="AL51" s="106">
        <v>13972</v>
      </c>
    </row>
    <row r="52" spans="1:38" ht="13">
      <c r="A52" s="104" t="s">
        <v>460</v>
      </c>
      <c r="B52" s="104" t="s">
        <v>461</v>
      </c>
      <c r="C52" s="105">
        <v>46179.083796296298</v>
      </c>
      <c r="D52" s="104" t="s">
        <v>64</v>
      </c>
      <c r="E52" s="104" t="s">
        <v>65</v>
      </c>
      <c r="F52" s="104" t="s">
        <v>462</v>
      </c>
      <c r="G52" s="104" t="s">
        <v>463</v>
      </c>
      <c r="H52" s="104" t="s">
        <v>462</v>
      </c>
      <c r="I52" s="105">
        <v>46170.59065972222</v>
      </c>
      <c r="J52" s="104" t="s">
        <v>66</v>
      </c>
      <c r="K52" s="104" t="s">
        <v>67</v>
      </c>
      <c r="L52" s="104" t="s">
        <v>464</v>
      </c>
      <c r="M52" s="105">
        <v>46171.681932870371</v>
      </c>
      <c r="N52" s="104" t="s">
        <v>103</v>
      </c>
      <c r="O52" s="104" t="s">
        <v>70</v>
      </c>
      <c r="P52" s="104" t="s">
        <v>69</v>
      </c>
      <c r="Q52" s="104" t="s">
        <v>156</v>
      </c>
      <c r="R52" s="104">
        <v>2</v>
      </c>
      <c r="S52" s="106">
        <v>9500</v>
      </c>
      <c r="T52" s="106">
        <v>0</v>
      </c>
      <c r="U52" s="106">
        <v>4180</v>
      </c>
      <c r="V52" s="106">
        <v>4180</v>
      </c>
      <c r="W52" s="106">
        <v>14820</v>
      </c>
      <c r="X52" s="106"/>
      <c r="Y52" s="106"/>
      <c r="Z52" s="106"/>
      <c r="AA52" s="104" t="s">
        <v>465</v>
      </c>
      <c r="AB52" s="104" t="s">
        <v>182</v>
      </c>
      <c r="AC52" s="104" t="s">
        <v>183</v>
      </c>
      <c r="AD52" s="106">
        <v>3000</v>
      </c>
      <c r="AE52" s="106">
        <v>0</v>
      </c>
      <c r="AF52" s="106">
        <v>0</v>
      </c>
      <c r="AG52" s="105">
        <v>46170.078356481477</v>
      </c>
      <c r="AH52" s="104" t="s">
        <v>192</v>
      </c>
      <c r="AI52" s="104" t="s">
        <v>185</v>
      </c>
      <c r="AJ52" s="104">
        <v>-404</v>
      </c>
      <c r="AK52" s="104">
        <v>-148</v>
      </c>
      <c r="AL52" s="106">
        <v>14268</v>
      </c>
    </row>
    <row r="53" spans="1:38" ht="13">
      <c r="A53" s="104" t="s">
        <v>466</v>
      </c>
      <c r="B53" s="104" t="s">
        <v>467</v>
      </c>
      <c r="C53" s="105">
        <v>46179.092557870375</v>
      </c>
      <c r="D53" s="104" t="s">
        <v>64</v>
      </c>
      <c r="E53" s="104" t="s">
        <v>65</v>
      </c>
      <c r="F53" s="104" t="s">
        <v>468</v>
      </c>
      <c r="G53" s="104" t="s">
        <v>469</v>
      </c>
      <c r="H53" s="104" t="s">
        <v>468</v>
      </c>
      <c r="I53" s="105">
        <v>46170.62563657407</v>
      </c>
      <c r="J53" s="104" t="s">
        <v>66</v>
      </c>
      <c r="K53" s="104" t="s">
        <v>67</v>
      </c>
      <c r="L53" s="104" t="s">
        <v>470</v>
      </c>
      <c r="M53" s="105">
        <v>46171.563877314809</v>
      </c>
      <c r="N53" s="104" t="s">
        <v>103</v>
      </c>
      <c r="O53" s="104" t="s">
        <v>70</v>
      </c>
      <c r="P53" s="104" t="s">
        <v>69</v>
      </c>
      <c r="Q53" s="104" t="s">
        <v>205</v>
      </c>
      <c r="R53" s="104">
        <v>6</v>
      </c>
      <c r="S53" s="106">
        <v>9500</v>
      </c>
      <c r="T53" s="106">
        <v>0</v>
      </c>
      <c r="U53" s="106">
        <v>19980</v>
      </c>
      <c r="V53" s="106">
        <v>19980</v>
      </c>
      <c r="W53" s="106">
        <v>37020</v>
      </c>
      <c r="X53" s="106"/>
      <c r="Y53" s="106"/>
      <c r="Z53" s="106"/>
      <c r="AA53" s="104" t="s">
        <v>471</v>
      </c>
      <c r="AB53" s="104" t="s">
        <v>207</v>
      </c>
      <c r="AC53" s="104" t="s">
        <v>183</v>
      </c>
      <c r="AD53" s="106">
        <v>0</v>
      </c>
      <c r="AE53" s="106">
        <v>0</v>
      </c>
      <c r="AF53" s="106">
        <v>0</v>
      </c>
      <c r="AG53" s="105">
        <v>46170.595092592594</v>
      </c>
      <c r="AH53" s="104" t="s">
        <v>228</v>
      </c>
      <c r="AI53" s="104" t="s">
        <v>441</v>
      </c>
      <c r="AJ53" s="104">
        <v>-1008</v>
      </c>
      <c r="AK53" s="104">
        <v>-370</v>
      </c>
      <c r="AL53" s="106">
        <v>35642</v>
      </c>
    </row>
    <row r="54" spans="1:38" ht="13">
      <c r="A54" s="104" t="s">
        <v>472</v>
      </c>
      <c r="B54" s="104" t="s">
        <v>473</v>
      </c>
      <c r="C54" s="105">
        <v>46179.100347222222</v>
      </c>
      <c r="D54" s="104" t="s">
        <v>64</v>
      </c>
      <c r="E54" s="104" t="s">
        <v>65</v>
      </c>
      <c r="F54" s="104" t="s">
        <v>474</v>
      </c>
      <c r="G54" s="104" t="s">
        <v>475</v>
      </c>
      <c r="H54" s="104" t="s">
        <v>474</v>
      </c>
      <c r="I54" s="105">
        <v>46170.59065972222</v>
      </c>
      <c r="J54" s="104" t="s">
        <v>66</v>
      </c>
      <c r="K54" s="104" t="s">
        <v>67</v>
      </c>
      <c r="L54" s="104" t="s">
        <v>476</v>
      </c>
      <c r="M54" s="105">
        <v>46171.463067129633</v>
      </c>
      <c r="N54" s="104" t="s">
        <v>103</v>
      </c>
      <c r="O54" s="104" t="s">
        <v>70</v>
      </c>
      <c r="P54" s="104" t="s">
        <v>69</v>
      </c>
      <c r="Q54" s="104" t="s">
        <v>156</v>
      </c>
      <c r="R54" s="104">
        <v>2</v>
      </c>
      <c r="S54" s="106">
        <v>9500</v>
      </c>
      <c r="T54" s="106">
        <v>0</v>
      </c>
      <c r="U54" s="106">
        <v>4180</v>
      </c>
      <c r="V54" s="106">
        <v>4180</v>
      </c>
      <c r="W54" s="106">
        <v>14820</v>
      </c>
      <c r="X54" s="106"/>
      <c r="Y54" s="106"/>
      <c r="Z54" s="106"/>
      <c r="AA54" s="104" t="s">
        <v>477</v>
      </c>
      <c r="AB54" s="104" t="s">
        <v>182</v>
      </c>
      <c r="AC54" s="104" t="s">
        <v>183</v>
      </c>
      <c r="AD54" s="106">
        <v>3000</v>
      </c>
      <c r="AE54" s="106">
        <v>0</v>
      </c>
      <c r="AF54" s="106">
        <v>0</v>
      </c>
      <c r="AG54" s="105">
        <v>46169.939699074079</v>
      </c>
      <c r="AH54" s="104" t="s">
        <v>228</v>
      </c>
      <c r="AI54" s="104" t="s">
        <v>185</v>
      </c>
      <c r="AJ54" s="104">
        <v>-403</v>
      </c>
      <c r="AK54" s="104">
        <v>-148</v>
      </c>
      <c r="AL54" s="106">
        <v>14269</v>
      </c>
    </row>
    <row r="55" spans="1:38" ht="13">
      <c r="A55" s="104" t="s">
        <v>478</v>
      </c>
      <c r="B55" s="104" t="s">
        <v>479</v>
      </c>
      <c r="C55" s="105">
        <v>46179.100532407407</v>
      </c>
      <c r="D55" s="104" t="s">
        <v>64</v>
      </c>
      <c r="E55" s="104" t="s">
        <v>65</v>
      </c>
      <c r="F55" s="104" t="s">
        <v>480</v>
      </c>
      <c r="G55" s="104" t="s">
        <v>481</v>
      </c>
      <c r="H55" s="104" t="s">
        <v>480</v>
      </c>
      <c r="I55" s="105">
        <v>46170.59065972222</v>
      </c>
      <c r="J55" s="104" t="s">
        <v>66</v>
      </c>
      <c r="K55" s="104" t="s">
        <v>67</v>
      </c>
      <c r="L55" s="104" t="s">
        <v>482</v>
      </c>
      <c r="M55" s="105">
        <v>46171.962488425925</v>
      </c>
      <c r="N55" s="104" t="s">
        <v>103</v>
      </c>
      <c r="O55" s="104" t="s">
        <v>70</v>
      </c>
      <c r="P55" s="104" t="s">
        <v>69</v>
      </c>
      <c r="Q55" s="104" t="s">
        <v>156</v>
      </c>
      <c r="R55" s="104">
        <v>2</v>
      </c>
      <c r="S55" s="106">
        <v>9500</v>
      </c>
      <c r="T55" s="106">
        <v>0</v>
      </c>
      <c r="U55" s="106">
        <v>4180</v>
      </c>
      <c r="V55" s="106">
        <v>4180</v>
      </c>
      <c r="W55" s="106">
        <v>14820</v>
      </c>
      <c r="X55" s="106"/>
      <c r="Y55" s="106"/>
      <c r="Z55" s="106"/>
      <c r="AA55" s="104" t="s">
        <v>483</v>
      </c>
      <c r="AB55" s="104" t="s">
        <v>182</v>
      </c>
      <c r="AC55" s="104" t="s">
        <v>183</v>
      </c>
      <c r="AD55" s="106">
        <v>3000</v>
      </c>
      <c r="AE55" s="106">
        <v>0</v>
      </c>
      <c r="AF55" s="106">
        <v>0</v>
      </c>
      <c r="AG55" s="105">
        <v>46169.889872685184</v>
      </c>
      <c r="AH55" s="104" t="s">
        <v>214</v>
      </c>
      <c r="AI55" s="104" t="s">
        <v>185</v>
      </c>
      <c r="AJ55" s="104">
        <v>-403</v>
      </c>
      <c r="AK55" s="104">
        <v>-148</v>
      </c>
      <c r="AL55" s="106">
        <v>14269</v>
      </c>
    </row>
    <row r="56" spans="1:38" ht="13">
      <c r="A56" s="104" t="s">
        <v>484</v>
      </c>
      <c r="B56" s="104" t="s">
        <v>485</v>
      </c>
      <c r="C56" s="105">
        <v>46179.11037037037</v>
      </c>
      <c r="D56" s="104" t="s">
        <v>64</v>
      </c>
      <c r="E56" s="104" t="s">
        <v>65</v>
      </c>
      <c r="F56" s="104" t="s">
        <v>486</v>
      </c>
      <c r="G56" s="104" t="s">
        <v>487</v>
      </c>
      <c r="H56" s="104" t="s">
        <v>486</v>
      </c>
      <c r="I56" s="105">
        <v>46170.62563657407</v>
      </c>
      <c r="J56" s="104" t="s">
        <v>66</v>
      </c>
      <c r="K56" s="104" t="s">
        <v>67</v>
      </c>
      <c r="L56" s="104" t="s">
        <v>488</v>
      </c>
      <c r="M56" s="105">
        <v>46171.549328703702</v>
      </c>
      <c r="N56" s="104" t="s">
        <v>103</v>
      </c>
      <c r="O56" s="104" t="s">
        <v>70</v>
      </c>
      <c r="P56" s="104" t="s">
        <v>69</v>
      </c>
      <c r="Q56" s="104" t="s">
        <v>156</v>
      </c>
      <c r="R56" s="104">
        <v>2</v>
      </c>
      <c r="S56" s="106">
        <v>9500</v>
      </c>
      <c r="T56" s="106">
        <v>0</v>
      </c>
      <c r="U56" s="106">
        <v>4180</v>
      </c>
      <c r="V56" s="106">
        <v>4180</v>
      </c>
      <c r="W56" s="106">
        <v>14820</v>
      </c>
      <c r="X56" s="106"/>
      <c r="Y56" s="106"/>
      <c r="Z56" s="106"/>
      <c r="AA56" s="104" t="s">
        <v>489</v>
      </c>
      <c r="AB56" s="104" t="s">
        <v>182</v>
      </c>
      <c r="AC56" s="104" t="s">
        <v>183</v>
      </c>
      <c r="AD56" s="106">
        <v>3000</v>
      </c>
      <c r="AE56" s="106">
        <v>0</v>
      </c>
      <c r="AF56" s="106">
        <v>0</v>
      </c>
      <c r="AG56" s="105">
        <v>46170.507268518515</v>
      </c>
      <c r="AH56" s="104" t="s">
        <v>192</v>
      </c>
      <c r="AI56" s="104" t="s">
        <v>185</v>
      </c>
      <c r="AJ56" s="104">
        <v>-404</v>
      </c>
      <c r="AK56" s="104">
        <v>-148</v>
      </c>
      <c r="AL56" s="106">
        <v>14268</v>
      </c>
    </row>
    <row r="57" spans="1:38" ht="13">
      <c r="A57" s="104" t="s">
        <v>490</v>
      </c>
      <c r="B57" s="104" t="s">
        <v>491</v>
      </c>
      <c r="C57" s="105">
        <v>46180.074652777781</v>
      </c>
      <c r="D57" s="104" t="s">
        <v>64</v>
      </c>
      <c r="E57" s="104" t="s">
        <v>65</v>
      </c>
      <c r="F57" s="104" t="s">
        <v>492</v>
      </c>
      <c r="G57" s="104" t="s">
        <v>493</v>
      </c>
      <c r="H57" s="104" t="s">
        <v>492</v>
      </c>
      <c r="I57" s="105">
        <v>46171.507268518515</v>
      </c>
      <c r="J57" s="104" t="s">
        <v>66</v>
      </c>
      <c r="K57" s="104" t="s">
        <v>67</v>
      </c>
      <c r="L57" s="104" t="s">
        <v>494</v>
      </c>
      <c r="M57" s="105">
        <v>46172.429375</v>
      </c>
      <c r="N57" s="104" t="s">
        <v>103</v>
      </c>
      <c r="O57" s="104" t="s">
        <v>70</v>
      </c>
      <c r="P57" s="104" t="s">
        <v>69</v>
      </c>
      <c r="Q57" s="104" t="s">
        <v>205</v>
      </c>
      <c r="R57" s="104">
        <v>6</v>
      </c>
      <c r="S57" s="106">
        <v>9500</v>
      </c>
      <c r="T57" s="106">
        <v>0</v>
      </c>
      <c r="U57" s="106">
        <v>19980</v>
      </c>
      <c r="V57" s="106">
        <v>19980</v>
      </c>
      <c r="W57" s="106">
        <v>37020</v>
      </c>
      <c r="X57" s="106"/>
      <c r="Y57" s="106"/>
      <c r="Z57" s="106"/>
      <c r="AA57" s="104" t="s">
        <v>495</v>
      </c>
      <c r="AB57" s="104" t="s">
        <v>207</v>
      </c>
      <c r="AC57" s="104" t="s">
        <v>183</v>
      </c>
      <c r="AD57" s="106">
        <v>0</v>
      </c>
      <c r="AE57" s="106">
        <v>0</v>
      </c>
      <c r="AF57" s="106">
        <v>0</v>
      </c>
      <c r="AG57" s="105">
        <v>46170.896261574075</v>
      </c>
      <c r="AH57" s="104" t="s">
        <v>214</v>
      </c>
      <c r="AI57" s="104" t="s">
        <v>185</v>
      </c>
      <c r="AJ57" s="104">
        <v>-1009</v>
      </c>
      <c r="AK57" s="104">
        <v>-370</v>
      </c>
      <c r="AL57" s="106">
        <v>35641</v>
      </c>
    </row>
    <row r="58" spans="1:38" ht="13">
      <c r="A58" s="104" t="s">
        <v>496</v>
      </c>
      <c r="B58" s="104" t="s">
        <v>497</v>
      </c>
      <c r="C58" s="105">
        <v>46180.105312500003</v>
      </c>
      <c r="D58" s="104" t="s">
        <v>64</v>
      </c>
      <c r="E58" s="104" t="s">
        <v>65</v>
      </c>
      <c r="F58" s="104" t="s">
        <v>498</v>
      </c>
      <c r="G58" s="104" t="s">
        <v>499</v>
      </c>
      <c r="H58" s="104" t="s">
        <v>498</v>
      </c>
      <c r="I58" s="105">
        <v>46171.653124999997</v>
      </c>
      <c r="J58" s="104" t="s">
        <v>66</v>
      </c>
      <c r="K58" s="104" t="s">
        <v>67</v>
      </c>
      <c r="L58" s="104" t="s">
        <v>500</v>
      </c>
      <c r="M58" s="105">
        <v>46172.469166666662</v>
      </c>
      <c r="N58" s="104" t="s">
        <v>103</v>
      </c>
      <c r="O58" s="104" t="s">
        <v>70</v>
      </c>
      <c r="P58" s="104" t="s">
        <v>69</v>
      </c>
      <c r="Q58" s="104" t="s">
        <v>205</v>
      </c>
      <c r="R58" s="104">
        <v>6</v>
      </c>
      <c r="S58" s="106">
        <v>9500</v>
      </c>
      <c r="T58" s="106">
        <v>0</v>
      </c>
      <c r="U58" s="106">
        <v>22980</v>
      </c>
      <c r="V58" s="106">
        <v>19980</v>
      </c>
      <c r="W58" s="106">
        <v>34020</v>
      </c>
      <c r="X58" s="106"/>
      <c r="Y58" s="106"/>
      <c r="Z58" s="106"/>
      <c r="AA58" s="104" t="s">
        <v>501</v>
      </c>
      <c r="AB58" s="104" t="s">
        <v>207</v>
      </c>
      <c r="AC58" s="104" t="s">
        <v>183</v>
      </c>
      <c r="AD58" s="106">
        <v>0</v>
      </c>
      <c r="AE58" s="106">
        <v>0</v>
      </c>
      <c r="AF58" s="106">
        <v>0</v>
      </c>
      <c r="AG58" s="105">
        <v>46171.596666666665</v>
      </c>
      <c r="AH58" s="104" t="s">
        <v>192</v>
      </c>
      <c r="AI58" s="104" t="s">
        <v>185</v>
      </c>
      <c r="AJ58" s="104">
        <v>-1009</v>
      </c>
      <c r="AK58" s="104">
        <v>-1110</v>
      </c>
      <c r="AL58" s="106">
        <v>34901</v>
      </c>
    </row>
    <row r="59" spans="1:38" ht="13">
      <c r="A59" s="104" t="s">
        <v>502</v>
      </c>
      <c r="B59" s="104" t="s">
        <v>503</v>
      </c>
      <c r="C59" s="105">
        <v>46180.415150462963</v>
      </c>
      <c r="D59" s="104" t="s">
        <v>64</v>
      </c>
      <c r="E59" s="104" t="s">
        <v>65</v>
      </c>
      <c r="F59" s="104" t="s">
        <v>504</v>
      </c>
      <c r="G59" s="104" t="s">
        <v>505</v>
      </c>
      <c r="H59" s="104" t="s">
        <v>504</v>
      </c>
      <c r="I59" s="105">
        <v>46175.534363425926</v>
      </c>
      <c r="J59" s="104" t="s">
        <v>66</v>
      </c>
      <c r="K59" s="104" t="s">
        <v>67</v>
      </c>
      <c r="L59" s="104" t="s">
        <v>506</v>
      </c>
      <c r="M59" s="105">
        <v>46178.860173611116</v>
      </c>
      <c r="N59" s="104" t="s">
        <v>103</v>
      </c>
      <c r="O59" s="104" t="s">
        <v>70</v>
      </c>
      <c r="P59" s="104" t="s">
        <v>69</v>
      </c>
      <c r="Q59" s="104" t="s">
        <v>156</v>
      </c>
      <c r="R59" s="104">
        <v>2</v>
      </c>
      <c r="S59" s="106">
        <v>9500</v>
      </c>
      <c r="T59" s="106">
        <v>0</v>
      </c>
      <c r="U59" s="106">
        <v>4180</v>
      </c>
      <c r="V59" s="106">
        <v>4180</v>
      </c>
      <c r="W59" s="106">
        <v>14820</v>
      </c>
      <c r="X59" s="106"/>
      <c r="Y59" s="106"/>
      <c r="Z59" s="106"/>
      <c r="AA59" s="104" t="s">
        <v>507</v>
      </c>
      <c r="AB59" s="104" t="s">
        <v>182</v>
      </c>
      <c r="AC59" s="104" t="s">
        <v>183</v>
      </c>
      <c r="AD59" s="106">
        <v>3000</v>
      </c>
      <c r="AE59" s="106">
        <v>0</v>
      </c>
      <c r="AF59" s="106">
        <v>0</v>
      </c>
      <c r="AG59" s="105">
        <v>46174.933368055557</v>
      </c>
      <c r="AH59" s="104" t="s">
        <v>214</v>
      </c>
      <c r="AI59" s="104" t="s">
        <v>185</v>
      </c>
      <c r="AJ59" s="104">
        <v>-404</v>
      </c>
      <c r="AK59" s="104">
        <v>-148</v>
      </c>
      <c r="AL59" s="106">
        <v>14268</v>
      </c>
    </row>
    <row r="60" spans="1:38" ht="13">
      <c r="A60" s="104" t="s">
        <v>508</v>
      </c>
      <c r="B60" s="104" t="s">
        <v>509</v>
      </c>
      <c r="C60" s="105">
        <v>46180.529004629629</v>
      </c>
      <c r="D60" s="104" t="s">
        <v>64</v>
      </c>
      <c r="E60" s="104" t="s">
        <v>65</v>
      </c>
      <c r="F60" s="104" t="s">
        <v>510</v>
      </c>
      <c r="G60" s="104" t="s">
        <v>511</v>
      </c>
      <c r="H60" s="104" t="s">
        <v>510</v>
      </c>
      <c r="I60" s="105">
        <v>46175.534363425926</v>
      </c>
      <c r="J60" s="104" t="s">
        <v>66</v>
      </c>
      <c r="K60" s="104" t="s">
        <v>67</v>
      </c>
      <c r="L60" s="104" t="s">
        <v>512</v>
      </c>
      <c r="M60" s="105">
        <v>46177.554432870369</v>
      </c>
      <c r="N60" s="104" t="s">
        <v>103</v>
      </c>
      <c r="O60" s="104" t="s">
        <v>70</v>
      </c>
      <c r="P60" s="104" t="s">
        <v>69</v>
      </c>
      <c r="Q60" s="104" t="s">
        <v>156</v>
      </c>
      <c r="R60" s="104">
        <v>3</v>
      </c>
      <c r="S60" s="106">
        <v>9500</v>
      </c>
      <c r="T60" s="106">
        <v>0</v>
      </c>
      <c r="U60" s="106">
        <v>6270</v>
      </c>
      <c r="V60" s="106">
        <v>6270</v>
      </c>
      <c r="W60" s="106">
        <v>22230</v>
      </c>
      <c r="X60" s="106"/>
      <c r="Y60" s="106"/>
      <c r="Z60" s="106"/>
      <c r="AA60" s="104" t="s">
        <v>513</v>
      </c>
      <c r="AB60" s="104" t="s">
        <v>182</v>
      </c>
      <c r="AC60" s="104" t="s">
        <v>183</v>
      </c>
      <c r="AD60" s="106">
        <v>3000</v>
      </c>
      <c r="AE60" s="106">
        <v>0</v>
      </c>
      <c r="AF60" s="106">
        <v>0</v>
      </c>
      <c r="AG60" s="105">
        <v>46174.936064814814</v>
      </c>
      <c r="AH60" s="104" t="s">
        <v>214</v>
      </c>
      <c r="AI60" s="104" t="s">
        <v>185</v>
      </c>
      <c r="AJ60" s="104">
        <v>-605</v>
      </c>
      <c r="AK60" s="104">
        <v>-222</v>
      </c>
      <c r="AL60" s="106">
        <v>21403</v>
      </c>
    </row>
    <row r="61" spans="1:38" ht="13">
      <c r="A61" s="104" t="s">
        <v>514</v>
      </c>
      <c r="B61" s="104" t="s">
        <v>515</v>
      </c>
      <c r="C61" s="105">
        <v>46181.414120370369</v>
      </c>
      <c r="D61" s="104" t="s">
        <v>64</v>
      </c>
      <c r="E61" s="104" t="s">
        <v>65</v>
      </c>
      <c r="F61" s="104" t="s">
        <v>516</v>
      </c>
      <c r="G61" s="104" t="s">
        <v>517</v>
      </c>
      <c r="H61" s="104" t="s">
        <v>518</v>
      </c>
      <c r="I61" s="105">
        <v>46175.645486111112</v>
      </c>
      <c r="J61" s="104" t="s">
        <v>66</v>
      </c>
      <c r="K61" s="104" t="s">
        <v>67</v>
      </c>
      <c r="L61" s="104" t="s">
        <v>519</v>
      </c>
      <c r="M61" s="105">
        <v>46177.466053240743</v>
      </c>
      <c r="N61" s="104" t="s">
        <v>103</v>
      </c>
      <c r="O61" s="104" t="s">
        <v>70</v>
      </c>
      <c r="P61" s="104" t="s">
        <v>69</v>
      </c>
      <c r="Q61" s="104" t="s">
        <v>205</v>
      </c>
      <c r="R61" s="104">
        <v>6</v>
      </c>
      <c r="S61" s="106">
        <v>9500</v>
      </c>
      <c r="T61" s="106">
        <v>0</v>
      </c>
      <c r="U61" s="106">
        <v>19980</v>
      </c>
      <c r="V61" s="106">
        <v>19980</v>
      </c>
      <c r="W61" s="106">
        <v>37020</v>
      </c>
      <c r="X61" s="106"/>
      <c r="Y61" s="106"/>
      <c r="Z61" s="106"/>
      <c r="AA61" s="104" t="s">
        <v>520</v>
      </c>
      <c r="AB61" s="104" t="s">
        <v>207</v>
      </c>
      <c r="AC61" s="104" t="s">
        <v>183</v>
      </c>
      <c r="AD61" s="106">
        <v>0</v>
      </c>
      <c r="AE61" s="106">
        <v>0</v>
      </c>
      <c r="AF61" s="106">
        <v>0</v>
      </c>
      <c r="AG61" s="105">
        <v>46175.428703703699</v>
      </c>
      <c r="AH61" s="104" t="s">
        <v>192</v>
      </c>
      <c r="AI61" s="104" t="s">
        <v>185</v>
      </c>
      <c r="AJ61" s="104">
        <v>-1009</v>
      </c>
      <c r="AK61" s="104">
        <v>-370</v>
      </c>
      <c r="AL61" s="106">
        <v>35641</v>
      </c>
    </row>
    <row r="62" spans="1:38" ht="13">
      <c r="A62" s="104" t="s">
        <v>521</v>
      </c>
      <c r="B62" s="104" t="s">
        <v>522</v>
      </c>
      <c r="C62" s="105">
        <v>46181.491643518515</v>
      </c>
      <c r="D62" s="104" t="s">
        <v>64</v>
      </c>
      <c r="E62" s="104" t="s">
        <v>65</v>
      </c>
      <c r="F62" s="104" t="s">
        <v>523</v>
      </c>
      <c r="G62" s="104" t="s">
        <v>524</v>
      </c>
      <c r="H62" s="104" t="s">
        <v>523</v>
      </c>
      <c r="I62" s="105">
        <v>46177.673321759255</v>
      </c>
      <c r="J62" s="104" t="s">
        <v>66</v>
      </c>
      <c r="K62" s="104" t="s">
        <v>67</v>
      </c>
      <c r="L62" s="104" t="s">
        <v>525</v>
      </c>
      <c r="M62" s="105">
        <v>46178.383368055554</v>
      </c>
      <c r="N62" s="104" t="s">
        <v>103</v>
      </c>
      <c r="O62" s="104" t="s">
        <v>107</v>
      </c>
      <c r="P62" s="104" t="s">
        <v>68</v>
      </c>
      <c r="Q62" s="104" t="s">
        <v>104</v>
      </c>
      <c r="R62" s="104">
        <v>1</v>
      </c>
      <c r="S62" s="106">
        <v>21060</v>
      </c>
      <c r="T62" s="106">
        <v>0</v>
      </c>
      <c r="U62" s="106">
        <v>0</v>
      </c>
      <c r="V62" s="106">
        <v>0</v>
      </c>
      <c r="W62" s="106">
        <v>21060</v>
      </c>
      <c r="X62" s="106"/>
      <c r="Y62" s="106"/>
      <c r="Z62" s="106"/>
      <c r="AA62" s="104" t="s">
        <v>526</v>
      </c>
      <c r="AB62" s="104" t="s">
        <v>207</v>
      </c>
      <c r="AC62" s="104" t="s">
        <v>183</v>
      </c>
      <c r="AD62" s="106">
        <v>0</v>
      </c>
      <c r="AE62" s="106">
        <v>0</v>
      </c>
      <c r="AF62" s="106">
        <v>0</v>
      </c>
      <c r="AG62" s="105">
        <v>46177.381238425922</v>
      </c>
      <c r="AH62" s="104" t="s">
        <v>214</v>
      </c>
      <c r="AI62" s="104" t="s">
        <v>185</v>
      </c>
      <c r="AJ62" s="104">
        <v>-574</v>
      </c>
      <c r="AK62" s="104">
        <v>-631</v>
      </c>
      <c r="AL62" s="106">
        <v>19855</v>
      </c>
    </row>
    <row r="63" spans="1:38" ht="13">
      <c r="A63" s="104" t="s">
        <v>527</v>
      </c>
      <c r="B63" s="104" t="s">
        <v>522</v>
      </c>
      <c r="C63" s="105">
        <v>46181.491643518515</v>
      </c>
      <c r="D63" s="104" t="s">
        <v>64</v>
      </c>
      <c r="E63" s="104" t="s">
        <v>65</v>
      </c>
      <c r="F63" s="104" t="s">
        <v>523</v>
      </c>
      <c r="G63" s="104" t="s">
        <v>524</v>
      </c>
      <c r="H63" s="104" t="s">
        <v>523</v>
      </c>
      <c r="I63" s="105">
        <v>46177.673321759255</v>
      </c>
      <c r="J63" s="104" t="s">
        <v>66</v>
      </c>
      <c r="K63" s="104" t="s">
        <v>67</v>
      </c>
      <c r="L63" s="104" t="s">
        <v>525</v>
      </c>
      <c r="M63" s="105">
        <v>46178.383368055554</v>
      </c>
      <c r="N63" s="104" t="s">
        <v>103</v>
      </c>
      <c r="O63" s="104" t="s">
        <v>70</v>
      </c>
      <c r="P63" s="104" t="s">
        <v>69</v>
      </c>
      <c r="Q63" s="104" t="s">
        <v>156</v>
      </c>
      <c r="R63" s="104">
        <v>2</v>
      </c>
      <c r="S63" s="106">
        <v>9500</v>
      </c>
      <c r="T63" s="106">
        <v>0</v>
      </c>
      <c r="U63" s="106">
        <v>4180</v>
      </c>
      <c r="V63" s="106">
        <v>4180</v>
      </c>
      <c r="W63" s="106">
        <v>14820</v>
      </c>
      <c r="X63" s="106"/>
      <c r="Y63" s="106"/>
      <c r="Z63" s="106"/>
      <c r="AA63" s="104" t="s">
        <v>526</v>
      </c>
      <c r="AB63" s="104" t="s">
        <v>207</v>
      </c>
      <c r="AC63" s="104" t="s">
        <v>183</v>
      </c>
      <c r="AD63" s="106">
        <v>0</v>
      </c>
      <c r="AE63" s="106">
        <v>0</v>
      </c>
      <c r="AF63" s="106">
        <v>0</v>
      </c>
      <c r="AG63" s="105">
        <v>46177.381238425922</v>
      </c>
      <c r="AH63" s="104" t="s">
        <v>214</v>
      </c>
      <c r="AI63" s="104" t="s">
        <v>185</v>
      </c>
      <c r="AJ63" s="104">
        <v>-404</v>
      </c>
      <c r="AK63" s="104">
        <v>-444</v>
      </c>
      <c r="AL63" s="106">
        <v>13972</v>
      </c>
    </row>
    <row r="64" spans="1:38" ht="13">
      <c r="A64" s="104" t="s">
        <v>528</v>
      </c>
      <c r="B64" s="104" t="s">
        <v>529</v>
      </c>
      <c r="C64" s="105">
        <v>46181.591863425929</v>
      </c>
      <c r="D64" s="104" t="s">
        <v>64</v>
      </c>
      <c r="E64" s="104" t="s">
        <v>65</v>
      </c>
      <c r="F64" s="104" t="s">
        <v>530</v>
      </c>
      <c r="G64" s="104" t="s">
        <v>140</v>
      </c>
      <c r="H64" s="104" t="s">
        <v>530</v>
      </c>
      <c r="I64" s="105">
        <v>46177.57603009259</v>
      </c>
      <c r="J64" s="104" t="s">
        <v>66</v>
      </c>
      <c r="K64" s="104" t="s">
        <v>67</v>
      </c>
      <c r="L64" s="104" t="s">
        <v>531</v>
      </c>
      <c r="M64" s="105">
        <v>46178.963182870371</v>
      </c>
      <c r="N64" s="104" t="s">
        <v>103</v>
      </c>
      <c r="O64" s="104" t="s">
        <v>107</v>
      </c>
      <c r="P64" s="104" t="s">
        <v>68</v>
      </c>
      <c r="Q64" s="104" t="s">
        <v>104</v>
      </c>
      <c r="R64" s="104">
        <v>2</v>
      </c>
      <c r="S64" s="106">
        <v>21060</v>
      </c>
      <c r="T64" s="106">
        <v>0</v>
      </c>
      <c r="U64" s="106">
        <v>0</v>
      </c>
      <c r="V64" s="106">
        <v>0</v>
      </c>
      <c r="W64" s="106">
        <v>42120</v>
      </c>
      <c r="X64" s="106"/>
      <c r="Y64" s="106"/>
      <c r="Z64" s="106"/>
      <c r="AA64" s="104" t="s">
        <v>532</v>
      </c>
      <c r="AB64" s="104" t="s">
        <v>207</v>
      </c>
      <c r="AC64" s="104" t="s">
        <v>183</v>
      </c>
      <c r="AD64" s="106">
        <v>0</v>
      </c>
      <c r="AE64" s="106">
        <v>0</v>
      </c>
      <c r="AF64" s="106">
        <v>0</v>
      </c>
      <c r="AG64" s="105">
        <v>46176.713645833333</v>
      </c>
      <c r="AH64" s="104" t="s">
        <v>214</v>
      </c>
      <c r="AI64" s="104" t="s">
        <v>185</v>
      </c>
      <c r="AJ64" s="104">
        <v>-1149</v>
      </c>
      <c r="AK64" s="104">
        <v>-1263</v>
      </c>
      <c r="AL64" s="106">
        <v>39708</v>
      </c>
    </row>
    <row r="65" spans="1:38" ht="13">
      <c r="A65" s="104" t="s">
        <v>533</v>
      </c>
      <c r="B65" s="104" t="s">
        <v>529</v>
      </c>
      <c r="C65" s="105">
        <v>46181.591863425929</v>
      </c>
      <c r="D65" s="104" t="s">
        <v>64</v>
      </c>
      <c r="E65" s="104" t="s">
        <v>65</v>
      </c>
      <c r="F65" s="104" t="s">
        <v>530</v>
      </c>
      <c r="G65" s="104" t="s">
        <v>140</v>
      </c>
      <c r="H65" s="104" t="s">
        <v>530</v>
      </c>
      <c r="I65" s="105">
        <v>46177.57603009259</v>
      </c>
      <c r="J65" s="104" t="s">
        <v>66</v>
      </c>
      <c r="K65" s="104" t="s">
        <v>67</v>
      </c>
      <c r="L65" s="104" t="s">
        <v>531</v>
      </c>
      <c r="M65" s="105">
        <v>46178.963182870371</v>
      </c>
      <c r="N65" s="104" t="s">
        <v>103</v>
      </c>
      <c r="O65" s="104" t="s">
        <v>70</v>
      </c>
      <c r="P65" s="104" t="s">
        <v>69</v>
      </c>
      <c r="Q65" s="104" t="s">
        <v>156</v>
      </c>
      <c r="R65" s="104">
        <v>1</v>
      </c>
      <c r="S65" s="106">
        <v>9500</v>
      </c>
      <c r="T65" s="106">
        <v>0</v>
      </c>
      <c r="U65" s="106">
        <v>2090</v>
      </c>
      <c r="V65" s="106">
        <v>2090</v>
      </c>
      <c r="W65" s="106">
        <v>7410</v>
      </c>
      <c r="X65" s="106"/>
      <c r="Y65" s="106"/>
      <c r="Z65" s="106"/>
      <c r="AA65" s="104" t="s">
        <v>532</v>
      </c>
      <c r="AB65" s="104" t="s">
        <v>207</v>
      </c>
      <c r="AC65" s="104" t="s">
        <v>183</v>
      </c>
      <c r="AD65" s="106">
        <v>0</v>
      </c>
      <c r="AE65" s="106">
        <v>0</v>
      </c>
      <c r="AF65" s="106">
        <v>0</v>
      </c>
      <c r="AG65" s="105">
        <v>46176.713645833333</v>
      </c>
      <c r="AH65" s="104" t="s">
        <v>214</v>
      </c>
      <c r="AI65" s="104" t="s">
        <v>185</v>
      </c>
      <c r="AJ65" s="104">
        <v>-202</v>
      </c>
      <c r="AK65" s="104">
        <v>-222</v>
      </c>
      <c r="AL65" s="106">
        <v>6986</v>
      </c>
    </row>
    <row r="66" spans="1:38" ht="13">
      <c r="A66" s="104" t="s">
        <v>534</v>
      </c>
      <c r="B66" s="104" t="s">
        <v>535</v>
      </c>
      <c r="C66" s="105">
        <v>46181.634675925925</v>
      </c>
      <c r="D66" s="104" t="s">
        <v>64</v>
      </c>
      <c r="E66" s="104" t="s">
        <v>65</v>
      </c>
      <c r="F66" s="104" t="s">
        <v>536</v>
      </c>
      <c r="G66" s="104" t="s">
        <v>537</v>
      </c>
      <c r="H66" s="104" t="s">
        <v>536</v>
      </c>
      <c r="I66" s="105">
        <v>46177.582986111112</v>
      </c>
      <c r="J66" s="104" t="s">
        <v>66</v>
      </c>
      <c r="K66" s="104" t="s">
        <v>67</v>
      </c>
      <c r="L66" s="104" t="s">
        <v>538</v>
      </c>
      <c r="M66" s="105">
        <v>46178.68476851852</v>
      </c>
      <c r="N66" s="104" t="s">
        <v>103</v>
      </c>
      <c r="O66" s="104" t="s">
        <v>70</v>
      </c>
      <c r="P66" s="104" t="s">
        <v>69</v>
      </c>
      <c r="Q66" s="104" t="s">
        <v>156</v>
      </c>
      <c r="R66" s="104">
        <v>3</v>
      </c>
      <c r="S66" s="106">
        <v>9500</v>
      </c>
      <c r="T66" s="106">
        <v>0</v>
      </c>
      <c r="U66" s="106">
        <v>6270</v>
      </c>
      <c r="V66" s="106">
        <v>6270</v>
      </c>
      <c r="W66" s="106">
        <v>22230</v>
      </c>
      <c r="X66" s="106"/>
      <c r="Y66" s="106"/>
      <c r="Z66" s="106"/>
      <c r="AA66" s="104" t="s">
        <v>539</v>
      </c>
      <c r="AB66" s="104" t="s">
        <v>182</v>
      </c>
      <c r="AC66" s="104" t="s">
        <v>183</v>
      </c>
      <c r="AD66" s="106">
        <v>3000</v>
      </c>
      <c r="AE66" s="106">
        <v>0</v>
      </c>
      <c r="AF66" s="106">
        <v>0</v>
      </c>
      <c r="AG66" s="105">
        <v>46177.33116898148</v>
      </c>
      <c r="AH66" s="104" t="s">
        <v>192</v>
      </c>
      <c r="AI66" s="104" t="s">
        <v>185</v>
      </c>
      <c r="AJ66" s="104">
        <v>-606</v>
      </c>
      <c r="AK66" s="104">
        <v>-222</v>
      </c>
      <c r="AL66" s="106">
        <v>21402</v>
      </c>
    </row>
    <row r="67" spans="1:38" ht="13">
      <c r="A67" s="104" t="s">
        <v>540</v>
      </c>
      <c r="B67" s="104" t="s">
        <v>541</v>
      </c>
      <c r="C67" s="105">
        <v>46181.713495370372</v>
      </c>
      <c r="D67" s="104" t="s">
        <v>64</v>
      </c>
      <c r="E67" s="104" t="s">
        <v>65</v>
      </c>
      <c r="F67" s="104" t="s">
        <v>542</v>
      </c>
      <c r="G67" s="104" t="s">
        <v>543</v>
      </c>
      <c r="H67" s="104" t="s">
        <v>542</v>
      </c>
      <c r="I67" s="105">
        <v>46174.652453703704</v>
      </c>
      <c r="J67" s="104" t="s">
        <v>66</v>
      </c>
      <c r="K67" s="104" t="s">
        <v>67</v>
      </c>
      <c r="L67" s="104" t="s">
        <v>544</v>
      </c>
      <c r="M67" s="105">
        <v>46175.759027777778</v>
      </c>
      <c r="N67" s="104" t="s">
        <v>103</v>
      </c>
      <c r="O67" s="104" t="s">
        <v>70</v>
      </c>
      <c r="P67" s="104" t="s">
        <v>69</v>
      </c>
      <c r="Q67" s="104" t="s">
        <v>156</v>
      </c>
      <c r="R67" s="104">
        <v>2</v>
      </c>
      <c r="S67" s="106">
        <v>9500</v>
      </c>
      <c r="T67" s="106">
        <v>0</v>
      </c>
      <c r="U67" s="106">
        <v>4180</v>
      </c>
      <c r="V67" s="106">
        <v>4180</v>
      </c>
      <c r="W67" s="106">
        <v>14820</v>
      </c>
      <c r="X67" s="106"/>
      <c r="Y67" s="106"/>
      <c r="Z67" s="106"/>
      <c r="AA67" s="104" t="s">
        <v>545</v>
      </c>
      <c r="AB67" s="104" t="s">
        <v>182</v>
      </c>
      <c r="AC67" s="104" t="s">
        <v>183</v>
      </c>
      <c r="AD67" s="106">
        <v>3000</v>
      </c>
      <c r="AE67" s="106">
        <v>0</v>
      </c>
      <c r="AF67" s="106">
        <v>0</v>
      </c>
      <c r="AG67" s="105">
        <v>46173.447592592594</v>
      </c>
      <c r="AH67" s="104" t="s">
        <v>214</v>
      </c>
      <c r="AI67" s="104" t="s">
        <v>185</v>
      </c>
      <c r="AJ67" s="104">
        <v>-404</v>
      </c>
      <c r="AK67" s="104">
        <v>-148</v>
      </c>
      <c r="AL67" s="106">
        <v>14268</v>
      </c>
    </row>
    <row r="68" spans="1:38" ht="13">
      <c r="A68" s="104" t="s">
        <v>546</v>
      </c>
      <c r="B68" s="104" t="s">
        <v>547</v>
      </c>
      <c r="C68" s="105">
        <v>46183.13789351852</v>
      </c>
      <c r="D68" s="104" t="s">
        <v>64</v>
      </c>
      <c r="E68" s="104" t="s">
        <v>65</v>
      </c>
      <c r="F68" s="104" t="s">
        <v>548</v>
      </c>
      <c r="G68" s="104" t="s">
        <v>549</v>
      </c>
      <c r="H68" s="104" t="s">
        <v>548</v>
      </c>
      <c r="I68" s="105">
        <v>46174.63857638889</v>
      </c>
      <c r="J68" s="104" t="s">
        <v>66</v>
      </c>
      <c r="K68" s="104" t="s">
        <v>67</v>
      </c>
      <c r="L68" s="104" t="s">
        <v>550</v>
      </c>
      <c r="M68" s="105">
        <v>46175.468171296292</v>
      </c>
      <c r="N68" s="104" t="s">
        <v>103</v>
      </c>
      <c r="O68" s="104" t="s">
        <v>70</v>
      </c>
      <c r="P68" s="104" t="s">
        <v>69</v>
      </c>
      <c r="Q68" s="104" t="s">
        <v>205</v>
      </c>
      <c r="R68" s="104">
        <v>6</v>
      </c>
      <c r="S68" s="106">
        <v>9500</v>
      </c>
      <c r="T68" s="106">
        <v>0</v>
      </c>
      <c r="U68" s="106">
        <v>19980</v>
      </c>
      <c r="V68" s="106">
        <v>19980</v>
      </c>
      <c r="W68" s="106">
        <v>37020</v>
      </c>
      <c r="X68" s="106"/>
      <c r="Y68" s="106"/>
      <c r="Z68" s="106"/>
      <c r="AA68" s="104" t="s">
        <v>551</v>
      </c>
      <c r="AB68" s="104" t="s">
        <v>207</v>
      </c>
      <c r="AC68" s="104" t="s">
        <v>183</v>
      </c>
      <c r="AD68" s="106">
        <v>0</v>
      </c>
      <c r="AE68" s="106">
        <v>0</v>
      </c>
      <c r="AF68" s="106">
        <v>0</v>
      </c>
      <c r="AG68" s="105">
        <v>46173.970937499995</v>
      </c>
      <c r="AH68" s="104" t="s">
        <v>214</v>
      </c>
      <c r="AI68" s="104" t="s">
        <v>185</v>
      </c>
      <c r="AJ68" s="104">
        <v>-1009</v>
      </c>
      <c r="AK68" s="104">
        <v>-370</v>
      </c>
      <c r="AL68" s="106">
        <v>35641</v>
      </c>
    </row>
    <row r="69" spans="1:38" ht="13">
      <c r="A69" s="104" t="s">
        <v>552</v>
      </c>
      <c r="B69" s="104" t="s">
        <v>553</v>
      </c>
      <c r="C69" s="105">
        <v>46183.140092592592</v>
      </c>
      <c r="D69" s="104" t="s">
        <v>64</v>
      </c>
      <c r="E69" s="104" t="s">
        <v>65</v>
      </c>
      <c r="F69" s="104" t="s">
        <v>554</v>
      </c>
      <c r="G69" s="104" t="s">
        <v>555</v>
      </c>
      <c r="H69" s="104" t="s">
        <v>554</v>
      </c>
      <c r="I69" s="105">
        <v>46174.63857638889</v>
      </c>
      <c r="J69" s="104" t="s">
        <v>66</v>
      </c>
      <c r="K69" s="104" t="s">
        <v>67</v>
      </c>
      <c r="L69" s="104" t="s">
        <v>556</v>
      </c>
      <c r="M69" s="105">
        <v>46175.472349537042</v>
      </c>
      <c r="N69" s="104" t="s">
        <v>103</v>
      </c>
      <c r="O69" s="104" t="s">
        <v>70</v>
      </c>
      <c r="P69" s="104" t="s">
        <v>69</v>
      </c>
      <c r="Q69" s="104" t="s">
        <v>156</v>
      </c>
      <c r="R69" s="104">
        <v>5</v>
      </c>
      <c r="S69" s="106">
        <v>9500</v>
      </c>
      <c r="T69" s="106">
        <v>0</v>
      </c>
      <c r="U69" s="106">
        <v>10450</v>
      </c>
      <c r="V69" s="106">
        <v>10450</v>
      </c>
      <c r="W69" s="106">
        <v>37050</v>
      </c>
      <c r="X69" s="106"/>
      <c r="Y69" s="106"/>
      <c r="Z69" s="106"/>
      <c r="AA69" s="104" t="s">
        <v>557</v>
      </c>
      <c r="AB69" s="104" t="s">
        <v>207</v>
      </c>
      <c r="AC69" s="104" t="s">
        <v>183</v>
      </c>
      <c r="AD69" s="106">
        <v>0</v>
      </c>
      <c r="AE69" s="106">
        <v>0</v>
      </c>
      <c r="AF69" s="106">
        <v>0</v>
      </c>
      <c r="AG69" s="105">
        <v>46173.838472222225</v>
      </c>
      <c r="AH69" s="104" t="s">
        <v>214</v>
      </c>
      <c r="AI69" s="104" t="s">
        <v>185</v>
      </c>
      <c r="AJ69" s="104">
        <v>-1010</v>
      </c>
      <c r="AK69" s="104">
        <v>-370</v>
      </c>
      <c r="AL69" s="106">
        <v>35670</v>
      </c>
    </row>
    <row r="70" spans="1:38" ht="13">
      <c r="A70" s="104" t="s">
        <v>558</v>
      </c>
      <c r="B70" s="104" t="s">
        <v>559</v>
      </c>
      <c r="C70" s="105">
        <v>46183.140092592592</v>
      </c>
      <c r="D70" s="104" t="s">
        <v>64</v>
      </c>
      <c r="E70" s="104" t="s">
        <v>65</v>
      </c>
      <c r="F70" s="104" t="s">
        <v>560</v>
      </c>
      <c r="G70" s="104" t="s">
        <v>561</v>
      </c>
      <c r="H70" s="104" t="s">
        <v>560</v>
      </c>
      <c r="I70" s="105">
        <v>46174.63857638889</v>
      </c>
      <c r="J70" s="104" t="s">
        <v>66</v>
      </c>
      <c r="K70" s="104" t="s">
        <v>67</v>
      </c>
      <c r="L70" s="104" t="s">
        <v>562</v>
      </c>
      <c r="M70" s="105">
        <v>46175.443541666667</v>
      </c>
      <c r="N70" s="104" t="s">
        <v>103</v>
      </c>
      <c r="O70" s="104" t="s">
        <v>107</v>
      </c>
      <c r="P70" s="104" t="s">
        <v>68</v>
      </c>
      <c r="Q70" s="104" t="s">
        <v>104</v>
      </c>
      <c r="R70" s="104">
        <v>1</v>
      </c>
      <c r="S70" s="106">
        <v>21060</v>
      </c>
      <c r="T70" s="106">
        <v>0</v>
      </c>
      <c r="U70" s="106">
        <v>0</v>
      </c>
      <c r="V70" s="106">
        <v>0</v>
      </c>
      <c r="W70" s="106">
        <v>21060</v>
      </c>
      <c r="X70" s="106"/>
      <c r="Y70" s="106"/>
      <c r="Z70" s="106"/>
      <c r="AA70" s="104" t="s">
        <v>563</v>
      </c>
      <c r="AB70" s="104" t="s">
        <v>207</v>
      </c>
      <c r="AC70" s="104" t="s">
        <v>183</v>
      </c>
      <c r="AD70" s="106">
        <v>0</v>
      </c>
      <c r="AE70" s="106">
        <v>0</v>
      </c>
      <c r="AF70" s="106">
        <v>0</v>
      </c>
      <c r="AG70" s="105">
        <v>46173.042372685188</v>
      </c>
      <c r="AH70" s="104" t="s">
        <v>214</v>
      </c>
      <c r="AI70" s="104" t="s">
        <v>185</v>
      </c>
      <c r="AJ70" s="104">
        <v>-574</v>
      </c>
      <c r="AK70" s="104">
        <v>-210</v>
      </c>
      <c r="AL70" s="106">
        <v>20276</v>
      </c>
    </row>
    <row r="71" spans="1:38" ht="13">
      <c r="A71" s="104" t="s">
        <v>564</v>
      </c>
      <c r="B71" s="104" t="s">
        <v>559</v>
      </c>
      <c r="C71" s="105">
        <v>46183.140092592592</v>
      </c>
      <c r="D71" s="104" t="s">
        <v>64</v>
      </c>
      <c r="E71" s="104" t="s">
        <v>65</v>
      </c>
      <c r="F71" s="104" t="s">
        <v>560</v>
      </c>
      <c r="G71" s="104" t="s">
        <v>561</v>
      </c>
      <c r="H71" s="104" t="s">
        <v>560</v>
      </c>
      <c r="I71" s="105">
        <v>46174.63857638889</v>
      </c>
      <c r="J71" s="104" t="s">
        <v>66</v>
      </c>
      <c r="K71" s="104" t="s">
        <v>67</v>
      </c>
      <c r="L71" s="104" t="s">
        <v>562</v>
      </c>
      <c r="M71" s="105">
        <v>46175.443541666667</v>
      </c>
      <c r="N71" s="104" t="s">
        <v>103</v>
      </c>
      <c r="O71" s="104" t="s">
        <v>70</v>
      </c>
      <c r="P71" s="104" t="s">
        <v>69</v>
      </c>
      <c r="Q71" s="104" t="s">
        <v>205</v>
      </c>
      <c r="R71" s="104">
        <v>6</v>
      </c>
      <c r="S71" s="106">
        <v>9500</v>
      </c>
      <c r="T71" s="106">
        <v>0</v>
      </c>
      <c r="U71" s="106">
        <v>19980</v>
      </c>
      <c r="V71" s="106">
        <v>19980</v>
      </c>
      <c r="W71" s="106">
        <v>37020</v>
      </c>
      <c r="X71" s="106"/>
      <c r="Y71" s="106"/>
      <c r="Z71" s="106"/>
      <c r="AA71" s="104" t="s">
        <v>563</v>
      </c>
      <c r="AB71" s="104" t="s">
        <v>207</v>
      </c>
      <c r="AC71" s="104" t="s">
        <v>183</v>
      </c>
      <c r="AD71" s="106">
        <v>0</v>
      </c>
      <c r="AE71" s="106">
        <v>0</v>
      </c>
      <c r="AF71" s="106">
        <v>0</v>
      </c>
      <c r="AG71" s="105">
        <v>46173.042372685188</v>
      </c>
      <c r="AH71" s="104" t="s">
        <v>214</v>
      </c>
      <c r="AI71" s="104" t="s">
        <v>185</v>
      </c>
      <c r="AJ71" s="104">
        <v>-1009</v>
      </c>
      <c r="AK71" s="104">
        <v>-370</v>
      </c>
      <c r="AL71" s="106">
        <v>35641</v>
      </c>
    </row>
    <row r="72" spans="1:38" ht="13">
      <c r="A72" s="104" t="s">
        <v>565</v>
      </c>
      <c r="B72" s="104" t="s">
        <v>566</v>
      </c>
      <c r="C72" s="105">
        <v>46183.140694444446</v>
      </c>
      <c r="D72" s="104" t="s">
        <v>64</v>
      </c>
      <c r="E72" s="104" t="s">
        <v>65</v>
      </c>
      <c r="F72" s="104" t="s">
        <v>567</v>
      </c>
      <c r="G72" s="104" t="s">
        <v>568</v>
      </c>
      <c r="H72" s="104" t="s">
        <v>567</v>
      </c>
      <c r="I72" s="105">
        <v>46174.63857638889</v>
      </c>
      <c r="J72" s="104" t="s">
        <v>66</v>
      </c>
      <c r="K72" s="104" t="s">
        <v>67</v>
      </c>
      <c r="L72" s="104" t="s">
        <v>569</v>
      </c>
      <c r="M72" s="105">
        <v>46175.555601851855</v>
      </c>
      <c r="N72" s="104" t="s">
        <v>103</v>
      </c>
      <c r="O72" s="104" t="s">
        <v>70</v>
      </c>
      <c r="P72" s="104" t="s">
        <v>69</v>
      </c>
      <c r="Q72" s="104" t="s">
        <v>156</v>
      </c>
      <c r="R72" s="104">
        <v>2</v>
      </c>
      <c r="S72" s="106">
        <v>9500</v>
      </c>
      <c r="T72" s="106">
        <v>0</v>
      </c>
      <c r="U72" s="106">
        <v>4180</v>
      </c>
      <c r="V72" s="106">
        <v>4180</v>
      </c>
      <c r="W72" s="106">
        <v>14820</v>
      </c>
      <c r="X72" s="106"/>
      <c r="Y72" s="106"/>
      <c r="Z72" s="106"/>
      <c r="AA72" s="104" t="s">
        <v>570</v>
      </c>
      <c r="AB72" s="104" t="s">
        <v>182</v>
      </c>
      <c r="AC72" s="104" t="s">
        <v>183</v>
      </c>
      <c r="AD72" s="106">
        <v>3000</v>
      </c>
      <c r="AE72" s="106">
        <v>0</v>
      </c>
      <c r="AF72" s="106">
        <v>0</v>
      </c>
      <c r="AG72" s="105">
        <v>46174.544120370367</v>
      </c>
      <c r="AH72" s="104" t="s">
        <v>214</v>
      </c>
      <c r="AI72" s="104" t="s">
        <v>185</v>
      </c>
      <c r="AJ72" s="104">
        <v>-404</v>
      </c>
      <c r="AK72" s="104">
        <v>-148</v>
      </c>
      <c r="AL72" s="106">
        <v>14268</v>
      </c>
    </row>
    <row r="73" spans="1:38" ht="13">
      <c r="A73" s="104" t="s">
        <v>571</v>
      </c>
      <c r="B73" s="104" t="s">
        <v>572</v>
      </c>
      <c r="C73" s="105">
        <v>46183.14565972222</v>
      </c>
      <c r="D73" s="104" t="s">
        <v>64</v>
      </c>
      <c r="E73" s="104" t="s">
        <v>65</v>
      </c>
      <c r="F73" s="104" t="s">
        <v>573</v>
      </c>
      <c r="G73" s="104" t="s">
        <v>574</v>
      </c>
      <c r="H73" s="104" t="s">
        <v>573</v>
      </c>
      <c r="I73" s="105">
        <v>46174.63857638889</v>
      </c>
      <c r="J73" s="104" t="s">
        <v>66</v>
      </c>
      <c r="K73" s="104" t="s">
        <v>67</v>
      </c>
      <c r="L73" s="104" t="s">
        <v>575</v>
      </c>
      <c r="M73" s="105">
        <v>46175.541678240741</v>
      </c>
      <c r="N73" s="104" t="s">
        <v>103</v>
      </c>
      <c r="O73" s="104" t="s">
        <v>70</v>
      </c>
      <c r="P73" s="104" t="s">
        <v>69</v>
      </c>
      <c r="Q73" s="104" t="s">
        <v>205</v>
      </c>
      <c r="R73" s="104">
        <v>6</v>
      </c>
      <c r="S73" s="106">
        <v>9500</v>
      </c>
      <c r="T73" s="106">
        <v>0</v>
      </c>
      <c r="U73" s="106">
        <v>19980</v>
      </c>
      <c r="V73" s="106">
        <v>19980</v>
      </c>
      <c r="W73" s="106">
        <v>37020</v>
      </c>
      <c r="X73" s="106"/>
      <c r="Y73" s="106"/>
      <c r="Z73" s="106"/>
      <c r="AA73" s="104" t="s">
        <v>576</v>
      </c>
      <c r="AB73" s="104" t="s">
        <v>207</v>
      </c>
      <c r="AC73" s="104" t="s">
        <v>183</v>
      </c>
      <c r="AD73" s="106">
        <v>0</v>
      </c>
      <c r="AE73" s="106">
        <v>0</v>
      </c>
      <c r="AF73" s="106">
        <v>0</v>
      </c>
      <c r="AG73" s="105">
        <v>46171.861608796295</v>
      </c>
      <c r="AH73" s="104" t="s">
        <v>192</v>
      </c>
      <c r="AI73" s="104" t="s">
        <v>185</v>
      </c>
      <c r="AJ73" s="104">
        <v>-1009</v>
      </c>
      <c r="AK73" s="104">
        <v>-370</v>
      </c>
      <c r="AL73" s="106">
        <v>35641</v>
      </c>
    </row>
    <row r="74" spans="1:38" ht="13">
      <c r="A74" s="104" t="s">
        <v>577</v>
      </c>
      <c r="B74" s="104" t="s">
        <v>578</v>
      </c>
      <c r="C74" s="105">
        <v>46183.178090277783</v>
      </c>
      <c r="D74" s="104" t="s">
        <v>64</v>
      </c>
      <c r="E74" s="104" t="s">
        <v>65</v>
      </c>
      <c r="F74" s="104" t="s">
        <v>113</v>
      </c>
      <c r="G74" s="104" t="s">
        <v>579</v>
      </c>
      <c r="H74" s="104" t="s">
        <v>113</v>
      </c>
      <c r="I74" s="105">
        <v>46174.63857638889</v>
      </c>
      <c r="J74" s="104" t="s">
        <v>66</v>
      </c>
      <c r="K74" s="104" t="s">
        <v>67</v>
      </c>
      <c r="L74" s="104" t="s">
        <v>580</v>
      </c>
      <c r="M74" s="105">
        <v>46175.707245370373</v>
      </c>
      <c r="N74" s="104" t="s">
        <v>103</v>
      </c>
      <c r="O74" s="104" t="s">
        <v>70</v>
      </c>
      <c r="P74" s="104" t="s">
        <v>69</v>
      </c>
      <c r="Q74" s="104" t="s">
        <v>205</v>
      </c>
      <c r="R74" s="104">
        <v>7</v>
      </c>
      <c r="S74" s="106">
        <v>9500</v>
      </c>
      <c r="T74" s="106">
        <v>0</v>
      </c>
      <c r="U74" s="106">
        <v>23310</v>
      </c>
      <c r="V74" s="106">
        <v>23310</v>
      </c>
      <c r="W74" s="106">
        <v>43190</v>
      </c>
      <c r="X74" s="106"/>
      <c r="Y74" s="106"/>
      <c r="Z74" s="106"/>
      <c r="AA74" s="104" t="s">
        <v>581</v>
      </c>
      <c r="AB74" s="104" t="s">
        <v>207</v>
      </c>
      <c r="AC74" s="104" t="s">
        <v>183</v>
      </c>
      <c r="AD74" s="106">
        <v>0</v>
      </c>
      <c r="AE74" s="106">
        <v>0</v>
      </c>
      <c r="AF74" s="106">
        <v>0</v>
      </c>
      <c r="AG74" s="105">
        <v>46171.703634259262</v>
      </c>
      <c r="AH74" s="104" t="s">
        <v>192</v>
      </c>
      <c r="AI74" s="104" t="s">
        <v>185</v>
      </c>
      <c r="AJ74" s="104">
        <v>-1178</v>
      </c>
      <c r="AK74" s="104">
        <v>-431</v>
      </c>
      <c r="AL74" s="106">
        <v>41581</v>
      </c>
    </row>
    <row r="75" spans="1:38" ht="13">
      <c r="A75" s="104" t="s">
        <v>582</v>
      </c>
      <c r="B75" s="104" t="s">
        <v>583</v>
      </c>
      <c r="C75" s="105">
        <v>46183.178090277783</v>
      </c>
      <c r="D75" s="104" t="s">
        <v>64</v>
      </c>
      <c r="E75" s="104" t="s">
        <v>65</v>
      </c>
      <c r="F75" s="104" t="s">
        <v>584</v>
      </c>
      <c r="G75" s="104" t="s">
        <v>585</v>
      </c>
      <c r="H75" s="104" t="s">
        <v>584</v>
      </c>
      <c r="I75" s="105">
        <v>46174.63857638889</v>
      </c>
      <c r="J75" s="104" t="s">
        <v>66</v>
      </c>
      <c r="K75" s="104" t="s">
        <v>67</v>
      </c>
      <c r="L75" s="104" t="s">
        <v>586</v>
      </c>
      <c r="M75" s="105">
        <v>46175.600428240738</v>
      </c>
      <c r="N75" s="104" t="s">
        <v>103</v>
      </c>
      <c r="O75" s="104" t="s">
        <v>70</v>
      </c>
      <c r="P75" s="104" t="s">
        <v>69</v>
      </c>
      <c r="Q75" s="104" t="s">
        <v>156</v>
      </c>
      <c r="R75" s="104">
        <v>4</v>
      </c>
      <c r="S75" s="106">
        <v>9500</v>
      </c>
      <c r="T75" s="106">
        <v>0</v>
      </c>
      <c r="U75" s="106">
        <v>8360</v>
      </c>
      <c r="V75" s="106">
        <v>8360</v>
      </c>
      <c r="W75" s="106">
        <v>29640</v>
      </c>
      <c r="X75" s="106"/>
      <c r="Y75" s="106"/>
      <c r="Z75" s="106"/>
      <c r="AA75" s="104" t="s">
        <v>587</v>
      </c>
      <c r="AB75" s="104" t="s">
        <v>182</v>
      </c>
      <c r="AC75" s="104" t="s">
        <v>183</v>
      </c>
      <c r="AD75" s="106">
        <v>3000</v>
      </c>
      <c r="AE75" s="106">
        <v>0</v>
      </c>
      <c r="AF75" s="106">
        <v>0</v>
      </c>
      <c r="AG75" s="105">
        <v>46174.464201388888</v>
      </c>
      <c r="AH75" s="104" t="s">
        <v>214</v>
      </c>
      <c r="AI75" s="104" t="s">
        <v>185</v>
      </c>
      <c r="AJ75" s="104">
        <v>-808</v>
      </c>
      <c r="AK75" s="104">
        <v>-296</v>
      </c>
      <c r="AL75" s="106">
        <v>28536</v>
      </c>
    </row>
    <row r="76" spans="1:38" ht="13">
      <c r="A76" s="104" t="s">
        <v>588</v>
      </c>
      <c r="B76" s="104" t="s">
        <v>589</v>
      </c>
      <c r="C76" s="105">
        <v>46183.179074074069</v>
      </c>
      <c r="D76" s="104" t="s">
        <v>64</v>
      </c>
      <c r="E76" s="104" t="s">
        <v>65</v>
      </c>
      <c r="F76" s="104" t="s">
        <v>590</v>
      </c>
      <c r="G76" s="104" t="s">
        <v>591</v>
      </c>
      <c r="H76" s="104" t="s">
        <v>590</v>
      </c>
      <c r="I76" s="105">
        <v>46174.63857638889</v>
      </c>
      <c r="J76" s="104" t="s">
        <v>66</v>
      </c>
      <c r="K76" s="104" t="s">
        <v>67</v>
      </c>
      <c r="L76" s="104" t="s">
        <v>592</v>
      </c>
      <c r="M76" s="105">
        <v>46175.655590277776</v>
      </c>
      <c r="N76" s="104" t="s">
        <v>103</v>
      </c>
      <c r="O76" s="104" t="s">
        <v>70</v>
      </c>
      <c r="P76" s="104" t="s">
        <v>69</v>
      </c>
      <c r="Q76" s="104" t="s">
        <v>156</v>
      </c>
      <c r="R76" s="104">
        <v>2</v>
      </c>
      <c r="S76" s="106">
        <v>9500</v>
      </c>
      <c r="T76" s="106">
        <v>0</v>
      </c>
      <c r="U76" s="106">
        <v>4180</v>
      </c>
      <c r="V76" s="106">
        <v>4180</v>
      </c>
      <c r="W76" s="106">
        <v>14820</v>
      </c>
      <c r="X76" s="106"/>
      <c r="Y76" s="106"/>
      <c r="Z76" s="106"/>
      <c r="AA76" s="104" t="s">
        <v>593</v>
      </c>
      <c r="AB76" s="104" t="s">
        <v>182</v>
      </c>
      <c r="AC76" s="104" t="s">
        <v>183</v>
      </c>
      <c r="AD76" s="106">
        <v>3000</v>
      </c>
      <c r="AE76" s="106">
        <v>0</v>
      </c>
      <c r="AF76" s="106">
        <v>0</v>
      </c>
      <c r="AG76" s="105">
        <v>46173.040138888886</v>
      </c>
      <c r="AH76" s="104" t="s">
        <v>192</v>
      </c>
      <c r="AI76" s="104" t="s">
        <v>185</v>
      </c>
      <c r="AJ76" s="104">
        <v>-404</v>
      </c>
      <c r="AK76" s="104">
        <v>-148</v>
      </c>
      <c r="AL76" s="106">
        <v>14268</v>
      </c>
    </row>
    <row r="77" spans="1:38" ht="13">
      <c r="A77" s="104" t="s">
        <v>594</v>
      </c>
      <c r="B77" s="104" t="s">
        <v>595</v>
      </c>
      <c r="C77" s="105">
        <v>46183.179074074069</v>
      </c>
      <c r="D77" s="104" t="s">
        <v>64</v>
      </c>
      <c r="E77" s="104" t="s">
        <v>65</v>
      </c>
      <c r="F77" s="104" t="s">
        <v>596</v>
      </c>
      <c r="G77" s="104" t="s">
        <v>597</v>
      </c>
      <c r="H77" s="104" t="s">
        <v>596</v>
      </c>
      <c r="I77" s="105">
        <v>46174.63857638889</v>
      </c>
      <c r="J77" s="104" t="s">
        <v>66</v>
      </c>
      <c r="K77" s="104" t="s">
        <v>67</v>
      </c>
      <c r="L77" s="104" t="s">
        <v>598</v>
      </c>
      <c r="M77" s="105">
        <v>46175.681388888886</v>
      </c>
      <c r="N77" s="104" t="s">
        <v>103</v>
      </c>
      <c r="O77" s="104" t="s">
        <v>70</v>
      </c>
      <c r="P77" s="104" t="s">
        <v>69</v>
      </c>
      <c r="Q77" s="104" t="s">
        <v>156</v>
      </c>
      <c r="R77" s="104">
        <v>1</v>
      </c>
      <c r="S77" s="106">
        <v>9500</v>
      </c>
      <c r="T77" s="106">
        <v>0</v>
      </c>
      <c r="U77" s="106">
        <v>2090</v>
      </c>
      <c r="V77" s="106">
        <v>2090</v>
      </c>
      <c r="W77" s="106">
        <v>7410</v>
      </c>
      <c r="X77" s="106"/>
      <c r="Y77" s="106"/>
      <c r="Z77" s="106"/>
      <c r="AA77" s="104" t="s">
        <v>599</v>
      </c>
      <c r="AB77" s="104" t="s">
        <v>182</v>
      </c>
      <c r="AC77" s="104" t="s">
        <v>183</v>
      </c>
      <c r="AD77" s="106">
        <v>3000</v>
      </c>
      <c r="AE77" s="106">
        <v>0</v>
      </c>
      <c r="AF77" s="106">
        <v>0</v>
      </c>
      <c r="AG77" s="105">
        <v>46173.341342592597</v>
      </c>
      <c r="AH77" s="104" t="s">
        <v>214</v>
      </c>
      <c r="AI77" s="104" t="s">
        <v>185</v>
      </c>
      <c r="AJ77" s="104">
        <v>-201</v>
      </c>
      <c r="AK77" s="104">
        <v>-74</v>
      </c>
      <c r="AL77" s="106">
        <v>7135</v>
      </c>
    </row>
    <row r="78" spans="1:38" ht="13">
      <c r="A78" s="104" t="s">
        <v>600</v>
      </c>
      <c r="B78" s="104" t="s">
        <v>601</v>
      </c>
      <c r="C78" s="105">
        <v>46183.179131944446</v>
      </c>
      <c r="D78" s="104" t="s">
        <v>64</v>
      </c>
      <c r="E78" s="104" t="s">
        <v>65</v>
      </c>
      <c r="F78" s="104" t="s">
        <v>602</v>
      </c>
      <c r="G78" s="104" t="s">
        <v>603</v>
      </c>
      <c r="H78" s="104" t="s">
        <v>602</v>
      </c>
      <c r="I78" s="105">
        <v>46174.63857638889</v>
      </c>
      <c r="J78" s="104" t="s">
        <v>66</v>
      </c>
      <c r="K78" s="104" t="s">
        <v>67</v>
      </c>
      <c r="L78" s="104" t="s">
        <v>604</v>
      </c>
      <c r="M78" s="105">
        <v>46175.759027777778</v>
      </c>
      <c r="N78" s="104" t="s">
        <v>103</v>
      </c>
      <c r="O78" s="104" t="s">
        <v>70</v>
      </c>
      <c r="P78" s="104" t="s">
        <v>69</v>
      </c>
      <c r="Q78" s="104" t="s">
        <v>156</v>
      </c>
      <c r="R78" s="104">
        <v>2</v>
      </c>
      <c r="S78" s="106">
        <v>9500</v>
      </c>
      <c r="T78" s="106">
        <v>0</v>
      </c>
      <c r="U78" s="106">
        <v>4180</v>
      </c>
      <c r="V78" s="106">
        <v>4180</v>
      </c>
      <c r="W78" s="106">
        <v>14820</v>
      </c>
      <c r="X78" s="106"/>
      <c r="Y78" s="106"/>
      <c r="Z78" s="106"/>
      <c r="AA78" s="104" t="s">
        <v>605</v>
      </c>
      <c r="AB78" s="104" t="s">
        <v>182</v>
      </c>
      <c r="AC78" s="104" t="s">
        <v>183</v>
      </c>
      <c r="AD78" s="106">
        <v>3000</v>
      </c>
      <c r="AE78" s="106">
        <v>0</v>
      </c>
      <c r="AF78" s="106">
        <v>0</v>
      </c>
      <c r="AG78" s="105">
        <v>46172.577314814815</v>
      </c>
      <c r="AH78" s="104" t="s">
        <v>214</v>
      </c>
      <c r="AI78" s="104" t="s">
        <v>185</v>
      </c>
      <c r="AJ78" s="104">
        <v>-404</v>
      </c>
      <c r="AK78" s="104">
        <v>-444</v>
      </c>
      <c r="AL78" s="106">
        <v>13972</v>
      </c>
    </row>
    <row r="79" spans="1:38" ht="13">
      <c r="A79" s="104" t="s">
        <v>606</v>
      </c>
      <c r="B79" s="104" t="s">
        <v>607</v>
      </c>
      <c r="C79" s="105">
        <v>46183.189803240741</v>
      </c>
      <c r="D79" s="104" t="s">
        <v>64</v>
      </c>
      <c r="E79" s="104" t="s">
        <v>65</v>
      </c>
      <c r="F79" s="104" t="s">
        <v>77</v>
      </c>
      <c r="G79" s="104" t="s">
        <v>608</v>
      </c>
      <c r="H79" s="104" t="s">
        <v>77</v>
      </c>
      <c r="I79" s="105">
        <v>46175.541296296295</v>
      </c>
      <c r="J79" s="104" t="s">
        <v>66</v>
      </c>
      <c r="K79" s="104" t="s">
        <v>67</v>
      </c>
      <c r="L79" s="104" t="s">
        <v>609</v>
      </c>
      <c r="M79" s="105">
        <v>46175.574282407411</v>
      </c>
      <c r="N79" s="104" t="s">
        <v>103</v>
      </c>
      <c r="O79" s="104" t="s">
        <v>70</v>
      </c>
      <c r="P79" s="104" t="s">
        <v>69</v>
      </c>
      <c r="Q79" s="104" t="s">
        <v>205</v>
      </c>
      <c r="R79" s="104">
        <v>6</v>
      </c>
      <c r="S79" s="106">
        <v>9500</v>
      </c>
      <c r="T79" s="106">
        <v>0</v>
      </c>
      <c r="U79" s="106">
        <v>19980</v>
      </c>
      <c r="V79" s="106">
        <v>19980</v>
      </c>
      <c r="W79" s="106">
        <v>37020</v>
      </c>
      <c r="X79" s="106"/>
      <c r="Y79" s="106"/>
      <c r="Z79" s="106"/>
      <c r="AA79" s="104" t="s">
        <v>610</v>
      </c>
      <c r="AB79" s="104" t="s">
        <v>207</v>
      </c>
      <c r="AC79" s="104" t="s">
        <v>183</v>
      </c>
      <c r="AD79" s="106">
        <v>0</v>
      </c>
      <c r="AE79" s="106">
        <v>0</v>
      </c>
      <c r="AF79" s="106">
        <v>0</v>
      </c>
      <c r="AG79" s="105">
        <v>46173.854421296295</v>
      </c>
      <c r="AH79" s="104" t="s">
        <v>214</v>
      </c>
      <c r="AI79" s="104" t="s">
        <v>185</v>
      </c>
      <c r="AJ79" s="104">
        <v>-1009</v>
      </c>
      <c r="AK79" s="104">
        <v>-370</v>
      </c>
      <c r="AL79" s="106">
        <v>35641</v>
      </c>
    </row>
    <row r="80" spans="1:38" ht="13">
      <c r="A80" s="104" t="s">
        <v>611</v>
      </c>
      <c r="B80" s="104" t="s">
        <v>612</v>
      </c>
      <c r="C80" s="105">
        <v>46183.652141203704</v>
      </c>
      <c r="D80" s="104" t="s">
        <v>64</v>
      </c>
      <c r="E80" s="104" t="s">
        <v>65</v>
      </c>
      <c r="F80" s="104" t="s">
        <v>613</v>
      </c>
      <c r="G80" s="104" t="s">
        <v>614</v>
      </c>
      <c r="H80" s="104" t="s">
        <v>613</v>
      </c>
      <c r="I80" s="105">
        <v>46181.617696759262</v>
      </c>
      <c r="J80" s="104" t="s">
        <v>66</v>
      </c>
      <c r="K80" s="104" t="s">
        <v>67</v>
      </c>
      <c r="L80" s="104" t="s">
        <v>615</v>
      </c>
      <c r="M80" s="105">
        <v>46183.336817129632</v>
      </c>
      <c r="N80" s="104" t="s">
        <v>103</v>
      </c>
      <c r="O80" s="104" t="s">
        <v>107</v>
      </c>
      <c r="P80" s="104" t="s">
        <v>68</v>
      </c>
      <c r="Q80" s="104" t="s">
        <v>104</v>
      </c>
      <c r="R80" s="104">
        <v>1</v>
      </c>
      <c r="S80" s="106">
        <v>21060</v>
      </c>
      <c r="T80" s="106">
        <v>0</v>
      </c>
      <c r="U80" s="106">
        <v>0</v>
      </c>
      <c r="V80" s="106">
        <v>0</v>
      </c>
      <c r="W80" s="106">
        <v>21060</v>
      </c>
      <c r="X80" s="106"/>
      <c r="Y80" s="106"/>
      <c r="Z80" s="106"/>
      <c r="AA80" s="104" t="s">
        <v>616</v>
      </c>
      <c r="AB80" s="104" t="s">
        <v>207</v>
      </c>
      <c r="AC80" s="104" t="s">
        <v>183</v>
      </c>
      <c r="AD80" s="106">
        <v>0</v>
      </c>
      <c r="AE80" s="106">
        <v>0</v>
      </c>
      <c r="AF80" s="106">
        <v>0</v>
      </c>
      <c r="AG80" s="105">
        <v>46180.538090277776</v>
      </c>
      <c r="AH80" s="104" t="s">
        <v>321</v>
      </c>
      <c r="AI80" s="104" t="s">
        <v>185</v>
      </c>
      <c r="AJ80" s="104">
        <v>-574</v>
      </c>
      <c r="AK80" s="104">
        <v>-210</v>
      </c>
      <c r="AL80" s="106">
        <v>20276</v>
      </c>
    </row>
    <row r="81" spans="1:38" ht="13">
      <c r="A81" s="104" t="s">
        <v>617</v>
      </c>
      <c r="B81" s="104" t="s">
        <v>618</v>
      </c>
      <c r="C81" s="105">
        <v>46183.881793981476</v>
      </c>
      <c r="D81" s="104" t="s">
        <v>64</v>
      </c>
      <c r="E81" s="104" t="s">
        <v>65</v>
      </c>
      <c r="F81" s="104" t="s">
        <v>619</v>
      </c>
      <c r="G81" s="104" t="s">
        <v>620</v>
      </c>
      <c r="H81" s="104" t="s">
        <v>619</v>
      </c>
      <c r="I81" s="105">
        <v>46178.569050925929</v>
      </c>
      <c r="J81" s="104" t="s">
        <v>66</v>
      </c>
      <c r="K81" s="104" t="s">
        <v>67</v>
      </c>
      <c r="L81" s="104" t="s">
        <v>621</v>
      </c>
      <c r="M81" s="105">
        <v>46181.713182870371</v>
      </c>
      <c r="N81" s="104" t="s">
        <v>106</v>
      </c>
      <c r="O81" s="104" t="s">
        <v>107</v>
      </c>
      <c r="P81" s="104" t="s">
        <v>69</v>
      </c>
      <c r="Q81" s="104" t="s">
        <v>104</v>
      </c>
      <c r="R81" s="104">
        <v>1</v>
      </c>
      <c r="S81" s="106">
        <v>27000</v>
      </c>
      <c r="T81" s="106">
        <v>0</v>
      </c>
      <c r="U81" s="106">
        <v>5940</v>
      </c>
      <c r="V81" s="106">
        <v>5940</v>
      </c>
      <c r="W81" s="106">
        <v>21060</v>
      </c>
      <c r="X81" s="106"/>
      <c r="Y81" s="106"/>
      <c r="Z81" s="106"/>
      <c r="AA81" s="104" t="s">
        <v>622</v>
      </c>
      <c r="AB81" s="104" t="s">
        <v>182</v>
      </c>
      <c r="AC81" s="104" t="s">
        <v>183</v>
      </c>
      <c r="AD81" s="106">
        <v>3000</v>
      </c>
      <c r="AE81" s="106">
        <v>0</v>
      </c>
      <c r="AF81" s="106">
        <v>0</v>
      </c>
      <c r="AG81" s="105">
        <v>46178.255625000005</v>
      </c>
      <c r="AH81" s="104" t="s">
        <v>192</v>
      </c>
      <c r="AI81" s="104" t="s">
        <v>185</v>
      </c>
      <c r="AJ81" s="104">
        <v>-574</v>
      </c>
      <c r="AK81" s="104">
        <v>-210</v>
      </c>
      <c r="AL81" s="106">
        <v>20276</v>
      </c>
    </row>
    <row r="82" spans="1:38" ht="13">
      <c r="A82" s="104" t="s">
        <v>623</v>
      </c>
      <c r="B82" s="104" t="s">
        <v>624</v>
      </c>
      <c r="C82" s="105">
        <v>46184.524837962963</v>
      </c>
      <c r="D82" s="104" t="s">
        <v>64</v>
      </c>
      <c r="E82" s="104" t="s">
        <v>65</v>
      </c>
      <c r="F82" s="104" t="s">
        <v>625</v>
      </c>
      <c r="G82" s="104" t="s">
        <v>626</v>
      </c>
      <c r="H82" s="104" t="s">
        <v>625</v>
      </c>
      <c r="I82" s="105">
        <v>46178.610775462963</v>
      </c>
      <c r="J82" s="104" t="s">
        <v>66</v>
      </c>
      <c r="K82" s="104" t="s">
        <v>67</v>
      </c>
      <c r="L82" s="104" t="s">
        <v>627</v>
      </c>
      <c r="M82" s="105">
        <v>46181.604884259257</v>
      </c>
      <c r="N82" s="104" t="s">
        <v>103</v>
      </c>
      <c r="O82" s="104" t="s">
        <v>70</v>
      </c>
      <c r="P82" s="104" t="s">
        <v>69</v>
      </c>
      <c r="Q82" s="104" t="s">
        <v>156</v>
      </c>
      <c r="R82" s="104">
        <v>2</v>
      </c>
      <c r="S82" s="106">
        <v>9500</v>
      </c>
      <c r="T82" s="106">
        <v>0</v>
      </c>
      <c r="U82" s="106">
        <v>4180</v>
      </c>
      <c r="V82" s="106">
        <v>4180</v>
      </c>
      <c r="W82" s="106">
        <v>14820</v>
      </c>
      <c r="X82" s="106"/>
      <c r="Y82" s="106"/>
      <c r="Z82" s="106"/>
      <c r="AA82" s="104" t="s">
        <v>628</v>
      </c>
      <c r="AB82" s="104" t="s">
        <v>182</v>
      </c>
      <c r="AC82" s="104" t="s">
        <v>183</v>
      </c>
      <c r="AD82" s="106">
        <v>3000</v>
      </c>
      <c r="AE82" s="106">
        <v>0</v>
      </c>
      <c r="AF82" s="106">
        <v>0</v>
      </c>
      <c r="AG82" s="105">
        <v>46178.545682870375</v>
      </c>
      <c r="AH82" s="104" t="s">
        <v>214</v>
      </c>
      <c r="AI82" s="104" t="s">
        <v>185</v>
      </c>
      <c r="AJ82" s="104">
        <v>-403</v>
      </c>
      <c r="AK82" s="104">
        <v>-148</v>
      </c>
      <c r="AL82" s="106">
        <v>14269</v>
      </c>
    </row>
    <row r="83" spans="1:38" ht="13">
      <c r="A83" s="104" t="s">
        <v>629</v>
      </c>
      <c r="B83" s="104" t="s">
        <v>630</v>
      </c>
      <c r="C83" s="105">
        <v>46185.072962962964</v>
      </c>
      <c r="D83" s="104" t="s">
        <v>64</v>
      </c>
      <c r="E83" s="104" t="s">
        <v>65</v>
      </c>
      <c r="F83" s="104" t="s">
        <v>631</v>
      </c>
      <c r="G83" s="104" t="s">
        <v>632</v>
      </c>
      <c r="H83" s="104" t="s">
        <v>631</v>
      </c>
      <c r="I83" s="105">
        <v>46175.534363425926</v>
      </c>
      <c r="J83" s="104" t="s">
        <v>66</v>
      </c>
      <c r="K83" s="104" t="s">
        <v>67</v>
      </c>
      <c r="L83" s="104" t="s">
        <v>633</v>
      </c>
      <c r="M83" s="105">
        <v>46177.466851851852</v>
      </c>
      <c r="N83" s="104" t="s">
        <v>103</v>
      </c>
      <c r="O83" s="104" t="s">
        <v>70</v>
      </c>
      <c r="P83" s="104" t="s">
        <v>69</v>
      </c>
      <c r="Q83" s="104" t="s">
        <v>156</v>
      </c>
      <c r="R83" s="104">
        <v>2</v>
      </c>
      <c r="S83" s="106">
        <v>9500</v>
      </c>
      <c r="T83" s="106">
        <v>0</v>
      </c>
      <c r="U83" s="106">
        <v>4180</v>
      </c>
      <c r="V83" s="106">
        <v>4180</v>
      </c>
      <c r="W83" s="106">
        <v>14820</v>
      </c>
      <c r="X83" s="106"/>
      <c r="Y83" s="106"/>
      <c r="Z83" s="106"/>
      <c r="AA83" s="104" t="s">
        <v>634</v>
      </c>
      <c r="AB83" s="104" t="s">
        <v>182</v>
      </c>
      <c r="AC83" s="104" t="s">
        <v>183</v>
      </c>
      <c r="AD83" s="106">
        <v>3000</v>
      </c>
      <c r="AE83" s="106">
        <v>0</v>
      </c>
      <c r="AF83" s="106">
        <v>0</v>
      </c>
      <c r="AG83" s="105">
        <v>46174.731539351851</v>
      </c>
      <c r="AH83" s="104" t="s">
        <v>214</v>
      </c>
      <c r="AI83" s="104" t="s">
        <v>185</v>
      </c>
      <c r="AJ83" s="104">
        <v>-404</v>
      </c>
      <c r="AK83" s="104">
        <v>-148</v>
      </c>
      <c r="AL83" s="106">
        <v>14268</v>
      </c>
    </row>
    <row r="84" spans="1:38" ht="13">
      <c r="A84" s="104" t="s">
        <v>635</v>
      </c>
      <c r="B84" s="104" t="s">
        <v>636</v>
      </c>
      <c r="C84" s="105">
        <v>46185.074594907404</v>
      </c>
      <c r="D84" s="104" t="s">
        <v>64</v>
      </c>
      <c r="E84" s="104" t="s">
        <v>65</v>
      </c>
      <c r="F84" s="104" t="s">
        <v>91</v>
      </c>
      <c r="G84" s="104" t="s">
        <v>637</v>
      </c>
      <c r="H84" s="104" t="s">
        <v>91</v>
      </c>
      <c r="I84" s="105">
        <v>46175.527407407411</v>
      </c>
      <c r="J84" s="104" t="s">
        <v>66</v>
      </c>
      <c r="K84" s="104" t="s">
        <v>67</v>
      </c>
      <c r="L84" s="104" t="s">
        <v>638</v>
      </c>
      <c r="M84" s="105">
        <v>46177.547916666663</v>
      </c>
      <c r="N84" s="104" t="s">
        <v>103</v>
      </c>
      <c r="O84" s="104" t="s">
        <v>70</v>
      </c>
      <c r="P84" s="104" t="s">
        <v>69</v>
      </c>
      <c r="Q84" s="104" t="s">
        <v>205</v>
      </c>
      <c r="R84" s="104">
        <v>6</v>
      </c>
      <c r="S84" s="106">
        <v>9500</v>
      </c>
      <c r="T84" s="106">
        <v>0</v>
      </c>
      <c r="U84" s="106">
        <v>19980</v>
      </c>
      <c r="V84" s="106">
        <v>19980</v>
      </c>
      <c r="W84" s="106">
        <v>37020</v>
      </c>
      <c r="X84" s="106"/>
      <c r="Y84" s="106"/>
      <c r="Z84" s="106"/>
      <c r="AA84" s="104" t="s">
        <v>639</v>
      </c>
      <c r="AB84" s="104" t="s">
        <v>207</v>
      </c>
      <c r="AC84" s="104" t="s">
        <v>183</v>
      </c>
      <c r="AD84" s="106">
        <v>0</v>
      </c>
      <c r="AE84" s="106">
        <v>0</v>
      </c>
      <c r="AF84" s="106">
        <v>0</v>
      </c>
      <c r="AG84" s="105">
        <v>46175.238275462965</v>
      </c>
      <c r="AH84" s="104" t="s">
        <v>308</v>
      </c>
      <c r="AI84" s="104" t="s">
        <v>185</v>
      </c>
      <c r="AJ84" s="104">
        <v>-1009</v>
      </c>
      <c r="AK84" s="104">
        <v>-370</v>
      </c>
      <c r="AL84" s="106">
        <v>35641</v>
      </c>
    </row>
    <row r="85" spans="1:38" ht="13">
      <c r="A85" s="104" t="s">
        <v>640</v>
      </c>
      <c r="B85" s="104" t="s">
        <v>641</v>
      </c>
      <c r="C85" s="105">
        <v>46185.075300925921</v>
      </c>
      <c r="D85" s="104" t="s">
        <v>64</v>
      </c>
      <c r="E85" s="104" t="s">
        <v>65</v>
      </c>
      <c r="F85" s="104" t="s">
        <v>642</v>
      </c>
      <c r="G85" s="104" t="s">
        <v>643</v>
      </c>
      <c r="H85" s="104" t="s">
        <v>642</v>
      </c>
      <c r="I85" s="105">
        <v>46175.534363425926</v>
      </c>
      <c r="J85" s="104" t="s">
        <v>66</v>
      </c>
      <c r="K85" s="104" t="s">
        <v>67</v>
      </c>
      <c r="L85" s="104" t="s">
        <v>644</v>
      </c>
      <c r="M85" s="105">
        <v>46177.58430555556</v>
      </c>
      <c r="N85" s="104" t="s">
        <v>103</v>
      </c>
      <c r="O85" s="104" t="s">
        <v>70</v>
      </c>
      <c r="P85" s="104" t="s">
        <v>69</v>
      </c>
      <c r="Q85" s="104" t="s">
        <v>156</v>
      </c>
      <c r="R85" s="104">
        <v>1</v>
      </c>
      <c r="S85" s="106">
        <v>9500</v>
      </c>
      <c r="T85" s="106">
        <v>0</v>
      </c>
      <c r="U85" s="106">
        <v>2090</v>
      </c>
      <c r="V85" s="106">
        <v>2090</v>
      </c>
      <c r="W85" s="106">
        <v>7410</v>
      </c>
      <c r="X85" s="106"/>
      <c r="Y85" s="106"/>
      <c r="Z85" s="106"/>
      <c r="AA85" s="104" t="s">
        <v>645</v>
      </c>
      <c r="AB85" s="104" t="s">
        <v>182</v>
      </c>
      <c r="AC85" s="104" t="s">
        <v>183</v>
      </c>
      <c r="AD85" s="106">
        <v>3000</v>
      </c>
      <c r="AE85" s="106">
        <v>0</v>
      </c>
      <c r="AF85" s="106">
        <v>0</v>
      </c>
      <c r="AG85" s="105">
        <v>46174.702199074076</v>
      </c>
      <c r="AH85" s="104" t="s">
        <v>214</v>
      </c>
      <c r="AI85" s="104" t="s">
        <v>185</v>
      </c>
      <c r="AJ85" s="104">
        <v>-202</v>
      </c>
      <c r="AK85" s="104">
        <v>-74</v>
      </c>
      <c r="AL85" s="106">
        <v>7134</v>
      </c>
    </row>
    <row r="86" spans="1:38" ht="13">
      <c r="A86" s="104" t="s">
        <v>646</v>
      </c>
      <c r="B86" s="104" t="s">
        <v>647</v>
      </c>
      <c r="C86" s="105">
        <v>46185.076145833329</v>
      </c>
      <c r="D86" s="104" t="s">
        <v>64</v>
      </c>
      <c r="E86" s="104" t="s">
        <v>65</v>
      </c>
      <c r="F86" s="104" t="s">
        <v>648</v>
      </c>
      <c r="G86" s="104" t="s">
        <v>649</v>
      </c>
      <c r="H86" s="104" t="s">
        <v>648</v>
      </c>
      <c r="I86" s="105">
        <v>46175.527407407411</v>
      </c>
      <c r="J86" s="104" t="s">
        <v>66</v>
      </c>
      <c r="K86" s="104" t="s">
        <v>67</v>
      </c>
      <c r="L86" s="104" t="s">
        <v>650</v>
      </c>
      <c r="M86" s="105">
        <v>46177.6715625</v>
      </c>
      <c r="N86" s="104" t="s">
        <v>103</v>
      </c>
      <c r="O86" s="104" t="s">
        <v>70</v>
      </c>
      <c r="P86" s="104" t="s">
        <v>69</v>
      </c>
      <c r="Q86" s="104" t="s">
        <v>205</v>
      </c>
      <c r="R86" s="104">
        <v>6</v>
      </c>
      <c r="S86" s="106">
        <v>9500</v>
      </c>
      <c r="T86" s="106">
        <v>0</v>
      </c>
      <c r="U86" s="106">
        <v>19980</v>
      </c>
      <c r="V86" s="106">
        <v>19980</v>
      </c>
      <c r="W86" s="106">
        <v>37020</v>
      </c>
      <c r="X86" s="106"/>
      <c r="Y86" s="106"/>
      <c r="Z86" s="106"/>
      <c r="AA86" s="104" t="s">
        <v>651</v>
      </c>
      <c r="AB86" s="104" t="s">
        <v>207</v>
      </c>
      <c r="AC86" s="104" t="s">
        <v>183</v>
      </c>
      <c r="AD86" s="106">
        <v>0</v>
      </c>
      <c r="AE86" s="106">
        <v>0</v>
      </c>
      <c r="AF86" s="106">
        <v>0</v>
      </c>
      <c r="AG86" s="105">
        <v>46174.940960648149</v>
      </c>
      <c r="AH86" s="104" t="s">
        <v>214</v>
      </c>
      <c r="AI86" s="104" t="s">
        <v>185</v>
      </c>
      <c r="AJ86" s="104">
        <v>-1009</v>
      </c>
      <c r="AK86" s="104">
        <v>-370</v>
      </c>
      <c r="AL86" s="106">
        <v>35641</v>
      </c>
    </row>
    <row r="87" spans="1:38" ht="13">
      <c r="A87" s="104" t="s">
        <v>652</v>
      </c>
      <c r="B87" s="104" t="s">
        <v>653</v>
      </c>
      <c r="C87" s="105">
        <v>46185.096851851849</v>
      </c>
      <c r="D87" s="104" t="s">
        <v>64</v>
      </c>
      <c r="E87" s="104" t="s">
        <v>65</v>
      </c>
      <c r="F87" s="104" t="s">
        <v>135</v>
      </c>
      <c r="G87" s="104" t="s">
        <v>136</v>
      </c>
      <c r="H87" s="104" t="s">
        <v>135</v>
      </c>
      <c r="I87" s="105">
        <v>46175.645486111112</v>
      </c>
      <c r="J87" s="104" t="s">
        <v>66</v>
      </c>
      <c r="K87" s="104" t="s">
        <v>67</v>
      </c>
      <c r="L87" s="104" t="s">
        <v>654</v>
      </c>
      <c r="M87" s="105">
        <v>46177.478692129633</v>
      </c>
      <c r="N87" s="104" t="s">
        <v>103</v>
      </c>
      <c r="O87" s="104" t="s">
        <v>70</v>
      </c>
      <c r="P87" s="104" t="s">
        <v>69</v>
      </c>
      <c r="Q87" s="104" t="s">
        <v>205</v>
      </c>
      <c r="R87" s="104">
        <v>25</v>
      </c>
      <c r="S87" s="106">
        <v>9500</v>
      </c>
      <c r="T87" s="106">
        <v>0</v>
      </c>
      <c r="U87" s="106">
        <v>83250</v>
      </c>
      <c r="V87" s="106">
        <v>83250</v>
      </c>
      <c r="W87" s="106">
        <v>154250</v>
      </c>
      <c r="X87" s="106"/>
      <c r="Y87" s="106"/>
      <c r="Z87" s="106"/>
      <c r="AA87" s="104" t="s">
        <v>655</v>
      </c>
      <c r="AB87" s="104" t="s">
        <v>207</v>
      </c>
      <c r="AC87" s="104" t="s">
        <v>183</v>
      </c>
      <c r="AD87" s="106">
        <v>0</v>
      </c>
      <c r="AE87" s="106">
        <v>0</v>
      </c>
      <c r="AF87" s="106">
        <v>0</v>
      </c>
      <c r="AG87" s="105">
        <v>46175.457997685182</v>
      </c>
      <c r="AH87" s="104" t="s">
        <v>228</v>
      </c>
      <c r="AI87" s="104" t="s">
        <v>185</v>
      </c>
      <c r="AJ87" s="104">
        <v>-4207</v>
      </c>
      <c r="AK87" s="104">
        <v>-4627</v>
      </c>
      <c r="AL87" s="106">
        <v>145416</v>
      </c>
    </row>
    <row r="88" spans="1:38" ht="13">
      <c r="A88" s="104" t="s">
        <v>656</v>
      </c>
      <c r="B88" s="104" t="s">
        <v>657</v>
      </c>
      <c r="C88" s="105">
        <v>46185.100914351853</v>
      </c>
      <c r="D88" s="104" t="s">
        <v>64</v>
      </c>
      <c r="E88" s="104" t="s">
        <v>65</v>
      </c>
      <c r="F88" s="104" t="s">
        <v>72</v>
      </c>
      <c r="G88" s="104" t="s">
        <v>658</v>
      </c>
      <c r="H88" s="104" t="s">
        <v>72</v>
      </c>
      <c r="I88" s="105">
        <v>46175.645486111112</v>
      </c>
      <c r="J88" s="104" t="s">
        <v>66</v>
      </c>
      <c r="K88" s="104" t="s">
        <v>67</v>
      </c>
      <c r="L88" s="104" t="s">
        <v>659</v>
      </c>
      <c r="M88" s="105">
        <v>46177.754861111112</v>
      </c>
      <c r="N88" s="104" t="s">
        <v>103</v>
      </c>
      <c r="O88" s="104" t="s">
        <v>70</v>
      </c>
      <c r="P88" s="104" t="s">
        <v>69</v>
      </c>
      <c r="Q88" s="104" t="s">
        <v>156</v>
      </c>
      <c r="R88" s="104">
        <v>5</v>
      </c>
      <c r="S88" s="106">
        <v>9500</v>
      </c>
      <c r="T88" s="106">
        <v>0</v>
      </c>
      <c r="U88" s="106">
        <v>10450</v>
      </c>
      <c r="V88" s="106">
        <v>10450</v>
      </c>
      <c r="W88" s="106">
        <v>37050</v>
      </c>
      <c r="X88" s="106"/>
      <c r="Y88" s="106"/>
      <c r="Z88" s="106"/>
      <c r="AA88" s="104" t="s">
        <v>660</v>
      </c>
      <c r="AB88" s="104" t="s">
        <v>207</v>
      </c>
      <c r="AC88" s="104" t="s">
        <v>183</v>
      </c>
      <c r="AD88" s="106">
        <v>0</v>
      </c>
      <c r="AE88" s="106">
        <v>0</v>
      </c>
      <c r="AF88" s="106">
        <v>0</v>
      </c>
      <c r="AG88" s="105">
        <v>46175.444108796291</v>
      </c>
      <c r="AH88" s="104" t="s">
        <v>228</v>
      </c>
      <c r="AI88" s="104" t="s">
        <v>185</v>
      </c>
      <c r="AJ88" s="104">
        <v>-1010</v>
      </c>
      <c r="AK88" s="104">
        <v>-370</v>
      </c>
      <c r="AL88" s="106">
        <v>35670</v>
      </c>
    </row>
    <row r="89" spans="1:38" ht="13">
      <c r="A89" s="104" t="s">
        <v>661</v>
      </c>
      <c r="B89" s="104" t="s">
        <v>662</v>
      </c>
      <c r="C89" s="105">
        <v>46185.943900462968</v>
      </c>
      <c r="D89" s="104" t="s">
        <v>64</v>
      </c>
      <c r="E89" s="104" t="s">
        <v>65</v>
      </c>
      <c r="F89" s="104" t="s">
        <v>663</v>
      </c>
      <c r="G89" s="104" t="s">
        <v>664</v>
      </c>
      <c r="H89" s="104" t="s">
        <v>663</v>
      </c>
      <c r="I89" s="105">
        <v>46177.582986111112</v>
      </c>
      <c r="J89" s="104" t="s">
        <v>66</v>
      </c>
      <c r="K89" s="104" t="s">
        <v>67</v>
      </c>
      <c r="L89" s="104" t="s">
        <v>665</v>
      </c>
      <c r="M89" s="105">
        <v>46181.490266203706</v>
      </c>
      <c r="N89" s="104" t="s">
        <v>103</v>
      </c>
      <c r="O89" s="104" t="s">
        <v>70</v>
      </c>
      <c r="P89" s="104" t="s">
        <v>69</v>
      </c>
      <c r="Q89" s="104" t="s">
        <v>205</v>
      </c>
      <c r="R89" s="104">
        <v>6</v>
      </c>
      <c r="S89" s="106">
        <v>9500</v>
      </c>
      <c r="T89" s="106">
        <v>0</v>
      </c>
      <c r="U89" s="106">
        <v>19980</v>
      </c>
      <c r="V89" s="106">
        <v>19980</v>
      </c>
      <c r="W89" s="106">
        <v>37020</v>
      </c>
      <c r="X89" s="106"/>
      <c r="Y89" s="106"/>
      <c r="Z89" s="106"/>
      <c r="AA89" s="104" t="s">
        <v>666</v>
      </c>
      <c r="AB89" s="104" t="s">
        <v>207</v>
      </c>
      <c r="AC89" s="104" t="s">
        <v>183</v>
      </c>
      <c r="AD89" s="106">
        <v>0</v>
      </c>
      <c r="AE89" s="106">
        <v>0</v>
      </c>
      <c r="AF89" s="106">
        <v>0</v>
      </c>
      <c r="AG89" s="105">
        <v>46176.951979166668</v>
      </c>
      <c r="AH89" s="104" t="s">
        <v>214</v>
      </c>
      <c r="AI89" s="104" t="s">
        <v>185</v>
      </c>
      <c r="AJ89" s="104">
        <v>-1009</v>
      </c>
      <c r="AK89" s="104">
        <v>-370</v>
      </c>
      <c r="AL89" s="106">
        <v>35641</v>
      </c>
    </row>
    <row r="90" spans="1:38" ht="13">
      <c r="A90" s="104" t="s">
        <v>667</v>
      </c>
      <c r="B90" s="104" t="s">
        <v>668</v>
      </c>
      <c r="C90" s="105">
        <v>46186.109305555554</v>
      </c>
      <c r="D90" s="104" t="s">
        <v>64</v>
      </c>
      <c r="E90" s="104" t="s">
        <v>65</v>
      </c>
      <c r="F90" s="104" t="s">
        <v>669</v>
      </c>
      <c r="G90" s="104" t="s">
        <v>670</v>
      </c>
      <c r="H90" s="104" t="s">
        <v>669</v>
      </c>
      <c r="I90" s="105">
        <v>46177.57603009259</v>
      </c>
      <c r="J90" s="104" t="s">
        <v>66</v>
      </c>
      <c r="K90" s="104" t="s">
        <v>67</v>
      </c>
      <c r="L90" s="104" t="s">
        <v>671</v>
      </c>
      <c r="M90" s="105">
        <v>46178.677835648152</v>
      </c>
      <c r="N90" s="104" t="s">
        <v>103</v>
      </c>
      <c r="O90" s="104" t="s">
        <v>107</v>
      </c>
      <c r="P90" s="104" t="s">
        <v>68</v>
      </c>
      <c r="Q90" s="104" t="s">
        <v>104</v>
      </c>
      <c r="R90" s="104">
        <v>1</v>
      </c>
      <c r="S90" s="106">
        <v>21060</v>
      </c>
      <c r="T90" s="106">
        <v>0</v>
      </c>
      <c r="U90" s="106">
        <v>0</v>
      </c>
      <c r="V90" s="106">
        <v>0</v>
      </c>
      <c r="W90" s="106">
        <v>21060</v>
      </c>
      <c r="X90" s="106"/>
      <c r="Y90" s="106"/>
      <c r="Z90" s="106"/>
      <c r="AA90" s="104" t="s">
        <v>672</v>
      </c>
      <c r="AB90" s="104" t="s">
        <v>182</v>
      </c>
      <c r="AC90" s="104" t="s">
        <v>183</v>
      </c>
      <c r="AD90" s="106">
        <v>3000</v>
      </c>
      <c r="AE90" s="106">
        <v>0</v>
      </c>
      <c r="AF90" s="106">
        <v>0</v>
      </c>
      <c r="AG90" s="105">
        <v>46176.6012962963</v>
      </c>
      <c r="AH90" s="104" t="s">
        <v>214</v>
      </c>
      <c r="AI90" s="104" t="s">
        <v>185</v>
      </c>
      <c r="AJ90" s="104">
        <v>-574</v>
      </c>
      <c r="AK90" s="104">
        <v>-631</v>
      </c>
      <c r="AL90" s="106">
        <v>19855</v>
      </c>
    </row>
    <row r="91" spans="1:38" ht="13">
      <c r="A91" s="104" t="s">
        <v>673</v>
      </c>
      <c r="B91" s="104" t="s">
        <v>668</v>
      </c>
      <c r="C91" s="105">
        <v>46186.109305555554</v>
      </c>
      <c r="D91" s="104" t="s">
        <v>64</v>
      </c>
      <c r="E91" s="104" t="s">
        <v>65</v>
      </c>
      <c r="F91" s="104" t="s">
        <v>669</v>
      </c>
      <c r="G91" s="104" t="s">
        <v>670</v>
      </c>
      <c r="H91" s="104" t="s">
        <v>669</v>
      </c>
      <c r="I91" s="105">
        <v>46177.57603009259</v>
      </c>
      <c r="J91" s="104" t="s">
        <v>66</v>
      </c>
      <c r="K91" s="104" t="s">
        <v>67</v>
      </c>
      <c r="L91" s="104" t="s">
        <v>671</v>
      </c>
      <c r="M91" s="105">
        <v>46178.677835648152</v>
      </c>
      <c r="N91" s="104" t="s">
        <v>103</v>
      </c>
      <c r="O91" s="104" t="s">
        <v>70</v>
      </c>
      <c r="P91" s="104" t="s">
        <v>69</v>
      </c>
      <c r="Q91" s="104" t="s">
        <v>156</v>
      </c>
      <c r="R91" s="104">
        <v>1</v>
      </c>
      <c r="S91" s="106">
        <v>9500</v>
      </c>
      <c r="T91" s="106">
        <v>0</v>
      </c>
      <c r="U91" s="106">
        <v>2090</v>
      </c>
      <c r="V91" s="106">
        <v>2090</v>
      </c>
      <c r="W91" s="106">
        <v>7410</v>
      </c>
      <c r="X91" s="106"/>
      <c r="Y91" s="106"/>
      <c r="Z91" s="106"/>
      <c r="AA91" s="104" t="s">
        <v>672</v>
      </c>
      <c r="AB91" s="104" t="s">
        <v>182</v>
      </c>
      <c r="AC91" s="104" t="s">
        <v>183</v>
      </c>
      <c r="AD91" s="106">
        <v>3000</v>
      </c>
      <c r="AE91" s="106">
        <v>0</v>
      </c>
      <c r="AF91" s="106">
        <v>0</v>
      </c>
      <c r="AG91" s="105">
        <v>46176.6012962963</v>
      </c>
      <c r="AH91" s="104" t="s">
        <v>214</v>
      </c>
      <c r="AI91" s="104" t="s">
        <v>185</v>
      </c>
      <c r="AJ91" s="104">
        <v>-202</v>
      </c>
      <c r="AK91" s="104">
        <v>-222</v>
      </c>
      <c r="AL91" s="106">
        <v>6986</v>
      </c>
    </row>
    <row r="92" spans="1:38" ht="13">
      <c r="A92" s="104" t="s">
        <v>674</v>
      </c>
      <c r="B92" s="104" t="s">
        <v>675</v>
      </c>
      <c r="C92" s="105">
        <v>46186.110659722224</v>
      </c>
      <c r="D92" s="104" t="s">
        <v>64</v>
      </c>
      <c r="E92" s="104" t="s">
        <v>65</v>
      </c>
      <c r="F92" s="104" t="s">
        <v>676</v>
      </c>
      <c r="G92" s="104" t="s">
        <v>677</v>
      </c>
      <c r="H92" s="104" t="s">
        <v>676</v>
      </c>
      <c r="I92" s="105">
        <v>46177.582986111112</v>
      </c>
      <c r="J92" s="104" t="s">
        <v>66</v>
      </c>
      <c r="K92" s="104" t="s">
        <v>67</v>
      </c>
      <c r="L92" s="104" t="s">
        <v>678</v>
      </c>
      <c r="M92" s="105">
        <v>46178.609027777777</v>
      </c>
      <c r="N92" s="104" t="s">
        <v>103</v>
      </c>
      <c r="O92" s="104" t="s">
        <v>70</v>
      </c>
      <c r="P92" s="104" t="s">
        <v>69</v>
      </c>
      <c r="Q92" s="104" t="s">
        <v>156</v>
      </c>
      <c r="R92" s="104">
        <v>5</v>
      </c>
      <c r="S92" s="106">
        <v>9500</v>
      </c>
      <c r="T92" s="106">
        <v>0</v>
      </c>
      <c r="U92" s="106">
        <v>10450</v>
      </c>
      <c r="V92" s="106">
        <v>10450</v>
      </c>
      <c r="W92" s="106">
        <v>37050</v>
      </c>
      <c r="X92" s="106"/>
      <c r="Y92" s="106"/>
      <c r="Z92" s="106"/>
      <c r="AA92" s="104" t="s">
        <v>679</v>
      </c>
      <c r="AB92" s="104" t="s">
        <v>207</v>
      </c>
      <c r="AC92" s="104" t="s">
        <v>183</v>
      </c>
      <c r="AD92" s="106">
        <v>0</v>
      </c>
      <c r="AE92" s="106">
        <v>0</v>
      </c>
      <c r="AF92" s="106">
        <v>0</v>
      </c>
      <c r="AG92" s="105">
        <v>46175.902407407411</v>
      </c>
      <c r="AH92" s="104" t="s">
        <v>228</v>
      </c>
      <c r="AI92" s="104" t="s">
        <v>185</v>
      </c>
      <c r="AJ92" s="104">
        <v>-1010</v>
      </c>
      <c r="AK92" s="104">
        <v>-370</v>
      </c>
      <c r="AL92" s="106">
        <v>35670</v>
      </c>
    </row>
    <row r="93" spans="1:38" ht="13">
      <c r="A93" s="104" t="s">
        <v>680</v>
      </c>
      <c r="B93" s="104" t="s">
        <v>681</v>
      </c>
      <c r="C93" s="105">
        <v>46186.111111111109</v>
      </c>
      <c r="D93" s="104" t="s">
        <v>64</v>
      </c>
      <c r="E93" s="104" t="s">
        <v>65</v>
      </c>
      <c r="F93" s="104" t="s">
        <v>682</v>
      </c>
      <c r="G93" s="104" t="s">
        <v>683</v>
      </c>
      <c r="H93" s="104" t="s">
        <v>682</v>
      </c>
      <c r="I93" s="105">
        <v>46177.582986111112</v>
      </c>
      <c r="J93" s="104" t="s">
        <v>66</v>
      </c>
      <c r="K93" s="104" t="s">
        <v>67</v>
      </c>
      <c r="L93" s="104" t="s">
        <v>684</v>
      </c>
      <c r="M93" s="105">
        <v>46178.684814814813</v>
      </c>
      <c r="N93" s="104" t="s">
        <v>103</v>
      </c>
      <c r="O93" s="104" t="s">
        <v>70</v>
      </c>
      <c r="P93" s="104" t="s">
        <v>69</v>
      </c>
      <c r="Q93" s="104" t="s">
        <v>156</v>
      </c>
      <c r="R93" s="104">
        <v>4</v>
      </c>
      <c r="S93" s="106">
        <v>9500</v>
      </c>
      <c r="T93" s="106">
        <v>0</v>
      </c>
      <c r="U93" s="106">
        <v>8360</v>
      </c>
      <c r="V93" s="106">
        <v>8360</v>
      </c>
      <c r="W93" s="106">
        <v>29640</v>
      </c>
      <c r="X93" s="106"/>
      <c r="Y93" s="106"/>
      <c r="Z93" s="106"/>
      <c r="AA93" s="104" t="s">
        <v>685</v>
      </c>
      <c r="AB93" s="104" t="s">
        <v>182</v>
      </c>
      <c r="AC93" s="104" t="s">
        <v>183</v>
      </c>
      <c r="AD93" s="106">
        <v>3000</v>
      </c>
      <c r="AE93" s="106">
        <v>0</v>
      </c>
      <c r="AF93" s="106">
        <v>0</v>
      </c>
      <c r="AG93" s="105">
        <v>46177.027187500003</v>
      </c>
      <c r="AH93" s="104" t="s">
        <v>214</v>
      </c>
      <c r="AI93" s="104" t="s">
        <v>185</v>
      </c>
      <c r="AJ93" s="104">
        <v>-808</v>
      </c>
      <c r="AK93" s="104">
        <v>-296</v>
      </c>
      <c r="AL93" s="106">
        <v>28536</v>
      </c>
    </row>
    <row r="94" spans="1:38" ht="13">
      <c r="A94" s="104" t="s">
        <v>686</v>
      </c>
      <c r="B94" s="104" t="s">
        <v>687</v>
      </c>
      <c r="C94" s="105">
        <v>46186.111180555556</v>
      </c>
      <c r="D94" s="104" t="s">
        <v>64</v>
      </c>
      <c r="E94" s="104" t="s">
        <v>65</v>
      </c>
      <c r="F94" s="104" t="s">
        <v>688</v>
      </c>
      <c r="G94" s="104" t="s">
        <v>689</v>
      </c>
      <c r="H94" s="104" t="s">
        <v>688</v>
      </c>
      <c r="I94" s="105">
        <v>46177.582986111112</v>
      </c>
      <c r="J94" s="104" t="s">
        <v>66</v>
      </c>
      <c r="K94" s="104" t="s">
        <v>67</v>
      </c>
      <c r="L94" s="104" t="s">
        <v>690</v>
      </c>
      <c r="M94" s="105">
        <v>46178.768935185188</v>
      </c>
      <c r="N94" s="104" t="s">
        <v>103</v>
      </c>
      <c r="O94" s="104" t="s">
        <v>70</v>
      </c>
      <c r="P94" s="104" t="s">
        <v>69</v>
      </c>
      <c r="Q94" s="104" t="s">
        <v>156</v>
      </c>
      <c r="R94" s="104">
        <v>1</v>
      </c>
      <c r="S94" s="106">
        <v>9500</v>
      </c>
      <c r="T94" s="106">
        <v>0</v>
      </c>
      <c r="U94" s="106">
        <v>2090</v>
      </c>
      <c r="V94" s="106">
        <v>2090</v>
      </c>
      <c r="W94" s="106">
        <v>7410</v>
      </c>
      <c r="X94" s="106"/>
      <c r="Y94" s="106"/>
      <c r="Z94" s="106"/>
      <c r="AA94" s="104" t="s">
        <v>691</v>
      </c>
      <c r="AB94" s="104" t="s">
        <v>182</v>
      </c>
      <c r="AC94" s="104" t="s">
        <v>183</v>
      </c>
      <c r="AD94" s="106">
        <v>3000</v>
      </c>
      <c r="AE94" s="106">
        <v>0</v>
      </c>
      <c r="AF94" s="106">
        <v>0</v>
      </c>
      <c r="AG94" s="105">
        <v>46176.224803240737</v>
      </c>
      <c r="AH94" s="104" t="s">
        <v>214</v>
      </c>
      <c r="AI94" s="104" t="s">
        <v>185</v>
      </c>
      <c r="AJ94" s="104">
        <v>-202</v>
      </c>
      <c r="AK94" s="104">
        <v>-74</v>
      </c>
      <c r="AL94" s="106">
        <v>7134</v>
      </c>
    </row>
    <row r="95" spans="1:38" ht="13">
      <c r="A95" s="104" t="s">
        <v>692</v>
      </c>
      <c r="B95" s="104" t="s">
        <v>693</v>
      </c>
      <c r="C95" s="105">
        <v>46186.112060185187</v>
      </c>
      <c r="D95" s="104" t="s">
        <v>64</v>
      </c>
      <c r="E95" s="104" t="s">
        <v>65</v>
      </c>
      <c r="F95" s="104" t="s">
        <v>694</v>
      </c>
      <c r="G95" s="104" t="s">
        <v>695</v>
      </c>
      <c r="H95" s="104" t="s">
        <v>696</v>
      </c>
      <c r="I95" s="105">
        <v>46177.582986111112</v>
      </c>
      <c r="J95" s="104" t="s">
        <v>66</v>
      </c>
      <c r="K95" s="104" t="s">
        <v>67</v>
      </c>
      <c r="L95" s="104" t="s">
        <v>697</v>
      </c>
      <c r="M95" s="105">
        <v>46178.681284722217</v>
      </c>
      <c r="N95" s="104" t="s">
        <v>103</v>
      </c>
      <c r="O95" s="104" t="s">
        <v>70</v>
      </c>
      <c r="P95" s="104" t="s">
        <v>69</v>
      </c>
      <c r="Q95" s="104" t="s">
        <v>205</v>
      </c>
      <c r="R95" s="104">
        <v>6</v>
      </c>
      <c r="S95" s="106">
        <v>9500</v>
      </c>
      <c r="T95" s="106">
        <v>0</v>
      </c>
      <c r="U95" s="106">
        <v>22980</v>
      </c>
      <c r="V95" s="106">
        <v>19980</v>
      </c>
      <c r="W95" s="106">
        <v>34020</v>
      </c>
      <c r="X95" s="106"/>
      <c r="Y95" s="106"/>
      <c r="Z95" s="106"/>
      <c r="AA95" s="104" t="s">
        <v>698</v>
      </c>
      <c r="AB95" s="104" t="s">
        <v>207</v>
      </c>
      <c r="AC95" s="104" t="s">
        <v>183</v>
      </c>
      <c r="AD95" s="106">
        <v>0</v>
      </c>
      <c r="AE95" s="106">
        <v>0</v>
      </c>
      <c r="AF95" s="106">
        <v>0</v>
      </c>
      <c r="AG95" s="105">
        <v>46176.589456018519</v>
      </c>
      <c r="AH95" s="104" t="s">
        <v>214</v>
      </c>
      <c r="AI95" s="104" t="s">
        <v>185</v>
      </c>
      <c r="AJ95" s="104">
        <v>-1008</v>
      </c>
      <c r="AK95" s="104">
        <v>-1110</v>
      </c>
      <c r="AL95" s="106">
        <v>34902</v>
      </c>
    </row>
    <row r="96" spans="1:38" ht="13">
      <c r="A96" s="104" t="s">
        <v>699</v>
      </c>
      <c r="B96" s="104" t="s">
        <v>700</v>
      </c>
      <c r="C96" s="105">
        <v>46186.11319444445</v>
      </c>
      <c r="D96" s="104" t="s">
        <v>64</v>
      </c>
      <c r="E96" s="104" t="s">
        <v>65</v>
      </c>
      <c r="F96" s="104" t="s">
        <v>701</v>
      </c>
      <c r="G96" s="104" t="s">
        <v>702</v>
      </c>
      <c r="H96" s="104" t="s">
        <v>701</v>
      </c>
      <c r="I96" s="105">
        <v>46177.582986111112</v>
      </c>
      <c r="J96" s="104" t="s">
        <v>66</v>
      </c>
      <c r="K96" s="104" t="s">
        <v>67</v>
      </c>
      <c r="L96" s="104" t="s">
        <v>703</v>
      </c>
      <c r="M96" s="105">
        <v>46178.552361111113</v>
      </c>
      <c r="N96" s="104" t="s">
        <v>103</v>
      </c>
      <c r="O96" s="104" t="s">
        <v>70</v>
      </c>
      <c r="P96" s="104" t="s">
        <v>69</v>
      </c>
      <c r="Q96" s="104" t="s">
        <v>156</v>
      </c>
      <c r="R96" s="104">
        <v>2</v>
      </c>
      <c r="S96" s="106">
        <v>9500</v>
      </c>
      <c r="T96" s="106">
        <v>0</v>
      </c>
      <c r="U96" s="106">
        <v>4180</v>
      </c>
      <c r="V96" s="106">
        <v>4180</v>
      </c>
      <c r="W96" s="106">
        <v>14820</v>
      </c>
      <c r="X96" s="106"/>
      <c r="Y96" s="106"/>
      <c r="Z96" s="106"/>
      <c r="AA96" s="104" t="s">
        <v>704</v>
      </c>
      <c r="AB96" s="104" t="s">
        <v>182</v>
      </c>
      <c r="AC96" s="104" t="s">
        <v>183</v>
      </c>
      <c r="AD96" s="106">
        <v>3000</v>
      </c>
      <c r="AE96" s="106">
        <v>0</v>
      </c>
      <c r="AF96" s="106">
        <v>0</v>
      </c>
      <c r="AG96" s="105">
        <v>46176.35423611111</v>
      </c>
      <c r="AH96" s="104" t="s">
        <v>321</v>
      </c>
      <c r="AI96" s="104" t="s">
        <v>185</v>
      </c>
      <c r="AJ96" s="104">
        <v>-404</v>
      </c>
      <c r="AK96" s="104">
        <v>-148</v>
      </c>
      <c r="AL96" s="106">
        <v>14268</v>
      </c>
    </row>
    <row r="97" spans="1:38" ht="13">
      <c r="A97" s="104" t="s">
        <v>705</v>
      </c>
      <c r="B97" s="104" t="s">
        <v>706</v>
      </c>
      <c r="C97" s="105">
        <v>46186.137152777781</v>
      </c>
      <c r="D97" s="104" t="s">
        <v>64</v>
      </c>
      <c r="E97" s="104" t="s">
        <v>65</v>
      </c>
      <c r="F97" s="104" t="s">
        <v>707</v>
      </c>
      <c r="G97" s="104" t="s">
        <v>386</v>
      </c>
      <c r="H97" s="104" t="s">
        <v>707</v>
      </c>
      <c r="I97" s="105">
        <v>46177.582986111112</v>
      </c>
      <c r="J97" s="104" t="s">
        <v>66</v>
      </c>
      <c r="K97" s="104" t="s">
        <v>67</v>
      </c>
      <c r="L97" s="104" t="s">
        <v>708</v>
      </c>
      <c r="M97" s="105">
        <v>46178.550740740742</v>
      </c>
      <c r="N97" s="104" t="s">
        <v>103</v>
      </c>
      <c r="O97" s="104" t="s">
        <v>70</v>
      </c>
      <c r="P97" s="104" t="s">
        <v>69</v>
      </c>
      <c r="Q97" s="104" t="s">
        <v>205</v>
      </c>
      <c r="R97" s="104">
        <v>6</v>
      </c>
      <c r="S97" s="106">
        <v>9500</v>
      </c>
      <c r="T97" s="106">
        <v>0</v>
      </c>
      <c r="U97" s="106">
        <v>19980</v>
      </c>
      <c r="V97" s="106">
        <v>19980</v>
      </c>
      <c r="W97" s="106">
        <v>37020</v>
      </c>
      <c r="X97" s="106"/>
      <c r="Y97" s="106"/>
      <c r="Z97" s="106"/>
      <c r="AA97" s="104" t="s">
        <v>709</v>
      </c>
      <c r="AB97" s="104" t="s">
        <v>207</v>
      </c>
      <c r="AC97" s="104" t="s">
        <v>183</v>
      </c>
      <c r="AD97" s="106">
        <v>0</v>
      </c>
      <c r="AE97" s="106">
        <v>0</v>
      </c>
      <c r="AF97" s="106">
        <v>0</v>
      </c>
      <c r="AG97" s="105">
        <v>46176.61990740741</v>
      </c>
      <c r="AH97" s="104" t="s">
        <v>214</v>
      </c>
      <c r="AI97" s="104" t="s">
        <v>185</v>
      </c>
      <c r="AJ97" s="104">
        <v>-1009</v>
      </c>
      <c r="AK97" s="104">
        <v>-370</v>
      </c>
      <c r="AL97" s="106">
        <v>35641</v>
      </c>
    </row>
    <row r="98" spans="1:38" ht="13">
      <c r="A98" s="104" t="s">
        <v>710</v>
      </c>
      <c r="B98" s="104" t="s">
        <v>711</v>
      </c>
      <c r="C98" s="105">
        <v>46186.137175925927</v>
      </c>
      <c r="D98" s="104" t="s">
        <v>64</v>
      </c>
      <c r="E98" s="104" t="s">
        <v>65</v>
      </c>
      <c r="F98" s="104" t="s">
        <v>712</v>
      </c>
      <c r="G98" s="104" t="s">
        <v>713</v>
      </c>
      <c r="H98" s="104" t="s">
        <v>712</v>
      </c>
      <c r="I98" s="105">
        <v>46177.582986111112</v>
      </c>
      <c r="J98" s="104" t="s">
        <v>66</v>
      </c>
      <c r="K98" s="104" t="s">
        <v>67</v>
      </c>
      <c r="L98" s="104" t="s">
        <v>714</v>
      </c>
      <c r="M98" s="105">
        <v>46178.609027777777</v>
      </c>
      <c r="N98" s="104" t="s">
        <v>103</v>
      </c>
      <c r="O98" s="104" t="s">
        <v>70</v>
      </c>
      <c r="P98" s="104" t="s">
        <v>69</v>
      </c>
      <c r="Q98" s="104" t="s">
        <v>156</v>
      </c>
      <c r="R98" s="104">
        <v>1</v>
      </c>
      <c r="S98" s="106">
        <v>9500</v>
      </c>
      <c r="T98" s="106">
        <v>0</v>
      </c>
      <c r="U98" s="106">
        <v>2090</v>
      </c>
      <c r="V98" s="106">
        <v>2090</v>
      </c>
      <c r="W98" s="106">
        <v>7410</v>
      </c>
      <c r="X98" s="106"/>
      <c r="Y98" s="106"/>
      <c r="Z98" s="106"/>
      <c r="AA98" s="104" t="s">
        <v>715</v>
      </c>
      <c r="AB98" s="104" t="s">
        <v>182</v>
      </c>
      <c r="AC98" s="104" t="s">
        <v>183</v>
      </c>
      <c r="AD98" s="106">
        <v>3000</v>
      </c>
      <c r="AE98" s="106">
        <v>0</v>
      </c>
      <c r="AF98" s="106">
        <v>0</v>
      </c>
      <c r="AG98" s="105">
        <v>46176.641030092593</v>
      </c>
      <c r="AH98" s="104" t="s">
        <v>214</v>
      </c>
      <c r="AI98" s="104" t="s">
        <v>185</v>
      </c>
      <c r="AJ98" s="104">
        <v>-202</v>
      </c>
      <c r="AK98" s="104">
        <v>-74</v>
      </c>
      <c r="AL98" s="106">
        <v>7134</v>
      </c>
    </row>
    <row r="99" spans="1:38" ht="13">
      <c r="A99" s="104" t="s">
        <v>716</v>
      </c>
      <c r="B99" s="104" t="s">
        <v>717</v>
      </c>
      <c r="C99" s="105">
        <v>46186.137326388889</v>
      </c>
      <c r="D99" s="104" t="s">
        <v>64</v>
      </c>
      <c r="E99" s="104" t="s">
        <v>65</v>
      </c>
      <c r="F99" s="104" t="s">
        <v>231</v>
      </c>
      <c r="G99" s="104" t="s">
        <v>232</v>
      </c>
      <c r="H99" s="104" t="s">
        <v>231</v>
      </c>
      <c r="I99" s="105">
        <v>46177.582986111112</v>
      </c>
      <c r="J99" s="104" t="s">
        <v>66</v>
      </c>
      <c r="K99" s="104" t="s">
        <v>67</v>
      </c>
      <c r="L99" s="104" t="s">
        <v>718</v>
      </c>
      <c r="M99" s="105">
        <v>46178.552847222221</v>
      </c>
      <c r="N99" s="104" t="s">
        <v>103</v>
      </c>
      <c r="O99" s="104" t="s">
        <v>70</v>
      </c>
      <c r="P99" s="104" t="s">
        <v>69</v>
      </c>
      <c r="Q99" s="104" t="s">
        <v>156</v>
      </c>
      <c r="R99" s="104">
        <v>5</v>
      </c>
      <c r="S99" s="106">
        <v>9500</v>
      </c>
      <c r="T99" s="106">
        <v>0</v>
      </c>
      <c r="U99" s="106">
        <v>10450</v>
      </c>
      <c r="V99" s="106">
        <v>10450</v>
      </c>
      <c r="W99" s="106">
        <v>37050</v>
      </c>
      <c r="X99" s="106"/>
      <c r="Y99" s="106"/>
      <c r="Z99" s="106"/>
      <c r="AA99" s="104" t="s">
        <v>719</v>
      </c>
      <c r="AB99" s="104" t="s">
        <v>207</v>
      </c>
      <c r="AC99" s="104" t="s">
        <v>183</v>
      </c>
      <c r="AD99" s="106">
        <v>0</v>
      </c>
      <c r="AE99" s="106">
        <v>0</v>
      </c>
      <c r="AF99" s="106">
        <v>0</v>
      </c>
      <c r="AG99" s="105">
        <v>46175.739282407405</v>
      </c>
      <c r="AH99" s="104" t="s">
        <v>228</v>
      </c>
      <c r="AI99" s="104" t="s">
        <v>185</v>
      </c>
      <c r="AJ99" s="104">
        <v>-1010</v>
      </c>
      <c r="AK99" s="104">
        <v>-1111</v>
      </c>
      <c r="AL99" s="106">
        <v>34929</v>
      </c>
    </row>
    <row r="100" spans="1:38" ht="13">
      <c r="A100" s="104" t="s">
        <v>720</v>
      </c>
      <c r="B100" s="104" t="s">
        <v>721</v>
      </c>
      <c r="C100" s="105">
        <v>46186.138368055559</v>
      </c>
      <c r="D100" s="104" t="s">
        <v>64</v>
      </c>
      <c r="E100" s="104" t="s">
        <v>65</v>
      </c>
      <c r="F100" s="104" t="s">
        <v>722</v>
      </c>
      <c r="G100" s="104" t="s">
        <v>723</v>
      </c>
      <c r="H100" s="104" t="s">
        <v>722</v>
      </c>
      <c r="I100" s="105">
        <v>46177.582986111112</v>
      </c>
      <c r="J100" s="104" t="s">
        <v>66</v>
      </c>
      <c r="K100" s="104" t="s">
        <v>67</v>
      </c>
      <c r="L100" s="104" t="s">
        <v>724</v>
      </c>
      <c r="M100" s="105">
        <v>46178.551736111112</v>
      </c>
      <c r="N100" s="104" t="s">
        <v>103</v>
      </c>
      <c r="O100" s="104" t="s">
        <v>70</v>
      </c>
      <c r="P100" s="104" t="s">
        <v>69</v>
      </c>
      <c r="Q100" s="104" t="s">
        <v>156</v>
      </c>
      <c r="R100" s="104">
        <v>2</v>
      </c>
      <c r="S100" s="106">
        <v>9500</v>
      </c>
      <c r="T100" s="106">
        <v>0</v>
      </c>
      <c r="U100" s="106">
        <v>4180</v>
      </c>
      <c r="V100" s="106">
        <v>4180</v>
      </c>
      <c r="W100" s="106">
        <v>14820</v>
      </c>
      <c r="X100" s="106"/>
      <c r="Y100" s="106"/>
      <c r="Z100" s="106"/>
      <c r="AA100" s="104" t="s">
        <v>725</v>
      </c>
      <c r="AB100" s="104" t="s">
        <v>182</v>
      </c>
      <c r="AC100" s="104" t="s">
        <v>183</v>
      </c>
      <c r="AD100" s="106">
        <v>3000</v>
      </c>
      <c r="AE100" s="106">
        <v>0</v>
      </c>
      <c r="AF100" s="106">
        <v>0</v>
      </c>
      <c r="AG100" s="105">
        <v>46176.716400462959</v>
      </c>
      <c r="AH100" s="104" t="s">
        <v>214</v>
      </c>
      <c r="AI100" s="104" t="s">
        <v>185</v>
      </c>
      <c r="AJ100" s="104">
        <v>-404</v>
      </c>
      <c r="AK100" s="104">
        <v>-444</v>
      </c>
      <c r="AL100" s="106">
        <v>13972</v>
      </c>
    </row>
    <row r="101" spans="1:38" ht="13">
      <c r="A101" s="104" t="s">
        <v>726</v>
      </c>
      <c r="B101" s="104" t="s">
        <v>727</v>
      </c>
      <c r="C101" s="105">
        <v>46186.138726851852</v>
      </c>
      <c r="D101" s="104" t="s">
        <v>64</v>
      </c>
      <c r="E101" s="104" t="s">
        <v>65</v>
      </c>
      <c r="F101" s="104" t="s">
        <v>728</v>
      </c>
      <c r="G101" s="104" t="s">
        <v>729</v>
      </c>
      <c r="H101" s="104" t="s">
        <v>728</v>
      </c>
      <c r="I101" s="105">
        <v>46177.582986111112</v>
      </c>
      <c r="J101" s="104" t="s">
        <v>66</v>
      </c>
      <c r="K101" s="104" t="s">
        <v>67</v>
      </c>
      <c r="L101" s="104" t="s">
        <v>730</v>
      </c>
      <c r="M101" s="105">
        <v>46178.908217592594</v>
      </c>
      <c r="N101" s="104" t="s">
        <v>103</v>
      </c>
      <c r="O101" s="104" t="s">
        <v>70</v>
      </c>
      <c r="P101" s="104" t="s">
        <v>69</v>
      </c>
      <c r="Q101" s="104" t="s">
        <v>205</v>
      </c>
      <c r="R101" s="104">
        <v>6</v>
      </c>
      <c r="S101" s="106">
        <v>9500</v>
      </c>
      <c r="T101" s="106">
        <v>0</v>
      </c>
      <c r="U101" s="106">
        <v>19980</v>
      </c>
      <c r="V101" s="106">
        <v>19980</v>
      </c>
      <c r="W101" s="106">
        <v>37020</v>
      </c>
      <c r="X101" s="106"/>
      <c r="Y101" s="106"/>
      <c r="Z101" s="106"/>
      <c r="AA101" s="104" t="s">
        <v>731</v>
      </c>
      <c r="AB101" s="104" t="s">
        <v>207</v>
      </c>
      <c r="AC101" s="104" t="s">
        <v>183</v>
      </c>
      <c r="AD101" s="106">
        <v>0</v>
      </c>
      <c r="AE101" s="106">
        <v>0</v>
      </c>
      <c r="AF101" s="106">
        <v>0</v>
      </c>
      <c r="AG101" s="105">
        <v>46176.373587962968</v>
      </c>
      <c r="AH101" s="104" t="s">
        <v>214</v>
      </c>
      <c r="AI101" s="104" t="s">
        <v>185</v>
      </c>
      <c r="AJ101" s="104">
        <v>-1009</v>
      </c>
      <c r="AK101" s="104">
        <v>-370</v>
      </c>
      <c r="AL101" s="106">
        <v>35641</v>
      </c>
    </row>
    <row r="102" spans="1:38" ht="13">
      <c r="A102" s="104" t="s">
        <v>732</v>
      </c>
      <c r="B102" s="104" t="s">
        <v>733</v>
      </c>
      <c r="C102" s="105">
        <v>46187.510416666672</v>
      </c>
      <c r="D102" s="104" t="s">
        <v>64</v>
      </c>
      <c r="E102" s="104" t="s">
        <v>65</v>
      </c>
      <c r="F102" s="104" t="s">
        <v>118</v>
      </c>
      <c r="G102" s="104" t="s">
        <v>734</v>
      </c>
      <c r="H102" s="104" t="s">
        <v>118</v>
      </c>
      <c r="I102" s="105">
        <v>46181.624652777777</v>
      </c>
      <c r="J102" s="104" t="s">
        <v>66</v>
      </c>
      <c r="K102" s="104" t="s">
        <v>67</v>
      </c>
      <c r="L102" s="104" t="s">
        <v>735</v>
      </c>
      <c r="M102" s="105">
        <v>46182.486967592587</v>
      </c>
      <c r="N102" s="104" t="s">
        <v>103</v>
      </c>
      <c r="O102" s="104" t="s">
        <v>70</v>
      </c>
      <c r="P102" s="104" t="s">
        <v>69</v>
      </c>
      <c r="Q102" s="104" t="s">
        <v>205</v>
      </c>
      <c r="R102" s="104">
        <v>6</v>
      </c>
      <c r="S102" s="106">
        <v>9500</v>
      </c>
      <c r="T102" s="106">
        <v>0</v>
      </c>
      <c r="U102" s="106">
        <v>19980</v>
      </c>
      <c r="V102" s="106">
        <v>19980</v>
      </c>
      <c r="W102" s="106">
        <v>37020</v>
      </c>
      <c r="X102" s="106"/>
      <c r="Y102" s="106"/>
      <c r="Z102" s="106"/>
      <c r="AA102" s="104" t="s">
        <v>736</v>
      </c>
      <c r="AB102" s="104" t="s">
        <v>207</v>
      </c>
      <c r="AC102" s="104" t="s">
        <v>183</v>
      </c>
      <c r="AD102" s="106">
        <v>0</v>
      </c>
      <c r="AE102" s="106">
        <v>0</v>
      </c>
      <c r="AF102" s="106">
        <v>0</v>
      </c>
      <c r="AG102" s="105">
        <v>46178.687175925923</v>
      </c>
      <c r="AH102" s="104" t="s">
        <v>214</v>
      </c>
      <c r="AI102" s="104" t="s">
        <v>441</v>
      </c>
      <c r="AJ102" s="104">
        <v>-1009</v>
      </c>
      <c r="AK102" s="104">
        <v>-370</v>
      </c>
      <c r="AL102" s="106">
        <v>35641</v>
      </c>
    </row>
    <row r="103" spans="1:38" ht="13">
      <c r="A103" s="104" t="s">
        <v>737</v>
      </c>
      <c r="B103" s="104" t="s">
        <v>738</v>
      </c>
      <c r="C103" s="105">
        <v>46188.443599537037</v>
      </c>
      <c r="D103" s="104" t="s">
        <v>64</v>
      </c>
      <c r="E103" s="104" t="s">
        <v>65</v>
      </c>
      <c r="F103" s="104" t="s">
        <v>739</v>
      </c>
      <c r="G103" s="104" t="s">
        <v>740</v>
      </c>
      <c r="H103" s="104" t="s">
        <v>739</v>
      </c>
      <c r="I103" s="105">
        <v>46178.569050925929</v>
      </c>
      <c r="J103" s="104" t="s">
        <v>66</v>
      </c>
      <c r="K103" s="104" t="s">
        <v>67</v>
      </c>
      <c r="L103" s="104" t="s">
        <v>741</v>
      </c>
      <c r="M103" s="105">
        <v>46181.444432870368</v>
      </c>
      <c r="N103" s="104" t="s">
        <v>103</v>
      </c>
      <c r="O103" s="104" t="s">
        <v>70</v>
      </c>
      <c r="P103" s="104" t="s">
        <v>69</v>
      </c>
      <c r="Q103" s="104" t="s">
        <v>156</v>
      </c>
      <c r="R103" s="104">
        <v>2</v>
      </c>
      <c r="S103" s="106">
        <v>9500</v>
      </c>
      <c r="T103" s="106">
        <v>0</v>
      </c>
      <c r="U103" s="106">
        <v>4180</v>
      </c>
      <c r="V103" s="106">
        <v>4180</v>
      </c>
      <c r="W103" s="106">
        <v>14820</v>
      </c>
      <c r="X103" s="106"/>
      <c r="Y103" s="106"/>
      <c r="Z103" s="106"/>
      <c r="AA103" s="104" t="s">
        <v>742</v>
      </c>
      <c r="AB103" s="104" t="s">
        <v>182</v>
      </c>
      <c r="AC103" s="104" t="s">
        <v>183</v>
      </c>
      <c r="AD103" s="106">
        <v>3000</v>
      </c>
      <c r="AE103" s="106">
        <v>0</v>
      </c>
      <c r="AF103" s="106">
        <v>0</v>
      </c>
      <c r="AG103" s="105">
        <v>46177.685347222221</v>
      </c>
      <c r="AH103" s="104" t="s">
        <v>214</v>
      </c>
      <c r="AI103" s="104" t="s">
        <v>185</v>
      </c>
      <c r="AJ103" s="104">
        <v>-403</v>
      </c>
      <c r="AK103" s="104">
        <v>-148</v>
      </c>
      <c r="AL103" s="106">
        <v>14269</v>
      </c>
    </row>
    <row r="104" spans="1:38" ht="13">
      <c r="A104" s="104" t="s">
        <v>743</v>
      </c>
      <c r="B104" s="104" t="s">
        <v>744</v>
      </c>
      <c r="C104" s="105">
        <v>46189.022476851853</v>
      </c>
      <c r="D104" s="104" t="s">
        <v>64</v>
      </c>
      <c r="E104" s="104" t="s">
        <v>65</v>
      </c>
      <c r="F104" s="104" t="s">
        <v>745</v>
      </c>
      <c r="G104" s="104" t="s">
        <v>746</v>
      </c>
      <c r="H104" s="104" t="s">
        <v>745</v>
      </c>
      <c r="I104" s="105">
        <v>46181.624652777777</v>
      </c>
      <c r="J104" s="104" t="s">
        <v>66</v>
      </c>
      <c r="K104" s="104" t="s">
        <v>67</v>
      </c>
      <c r="L104" s="104" t="s">
        <v>747</v>
      </c>
      <c r="M104" s="105">
        <v>46182.972326388888</v>
      </c>
      <c r="N104" s="104" t="s">
        <v>103</v>
      </c>
      <c r="O104" s="104" t="s">
        <v>70</v>
      </c>
      <c r="P104" s="104" t="s">
        <v>69</v>
      </c>
      <c r="Q104" s="104" t="s">
        <v>205</v>
      </c>
      <c r="R104" s="104">
        <v>6</v>
      </c>
      <c r="S104" s="106">
        <v>9500</v>
      </c>
      <c r="T104" s="106">
        <v>0</v>
      </c>
      <c r="U104" s="106">
        <v>19980</v>
      </c>
      <c r="V104" s="106">
        <v>19980</v>
      </c>
      <c r="W104" s="106">
        <v>37020</v>
      </c>
      <c r="X104" s="106"/>
      <c r="Y104" s="106"/>
      <c r="Z104" s="106"/>
      <c r="AA104" s="104" t="s">
        <v>748</v>
      </c>
      <c r="AB104" s="104" t="s">
        <v>207</v>
      </c>
      <c r="AC104" s="104" t="s">
        <v>183</v>
      </c>
      <c r="AD104" s="106">
        <v>0</v>
      </c>
      <c r="AE104" s="106">
        <v>0</v>
      </c>
      <c r="AF104" s="106">
        <v>0</v>
      </c>
      <c r="AG104" s="105">
        <v>46178.92355324074</v>
      </c>
      <c r="AH104" s="104" t="s">
        <v>192</v>
      </c>
      <c r="AI104" s="104" t="s">
        <v>185</v>
      </c>
      <c r="AJ104" s="104">
        <v>-1009</v>
      </c>
      <c r="AK104" s="104">
        <v>-370</v>
      </c>
      <c r="AL104" s="106">
        <v>35641</v>
      </c>
    </row>
    <row r="105" spans="1:38" ht="13">
      <c r="A105" s="104" t="s">
        <v>749</v>
      </c>
      <c r="B105" s="104" t="s">
        <v>750</v>
      </c>
      <c r="C105" s="105">
        <v>46189.050775462965</v>
      </c>
      <c r="D105" s="104" t="s">
        <v>64</v>
      </c>
      <c r="E105" s="104" t="s">
        <v>65</v>
      </c>
      <c r="F105" s="104" t="s">
        <v>751</v>
      </c>
      <c r="G105" s="104" t="s">
        <v>752</v>
      </c>
      <c r="H105" s="104" t="s">
        <v>751</v>
      </c>
      <c r="I105" s="105">
        <v>46178.569050925929</v>
      </c>
      <c r="J105" s="104" t="s">
        <v>66</v>
      </c>
      <c r="K105" s="104" t="s">
        <v>67</v>
      </c>
      <c r="L105" s="104" t="s">
        <v>753</v>
      </c>
      <c r="M105" s="105">
        <v>46181.510428240741</v>
      </c>
      <c r="N105" s="104" t="s">
        <v>103</v>
      </c>
      <c r="O105" s="104" t="s">
        <v>70</v>
      </c>
      <c r="P105" s="104" t="s">
        <v>69</v>
      </c>
      <c r="Q105" s="104" t="s">
        <v>205</v>
      </c>
      <c r="R105" s="104">
        <v>6</v>
      </c>
      <c r="S105" s="106">
        <v>9500</v>
      </c>
      <c r="T105" s="106">
        <v>0</v>
      </c>
      <c r="U105" s="106">
        <v>19980</v>
      </c>
      <c r="V105" s="106">
        <v>19980</v>
      </c>
      <c r="W105" s="106">
        <v>37020</v>
      </c>
      <c r="X105" s="106"/>
      <c r="Y105" s="106"/>
      <c r="Z105" s="106"/>
      <c r="AA105" s="104" t="s">
        <v>754</v>
      </c>
      <c r="AB105" s="104" t="s">
        <v>207</v>
      </c>
      <c r="AC105" s="104" t="s">
        <v>183</v>
      </c>
      <c r="AD105" s="106">
        <v>0</v>
      </c>
      <c r="AE105" s="106">
        <v>0</v>
      </c>
      <c r="AF105" s="106">
        <v>0</v>
      </c>
      <c r="AG105" s="105">
        <v>46177.885775462964</v>
      </c>
      <c r="AH105" s="104" t="s">
        <v>321</v>
      </c>
      <c r="AI105" s="104" t="s">
        <v>185</v>
      </c>
      <c r="AJ105" s="104">
        <v>-1009</v>
      </c>
      <c r="AK105" s="104">
        <v>-370</v>
      </c>
      <c r="AL105" s="106">
        <v>35641</v>
      </c>
    </row>
    <row r="106" spans="1:38" ht="13">
      <c r="A106" s="104" t="s">
        <v>755</v>
      </c>
      <c r="B106" s="104" t="s">
        <v>756</v>
      </c>
      <c r="C106" s="105">
        <v>46189.064976851849</v>
      </c>
      <c r="D106" s="104" t="s">
        <v>64</v>
      </c>
      <c r="E106" s="104" t="s">
        <v>65</v>
      </c>
      <c r="F106" s="104" t="s">
        <v>111</v>
      </c>
      <c r="G106" s="104" t="s">
        <v>112</v>
      </c>
      <c r="H106" s="104" t="s">
        <v>111</v>
      </c>
      <c r="I106" s="105">
        <v>46178.617685185185</v>
      </c>
      <c r="J106" s="104" t="s">
        <v>66</v>
      </c>
      <c r="K106" s="104" t="s">
        <v>67</v>
      </c>
      <c r="L106" s="104" t="s">
        <v>757</v>
      </c>
      <c r="M106" s="105">
        <v>46181.55532407407</v>
      </c>
      <c r="N106" s="104" t="s">
        <v>103</v>
      </c>
      <c r="O106" s="104" t="s">
        <v>70</v>
      </c>
      <c r="P106" s="104" t="s">
        <v>69</v>
      </c>
      <c r="Q106" s="104" t="s">
        <v>156</v>
      </c>
      <c r="R106" s="104">
        <v>2</v>
      </c>
      <c r="S106" s="106">
        <v>9500</v>
      </c>
      <c r="T106" s="106">
        <v>0</v>
      </c>
      <c r="U106" s="106">
        <v>4180</v>
      </c>
      <c r="V106" s="106">
        <v>4180</v>
      </c>
      <c r="W106" s="106">
        <v>14820</v>
      </c>
      <c r="X106" s="106"/>
      <c r="Y106" s="106"/>
      <c r="Z106" s="106"/>
      <c r="AA106" s="104" t="s">
        <v>758</v>
      </c>
      <c r="AB106" s="104" t="s">
        <v>182</v>
      </c>
      <c r="AC106" s="104" t="s">
        <v>183</v>
      </c>
      <c r="AD106" s="106">
        <v>3000</v>
      </c>
      <c r="AE106" s="106">
        <v>0</v>
      </c>
      <c r="AF106" s="106">
        <v>0</v>
      </c>
      <c r="AG106" s="105">
        <v>46178.557256944448</v>
      </c>
      <c r="AH106" s="104" t="s">
        <v>192</v>
      </c>
      <c r="AI106" s="104" t="s">
        <v>185</v>
      </c>
      <c r="AJ106" s="104">
        <v>-404</v>
      </c>
      <c r="AK106" s="104">
        <v>-444</v>
      </c>
      <c r="AL106" s="106">
        <v>13972</v>
      </c>
    </row>
    <row r="107" spans="1:38" ht="13">
      <c r="A107" s="104" t="s">
        <v>759</v>
      </c>
      <c r="B107" s="104" t="s">
        <v>760</v>
      </c>
      <c r="C107" s="105">
        <v>46190.164351851854</v>
      </c>
      <c r="D107" s="104" t="s">
        <v>64</v>
      </c>
      <c r="E107" s="104" t="s">
        <v>65</v>
      </c>
      <c r="F107" s="104" t="s">
        <v>761</v>
      </c>
      <c r="G107" s="104" t="s">
        <v>762</v>
      </c>
      <c r="H107" s="104" t="s">
        <v>761</v>
      </c>
      <c r="I107" s="105">
        <v>46181.624652777777</v>
      </c>
      <c r="J107" s="104" t="s">
        <v>66</v>
      </c>
      <c r="K107" s="104" t="s">
        <v>67</v>
      </c>
      <c r="L107" s="104" t="s">
        <v>763</v>
      </c>
      <c r="M107" s="105">
        <v>46182.539143518516</v>
      </c>
      <c r="N107" s="104" t="s">
        <v>103</v>
      </c>
      <c r="O107" s="104" t="s">
        <v>70</v>
      </c>
      <c r="P107" s="104" t="s">
        <v>69</v>
      </c>
      <c r="Q107" s="104" t="s">
        <v>156</v>
      </c>
      <c r="R107" s="104">
        <v>3</v>
      </c>
      <c r="S107" s="106">
        <v>9500</v>
      </c>
      <c r="T107" s="106">
        <v>0</v>
      </c>
      <c r="U107" s="106">
        <v>6270</v>
      </c>
      <c r="V107" s="106">
        <v>6270</v>
      </c>
      <c r="W107" s="106">
        <v>22230</v>
      </c>
      <c r="X107" s="106"/>
      <c r="Y107" s="106"/>
      <c r="Z107" s="106"/>
      <c r="AA107" s="104" t="s">
        <v>764</v>
      </c>
      <c r="AB107" s="104" t="s">
        <v>182</v>
      </c>
      <c r="AC107" s="104" t="s">
        <v>183</v>
      </c>
      <c r="AD107" s="106">
        <v>3000</v>
      </c>
      <c r="AE107" s="106">
        <v>0</v>
      </c>
      <c r="AF107" s="106">
        <v>0</v>
      </c>
      <c r="AG107" s="105">
        <v>46178.749467592592</v>
      </c>
      <c r="AH107" s="104" t="s">
        <v>228</v>
      </c>
      <c r="AI107" s="104" t="s">
        <v>185</v>
      </c>
      <c r="AJ107" s="104">
        <v>-606</v>
      </c>
      <c r="AK107" s="104">
        <v>-222</v>
      </c>
      <c r="AL107" s="106">
        <v>21402</v>
      </c>
    </row>
    <row r="108" spans="1:38" ht="13">
      <c r="A108" s="104" t="s">
        <v>765</v>
      </c>
      <c r="B108" s="104" t="s">
        <v>766</v>
      </c>
      <c r="C108" s="105">
        <v>46190.998124999998</v>
      </c>
      <c r="D108" s="104" t="s">
        <v>64</v>
      </c>
      <c r="E108" s="104" t="s">
        <v>65</v>
      </c>
      <c r="F108" s="104" t="s">
        <v>767</v>
      </c>
      <c r="G108" s="104" t="s">
        <v>768</v>
      </c>
      <c r="H108" s="104" t="s">
        <v>767</v>
      </c>
      <c r="I108" s="105">
        <v>46189.457974537036</v>
      </c>
      <c r="J108" s="104" t="s">
        <v>66</v>
      </c>
      <c r="K108" s="104" t="s">
        <v>769</v>
      </c>
      <c r="L108" s="104" t="s">
        <v>770</v>
      </c>
      <c r="M108" s="105">
        <v>46190.641215277778</v>
      </c>
      <c r="N108" s="104" t="s">
        <v>103</v>
      </c>
      <c r="O108" s="104" t="s">
        <v>107</v>
      </c>
      <c r="P108" s="104" t="s">
        <v>68</v>
      </c>
      <c r="Q108" s="104" t="s">
        <v>104</v>
      </c>
      <c r="R108" s="104">
        <v>1</v>
      </c>
      <c r="S108" s="106">
        <v>21060</v>
      </c>
      <c r="T108" s="106">
        <v>0</v>
      </c>
      <c r="U108" s="106">
        <v>0</v>
      </c>
      <c r="V108" s="106">
        <v>0</v>
      </c>
      <c r="W108" s="106">
        <v>21060</v>
      </c>
      <c r="X108" s="106"/>
      <c r="Y108" s="106"/>
      <c r="Z108" s="106"/>
      <c r="AA108" s="104" t="s">
        <v>771</v>
      </c>
      <c r="AB108" s="104" t="s">
        <v>207</v>
      </c>
      <c r="AC108" s="104" t="s">
        <v>183</v>
      </c>
      <c r="AD108" s="106">
        <v>0</v>
      </c>
      <c r="AE108" s="106">
        <v>0</v>
      </c>
      <c r="AF108" s="106">
        <v>0</v>
      </c>
      <c r="AG108" s="105">
        <v>46189.019039351857</v>
      </c>
      <c r="AH108" s="104" t="s">
        <v>192</v>
      </c>
      <c r="AI108" s="104" t="s">
        <v>185</v>
      </c>
      <c r="AJ108" s="104">
        <v>-574</v>
      </c>
      <c r="AK108" s="104">
        <v>-631</v>
      </c>
      <c r="AL108" s="106">
        <v>19855</v>
      </c>
    </row>
    <row r="109" spans="1:38" ht="13">
      <c r="A109" s="104" t="s">
        <v>772</v>
      </c>
      <c r="B109" s="104" t="s">
        <v>773</v>
      </c>
      <c r="C109" s="105">
        <v>46192.720451388886</v>
      </c>
      <c r="D109" s="104" t="s">
        <v>64</v>
      </c>
      <c r="E109" s="104" t="s">
        <v>65</v>
      </c>
      <c r="F109" s="104" t="s">
        <v>774</v>
      </c>
      <c r="G109" s="104" t="s">
        <v>133</v>
      </c>
      <c r="H109" s="104" t="s">
        <v>774</v>
      </c>
      <c r="I109" s="105">
        <v>46189.457974537036</v>
      </c>
      <c r="J109" s="104" t="s">
        <v>66</v>
      </c>
      <c r="K109" s="104" t="s">
        <v>769</v>
      </c>
      <c r="L109" s="104" t="s">
        <v>775</v>
      </c>
      <c r="M109" s="105">
        <v>46190.642164351855</v>
      </c>
      <c r="N109" s="104" t="s">
        <v>103</v>
      </c>
      <c r="O109" s="104" t="s">
        <v>107</v>
      </c>
      <c r="P109" s="104" t="s">
        <v>68</v>
      </c>
      <c r="Q109" s="104" t="s">
        <v>104</v>
      </c>
      <c r="R109" s="104">
        <v>1</v>
      </c>
      <c r="S109" s="106">
        <v>21060</v>
      </c>
      <c r="T109" s="106">
        <v>0</v>
      </c>
      <c r="U109" s="106">
        <v>0</v>
      </c>
      <c r="V109" s="106">
        <v>0</v>
      </c>
      <c r="W109" s="106">
        <v>21060</v>
      </c>
      <c r="X109" s="106"/>
      <c r="Y109" s="106"/>
      <c r="Z109" s="106"/>
      <c r="AA109" s="104" t="s">
        <v>776</v>
      </c>
      <c r="AB109" s="104" t="s">
        <v>207</v>
      </c>
      <c r="AC109" s="104" t="s">
        <v>183</v>
      </c>
      <c r="AD109" s="106">
        <v>0</v>
      </c>
      <c r="AE109" s="106">
        <v>0</v>
      </c>
      <c r="AF109" s="106">
        <v>0</v>
      </c>
      <c r="AG109" s="105">
        <v>46189.045972222222</v>
      </c>
      <c r="AH109" s="104" t="s">
        <v>214</v>
      </c>
      <c r="AI109" s="104" t="s">
        <v>185</v>
      </c>
      <c r="AJ109" s="104">
        <v>-574</v>
      </c>
      <c r="AK109" s="104">
        <v>-210</v>
      </c>
      <c r="AL109" s="106">
        <v>20276</v>
      </c>
    </row>
    <row r="110" spans="1:38" ht="13">
      <c r="A110" s="104" t="s">
        <v>777</v>
      </c>
      <c r="B110" s="104" t="s">
        <v>778</v>
      </c>
      <c r="C110" s="105">
        <v>46194.041574074072</v>
      </c>
      <c r="D110" s="104" t="s">
        <v>64</v>
      </c>
      <c r="E110" s="104" t="s">
        <v>65</v>
      </c>
      <c r="F110" s="104" t="s">
        <v>121</v>
      </c>
      <c r="G110" s="104" t="s">
        <v>122</v>
      </c>
      <c r="H110" s="104" t="s">
        <v>121</v>
      </c>
      <c r="I110" s="105">
        <v>46185.409351851849</v>
      </c>
      <c r="J110" s="104" t="s">
        <v>66</v>
      </c>
      <c r="K110" s="104" t="s">
        <v>769</v>
      </c>
      <c r="L110" s="104" t="s">
        <v>779</v>
      </c>
      <c r="M110" s="105">
        <v>46186.413240740745</v>
      </c>
      <c r="N110" s="104" t="s">
        <v>106</v>
      </c>
      <c r="O110" s="104" t="s">
        <v>107</v>
      </c>
      <c r="P110" s="104" t="s">
        <v>69</v>
      </c>
      <c r="Q110" s="104" t="s">
        <v>104</v>
      </c>
      <c r="R110" s="104">
        <v>2</v>
      </c>
      <c r="S110" s="106">
        <v>27000</v>
      </c>
      <c r="T110" s="106">
        <v>0</v>
      </c>
      <c r="U110" s="106">
        <v>11880</v>
      </c>
      <c r="V110" s="106">
        <v>11880</v>
      </c>
      <c r="W110" s="106">
        <v>42120</v>
      </c>
      <c r="X110" s="106"/>
      <c r="Y110" s="106"/>
      <c r="Z110" s="106"/>
      <c r="AA110" s="104" t="s">
        <v>780</v>
      </c>
      <c r="AB110" s="104" t="s">
        <v>207</v>
      </c>
      <c r="AC110" s="104" t="s">
        <v>183</v>
      </c>
      <c r="AD110" s="106">
        <v>0</v>
      </c>
      <c r="AE110" s="106">
        <v>0</v>
      </c>
      <c r="AF110" s="106">
        <v>0</v>
      </c>
      <c r="AG110" s="105">
        <v>46185.097592592589</v>
      </c>
      <c r="AH110" s="104" t="s">
        <v>214</v>
      </c>
      <c r="AI110" s="104" t="s">
        <v>185</v>
      </c>
      <c r="AJ110" s="104">
        <v>-1149</v>
      </c>
      <c r="AK110" s="104">
        <v>-1263</v>
      </c>
      <c r="AL110" s="106">
        <v>39708</v>
      </c>
    </row>
    <row r="111" spans="1:38" ht="13">
      <c r="A111" s="104" t="s">
        <v>781</v>
      </c>
      <c r="B111" s="104" t="s">
        <v>782</v>
      </c>
      <c r="C111" s="105">
        <v>46195.442928240736</v>
      </c>
      <c r="D111" s="104" t="s">
        <v>64</v>
      </c>
      <c r="E111" s="104" t="s">
        <v>65</v>
      </c>
      <c r="F111" s="104" t="s">
        <v>783</v>
      </c>
      <c r="G111" s="104" t="s">
        <v>784</v>
      </c>
      <c r="H111" s="104" t="s">
        <v>785</v>
      </c>
      <c r="I111" s="105">
        <v>46191.52043981482</v>
      </c>
      <c r="J111" s="104" t="s">
        <v>66</v>
      </c>
      <c r="K111" s="104" t="s">
        <v>769</v>
      </c>
      <c r="L111" s="104" t="s">
        <v>786</v>
      </c>
      <c r="M111" s="105">
        <v>46192.650729166664</v>
      </c>
      <c r="N111" s="104" t="s">
        <v>103</v>
      </c>
      <c r="O111" s="104" t="s">
        <v>107</v>
      </c>
      <c r="P111" s="104" t="s">
        <v>68</v>
      </c>
      <c r="Q111" s="104" t="s">
        <v>104</v>
      </c>
      <c r="R111" s="104">
        <v>3</v>
      </c>
      <c r="S111" s="106">
        <v>21060</v>
      </c>
      <c r="T111" s="106">
        <v>0</v>
      </c>
      <c r="U111" s="106">
        <v>0</v>
      </c>
      <c r="V111" s="106">
        <v>0</v>
      </c>
      <c r="W111" s="106">
        <v>63180</v>
      </c>
      <c r="X111" s="106"/>
      <c r="Y111" s="106"/>
      <c r="Z111" s="106"/>
      <c r="AA111" s="104" t="s">
        <v>787</v>
      </c>
      <c r="AB111" s="104" t="s">
        <v>207</v>
      </c>
      <c r="AC111" s="104" t="s">
        <v>183</v>
      </c>
      <c r="AD111" s="106">
        <v>0</v>
      </c>
      <c r="AE111" s="106">
        <v>0</v>
      </c>
      <c r="AF111" s="106">
        <v>0</v>
      </c>
      <c r="AG111" s="105">
        <v>46191.042638888888</v>
      </c>
      <c r="AH111" s="104" t="s">
        <v>214</v>
      </c>
      <c r="AI111" s="104" t="s">
        <v>185</v>
      </c>
      <c r="AJ111" s="104">
        <v>-1722</v>
      </c>
      <c r="AK111" s="104">
        <v>-631</v>
      </c>
      <c r="AL111" s="106">
        <v>60827</v>
      </c>
    </row>
    <row r="112" spans="1:38" ht="13">
      <c r="A112" s="104" t="s">
        <v>788</v>
      </c>
      <c r="B112" s="104" t="s">
        <v>789</v>
      </c>
      <c r="C112" s="105">
        <v>46198.06212962963</v>
      </c>
      <c r="D112" s="104" t="s">
        <v>64</v>
      </c>
      <c r="E112" s="104" t="s">
        <v>65</v>
      </c>
      <c r="F112" s="104" t="s">
        <v>127</v>
      </c>
      <c r="G112" s="104" t="s">
        <v>128</v>
      </c>
      <c r="H112" s="104" t="s">
        <v>127</v>
      </c>
      <c r="I112" s="105">
        <v>46189.457974537036</v>
      </c>
      <c r="J112" s="104" t="s">
        <v>66</v>
      </c>
      <c r="K112" s="104" t="s">
        <v>769</v>
      </c>
      <c r="L112" s="104" t="s">
        <v>790</v>
      </c>
      <c r="M112" s="105">
        <v>46190.637662037036</v>
      </c>
      <c r="N112" s="104" t="s">
        <v>106</v>
      </c>
      <c r="O112" s="104" t="s">
        <v>107</v>
      </c>
      <c r="P112" s="104" t="s">
        <v>69</v>
      </c>
      <c r="Q112" s="104" t="s">
        <v>104</v>
      </c>
      <c r="R112" s="104">
        <v>2</v>
      </c>
      <c r="S112" s="106">
        <v>27000</v>
      </c>
      <c r="T112" s="106">
        <v>0</v>
      </c>
      <c r="U112" s="106">
        <v>11880</v>
      </c>
      <c r="V112" s="106">
        <v>11880</v>
      </c>
      <c r="W112" s="106">
        <v>42120</v>
      </c>
      <c r="X112" s="106"/>
      <c r="Y112" s="106"/>
      <c r="Z112" s="106"/>
      <c r="AA112" s="104" t="s">
        <v>791</v>
      </c>
      <c r="AB112" s="104" t="s">
        <v>207</v>
      </c>
      <c r="AC112" s="104" t="s">
        <v>183</v>
      </c>
      <c r="AD112" s="106">
        <v>0</v>
      </c>
      <c r="AE112" s="106">
        <v>0</v>
      </c>
      <c r="AF112" s="106">
        <v>0</v>
      </c>
      <c r="AG112" s="105">
        <v>46189.070810185185</v>
      </c>
      <c r="AH112" s="104" t="s">
        <v>214</v>
      </c>
      <c r="AI112" s="104" t="s">
        <v>185</v>
      </c>
      <c r="AJ112" s="104">
        <v>-1149</v>
      </c>
      <c r="AK112" s="104">
        <v>-421</v>
      </c>
      <c r="AL112" s="106">
        <v>40550</v>
      </c>
    </row>
    <row r="113" spans="1:38" ht="13">
      <c r="A113" s="104" t="s">
        <v>792</v>
      </c>
      <c r="B113" s="104" t="s">
        <v>793</v>
      </c>
      <c r="C113" s="105">
        <v>46198.687175925923</v>
      </c>
      <c r="D113" s="104" t="s">
        <v>64</v>
      </c>
      <c r="E113" s="104" t="s">
        <v>65</v>
      </c>
      <c r="F113" s="104" t="s">
        <v>794</v>
      </c>
      <c r="G113" s="104" t="s">
        <v>795</v>
      </c>
      <c r="H113" s="104" t="s">
        <v>794</v>
      </c>
      <c r="I113" s="105">
        <v>46197.622488425928</v>
      </c>
      <c r="J113" s="104" t="s">
        <v>66</v>
      </c>
      <c r="K113" s="104" t="s">
        <v>769</v>
      </c>
      <c r="L113" s="104" t="s">
        <v>796</v>
      </c>
      <c r="M113" s="105">
        <v>46198.627650462964</v>
      </c>
      <c r="N113" s="104" t="s">
        <v>103</v>
      </c>
      <c r="O113" s="104" t="s">
        <v>107</v>
      </c>
      <c r="P113" s="104" t="s">
        <v>68</v>
      </c>
      <c r="Q113" s="104" t="s">
        <v>104</v>
      </c>
      <c r="R113" s="104">
        <v>1</v>
      </c>
      <c r="S113" s="106">
        <v>21060</v>
      </c>
      <c r="T113" s="106">
        <v>0</v>
      </c>
      <c r="U113" s="106">
        <v>0</v>
      </c>
      <c r="V113" s="106">
        <v>0</v>
      </c>
      <c r="W113" s="106">
        <v>21060</v>
      </c>
      <c r="X113" s="106"/>
      <c r="Y113" s="106"/>
      <c r="Z113" s="106"/>
      <c r="AA113" s="104" t="s">
        <v>797</v>
      </c>
      <c r="AB113" s="104" t="s">
        <v>207</v>
      </c>
      <c r="AC113" s="104" t="s">
        <v>183</v>
      </c>
      <c r="AD113" s="106">
        <v>0</v>
      </c>
      <c r="AE113" s="106">
        <v>0</v>
      </c>
      <c r="AF113" s="106">
        <v>0</v>
      </c>
      <c r="AG113" s="105">
        <v>46197.028981481482</v>
      </c>
      <c r="AH113" s="104" t="s">
        <v>214</v>
      </c>
      <c r="AI113" s="104" t="s">
        <v>185</v>
      </c>
      <c r="AJ113" s="104">
        <v>-574</v>
      </c>
      <c r="AK113" s="104">
        <v>-631</v>
      </c>
      <c r="AL113" s="106">
        <v>19855</v>
      </c>
    </row>
    <row r="114" spans="1:38" ht="13">
      <c r="A114" s="104" t="s">
        <v>798</v>
      </c>
      <c r="B114" s="104" t="s">
        <v>799</v>
      </c>
      <c r="C114" s="105">
        <v>46199.610578703709</v>
      </c>
      <c r="D114" s="104" t="s">
        <v>64</v>
      </c>
      <c r="E114" s="104" t="s">
        <v>65</v>
      </c>
      <c r="F114" s="104" t="s">
        <v>73</v>
      </c>
      <c r="G114" s="104" t="s">
        <v>74</v>
      </c>
      <c r="H114" s="104" t="s">
        <v>73</v>
      </c>
      <c r="I114" s="105">
        <v>46198.630416666667</v>
      </c>
      <c r="J114" s="104" t="s">
        <v>66</v>
      </c>
      <c r="K114" s="104" t="s">
        <v>769</v>
      </c>
      <c r="L114" s="104" t="s">
        <v>800</v>
      </c>
      <c r="M114" s="105">
        <v>46199.635763888888</v>
      </c>
      <c r="N114" s="104" t="s">
        <v>801</v>
      </c>
      <c r="O114" s="104" t="s">
        <v>802</v>
      </c>
      <c r="P114" s="104" t="s">
        <v>69</v>
      </c>
      <c r="Q114" s="104" t="s">
        <v>803</v>
      </c>
      <c r="R114" s="104">
        <v>1</v>
      </c>
      <c r="S114" s="106">
        <v>39000</v>
      </c>
      <c r="T114" s="106">
        <v>3000</v>
      </c>
      <c r="U114" s="106">
        <v>7800</v>
      </c>
      <c r="V114" s="106">
        <v>7800</v>
      </c>
      <c r="W114" s="106">
        <v>34200</v>
      </c>
      <c r="X114" s="106"/>
      <c r="Y114" s="106"/>
      <c r="Z114" s="106"/>
      <c r="AA114" s="104" t="s">
        <v>804</v>
      </c>
      <c r="AB114" s="104" t="s">
        <v>207</v>
      </c>
      <c r="AC114" s="104" t="s">
        <v>207</v>
      </c>
      <c r="AD114" s="106">
        <v>0</v>
      </c>
      <c r="AE114" s="106">
        <v>0</v>
      </c>
      <c r="AF114" s="106">
        <v>0</v>
      </c>
      <c r="AG114" s="105">
        <v>46197.753703703704</v>
      </c>
      <c r="AH114" s="104" t="s">
        <v>214</v>
      </c>
      <c r="AI114" s="104" t="s">
        <v>185</v>
      </c>
      <c r="AJ114" s="104">
        <v>-932</v>
      </c>
      <c r="AK114" s="104">
        <v>-342</v>
      </c>
      <c r="AL114" s="106">
        <v>32926</v>
      </c>
    </row>
    <row r="115" spans="1:38" ht="13">
      <c r="A115" s="104" t="s">
        <v>805</v>
      </c>
      <c r="B115" s="104" t="s">
        <v>806</v>
      </c>
      <c r="C115" s="105">
        <v>46199.685069444444</v>
      </c>
      <c r="D115" s="104" t="s">
        <v>64</v>
      </c>
      <c r="E115" s="104" t="s">
        <v>65</v>
      </c>
      <c r="F115" s="104" t="s">
        <v>807</v>
      </c>
      <c r="G115" s="104" t="s">
        <v>808</v>
      </c>
      <c r="H115" s="104" t="s">
        <v>807</v>
      </c>
      <c r="I115" s="105">
        <v>46199.48914351852</v>
      </c>
      <c r="J115" s="104" t="s">
        <v>66</v>
      </c>
      <c r="K115" s="104" t="s">
        <v>769</v>
      </c>
      <c r="L115" s="104" t="s">
        <v>809</v>
      </c>
      <c r="M115" s="105">
        <v>46200.744641203702</v>
      </c>
      <c r="N115" s="104" t="s">
        <v>801</v>
      </c>
      <c r="O115" s="104" t="s">
        <v>802</v>
      </c>
      <c r="P115" s="104" t="s">
        <v>69</v>
      </c>
      <c r="Q115" s="104" t="s">
        <v>803</v>
      </c>
      <c r="R115" s="104">
        <v>1</v>
      </c>
      <c r="S115" s="106">
        <v>39000</v>
      </c>
      <c r="T115" s="106">
        <v>3000</v>
      </c>
      <c r="U115" s="106">
        <v>7900</v>
      </c>
      <c r="V115" s="106">
        <v>7900</v>
      </c>
      <c r="W115" s="106">
        <v>34100</v>
      </c>
      <c r="X115" s="106"/>
      <c r="Y115" s="106"/>
      <c r="Z115" s="106"/>
      <c r="AA115" s="104" t="s">
        <v>810</v>
      </c>
      <c r="AB115" s="104" t="s">
        <v>207</v>
      </c>
      <c r="AC115" s="104" t="s">
        <v>207</v>
      </c>
      <c r="AD115" s="106">
        <v>0</v>
      </c>
      <c r="AE115" s="106">
        <v>0</v>
      </c>
      <c r="AF115" s="106">
        <v>0</v>
      </c>
      <c r="AG115" s="105">
        <v>46198.920277777783</v>
      </c>
      <c r="AH115" s="104" t="s">
        <v>214</v>
      </c>
      <c r="AI115" s="104" t="s">
        <v>185</v>
      </c>
      <c r="AJ115" s="104">
        <v>-930</v>
      </c>
      <c r="AK115" s="104">
        <v>-341</v>
      </c>
      <c r="AL115" s="106">
        <v>32829</v>
      </c>
    </row>
    <row r="116" spans="1:38" ht="13">
      <c r="A116" s="104" t="s">
        <v>811</v>
      </c>
      <c r="B116" s="104" t="s">
        <v>812</v>
      </c>
      <c r="C116" s="105">
        <v>46199.693472222221</v>
      </c>
      <c r="D116" s="104" t="s">
        <v>64</v>
      </c>
      <c r="E116" s="104" t="s">
        <v>65</v>
      </c>
      <c r="F116" s="104" t="s">
        <v>813</v>
      </c>
      <c r="G116" s="104" t="s">
        <v>814</v>
      </c>
      <c r="H116" s="104" t="s">
        <v>815</v>
      </c>
      <c r="I116" s="105">
        <v>46195.579560185186</v>
      </c>
      <c r="J116" s="104" t="s">
        <v>66</v>
      </c>
      <c r="K116" s="104" t="s">
        <v>769</v>
      </c>
      <c r="L116" s="104" t="s">
        <v>816</v>
      </c>
      <c r="M116" s="105">
        <v>46196.629305555558</v>
      </c>
      <c r="N116" s="104" t="s">
        <v>103</v>
      </c>
      <c r="O116" s="104" t="s">
        <v>107</v>
      </c>
      <c r="P116" s="104" t="s">
        <v>68</v>
      </c>
      <c r="Q116" s="104" t="s">
        <v>104</v>
      </c>
      <c r="R116" s="104">
        <v>1</v>
      </c>
      <c r="S116" s="106">
        <v>21060</v>
      </c>
      <c r="T116" s="106">
        <v>0</v>
      </c>
      <c r="U116" s="106">
        <v>0</v>
      </c>
      <c r="V116" s="106">
        <v>0</v>
      </c>
      <c r="W116" s="106">
        <v>21060</v>
      </c>
      <c r="X116" s="106"/>
      <c r="Y116" s="106"/>
      <c r="Z116" s="106"/>
      <c r="AA116" s="104" t="s">
        <v>817</v>
      </c>
      <c r="AB116" s="104" t="s">
        <v>182</v>
      </c>
      <c r="AC116" s="104" t="s">
        <v>183</v>
      </c>
      <c r="AD116" s="106">
        <v>3000</v>
      </c>
      <c r="AE116" s="106">
        <v>0</v>
      </c>
      <c r="AF116" s="106">
        <v>0</v>
      </c>
      <c r="AG116" s="105">
        <v>46195.115787037037</v>
      </c>
      <c r="AH116" s="104" t="s">
        <v>214</v>
      </c>
      <c r="AI116" s="104" t="s">
        <v>185</v>
      </c>
      <c r="AJ116" s="104">
        <v>-573</v>
      </c>
      <c r="AK116" s="104">
        <v>-210</v>
      </c>
      <c r="AL116" s="106">
        <v>20277</v>
      </c>
    </row>
    <row r="117" spans="1:38" ht="13">
      <c r="A117" s="104" t="s">
        <v>818</v>
      </c>
      <c r="B117" s="104" t="s">
        <v>819</v>
      </c>
      <c r="C117" s="105">
        <v>46200.325706018513</v>
      </c>
      <c r="D117" s="104" t="s">
        <v>64</v>
      </c>
      <c r="E117" s="104" t="s">
        <v>65</v>
      </c>
      <c r="F117" s="104" t="s">
        <v>820</v>
      </c>
      <c r="G117" s="104" t="s">
        <v>821</v>
      </c>
      <c r="H117" s="104" t="s">
        <v>820</v>
      </c>
      <c r="I117" s="105">
        <v>46198.630416666667</v>
      </c>
      <c r="J117" s="104" t="s">
        <v>66</v>
      </c>
      <c r="K117" s="104" t="s">
        <v>769</v>
      </c>
      <c r="L117" s="104" t="s">
        <v>822</v>
      </c>
      <c r="M117" s="105">
        <v>46199.635358796295</v>
      </c>
      <c r="N117" s="104" t="s">
        <v>801</v>
      </c>
      <c r="O117" s="104" t="s">
        <v>802</v>
      </c>
      <c r="P117" s="104" t="s">
        <v>69</v>
      </c>
      <c r="Q117" s="104" t="s">
        <v>803</v>
      </c>
      <c r="R117" s="104">
        <v>1</v>
      </c>
      <c r="S117" s="106">
        <v>39000</v>
      </c>
      <c r="T117" s="106">
        <v>3000</v>
      </c>
      <c r="U117" s="106">
        <v>7800</v>
      </c>
      <c r="V117" s="106">
        <v>7800</v>
      </c>
      <c r="W117" s="106">
        <v>34200</v>
      </c>
      <c r="X117" s="106"/>
      <c r="Y117" s="106"/>
      <c r="Z117" s="106"/>
      <c r="AA117" s="104" t="s">
        <v>823</v>
      </c>
      <c r="AB117" s="104" t="s">
        <v>207</v>
      </c>
      <c r="AC117" s="104" t="s">
        <v>207</v>
      </c>
      <c r="AD117" s="106">
        <v>0</v>
      </c>
      <c r="AE117" s="106">
        <v>0</v>
      </c>
      <c r="AF117" s="106">
        <v>0</v>
      </c>
      <c r="AG117" s="105">
        <v>46198.427384259259</v>
      </c>
      <c r="AH117" s="104" t="s">
        <v>214</v>
      </c>
      <c r="AI117" s="104" t="s">
        <v>185</v>
      </c>
      <c r="AJ117" s="104">
        <v>-932</v>
      </c>
      <c r="AK117" s="104">
        <v>-342</v>
      </c>
      <c r="AL117" s="106">
        <v>32926</v>
      </c>
    </row>
    <row r="118" spans="1:38" ht="13">
      <c r="A118" s="104" t="s">
        <v>824</v>
      </c>
      <c r="B118" s="104" t="s">
        <v>825</v>
      </c>
      <c r="C118" s="105">
        <v>46200.44231481482</v>
      </c>
      <c r="D118" s="104" t="s">
        <v>64</v>
      </c>
      <c r="E118" s="104" t="s">
        <v>65</v>
      </c>
      <c r="F118" s="104" t="s">
        <v>826</v>
      </c>
      <c r="G118" s="104" t="s">
        <v>827</v>
      </c>
      <c r="H118" s="104" t="s">
        <v>826</v>
      </c>
      <c r="I118" s="105">
        <v>46198.630416666667</v>
      </c>
      <c r="J118" s="104" t="s">
        <v>66</v>
      </c>
      <c r="K118" s="104" t="s">
        <v>769</v>
      </c>
      <c r="L118" s="104" t="s">
        <v>828</v>
      </c>
      <c r="M118" s="105">
        <v>46199.761076388888</v>
      </c>
      <c r="N118" s="104" t="s">
        <v>801</v>
      </c>
      <c r="O118" s="104" t="s">
        <v>802</v>
      </c>
      <c r="P118" s="104" t="s">
        <v>69</v>
      </c>
      <c r="Q118" s="104" t="s">
        <v>803</v>
      </c>
      <c r="R118" s="104">
        <v>1</v>
      </c>
      <c r="S118" s="106">
        <v>39000</v>
      </c>
      <c r="T118" s="106">
        <v>3000</v>
      </c>
      <c r="U118" s="106">
        <v>7800</v>
      </c>
      <c r="V118" s="106">
        <v>7800</v>
      </c>
      <c r="W118" s="106">
        <v>34200</v>
      </c>
      <c r="X118" s="106"/>
      <c r="Y118" s="106"/>
      <c r="Z118" s="106"/>
      <c r="AA118" s="104" t="s">
        <v>829</v>
      </c>
      <c r="AB118" s="104" t="s">
        <v>207</v>
      </c>
      <c r="AC118" s="104" t="s">
        <v>207</v>
      </c>
      <c r="AD118" s="106">
        <v>0</v>
      </c>
      <c r="AE118" s="106">
        <v>0</v>
      </c>
      <c r="AF118" s="106">
        <v>0</v>
      </c>
      <c r="AG118" s="105">
        <v>46197.674108796295</v>
      </c>
      <c r="AH118" s="104" t="s">
        <v>321</v>
      </c>
      <c r="AI118" s="104" t="s">
        <v>185</v>
      </c>
      <c r="AJ118" s="104">
        <v>-932</v>
      </c>
      <c r="AK118" s="104">
        <v>-342</v>
      </c>
      <c r="AL118" s="106">
        <v>32926</v>
      </c>
    </row>
    <row r="119" spans="1:38" ht="13">
      <c r="A119" s="104" t="s">
        <v>830</v>
      </c>
      <c r="B119" s="104" t="s">
        <v>831</v>
      </c>
      <c r="C119" s="105">
        <v>46200.592280092591</v>
      </c>
      <c r="D119" s="104" t="s">
        <v>64</v>
      </c>
      <c r="E119" s="104" t="s">
        <v>65</v>
      </c>
      <c r="F119" s="104" t="s">
        <v>90</v>
      </c>
      <c r="G119" s="104" t="s">
        <v>79</v>
      </c>
      <c r="H119" s="104" t="s">
        <v>90</v>
      </c>
      <c r="I119" s="105">
        <v>46198.630416666667</v>
      </c>
      <c r="J119" s="104" t="s">
        <v>66</v>
      </c>
      <c r="K119" s="104" t="s">
        <v>769</v>
      </c>
      <c r="L119" s="104" t="s">
        <v>832</v>
      </c>
      <c r="M119" s="105">
        <v>46199.886400462958</v>
      </c>
      <c r="N119" s="104" t="s">
        <v>801</v>
      </c>
      <c r="O119" s="104" t="s">
        <v>802</v>
      </c>
      <c r="P119" s="104" t="s">
        <v>69</v>
      </c>
      <c r="Q119" s="104" t="s">
        <v>803</v>
      </c>
      <c r="R119" s="104">
        <v>1</v>
      </c>
      <c r="S119" s="106">
        <v>39000</v>
      </c>
      <c r="T119" s="106">
        <v>3000</v>
      </c>
      <c r="U119" s="106">
        <v>7800</v>
      </c>
      <c r="V119" s="106">
        <v>7800</v>
      </c>
      <c r="W119" s="106">
        <v>34200</v>
      </c>
      <c r="X119" s="106"/>
      <c r="Y119" s="106"/>
      <c r="Z119" s="106"/>
      <c r="AA119" s="104" t="s">
        <v>833</v>
      </c>
      <c r="AB119" s="104" t="s">
        <v>207</v>
      </c>
      <c r="AC119" s="104" t="s">
        <v>207</v>
      </c>
      <c r="AD119" s="106">
        <v>0</v>
      </c>
      <c r="AE119" s="106">
        <v>0</v>
      </c>
      <c r="AF119" s="106">
        <v>0</v>
      </c>
      <c r="AG119" s="105">
        <v>46198.597962962958</v>
      </c>
      <c r="AH119" s="104" t="s">
        <v>228</v>
      </c>
      <c r="AI119" s="104" t="s">
        <v>185</v>
      </c>
      <c r="AJ119" s="104">
        <v>-932</v>
      </c>
      <c r="AK119" s="104">
        <v>-1026</v>
      </c>
      <c r="AL119" s="106">
        <v>32242</v>
      </c>
    </row>
    <row r="120" spans="1:38" ht="13">
      <c r="A120" s="104" t="s">
        <v>834</v>
      </c>
      <c r="B120" s="104" t="s">
        <v>835</v>
      </c>
      <c r="C120" s="105">
        <v>46200.967511574076</v>
      </c>
      <c r="D120" s="104" t="s">
        <v>64</v>
      </c>
      <c r="E120" s="104" t="s">
        <v>65</v>
      </c>
      <c r="F120" s="104" t="s">
        <v>836</v>
      </c>
      <c r="G120" s="104" t="s">
        <v>837</v>
      </c>
      <c r="H120" s="104" t="s">
        <v>836</v>
      </c>
      <c r="I120" s="105">
        <v>46199.59856481482</v>
      </c>
      <c r="J120" s="104" t="s">
        <v>66</v>
      </c>
      <c r="K120" s="104" t="s">
        <v>769</v>
      </c>
      <c r="L120" s="104" t="s">
        <v>838</v>
      </c>
      <c r="M120" s="105">
        <v>46200.603263888886</v>
      </c>
      <c r="N120" s="104" t="s">
        <v>839</v>
      </c>
      <c r="O120" s="104" t="s">
        <v>840</v>
      </c>
      <c r="P120" s="104" t="s">
        <v>69</v>
      </c>
      <c r="Q120" s="104" t="s">
        <v>841</v>
      </c>
      <c r="R120" s="104">
        <v>1</v>
      </c>
      <c r="S120" s="106">
        <v>119000</v>
      </c>
      <c r="T120" s="106">
        <v>0</v>
      </c>
      <c r="U120" s="106">
        <v>29750</v>
      </c>
      <c r="V120" s="106">
        <v>29750</v>
      </c>
      <c r="W120" s="106">
        <v>89250</v>
      </c>
      <c r="X120" s="106"/>
      <c r="Y120" s="106"/>
      <c r="Z120" s="106"/>
      <c r="AA120" s="104" t="s">
        <v>842</v>
      </c>
      <c r="AB120" s="104" t="s">
        <v>207</v>
      </c>
      <c r="AC120" s="104" t="s">
        <v>183</v>
      </c>
      <c r="AD120" s="106">
        <v>0</v>
      </c>
      <c r="AE120" s="106">
        <v>0</v>
      </c>
      <c r="AF120" s="106">
        <v>0</v>
      </c>
      <c r="AG120" s="105">
        <v>46199.465787037036</v>
      </c>
      <c r="AH120" s="104" t="s">
        <v>214</v>
      </c>
      <c r="AI120" s="104" t="s">
        <v>185</v>
      </c>
      <c r="AJ120" s="104">
        <v>-2434</v>
      </c>
      <c r="AK120" s="104">
        <v>-892</v>
      </c>
      <c r="AL120" s="106">
        <v>85924</v>
      </c>
    </row>
    <row r="121" spans="1:38" ht="13">
      <c r="A121" s="104" t="s">
        <v>843</v>
      </c>
      <c r="B121" s="104" t="s">
        <v>835</v>
      </c>
      <c r="C121" s="105">
        <v>46200.967511574076</v>
      </c>
      <c r="D121" s="104" t="s">
        <v>64</v>
      </c>
      <c r="E121" s="104" t="s">
        <v>65</v>
      </c>
      <c r="F121" s="104" t="s">
        <v>836</v>
      </c>
      <c r="G121" s="104" t="s">
        <v>837</v>
      </c>
      <c r="H121" s="104" t="s">
        <v>836</v>
      </c>
      <c r="I121" s="105">
        <v>46199.59856481482</v>
      </c>
      <c r="J121" s="104" t="s">
        <v>66</v>
      </c>
      <c r="K121" s="104" t="s">
        <v>769</v>
      </c>
      <c r="L121" s="104" t="s">
        <v>838</v>
      </c>
      <c r="M121" s="105">
        <v>46200.603263888886</v>
      </c>
      <c r="N121" s="104" t="s">
        <v>801</v>
      </c>
      <c r="O121" s="104" t="s">
        <v>802</v>
      </c>
      <c r="P121" s="104" t="s">
        <v>69</v>
      </c>
      <c r="Q121" s="104" t="s">
        <v>803</v>
      </c>
      <c r="R121" s="104">
        <v>1</v>
      </c>
      <c r="S121" s="106">
        <v>39000</v>
      </c>
      <c r="T121" s="106">
        <v>3000</v>
      </c>
      <c r="U121" s="106">
        <v>7900</v>
      </c>
      <c r="V121" s="106">
        <v>7900</v>
      </c>
      <c r="W121" s="106">
        <v>34100</v>
      </c>
      <c r="X121" s="106"/>
      <c r="Y121" s="106"/>
      <c r="Z121" s="106"/>
      <c r="AA121" s="104" t="s">
        <v>844</v>
      </c>
      <c r="AB121" s="104" t="s">
        <v>207</v>
      </c>
      <c r="AC121" s="104" t="s">
        <v>207</v>
      </c>
      <c r="AD121" s="106">
        <v>0</v>
      </c>
      <c r="AE121" s="106">
        <v>0</v>
      </c>
      <c r="AF121" s="106">
        <v>0</v>
      </c>
      <c r="AG121" s="105">
        <v>46199.465787037036</v>
      </c>
      <c r="AH121" s="104" t="s">
        <v>214</v>
      </c>
      <c r="AI121" s="104" t="s">
        <v>185</v>
      </c>
      <c r="AJ121" s="104">
        <v>-929</v>
      </c>
      <c r="AK121" s="104">
        <v>-341</v>
      </c>
      <c r="AL121" s="106">
        <v>32830</v>
      </c>
    </row>
    <row r="122" spans="1:38" ht="13">
      <c r="A122" s="104" t="s">
        <v>845</v>
      </c>
      <c r="B122" s="104" t="s">
        <v>846</v>
      </c>
      <c r="C122" s="105">
        <v>46201.095601851848</v>
      </c>
      <c r="D122" s="104" t="s">
        <v>64</v>
      </c>
      <c r="E122" s="104" t="s">
        <v>65</v>
      </c>
      <c r="F122" s="104" t="s">
        <v>847</v>
      </c>
      <c r="G122" s="104" t="s">
        <v>848</v>
      </c>
      <c r="H122" s="104" t="s">
        <v>849</v>
      </c>
      <c r="I122" s="105">
        <v>46192.652384259258</v>
      </c>
      <c r="J122" s="104" t="s">
        <v>66</v>
      </c>
      <c r="K122" s="104" t="s">
        <v>769</v>
      </c>
      <c r="L122" s="104" t="s">
        <v>850</v>
      </c>
      <c r="M122" s="105">
        <v>46193.656377314815</v>
      </c>
      <c r="N122" s="104" t="s">
        <v>103</v>
      </c>
      <c r="O122" s="104" t="s">
        <v>107</v>
      </c>
      <c r="P122" s="104" t="s">
        <v>68</v>
      </c>
      <c r="Q122" s="104" t="s">
        <v>104</v>
      </c>
      <c r="R122" s="104">
        <v>1</v>
      </c>
      <c r="S122" s="106">
        <v>21060</v>
      </c>
      <c r="T122" s="106">
        <v>0</v>
      </c>
      <c r="U122" s="106">
        <v>0</v>
      </c>
      <c r="V122" s="106">
        <v>0</v>
      </c>
      <c r="W122" s="106">
        <v>21060</v>
      </c>
      <c r="X122" s="106"/>
      <c r="Y122" s="106"/>
      <c r="Z122" s="106"/>
      <c r="AA122" s="104" t="s">
        <v>851</v>
      </c>
      <c r="AB122" s="104" t="s">
        <v>207</v>
      </c>
      <c r="AC122" s="104" t="s">
        <v>183</v>
      </c>
      <c r="AD122" s="106">
        <v>0</v>
      </c>
      <c r="AE122" s="106">
        <v>0</v>
      </c>
      <c r="AF122" s="106">
        <v>0</v>
      </c>
      <c r="AG122" s="105">
        <v>46192.575324074074</v>
      </c>
      <c r="AH122" s="104" t="s">
        <v>192</v>
      </c>
      <c r="AI122" s="104" t="s">
        <v>185</v>
      </c>
      <c r="AJ122" s="104">
        <v>-574</v>
      </c>
      <c r="AK122" s="104">
        <v>-210</v>
      </c>
      <c r="AL122" s="106">
        <v>20276</v>
      </c>
    </row>
    <row r="123" spans="1:38" ht="13">
      <c r="A123" s="104" t="s">
        <v>852</v>
      </c>
      <c r="B123" s="104" t="s">
        <v>853</v>
      </c>
      <c r="C123" s="105">
        <v>46201.536192129628</v>
      </c>
      <c r="D123" s="104" t="s">
        <v>64</v>
      </c>
      <c r="E123" s="104" t="s">
        <v>65</v>
      </c>
      <c r="F123" s="104" t="s">
        <v>854</v>
      </c>
      <c r="G123" s="104" t="s">
        <v>855</v>
      </c>
      <c r="H123" s="104" t="s">
        <v>854</v>
      </c>
      <c r="I123" s="105">
        <v>46199.59856481482</v>
      </c>
      <c r="J123" s="104" t="s">
        <v>66</v>
      </c>
      <c r="K123" s="104" t="s">
        <v>769</v>
      </c>
      <c r="L123" s="104" t="s">
        <v>856</v>
      </c>
      <c r="M123" s="105">
        <v>46200.729166666672</v>
      </c>
      <c r="N123" s="104" t="s">
        <v>839</v>
      </c>
      <c r="O123" s="104" t="s">
        <v>840</v>
      </c>
      <c r="P123" s="104" t="s">
        <v>69</v>
      </c>
      <c r="Q123" s="104" t="s">
        <v>857</v>
      </c>
      <c r="R123" s="104">
        <v>1</v>
      </c>
      <c r="S123" s="106">
        <v>119000</v>
      </c>
      <c r="T123" s="106">
        <v>0</v>
      </c>
      <c r="U123" s="106">
        <v>29750</v>
      </c>
      <c r="V123" s="106">
        <v>29750</v>
      </c>
      <c r="W123" s="106">
        <v>89250</v>
      </c>
      <c r="X123" s="106"/>
      <c r="Y123" s="106"/>
      <c r="Z123" s="106"/>
      <c r="AA123" s="104" t="s">
        <v>858</v>
      </c>
      <c r="AB123" s="104" t="s">
        <v>207</v>
      </c>
      <c r="AC123" s="104" t="s">
        <v>183</v>
      </c>
      <c r="AD123" s="106">
        <v>0</v>
      </c>
      <c r="AE123" s="106">
        <v>0</v>
      </c>
      <c r="AF123" s="106">
        <v>0</v>
      </c>
      <c r="AG123" s="105">
        <v>46198.457083333335</v>
      </c>
      <c r="AH123" s="104" t="s">
        <v>214</v>
      </c>
      <c r="AI123" s="104" t="s">
        <v>185</v>
      </c>
      <c r="AJ123" s="104">
        <v>-2434</v>
      </c>
      <c r="AK123" s="104">
        <v>-892</v>
      </c>
      <c r="AL123" s="106">
        <v>85924</v>
      </c>
    </row>
    <row r="124" spans="1:38" ht="13">
      <c r="A124" s="104" t="s">
        <v>859</v>
      </c>
      <c r="B124" s="104" t="s">
        <v>860</v>
      </c>
      <c r="C124" s="105">
        <v>46202.326643518521</v>
      </c>
      <c r="D124" s="104" t="s">
        <v>64</v>
      </c>
      <c r="E124" s="104" t="s">
        <v>65</v>
      </c>
      <c r="F124" s="104" t="s">
        <v>861</v>
      </c>
      <c r="G124" s="104" t="s">
        <v>116</v>
      </c>
      <c r="H124" s="104" t="s">
        <v>861</v>
      </c>
      <c r="I124" s="105">
        <v>46199.59856481482</v>
      </c>
      <c r="J124" s="104" t="s">
        <v>66</v>
      </c>
      <c r="K124" s="104" t="s">
        <v>769</v>
      </c>
      <c r="L124" s="104" t="s">
        <v>862</v>
      </c>
      <c r="M124" s="105">
        <v>46200.477638888886</v>
      </c>
      <c r="N124" s="104" t="s">
        <v>801</v>
      </c>
      <c r="O124" s="104" t="s">
        <v>802</v>
      </c>
      <c r="P124" s="104" t="s">
        <v>69</v>
      </c>
      <c r="Q124" s="104" t="s">
        <v>803</v>
      </c>
      <c r="R124" s="104">
        <v>1</v>
      </c>
      <c r="S124" s="106">
        <v>39000</v>
      </c>
      <c r="T124" s="106">
        <v>3000</v>
      </c>
      <c r="U124" s="106">
        <v>7800</v>
      </c>
      <c r="V124" s="106">
        <v>7800</v>
      </c>
      <c r="W124" s="106">
        <v>34200</v>
      </c>
      <c r="X124" s="106"/>
      <c r="Y124" s="106"/>
      <c r="Z124" s="106"/>
      <c r="AA124" s="104" t="s">
        <v>863</v>
      </c>
      <c r="AB124" s="104" t="s">
        <v>207</v>
      </c>
      <c r="AC124" s="104" t="s">
        <v>207</v>
      </c>
      <c r="AD124" s="106">
        <v>0</v>
      </c>
      <c r="AE124" s="106">
        <v>0</v>
      </c>
      <c r="AF124" s="106">
        <v>0</v>
      </c>
      <c r="AG124" s="105">
        <v>46199.380127314813</v>
      </c>
      <c r="AH124" s="104" t="s">
        <v>214</v>
      </c>
      <c r="AI124" s="104" t="s">
        <v>185</v>
      </c>
      <c r="AJ124" s="104">
        <v>-932</v>
      </c>
      <c r="AK124" s="104">
        <v>-342</v>
      </c>
      <c r="AL124" s="106">
        <v>32926</v>
      </c>
    </row>
    <row r="125" spans="1:38" ht="13">
      <c r="A125" s="104" t="s">
        <v>864</v>
      </c>
      <c r="B125" s="104" t="s">
        <v>860</v>
      </c>
      <c r="C125" s="105">
        <v>46202.326643518521</v>
      </c>
      <c r="D125" s="104" t="s">
        <v>64</v>
      </c>
      <c r="E125" s="104" t="s">
        <v>65</v>
      </c>
      <c r="F125" s="104" t="s">
        <v>861</v>
      </c>
      <c r="G125" s="104" t="s">
        <v>116</v>
      </c>
      <c r="H125" s="104" t="s">
        <v>861</v>
      </c>
      <c r="I125" s="105">
        <v>46199.59856481482</v>
      </c>
      <c r="J125" s="104" t="s">
        <v>66</v>
      </c>
      <c r="K125" s="104" t="s">
        <v>769</v>
      </c>
      <c r="L125" s="104" t="s">
        <v>862</v>
      </c>
      <c r="M125" s="105">
        <v>46200.477638888886</v>
      </c>
      <c r="N125" s="104" t="s">
        <v>839</v>
      </c>
      <c r="O125" s="104" t="s">
        <v>840</v>
      </c>
      <c r="P125" s="104" t="s">
        <v>69</v>
      </c>
      <c r="Q125" s="104" t="s">
        <v>865</v>
      </c>
      <c r="R125" s="104">
        <v>1</v>
      </c>
      <c r="S125" s="106">
        <v>119000</v>
      </c>
      <c r="T125" s="106">
        <v>0</v>
      </c>
      <c r="U125" s="106">
        <v>29750</v>
      </c>
      <c r="V125" s="106">
        <v>29750</v>
      </c>
      <c r="W125" s="106">
        <v>89250</v>
      </c>
      <c r="X125" s="106"/>
      <c r="Y125" s="106"/>
      <c r="Z125" s="106"/>
      <c r="AA125" s="104" t="s">
        <v>866</v>
      </c>
      <c r="AB125" s="104" t="s">
        <v>207</v>
      </c>
      <c r="AC125" s="104" t="s">
        <v>183</v>
      </c>
      <c r="AD125" s="106">
        <v>0</v>
      </c>
      <c r="AE125" s="106">
        <v>0</v>
      </c>
      <c r="AF125" s="106">
        <v>0</v>
      </c>
      <c r="AG125" s="105">
        <v>46199.380127314813</v>
      </c>
      <c r="AH125" s="104" t="s">
        <v>214</v>
      </c>
      <c r="AI125" s="104" t="s">
        <v>185</v>
      </c>
      <c r="AJ125" s="104">
        <v>-2434</v>
      </c>
      <c r="AK125" s="104">
        <v>-892</v>
      </c>
      <c r="AL125" s="106">
        <v>85924</v>
      </c>
    </row>
    <row r="126" spans="1:38" ht="13">
      <c r="A126" s="104" t="s">
        <v>867</v>
      </c>
      <c r="B126" s="104" t="s">
        <v>868</v>
      </c>
      <c r="C126" s="105">
        <v>46202.383333333331</v>
      </c>
      <c r="D126" s="104" t="s">
        <v>64</v>
      </c>
      <c r="E126" s="104" t="s">
        <v>65</v>
      </c>
      <c r="F126" s="104" t="s">
        <v>869</v>
      </c>
      <c r="G126" s="104" t="s">
        <v>870</v>
      </c>
      <c r="H126" s="104" t="s">
        <v>869</v>
      </c>
      <c r="I126" s="105">
        <v>46197.622488425928</v>
      </c>
      <c r="J126" s="104" t="s">
        <v>66</v>
      </c>
      <c r="K126" s="104" t="s">
        <v>769</v>
      </c>
      <c r="L126" s="104" t="s">
        <v>871</v>
      </c>
      <c r="M126" s="105">
        <v>46198.627638888887</v>
      </c>
      <c r="N126" s="104" t="s">
        <v>103</v>
      </c>
      <c r="O126" s="104" t="s">
        <v>107</v>
      </c>
      <c r="P126" s="104" t="s">
        <v>68</v>
      </c>
      <c r="Q126" s="104" t="s">
        <v>104</v>
      </c>
      <c r="R126" s="104">
        <v>1</v>
      </c>
      <c r="S126" s="106">
        <v>21060</v>
      </c>
      <c r="T126" s="106">
        <v>0</v>
      </c>
      <c r="U126" s="106">
        <v>0</v>
      </c>
      <c r="V126" s="106">
        <v>0</v>
      </c>
      <c r="W126" s="106">
        <v>21060</v>
      </c>
      <c r="X126" s="106"/>
      <c r="Y126" s="106"/>
      <c r="Z126" s="106"/>
      <c r="AA126" s="104" t="s">
        <v>872</v>
      </c>
      <c r="AB126" s="104" t="s">
        <v>182</v>
      </c>
      <c r="AC126" s="104" t="s">
        <v>183</v>
      </c>
      <c r="AD126" s="106">
        <v>3000</v>
      </c>
      <c r="AE126" s="106">
        <v>0</v>
      </c>
      <c r="AF126" s="106">
        <v>0</v>
      </c>
      <c r="AG126" s="105">
        <v>46197.301828703705</v>
      </c>
      <c r="AH126" s="104" t="s">
        <v>214</v>
      </c>
      <c r="AI126" s="104" t="s">
        <v>441</v>
      </c>
      <c r="AJ126" s="104">
        <v>-574</v>
      </c>
      <c r="AK126" s="104">
        <v>-631</v>
      </c>
      <c r="AL126" s="106">
        <v>19855</v>
      </c>
    </row>
    <row r="127" spans="1:38" ht="13">
      <c r="A127" s="104" t="s">
        <v>873</v>
      </c>
      <c r="B127" s="104" t="s">
        <v>874</v>
      </c>
      <c r="C127" s="105">
        <v>46202.485347222224</v>
      </c>
      <c r="D127" s="104" t="s">
        <v>64</v>
      </c>
      <c r="E127" s="104" t="s">
        <v>65</v>
      </c>
      <c r="F127" s="104" t="s">
        <v>875</v>
      </c>
      <c r="G127" s="104" t="s">
        <v>876</v>
      </c>
      <c r="H127" s="104" t="s">
        <v>875</v>
      </c>
      <c r="I127" s="105">
        <v>46199.59856481482</v>
      </c>
      <c r="J127" s="104" t="s">
        <v>66</v>
      </c>
      <c r="K127" s="104" t="s">
        <v>769</v>
      </c>
      <c r="L127" s="104" t="s">
        <v>877</v>
      </c>
      <c r="M127" s="105">
        <v>46200.729131944448</v>
      </c>
      <c r="N127" s="104" t="s">
        <v>801</v>
      </c>
      <c r="O127" s="104" t="s">
        <v>802</v>
      </c>
      <c r="P127" s="104" t="s">
        <v>69</v>
      </c>
      <c r="Q127" s="104" t="s">
        <v>803</v>
      </c>
      <c r="R127" s="104">
        <v>1</v>
      </c>
      <c r="S127" s="106">
        <v>39000</v>
      </c>
      <c r="T127" s="106">
        <v>3000</v>
      </c>
      <c r="U127" s="106">
        <v>7800</v>
      </c>
      <c r="V127" s="106">
        <v>7800</v>
      </c>
      <c r="W127" s="106">
        <v>34200</v>
      </c>
      <c r="X127" s="106"/>
      <c r="Y127" s="106"/>
      <c r="Z127" s="106"/>
      <c r="AA127" s="104" t="s">
        <v>878</v>
      </c>
      <c r="AB127" s="104" t="s">
        <v>207</v>
      </c>
      <c r="AC127" s="104" t="s">
        <v>207</v>
      </c>
      <c r="AD127" s="106">
        <v>0</v>
      </c>
      <c r="AE127" s="106">
        <v>0</v>
      </c>
      <c r="AF127" s="106">
        <v>0</v>
      </c>
      <c r="AG127" s="105">
        <v>46199.372754629629</v>
      </c>
      <c r="AH127" s="104" t="s">
        <v>214</v>
      </c>
      <c r="AI127" s="104" t="s">
        <v>441</v>
      </c>
      <c r="AJ127" s="104">
        <v>-932</v>
      </c>
      <c r="AK127" s="104">
        <v>-1026</v>
      </c>
      <c r="AL127" s="106">
        <v>32242</v>
      </c>
    </row>
    <row r="128" spans="1:38" ht="13">
      <c r="A128" s="104" t="s">
        <v>879</v>
      </c>
      <c r="B128" s="104" t="s">
        <v>880</v>
      </c>
      <c r="C128" s="105">
        <v>46202.501597222217</v>
      </c>
      <c r="D128" s="104" t="s">
        <v>64</v>
      </c>
      <c r="E128" s="104" t="s">
        <v>65</v>
      </c>
      <c r="F128" s="104" t="s">
        <v>881</v>
      </c>
      <c r="G128" s="104" t="s">
        <v>882</v>
      </c>
      <c r="H128" s="104" t="s">
        <v>881</v>
      </c>
      <c r="I128" s="105">
        <v>46198.630416666667</v>
      </c>
      <c r="J128" s="104" t="s">
        <v>66</v>
      </c>
      <c r="K128" s="104" t="s">
        <v>769</v>
      </c>
      <c r="L128" s="104" t="s">
        <v>883</v>
      </c>
      <c r="M128" s="105">
        <v>46199.761076388888</v>
      </c>
      <c r="N128" s="104" t="s">
        <v>801</v>
      </c>
      <c r="O128" s="104" t="s">
        <v>802</v>
      </c>
      <c r="P128" s="104" t="s">
        <v>69</v>
      </c>
      <c r="Q128" s="104" t="s">
        <v>803</v>
      </c>
      <c r="R128" s="104">
        <v>1</v>
      </c>
      <c r="S128" s="106">
        <v>39000</v>
      </c>
      <c r="T128" s="106">
        <v>3000</v>
      </c>
      <c r="U128" s="106">
        <v>7800</v>
      </c>
      <c r="V128" s="106">
        <v>7800</v>
      </c>
      <c r="W128" s="106">
        <v>34200</v>
      </c>
      <c r="X128" s="106"/>
      <c r="Y128" s="106"/>
      <c r="Z128" s="106"/>
      <c r="AA128" s="104" t="s">
        <v>884</v>
      </c>
      <c r="AB128" s="104" t="s">
        <v>207</v>
      </c>
      <c r="AC128" s="104" t="s">
        <v>207</v>
      </c>
      <c r="AD128" s="106">
        <v>0</v>
      </c>
      <c r="AE128" s="106">
        <v>0</v>
      </c>
      <c r="AF128" s="106">
        <v>0</v>
      </c>
      <c r="AG128" s="105">
        <v>46198.440104166672</v>
      </c>
      <c r="AH128" s="104" t="s">
        <v>192</v>
      </c>
      <c r="AI128" s="104" t="s">
        <v>185</v>
      </c>
      <c r="AJ128" s="104">
        <v>-932</v>
      </c>
      <c r="AK128" s="104">
        <v>-342</v>
      </c>
      <c r="AL128" s="106">
        <v>32926</v>
      </c>
    </row>
    <row r="129" spans="1:38" ht="13">
      <c r="A129" s="104" t="s">
        <v>885</v>
      </c>
      <c r="B129" s="104" t="s">
        <v>886</v>
      </c>
      <c r="C129" s="105">
        <v>46202.512662037036</v>
      </c>
      <c r="D129" s="104" t="s">
        <v>64</v>
      </c>
      <c r="E129" s="104" t="s">
        <v>65</v>
      </c>
      <c r="F129" s="104" t="s">
        <v>75</v>
      </c>
      <c r="G129" s="104" t="s">
        <v>76</v>
      </c>
      <c r="H129" s="104" t="s">
        <v>75</v>
      </c>
      <c r="I129" s="105">
        <v>46198.630416666667</v>
      </c>
      <c r="J129" s="104" t="s">
        <v>66</v>
      </c>
      <c r="K129" s="104" t="s">
        <v>769</v>
      </c>
      <c r="L129" s="104" t="s">
        <v>887</v>
      </c>
      <c r="M129" s="105">
        <v>46199.635347222225</v>
      </c>
      <c r="N129" s="104" t="s">
        <v>801</v>
      </c>
      <c r="O129" s="104" t="s">
        <v>802</v>
      </c>
      <c r="P129" s="104" t="s">
        <v>69</v>
      </c>
      <c r="Q129" s="104" t="s">
        <v>803</v>
      </c>
      <c r="R129" s="104">
        <v>1</v>
      </c>
      <c r="S129" s="106">
        <v>39000</v>
      </c>
      <c r="T129" s="106">
        <v>3000</v>
      </c>
      <c r="U129" s="106">
        <v>7800</v>
      </c>
      <c r="V129" s="106">
        <v>7800</v>
      </c>
      <c r="W129" s="106">
        <v>34200</v>
      </c>
      <c r="X129" s="106"/>
      <c r="Y129" s="106"/>
      <c r="Z129" s="106"/>
      <c r="AA129" s="104" t="s">
        <v>888</v>
      </c>
      <c r="AB129" s="104" t="s">
        <v>207</v>
      </c>
      <c r="AC129" s="104" t="s">
        <v>207</v>
      </c>
      <c r="AD129" s="106">
        <v>0</v>
      </c>
      <c r="AE129" s="106">
        <v>0</v>
      </c>
      <c r="AF129" s="106">
        <v>0</v>
      </c>
      <c r="AG129" s="105">
        <v>46197.809814814813</v>
      </c>
      <c r="AH129" s="104" t="s">
        <v>214</v>
      </c>
      <c r="AI129" s="104" t="s">
        <v>185</v>
      </c>
      <c r="AJ129" s="104">
        <v>-932</v>
      </c>
      <c r="AK129" s="104">
        <v>-342</v>
      </c>
      <c r="AL129" s="106">
        <v>32926</v>
      </c>
    </row>
    <row r="130" spans="1:38" ht="13">
      <c r="A130" s="104" t="s">
        <v>889</v>
      </c>
      <c r="B130" s="104" t="s">
        <v>890</v>
      </c>
      <c r="C130" s="105">
        <v>46202.56082175926</v>
      </c>
      <c r="D130" s="104" t="s">
        <v>64</v>
      </c>
      <c r="E130" s="104" t="s">
        <v>65</v>
      </c>
      <c r="F130" s="104" t="s">
        <v>891</v>
      </c>
      <c r="G130" s="104" t="s">
        <v>892</v>
      </c>
      <c r="H130" s="104" t="s">
        <v>891</v>
      </c>
      <c r="I130" s="105">
        <v>46198.630416666667</v>
      </c>
      <c r="J130" s="104" t="s">
        <v>66</v>
      </c>
      <c r="K130" s="104" t="s">
        <v>769</v>
      </c>
      <c r="L130" s="104" t="s">
        <v>893</v>
      </c>
      <c r="M130" s="105">
        <v>46200.721550925926</v>
      </c>
      <c r="N130" s="104" t="s">
        <v>801</v>
      </c>
      <c r="O130" s="104" t="s">
        <v>802</v>
      </c>
      <c r="P130" s="104" t="s">
        <v>69</v>
      </c>
      <c r="Q130" s="104" t="s">
        <v>803</v>
      </c>
      <c r="R130" s="104">
        <v>1</v>
      </c>
      <c r="S130" s="106">
        <v>39000</v>
      </c>
      <c r="T130" s="106">
        <v>3000</v>
      </c>
      <c r="U130" s="106">
        <v>7800</v>
      </c>
      <c r="V130" s="106">
        <v>7800</v>
      </c>
      <c r="W130" s="106">
        <v>34200</v>
      </c>
      <c r="X130" s="106"/>
      <c r="Y130" s="106"/>
      <c r="Z130" s="106"/>
      <c r="AA130" s="104" t="s">
        <v>894</v>
      </c>
      <c r="AB130" s="104" t="s">
        <v>182</v>
      </c>
      <c r="AC130" s="104" t="s">
        <v>207</v>
      </c>
      <c r="AD130" s="106">
        <v>4000</v>
      </c>
      <c r="AE130" s="106">
        <v>4000</v>
      </c>
      <c r="AF130" s="106">
        <v>0</v>
      </c>
      <c r="AG130" s="105">
        <v>46198.004745370374</v>
      </c>
      <c r="AH130" s="104" t="s">
        <v>214</v>
      </c>
      <c r="AI130" s="104" t="s">
        <v>185</v>
      </c>
      <c r="AJ130" s="104">
        <v>-932</v>
      </c>
      <c r="AK130" s="104">
        <v>-1026</v>
      </c>
      <c r="AL130" s="106">
        <v>32242</v>
      </c>
    </row>
    <row r="131" spans="1:38" ht="13">
      <c r="A131" s="104" t="s">
        <v>895</v>
      </c>
      <c r="B131" s="104" t="s">
        <v>896</v>
      </c>
      <c r="C131" s="105">
        <v>46203.01457175926</v>
      </c>
      <c r="D131" s="104" t="s">
        <v>64</v>
      </c>
      <c r="E131" s="104" t="s">
        <v>65</v>
      </c>
      <c r="F131" s="104" t="s">
        <v>897</v>
      </c>
      <c r="G131" s="104" t="s">
        <v>898</v>
      </c>
      <c r="H131" s="104" t="s">
        <v>897</v>
      </c>
      <c r="I131" s="105">
        <v>46198.630416666667</v>
      </c>
      <c r="J131" s="104" t="s">
        <v>66</v>
      </c>
      <c r="K131" s="104" t="s">
        <v>769</v>
      </c>
      <c r="L131" s="104" t="s">
        <v>899</v>
      </c>
      <c r="M131" s="105">
        <v>46199.635636574079</v>
      </c>
      <c r="N131" s="104" t="s">
        <v>801</v>
      </c>
      <c r="O131" s="104" t="s">
        <v>802</v>
      </c>
      <c r="P131" s="104" t="s">
        <v>69</v>
      </c>
      <c r="Q131" s="104" t="s">
        <v>803</v>
      </c>
      <c r="R131" s="104">
        <v>1</v>
      </c>
      <c r="S131" s="106">
        <v>39000</v>
      </c>
      <c r="T131" s="106">
        <v>3000</v>
      </c>
      <c r="U131" s="106">
        <v>7800</v>
      </c>
      <c r="V131" s="106">
        <v>7800</v>
      </c>
      <c r="W131" s="106">
        <v>34200</v>
      </c>
      <c r="X131" s="106"/>
      <c r="Y131" s="106"/>
      <c r="Z131" s="106"/>
      <c r="AA131" s="104" t="s">
        <v>900</v>
      </c>
      <c r="AB131" s="104" t="s">
        <v>207</v>
      </c>
      <c r="AC131" s="104" t="s">
        <v>207</v>
      </c>
      <c r="AD131" s="106">
        <v>0</v>
      </c>
      <c r="AE131" s="106">
        <v>0</v>
      </c>
      <c r="AF131" s="106">
        <v>0</v>
      </c>
      <c r="AG131" s="105">
        <v>46198.515543981484</v>
      </c>
      <c r="AH131" s="104" t="s">
        <v>214</v>
      </c>
      <c r="AI131" s="104" t="s">
        <v>185</v>
      </c>
      <c r="AJ131" s="104">
        <v>-932</v>
      </c>
      <c r="AK131" s="104">
        <v>-342</v>
      </c>
      <c r="AL131" s="106">
        <v>32926</v>
      </c>
    </row>
    <row r="132" spans="1:38" ht="13">
      <c r="A132" s="104" t="s">
        <v>901</v>
      </c>
      <c r="B132" s="104" t="s">
        <v>902</v>
      </c>
      <c r="C132" s="105">
        <v>46203.09648148148</v>
      </c>
      <c r="D132" s="104" t="s">
        <v>64</v>
      </c>
      <c r="E132" s="104" t="s">
        <v>65</v>
      </c>
      <c r="F132" s="104" t="s">
        <v>115</v>
      </c>
      <c r="G132" s="104" t="s">
        <v>903</v>
      </c>
      <c r="H132" s="104" t="s">
        <v>115</v>
      </c>
      <c r="I132" s="105">
        <v>46199.59856481482</v>
      </c>
      <c r="J132" s="104" t="s">
        <v>66</v>
      </c>
      <c r="K132" s="104" t="s">
        <v>769</v>
      </c>
      <c r="L132" s="104" t="s">
        <v>904</v>
      </c>
      <c r="M132" s="105">
        <v>46200.603449074071</v>
      </c>
      <c r="N132" s="104" t="s">
        <v>839</v>
      </c>
      <c r="O132" s="104" t="s">
        <v>840</v>
      </c>
      <c r="P132" s="104" t="s">
        <v>69</v>
      </c>
      <c r="Q132" s="104" t="s">
        <v>857</v>
      </c>
      <c r="R132" s="104">
        <v>1</v>
      </c>
      <c r="S132" s="106">
        <v>119000</v>
      </c>
      <c r="T132" s="106">
        <v>0</v>
      </c>
      <c r="U132" s="106">
        <v>29750</v>
      </c>
      <c r="V132" s="106">
        <v>29750</v>
      </c>
      <c r="W132" s="106">
        <v>89250</v>
      </c>
      <c r="X132" s="106"/>
      <c r="Y132" s="106"/>
      <c r="Z132" s="106"/>
      <c r="AA132" s="104" t="s">
        <v>905</v>
      </c>
      <c r="AB132" s="104" t="s">
        <v>207</v>
      </c>
      <c r="AC132" s="104" t="s">
        <v>183</v>
      </c>
      <c r="AD132" s="106">
        <v>0</v>
      </c>
      <c r="AE132" s="106">
        <v>0</v>
      </c>
      <c r="AF132" s="106">
        <v>0</v>
      </c>
      <c r="AG132" s="105">
        <v>46198.802129629628</v>
      </c>
      <c r="AH132" s="104" t="s">
        <v>214</v>
      </c>
      <c r="AI132" s="104" t="s">
        <v>185</v>
      </c>
      <c r="AJ132" s="104">
        <v>-2434</v>
      </c>
      <c r="AK132" s="104">
        <v>-892</v>
      </c>
      <c r="AL132" s="106">
        <v>85924</v>
      </c>
    </row>
    <row r="133" spans="1:38" ht="13">
      <c r="A133" s="104" t="s">
        <v>906</v>
      </c>
      <c r="B133" s="104" t="s">
        <v>907</v>
      </c>
      <c r="C133" s="105">
        <v>46203.579942129625</v>
      </c>
      <c r="D133" s="104" t="s">
        <v>64</v>
      </c>
      <c r="E133" s="104" t="s">
        <v>65</v>
      </c>
      <c r="F133" s="104" t="s">
        <v>72</v>
      </c>
      <c r="G133" s="104" t="s">
        <v>908</v>
      </c>
      <c r="H133" s="104" t="s">
        <v>72</v>
      </c>
      <c r="I133" s="105">
        <v>46199.48914351852</v>
      </c>
      <c r="J133" s="104" t="s">
        <v>66</v>
      </c>
      <c r="K133" s="104" t="s">
        <v>769</v>
      </c>
      <c r="L133" s="104" t="s">
        <v>909</v>
      </c>
      <c r="M133" s="105">
        <v>46200.619444444441</v>
      </c>
      <c r="N133" s="104" t="s">
        <v>801</v>
      </c>
      <c r="O133" s="104" t="s">
        <v>802</v>
      </c>
      <c r="P133" s="104" t="s">
        <v>69</v>
      </c>
      <c r="Q133" s="104" t="s">
        <v>803</v>
      </c>
      <c r="R133" s="104">
        <v>1</v>
      </c>
      <c r="S133" s="106">
        <v>39000</v>
      </c>
      <c r="T133" s="106">
        <v>3000</v>
      </c>
      <c r="U133" s="106">
        <v>7800</v>
      </c>
      <c r="V133" s="106">
        <v>7800</v>
      </c>
      <c r="W133" s="106">
        <v>34200</v>
      </c>
      <c r="X133" s="106"/>
      <c r="Y133" s="106"/>
      <c r="Z133" s="106"/>
      <c r="AA133" s="104" t="s">
        <v>910</v>
      </c>
      <c r="AB133" s="104" t="s">
        <v>207</v>
      </c>
      <c r="AC133" s="104" t="s">
        <v>207</v>
      </c>
      <c r="AD133" s="106">
        <v>0</v>
      </c>
      <c r="AE133" s="106">
        <v>0</v>
      </c>
      <c r="AF133" s="106">
        <v>0</v>
      </c>
      <c r="AG133" s="105">
        <v>46198.836319444439</v>
      </c>
      <c r="AH133" s="104" t="s">
        <v>228</v>
      </c>
      <c r="AI133" s="104" t="s">
        <v>185</v>
      </c>
      <c r="AJ133" s="104">
        <v>-932</v>
      </c>
      <c r="AK133" s="104">
        <v>-342</v>
      </c>
      <c r="AL133" s="106">
        <v>32926</v>
      </c>
    </row>
    <row r="134" spans="1:38" ht="13">
      <c r="A134" s="104" t="s">
        <v>911</v>
      </c>
      <c r="B134" s="104" t="s">
        <v>912</v>
      </c>
      <c r="C134" s="105">
        <v>46203.805555555555</v>
      </c>
      <c r="D134" s="104" t="s">
        <v>64</v>
      </c>
      <c r="E134" s="104" t="s">
        <v>65</v>
      </c>
      <c r="F134" s="104" t="s">
        <v>913</v>
      </c>
      <c r="G134" s="104" t="s">
        <v>914</v>
      </c>
      <c r="H134" s="104" t="s">
        <v>913</v>
      </c>
      <c r="I134" s="105">
        <v>46199.59856481482</v>
      </c>
      <c r="J134" s="104" t="s">
        <v>66</v>
      </c>
      <c r="K134" s="104" t="s">
        <v>769</v>
      </c>
      <c r="L134" s="104" t="s">
        <v>915</v>
      </c>
      <c r="M134" s="105">
        <v>46200.603321759263</v>
      </c>
      <c r="N134" s="104" t="s">
        <v>801</v>
      </c>
      <c r="O134" s="104" t="s">
        <v>802</v>
      </c>
      <c r="P134" s="104" t="s">
        <v>69</v>
      </c>
      <c r="Q134" s="104" t="s">
        <v>803</v>
      </c>
      <c r="R134" s="104">
        <v>1</v>
      </c>
      <c r="S134" s="106">
        <v>39000</v>
      </c>
      <c r="T134" s="106">
        <v>3000</v>
      </c>
      <c r="U134" s="106">
        <v>7800</v>
      </c>
      <c r="V134" s="106">
        <v>7800</v>
      </c>
      <c r="W134" s="106">
        <v>34200</v>
      </c>
      <c r="X134" s="106"/>
      <c r="Y134" s="106"/>
      <c r="Z134" s="106"/>
      <c r="AA134" s="104" t="s">
        <v>916</v>
      </c>
      <c r="AB134" s="104" t="s">
        <v>207</v>
      </c>
      <c r="AC134" s="104" t="s">
        <v>207</v>
      </c>
      <c r="AD134" s="106">
        <v>0</v>
      </c>
      <c r="AE134" s="106">
        <v>0</v>
      </c>
      <c r="AF134" s="106">
        <v>0</v>
      </c>
      <c r="AG134" s="105">
        <v>46198.448009259257</v>
      </c>
      <c r="AH134" s="104" t="s">
        <v>214</v>
      </c>
      <c r="AI134" s="104" t="s">
        <v>185</v>
      </c>
      <c r="AJ134" s="104">
        <v>-932</v>
      </c>
      <c r="AK134" s="104">
        <v>-342</v>
      </c>
      <c r="AL134" s="106">
        <v>32926</v>
      </c>
    </row>
    <row r="135" spans="1:38" ht="13">
      <c r="A135" s="104" t="s">
        <v>917</v>
      </c>
      <c r="B135" s="104" t="s">
        <v>912</v>
      </c>
      <c r="C135" s="105">
        <v>46203.805555555555</v>
      </c>
      <c r="D135" s="104" t="s">
        <v>64</v>
      </c>
      <c r="E135" s="104" t="s">
        <v>65</v>
      </c>
      <c r="F135" s="104" t="s">
        <v>913</v>
      </c>
      <c r="G135" s="104" t="s">
        <v>914</v>
      </c>
      <c r="H135" s="104" t="s">
        <v>913</v>
      </c>
      <c r="I135" s="105">
        <v>46199.59856481482</v>
      </c>
      <c r="J135" s="104" t="s">
        <v>66</v>
      </c>
      <c r="K135" s="104" t="s">
        <v>769</v>
      </c>
      <c r="L135" s="104" t="s">
        <v>915</v>
      </c>
      <c r="M135" s="105">
        <v>46200.603321759263</v>
      </c>
      <c r="N135" s="104" t="s">
        <v>839</v>
      </c>
      <c r="O135" s="104" t="s">
        <v>840</v>
      </c>
      <c r="P135" s="104" t="s">
        <v>69</v>
      </c>
      <c r="Q135" s="104" t="s">
        <v>918</v>
      </c>
      <c r="R135" s="104">
        <v>1</v>
      </c>
      <c r="S135" s="106">
        <v>119000</v>
      </c>
      <c r="T135" s="106">
        <v>10000</v>
      </c>
      <c r="U135" s="106">
        <v>29750</v>
      </c>
      <c r="V135" s="106">
        <v>29750</v>
      </c>
      <c r="W135" s="106">
        <v>99250</v>
      </c>
      <c r="X135" s="106"/>
      <c r="Y135" s="106"/>
      <c r="Z135" s="106"/>
      <c r="AA135" s="104" t="s">
        <v>919</v>
      </c>
      <c r="AB135" s="104" t="s">
        <v>207</v>
      </c>
      <c r="AC135" s="104" t="s">
        <v>183</v>
      </c>
      <c r="AD135" s="106">
        <v>0</v>
      </c>
      <c r="AE135" s="106">
        <v>0</v>
      </c>
      <c r="AF135" s="106">
        <v>0</v>
      </c>
      <c r="AG135" s="105">
        <v>46198.448009259257</v>
      </c>
      <c r="AH135" s="104" t="s">
        <v>214</v>
      </c>
      <c r="AI135" s="104" t="s">
        <v>185</v>
      </c>
      <c r="AJ135" s="104">
        <v>-2707</v>
      </c>
      <c r="AK135" s="104">
        <v>-992</v>
      </c>
      <c r="AL135" s="106">
        <v>95551</v>
      </c>
    </row>
    <row r="136" spans="1:38" ht="13">
      <c r="E136" s="67"/>
      <c r="F136" s="67"/>
      <c r="G136" s="67"/>
      <c r="H136" s="67"/>
      <c r="I136" s="67"/>
    </row>
    <row r="137" spans="1:38" ht="13">
      <c r="E137" s="67"/>
      <c r="F137" s="67"/>
      <c r="G137" s="67"/>
      <c r="H137" s="67"/>
      <c r="I137" s="67"/>
    </row>
    <row r="138" spans="1:38" ht="13">
      <c r="E138" s="67"/>
      <c r="F138" s="67"/>
      <c r="G138" s="67"/>
      <c r="H138" s="67"/>
      <c r="I138" s="67"/>
    </row>
    <row r="139" spans="1:38" ht="13">
      <c r="E139" s="67"/>
      <c r="F139" s="67"/>
      <c r="G139" s="67"/>
      <c r="H139" s="67"/>
      <c r="I139" s="67"/>
    </row>
    <row r="140" spans="1:38" ht="13">
      <c r="E140" s="67"/>
      <c r="F140" s="67"/>
      <c r="G140" s="67"/>
      <c r="H140" s="67"/>
      <c r="I140" s="67"/>
    </row>
    <row r="141" spans="1:38" ht="13">
      <c r="E141" s="67"/>
      <c r="F141" s="67"/>
      <c r="G141" s="67"/>
      <c r="H141" s="67"/>
      <c r="I141" s="67"/>
    </row>
    <row r="142" spans="1:38" ht="13">
      <c r="E142" s="67"/>
      <c r="F142" s="67"/>
      <c r="G142" s="67"/>
      <c r="H142" s="67"/>
      <c r="I142" s="67"/>
    </row>
    <row r="143" spans="1:38" ht="13">
      <c r="E143" s="67"/>
      <c r="F143" s="67"/>
      <c r="G143" s="67"/>
      <c r="H143" s="67"/>
      <c r="I143" s="67"/>
    </row>
    <row r="144" spans="1:38" ht="13">
      <c r="E144" s="67"/>
      <c r="F144" s="67"/>
      <c r="G144" s="67"/>
      <c r="H144" s="67"/>
      <c r="I144" s="67"/>
    </row>
    <row r="145" spans="5:9" ht="13">
      <c r="E145" s="67"/>
      <c r="F145" s="67"/>
      <c r="G145" s="67"/>
      <c r="H145" s="67"/>
      <c r="I145" s="67"/>
    </row>
    <row r="146" spans="5:9" ht="13">
      <c r="E146" s="67"/>
      <c r="F146" s="67"/>
      <c r="G146" s="67"/>
      <c r="H146" s="67"/>
      <c r="I146" s="67"/>
    </row>
    <row r="147" spans="5:9" ht="13">
      <c r="E147" s="67"/>
      <c r="F147" s="67"/>
      <c r="G147" s="67"/>
      <c r="H147" s="67"/>
      <c r="I147" s="67"/>
    </row>
    <row r="148" spans="5:9" ht="13">
      <c r="E148" s="67"/>
      <c r="F148" s="67"/>
      <c r="G148" s="67"/>
      <c r="H148" s="67"/>
      <c r="I148" s="67"/>
    </row>
    <row r="149" spans="5:9" ht="13">
      <c r="E149" s="67"/>
      <c r="F149" s="67"/>
      <c r="G149" s="67"/>
      <c r="H149" s="67"/>
      <c r="I149" s="67"/>
    </row>
    <row r="150" spans="5:9" ht="13">
      <c r="E150" s="67"/>
      <c r="F150" s="67"/>
      <c r="G150" s="67"/>
      <c r="H150" s="67"/>
      <c r="I150" s="67"/>
    </row>
    <row r="151" spans="5:9" ht="13">
      <c r="E151" s="67"/>
      <c r="F151" s="67"/>
      <c r="G151" s="67"/>
      <c r="H151" s="67"/>
      <c r="I151" s="67"/>
    </row>
    <row r="152" spans="5:9" ht="13">
      <c r="E152" s="67"/>
      <c r="F152" s="67"/>
      <c r="G152" s="67"/>
      <c r="H152" s="67"/>
      <c r="I152" s="67"/>
    </row>
    <row r="153" spans="5:9" ht="13">
      <c r="E153" s="67"/>
      <c r="F153" s="67"/>
      <c r="G153" s="67"/>
      <c r="H153" s="67"/>
      <c r="I153" s="67"/>
    </row>
    <row r="154" spans="5:9" ht="13">
      <c r="E154" s="67"/>
      <c r="F154" s="67"/>
      <c r="G154" s="67"/>
      <c r="H154" s="67"/>
      <c r="I154" s="67"/>
    </row>
    <row r="155" spans="5:9" ht="13">
      <c r="E155" s="67"/>
      <c r="F155" s="67"/>
      <c r="G155" s="67"/>
      <c r="H155" s="67"/>
      <c r="I155" s="67"/>
    </row>
    <row r="156" spans="5:9" ht="13">
      <c r="E156" s="67"/>
      <c r="F156" s="67"/>
      <c r="G156" s="67"/>
      <c r="H156" s="67"/>
      <c r="I156" s="67"/>
    </row>
    <row r="157" spans="5:9" ht="13">
      <c r="E157" s="67"/>
      <c r="F157" s="67"/>
      <c r="G157" s="67"/>
      <c r="H157" s="67"/>
      <c r="I157" s="67"/>
    </row>
    <row r="158" spans="5:9" ht="13">
      <c r="E158" s="67"/>
      <c r="F158" s="67"/>
      <c r="G158" s="67"/>
      <c r="H158" s="67"/>
      <c r="I158" s="67"/>
    </row>
    <row r="159" spans="5:9" ht="13">
      <c r="E159" s="67"/>
      <c r="F159" s="67"/>
      <c r="G159" s="67"/>
      <c r="H159" s="67"/>
      <c r="I159" s="67"/>
    </row>
    <row r="160" spans="5:9" ht="13">
      <c r="E160" s="67"/>
      <c r="F160" s="67"/>
      <c r="G160" s="67"/>
      <c r="H160" s="67"/>
      <c r="I160" s="67"/>
    </row>
    <row r="161" spans="5:9" ht="13">
      <c r="E161" s="67"/>
      <c r="F161" s="67"/>
      <c r="G161" s="67"/>
      <c r="H161" s="67"/>
      <c r="I161" s="67"/>
    </row>
    <row r="162" spans="5:9" ht="13">
      <c r="E162" s="67"/>
      <c r="F162" s="67"/>
      <c r="G162" s="67"/>
      <c r="H162" s="67"/>
      <c r="I162" s="67"/>
    </row>
    <row r="163" spans="5:9" ht="13">
      <c r="E163" s="67"/>
      <c r="F163" s="67"/>
      <c r="G163" s="67"/>
      <c r="H163" s="67"/>
      <c r="I163" s="67"/>
    </row>
    <row r="164" spans="5:9" ht="13">
      <c r="E164" s="67"/>
      <c r="F164" s="67"/>
      <c r="G164" s="67"/>
      <c r="H164" s="67"/>
      <c r="I164" s="67"/>
    </row>
    <row r="165" spans="5:9" ht="13">
      <c r="E165" s="67"/>
      <c r="F165" s="67"/>
      <c r="G165" s="67"/>
      <c r="H165" s="67"/>
      <c r="I165" s="67"/>
    </row>
    <row r="166" spans="5:9" ht="13">
      <c r="E166" s="67"/>
      <c r="F166" s="67"/>
      <c r="G166" s="67"/>
      <c r="H166" s="67"/>
      <c r="I166" s="67"/>
    </row>
    <row r="167" spans="5:9" ht="13">
      <c r="E167" s="67"/>
      <c r="F167" s="67"/>
      <c r="G167" s="67"/>
      <c r="H167" s="67"/>
      <c r="I167" s="67"/>
    </row>
    <row r="168" spans="5:9" ht="13">
      <c r="E168" s="67"/>
      <c r="F168" s="67"/>
      <c r="G168" s="67"/>
      <c r="H168" s="67"/>
      <c r="I168" s="67"/>
    </row>
    <row r="169" spans="5:9" ht="13">
      <c r="E169" s="67"/>
      <c r="F169" s="67"/>
      <c r="G169" s="67"/>
      <c r="H169" s="67"/>
      <c r="I169" s="67"/>
    </row>
    <row r="170" spans="5:9" ht="13">
      <c r="E170" s="67"/>
      <c r="F170" s="67"/>
      <c r="G170" s="67"/>
      <c r="H170" s="67"/>
      <c r="I170" s="67"/>
    </row>
    <row r="171" spans="5:9" ht="13">
      <c r="E171" s="67"/>
      <c r="F171" s="67"/>
      <c r="G171" s="67"/>
      <c r="H171" s="67"/>
      <c r="I171" s="67"/>
    </row>
    <row r="172" spans="5:9" ht="13">
      <c r="E172" s="67"/>
      <c r="F172" s="67"/>
      <c r="G172" s="67"/>
      <c r="H172" s="67"/>
      <c r="I172" s="67"/>
    </row>
    <row r="173" spans="5:9" ht="13">
      <c r="E173" s="67"/>
      <c r="F173" s="67"/>
      <c r="G173" s="67"/>
      <c r="H173" s="67"/>
      <c r="I173" s="67"/>
    </row>
    <row r="174" spans="5:9" ht="13">
      <c r="E174" s="67"/>
      <c r="F174" s="67"/>
      <c r="G174" s="67"/>
      <c r="H174" s="67"/>
      <c r="I174" s="67"/>
    </row>
    <row r="175" spans="5:9" ht="13">
      <c r="E175" s="67"/>
      <c r="F175" s="67"/>
      <c r="G175" s="67"/>
      <c r="H175" s="67"/>
      <c r="I175" s="67"/>
    </row>
    <row r="176" spans="5:9" ht="13">
      <c r="E176" s="67"/>
      <c r="F176" s="67"/>
      <c r="G176" s="67"/>
      <c r="H176" s="67"/>
      <c r="I176" s="67"/>
    </row>
    <row r="177" spans="5:9" ht="13">
      <c r="E177" s="67"/>
      <c r="F177" s="67"/>
      <c r="G177" s="67"/>
      <c r="H177" s="67"/>
      <c r="I177" s="67"/>
    </row>
    <row r="178" spans="5:9" ht="13">
      <c r="E178" s="67"/>
      <c r="F178" s="67"/>
      <c r="G178" s="67"/>
      <c r="H178" s="67"/>
      <c r="I178" s="67"/>
    </row>
    <row r="179" spans="5:9" ht="13">
      <c r="E179" s="67"/>
      <c r="F179" s="67"/>
      <c r="G179" s="67"/>
      <c r="H179" s="67"/>
      <c r="I179" s="67"/>
    </row>
    <row r="180" spans="5:9" ht="13">
      <c r="E180" s="67"/>
      <c r="F180" s="67"/>
      <c r="G180" s="67"/>
      <c r="H180" s="67"/>
      <c r="I180" s="67"/>
    </row>
    <row r="181" spans="5:9" ht="13">
      <c r="E181" s="67"/>
      <c r="F181" s="67"/>
      <c r="G181" s="67"/>
      <c r="H181" s="67"/>
      <c r="I181" s="67"/>
    </row>
    <row r="182" spans="5:9" ht="13">
      <c r="E182" s="67"/>
      <c r="F182" s="67"/>
      <c r="G182" s="67"/>
      <c r="H182" s="67"/>
      <c r="I182" s="67"/>
    </row>
    <row r="183" spans="5:9" ht="13">
      <c r="E183" s="67"/>
      <c r="F183" s="67"/>
      <c r="G183" s="67"/>
      <c r="H183" s="67"/>
      <c r="I183" s="67"/>
    </row>
    <row r="184" spans="5:9" ht="13">
      <c r="E184" s="67"/>
      <c r="F184" s="67"/>
      <c r="G184" s="67"/>
      <c r="H184" s="67"/>
      <c r="I184" s="67"/>
    </row>
    <row r="185" spans="5:9" ht="13">
      <c r="E185" s="67"/>
      <c r="F185" s="67"/>
      <c r="G185" s="67"/>
      <c r="H185" s="67"/>
      <c r="I185" s="67"/>
    </row>
    <row r="186" spans="5:9" ht="13">
      <c r="E186" s="67"/>
      <c r="F186" s="67"/>
      <c r="G186" s="67"/>
      <c r="H186" s="67"/>
      <c r="I186" s="67"/>
    </row>
    <row r="187" spans="5:9" ht="13">
      <c r="E187" s="67"/>
      <c r="F187" s="67"/>
      <c r="G187" s="67"/>
      <c r="H187" s="67"/>
      <c r="I187" s="67"/>
    </row>
    <row r="188" spans="5:9" ht="13">
      <c r="E188" s="67"/>
      <c r="F188" s="67"/>
      <c r="G188" s="67"/>
      <c r="H188" s="67"/>
      <c r="I188" s="67"/>
    </row>
    <row r="189" spans="5:9" ht="13">
      <c r="E189" s="67"/>
      <c r="F189" s="67"/>
      <c r="G189" s="67"/>
      <c r="H189" s="67"/>
      <c r="I189" s="67"/>
    </row>
    <row r="190" spans="5:9" ht="13">
      <c r="E190" s="67"/>
      <c r="F190" s="67"/>
      <c r="G190" s="67"/>
      <c r="H190" s="67"/>
      <c r="I190" s="67"/>
    </row>
    <row r="191" spans="5:9" ht="13">
      <c r="E191" s="67"/>
      <c r="F191" s="67"/>
      <c r="G191" s="67"/>
      <c r="H191" s="67"/>
      <c r="I191" s="67"/>
    </row>
    <row r="192" spans="5:9" ht="13">
      <c r="E192" s="67"/>
      <c r="F192" s="67"/>
      <c r="G192" s="67"/>
      <c r="H192" s="67"/>
      <c r="I192" s="67"/>
    </row>
    <row r="193" spans="5:9" ht="13">
      <c r="E193" s="67"/>
      <c r="F193" s="67"/>
      <c r="G193" s="67"/>
      <c r="H193" s="67"/>
      <c r="I193" s="67"/>
    </row>
    <row r="194" spans="5:9" ht="13">
      <c r="E194" s="67"/>
      <c r="F194" s="67"/>
      <c r="G194" s="67"/>
      <c r="H194" s="67"/>
      <c r="I194" s="67"/>
    </row>
    <row r="195" spans="5:9" ht="13">
      <c r="E195" s="67"/>
      <c r="F195" s="67"/>
      <c r="G195" s="67"/>
      <c r="H195" s="67"/>
      <c r="I195" s="67"/>
    </row>
    <row r="196" spans="5:9" ht="13">
      <c r="E196" s="67"/>
      <c r="F196" s="67"/>
      <c r="G196" s="67"/>
      <c r="H196" s="67"/>
      <c r="I196" s="67"/>
    </row>
    <row r="197" spans="5:9" ht="13">
      <c r="E197" s="67"/>
      <c r="F197" s="67"/>
      <c r="G197" s="67"/>
      <c r="H197" s="67"/>
      <c r="I197" s="67"/>
    </row>
    <row r="198" spans="5:9" ht="13">
      <c r="E198" s="67"/>
      <c r="F198" s="67"/>
      <c r="G198" s="67"/>
      <c r="H198" s="67"/>
      <c r="I198" s="67"/>
    </row>
    <row r="199" spans="5:9" ht="13">
      <c r="E199" s="67"/>
      <c r="F199" s="67"/>
      <c r="G199" s="67"/>
      <c r="H199" s="67"/>
      <c r="I199" s="67"/>
    </row>
    <row r="200" spans="5:9" ht="13">
      <c r="E200" s="67"/>
      <c r="F200" s="67"/>
      <c r="G200" s="67"/>
      <c r="H200" s="67"/>
      <c r="I200" s="67"/>
    </row>
    <row r="201" spans="5:9" ht="13">
      <c r="E201" s="67"/>
      <c r="F201" s="67"/>
      <c r="G201" s="67"/>
      <c r="H201" s="67"/>
      <c r="I201" s="67"/>
    </row>
    <row r="202" spans="5:9" ht="13">
      <c r="E202" s="67"/>
      <c r="F202" s="67"/>
      <c r="G202" s="67"/>
      <c r="H202" s="67"/>
      <c r="I202" s="67"/>
    </row>
    <row r="203" spans="5:9" ht="13">
      <c r="E203" s="67"/>
      <c r="F203" s="67"/>
      <c r="G203" s="67"/>
      <c r="H203" s="67"/>
      <c r="I203" s="67"/>
    </row>
    <row r="204" spans="5:9" ht="13">
      <c r="E204" s="67"/>
      <c r="F204" s="67"/>
      <c r="G204" s="67"/>
      <c r="H204" s="67"/>
      <c r="I204" s="67"/>
    </row>
    <row r="205" spans="5:9" ht="13">
      <c r="E205" s="67"/>
      <c r="F205" s="67"/>
      <c r="G205" s="67"/>
      <c r="H205" s="67"/>
      <c r="I205" s="67"/>
    </row>
    <row r="206" spans="5:9" ht="13">
      <c r="E206" s="67"/>
      <c r="F206" s="67"/>
      <c r="G206" s="67"/>
      <c r="H206" s="67"/>
      <c r="I206" s="67"/>
    </row>
    <row r="207" spans="5:9" ht="13">
      <c r="E207" s="67"/>
      <c r="F207" s="67"/>
      <c r="G207" s="67"/>
      <c r="H207" s="67"/>
      <c r="I207" s="67"/>
    </row>
    <row r="208" spans="5:9" ht="13">
      <c r="E208" s="67"/>
      <c r="F208" s="67"/>
      <c r="G208" s="67"/>
      <c r="H208" s="67"/>
      <c r="I208" s="67"/>
    </row>
    <row r="209" spans="5:9" ht="13">
      <c r="E209" s="67"/>
      <c r="F209" s="67"/>
      <c r="G209" s="67"/>
      <c r="H209" s="67"/>
      <c r="I209" s="67"/>
    </row>
    <row r="210" spans="5:9" ht="13">
      <c r="E210" s="67"/>
      <c r="F210" s="67"/>
      <c r="G210" s="67"/>
      <c r="H210" s="67"/>
      <c r="I210" s="67"/>
    </row>
    <row r="211" spans="5:9" ht="13">
      <c r="E211" s="67"/>
      <c r="F211" s="67"/>
      <c r="G211" s="67"/>
      <c r="H211" s="67"/>
      <c r="I211" s="67"/>
    </row>
    <row r="212" spans="5:9" ht="13">
      <c r="E212" s="67"/>
      <c r="F212" s="67"/>
      <c r="G212" s="67"/>
      <c r="H212" s="67"/>
      <c r="I212" s="67"/>
    </row>
    <row r="213" spans="5:9" ht="13">
      <c r="E213" s="67"/>
      <c r="F213" s="67"/>
      <c r="G213" s="67"/>
      <c r="H213" s="67"/>
      <c r="I213" s="67"/>
    </row>
    <row r="214" spans="5:9" ht="13">
      <c r="E214" s="67"/>
      <c r="F214" s="67"/>
      <c r="G214" s="67"/>
      <c r="H214" s="67"/>
      <c r="I214" s="67"/>
    </row>
    <row r="215" spans="5:9" ht="13">
      <c r="E215" s="67"/>
      <c r="F215" s="67"/>
      <c r="G215" s="67"/>
      <c r="H215" s="67"/>
      <c r="I215" s="67"/>
    </row>
    <row r="216" spans="5:9" ht="13">
      <c r="E216" s="67"/>
      <c r="F216" s="67"/>
      <c r="G216" s="67"/>
      <c r="H216" s="67"/>
      <c r="I216" s="67"/>
    </row>
    <row r="217" spans="5:9" ht="13">
      <c r="E217" s="67"/>
      <c r="F217" s="67"/>
      <c r="G217" s="67"/>
      <c r="H217" s="67"/>
      <c r="I217" s="67"/>
    </row>
    <row r="218" spans="5:9" ht="13">
      <c r="E218" s="67"/>
      <c r="F218" s="67"/>
      <c r="G218" s="67"/>
      <c r="H218" s="67"/>
      <c r="I218" s="67"/>
    </row>
    <row r="219" spans="5:9" ht="13">
      <c r="E219" s="67"/>
      <c r="F219" s="67"/>
      <c r="G219" s="67"/>
      <c r="H219" s="67"/>
      <c r="I219" s="67"/>
    </row>
    <row r="220" spans="5:9" ht="13">
      <c r="E220" s="67"/>
      <c r="F220" s="67"/>
      <c r="G220" s="67"/>
      <c r="H220" s="67"/>
      <c r="I220" s="67"/>
    </row>
    <row r="221" spans="5:9" ht="13">
      <c r="E221" s="67"/>
      <c r="F221" s="67"/>
      <c r="G221" s="67"/>
      <c r="H221" s="67"/>
      <c r="I221" s="67"/>
    </row>
    <row r="222" spans="5:9" ht="13">
      <c r="E222" s="67"/>
      <c r="F222" s="67"/>
      <c r="G222" s="67"/>
      <c r="H222" s="67"/>
      <c r="I222" s="67"/>
    </row>
    <row r="223" spans="5:9" ht="13">
      <c r="E223" s="67"/>
      <c r="F223" s="67"/>
      <c r="G223" s="67"/>
      <c r="H223" s="67"/>
      <c r="I223" s="67"/>
    </row>
    <row r="224" spans="5:9" ht="13">
      <c r="E224" s="67"/>
      <c r="F224" s="67"/>
      <c r="G224" s="67"/>
      <c r="H224" s="67"/>
      <c r="I224" s="67"/>
    </row>
    <row r="225" spans="5:9" ht="13">
      <c r="E225" s="67"/>
      <c r="F225" s="67"/>
      <c r="G225" s="67"/>
      <c r="H225" s="67"/>
      <c r="I225" s="67"/>
    </row>
    <row r="226" spans="5:9" ht="13">
      <c r="E226" s="67"/>
      <c r="F226" s="67"/>
      <c r="G226" s="67"/>
      <c r="H226" s="67"/>
      <c r="I226" s="67"/>
    </row>
    <row r="227" spans="5:9" ht="13">
      <c r="E227" s="67"/>
      <c r="F227" s="67"/>
      <c r="G227" s="67"/>
      <c r="H227" s="67"/>
      <c r="I227" s="67"/>
    </row>
    <row r="228" spans="5:9" ht="13">
      <c r="E228" s="67"/>
      <c r="F228" s="67"/>
      <c r="G228" s="67"/>
      <c r="H228" s="67"/>
      <c r="I228" s="67"/>
    </row>
    <row r="229" spans="5:9" ht="13">
      <c r="E229" s="67"/>
      <c r="F229" s="67"/>
      <c r="G229" s="67"/>
      <c r="H229" s="67"/>
      <c r="I229" s="67"/>
    </row>
    <row r="230" spans="5:9" ht="13">
      <c r="E230" s="67"/>
      <c r="F230" s="67"/>
      <c r="G230" s="67"/>
      <c r="H230" s="67"/>
      <c r="I230" s="67"/>
    </row>
    <row r="231" spans="5:9" ht="13">
      <c r="E231" s="67"/>
      <c r="F231" s="67"/>
      <c r="G231" s="67"/>
      <c r="H231" s="67"/>
      <c r="I231" s="67"/>
    </row>
    <row r="232" spans="5:9" ht="13">
      <c r="E232" s="67"/>
      <c r="F232" s="67"/>
      <c r="G232" s="67"/>
      <c r="H232" s="67"/>
      <c r="I232" s="67"/>
    </row>
    <row r="233" spans="5:9" ht="13">
      <c r="E233" s="67"/>
      <c r="F233" s="67"/>
      <c r="G233" s="67"/>
      <c r="H233" s="67"/>
      <c r="I233" s="67"/>
    </row>
    <row r="234" spans="5:9" ht="13">
      <c r="E234" s="67"/>
      <c r="F234" s="67"/>
      <c r="G234" s="67"/>
      <c r="H234" s="67"/>
      <c r="I234" s="67"/>
    </row>
    <row r="235" spans="5:9" ht="13">
      <c r="E235" s="67"/>
      <c r="F235" s="67"/>
      <c r="G235" s="67"/>
      <c r="H235" s="67"/>
      <c r="I235" s="67"/>
    </row>
    <row r="236" spans="5:9" ht="13">
      <c r="E236" s="67"/>
      <c r="F236" s="67"/>
      <c r="G236" s="67"/>
      <c r="H236" s="67"/>
      <c r="I236" s="67"/>
    </row>
    <row r="237" spans="5:9" ht="13">
      <c r="E237" s="67"/>
      <c r="F237" s="67"/>
      <c r="G237" s="67"/>
      <c r="H237" s="67"/>
      <c r="I237" s="67"/>
    </row>
    <row r="238" spans="5:9" ht="13">
      <c r="E238" s="67"/>
      <c r="F238" s="67"/>
      <c r="G238" s="67"/>
      <c r="H238" s="67"/>
      <c r="I238" s="67"/>
    </row>
    <row r="239" spans="5:9" ht="13">
      <c r="E239" s="67"/>
      <c r="F239" s="67"/>
      <c r="G239" s="67"/>
      <c r="H239" s="67"/>
      <c r="I239" s="67"/>
    </row>
    <row r="240" spans="5:9" ht="13">
      <c r="E240" s="67"/>
      <c r="F240" s="67"/>
      <c r="G240" s="67"/>
      <c r="H240" s="67"/>
      <c r="I240" s="67"/>
    </row>
    <row r="241" spans="5:9" ht="13">
      <c r="E241" s="67"/>
      <c r="F241" s="67"/>
      <c r="G241" s="67"/>
      <c r="H241" s="67"/>
      <c r="I241" s="67"/>
    </row>
    <row r="242" spans="5:9" ht="13">
      <c r="E242" s="67"/>
      <c r="F242" s="67"/>
      <c r="G242" s="67"/>
      <c r="H242" s="67"/>
      <c r="I242" s="67"/>
    </row>
    <row r="243" spans="5:9" ht="13">
      <c r="E243" s="67"/>
      <c r="F243" s="67"/>
      <c r="G243" s="67"/>
      <c r="H243" s="67"/>
      <c r="I243" s="67"/>
    </row>
    <row r="244" spans="5:9" ht="13">
      <c r="E244" s="67"/>
      <c r="F244" s="67"/>
      <c r="G244" s="67"/>
      <c r="H244" s="67"/>
      <c r="I244" s="67"/>
    </row>
    <row r="245" spans="5:9" ht="13">
      <c r="E245" s="67"/>
      <c r="F245" s="67"/>
      <c r="G245" s="67"/>
      <c r="H245" s="67"/>
      <c r="I245" s="67"/>
    </row>
    <row r="246" spans="5:9" ht="13">
      <c r="E246" s="67"/>
      <c r="F246" s="67"/>
      <c r="G246" s="67"/>
      <c r="H246" s="67"/>
      <c r="I246" s="67"/>
    </row>
    <row r="247" spans="5:9" ht="13">
      <c r="E247" s="67"/>
      <c r="F247" s="67"/>
      <c r="G247" s="67"/>
      <c r="H247" s="67"/>
      <c r="I247" s="67"/>
    </row>
    <row r="248" spans="5:9" ht="13">
      <c r="E248" s="67"/>
      <c r="F248" s="67"/>
      <c r="G248" s="67"/>
      <c r="H248" s="67"/>
      <c r="I248" s="67"/>
    </row>
    <row r="249" spans="5:9" ht="13">
      <c r="E249" s="67"/>
      <c r="F249" s="67"/>
      <c r="G249" s="67"/>
      <c r="H249" s="67"/>
      <c r="I249" s="67"/>
    </row>
    <row r="250" spans="5:9" ht="13">
      <c r="E250" s="67"/>
      <c r="F250" s="67"/>
      <c r="G250" s="67"/>
      <c r="H250" s="67"/>
      <c r="I250" s="67"/>
    </row>
    <row r="251" spans="5:9" ht="13">
      <c r="E251" s="67"/>
      <c r="F251" s="67"/>
      <c r="G251" s="67"/>
      <c r="H251" s="67"/>
      <c r="I251" s="67"/>
    </row>
    <row r="252" spans="5:9" ht="13">
      <c r="E252" s="67"/>
      <c r="F252" s="67"/>
      <c r="G252" s="67"/>
      <c r="H252" s="67"/>
      <c r="I252" s="67"/>
    </row>
    <row r="253" spans="5:9" ht="13">
      <c r="E253" s="67"/>
      <c r="F253" s="67"/>
      <c r="G253" s="67"/>
      <c r="H253" s="67"/>
      <c r="I253" s="67"/>
    </row>
    <row r="254" spans="5:9" ht="13">
      <c r="E254" s="67"/>
      <c r="F254" s="67"/>
      <c r="G254" s="67"/>
      <c r="H254" s="67"/>
      <c r="I254" s="67"/>
    </row>
    <row r="255" spans="5:9" ht="13">
      <c r="E255" s="67"/>
      <c r="F255" s="67"/>
      <c r="G255" s="67"/>
      <c r="H255" s="67"/>
      <c r="I255" s="67"/>
    </row>
    <row r="256" spans="5:9" ht="13">
      <c r="E256" s="67"/>
      <c r="F256" s="67"/>
      <c r="G256" s="67"/>
      <c r="H256" s="67"/>
      <c r="I256" s="67"/>
    </row>
    <row r="257" spans="5:9" ht="13">
      <c r="E257" s="67"/>
      <c r="F257" s="67"/>
      <c r="G257" s="67"/>
      <c r="H257" s="67"/>
      <c r="I257" s="67"/>
    </row>
    <row r="258" spans="5:9" ht="13">
      <c r="E258" s="67"/>
      <c r="F258" s="67"/>
      <c r="G258" s="67"/>
      <c r="H258" s="67"/>
      <c r="I258" s="67"/>
    </row>
    <row r="259" spans="5:9" ht="13">
      <c r="E259" s="67"/>
      <c r="F259" s="67"/>
      <c r="G259" s="67"/>
      <c r="H259" s="67"/>
      <c r="I259" s="67"/>
    </row>
    <row r="260" spans="5:9" ht="13">
      <c r="E260" s="67"/>
      <c r="F260" s="67"/>
      <c r="G260" s="67"/>
      <c r="H260" s="67"/>
      <c r="I260" s="67"/>
    </row>
    <row r="261" spans="5:9" ht="13">
      <c r="E261" s="67"/>
      <c r="F261" s="67"/>
      <c r="G261" s="67"/>
      <c r="H261" s="67"/>
      <c r="I261" s="67"/>
    </row>
    <row r="262" spans="5:9" ht="13">
      <c r="E262" s="67"/>
      <c r="F262" s="67"/>
      <c r="G262" s="67"/>
      <c r="H262" s="67"/>
      <c r="I262" s="67"/>
    </row>
    <row r="263" spans="5:9" ht="13">
      <c r="E263" s="67"/>
      <c r="F263" s="67"/>
      <c r="G263" s="67"/>
      <c r="H263" s="67"/>
      <c r="I263" s="67"/>
    </row>
    <row r="264" spans="5:9" ht="13">
      <c r="E264" s="67"/>
      <c r="F264" s="67"/>
      <c r="G264" s="67"/>
      <c r="H264" s="67"/>
      <c r="I264" s="67"/>
    </row>
    <row r="265" spans="5:9" ht="13">
      <c r="E265" s="67"/>
      <c r="F265" s="67"/>
      <c r="G265" s="67"/>
      <c r="H265" s="67"/>
      <c r="I265" s="67"/>
    </row>
    <row r="266" spans="5:9" ht="13">
      <c r="E266" s="67"/>
      <c r="F266" s="67"/>
      <c r="G266" s="67"/>
      <c r="H266" s="67"/>
      <c r="I266" s="67"/>
    </row>
    <row r="267" spans="5:9" ht="13">
      <c r="E267" s="67"/>
      <c r="F267" s="67"/>
      <c r="G267" s="67"/>
      <c r="H267" s="67"/>
      <c r="I267" s="67"/>
    </row>
    <row r="268" spans="5:9" ht="13">
      <c r="E268" s="67"/>
      <c r="F268" s="67"/>
      <c r="G268" s="67"/>
      <c r="H268" s="67"/>
      <c r="I268" s="67"/>
    </row>
    <row r="269" spans="5:9" ht="13">
      <c r="E269" s="67"/>
      <c r="F269" s="67"/>
      <c r="G269" s="67"/>
      <c r="H269" s="67"/>
      <c r="I269" s="67"/>
    </row>
    <row r="270" spans="5:9" ht="13">
      <c r="E270" s="67"/>
      <c r="F270" s="67"/>
      <c r="G270" s="67"/>
      <c r="H270" s="67"/>
      <c r="I270" s="67"/>
    </row>
    <row r="271" spans="5:9" ht="13">
      <c r="E271" s="67"/>
      <c r="F271" s="67"/>
      <c r="G271" s="67"/>
      <c r="H271" s="67"/>
      <c r="I271" s="67"/>
    </row>
    <row r="272" spans="5:9" ht="13">
      <c r="E272" s="67"/>
      <c r="F272" s="67"/>
      <c r="G272" s="67"/>
      <c r="H272" s="67"/>
      <c r="I272" s="67"/>
    </row>
    <row r="273" spans="5:9" ht="13">
      <c r="E273" s="67"/>
      <c r="F273" s="67"/>
      <c r="G273" s="67"/>
      <c r="H273" s="67"/>
      <c r="I273" s="67"/>
    </row>
    <row r="274" spans="5:9" ht="13">
      <c r="E274" s="67"/>
      <c r="F274" s="67"/>
      <c r="G274" s="67"/>
      <c r="H274" s="67"/>
      <c r="I274" s="67"/>
    </row>
    <row r="275" spans="5:9" ht="13">
      <c r="E275" s="67"/>
      <c r="F275" s="67"/>
      <c r="G275" s="67"/>
      <c r="H275" s="67"/>
      <c r="I275" s="67"/>
    </row>
    <row r="276" spans="5:9" ht="13">
      <c r="E276" s="67"/>
      <c r="F276" s="67"/>
      <c r="G276" s="67"/>
      <c r="H276" s="67"/>
      <c r="I276" s="67"/>
    </row>
    <row r="277" spans="5:9" ht="13">
      <c r="E277" s="67"/>
      <c r="F277" s="67"/>
      <c r="G277" s="67"/>
      <c r="H277" s="67"/>
      <c r="I277" s="67"/>
    </row>
    <row r="278" spans="5:9" ht="13">
      <c r="E278" s="67"/>
      <c r="F278" s="67"/>
      <c r="G278" s="67"/>
      <c r="H278" s="67"/>
      <c r="I278" s="67"/>
    </row>
    <row r="279" spans="5:9" ht="13">
      <c r="E279" s="67"/>
      <c r="F279" s="67"/>
      <c r="G279" s="67"/>
      <c r="H279" s="67"/>
      <c r="I279" s="67"/>
    </row>
    <row r="280" spans="5:9" ht="13">
      <c r="E280" s="67"/>
      <c r="F280" s="67"/>
      <c r="G280" s="67"/>
      <c r="H280" s="67"/>
      <c r="I280" s="67"/>
    </row>
    <row r="281" spans="5:9" ht="13">
      <c r="E281" s="67"/>
      <c r="F281" s="67"/>
      <c r="G281" s="67"/>
      <c r="H281" s="67"/>
      <c r="I281" s="67"/>
    </row>
    <row r="282" spans="5:9" ht="13">
      <c r="E282" s="67"/>
      <c r="F282" s="67"/>
      <c r="G282" s="67"/>
      <c r="H282" s="67"/>
      <c r="I282" s="67"/>
    </row>
    <row r="283" spans="5:9" ht="13">
      <c r="E283" s="67"/>
      <c r="F283" s="67"/>
      <c r="G283" s="67"/>
      <c r="H283" s="67"/>
      <c r="I283" s="67"/>
    </row>
    <row r="284" spans="5:9" ht="13">
      <c r="E284" s="67"/>
      <c r="F284" s="67"/>
      <c r="G284" s="67"/>
      <c r="H284" s="67"/>
      <c r="I284" s="67"/>
    </row>
    <row r="285" spans="5:9" ht="13">
      <c r="E285" s="67"/>
      <c r="F285" s="67"/>
      <c r="G285" s="67"/>
      <c r="H285" s="67"/>
      <c r="I285" s="67"/>
    </row>
    <row r="286" spans="5:9" ht="13">
      <c r="E286" s="67"/>
      <c r="F286" s="67"/>
      <c r="G286" s="67"/>
      <c r="H286" s="67"/>
      <c r="I286" s="67"/>
    </row>
    <row r="287" spans="5:9" ht="13">
      <c r="E287" s="67"/>
      <c r="F287" s="67"/>
      <c r="G287" s="67"/>
      <c r="H287" s="67"/>
      <c r="I287" s="67"/>
    </row>
    <row r="288" spans="5:9" ht="13">
      <c r="E288" s="67"/>
      <c r="F288" s="67"/>
      <c r="G288" s="67"/>
      <c r="H288" s="67"/>
      <c r="I288" s="67"/>
    </row>
    <row r="289" spans="5:9" ht="13">
      <c r="E289" s="67"/>
      <c r="F289" s="67"/>
      <c r="G289" s="67"/>
      <c r="H289" s="67"/>
      <c r="I289" s="67"/>
    </row>
    <row r="290" spans="5:9" ht="13">
      <c r="E290" s="67"/>
      <c r="F290" s="67"/>
      <c r="G290" s="67"/>
      <c r="H290" s="67"/>
      <c r="I290" s="67"/>
    </row>
    <row r="291" spans="5:9" ht="13">
      <c r="E291" s="67"/>
      <c r="F291" s="67"/>
      <c r="G291" s="67"/>
      <c r="H291" s="67"/>
      <c r="I291" s="67"/>
    </row>
    <row r="292" spans="5:9" ht="13">
      <c r="E292" s="67"/>
      <c r="F292" s="67"/>
      <c r="G292" s="67"/>
      <c r="H292" s="67"/>
      <c r="I292" s="67"/>
    </row>
    <row r="293" spans="5:9" ht="13">
      <c r="E293" s="67"/>
      <c r="F293" s="67"/>
      <c r="G293" s="67"/>
      <c r="H293" s="67"/>
      <c r="I293" s="67"/>
    </row>
    <row r="294" spans="5:9" ht="13">
      <c r="E294" s="67"/>
      <c r="F294" s="67"/>
      <c r="G294" s="67"/>
      <c r="H294" s="67"/>
      <c r="I294" s="67"/>
    </row>
    <row r="295" spans="5:9" ht="13">
      <c r="E295" s="67"/>
      <c r="F295" s="67"/>
      <c r="G295" s="67"/>
      <c r="H295" s="67"/>
      <c r="I295" s="67"/>
    </row>
    <row r="296" spans="5:9" ht="13">
      <c r="E296" s="67"/>
      <c r="F296" s="67"/>
      <c r="G296" s="67"/>
      <c r="H296" s="67"/>
      <c r="I296" s="67"/>
    </row>
    <row r="297" spans="5:9" ht="13">
      <c r="E297" s="67"/>
      <c r="F297" s="67"/>
      <c r="G297" s="67"/>
      <c r="H297" s="67"/>
      <c r="I297" s="67"/>
    </row>
    <row r="298" spans="5:9" ht="13">
      <c r="E298" s="67"/>
      <c r="F298" s="67"/>
      <c r="G298" s="67"/>
      <c r="H298" s="67"/>
      <c r="I298" s="67"/>
    </row>
    <row r="299" spans="5:9" ht="13">
      <c r="E299" s="67"/>
      <c r="F299" s="67"/>
      <c r="G299" s="67"/>
      <c r="H299" s="67"/>
      <c r="I299" s="67"/>
    </row>
    <row r="300" spans="5:9" ht="13">
      <c r="E300" s="67"/>
      <c r="F300" s="67"/>
      <c r="G300" s="67"/>
      <c r="H300" s="67"/>
      <c r="I300" s="67"/>
    </row>
    <row r="301" spans="5:9" ht="13">
      <c r="E301" s="67"/>
      <c r="F301" s="67"/>
      <c r="G301" s="67"/>
      <c r="H301" s="67"/>
      <c r="I301" s="67"/>
    </row>
    <row r="302" spans="5:9" ht="13">
      <c r="E302" s="67"/>
      <c r="F302" s="67"/>
      <c r="G302" s="67"/>
      <c r="H302" s="67"/>
      <c r="I302" s="67"/>
    </row>
    <row r="303" spans="5:9" ht="13">
      <c r="E303" s="67"/>
      <c r="F303" s="67"/>
      <c r="G303" s="67"/>
      <c r="H303" s="67"/>
      <c r="I303" s="67"/>
    </row>
    <row r="304" spans="5:9" ht="13">
      <c r="E304" s="67"/>
      <c r="F304" s="67"/>
      <c r="G304" s="67"/>
      <c r="H304" s="67"/>
      <c r="I304" s="67"/>
    </row>
    <row r="305" spans="5:9" ht="13">
      <c r="E305" s="67"/>
      <c r="F305" s="67"/>
      <c r="G305" s="67"/>
      <c r="H305" s="67"/>
      <c r="I305" s="67"/>
    </row>
    <row r="306" spans="5:9" ht="13">
      <c r="E306" s="67"/>
      <c r="F306" s="67"/>
      <c r="G306" s="67"/>
      <c r="H306" s="67"/>
      <c r="I306" s="67"/>
    </row>
    <row r="307" spans="5:9" ht="13">
      <c r="E307" s="67"/>
      <c r="F307" s="67"/>
      <c r="G307" s="67"/>
      <c r="H307" s="67"/>
      <c r="I307" s="67"/>
    </row>
    <row r="308" spans="5:9" ht="13">
      <c r="E308" s="67"/>
      <c r="F308" s="67"/>
      <c r="G308" s="67"/>
      <c r="H308" s="67"/>
      <c r="I308" s="67"/>
    </row>
    <row r="309" spans="5:9" ht="13">
      <c r="E309" s="67"/>
      <c r="F309" s="67"/>
      <c r="G309" s="67"/>
      <c r="H309" s="67"/>
      <c r="I309" s="67"/>
    </row>
    <row r="310" spans="5:9" ht="13">
      <c r="E310" s="67"/>
      <c r="F310" s="67"/>
      <c r="G310" s="67"/>
      <c r="H310" s="67"/>
      <c r="I310" s="67"/>
    </row>
    <row r="311" spans="5:9" ht="13">
      <c r="E311" s="67"/>
      <c r="F311" s="67"/>
      <c r="G311" s="67"/>
      <c r="H311" s="67"/>
      <c r="I311" s="67"/>
    </row>
    <row r="312" spans="5:9" ht="13">
      <c r="E312" s="67"/>
      <c r="F312" s="67"/>
      <c r="G312" s="67"/>
      <c r="H312" s="67"/>
      <c r="I312" s="67"/>
    </row>
    <row r="313" spans="5:9" ht="13">
      <c r="E313" s="67"/>
      <c r="F313" s="67"/>
      <c r="G313" s="67"/>
      <c r="H313" s="67"/>
      <c r="I313" s="67"/>
    </row>
    <row r="314" spans="5:9" ht="13">
      <c r="E314" s="67"/>
      <c r="F314" s="67"/>
      <c r="G314" s="67"/>
      <c r="H314" s="67"/>
      <c r="I314" s="67"/>
    </row>
    <row r="315" spans="5:9" ht="13">
      <c r="E315" s="67"/>
      <c r="F315" s="67"/>
      <c r="G315" s="67"/>
      <c r="H315" s="67"/>
      <c r="I315" s="67"/>
    </row>
    <row r="316" spans="5:9" ht="13">
      <c r="E316" s="67"/>
      <c r="F316" s="67"/>
      <c r="G316" s="67"/>
      <c r="H316" s="67"/>
      <c r="I316" s="67"/>
    </row>
    <row r="317" spans="5:9" ht="13">
      <c r="E317" s="67"/>
      <c r="F317" s="67"/>
      <c r="G317" s="67"/>
      <c r="H317" s="67"/>
      <c r="I317" s="67"/>
    </row>
    <row r="318" spans="5:9" ht="13">
      <c r="E318" s="67"/>
      <c r="F318" s="67"/>
      <c r="G318" s="67"/>
      <c r="H318" s="67"/>
      <c r="I318" s="67"/>
    </row>
    <row r="319" spans="5:9" ht="13">
      <c r="E319" s="67"/>
      <c r="F319" s="67"/>
      <c r="G319" s="67"/>
      <c r="H319" s="67"/>
      <c r="I319" s="67"/>
    </row>
    <row r="320" spans="5:9" ht="13">
      <c r="E320" s="67"/>
      <c r="F320" s="67"/>
      <c r="G320" s="67"/>
      <c r="H320" s="67"/>
      <c r="I320" s="67"/>
    </row>
    <row r="321" spans="5:9" ht="13">
      <c r="E321" s="67"/>
      <c r="F321" s="67"/>
      <c r="G321" s="67"/>
      <c r="H321" s="67"/>
      <c r="I321" s="67"/>
    </row>
    <row r="322" spans="5:9" ht="13">
      <c r="E322" s="67"/>
      <c r="F322" s="67"/>
      <c r="G322" s="67"/>
      <c r="H322" s="67"/>
      <c r="I322" s="67"/>
    </row>
    <row r="323" spans="5:9" ht="13">
      <c r="E323" s="67"/>
      <c r="F323" s="67"/>
      <c r="G323" s="67"/>
      <c r="H323" s="67"/>
      <c r="I323" s="67"/>
    </row>
    <row r="324" spans="5:9" ht="13">
      <c r="E324" s="67"/>
      <c r="F324" s="67"/>
      <c r="G324" s="67"/>
      <c r="H324" s="67"/>
      <c r="I324" s="67"/>
    </row>
    <row r="325" spans="5:9" ht="13">
      <c r="E325" s="67"/>
      <c r="F325" s="67"/>
      <c r="G325" s="67"/>
      <c r="H325" s="67"/>
      <c r="I325" s="67"/>
    </row>
    <row r="326" spans="5:9" ht="13">
      <c r="E326" s="67"/>
      <c r="F326" s="67"/>
      <c r="G326" s="67"/>
      <c r="H326" s="67"/>
      <c r="I326" s="67"/>
    </row>
    <row r="327" spans="5:9" ht="13">
      <c r="E327" s="67"/>
      <c r="F327" s="67"/>
      <c r="G327" s="67"/>
      <c r="H327" s="67"/>
      <c r="I327" s="67"/>
    </row>
    <row r="328" spans="5:9" ht="13">
      <c r="E328" s="67"/>
      <c r="F328" s="67"/>
      <c r="G328" s="67"/>
      <c r="H328" s="67"/>
      <c r="I328" s="67"/>
    </row>
    <row r="329" spans="5:9" ht="13">
      <c r="E329" s="67"/>
      <c r="F329" s="67"/>
      <c r="G329" s="67"/>
      <c r="H329" s="67"/>
      <c r="I329" s="67"/>
    </row>
    <row r="330" spans="5:9" ht="13">
      <c r="E330" s="67"/>
      <c r="F330" s="67"/>
      <c r="G330" s="67"/>
      <c r="H330" s="67"/>
      <c r="I330" s="67"/>
    </row>
    <row r="331" spans="5:9" ht="13">
      <c r="E331" s="67"/>
      <c r="F331" s="67"/>
      <c r="G331" s="67"/>
      <c r="H331" s="67"/>
      <c r="I331" s="67"/>
    </row>
    <row r="332" spans="5:9" ht="13">
      <c r="E332" s="67"/>
      <c r="F332" s="67"/>
      <c r="G332" s="67"/>
      <c r="H332" s="67"/>
      <c r="I332" s="67"/>
    </row>
    <row r="333" spans="5:9" ht="13">
      <c r="E333" s="67"/>
      <c r="F333" s="67"/>
      <c r="G333" s="67"/>
      <c r="H333" s="67"/>
      <c r="I333" s="67"/>
    </row>
    <row r="334" spans="5:9" ht="13">
      <c r="E334" s="67"/>
      <c r="F334" s="67"/>
      <c r="G334" s="67"/>
      <c r="H334" s="67"/>
      <c r="I334" s="67"/>
    </row>
    <row r="335" spans="5:9" ht="13">
      <c r="E335" s="67"/>
      <c r="F335" s="67"/>
      <c r="G335" s="67"/>
      <c r="H335" s="67"/>
      <c r="I335" s="67"/>
    </row>
    <row r="336" spans="5:9" ht="13">
      <c r="E336" s="67"/>
      <c r="F336" s="67"/>
      <c r="G336" s="67"/>
      <c r="H336" s="67"/>
      <c r="I336" s="67"/>
    </row>
    <row r="337" spans="5:9" ht="13">
      <c r="E337" s="67"/>
      <c r="F337" s="67"/>
      <c r="G337" s="67"/>
      <c r="H337" s="67"/>
      <c r="I337" s="67"/>
    </row>
    <row r="338" spans="5:9" ht="13">
      <c r="E338" s="67"/>
      <c r="F338" s="67"/>
      <c r="G338" s="67"/>
      <c r="H338" s="67"/>
      <c r="I338" s="67"/>
    </row>
    <row r="339" spans="5:9" ht="13">
      <c r="E339" s="67"/>
      <c r="F339" s="67"/>
      <c r="G339" s="67"/>
      <c r="H339" s="67"/>
      <c r="I339" s="67"/>
    </row>
    <row r="340" spans="5:9" ht="13">
      <c r="E340" s="67"/>
      <c r="F340" s="67"/>
      <c r="G340" s="67"/>
      <c r="H340" s="67"/>
      <c r="I340" s="67"/>
    </row>
    <row r="341" spans="5:9" ht="13">
      <c r="E341" s="67"/>
      <c r="F341" s="67"/>
      <c r="G341" s="67"/>
      <c r="H341" s="67"/>
      <c r="I341" s="67"/>
    </row>
    <row r="342" spans="5:9" ht="13">
      <c r="E342" s="67"/>
      <c r="F342" s="67"/>
      <c r="G342" s="67"/>
      <c r="H342" s="67"/>
      <c r="I342" s="67"/>
    </row>
    <row r="343" spans="5:9" ht="13">
      <c r="E343" s="67"/>
      <c r="F343" s="67"/>
      <c r="G343" s="67"/>
      <c r="H343" s="67"/>
      <c r="I343" s="67"/>
    </row>
    <row r="344" spans="5:9" ht="13">
      <c r="E344" s="67"/>
      <c r="F344" s="67"/>
      <c r="G344" s="67"/>
      <c r="H344" s="67"/>
      <c r="I344" s="67"/>
    </row>
    <row r="345" spans="5:9" ht="13">
      <c r="E345" s="67"/>
      <c r="F345" s="67"/>
      <c r="G345" s="67"/>
      <c r="H345" s="67"/>
      <c r="I345" s="67"/>
    </row>
    <row r="346" spans="5:9" ht="13">
      <c r="E346" s="67"/>
      <c r="F346" s="67"/>
      <c r="G346" s="67"/>
      <c r="H346" s="67"/>
      <c r="I346" s="67"/>
    </row>
    <row r="347" spans="5:9" ht="13">
      <c r="E347" s="67"/>
      <c r="F347" s="67"/>
      <c r="G347" s="67"/>
      <c r="H347" s="67"/>
      <c r="I347" s="67"/>
    </row>
    <row r="348" spans="5:9" ht="13">
      <c r="E348" s="67"/>
      <c r="F348" s="67"/>
      <c r="G348" s="67"/>
      <c r="H348" s="67"/>
      <c r="I348" s="67"/>
    </row>
    <row r="349" spans="5:9" ht="13">
      <c r="E349" s="67"/>
      <c r="F349" s="67"/>
      <c r="G349" s="67"/>
      <c r="H349" s="67"/>
      <c r="I349" s="67"/>
    </row>
    <row r="350" spans="5:9" ht="13">
      <c r="E350" s="67"/>
      <c r="F350" s="67"/>
      <c r="G350" s="67"/>
      <c r="H350" s="67"/>
      <c r="I350" s="67"/>
    </row>
    <row r="351" spans="5:9" ht="13">
      <c r="E351" s="67"/>
      <c r="F351" s="67"/>
      <c r="G351" s="67"/>
      <c r="H351" s="67"/>
      <c r="I351" s="67"/>
    </row>
    <row r="352" spans="5:9" ht="13">
      <c r="E352" s="67"/>
      <c r="F352" s="67"/>
      <c r="G352" s="67"/>
      <c r="H352" s="67"/>
      <c r="I352" s="67"/>
    </row>
    <row r="353" spans="5:9" ht="13">
      <c r="E353" s="67"/>
      <c r="F353" s="67"/>
      <c r="G353" s="67"/>
      <c r="H353" s="67"/>
      <c r="I353" s="67"/>
    </row>
    <row r="354" spans="5:9" ht="13">
      <c r="E354" s="67"/>
      <c r="F354" s="67"/>
      <c r="G354" s="67"/>
      <c r="H354" s="67"/>
      <c r="I354" s="67"/>
    </row>
    <row r="355" spans="5:9" ht="13">
      <c r="E355" s="67"/>
      <c r="F355" s="67"/>
      <c r="G355" s="67"/>
      <c r="H355" s="67"/>
      <c r="I355" s="67"/>
    </row>
    <row r="356" spans="5:9" ht="13">
      <c r="E356" s="67"/>
      <c r="F356" s="67"/>
      <c r="G356" s="67"/>
      <c r="H356" s="67"/>
      <c r="I356" s="67"/>
    </row>
    <row r="357" spans="5:9" ht="13">
      <c r="E357" s="67"/>
      <c r="F357" s="67"/>
      <c r="G357" s="67"/>
      <c r="H357" s="67"/>
      <c r="I357" s="67"/>
    </row>
    <row r="358" spans="5:9" ht="13">
      <c r="E358" s="67"/>
      <c r="F358" s="67"/>
      <c r="G358" s="67"/>
      <c r="H358" s="67"/>
      <c r="I358" s="67"/>
    </row>
    <row r="359" spans="5:9" ht="13">
      <c r="E359" s="67"/>
      <c r="F359" s="67"/>
      <c r="G359" s="67"/>
      <c r="H359" s="67"/>
      <c r="I359" s="67"/>
    </row>
    <row r="360" spans="5:9" ht="13">
      <c r="E360" s="67"/>
      <c r="F360" s="67"/>
      <c r="G360" s="67"/>
      <c r="H360" s="67"/>
      <c r="I360" s="67"/>
    </row>
    <row r="361" spans="5:9" ht="13">
      <c r="E361" s="67"/>
      <c r="F361" s="67"/>
      <c r="G361" s="67"/>
      <c r="H361" s="67"/>
      <c r="I361" s="67"/>
    </row>
    <row r="362" spans="5:9" ht="13">
      <c r="E362" s="67"/>
      <c r="F362" s="67"/>
      <c r="G362" s="67"/>
      <c r="H362" s="67"/>
      <c r="I362" s="67"/>
    </row>
    <row r="363" spans="5:9" ht="13">
      <c r="E363" s="67"/>
      <c r="F363" s="67"/>
      <c r="G363" s="67"/>
      <c r="H363" s="67"/>
      <c r="I363" s="67"/>
    </row>
    <row r="364" spans="5:9" ht="13">
      <c r="E364" s="67"/>
      <c r="F364" s="67"/>
      <c r="G364" s="67"/>
      <c r="H364" s="67"/>
      <c r="I364" s="67"/>
    </row>
    <row r="365" spans="5:9" ht="13">
      <c r="E365" s="67"/>
      <c r="F365" s="67"/>
      <c r="G365" s="67"/>
      <c r="H365" s="67"/>
      <c r="I365" s="67"/>
    </row>
    <row r="366" spans="5:9" ht="13">
      <c r="E366" s="67"/>
      <c r="F366" s="67"/>
      <c r="G366" s="67"/>
      <c r="H366" s="67"/>
      <c r="I366" s="67"/>
    </row>
    <row r="367" spans="5:9" ht="13">
      <c r="E367" s="67"/>
      <c r="F367" s="67"/>
      <c r="G367" s="67"/>
      <c r="H367" s="67"/>
      <c r="I367" s="67"/>
    </row>
    <row r="368" spans="5:9" ht="13">
      <c r="E368" s="67"/>
      <c r="F368" s="67"/>
      <c r="G368" s="67"/>
      <c r="H368" s="67"/>
      <c r="I368" s="67"/>
    </row>
    <row r="369" spans="5:9" ht="13">
      <c r="E369" s="67"/>
      <c r="F369" s="67"/>
      <c r="G369" s="67"/>
      <c r="H369" s="67"/>
      <c r="I369" s="67"/>
    </row>
    <row r="370" spans="5:9" ht="13">
      <c r="E370" s="67"/>
      <c r="F370" s="67"/>
      <c r="G370" s="67"/>
      <c r="H370" s="67"/>
      <c r="I370" s="67"/>
    </row>
    <row r="371" spans="5:9" ht="13">
      <c r="E371" s="67"/>
      <c r="F371" s="67"/>
      <c r="G371" s="67"/>
      <c r="H371" s="67"/>
      <c r="I371" s="67"/>
    </row>
    <row r="372" spans="5:9" ht="13">
      <c r="E372" s="67"/>
      <c r="F372" s="67"/>
      <c r="G372" s="67"/>
      <c r="H372" s="67"/>
      <c r="I372" s="67"/>
    </row>
    <row r="373" spans="5:9" ht="13">
      <c r="E373" s="67"/>
      <c r="F373" s="67"/>
      <c r="G373" s="67"/>
      <c r="H373" s="67"/>
      <c r="I373" s="67"/>
    </row>
    <row r="374" spans="5:9" ht="13">
      <c r="E374" s="67"/>
      <c r="F374" s="67"/>
      <c r="G374" s="67"/>
      <c r="H374" s="67"/>
      <c r="I374" s="67"/>
    </row>
    <row r="375" spans="5:9" ht="13">
      <c r="E375" s="67"/>
      <c r="F375" s="67"/>
      <c r="G375" s="67"/>
      <c r="H375" s="67"/>
      <c r="I375" s="67"/>
    </row>
    <row r="376" spans="5:9" ht="13">
      <c r="E376" s="67"/>
      <c r="F376" s="67"/>
      <c r="G376" s="67"/>
      <c r="H376" s="67"/>
      <c r="I376" s="67"/>
    </row>
    <row r="377" spans="5:9" ht="13">
      <c r="E377" s="67"/>
      <c r="F377" s="67"/>
      <c r="G377" s="67"/>
      <c r="H377" s="67"/>
      <c r="I377" s="67"/>
    </row>
    <row r="378" spans="5:9" ht="13">
      <c r="E378" s="67"/>
      <c r="F378" s="67"/>
      <c r="G378" s="67"/>
      <c r="H378" s="67"/>
      <c r="I378" s="67"/>
    </row>
    <row r="379" spans="5:9" ht="13">
      <c r="E379" s="67"/>
      <c r="F379" s="67"/>
      <c r="G379" s="67"/>
      <c r="H379" s="67"/>
      <c r="I379" s="67"/>
    </row>
    <row r="380" spans="5:9" ht="13">
      <c r="E380" s="67"/>
      <c r="F380" s="67"/>
      <c r="G380" s="67"/>
      <c r="H380" s="67"/>
      <c r="I380" s="67"/>
    </row>
    <row r="381" spans="5:9" ht="13">
      <c r="E381" s="67"/>
      <c r="F381" s="67"/>
      <c r="G381" s="67"/>
      <c r="H381" s="67"/>
      <c r="I381" s="67"/>
    </row>
    <row r="382" spans="5:9" ht="13">
      <c r="E382" s="67"/>
      <c r="F382" s="67"/>
      <c r="G382" s="67"/>
      <c r="H382" s="67"/>
      <c r="I382" s="67"/>
    </row>
    <row r="383" spans="5:9" ht="13">
      <c r="E383" s="67"/>
      <c r="F383" s="67"/>
      <c r="G383" s="67"/>
      <c r="H383" s="67"/>
      <c r="I383" s="67"/>
    </row>
    <row r="384" spans="5:9" ht="13">
      <c r="E384" s="67"/>
      <c r="F384" s="67"/>
      <c r="G384" s="67"/>
      <c r="H384" s="67"/>
      <c r="I384" s="67"/>
    </row>
    <row r="385" spans="5:9" ht="13">
      <c r="E385" s="67"/>
      <c r="F385" s="67"/>
      <c r="G385" s="67"/>
      <c r="H385" s="67"/>
      <c r="I385" s="67"/>
    </row>
    <row r="386" spans="5:9" ht="13">
      <c r="E386" s="67"/>
      <c r="F386" s="67"/>
      <c r="G386" s="67"/>
      <c r="H386" s="67"/>
      <c r="I386" s="67"/>
    </row>
    <row r="387" spans="5:9" ht="13">
      <c r="E387" s="67"/>
      <c r="F387" s="67"/>
      <c r="G387" s="67"/>
      <c r="H387" s="67"/>
      <c r="I387" s="67"/>
    </row>
    <row r="388" spans="5:9" ht="13">
      <c r="E388" s="67"/>
      <c r="F388" s="67"/>
      <c r="G388" s="67"/>
      <c r="H388" s="67"/>
      <c r="I388" s="67"/>
    </row>
    <row r="389" spans="5:9" ht="13">
      <c r="E389" s="67"/>
      <c r="F389" s="67"/>
      <c r="G389" s="67"/>
      <c r="H389" s="67"/>
      <c r="I389" s="67"/>
    </row>
    <row r="390" spans="5:9" ht="13">
      <c r="E390" s="67"/>
      <c r="F390" s="67"/>
      <c r="G390" s="67"/>
      <c r="H390" s="67"/>
      <c r="I390" s="67"/>
    </row>
    <row r="391" spans="5:9" ht="13">
      <c r="E391" s="67"/>
      <c r="F391" s="67"/>
      <c r="G391" s="67"/>
      <c r="H391" s="67"/>
      <c r="I391" s="67"/>
    </row>
    <row r="392" spans="5:9" ht="13">
      <c r="E392" s="67"/>
      <c r="F392" s="67"/>
      <c r="G392" s="67"/>
      <c r="H392" s="67"/>
      <c r="I392" s="67"/>
    </row>
    <row r="393" spans="5:9" ht="13">
      <c r="E393" s="67"/>
      <c r="F393" s="67"/>
      <c r="G393" s="67"/>
      <c r="H393" s="67"/>
      <c r="I393" s="67"/>
    </row>
    <row r="394" spans="5:9" ht="13">
      <c r="E394" s="67"/>
      <c r="F394" s="67"/>
      <c r="G394" s="67"/>
      <c r="H394" s="67"/>
      <c r="I394" s="67"/>
    </row>
    <row r="395" spans="5:9" ht="13">
      <c r="E395" s="67"/>
      <c r="F395" s="67"/>
      <c r="G395" s="67"/>
      <c r="H395" s="67"/>
      <c r="I395" s="67"/>
    </row>
    <row r="396" spans="5:9" ht="13">
      <c r="E396" s="67"/>
      <c r="F396" s="67"/>
      <c r="G396" s="67"/>
      <c r="H396" s="67"/>
      <c r="I396" s="67"/>
    </row>
    <row r="397" spans="5:9" ht="13">
      <c r="E397" s="67"/>
      <c r="F397" s="67"/>
      <c r="G397" s="67"/>
      <c r="H397" s="67"/>
      <c r="I397" s="67"/>
    </row>
    <row r="398" spans="5:9" ht="13">
      <c r="E398" s="67"/>
      <c r="F398" s="67"/>
      <c r="G398" s="67"/>
      <c r="H398" s="67"/>
      <c r="I398" s="67"/>
    </row>
    <row r="399" spans="5:9" ht="13">
      <c r="E399" s="67"/>
      <c r="F399" s="67"/>
      <c r="G399" s="67"/>
      <c r="H399" s="67"/>
      <c r="I399" s="67"/>
    </row>
    <row r="400" spans="5:9" ht="13">
      <c r="E400" s="67"/>
      <c r="F400" s="67"/>
      <c r="G400" s="67"/>
      <c r="H400" s="67"/>
      <c r="I400" s="67"/>
    </row>
    <row r="401" spans="5:9" ht="13">
      <c r="E401" s="67"/>
      <c r="F401" s="67"/>
      <c r="G401" s="67"/>
      <c r="H401" s="67"/>
      <c r="I401" s="67"/>
    </row>
    <row r="402" spans="5:9" ht="13">
      <c r="E402" s="67"/>
      <c r="F402" s="67"/>
      <c r="G402" s="67"/>
      <c r="H402" s="67"/>
      <c r="I402" s="67"/>
    </row>
    <row r="403" spans="5:9" ht="13">
      <c r="E403" s="67"/>
      <c r="F403" s="67"/>
      <c r="G403" s="67"/>
      <c r="H403" s="67"/>
      <c r="I403" s="67"/>
    </row>
    <row r="404" spans="5:9" ht="13">
      <c r="E404" s="67"/>
      <c r="F404" s="67"/>
      <c r="G404" s="67"/>
      <c r="H404" s="67"/>
      <c r="I404" s="67"/>
    </row>
    <row r="405" spans="5:9" ht="13">
      <c r="E405" s="67"/>
      <c r="F405" s="67"/>
      <c r="G405" s="67"/>
      <c r="H405" s="67"/>
      <c r="I405" s="67"/>
    </row>
    <row r="406" spans="5:9" ht="13">
      <c r="E406" s="67"/>
      <c r="F406" s="67"/>
      <c r="G406" s="67"/>
      <c r="H406" s="67"/>
      <c r="I406" s="67"/>
    </row>
    <row r="407" spans="5:9" ht="13">
      <c r="E407" s="67"/>
      <c r="F407" s="67"/>
      <c r="G407" s="67"/>
      <c r="H407" s="67"/>
      <c r="I407" s="67"/>
    </row>
    <row r="408" spans="5:9" ht="13">
      <c r="E408" s="67"/>
      <c r="F408" s="67"/>
      <c r="G408" s="67"/>
      <c r="H408" s="67"/>
      <c r="I408" s="67"/>
    </row>
    <row r="409" spans="5:9" ht="13">
      <c r="E409" s="67"/>
      <c r="F409" s="67"/>
      <c r="G409" s="67"/>
      <c r="H409" s="67"/>
      <c r="I409" s="67"/>
    </row>
    <row r="410" spans="5:9" ht="13">
      <c r="E410" s="67"/>
      <c r="F410" s="67"/>
      <c r="G410" s="67"/>
      <c r="H410" s="67"/>
      <c r="I410" s="67"/>
    </row>
    <row r="411" spans="5:9" ht="13">
      <c r="E411" s="67"/>
      <c r="F411" s="67"/>
      <c r="G411" s="67"/>
      <c r="H411" s="67"/>
      <c r="I411" s="67"/>
    </row>
    <row r="412" spans="5:9" ht="13">
      <c r="E412" s="67"/>
      <c r="F412" s="67"/>
      <c r="G412" s="67"/>
      <c r="H412" s="67"/>
      <c r="I412" s="67"/>
    </row>
    <row r="413" spans="5:9" ht="13">
      <c r="E413" s="67"/>
      <c r="F413" s="67"/>
      <c r="G413" s="67"/>
      <c r="H413" s="67"/>
      <c r="I413" s="67"/>
    </row>
    <row r="414" spans="5:9" ht="13">
      <c r="E414" s="67"/>
      <c r="F414" s="67"/>
      <c r="G414" s="67"/>
      <c r="H414" s="67"/>
      <c r="I414" s="67"/>
    </row>
    <row r="415" spans="5:9" ht="13">
      <c r="E415" s="67"/>
      <c r="F415" s="67"/>
      <c r="G415" s="67"/>
      <c r="H415" s="67"/>
      <c r="I415" s="67"/>
    </row>
    <row r="416" spans="5:9" ht="13">
      <c r="E416" s="67"/>
      <c r="F416" s="67"/>
      <c r="G416" s="67"/>
      <c r="H416" s="67"/>
      <c r="I416" s="67"/>
    </row>
    <row r="417" spans="5:9" ht="13">
      <c r="E417" s="67"/>
      <c r="F417" s="67"/>
      <c r="G417" s="67"/>
      <c r="H417" s="67"/>
      <c r="I417" s="67"/>
    </row>
    <row r="418" spans="5:9" ht="13">
      <c r="E418" s="67"/>
      <c r="F418" s="67"/>
      <c r="G418" s="67"/>
      <c r="H418" s="67"/>
      <c r="I418" s="67"/>
    </row>
    <row r="419" spans="5:9" ht="13">
      <c r="E419" s="67"/>
      <c r="F419" s="67"/>
      <c r="G419" s="67"/>
      <c r="H419" s="67"/>
      <c r="I419" s="67"/>
    </row>
    <row r="420" spans="5:9" ht="13">
      <c r="E420" s="67"/>
      <c r="F420" s="67"/>
      <c r="G420" s="67"/>
      <c r="H420" s="67"/>
      <c r="I420" s="67"/>
    </row>
    <row r="421" spans="5:9" ht="13">
      <c r="E421" s="67"/>
      <c r="F421" s="67"/>
      <c r="G421" s="67"/>
      <c r="H421" s="67"/>
      <c r="I421" s="67"/>
    </row>
    <row r="422" spans="5:9" ht="13">
      <c r="E422" s="67"/>
      <c r="F422" s="67"/>
      <c r="G422" s="67"/>
      <c r="H422" s="67"/>
      <c r="I422" s="67"/>
    </row>
    <row r="423" spans="5:9" ht="13">
      <c r="E423" s="67"/>
      <c r="F423" s="67"/>
      <c r="G423" s="67"/>
      <c r="H423" s="67"/>
      <c r="I423" s="67"/>
    </row>
    <row r="424" spans="5:9" ht="13">
      <c r="E424" s="67"/>
      <c r="F424" s="67"/>
      <c r="G424" s="67"/>
      <c r="H424" s="67"/>
      <c r="I424" s="67"/>
    </row>
    <row r="425" spans="5:9" ht="13">
      <c r="E425" s="67"/>
      <c r="F425" s="67"/>
      <c r="G425" s="67"/>
      <c r="H425" s="67"/>
      <c r="I425" s="67"/>
    </row>
    <row r="426" spans="5:9" ht="13">
      <c r="E426" s="67"/>
      <c r="F426" s="67"/>
      <c r="G426" s="67"/>
      <c r="H426" s="67"/>
      <c r="I426" s="67"/>
    </row>
    <row r="427" spans="5:9" ht="13">
      <c r="E427" s="67"/>
      <c r="F427" s="67"/>
      <c r="G427" s="67"/>
      <c r="H427" s="67"/>
      <c r="I427" s="67"/>
    </row>
    <row r="428" spans="5:9" ht="13">
      <c r="E428" s="67"/>
      <c r="F428" s="67"/>
      <c r="G428" s="67"/>
      <c r="H428" s="67"/>
      <c r="I428" s="67"/>
    </row>
    <row r="429" spans="5:9" ht="13">
      <c r="E429" s="67"/>
      <c r="F429" s="67"/>
      <c r="G429" s="67"/>
      <c r="H429" s="67"/>
      <c r="I429" s="67"/>
    </row>
    <row r="430" spans="5:9" ht="13">
      <c r="E430" s="67"/>
      <c r="F430" s="67"/>
      <c r="G430" s="67"/>
      <c r="H430" s="67"/>
      <c r="I430" s="67"/>
    </row>
    <row r="431" spans="5:9" ht="13">
      <c r="E431" s="67"/>
      <c r="F431" s="67"/>
      <c r="G431" s="67"/>
      <c r="H431" s="67"/>
      <c r="I431" s="67"/>
    </row>
    <row r="432" spans="5:9" ht="13">
      <c r="E432" s="67"/>
      <c r="F432" s="67"/>
      <c r="G432" s="67"/>
      <c r="H432" s="67"/>
      <c r="I432" s="67"/>
    </row>
    <row r="433" spans="5:9" ht="13">
      <c r="E433" s="67"/>
      <c r="F433" s="67"/>
      <c r="G433" s="67"/>
      <c r="H433" s="67"/>
      <c r="I433" s="67"/>
    </row>
    <row r="434" spans="5:9" ht="13">
      <c r="E434" s="67"/>
      <c r="F434" s="67"/>
      <c r="G434" s="67"/>
      <c r="H434" s="67"/>
      <c r="I434" s="67"/>
    </row>
    <row r="435" spans="5:9" ht="13">
      <c r="E435" s="67"/>
      <c r="F435" s="67"/>
      <c r="G435" s="67"/>
      <c r="H435" s="67"/>
      <c r="I435" s="67"/>
    </row>
    <row r="436" spans="5:9" ht="13">
      <c r="E436" s="67"/>
      <c r="F436" s="67"/>
      <c r="G436" s="67"/>
      <c r="H436" s="67"/>
      <c r="I436" s="67"/>
    </row>
    <row r="437" spans="5:9" ht="13">
      <c r="E437" s="67"/>
      <c r="F437" s="67"/>
      <c r="G437" s="67"/>
      <c r="H437" s="67"/>
      <c r="I437" s="67"/>
    </row>
    <row r="438" spans="5:9" ht="13">
      <c r="E438" s="67"/>
      <c r="F438" s="67"/>
      <c r="G438" s="67"/>
      <c r="H438" s="67"/>
      <c r="I438" s="67"/>
    </row>
    <row r="439" spans="5:9" ht="13">
      <c r="E439" s="67"/>
      <c r="F439" s="67"/>
      <c r="G439" s="67"/>
      <c r="H439" s="67"/>
      <c r="I439" s="67"/>
    </row>
    <row r="440" spans="5:9" ht="13">
      <c r="E440" s="67"/>
      <c r="F440" s="67"/>
      <c r="G440" s="67"/>
      <c r="H440" s="67"/>
      <c r="I440" s="67"/>
    </row>
    <row r="441" spans="5:9" ht="13">
      <c r="E441" s="67"/>
      <c r="F441" s="67"/>
      <c r="G441" s="67"/>
      <c r="H441" s="67"/>
      <c r="I441" s="67"/>
    </row>
    <row r="442" spans="5:9" ht="13">
      <c r="E442" s="67"/>
      <c r="F442" s="67"/>
      <c r="G442" s="67"/>
      <c r="H442" s="67"/>
      <c r="I442" s="67"/>
    </row>
    <row r="443" spans="5:9" ht="13">
      <c r="E443" s="67"/>
      <c r="F443" s="67"/>
      <c r="G443" s="67"/>
      <c r="H443" s="67"/>
      <c r="I443" s="67"/>
    </row>
    <row r="444" spans="5:9" ht="13">
      <c r="E444" s="67"/>
      <c r="F444" s="67"/>
      <c r="G444" s="67"/>
      <c r="H444" s="67"/>
      <c r="I444" s="67"/>
    </row>
    <row r="445" spans="5:9" ht="13">
      <c r="E445" s="67"/>
      <c r="F445" s="67"/>
      <c r="G445" s="67"/>
      <c r="H445" s="67"/>
      <c r="I445" s="67"/>
    </row>
    <row r="446" spans="5:9" ht="13">
      <c r="E446" s="67"/>
      <c r="F446" s="67"/>
      <c r="G446" s="67"/>
      <c r="H446" s="67"/>
      <c r="I446" s="67"/>
    </row>
    <row r="447" spans="5:9" ht="13">
      <c r="E447" s="67"/>
      <c r="F447" s="67"/>
      <c r="G447" s="67"/>
      <c r="H447" s="67"/>
      <c r="I447" s="67"/>
    </row>
    <row r="448" spans="5:9" ht="13">
      <c r="E448" s="67"/>
      <c r="F448" s="67"/>
      <c r="G448" s="67"/>
      <c r="H448" s="67"/>
      <c r="I448" s="67"/>
    </row>
    <row r="449" spans="5:9" ht="13">
      <c r="E449" s="67"/>
      <c r="F449" s="67"/>
      <c r="G449" s="67"/>
      <c r="H449" s="67"/>
      <c r="I449" s="67"/>
    </row>
    <row r="450" spans="5:9" ht="13">
      <c r="E450" s="67"/>
      <c r="F450" s="67"/>
      <c r="G450" s="67"/>
      <c r="H450" s="67"/>
      <c r="I450" s="67"/>
    </row>
    <row r="451" spans="5:9" ht="13">
      <c r="E451" s="67"/>
      <c r="F451" s="67"/>
      <c r="G451" s="67"/>
      <c r="H451" s="67"/>
      <c r="I451" s="67"/>
    </row>
    <row r="452" spans="5:9" ht="13">
      <c r="E452" s="67"/>
      <c r="F452" s="67"/>
      <c r="G452" s="67"/>
      <c r="H452" s="67"/>
      <c r="I452" s="67"/>
    </row>
    <row r="453" spans="5:9" ht="13">
      <c r="E453" s="67"/>
      <c r="F453" s="67"/>
      <c r="G453" s="67"/>
      <c r="H453" s="67"/>
      <c r="I453" s="67"/>
    </row>
    <row r="454" spans="5:9" ht="13">
      <c r="E454" s="67"/>
      <c r="F454" s="67"/>
      <c r="G454" s="67"/>
      <c r="H454" s="67"/>
      <c r="I454" s="67"/>
    </row>
    <row r="455" spans="5:9" ht="13">
      <c r="E455" s="67"/>
      <c r="F455" s="67"/>
      <c r="G455" s="67"/>
      <c r="H455" s="67"/>
      <c r="I455" s="67"/>
    </row>
    <row r="456" spans="5:9" ht="13">
      <c r="E456" s="67"/>
      <c r="F456" s="67"/>
      <c r="G456" s="67"/>
      <c r="H456" s="67"/>
      <c r="I456" s="67"/>
    </row>
    <row r="457" spans="5:9" ht="13">
      <c r="E457" s="67"/>
      <c r="F457" s="67"/>
      <c r="G457" s="67"/>
      <c r="H457" s="67"/>
      <c r="I457" s="67"/>
    </row>
    <row r="458" spans="5:9" ht="13">
      <c r="E458" s="67"/>
      <c r="F458" s="67"/>
      <c r="G458" s="67"/>
      <c r="H458" s="67"/>
      <c r="I458" s="67"/>
    </row>
    <row r="459" spans="5:9" ht="13">
      <c r="E459" s="67"/>
      <c r="F459" s="67"/>
      <c r="G459" s="67"/>
      <c r="H459" s="67"/>
      <c r="I459" s="67"/>
    </row>
    <row r="460" spans="5:9" ht="13">
      <c r="E460" s="67"/>
      <c r="F460" s="67"/>
      <c r="G460" s="67"/>
      <c r="H460" s="67"/>
      <c r="I460" s="67"/>
    </row>
    <row r="461" spans="5:9" ht="13">
      <c r="E461" s="67"/>
      <c r="F461" s="67"/>
      <c r="G461" s="67"/>
      <c r="H461" s="67"/>
      <c r="I461" s="67"/>
    </row>
    <row r="462" spans="5:9" ht="13">
      <c r="E462" s="67"/>
      <c r="F462" s="67"/>
      <c r="G462" s="67"/>
      <c r="H462" s="67"/>
      <c r="I462" s="67"/>
    </row>
    <row r="463" spans="5:9" ht="13">
      <c r="E463" s="67"/>
      <c r="F463" s="67"/>
      <c r="G463" s="67"/>
      <c r="H463" s="67"/>
      <c r="I463" s="67"/>
    </row>
    <row r="464" spans="5:9" ht="13">
      <c r="E464" s="67"/>
      <c r="F464" s="67"/>
      <c r="G464" s="67"/>
      <c r="H464" s="67"/>
      <c r="I464" s="67"/>
    </row>
    <row r="465" spans="5:9" ht="13">
      <c r="E465" s="67"/>
      <c r="F465" s="67"/>
      <c r="G465" s="67"/>
      <c r="H465" s="67"/>
      <c r="I465" s="67"/>
    </row>
    <row r="466" spans="5:9" ht="13">
      <c r="E466" s="67"/>
      <c r="F466" s="67"/>
      <c r="G466" s="67"/>
      <c r="H466" s="67"/>
      <c r="I466" s="67"/>
    </row>
    <row r="467" spans="5:9" ht="13">
      <c r="E467" s="67"/>
      <c r="F467" s="67"/>
      <c r="G467" s="67"/>
      <c r="H467" s="67"/>
      <c r="I467" s="67"/>
    </row>
    <row r="468" spans="5:9" ht="13">
      <c r="E468" s="67"/>
      <c r="F468" s="67"/>
      <c r="G468" s="67"/>
      <c r="H468" s="67"/>
      <c r="I468" s="67"/>
    </row>
    <row r="469" spans="5:9" ht="13">
      <c r="E469" s="67"/>
      <c r="F469" s="67"/>
      <c r="G469" s="67"/>
      <c r="H469" s="67"/>
      <c r="I469" s="67"/>
    </row>
    <row r="470" spans="5:9" ht="13">
      <c r="E470" s="67"/>
      <c r="F470" s="67"/>
      <c r="G470" s="67"/>
      <c r="H470" s="67"/>
      <c r="I470" s="67"/>
    </row>
    <row r="471" spans="5:9" ht="13">
      <c r="E471" s="67"/>
      <c r="F471" s="67"/>
      <c r="G471" s="67"/>
      <c r="H471" s="67"/>
      <c r="I471" s="67"/>
    </row>
    <row r="472" spans="5:9" ht="13">
      <c r="E472" s="67"/>
      <c r="F472" s="67"/>
      <c r="G472" s="67"/>
      <c r="H472" s="67"/>
      <c r="I472" s="67"/>
    </row>
    <row r="473" spans="5:9" ht="13">
      <c r="E473" s="67"/>
      <c r="F473" s="67"/>
      <c r="G473" s="67"/>
      <c r="H473" s="67"/>
      <c r="I473" s="67"/>
    </row>
    <row r="474" spans="5:9" ht="13">
      <c r="E474" s="67"/>
      <c r="F474" s="67"/>
      <c r="G474" s="67"/>
      <c r="H474" s="67"/>
      <c r="I474" s="67"/>
    </row>
    <row r="475" spans="5:9" ht="13">
      <c r="E475" s="67"/>
      <c r="F475" s="67"/>
      <c r="G475" s="67"/>
      <c r="H475" s="67"/>
      <c r="I475" s="67"/>
    </row>
    <row r="476" spans="5:9" ht="13">
      <c r="E476" s="67"/>
      <c r="F476" s="67"/>
      <c r="G476" s="67"/>
      <c r="H476" s="67"/>
      <c r="I476" s="67"/>
    </row>
    <row r="477" spans="5:9" ht="13">
      <c r="E477" s="67"/>
      <c r="F477" s="67"/>
      <c r="G477" s="67"/>
      <c r="H477" s="67"/>
      <c r="I477" s="67"/>
    </row>
    <row r="478" spans="5:9" ht="13">
      <c r="E478" s="67"/>
      <c r="F478" s="67"/>
      <c r="G478" s="67"/>
      <c r="H478" s="67"/>
      <c r="I478" s="67"/>
    </row>
    <row r="479" spans="5:9" ht="13">
      <c r="E479" s="67"/>
      <c r="F479" s="67"/>
      <c r="G479" s="67"/>
      <c r="H479" s="67"/>
      <c r="I479" s="67"/>
    </row>
    <row r="480" spans="5:9" ht="13">
      <c r="E480" s="67"/>
      <c r="F480" s="67"/>
      <c r="G480" s="67"/>
      <c r="H480" s="67"/>
      <c r="I480" s="67"/>
    </row>
    <row r="481" spans="5:9" ht="13">
      <c r="E481" s="67"/>
      <c r="F481" s="67"/>
      <c r="G481" s="67"/>
      <c r="H481" s="67"/>
      <c r="I481" s="67"/>
    </row>
    <row r="482" spans="5:9" ht="13">
      <c r="E482" s="67"/>
      <c r="F482" s="67"/>
      <c r="G482" s="67"/>
      <c r="H482" s="67"/>
      <c r="I482" s="67"/>
    </row>
    <row r="483" spans="5:9" ht="13">
      <c r="E483" s="67"/>
      <c r="F483" s="67"/>
      <c r="G483" s="67"/>
      <c r="H483" s="67"/>
      <c r="I483" s="67"/>
    </row>
    <row r="484" spans="5:9" ht="13">
      <c r="E484" s="67"/>
      <c r="F484" s="67"/>
      <c r="G484" s="67"/>
      <c r="H484" s="67"/>
      <c r="I484" s="67"/>
    </row>
    <row r="485" spans="5:9" ht="13">
      <c r="E485" s="67"/>
      <c r="F485" s="67"/>
      <c r="G485" s="67"/>
      <c r="H485" s="67"/>
      <c r="I485" s="67"/>
    </row>
    <row r="486" spans="5:9" ht="13">
      <c r="E486" s="67"/>
      <c r="F486" s="67"/>
      <c r="G486" s="67"/>
      <c r="H486" s="67"/>
      <c r="I486" s="67"/>
    </row>
    <row r="487" spans="5:9" ht="13">
      <c r="E487" s="67"/>
      <c r="F487" s="67"/>
      <c r="G487" s="67"/>
      <c r="H487" s="67"/>
      <c r="I487" s="67"/>
    </row>
    <row r="488" spans="5:9" ht="13">
      <c r="E488" s="67"/>
      <c r="F488" s="67"/>
      <c r="G488" s="67"/>
      <c r="H488" s="67"/>
      <c r="I488" s="67"/>
    </row>
    <row r="489" spans="5:9" ht="13">
      <c r="E489" s="67"/>
      <c r="F489" s="67"/>
      <c r="G489" s="67"/>
      <c r="H489" s="67"/>
      <c r="I489" s="67"/>
    </row>
    <row r="490" spans="5:9" ht="13">
      <c r="E490" s="67"/>
      <c r="F490" s="67"/>
      <c r="G490" s="67"/>
      <c r="H490" s="67"/>
      <c r="I490" s="67"/>
    </row>
    <row r="491" spans="5:9" ht="13">
      <c r="E491" s="67"/>
      <c r="F491" s="67"/>
      <c r="G491" s="67"/>
      <c r="H491" s="67"/>
      <c r="I491" s="67"/>
    </row>
    <row r="492" spans="5:9" ht="13">
      <c r="E492" s="67"/>
      <c r="F492" s="67"/>
      <c r="G492" s="67"/>
      <c r="H492" s="67"/>
      <c r="I492" s="67"/>
    </row>
    <row r="493" spans="5:9" ht="13">
      <c r="E493" s="67"/>
      <c r="F493" s="67"/>
      <c r="G493" s="67"/>
      <c r="H493" s="67"/>
      <c r="I493" s="67"/>
    </row>
    <row r="494" spans="5:9" ht="13">
      <c r="E494" s="67"/>
      <c r="F494" s="67"/>
      <c r="G494" s="67"/>
      <c r="H494" s="67"/>
      <c r="I494" s="67"/>
    </row>
    <row r="495" spans="5:9" ht="13">
      <c r="E495" s="67"/>
      <c r="F495" s="67"/>
      <c r="G495" s="67"/>
      <c r="H495" s="67"/>
      <c r="I495" s="67"/>
    </row>
    <row r="496" spans="5:9" ht="13">
      <c r="E496" s="67"/>
      <c r="F496" s="67"/>
      <c r="G496" s="67"/>
      <c r="H496" s="67"/>
      <c r="I496" s="67"/>
    </row>
    <row r="497" spans="5:9" ht="13">
      <c r="E497" s="67"/>
      <c r="F497" s="67"/>
      <c r="G497" s="67"/>
      <c r="H497" s="67"/>
      <c r="I497" s="67"/>
    </row>
    <row r="498" spans="5:9" ht="13">
      <c r="E498" s="67"/>
      <c r="F498" s="67"/>
      <c r="G498" s="67"/>
      <c r="H498" s="67"/>
      <c r="I498" s="67"/>
    </row>
    <row r="499" spans="5:9" ht="13">
      <c r="E499" s="67"/>
      <c r="F499" s="67"/>
      <c r="G499" s="67"/>
      <c r="H499" s="67"/>
      <c r="I499" s="67"/>
    </row>
    <row r="500" spans="5:9" ht="13">
      <c r="E500" s="67"/>
      <c r="F500" s="67"/>
      <c r="G500" s="67"/>
      <c r="H500" s="67"/>
      <c r="I500" s="67"/>
    </row>
    <row r="501" spans="5:9" ht="13">
      <c r="E501" s="67"/>
      <c r="F501" s="67"/>
      <c r="G501" s="67"/>
      <c r="H501" s="67"/>
      <c r="I501" s="67"/>
    </row>
    <row r="502" spans="5:9" ht="13">
      <c r="E502" s="67"/>
      <c r="F502" s="67"/>
      <c r="G502" s="67"/>
      <c r="H502" s="67"/>
      <c r="I502" s="67"/>
    </row>
    <row r="503" spans="5:9" ht="13">
      <c r="E503" s="67"/>
      <c r="F503" s="67"/>
      <c r="G503" s="67"/>
      <c r="H503" s="67"/>
      <c r="I503" s="67"/>
    </row>
    <row r="504" spans="5:9" ht="13">
      <c r="E504" s="67"/>
      <c r="F504" s="67"/>
      <c r="G504" s="67"/>
      <c r="H504" s="67"/>
      <c r="I504" s="67"/>
    </row>
    <row r="505" spans="5:9" ht="13">
      <c r="E505" s="67"/>
      <c r="F505" s="67"/>
      <c r="G505" s="67"/>
      <c r="H505" s="67"/>
      <c r="I505" s="67"/>
    </row>
    <row r="506" spans="5:9" ht="13">
      <c r="E506" s="67"/>
      <c r="F506" s="67"/>
      <c r="G506" s="67"/>
      <c r="H506" s="67"/>
      <c r="I506" s="67"/>
    </row>
    <row r="507" spans="5:9" ht="13">
      <c r="E507" s="67"/>
      <c r="F507" s="67"/>
      <c r="G507" s="67"/>
      <c r="H507" s="67"/>
      <c r="I507" s="67"/>
    </row>
    <row r="508" spans="5:9" ht="13">
      <c r="E508" s="67"/>
      <c r="F508" s="67"/>
      <c r="G508" s="67"/>
      <c r="H508" s="67"/>
      <c r="I508" s="67"/>
    </row>
    <row r="509" spans="5:9" ht="13">
      <c r="E509" s="67"/>
      <c r="F509" s="67"/>
      <c r="G509" s="67"/>
      <c r="H509" s="67"/>
      <c r="I509" s="67"/>
    </row>
    <row r="510" spans="5:9" ht="13">
      <c r="E510" s="67"/>
      <c r="F510" s="67"/>
      <c r="G510" s="67"/>
      <c r="H510" s="67"/>
      <c r="I510" s="67"/>
    </row>
    <row r="511" spans="5:9" ht="13">
      <c r="E511" s="67"/>
      <c r="F511" s="67"/>
      <c r="G511" s="67"/>
      <c r="H511" s="67"/>
      <c r="I511" s="67"/>
    </row>
    <row r="512" spans="5:9" ht="13">
      <c r="E512" s="67"/>
      <c r="F512" s="67"/>
      <c r="G512" s="67"/>
      <c r="H512" s="67"/>
      <c r="I512" s="67"/>
    </row>
    <row r="513" spans="5:9" ht="13">
      <c r="E513" s="67"/>
      <c r="F513" s="67"/>
      <c r="G513" s="67"/>
      <c r="H513" s="67"/>
      <c r="I513" s="67"/>
    </row>
    <row r="514" spans="5:9" ht="13">
      <c r="E514" s="67"/>
      <c r="F514" s="67"/>
      <c r="G514" s="67"/>
      <c r="H514" s="67"/>
      <c r="I514" s="67"/>
    </row>
    <row r="515" spans="5:9" ht="13">
      <c r="E515" s="67"/>
      <c r="F515" s="67"/>
      <c r="G515" s="67"/>
      <c r="H515" s="67"/>
      <c r="I515" s="67"/>
    </row>
    <row r="516" spans="5:9" ht="13">
      <c r="E516" s="67"/>
      <c r="F516" s="67"/>
      <c r="G516" s="67"/>
      <c r="H516" s="67"/>
      <c r="I516" s="67"/>
    </row>
    <row r="517" spans="5:9" ht="13">
      <c r="E517" s="67"/>
      <c r="F517" s="67"/>
      <c r="G517" s="67"/>
      <c r="H517" s="67"/>
      <c r="I517" s="67"/>
    </row>
    <row r="518" spans="5:9" ht="13">
      <c r="E518" s="67"/>
      <c r="F518" s="67"/>
      <c r="G518" s="67"/>
      <c r="H518" s="67"/>
      <c r="I518" s="67"/>
    </row>
    <row r="519" spans="5:9" ht="13">
      <c r="E519" s="67"/>
      <c r="F519" s="67"/>
      <c r="G519" s="67"/>
      <c r="H519" s="67"/>
      <c r="I519" s="67"/>
    </row>
    <row r="520" spans="5:9" ht="13">
      <c r="E520" s="67"/>
      <c r="F520" s="67"/>
      <c r="G520" s="67"/>
      <c r="H520" s="67"/>
      <c r="I520" s="67"/>
    </row>
    <row r="521" spans="5:9" ht="13">
      <c r="E521" s="67"/>
      <c r="F521" s="67"/>
      <c r="G521" s="67"/>
      <c r="H521" s="67"/>
      <c r="I521" s="67"/>
    </row>
    <row r="522" spans="5:9" ht="13">
      <c r="E522" s="67"/>
      <c r="F522" s="67"/>
      <c r="G522" s="67"/>
      <c r="H522" s="67"/>
      <c r="I522" s="67"/>
    </row>
    <row r="523" spans="5:9" ht="13">
      <c r="E523" s="67"/>
      <c r="F523" s="67"/>
      <c r="G523" s="67"/>
      <c r="H523" s="67"/>
      <c r="I523" s="67"/>
    </row>
    <row r="524" spans="5:9" ht="13">
      <c r="E524" s="67"/>
      <c r="F524" s="67"/>
      <c r="G524" s="67"/>
      <c r="H524" s="67"/>
      <c r="I524" s="67"/>
    </row>
    <row r="525" spans="5:9" ht="13">
      <c r="E525" s="67"/>
      <c r="F525" s="67"/>
      <c r="G525" s="67"/>
      <c r="H525" s="67"/>
      <c r="I525" s="67"/>
    </row>
    <row r="526" spans="5:9" ht="13">
      <c r="E526" s="67"/>
      <c r="F526" s="67"/>
      <c r="G526" s="67"/>
      <c r="H526" s="67"/>
      <c r="I526" s="67"/>
    </row>
    <row r="527" spans="5:9" ht="13">
      <c r="E527" s="67"/>
      <c r="F527" s="67"/>
      <c r="G527" s="67"/>
      <c r="H527" s="67"/>
      <c r="I527" s="67"/>
    </row>
    <row r="528" spans="5:9" ht="13">
      <c r="E528" s="67"/>
      <c r="F528" s="67"/>
      <c r="G528" s="67"/>
      <c r="H528" s="67"/>
      <c r="I528" s="67"/>
    </row>
    <row r="529" spans="5:9" ht="13">
      <c r="E529" s="67"/>
      <c r="F529" s="67"/>
      <c r="G529" s="67"/>
      <c r="H529" s="67"/>
      <c r="I529" s="67"/>
    </row>
    <row r="530" spans="5:9" ht="13">
      <c r="E530" s="67"/>
      <c r="F530" s="67"/>
      <c r="G530" s="67"/>
      <c r="H530" s="67"/>
      <c r="I530" s="67"/>
    </row>
    <row r="531" spans="5:9" ht="13">
      <c r="E531" s="67"/>
      <c r="F531" s="67"/>
      <c r="G531" s="67"/>
      <c r="H531" s="67"/>
      <c r="I531" s="67"/>
    </row>
    <row r="532" spans="5:9" ht="13">
      <c r="E532" s="67"/>
      <c r="F532" s="67"/>
      <c r="G532" s="67"/>
      <c r="H532" s="67"/>
      <c r="I532" s="67"/>
    </row>
    <row r="533" spans="5:9" ht="13">
      <c r="E533" s="67"/>
      <c r="F533" s="67"/>
      <c r="G533" s="67"/>
      <c r="H533" s="67"/>
      <c r="I533" s="67"/>
    </row>
    <row r="534" spans="5:9" ht="13">
      <c r="E534" s="67"/>
      <c r="F534" s="67"/>
      <c r="G534" s="67"/>
      <c r="H534" s="67"/>
      <c r="I534" s="67"/>
    </row>
    <row r="535" spans="5:9" ht="13">
      <c r="E535" s="67"/>
      <c r="F535" s="67"/>
      <c r="G535" s="67"/>
      <c r="H535" s="67"/>
      <c r="I535" s="67"/>
    </row>
    <row r="536" spans="5:9" ht="13">
      <c r="E536" s="67"/>
      <c r="F536" s="67"/>
      <c r="G536" s="67"/>
      <c r="H536" s="67"/>
      <c r="I536" s="67"/>
    </row>
    <row r="537" spans="5:9" ht="13">
      <c r="E537" s="67"/>
      <c r="F537" s="67"/>
      <c r="G537" s="67"/>
      <c r="H537" s="67"/>
      <c r="I537" s="67"/>
    </row>
    <row r="538" spans="5:9" ht="13">
      <c r="E538" s="67"/>
      <c r="F538" s="67"/>
      <c r="G538" s="67"/>
      <c r="H538" s="67"/>
      <c r="I538" s="67"/>
    </row>
    <row r="539" spans="5:9" ht="13">
      <c r="E539" s="67"/>
      <c r="F539" s="67"/>
      <c r="G539" s="67"/>
      <c r="H539" s="67"/>
      <c r="I539" s="67"/>
    </row>
    <row r="540" spans="5:9" ht="13">
      <c r="E540" s="67"/>
      <c r="F540" s="67"/>
      <c r="G540" s="67"/>
      <c r="H540" s="67"/>
      <c r="I540" s="67"/>
    </row>
    <row r="541" spans="5:9" ht="13">
      <c r="E541" s="67"/>
      <c r="F541" s="67"/>
      <c r="G541" s="67"/>
      <c r="H541" s="67"/>
      <c r="I541" s="67"/>
    </row>
    <row r="542" spans="5:9" ht="13">
      <c r="E542" s="67"/>
      <c r="F542" s="67"/>
      <c r="G542" s="67"/>
      <c r="H542" s="67"/>
      <c r="I542" s="67"/>
    </row>
    <row r="543" spans="5:9" ht="13">
      <c r="E543" s="67"/>
      <c r="F543" s="67"/>
      <c r="G543" s="67"/>
      <c r="H543" s="67"/>
      <c r="I543" s="67"/>
    </row>
    <row r="544" spans="5:9" ht="13">
      <c r="E544" s="67"/>
      <c r="F544" s="67"/>
      <c r="G544" s="67"/>
      <c r="H544" s="67"/>
      <c r="I544" s="67"/>
    </row>
    <row r="545" spans="5:9" ht="13">
      <c r="E545" s="67"/>
      <c r="F545" s="67"/>
      <c r="G545" s="67"/>
      <c r="H545" s="67"/>
      <c r="I545" s="67"/>
    </row>
    <row r="546" spans="5:9" ht="13">
      <c r="E546" s="67"/>
      <c r="F546" s="67"/>
      <c r="G546" s="67"/>
      <c r="H546" s="67"/>
      <c r="I546" s="67"/>
    </row>
    <row r="547" spans="5:9" ht="13">
      <c r="E547" s="67"/>
      <c r="F547" s="67"/>
      <c r="G547" s="67"/>
      <c r="H547" s="67"/>
      <c r="I547" s="67"/>
    </row>
    <row r="548" spans="5:9" ht="13">
      <c r="E548" s="67"/>
      <c r="F548" s="67"/>
      <c r="G548" s="67"/>
      <c r="H548" s="67"/>
      <c r="I548" s="67"/>
    </row>
    <row r="549" spans="5:9" ht="13">
      <c r="E549" s="67"/>
      <c r="F549" s="67"/>
      <c r="G549" s="67"/>
      <c r="H549" s="67"/>
      <c r="I549" s="67"/>
    </row>
    <row r="550" spans="5:9" ht="13">
      <c r="E550" s="67"/>
      <c r="F550" s="67"/>
      <c r="G550" s="67"/>
      <c r="H550" s="67"/>
      <c r="I550" s="67"/>
    </row>
    <row r="551" spans="5:9" ht="13">
      <c r="E551" s="67"/>
      <c r="F551" s="67"/>
      <c r="G551" s="67"/>
      <c r="H551" s="67"/>
      <c r="I551" s="67"/>
    </row>
    <row r="552" spans="5:9" ht="13">
      <c r="E552" s="67"/>
      <c r="F552" s="67"/>
      <c r="G552" s="67"/>
      <c r="H552" s="67"/>
      <c r="I552" s="67"/>
    </row>
    <row r="553" spans="5:9" ht="13">
      <c r="E553" s="67"/>
      <c r="F553" s="67"/>
      <c r="G553" s="67"/>
      <c r="H553" s="67"/>
      <c r="I553" s="67"/>
    </row>
    <row r="554" spans="5:9" ht="13">
      <c r="E554" s="67"/>
      <c r="F554" s="67"/>
      <c r="G554" s="67"/>
      <c r="H554" s="67"/>
      <c r="I554" s="67"/>
    </row>
    <row r="555" spans="5:9" ht="13">
      <c r="E555" s="67"/>
      <c r="F555" s="67"/>
      <c r="G555" s="67"/>
      <c r="H555" s="67"/>
      <c r="I555" s="67"/>
    </row>
    <row r="556" spans="5:9" ht="13">
      <c r="E556" s="67"/>
      <c r="F556" s="67"/>
      <c r="G556" s="67"/>
      <c r="H556" s="67"/>
      <c r="I556" s="67"/>
    </row>
    <row r="557" spans="5:9" ht="13">
      <c r="E557" s="67"/>
      <c r="F557" s="67"/>
      <c r="G557" s="67"/>
      <c r="H557" s="67"/>
      <c r="I557" s="67"/>
    </row>
    <row r="558" spans="5:9" ht="13">
      <c r="E558" s="67"/>
      <c r="F558" s="67"/>
      <c r="G558" s="67"/>
      <c r="H558" s="67"/>
      <c r="I558" s="67"/>
    </row>
    <row r="559" spans="5:9" ht="13">
      <c r="E559" s="67"/>
      <c r="F559" s="67"/>
      <c r="G559" s="67"/>
      <c r="H559" s="67"/>
      <c r="I559" s="67"/>
    </row>
    <row r="560" spans="5:9" ht="13">
      <c r="E560" s="67"/>
      <c r="F560" s="67"/>
      <c r="G560" s="67"/>
      <c r="H560" s="67"/>
      <c r="I560" s="67"/>
    </row>
    <row r="561" spans="5:9" ht="13">
      <c r="E561" s="67"/>
      <c r="F561" s="67"/>
      <c r="G561" s="67"/>
      <c r="H561" s="67"/>
      <c r="I561" s="67"/>
    </row>
    <row r="562" spans="5:9" ht="13">
      <c r="E562" s="67"/>
      <c r="F562" s="67"/>
      <c r="G562" s="67"/>
      <c r="H562" s="67"/>
      <c r="I562" s="67"/>
    </row>
    <row r="563" spans="5:9" ht="13">
      <c r="E563" s="67"/>
      <c r="F563" s="67"/>
      <c r="G563" s="67"/>
      <c r="H563" s="67"/>
      <c r="I563" s="67"/>
    </row>
    <row r="564" spans="5:9" ht="13">
      <c r="E564" s="67"/>
      <c r="F564" s="67"/>
      <c r="G564" s="67"/>
      <c r="H564" s="67"/>
      <c r="I564" s="67"/>
    </row>
    <row r="565" spans="5:9" ht="13">
      <c r="E565" s="67"/>
      <c r="F565" s="67"/>
      <c r="G565" s="67"/>
      <c r="H565" s="67"/>
      <c r="I565" s="67"/>
    </row>
    <row r="566" spans="5:9" ht="13">
      <c r="E566" s="67"/>
      <c r="F566" s="67"/>
      <c r="G566" s="67"/>
      <c r="H566" s="67"/>
      <c r="I566" s="67"/>
    </row>
    <row r="567" spans="5:9" ht="13">
      <c r="E567" s="67"/>
      <c r="F567" s="67"/>
      <c r="G567" s="67"/>
      <c r="H567" s="67"/>
      <c r="I567" s="67"/>
    </row>
    <row r="568" spans="5:9" ht="13">
      <c r="E568" s="67"/>
      <c r="F568" s="67"/>
      <c r="G568" s="67"/>
      <c r="H568" s="67"/>
      <c r="I568" s="67"/>
    </row>
    <row r="569" spans="5:9" ht="13">
      <c r="E569" s="67"/>
      <c r="F569" s="67"/>
      <c r="G569" s="67"/>
      <c r="H569" s="67"/>
      <c r="I569" s="67"/>
    </row>
    <row r="570" spans="5:9" ht="13">
      <c r="E570" s="67"/>
      <c r="F570" s="67"/>
      <c r="G570" s="67"/>
      <c r="H570" s="67"/>
      <c r="I570" s="67"/>
    </row>
    <row r="571" spans="5:9" ht="13">
      <c r="E571" s="67"/>
      <c r="F571" s="67"/>
      <c r="G571" s="67"/>
      <c r="H571" s="67"/>
      <c r="I571" s="67"/>
    </row>
    <row r="572" spans="5:9" ht="13">
      <c r="E572" s="67"/>
      <c r="F572" s="67"/>
      <c r="G572" s="67"/>
      <c r="H572" s="67"/>
      <c r="I572" s="67"/>
    </row>
    <row r="573" spans="5:9" ht="13">
      <c r="E573" s="67"/>
      <c r="F573" s="67"/>
      <c r="G573" s="67"/>
      <c r="H573" s="67"/>
      <c r="I573" s="67"/>
    </row>
    <row r="574" spans="5:9" ht="13">
      <c r="E574" s="67"/>
      <c r="F574" s="67"/>
      <c r="G574" s="67"/>
      <c r="H574" s="67"/>
      <c r="I574" s="67"/>
    </row>
    <row r="575" spans="5:9" ht="13">
      <c r="E575" s="67"/>
      <c r="F575" s="67"/>
      <c r="G575" s="67"/>
      <c r="H575" s="67"/>
      <c r="I575" s="67"/>
    </row>
    <row r="576" spans="5:9" ht="13">
      <c r="E576" s="67"/>
      <c r="F576" s="67"/>
      <c r="G576" s="67"/>
      <c r="H576" s="67"/>
      <c r="I576" s="67"/>
    </row>
    <row r="577" spans="5:9" ht="13">
      <c r="E577" s="67"/>
      <c r="F577" s="67"/>
      <c r="G577" s="67"/>
      <c r="H577" s="67"/>
      <c r="I577" s="67"/>
    </row>
    <row r="578" spans="5:9" ht="13">
      <c r="E578" s="67"/>
      <c r="F578" s="67"/>
      <c r="G578" s="67"/>
      <c r="H578" s="67"/>
      <c r="I578" s="67"/>
    </row>
    <row r="579" spans="5:9" ht="13">
      <c r="E579" s="67"/>
      <c r="F579" s="67"/>
      <c r="G579" s="67"/>
      <c r="H579" s="67"/>
      <c r="I579" s="67"/>
    </row>
    <row r="580" spans="5:9" ht="13">
      <c r="E580" s="67"/>
      <c r="F580" s="67"/>
      <c r="G580" s="67"/>
      <c r="H580" s="67"/>
      <c r="I580" s="67"/>
    </row>
    <row r="581" spans="5:9" ht="13">
      <c r="E581" s="67"/>
      <c r="F581" s="67"/>
      <c r="G581" s="67"/>
      <c r="H581" s="67"/>
      <c r="I581" s="67"/>
    </row>
    <row r="582" spans="5:9" ht="13">
      <c r="E582" s="67"/>
      <c r="F582" s="67"/>
      <c r="G582" s="67"/>
      <c r="H582" s="67"/>
      <c r="I582" s="67"/>
    </row>
    <row r="583" spans="5:9" ht="13">
      <c r="E583" s="67"/>
      <c r="F583" s="67"/>
      <c r="G583" s="67"/>
      <c r="H583" s="67"/>
      <c r="I583" s="67"/>
    </row>
    <row r="584" spans="5:9" ht="13">
      <c r="E584" s="67"/>
      <c r="F584" s="67"/>
      <c r="G584" s="67"/>
      <c r="H584" s="67"/>
      <c r="I584" s="67"/>
    </row>
    <row r="585" spans="5:9" ht="13">
      <c r="E585" s="67"/>
      <c r="F585" s="67"/>
      <c r="G585" s="67"/>
      <c r="H585" s="67"/>
      <c r="I585" s="67"/>
    </row>
    <row r="586" spans="5:9" ht="13">
      <c r="E586" s="67"/>
      <c r="F586" s="67"/>
      <c r="G586" s="67"/>
      <c r="H586" s="67"/>
      <c r="I586" s="67"/>
    </row>
    <row r="587" spans="5:9" ht="13">
      <c r="E587" s="67"/>
      <c r="F587" s="67"/>
      <c r="G587" s="67"/>
      <c r="H587" s="67"/>
      <c r="I587" s="67"/>
    </row>
    <row r="588" spans="5:9" ht="13">
      <c r="E588" s="67"/>
      <c r="F588" s="67"/>
      <c r="G588" s="67"/>
      <c r="H588" s="67"/>
      <c r="I588" s="67"/>
    </row>
    <row r="589" spans="5:9" ht="13">
      <c r="E589" s="67"/>
      <c r="F589" s="67"/>
      <c r="G589" s="67"/>
      <c r="H589" s="67"/>
      <c r="I589" s="67"/>
    </row>
    <row r="590" spans="5:9" ht="13">
      <c r="E590" s="67"/>
      <c r="F590" s="67"/>
      <c r="G590" s="67"/>
      <c r="H590" s="67"/>
      <c r="I590" s="67"/>
    </row>
    <row r="591" spans="5:9" ht="13">
      <c r="E591" s="67"/>
      <c r="F591" s="67"/>
      <c r="G591" s="67"/>
      <c r="H591" s="67"/>
      <c r="I591" s="67"/>
    </row>
    <row r="592" spans="5:9" ht="13">
      <c r="E592" s="67"/>
      <c r="F592" s="67"/>
      <c r="G592" s="67"/>
      <c r="H592" s="67"/>
      <c r="I592" s="67"/>
    </row>
    <row r="593" spans="5:9" ht="13">
      <c r="E593" s="67"/>
      <c r="F593" s="67"/>
      <c r="G593" s="67"/>
      <c r="H593" s="67"/>
      <c r="I593" s="67"/>
    </row>
    <row r="594" spans="5:9" ht="13">
      <c r="E594" s="67"/>
      <c r="F594" s="67"/>
      <c r="G594" s="67"/>
      <c r="H594" s="67"/>
      <c r="I594" s="67"/>
    </row>
    <row r="595" spans="5:9" ht="13">
      <c r="E595" s="67"/>
      <c r="F595" s="67"/>
      <c r="G595" s="67"/>
      <c r="H595" s="67"/>
      <c r="I595" s="67"/>
    </row>
    <row r="596" spans="5:9" ht="13">
      <c r="E596" s="67"/>
      <c r="F596" s="67"/>
      <c r="G596" s="67"/>
      <c r="H596" s="67"/>
      <c r="I596" s="67"/>
    </row>
    <row r="597" spans="5:9" ht="13">
      <c r="E597" s="67"/>
      <c r="F597" s="67"/>
      <c r="G597" s="67"/>
      <c r="H597" s="67"/>
      <c r="I597" s="67"/>
    </row>
    <row r="598" spans="5:9" ht="13">
      <c r="E598" s="67"/>
      <c r="F598" s="67"/>
      <c r="G598" s="67"/>
      <c r="H598" s="67"/>
      <c r="I598" s="67"/>
    </row>
    <row r="599" spans="5:9" ht="13">
      <c r="E599" s="67"/>
      <c r="F599" s="67"/>
      <c r="G599" s="67"/>
      <c r="H599" s="67"/>
      <c r="I599" s="67"/>
    </row>
    <row r="600" spans="5:9" ht="13">
      <c r="E600" s="67"/>
      <c r="F600" s="67"/>
      <c r="G600" s="67"/>
      <c r="H600" s="67"/>
      <c r="I600" s="67"/>
    </row>
    <row r="601" spans="5:9" ht="13">
      <c r="E601" s="67"/>
      <c r="F601" s="67"/>
      <c r="G601" s="67"/>
      <c r="H601" s="67"/>
      <c r="I601" s="67"/>
    </row>
    <row r="602" spans="5:9" ht="13">
      <c r="E602" s="67"/>
      <c r="F602" s="67"/>
      <c r="G602" s="67"/>
      <c r="H602" s="67"/>
      <c r="I602" s="67"/>
    </row>
    <row r="603" spans="5:9" ht="13">
      <c r="E603" s="67"/>
      <c r="F603" s="67"/>
      <c r="G603" s="67"/>
      <c r="H603" s="67"/>
      <c r="I603" s="67"/>
    </row>
    <row r="604" spans="5:9" ht="13">
      <c r="E604" s="67"/>
      <c r="F604" s="67"/>
      <c r="G604" s="67"/>
      <c r="H604" s="67"/>
      <c r="I604" s="67"/>
    </row>
    <row r="605" spans="5:9" ht="13">
      <c r="E605" s="67"/>
      <c r="F605" s="67"/>
      <c r="G605" s="67"/>
      <c r="H605" s="67"/>
      <c r="I605" s="67"/>
    </row>
    <row r="606" spans="5:9" ht="13">
      <c r="E606" s="67"/>
      <c r="F606" s="67"/>
      <c r="G606" s="67"/>
      <c r="H606" s="67"/>
      <c r="I606" s="67"/>
    </row>
    <row r="607" spans="5:9" ht="13">
      <c r="E607" s="67"/>
      <c r="F607" s="67"/>
      <c r="G607" s="67"/>
      <c r="H607" s="67"/>
      <c r="I607" s="67"/>
    </row>
    <row r="608" spans="5:9" ht="13">
      <c r="E608" s="67"/>
      <c r="F608" s="67"/>
      <c r="G608" s="67"/>
      <c r="H608" s="67"/>
      <c r="I608" s="67"/>
    </row>
    <row r="609" spans="5:9" ht="13">
      <c r="E609" s="67"/>
      <c r="F609" s="67"/>
      <c r="G609" s="67"/>
      <c r="H609" s="67"/>
      <c r="I609" s="67"/>
    </row>
    <row r="610" spans="5:9" ht="13">
      <c r="E610" s="67"/>
      <c r="F610" s="67"/>
      <c r="G610" s="67"/>
      <c r="H610" s="67"/>
      <c r="I610" s="67"/>
    </row>
    <row r="611" spans="5:9" ht="13">
      <c r="E611" s="67"/>
      <c r="F611" s="67"/>
      <c r="G611" s="67"/>
      <c r="H611" s="67"/>
      <c r="I611" s="67"/>
    </row>
    <row r="612" spans="5:9" ht="13">
      <c r="E612" s="67"/>
      <c r="F612" s="67"/>
      <c r="G612" s="67"/>
      <c r="H612" s="67"/>
      <c r="I612" s="67"/>
    </row>
    <row r="613" spans="5:9" ht="13">
      <c r="E613" s="67"/>
      <c r="F613" s="67"/>
      <c r="G613" s="67"/>
      <c r="H613" s="67"/>
      <c r="I613" s="67"/>
    </row>
    <row r="614" spans="5:9" ht="13">
      <c r="E614" s="67"/>
      <c r="F614" s="67"/>
      <c r="G614" s="67"/>
      <c r="H614" s="67"/>
      <c r="I614" s="67"/>
    </row>
    <row r="615" spans="5:9" ht="13">
      <c r="E615" s="67"/>
      <c r="F615" s="67"/>
      <c r="G615" s="67"/>
      <c r="H615" s="67"/>
      <c r="I615" s="67"/>
    </row>
    <row r="616" spans="5:9" ht="13">
      <c r="E616" s="67"/>
      <c r="F616" s="67"/>
      <c r="G616" s="67"/>
      <c r="H616" s="67"/>
      <c r="I616" s="67"/>
    </row>
    <row r="617" spans="5:9" ht="13">
      <c r="E617" s="67"/>
      <c r="F617" s="67"/>
      <c r="G617" s="67"/>
      <c r="H617" s="67"/>
      <c r="I617" s="67"/>
    </row>
    <row r="618" spans="5:9" ht="13">
      <c r="E618" s="67"/>
      <c r="F618" s="67"/>
      <c r="G618" s="67"/>
      <c r="H618" s="67"/>
      <c r="I618" s="67"/>
    </row>
    <row r="619" spans="5:9" ht="13">
      <c r="E619" s="67"/>
      <c r="F619" s="67"/>
      <c r="G619" s="67"/>
      <c r="H619" s="67"/>
      <c r="I619" s="67"/>
    </row>
    <row r="620" spans="5:9" ht="13">
      <c r="E620" s="67"/>
      <c r="F620" s="67"/>
      <c r="G620" s="67"/>
      <c r="H620" s="67"/>
      <c r="I620" s="67"/>
    </row>
    <row r="621" spans="5:9" ht="13">
      <c r="E621" s="67"/>
      <c r="F621" s="67"/>
      <c r="G621" s="67"/>
      <c r="H621" s="67"/>
      <c r="I621" s="67"/>
    </row>
    <row r="622" spans="5:9" ht="13">
      <c r="E622" s="67"/>
      <c r="F622" s="67"/>
      <c r="G622" s="67"/>
      <c r="H622" s="67"/>
      <c r="I622" s="67"/>
    </row>
    <row r="623" spans="5:9" ht="13">
      <c r="E623" s="67"/>
      <c r="F623" s="67"/>
      <c r="G623" s="67"/>
      <c r="H623" s="67"/>
      <c r="I623" s="67"/>
    </row>
    <row r="624" spans="5:9" ht="13">
      <c r="E624" s="67"/>
      <c r="F624" s="67"/>
      <c r="G624" s="67"/>
      <c r="H624" s="67"/>
      <c r="I624" s="67"/>
    </row>
    <row r="625" spans="5:9" ht="13">
      <c r="E625" s="67"/>
      <c r="F625" s="67"/>
      <c r="G625" s="67"/>
      <c r="H625" s="67"/>
      <c r="I625" s="67"/>
    </row>
    <row r="626" spans="5:9" ht="13">
      <c r="E626" s="67"/>
      <c r="F626" s="67"/>
      <c r="G626" s="67"/>
      <c r="H626" s="67"/>
      <c r="I626" s="67"/>
    </row>
    <row r="627" spans="5:9" ht="13">
      <c r="E627" s="67"/>
      <c r="F627" s="67"/>
      <c r="G627" s="67"/>
      <c r="H627" s="67"/>
      <c r="I627" s="67"/>
    </row>
    <row r="628" spans="5:9" ht="13">
      <c r="E628" s="67"/>
      <c r="F628" s="67"/>
      <c r="G628" s="67"/>
      <c r="H628" s="67"/>
      <c r="I628" s="67"/>
    </row>
    <row r="629" spans="5:9" ht="13">
      <c r="E629" s="67"/>
      <c r="F629" s="67"/>
      <c r="G629" s="67"/>
      <c r="H629" s="67"/>
      <c r="I629" s="67"/>
    </row>
    <row r="630" spans="5:9" ht="13">
      <c r="E630" s="67"/>
      <c r="F630" s="67"/>
      <c r="G630" s="67"/>
      <c r="H630" s="67"/>
      <c r="I630" s="67"/>
    </row>
    <row r="631" spans="5:9" ht="13">
      <c r="E631" s="67"/>
      <c r="F631" s="67"/>
      <c r="G631" s="67"/>
      <c r="H631" s="67"/>
      <c r="I631" s="67"/>
    </row>
    <row r="632" spans="5:9" ht="13">
      <c r="E632" s="67"/>
      <c r="F632" s="67"/>
      <c r="G632" s="67"/>
      <c r="H632" s="67"/>
      <c r="I632" s="67"/>
    </row>
    <row r="633" spans="5:9" ht="13">
      <c r="E633" s="67"/>
      <c r="F633" s="67"/>
      <c r="G633" s="67"/>
      <c r="H633" s="67"/>
      <c r="I633" s="67"/>
    </row>
    <row r="634" spans="5:9" ht="13">
      <c r="E634" s="67"/>
      <c r="F634" s="67"/>
      <c r="G634" s="67"/>
      <c r="H634" s="67"/>
      <c r="I634" s="67"/>
    </row>
    <row r="635" spans="5:9" ht="13">
      <c r="E635" s="67"/>
      <c r="F635" s="67"/>
      <c r="G635" s="67"/>
      <c r="H635" s="67"/>
      <c r="I635" s="67"/>
    </row>
    <row r="636" spans="5:9" ht="13">
      <c r="E636" s="67"/>
      <c r="F636" s="67"/>
      <c r="G636" s="67"/>
      <c r="H636" s="67"/>
      <c r="I636" s="67"/>
    </row>
    <row r="637" spans="5:9" ht="13">
      <c r="E637" s="67"/>
      <c r="F637" s="67"/>
      <c r="G637" s="67"/>
      <c r="H637" s="67"/>
      <c r="I637" s="67"/>
    </row>
    <row r="638" spans="5:9" ht="13">
      <c r="E638" s="67"/>
      <c r="F638" s="67"/>
      <c r="G638" s="67"/>
      <c r="H638" s="67"/>
      <c r="I638" s="67"/>
    </row>
    <row r="639" spans="5:9" ht="13">
      <c r="E639" s="67"/>
      <c r="F639" s="67"/>
      <c r="G639" s="67"/>
      <c r="H639" s="67"/>
      <c r="I639" s="67"/>
    </row>
    <row r="640" spans="5:9" ht="13">
      <c r="E640" s="67"/>
      <c r="F640" s="67"/>
      <c r="G640" s="67"/>
      <c r="H640" s="67"/>
      <c r="I640" s="67"/>
    </row>
    <row r="641" spans="5:9" ht="13">
      <c r="E641" s="67"/>
      <c r="F641" s="67"/>
      <c r="G641" s="67"/>
      <c r="H641" s="67"/>
      <c r="I641" s="67"/>
    </row>
    <row r="642" spans="5:9" ht="13">
      <c r="E642" s="67"/>
      <c r="F642" s="67"/>
      <c r="G642" s="67"/>
      <c r="H642" s="67"/>
      <c r="I642" s="67"/>
    </row>
    <row r="643" spans="5:9" ht="13">
      <c r="E643" s="67"/>
      <c r="F643" s="67"/>
      <c r="G643" s="67"/>
      <c r="H643" s="67"/>
      <c r="I643" s="67"/>
    </row>
    <row r="644" spans="5:9" ht="13">
      <c r="E644" s="67"/>
      <c r="F644" s="67"/>
      <c r="G644" s="67"/>
      <c r="H644" s="67"/>
      <c r="I644" s="67"/>
    </row>
    <row r="645" spans="5:9" ht="13">
      <c r="E645" s="67"/>
      <c r="F645" s="67"/>
      <c r="G645" s="67"/>
      <c r="H645" s="67"/>
      <c r="I645" s="67"/>
    </row>
    <row r="646" spans="5:9" ht="13">
      <c r="E646" s="67"/>
      <c r="F646" s="67"/>
      <c r="G646" s="67"/>
      <c r="H646" s="67"/>
      <c r="I646" s="67"/>
    </row>
    <row r="647" spans="5:9" ht="13">
      <c r="E647" s="67"/>
      <c r="F647" s="67"/>
      <c r="G647" s="67"/>
      <c r="H647" s="67"/>
      <c r="I647" s="67"/>
    </row>
    <row r="648" spans="5:9" ht="13">
      <c r="E648" s="67"/>
      <c r="F648" s="67"/>
      <c r="G648" s="67"/>
      <c r="H648" s="67"/>
      <c r="I648" s="67"/>
    </row>
    <row r="649" spans="5:9" ht="13">
      <c r="E649" s="67"/>
      <c r="F649" s="67"/>
      <c r="G649" s="67"/>
      <c r="H649" s="67"/>
      <c r="I649" s="67"/>
    </row>
    <row r="650" spans="5:9" ht="13">
      <c r="E650" s="67"/>
      <c r="F650" s="67"/>
      <c r="G650" s="67"/>
      <c r="H650" s="67"/>
      <c r="I650" s="67"/>
    </row>
    <row r="651" spans="5:9" ht="13">
      <c r="E651" s="67"/>
      <c r="F651" s="67"/>
      <c r="G651" s="67"/>
      <c r="H651" s="67"/>
      <c r="I651" s="67"/>
    </row>
    <row r="652" spans="5:9" ht="13">
      <c r="E652" s="67"/>
      <c r="F652" s="67"/>
      <c r="G652" s="67"/>
      <c r="H652" s="67"/>
      <c r="I652" s="67"/>
    </row>
    <row r="653" spans="5:9" ht="13">
      <c r="E653" s="67"/>
      <c r="F653" s="67"/>
      <c r="G653" s="67"/>
      <c r="H653" s="67"/>
      <c r="I653" s="67"/>
    </row>
    <row r="654" spans="5:9" ht="13">
      <c r="E654" s="67"/>
      <c r="F654" s="67"/>
      <c r="G654" s="67"/>
      <c r="H654" s="67"/>
      <c r="I654" s="67"/>
    </row>
    <row r="655" spans="5:9" ht="13">
      <c r="E655" s="67"/>
      <c r="F655" s="67"/>
      <c r="G655" s="67"/>
      <c r="H655" s="67"/>
      <c r="I655" s="67"/>
    </row>
    <row r="656" spans="5:9" ht="13">
      <c r="E656" s="67"/>
      <c r="F656" s="67"/>
      <c r="G656" s="67"/>
      <c r="H656" s="67"/>
      <c r="I656" s="67"/>
    </row>
    <row r="657" spans="5:9" ht="13">
      <c r="E657" s="67"/>
      <c r="F657" s="67"/>
      <c r="G657" s="67"/>
      <c r="H657" s="67"/>
      <c r="I657" s="67"/>
    </row>
    <row r="658" spans="5:9" ht="13">
      <c r="E658" s="67"/>
      <c r="F658" s="67"/>
      <c r="G658" s="67"/>
      <c r="H658" s="67"/>
      <c r="I658" s="67"/>
    </row>
    <row r="659" spans="5:9" ht="13">
      <c r="E659" s="67"/>
      <c r="F659" s="67"/>
      <c r="G659" s="67"/>
      <c r="H659" s="67"/>
      <c r="I659" s="67"/>
    </row>
    <row r="660" spans="5:9" ht="13">
      <c r="E660" s="67"/>
      <c r="F660" s="67"/>
      <c r="G660" s="67"/>
      <c r="H660" s="67"/>
      <c r="I660" s="67"/>
    </row>
    <row r="661" spans="5:9" ht="13">
      <c r="E661" s="67"/>
      <c r="F661" s="67"/>
      <c r="G661" s="67"/>
      <c r="H661" s="67"/>
      <c r="I661" s="67"/>
    </row>
    <row r="662" spans="5:9" ht="13">
      <c r="E662" s="67"/>
      <c r="F662" s="67"/>
      <c r="G662" s="67"/>
      <c r="H662" s="67"/>
      <c r="I662" s="67"/>
    </row>
    <row r="663" spans="5:9" ht="13">
      <c r="E663" s="67"/>
      <c r="F663" s="67"/>
      <c r="G663" s="67"/>
      <c r="H663" s="67"/>
      <c r="I663" s="67"/>
    </row>
    <row r="664" spans="5:9" ht="13">
      <c r="E664" s="67"/>
      <c r="F664" s="67"/>
      <c r="G664" s="67"/>
      <c r="H664" s="67"/>
      <c r="I664" s="67"/>
    </row>
    <row r="665" spans="5:9" ht="13">
      <c r="E665" s="67"/>
      <c r="F665" s="67"/>
      <c r="G665" s="67"/>
      <c r="H665" s="67"/>
      <c r="I665" s="67"/>
    </row>
    <row r="666" spans="5:9" ht="13">
      <c r="E666" s="67"/>
      <c r="F666" s="67"/>
      <c r="G666" s="67"/>
      <c r="H666" s="67"/>
      <c r="I666" s="67"/>
    </row>
    <row r="667" spans="5:9" ht="13">
      <c r="E667" s="67"/>
      <c r="F667" s="67"/>
      <c r="G667" s="67"/>
      <c r="H667" s="67"/>
      <c r="I667" s="67"/>
    </row>
    <row r="668" spans="5:9" ht="13">
      <c r="E668" s="67"/>
      <c r="F668" s="67"/>
      <c r="G668" s="67"/>
      <c r="H668" s="67"/>
      <c r="I668" s="67"/>
    </row>
    <row r="669" spans="5:9" ht="13">
      <c r="E669" s="67"/>
      <c r="F669" s="67"/>
      <c r="G669" s="67"/>
      <c r="H669" s="67"/>
      <c r="I669" s="67"/>
    </row>
    <row r="670" spans="5:9" ht="13">
      <c r="E670" s="67"/>
      <c r="F670" s="67"/>
      <c r="G670" s="67"/>
      <c r="H670" s="67"/>
      <c r="I670" s="67"/>
    </row>
    <row r="671" spans="5:9" ht="13">
      <c r="E671" s="67"/>
      <c r="F671" s="67"/>
      <c r="G671" s="67"/>
      <c r="H671" s="67"/>
      <c r="I671" s="67"/>
    </row>
    <row r="672" spans="5:9" ht="13">
      <c r="E672" s="67"/>
      <c r="F672" s="67"/>
      <c r="G672" s="67"/>
      <c r="H672" s="67"/>
      <c r="I672" s="67"/>
    </row>
    <row r="673" spans="5:9" ht="13">
      <c r="E673" s="67"/>
      <c r="F673" s="67"/>
      <c r="G673" s="67"/>
      <c r="H673" s="67"/>
      <c r="I673" s="67"/>
    </row>
    <row r="674" spans="5:9" ht="13">
      <c r="E674" s="67"/>
      <c r="F674" s="67"/>
      <c r="G674" s="67"/>
      <c r="H674" s="67"/>
      <c r="I674" s="67"/>
    </row>
    <row r="675" spans="5:9" ht="13">
      <c r="E675" s="67"/>
      <c r="F675" s="67"/>
      <c r="G675" s="67"/>
      <c r="H675" s="67"/>
      <c r="I675" s="67"/>
    </row>
    <row r="676" spans="5:9" ht="13">
      <c r="E676" s="67"/>
      <c r="F676" s="67"/>
      <c r="G676" s="67"/>
      <c r="H676" s="67"/>
      <c r="I676" s="67"/>
    </row>
    <row r="677" spans="5:9" ht="13">
      <c r="E677" s="67"/>
      <c r="F677" s="67"/>
      <c r="G677" s="67"/>
      <c r="H677" s="67"/>
      <c r="I677" s="67"/>
    </row>
    <row r="678" spans="5:9" ht="13">
      <c r="E678" s="67"/>
      <c r="F678" s="67"/>
      <c r="G678" s="67"/>
      <c r="H678" s="67"/>
      <c r="I678" s="67"/>
    </row>
    <row r="679" spans="5:9" ht="13">
      <c r="E679" s="67"/>
      <c r="F679" s="67"/>
      <c r="G679" s="67"/>
      <c r="H679" s="67"/>
      <c r="I679" s="67"/>
    </row>
    <row r="680" spans="5:9" ht="13">
      <c r="E680" s="67"/>
      <c r="F680" s="67"/>
      <c r="G680" s="67"/>
      <c r="H680" s="67"/>
      <c r="I680" s="67"/>
    </row>
    <row r="681" spans="5:9" ht="13">
      <c r="E681" s="67"/>
      <c r="F681" s="67"/>
      <c r="G681" s="67"/>
      <c r="H681" s="67"/>
      <c r="I681" s="67"/>
    </row>
    <row r="682" spans="5:9" ht="13">
      <c r="E682" s="67"/>
      <c r="F682" s="67"/>
      <c r="G682" s="67"/>
      <c r="H682" s="67"/>
      <c r="I682" s="67"/>
    </row>
    <row r="683" spans="5:9" ht="13">
      <c r="E683" s="67"/>
      <c r="F683" s="67"/>
      <c r="G683" s="67"/>
      <c r="H683" s="67"/>
      <c r="I683" s="67"/>
    </row>
    <row r="684" spans="5:9" ht="13">
      <c r="E684" s="67"/>
      <c r="F684" s="67"/>
      <c r="G684" s="67"/>
      <c r="H684" s="67"/>
      <c r="I684" s="67"/>
    </row>
    <row r="685" spans="5:9" ht="13">
      <c r="E685" s="67"/>
      <c r="F685" s="67"/>
      <c r="G685" s="67"/>
      <c r="H685" s="67"/>
      <c r="I685" s="67"/>
    </row>
    <row r="686" spans="5:9" ht="13">
      <c r="E686" s="67"/>
      <c r="F686" s="67"/>
      <c r="G686" s="67"/>
      <c r="H686" s="67"/>
      <c r="I686" s="67"/>
    </row>
    <row r="687" spans="5:9" ht="13">
      <c r="E687" s="67"/>
      <c r="F687" s="67"/>
      <c r="G687" s="67"/>
      <c r="H687" s="67"/>
      <c r="I687" s="67"/>
    </row>
    <row r="688" spans="5:9" ht="13">
      <c r="E688" s="67"/>
      <c r="F688" s="67"/>
      <c r="G688" s="67"/>
      <c r="H688" s="67"/>
      <c r="I688" s="67"/>
    </row>
    <row r="689" spans="5:9" ht="13">
      <c r="E689" s="67"/>
      <c r="F689" s="67"/>
      <c r="G689" s="67"/>
      <c r="H689" s="67"/>
      <c r="I689" s="67"/>
    </row>
    <row r="690" spans="5:9" ht="13">
      <c r="E690" s="67"/>
      <c r="F690" s="67"/>
      <c r="G690" s="67"/>
      <c r="H690" s="67"/>
      <c r="I690" s="67"/>
    </row>
    <row r="691" spans="5:9" ht="13">
      <c r="E691" s="67"/>
      <c r="F691" s="67"/>
      <c r="G691" s="67"/>
      <c r="H691" s="67"/>
      <c r="I691" s="67"/>
    </row>
    <row r="692" spans="5:9" ht="13">
      <c r="E692" s="67"/>
      <c r="F692" s="67"/>
      <c r="G692" s="67"/>
      <c r="H692" s="67"/>
      <c r="I692" s="67"/>
    </row>
    <row r="693" spans="5:9" ht="13">
      <c r="E693" s="67"/>
      <c r="F693" s="67"/>
      <c r="G693" s="67"/>
      <c r="H693" s="67"/>
      <c r="I693" s="67"/>
    </row>
    <row r="694" spans="5:9" ht="13">
      <c r="E694" s="67"/>
      <c r="F694" s="67"/>
      <c r="G694" s="67"/>
      <c r="H694" s="67"/>
      <c r="I694" s="67"/>
    </row>
    <row r="695" spans="5:9" ht="13">
      <c r="E695" s="67"/>
      <c r="F695" s="67"/>
      <c r="G695" s="67"/>
      <c r="H695" s="67"/>
      <c r="I695" s="67"/>
    </row>
    <row r="696" spans="5:9" ht="13">
      <c r="E696" s="67"/>
      <c r="F696" s="67"/>
      <c r="G696" s="67"/>
      <c r="H696" s="67"/>
      <c r="I696" s="67"/>
    </row>
    <row r="697" spans="5:9" ht="13">
      <c r="E697" s="67"/>
      <c r="F697" s="67"/>
      <c r="G697" s="67"/>
      <c r="H697" s="67"/>
      <c r="I697" s="67"/>
    </row>
    <row r="698" spans="5:9" ht="13">
      <c r="E698" s="67"/>
      <c r="F698" s="67"/>
      <c r="G698" s="67"/>
      <c r="H698" s="67"/>
      <c r="I698" s="67"/>
    </row>
    <row r="699" spans="5:9" ht="13">
      <c r="E699" s="67"/>
      <c r="F699" s="67"/>
      <c r="G699" s="67"/>
      <c r="H699" s="67"/>
      <c r="I699" s="67"/>
    </row>
    <row r="700" spans="5:9" ht="13">
      <c r="E700" s="67"/>
      <c r="F700" s="67"/>
      <c r="G700" s="67"/>
      <c r="H700" s="67"/>
      <c r="I700" s="67"/>
    </row>
    <row r="701" spans="5:9" ht="13">
      <c r="E701" s="67"/>
      <c r="F701" s="67"/>
      <c r="G701" s="67"/>
      <c r="H701" s="67"/>
      <c r="I701" s="67"/>
    </row>
    <row r="702" spans="5:9" ht="13">
      <c r="E702" s="67"/>
      <c r="F702" s="67"/>
      <c r="G702" s="67"/>
      <c r="H702" s="67"/>
      <c r="I702" s="67"/>
    </row>
    <row r="703" spans="5:9" ht="13">
      <c r="E703" s="67"/>
      <c r="F703" s="67"/>
      <c r="G703" s="67"/>
      <c r="H703" s="67"/>
      <c r="I703" s="67"/>
    </row>
    <row r="704" spans="5:9" ht="13">
      <c r="E704" s="67"/>
      <c r="F704" s="67"/>
      <c r="G704" s="67"/>
      <c r="H704" s="67"/>
      <c r="I704" s="67"/>
    </row>
    <row r="705" spans="5:9" ht="13">
      <c r="E705" s="67"/>
      <c r="F705" s="67"/>
      <c r="G705" s="67"/>
      <c r="H705" s="67"/>
      <c r="I705" s="67"/>
    </row>
    <row r="706" spans="5:9" ht="13">
      <c r="E706" s="67"/>
      <c r="F706" s="67"/>
      <c r="G706" s="67"/>
      <c r="H706" s="67"/>
      <c r="I706" s="67"/>
    </row>
    <row r="707" spans="5:9" ht="13">
      <c r="E707" s="67"/>
      <c r="F707" s="67"/>
      <c r="G707" s="67"/>
      <c r="H707" s="67"/>
      <c r="I707" s="67"/>
    </row>
    <row r="708" spans="5:9" ht="13">
      <c r="E708" s="67"/>
      <c r="F708" s="67"/>
      <c r="G708" s="67"/>
      <c r="H708" s="67"/>
      <c r="I708" s="67"/>
    </row>
    <row r="709" spans="5:9" ht="13">
      <c r="E709" s="67"/>
      <c r="F709" s="67"/>
      <c r="G709" s="67"/>
      <c r="H709" s="67"/>
      <c r="I709" s="67"/>
    </row>
    <row r="710" spans="5:9" ht="13">
      <c r="E710" s="67"/>
      <c r="F710" s="67"/>
      <c r="G710" s="67"/>
      <c r="H710" s="67"/>
      <c r="I710" s="67"/>
    </row>
    <row r="711" spans="5:9" ht="13">
      <c r="E711" s="67"/>
      <c r="F711" s="67"/>
      <c r="G711" s="67"/>
      <c r="H711" s="67"/>
      <c r="I711" s="67"/>
    </row>
    <row r="712" spans="5:9" ht="13">
      <c r="E712" s="67"/>
      <c r="F712" s="67"/>
      <c r="G712" s="67"/>
      <c r="H712" s="67"/>
      <c r="I712" s="67"/>
    </row>
    <row r="713" spans="5:9" ht="13">
      <c r="E713" s="67"/>
      <c r="F713" s="67"/>
      <c r="G713" s="67"/>
      <c r="H713" s="67"/>
      <c r="I713" s="67"/>
    </row>
    <row r="714" spans="5:9" ht="13">
      <c r="E714" s="67"/>
      <c r="F714" s="67"/>
      <c r="G714" s="67"/>
      <c r="H714" s="67"/>
      <c r="I714" s="67"/>
    </row>
    <row r="715" spans="5:9" ht="13">
      <c r="E715" s="67"/>
      <c r="F715" s="67"/>
      <c r="G715" s="67"/>
      <c r="H715" s="67"/>
      <c r="I715" s="67"/>
    </row>
    <row r="716" spans="5:9" ht="13">
      <c r="E716" s="67"/>
      <c r="F716" s="67"/>
      <c r="G716" s="67"/>
      <c r="H716" s="67"/>
      <c r="I716" s="67"/>
    </row>
    <row r="717" spans="5:9" ht="13">
      <c r="E717" s="67"/>
      <c r="F717" s="67"/>
      <c r="G717" s="67"/>
      <c r="H717" s="67"/>
      <c r="I717" s="67"/>
    </row>
    <row r="718" spans="5:9" ht="13">
      <c r="E718" s="67"/>
      <c r="F718" s="67"/>
      <c r="G718" s="67"/>
      <c r="H718" s="67"/>
      <c r="I718" s="67"/>
    </row>
    <row r="719" spans="5:9" ht="13">
      <c r="E719" s="67"/>
      <c r="F719" s="67"/>
      <c r="G719" s="67"/>
      <c r="H719" s="67"/>
      <c r="I719" s="67"/>
    </row>
    <row r="720" spans="5:9" ht="13">
      <c r="E720" s="67"/>
      <c r="F720" s="67"/>
      <c r="G720" s="67"/>
      <c r="H720" s="67"/>
      <c r="I720" s="67"/>
    </row>
    <row r="721" spans="5:9" ht="13">
      <c r="E721" s="67"/>
      <c r="F721" s="67"/>
      <c r="G721" s="67"/>
      <c r="H721" s="67"/>
      <c r="I721" s="67"/>
    </row>
    <row r="722" spans="5:9" ht="13">
      <c r="E722" s="67"/>
      <c r="F722" s="67"/>
      <c r="G722" s="67"/>
      <c r="H722" s="67"/>
      <c r="I722" s="67"/>
    </row>
    <row r="723" spans="5:9" ht="13">
      <c r="E723" s="67"/>
      <c r="F723" s="67"/>
      <c r="G723" s="67"/>
      <c r="H723" s="67"/>
      <c r="I723" s="67"/>
    </row>
    <row r="724" spans="5:9" ht="13">
      <c r="E724" s="67"/>
      <c r="F724" s="67"/>
      <c r="G724" s="67"/>
      <c r="H724" s="67"/>
      <c r="I724" s="67"/>
    </row>
    <row r="725" spans="5:9" ht="13">
      <c r="E725" s="67"/>
      <c r="F725" s="67"/>
      <c r="G725" s="67"/>
      <c r="H725" s="67"/>
      <c r="I725" s="67"/>
    </row>
    <row r="726" spans="5:9" ht="13">
      <c r="E726" s="67"/>
      <c r="F726" s="67"/>
      <c r="G726" s="67"/>
      <c r="H726" s="67"/>
      <c r="I726" s="67"/>
    </row>
    <row r="727" spans="5:9" ht="13">
      <c r="E727" s="67"/>
      <c r="F727" s="67"/>
      <c r="G727" s="67"/>
      <c r="H727" s="67"/>
      <c r="I727" s="67"/>
    </row>
    <row r="728" spans="5:9" ht="13">
      <c r="E728" s="67"/>
      <c r="F728" s="67"/>
      <c r="G728" s="67"/>
      <c r="H728" s="67"/>
      <c r="I728" s="67"/>
    </row>
    <row r="729" spans="5:9" ht="13">
      <c r="E729" s="67"/>
      <c r="F729" s="67"/>
      <c r="G729" s="67"/>
      <c r="H729" s="67"/>
      <c r="I729" s="67"/>
    </row>
    <row r="730" spans="5:9" ht="13">
      <c r="E730" s="67"/>
      <c r="F730" s="67"/>
      <c r="G730" s="67"/>
      <c r="H730" s="67"/>
      <c r="I730" s="67"/>
    </row>
    <row r="731" spans="5:9" ht="13">
      <c r="E731" s="67"/>
      <c r="F731" s="67"/>
      <c r="G731" s="67"/>
      <c r="H731" s="67"/>
      <c r="I731" s="67"/>
    </row>
    <row r="732" spans="5:9" ht="13">
      <c r="E732" s="67"/>
      <c r="F732" s="67"/>
      <c r="G732" s="67"/>
      <c r="H732" s="67"/>
      <c r="I732" s="67"/>
    </row>
    <row r="733" spans="5:9" ht="13">
      <c r="E733" s="67"/>
      <c r="F733" s="67"/>
      <c r="G733" s="67"/>
      <c r="H733" s="67"/>
      <c r="I733" s="67"/>
    </row>
    <row r="734" spans="5:9" ht="13">
      <c r="E734" s="67"/>
      <c r="F734" s="67"/>
      <c r="G734" s="67"/>
      <c r="H734" s="67"/>
      <c r="I734" s="67"/>
    </row>
    <row r="735" spans="5:9" ht="13">
      <c r="E735" s="67"/>
      <c r="F735" s="67"/>
      <c r="G735" s="67"/>
      <c r="H735" s="67"/>
      <c r="I735" s="67"/>
    </row>
    <row r="736" spans="5:9" ht="13">
      <c r="E736" s="67"/>
      <c r="F736" s="67"/>
      <c r="G736" s="67"/>
      <c r="H736" s="67"/>
      <c r="I736" s="67"/>
    </row>
    <row r="737" spans="5:9" ht="13">
      <c r="E737" s="67"/>
      <c r="F737" s="67"/>
      <c r="G737" s="67"/>
      <c r="H737" s="67"/>
      <c r="I737" s="67"/>
    </row>
    <row r="738" spans="5:9" ht="13">
      <c r="E738" s="67"/>
      <c r="F738" s="67"/>
      <c r="G738" s="67"/>
      <c r="H738" s="67"/>
      <c r="I738" s="67"/>
    </row>
    <row r="739" spans="5:9" ht="13">
      <c r="E739" s="67"/>
      <c r="F739" s="67"/>
      <c r="G739" s="67"/>
      <c r="H739" s="67"/>
      <c r="I739" s="67"/>
    </row>
    <row r="740" spans="5:9" ht="13">
      <c r="E740" s="67"/>
      <c r="F740" s="67"/>
      <c r="G740" s="67"/>
      <c r="H740" s="67"/>
      <c r="I740" s="67"/>
    </row>
    <row r="741" spans="5:9" ht="13">
      <c r="E741" s="67"/>
      <c r="F741" s="67"/>
      <c r="G741" s="67"/>
      <c r="H741" s="67"/>
      <c r="I741" s="67"/>
    </row>
    <row r="742" spans="5:9" ht="13">
      <c r="E742" s="67"/>
      <c r="F742" s="67"/>
      <c r="G742" s="67"/>
      <c r="H742" s="67"/>
      <c r="I742" s="67"/>
    </row>
    <row r="743" spans="5:9" ht="13">
      <c r="E743" s="67"/>
      <c r="F743" s="67"/>
      <c r="G743" s="67"/>
      <c r="H743" s="67"/>
      <c r="I743" s="67"/>
    </row>
    <row r="744" spans="5:9" ht="13">
      <c r="E744" s="67"/>
      <c r="F744" s="67"/>
      <c r="G744" s="67"/>
      <c r="H744" s="67"/>
      <c r="I744" s="67"/>
    </row>
    <row r="745" spans="5:9" ht="13">
      <c r="E745" s="67"/>
      <c r="F745" s="67"/>
      <c r="G745" s="67"/>
      <c r="H745" s="67"/>
      <c r="I745" s="67"/>
    </row>
    <row r="746" spans="5:9" ht="13">
      <c r="E746" s="67"/>
      <c r="F746" s="67"/>
      <c r="G746" s="67"/>
      <c r="H746" s="67"/>
      <c r="I746" s="67"/>
    </row>
    <row r="747" spans="5:9" ht="13">
      <c r="E747" s="67"/>
      <c r="F747" s="67"/>
      <c r="G747" s="67"/>
      <c r="H747" s="67"/>
      <c r="I747" s="67"/>
    </row>
    <row r="748" spans="5:9" ht="13">
      <c r="E748" s="67"/>
      <c r="F748" s="67"/>
      <c r="G748" s="67"/>
      <c r="H748" s="67"/>
      <c r="I748" s="67"/>
    </row>
    <row r="749" spans="5:9" ht="13">
      <c r="E749" s="67"/>
      <c r="F749" s="67"/>
      <c r="G749" s="67"/>
      <c r="H749" s="67"/>
      <c r="I749" s="67"/>
    </row>
    <row r="750" spans="5:9" ht="13">
      <c r="E750" s="67"/>
      <c r="F750" s="67"/>
      <c r="G750" s="67"/>
      <c r="H750" s="67"/>
      <c r="I750" s="67"/>
    </row>
    <row r="751" spans="5:9" ht="13">
      <c r="E751" s="67"/>
      <c r="F751" s="67"/>
      <c r="G751" s="67"/>
      <c r="H751" s="67"/>
      <c r="I751" s="67"/>
    </row>
    <row r="752" spans="5:9" ht="13">
      <c r="E752" s="67"/>
      <c r="F752" s="67"/>
      <c r="G752" s="67"/>
      <c r="H752" s="67"/>
      <c r="I752" s="67"/>
    </row>
    <row r="753" spans="5:9" ht="13">
      <c r="E753" s="67"/>
      <c r="F753" s="67"/>
      <c r="G753" s="67"/>
      <c r="H753" s="67"/>
      <c r="I753" s="67"/>
    </row>
    <row r="754" spans="5:9" ht="13">
      <c r="E754" s="67"/>
      <c r="F754" s="67"/>
      <c r="G754" s="67"/>
      <c r="H754" s="67"/>
      <c r="I754" s="67"/>
    </row>
    <row r="755" spans="5:9" ht="13">
      <c r="E755" s="67"/>
      <c r="F755" s="67"/>
      <c r="G755" s="67"/>
      <c r="H755" s="67"/>
      <c r="I755" s="67"/>
    </row>
    <row r="756" spans="5:9" ht="13">
      <c r="E756" s="67"/>
      <c r="F756" s="67"/>
      <c r="G756" s="67"/>
      <c r="H756" s="67"/>
      <c r="I756" s="67"/>
    </row>
    <row r="757" spans="5:9" ht="13">
      <c r="E757" s="67"/>
      <c r="F757" s="67"/>
      <c r="G757" s="67"/>
      <c r="H757" s="67"/>
      <c r="I757" s="67"/>
    </row>
    <row r="758" spans="5:9" ht="13">
      <c r="E758" s="67"/>
      <c r="F758" s="67"/>
      <c r="G758" s="67"/>
      <c r="H758" s="67"/>
      <c r="I758" s="67"/>
    </row>
    <row r="759" spans="5:9" ht="13">
      <c r="E759" s="67"/>
      <c r="F759" s="67"/>
      <c r="G759" s="67"/>
      <c r="H759" s="67"/>
      <c r="I759" s="67"/>
    </row>
    <row r="760" spans="5:9" ht="13">
      <c r="E760" s="67"/>
      <c r="F760" s="67"/>
      <c r="G760" s="67"/>
      <c r="H760" s="67"/>
      <c r="I760" s="67"/>
    </row>
    <row r="761" spans="5:9" ht="13">
      <c r="E761" s="67"/>
      <c r="F761" s="67"/>
      <c r="G761" s="67"/>
      <c r="H761" s="67"/>
      <c r="I761" s="67"/>
    </row>
    <row r="762" spans="5:9" ht="13">
      <c r="E762" s="67"/>
      <c r="F762" s="67"/>
      <c r="G762" s="67"/>
      <c r="H762" s="67"/>
      <c r="I762" s="67"/>
    </row>
    <row r="763" spans="5:9" ht="13">
      <c r="E763" s="67"/>
      <c r="F763" s="67"/>
      <c r="G763" s="67"/>
      <c r="H763" s="67"/>
      <c r="I763" s="67"/>
    </row>
    <row r="764" spans="5:9" ht="13">
      <c r="E764" s="67"/>
      <c r="F764" s="67"/>
      <c r="G764" s="67"/>
      <c r="H764" s="67"/>
      <c r="I764" s="67"/>
    </row>
    <row r="765" spans="5:9" ht="13">
      <c r="E765" s="67"/>
      <c r="F765" s="67"/>
      <c r="G765" s="67"/>
      <c r="H765" s="67"/>
      <c r="I765" s="67"/>
    </row>
    <row r="766" spans="5:9" ht="13">
      <c r="E766" s="67"/>
      <c r="F766" s="67"/>
      <c r="G766" s="67"/>
      <c r="H766" s="67"/>
      <c r="I766" s="67"/>
    </row>
    <row r="767" spans="5:9" ht="13">
      <c r="E767" s="67"/>
      <c r="F767" s="67"/>
      <c r="G767" s="67"/>
      <c r="H767" s="67"/>
      <c r="I767" s="67"/>
    </row>
    <row r="768" spans="5:9" ht="13">
      <c r="E768" s="67"/>
      <c r="F768" s="67"/>
      <c r="G768" s="67"/>
      <c r="H768" s="67"/>
      <c r="I768" s="67"/>
    </row>
    <row r="769" spans="5:9" ht="13">
      <c r="E769" s="67"/>
      <c r="F769" s="67"/>
      <c r="G769" s="67"/>
      <c r="H769" s="67"/>
      <c r="I769" s="67"/>
    </row>
    <row r="770" spans="5:9" ht="13">
      <c r="E770" s="67"/>
      <c r="F770" s="67"/>
      <c r="G770" s="67"/>
      <c r="H770" s="67"/>
      <c r="I770" s="67"/>
    </row>
    <row r="771" spans="5:9" ht="13">
      <c r="E771" s="67"/>
      <c r="F771" s="67"/>
      <c r="G771" s="67"/>
      <c r="H771" s="67"/>
      <c r="I771" s="67"/>
    </row>
    <row r="772" spans="5:9" ht="13">
      <c r="E772" s="67"/>
      <c r="F772" s="67"/>
      <c r="G772" s="67"/>
      <c r="H772" s="67"/>
      <c r="I772" s="67"/>
    </row>
    <row r="773" spans="5:9" ht="13">
      <c r="E773" s="67"/>
      <c r="F773" s="67"/>
      <c r="G773" s="67"/>
      <c r="H773" s="67"/>
      <c r="I773" s="67"/>
    </row>
    <row r="774" spans="5:9" ht="13">
      <c r="E774" s="67"/>
      <c r="F774" s="67"/>
      <c r="G774" s="67"/>
      <c r="H774" s="67"/>
      <c r="I774" s="67"/>
    </row>
    <row r="775" spans="5:9" ht="13">
      <c r="E775" s="67"/>
      <c r="F775" s="67"/>
      <c r="G775" s="67"/>
      <c r="H775" s="67"/>
      <c r="I775" s="67"/>
    </row>
    <row r="776" spans="5:9" ht="13">
      <c r="E776" s="67"/>
      <c r="F776" s="67"/>
      <c r="G776" s="67"/>
      <c r="H776" s="67"/>
      <c r="I776" s="67"/>
    </row>
    <row r="777" spans="5:9" ht="13">
      <c r="E777" s="67"/>
      <c r="F777" s="67"/>
      <c r="G777" s="67"/>
      <c r="H777" s="67"/>
      <c r="I777" s="67"/>
    </row>
    <row r="778" spans="5:9" ht="13">
      <c r="E778" s="67"/>
      <c r="F778" s="67"/>
      <c r="G778" s="67"/>
      <c r="H778" s="67"/>
      <c r="I778" s="67"/>
    </row>
    <row r="779" spans="5:9" ht="13">
      <c r="E779" s="67"/>
      <c r="F779" s="67"/>
      <c r="G779" s="67"/>
      <c r="H779" s="67"/>
      <c r="I779" s="67"/>
    </row>
    <row r="780" spans="5:9" ht="13">
      <c r="E780" s="67"/>
      <c r="F780" s="67"/>
      <c r="G780" s="67"/>
      <c r="H780" s="67"/>
      <c r="I780" s="67"/>
    </row>
    <row r="781" spans="5:9" ht="13">
      <c r="E781" s="67"/>
      <c r="F781" s="67"/>
      <c r="G781" s="67"/>
      <c r="H781" s="67"/>
      <c r="I781" s="67"/>
    </row>
    <row r="782" spans="5:9" ht="13">
      <c r="E782" s="67"/>
      <c r="F782" s="67"/>
      <c r="G782" s="67"/>
      <c r="H782" s="67"/>
      <c r="I782" s="67"/>
    </row>
    <row r="783" spans="5:9" ht="13">
      <c r="E783" s="67"/>
      <c r="F783" s="67"/>
      <c r="G783" s="67"/>
      <c r="H783" s="67"/>
      <c r="I783" s="67"/>
    </row>
    <row r="784" spans="5:9" ht="13">
      <c r="E784" s="67"/>
      <c r="F784" s="67"/>
      <c r="G784" s="67"/>
      <c r="H784" s="67"/>
      <c r="I784" s="67"/>
    </row>
    <row r="785" spans="5:9" ht="13">
      <c r="E785" s="67"/>
      <c r="F785" s="67"/>
      <c r="G785" s="67"/>
      <c r="H785" s="67"/>
      <c r="I785" s="67"/>
    </row>
    <row r="786" spans="5:9" ht="13">
      <c r="E786" s="67"/>
      <c r="F786" s="67"/>
      <c r="G786" s="67"/>
      <c r="H786" s="67"/>
      <c r="I786" s="67"/>
    </row>
    <row r="787" spans="5:9" ht="13">
      <c r="E787" s="67"/>
      <c r="F787" s="67"/>
      <c r="G787" s="67"/>
      <c r="H787" s="67"/>
      <c r="I787" s="67"/>
    </row>
    <row r="788" spans="5:9" ht="13">
      <c r="E788" s="67"/>
      <c r="F788" s="67"/>
      <c r="G788" s="67"/>
      <c r="H788" s="67"/>
      <c r="I788" s="67"/>
    </row>
    <row r="789" spans="5:9" ht="13">
      <c r="E789" s="67"/>
      <c r="F789" s="67"/>
      <c r="G789" s="67"/>
      <c r="H789" s="67"/>
      <c r="I789" s="67"/>
    </row>
    <row r="790" spans="5:9" ht="13">
      <c r="E790" s="67"/>
      <c r="F790" s="67"/>
      <c r="G790" s="67"/>
      <c r="H790" s="67"/>
      <c r="I790" s="67"/>
    </row>
    <row r="791" spans="5:9" ht="13">
      <c r="E791" s="67"/>
      <c r="F791" s="67"/>
      <c r="G791" s="67"/>
      <c r="H791" s="67"/>
      <c r="I791" s="67"/>
    </row>
    <row r="792" spans="5:9" ht="13">
      <c r="E792" s="67"/>
      <c r="F792" s="67"/>
      <c r="G792" s="67"/>
      <c r="H792" s="67"/>
      <c r="I792" s="67"/>
    </row>
    <row r="793" spans="5:9" ht="13">
      <c r="E793" s="67"/>
      <c r="F793" s="67"/>
      <c r="G793" s="67"/>
      <c r="H793" s="67"/>
      <c r="I793" s="67"/>
    </row>
    <row r="794" spans="5:9" ht="13">
      <c r="E794" s="67"/>
      <c r="F794" s="67"/>
      <c r="G794" s="67"/>
      <c r="H794" s="67"/>
      <c r="I794" s="67"/>
    </row>
    <row r="795" spans="5:9" ht="13">
      <c r="E795" s="67"/>
      <c r="F795" s="67"/>
      <c r="G795" s="67"/>
      <c r="H795" s="67"/>
      <c r="I795" s="67"/>
    </row>
    <row r="796" spans="5:9" ht="13">
      <c r="E796" s="67"/>
      <c r="F796" s="67"/>
      <c r="G796" s="67"/>
      <c r="H796" s="67"/>
      <c r="I796" s="67"/>
    </row>
    <row r="797" spans="5:9" ht="13">
      <c r="E797" s="67"/>
      <c r="F797" s="67"/>
      <c r="G797" s="67"/>
      <c r="H797" s="67"/>
      <c r="I797" s="67"/>
    </row>
    <row r="798" spans="5:9" ht="13">
      <c r="E798" s="67"/>
      <c r="F798" s="67"/>
      <c r="G798" s="67"/>
      <c r="H798" s="67"/>
      <c r="I798" s="67"/>
    </row>
    <row r="799" spans="5:9" ht="13">
      <c r="E799" s="67"/>
      <c r="F799" s="67"/>
      <c r="G799" s="67"/>
      <c r="H799" s="67"/>
      <c r="I799" s="67"/>
    </row>
    <row r="800" spans="5:9" ht="13">
      <c r="E800" s="67"/>
      <c r="F800" s="67"/>
      <c r="G800" s="67"/>
      <c r="H800" s="67"/>
      <c r="I800" s="67"/>
    </row>
    <row r="801" spans="5:9" ht="13">
      <c r="E801" s="67"/>
      <c r="F801" s="67"/>
      <c r="G801" s="67"/>
      <c r="H801" s="67"/>
      <c r="I801" s="67"/>
    </row>
    <row r="802" spans="5:9" ht="13">
      <c r="E802" s="67"/>
      <c r="F802" s="67"/>
      <c r="G802" s="67"/>
      <c r="H802" s="67"/>
      <c r="I802" s="67"/>
    </row>
    <row r="803" spans="5:9" ht="13">
      <c r="E803" s="67"/>
      <c r="F803" s="67"/>
      <c r="G803" s="67"/>
      <c r="H803" s="67"/>
      <c r="I803" s="67"/>
    </row>
    <row r="804" spans="5:9" ht="13">
      <c r="E804" s="67"/>
      <c r="F804" s="67"/>
      <c r="G804" s="67"/>
      <c r="H804" s="67"/>
      <c r="I804" s="67"/>
    </row>
    <row r="805" spans="5:9" ht="13">
      <c r="E805" s="67"/>
      <c r="F805" s="67"/>
      <c r="G805" s="67"/>
      <c r="H805" s="67"/>
      <c r="I805" s="67"/>
    </row>
    <row r="806" spans="5:9" ht="13">
      <c r="E806" s="67"/>
      <c r="F806" s="67"/>
      <c r="G806" s="67"/>
      <c r="H806" s="67"/>
      <c r="I806" s="67"/>
    </row>
    <row r="807" spans="5:9" ht="13">
      <c r="E807" s="67"/>
      <c r="F807" s="67"/>
      <c r="G807" s="67"/>
      <c r="H807" s="67"/>
      <c r="I807" s="67"/>
    </row>
    <row r="808" spans="5:9" ht="13">
      <c r="E808" s="67"/>
      <c r="F808" s="67"/>
      <c r="G808" s="67"/>
      <c r="H808" s="67"/>
      <c r="I808" s="67"/>
    </row>
    <row r="809" spans="5:9" ht="13">
      <c r="E809" s="67"/>
      <c r="F809" s="67"/>
      <c r="G809" s="67"/>
      <c r="H809" s="67"/>
      <c r="I809" s="67"/>
    </row>
    <row r="810" spans="5:9" ht="13">
      <c r="E810" s="67"/>
      <c r="F810" s="67"/>
      <c r="G810" s="67"/>
      <c r="H810" s="67"/>
      <c r="I810" s="67"/>
    </row>
    <row r="811" spans="5:9" ht="13">
      <c r="E811" s="67"/>
      <c r="F811" s="67"/>
      <c r="G811" s="67"/>
      <c r="H811" s="67"/>
      <c r="I811" s="67"/>
    </row>
    <row r="812" spans="5:9" ht="13">
      <c r="E812" s="67"/>
      <c r="F812" s="67"/>
      <c r="G812" s="67"/>
      <c r="H812" s="67"/>
      <c r="I812" s="67"/>
    </row>
    <row r="813" spans="5:9" ht="13">
      <c r="E813" s="67"/>
      <c r="F813" s="67"/>
      <c r="G813" s="67"/>
      <c r="H813" s="67"/>
      <c r="I813" s="67"/>
    </row>
    <row r="814" spans="5:9" ht="13">
      <c r="E814" s="67"/>
      <c r="F814" s="67"/>
      <c r="G814" s="67"/>
      <c r="H814" s="67"/>
      <c r="I814" s="67"/>
    </row>
    <row r="815" spans="5:9" ht="13">
      <c r="E815" s="67"/>
      <c r="F815" s="67"/>
      <c r="G815" s="67"/>
      <c r="H815" s="67"/>
      <c r="I815" s="67"/>
    </row>
    <row r="816" spans="5:9" ht="13">
      <c r="E816" s="67"/>
      <c r="F816" s="67"/>
      <c r="G816" s="67"/>
      <c r="H816" s="67"/>
      <c r="I816" s="67"/>
    </row>
    <row r="817" spans="5:9" ht="13">
      <c r="E817" s="67"/>
      <c r="F817" s="67"/>
      <c r="G817" s="67"/>
      <c r="H817" s="67"/>
      <c r="I817" s="67"/>
    </row>
    <row r="818" spans="5:9" ht="13">
      <c r="E818" s="67"/>
      <c r="F818" s="67"/>
      <c r="G818" s="67"/>
      <c r="H818" s="67"/>
      <c r="I818" s="67"/>
    </row>
    <row r="819" spans="5:9" ht="13">
      <c r="E819" s="67"/>
      <c r="F819" s="67"/>
      <c r="G819" s="67"/>
      <c r="H819" s="67"/>
      <c r="I819" s="67"/>
    </row>
    <row r="820" spans="5:9" ht="13">
      <c r="E820" s="67"/>
      <c r="F820" s="67"/>
      <c r="G820" s="67"/>
      <c r="H820" s="67"/>
      <c r="I820" s="67"/>
    </row>
    <row r="821" spans="5:9" ht="13">
      <c r="E821" s="67"/>
      <c r="F821" s="67"/>
      <c r="G821" s="67"/>
      <c r="H821" s="67"/>
      <c r="I821" s="67"/>
    </row>
    <row r="822" spans="5:9" ht="13">
      <c r="E822" s="67"/>
      <c r="F822" s="67"/>
      <c r="G822" s="67"/>
      <c r="H822" s="67"/>
      <c r="I822" s="67"/>
    </row>
    <row r="823" spans="5:9" ht="13">
      <c r="E823" s="67"/>
      <c r="F823" s="67"/>
      <c r="G823" s="67"/>
      <c r="H823" s="67"/>
      <c r="I823" s="67"/>
    </row>
    <row r="824" spans="5:9" ht="13">
      <c r="E824" s="67"/>
      <c r="F824" s="67"/>
      <c r="G824" s="67"/>
      <c r="H824" s="67"/>
      <c r="I824" s="67"/>
    </row>
    <row r="825" spans="5:9" ht="13">
      <c r="E825" s="67"/>
      <c r="F825" s="67"/>
      <c r="G825" s="67"/>
      <c r="H825" s="67"/>
      <c r="I825" s="67"/>
    </row>
    <row r="826" spans="5:9" ht="13">
      <c r="E826" s="67"/>
      <c r="F826" s="67"/>
      <c r="G826" s="67"/>
      <c r="H826" s="67"/>
      <c r="I826" s="67"/>
    </row>
    <row r="827" spans="5:9" ht="13">
      <c r="E827" s="67"/>
      <c r="F827" s="67"/>
      <c r="G827" s="67"/>
      <c r="H827" s="67"/>
      <c r="I827" s="67"/>
    </row>
    <row r="828" spans="5:9" ht="13">
      <c r="E828" s="67"/>
      <c r="F828" s="67"/>
      <c r="G828" s="67"/>
      <c r="H828" s="67"/>
      <c r="I828" s="67"/>
    </row>
    <row r="829" spans="5:9" ht="13">
      <c r="E829" s="67"/>
      <c r="F829" s="67"/>
      <c r="G829" s="67"/>
      <c r="H829" s="67"/>
      <c r="I829" s="67"/>
    </row>
    <row r="830" spans="5:9" ht="13">
      <c r="E830" s="67"/>
      <c r="F830" s="67"/>
      <c r="G830" s="67"/>
      <c r="H830" s="67"/>
      <c r="I830" s="67"/>
    </row>
    <row r="831" spans="5:9" ht="13">
      <c r="E831" s="67"/>
      <c r="F831" s="67"/>
      <c r="G831" s="67"/>
      <c r="H831" s="67"/>
      <c r="I831" s="67"/>
    </row>
    <row r="832" spans="5:9" ht="13">
      <c r="E832" s="67"/>
      <c r="F832" s="67"/>
      <c r="G832" s="67"/>
      <c r="H832" s="67"/>
      <c r="I832" s="67"/>
    </row>
    <row r="833" spans="5:9" ht="13">
      <c r="E833" s="67"/>
      <c r="F833" s="67"/>
      <c r="G833" s="67"/>
      <c r="H833" s="67"/>
      <c r="I833" s="67"/>
    </row>
    <row r="834" spans="5:9" ht="13">
      <c r="E834" s="67"/>
      <c r="F834" s="67"/>
      <c r="G834" s="67"/>
      <c r="H834" s="67"/>
      <c r="I834" s="67"/>
    </row>
    <row r="835" spans="5:9" ht="13">
      <c r="E835" s="67"/>
      <c r="F835" s="67"/>
      <c r="G835" s="67"/>
      <c r="H835" s="67"/>
      <c r="I835" s="67"/>
    </row>
    <row r="836" spans="5:9" ht="13">
      <c r="E836" s="67"/>
      <c r="F836" s="67"/>
      <c r="G836" s="67"/>
      <c r="H836" s="67"/>
      <c r="I836" s="67"/>
    </row>
    <row r="837" spans="5:9" ht="13">
      <c r="E837" s="67"/>
      <c r="F837" s="67"/>
      <c r="G837" s="67"/>
      <c r="H837" s="67"/>
      <c r="I837" s="67"/>
    </row>
    <row r="838" spans="5:9" ht="13">
      <c r="E838" s="67"/>
      <c r="F838" s="67"/>
      <c r="G838" s="67"/>
      <c r="H838" s="67"/>
      <c r="I838" s="67"/>
    </row>
    <row r="839" spans="5:9" ht="13">
      <c r="E839" s="67"/>
      <c r="F839" s="67"/>
      <c r="G839" s="67"/>
      <c r="H839" s="67"/>
      <c r="I839" s="67"/>
    </row>
    <row r="840" spans="5:9" ht="13">
      <c r="E840" s="67"/>
      <c r="F840" s="67"/>
      <c r="G840" s="67"/>
      <c r="H840" s="67"/>
      <c r="I840" s="67"/>
    </row>
    <row r="841" spans="5:9" ht="13">
      <c r="E841" s="67"/>
      <c r="F841" s="67"/>
      <c r="G841" s="67"/>
      <c r="H841" s="67"/>
      <c r="I841" s="67"/>
    </row>
    <row r="842" spans="5:9" ht="13">
      <c r="E842" s="67"/>
      <c r="F842" s="67"/>
      <c r="G842" s="67"/>
      <c r="H842" s="67"/>
      <c r="I842" s="67"/>
    </row>
    <row r="843" spans="5:9" ht="13">
      <c r="E843" s="67"/>
      <c r="F843" s="67"/>
      <c r="G843" s="67"/>
      <c r="H843" s="67"/>
      <c r="I843" s="67"/>
    </row>
    <row r="844" spans="5:9" ht="13">
      <c r="E844" s="67"/>
      <c r="F844" s="67"/>
      <c r="G844" s="67"/>
      <c r="H844" s="67"/>
      <c r="I844" s="67"/>
    </row>
    <row r="845" spans="5:9" ht="13">
      <c r="E845" s="67"/>
      <c r="F845" s="67"/>
      <c r="G845" s="67"/>
      <c r="H845" s="67"/>
      <c r="I845" s="67"/>
    </row>
    <row r="846" spans="5:9" ht="13">
      <c r="E846" s="67"/>
      <c r="F846" s="67"/>
      <c r="G846" s="67"/>
      <c r="H846" s="67"/>
      <c r="I846" s="67"/>
    </row>
    <row r="847" spans="5:9" ht="13">
      <c r="E847" s="67"/>
      <c r="F847" s="67"/>
      <c r="G847" s="67"/>
      <c r="H847" s="67"/>
      <c r="I847" s="67"/>
    </row>
    <row r="848" spans="5:9" ht="13">
      <c r="E848" s="67"/>
      <c r="F848" s="67"/>
      <c r="G848" s="67"/>
      <c r="H848" s="67"/>
      <c r="I848" s="67"/>
    </row>
    <row r="849" spans="5:9" ht="13">
      <c r="E849" s="67"/>
      <c r="F849" s="67"/>
      <c r="G849" s="67"/>
      <c r="H849" s="67"/>
      <c r="I849" s="67"/>
    </row>
    <row r="850" spans="5:9" ht="13">
      <c r="E850" s="67"/>
      <c r="F850" s="67"/>
      <c r="G850" s="67"/>
      <c r="H850" s="67"/>
      <c r="I850" s="67"/>
    </row>
    <row r="851" spans="5:9" ht="13">
      <c r="E851" s="67"/>
      <c r="F851" s="67"/>
      <c r="G851" s="67"/>
      <c r="H851" s="67"/>
      <c r="I851" s="67"/>
    </row>
    <row r="852" spans="5:9" ht="13">
      <c r="E852" s="67"/>
      <c r="F852" s="67"/>
      <c r="G852" s="67"/>
      <c r="H852" s="67"/>
      <c r="I852" s="67"/>
    </row>
    <row r="853" spans="5:9" ht="13">
      <c r="E853" s="67"/>
      <c r="F853" s="67"/>
      <c r="G853" s="67"/>
      <c r="H853" s="67"/>
      <c r="I853" s="67"/>
    </row>
    <row r="854" spans="5:9" ht="13">
      <c r="E854" s="67"/>
      <c r="F854" s="67"/>
      <c r="G854" s="67"/>
      <c r="H854" s="67"/>
      <c r="I854" s="67"/>
    </row>
    <row r="855" spans="5:9" ht="13">
      <c r="E855" s="67"/>
      <c r="F855" s="67"/>
      <c r="G855" s="67"/>
      <c r="H855" s="67"/>
      <c r="I855" s="67"/>
    </row>
    <row r="856" spans="5:9" ht="13">
      <c r="E856" s="67"/>
      <c r="F856" s="67"/>
      <c r="G856" s="67"/>
      <c r="H856" s="67"/>
      <c r="I856" s="67"/>
    </row>
    <row r="857" spans="5:9" ht="13">
      <c r="E857" s="67"/>
      <c r="F857" s="67"/>
      <c r="G857" s="67"/>
      <c r="H857" s="67"/>
      <c r="I857" s="67"/>
    </row>
    <row r="858" spans="5:9" ht="13">
      <c r="E858" s="67"/>
      <c r="F858" s="67"/>
      <c r="G858" s="67"/>
      <c r="H858" s="67"/>
      <c r="I858" s="67"/>
    </row>
    <row r="859" spans="5:9" ht="13">
      <c r="E859" s="67"/>
      <c r="F859" s="67"/>
      <c r="G859" s="67"/>
      <c r="H859" s="67"/>
      <c r="I859" s="67"/>
    </row>
    <row r="860" spans="5:9" ht="13">
      <c r="E860" s="67"/>
      <c r="F860" s="67"/>
      <c r="G860" s="67"/>
      <c r="H860" s="67"/>
      <c r="I860" s="67"/>
    </row>
    <row r="861" spans="5:9" ht="13">
      <c r="E861" s="67"/>
      <c r="F861" s="67"/>
      <c r="G861" s="67"/>
      <c r="H861" s="67"/>
      <c r="I861" s="67"/>
    </row>
    <row r="862" spans="5:9" ht="13">
      <c r="E862" s="67"/>
      <c r="F862" s="67"/>
      <c r="G862" s="67"/>
      <c r="H862" s="67"/>
      <c r="I862" s="67"/>
    </row>
    <row r="863" spans="5:9" ht="13">
      <c r="E863" s="67"/>
      <c r="F863" s="67"/>
      <c r="G863" s="67"/>
      <c r="H863" s="67"/>
      <c r="I863" s="67"/>
    </row>
    <row r="864" spans="5:9" ht="13">
      <c r="E864" s="67"/>
      <c r="F864" s="67"/>
      <c r="G864" s="67"/>
      <c r="H864" s="67"/>
      <c r="I864" s="67"/>
    </row>
    <row r="865" spans="5:9" ht="13">
      <c r="E865" s="67"/>
      <c r="F865" s="67"/>
      <c r="G865" s="67"/>
      <c r="H865" s="67"/>
      <c r="I865" s="67"/>
    </row>
    <row r="866" spans="5:9" ht="13">
      <c r="E866" s="67"/>
      <c r="F866" s="67"/>
      <c r="G866" s="67"/>
      <c r="H866" s="67"/>
      <c r="I866" s="67"/>
    </row>
    <row r="867" spans="5:9" ht="13">
      <c r="E867" s="67"/>
      <c r="F867" s="67"/>
      <c r="G867" s="67"/>
      <c r="H867" s="67"/>
      <c r="I867" s="67"/>
    </row>
    <row r="868" spans="5:9" ht="13">
      <c r="E868" s="67"/>
      <c r="F868" s="67"/>
      <c r="G868" s="67"/>
      <c r="H868" s="67"/>
      <c r="I868" s="67"/>
    </row>
    <row r="869" spans="5:9" ht="13">
      <c r="E869" s="67"/>
      <c r="F869" s="67"/>
      <c r="G869" s="67"/>
      <c r="H869" s="67"/>
      <c r="I869" s="67"/>
    </row>
    <row r="870" spans="5:9" ht="13">
      <c r="E870" s="67"/>
      <c r="F870" s="67"/>
      <c r="G870" s="67"/>
      <c r="H870" s="67"/>
      <c r="I870" s="67"/>
    </row>
    <row r="871" spans="5:9" ht="13">
      <c r="E871" s="67"/>
      <c r="F871" s="67"/>
      <c r="G871" s="67"/>
      <c r="H871" s="67"/>
      <c r="I871" s="67"/>
    </row>
    <row r="872" spans="5:9" ht="13">
      <c r="E872" s="67"/>
      <c r="F872" s="67"/>
      <c r="G872" s="67"/>
      <c r="H872" s="67"/>
      <c r="I872" s="67"/>
    </row>
    <row r="873" spans="5:9" ht="13">
      <c r="E873" s="67"/>
      <c r="F873" s="67"/>
      <c r="G873" s="67"/>
      <c r="H873" s="67"/>
      <c r="I873" s="67"/>
    </row>
    <row r="874" spans="5:9" ht="13">
      <c r="E874" s="67"/>
      <c r="F874" s="67"/>
      <c r="G874" s="67"/>
      <c r="H874" s="67"/>
      <c r="I874" s="67"/>
    </row>
    <row r="875" spans="5:9" ht="13">
      <c r="E875" s="67"/>
      <c r="F875" s="67"/>
      <c r="G875" s="67"/>
      <c r="H875" s="67"/>
      <c r="I875" s="67"/>
    </row>
    <row r="876" spans="5:9" ht="13">
      <c r="E876" s="67"/>
      <c r="F876" s="67"/>
      <c r="G876" s="67"/>
      <c r="H876" s="67"/>
      <c r="I876" s="67"/>
    </row>
    <row r="877" spans="5:9" ht="13">
      <c r="E877" s="67"/>
      <c r="F877" s="67"/>
      <c r="G877" s="67"/>
      <c r="H877" s="67"/>
      <c r="I877" s="67"/>
    </row>
    <row r="878" spans="5:9" ht="13">
      <c r="E878" s="67"/>
      <c r="F878" s="67"/>
      <c r="G878" s="67"/>
      <c r="H878" s="67"/>
      <c r="I878" s="67"/>
    </row>
    <row r="879" spans="5:9" ht="13">
      <c r="E879" s="67"/>
      <c r="F879" s="67"/>
      <c r="G879" s="67"/>
      <c r="H879" s="67"/>
      <c r="I879" s="67"/>
    </row>
    <row r="880" spans="5:9" ht="13">
      <c r="E880" s="67"/>
      <c r="F880" s="67"/>
      <c r="G880" s="67"/>
      <c r="H880" s="67"/>
      <c r="I880" s="67"/>
    </row>
    <row r="881" spans="5:9" ht="13">
      <c r="E881" s="67"/>
      <c r="F881" s="67"/>
      <c r="G881" s="67"/>
      <c r="H881" s="67"/>
      <c r="I881" s="67"/>
    </row>
    <row r="882" spans="5:9" ht="13">
      <c r="E882" s="67"/>
      <c r="F882" s="67"/>
      <c r="G882" s="67"/>
      <c r="H882" s="67"/>
      <c r="I882" s="67"/>
    </row>
    <row r="883" spans="5:9" ht="13">
      <c r="E883" s="67"/>
      <c r="F883" s="67"/>
      <c r="G883" s="67"/>
      <c r="H883" s="67"/>
      <c r="I883" s="67"/>
    </row>
    <row r="884" spans="5:9" ht="13">
      <c r="E884" s="67"/>
      <c r="F884" s="67"/>
      <c r="G884" s="67"/>
      <c r="H884" s="67"/>
      <c r="I884" s="67"/>
    </row>
    <row r="885" spans="5:9" ht="13">
      <c r="E885" s="67"/>
      <c r="F885" s="67"/>
      <c r="G885" s="67"/>
      <c r="H885" s="67"/>
      <c r="I885" s="67"/>
    </row>
    <row r="886" spans="5:9" ht="13">
      <c r="E886" s="67"/>
      <c r="F886" s="67"/>
      <c r="G886" s="67"/>
      <c r="H886" s="67"/>
      <c r="I886" s="67"/>
    </row>
    <row r="887" spans="5:9" ht="13">
      <c r="E887" s="67"/>
      <c r="F887" s="67"/>
      <c r="G887" s="67"/>
      <c r="H887" s="67"/>
      <c r="I887" s="67"/>
    </row>
    <row r="888" spans="5:9" ht="13">
      <c r="E888" s="67"/>
      <c r="F888" s="67"/>
      <c r="G888" s="67"/>
      <c r="H888" s="67"/>
      <c r="I888" s="67"/>
    </row>
    <row r="889" spans="5:9" ht="13">
      <c r="E889" s="67"/>
      <c r="F889" s="67"/>
      <c r="G889" s="67"/>
      <c r="H889" s="67"/>
      <c r="I889" s="67"/>
    </row>
    <row r="890" spans="5:9" ht="13">
      <c r="E890" s="67"/>
      <c r="F890" s="67"/>
      <c r="G890" s="67"/>
      <c r="H890" s="67"/>
      <c r="I890" s="67"/>
    </row>
    <row r="891" spans="5:9" ht="13">
      <c r="E891" s="67"/>
      <c r="F891" s="67"/>
      <c r="G891" s="67"/>
      <c r="H891" s="67"/>
      <c r="I891" s="67"/>
    </row>
    <row r="892" spans="5:9" ht="13">
      <c r="E892" s="67"/>
      <c r="F892" s="67"/>
      <c r="G892" s="67"/>
      <c r="H892" s="67"/>
      <c r="I892" s="67"/>
    </row>
    <row r="893" spans="5:9" ht="13">
      <c r="E893" s="67"/>
      <c r="F893" s="67"/>
      <c r="G893" s="67"/>
      <c r="H893" s="67"/>
      <c r="I893" s="67"/>
    </row>
    <row r="894" spans="5:9" ht="13">
      <c r="E894" s="67"/>
      <c r="F894" s="67"/>
      <c r="G894" s="67"/>
      <c r="H894" s="67"/>
      <c r="I894" s="67"/>
    </row>
    <row r="895" spans="5:9" ht="13">
      <c r="E895" s="67"/>
      <c r="F895" s="67"/>
      <c r="G895" s="67"/>
      <c r="H895" s="67"/>
      <c r="I895" s="67"/>
    </row>
    <row r="896" spans="5:9" ht="13">
      <c r="E896" s="67"/>
      <c r="F896" s="67"/>
      <c r="G896" s="67"/>
      <c r="H896" s="67"/>
      <c r="I896" s="67"/>
    </row>
    <row r="897" spans="5:9" ht="13">
      <c r="E897" s="67"/>
      <c r="F897" s="67"/>
      <c r="G897" s="67"/>
      <c r="H897" s="67"/>
      <c r="I897" s="67"/>
    </row>
    <row r="898" spans="5:9" ht="13">
      <c r="E898" s="67"/>
      <c r="F898" s="67"/>
      <c r="G898" s="67"/>
      <c r="H898" s="67"/>
      <c r="I898" s="67"/>
    </row>
    <row r="899" spans="5:9" ht="13">
      <c r="E899" s="67"/>
      <c r="F899" s="67"/>
      <c r="G899" s="67"/>
      <c r="H899" s="67"/>
      <c r="I899" s="67"/>
    </row>
    <row r="900" spans="5:9" ht="13">
      <c r="E900" s="67"/>
      <c r="F900" s="67"/>
      <c r="G900" s="67"/>
      <c r="H900" s="67"/>
      <c r="I900" s="67"/>
    </row>
    <row r="901" spans="5:9" ht="13">
      <c r="E901" s="67"/>
      <c r="F901" s="67"/>
      <c r="G901" s="67"/>
      <c r="H901" s="67"/>
      <c r="I901" s="67"/>
    </row>
    <row r="902" spans="5:9" ht="13">
      <c r="E902" s="67"/>
      <c r="F902" s="67"/>
      <c r="G902" s="67"/>
      <c r="H902" s="67"/>
      <c r="I902" s="67"/>
    </row>
    <row r="903" spans="5:9" ht="13">
      <c r="E903" s="67"/>
      <c r="F903" s="67"/>
      <c r="G903" s="67"/>
      <c r="H903" s="67"/>
      <c r="I903" s="67"/>
    </row>
    <row r="904" spans="5:9" ht="13">
      <c r="E904" s="67"/>
      <c r="F904" s="67"/>
      <c r="G904" s="67"/>
      <c r="H904" s="67"/>
      <c r="I904" s="67"/>
    </row>
    <row r="905" spans="5:9" ht="13">
      <c r="E905" s="67"/>
      <c r="F905" s="67"/>
      <c r="G905" s="67"/>
      <c r="H905" s="67"/>
      <c r="I905" s="67"/>
    </row>
    <row r="906" spans="5:9" ht="13">
      <c r="E906" s="67"/>
      <c r="F906" s="67"/>
      <c r="G906" s="67"/>
      <c r="H906" s="67"/>
      <c r="I906" s="67"/>
    </row>
    <row r="907" spans="5:9" ht="13">
      <c r="E907" s="67"/>
      <c r="F907" s="67"/>
      <c r="G907" s="67"/>
      <c r="H907" s="67"/>
      <c r="I907" s="67"/>
    </row>
    <row r="908" spans="5:9" ht="13">
      <c r="E908" s="67"/>
      <c r="F908" s="67"/>
      <c r="G908" s="67"/>
      <c r="H908" s="67"/>
      <c r="I908" s="67"/>
    </row>
    <row r="909" spans="5:9" ht="13">
      <c r="E909" s="67"/>
      <c r="F909" s="67"/>
      <c r="G909" s="67"/>
      <c r="H909" s="67"/>
      <c r="I909" s="67"/>
    </row>
    <row r="910" spans="5:9" ht="13">
      <c r="E910" s="67"/>
      <c r="F910" s="67"/>
      <c r="G910" s="67"/>
      <c r="H910" s="67"/>
      <c r="I910" s="67"/>
    </row>
    <row r="911" spans="5:9" ht="13">
      <c r="E911" s="67"/>
      <c r="F911" s="67"/>
      <c r="G911" s="67"/>
      <c r="H911" s="67"/>
      <c r="I911" s="67"/>
    </row>
    <row r="912" spans="5:9" ht="13">
      <c r="E912" s="67"/>
      <c r="F912" s="67"/>
      <c r="G912" s="67"/>
      <c r="H912" s="67"/>
      <c r="I912" s="67"/>
    </row>
    <row r="913" spans="5:9" ht="13">
      <c r="E913" s="67"/>
      <c r="F913" s="67"/>
      <c r="G913" s="67"/>
      <c r="H913" s="67"/>
      <c r="I913" s="67"/>
    </row>
    <row r="914" spans="5:9" ht="13">
      <c r="E914" s="67"/>
      <c r="F914" s="67"/>
      <c r="G914" s="67"/>
      <c r="H914" s="67"/>
      <c r="I914" s="67"/>
    </row>
    <row r="915" spans="5:9" ht="13">
      <c r="E915" s="67"/>
      <c r="F915" s="67"/>
      <c r="G915" s="67"/>
      <c r="H915" s="67"/>
      <c r="I915" s="67"/>
    </row>
    <row r="916" spans="5:9" ht="13">
      <c r="E916" s="67"/>
      <c r="F916" s="67"/>
      <c r="G916" s="67"/>
      <c r="H916" s="67"/>
      <c r="I916" s="67"/>
    </row>
    <row r="917" spans="5:9" ht="13">
      <c r="E917" s="67"/>
      <c r="F917" s="67"/>
      <c r="G917" s="67"/>
      <c r="H917" s="67"/>
      <c r="I917" s="67"/>
    </row>
    <row r="918" spans="5:9" ht="13">
      <c r="E918" s="67"/>
      <c r="F918" s="67"/>
      <c r="G918" s="67"/>
      <c r="H918" s="67"/>
      <c r="I918" s="67"/>
    </row>
    <row r="919" spans="5:9" ht="13">
      <c r="E919" s="67"/>
      <c r="F919" s="67"/>
      <c r="G919" s="67"/>
      <c r="H919" s="67"/>
      <c r="I919" s="67"/>
    </row>
    <row r="920" spans="5:9" ht="13">
      <c r="E920" s="67"/>
      <c r="F920" s="67"/>
      <c r="G920" s="67"/>
      <c r="H920" s="67"/>
      <c r="I920" s="67"/>
    </row>
    <row r="921" spans="5:9" ht="13">
      <c r="E921" s="67"/>
      <c r="F921" s="67"/>
      <c r="G921" s="67"/>
      <c r="H921" s="67"/>
      <c r="I921" s="67"/>
    </row>
    <row r="922" spans="5:9" ht="13">
      <c r="E922" s="67"/>
      <c r="F922" s="67"/>
      <c r="G922" s="67"/>
      <c r="H922" s="67"/>
      <c r="I922" s="67"/>
    </row>
    <row r="923" spans="5:9" ht="13">
      <c r="E923" s="67"/>
      <c r="F923" s="67"/>
      <c r="G923" s="67"/>
      <c r="H923" s="67"/>
      <c r="I923" s="67"/>
    </row>
    <row r="924" spans="5:9" ht="13">
      <c r="E924" s="67"/>
      <c r="F924" s="67"/>
      <c r="G924" s="67"/>
      <c r="H924" s="67"/>
      <c r="I924" s="67"/>
    </row>
    <row r="925" spans="5:9" ht="13">
      <c r="E925" s="67"/>
      <c r="F925" s="67"/>
      <c r="G925" s="67"/>
      <c r="H925" s="67"/>
      <c r="I925" s="67"/>
    </row>
    <row r="926" spans="5:9" ht="13">
      <c r="E926" s="67"/>
      <c r="F926" s="67"/>
      <c r="G926" s="67"/>
      <c r="H926" s="67"/>
      <c r="I926" s="67"/>
    </row>
    <row r="927" spans="5:9" ht="13">
      <c r="E927" s="67"/>
      <c r="F927" s="67"/>
      <c r="G927" s="67"/>
      <c r="H927" s="67"/>
      <c r="I927" s="67"/>
    </row>
    <row r="928" spans="5:9" ht="13">
      <c r="E928" s="67"/>
      <c r="F928" s="67"/>
      <c r="G928" s="67"/>
      <c r="H928" s="67"/>
      <c r="I928" s="67"/>
    </row>
    <row r="929" spans="5:9" ht="13">
      <c r="E929" s="67"/>
      <c r="F929" s="67"/>
      <c r="G929" s="67"/>
      <c r="H929" s="67"/>
      <c r="I929" s="67"/>
    </row>
    <row r="930" spans="5:9" ht="13">
      <c r="E930" s="67"/>
      <c r="F930" s="67"/>
      <c r="G930" s="67"/>
      <c r="H930" s="67"/>
      <c r="I930" s="67"/>
    </row>
    <row r="931" spans="5:9" ht="13">
      <c r="E931" s="67"/>
      <c r="F931" s="67"/>
      <c r="G931" s="67"/>
      <c r="H931" s="67"/>
      <c r="I931" s="67"/>
    </row>
    <row r="932" spans="5:9" ht="13">
      <c r="E932" s="67"/>
      <c r="F932" s="67"/>
      <c r="G932" s="67"/>
      <c r="H932" s="67"/>
      <c r="I932" s="67"/>
    </row>
    <row r="933" spans="5:9" ht="13">
      <c r="E933" s="67"/>
      <c r="F933" s="67"/>
      <c r="G933" s="67"/>
      <c r="H933" s="67"/>
      <c r="I933" s="67"/>
    </row>
    <row r="934" spans="5:9" ht="13">
      <c r="E934" s="67"/>
      <c r="F934" s="67"/>
      <c r="G934" s="67"/>
      <c r="H934" s="67"/>
      <c r="I934" s="67"/>
    </row>
    <row r="935" spans="5:9" ht="13">
      <c r="E935" s="67"/>
      <c r="F935" s="67"/>
      <c r="G935" s="67"/>
      <c r="H935" s="67"/>
      <c r="I935" s="67"/>
    </row>
    <row r="936" spans="5:9" ht="13">
      <c r="E936" s="67"/>
      <c r="F936" s="67"/>
      <c r="G936" s="67"/>
      <c r="H936" s="67"/>
      <c r="I936" s="67"/>
    </row>
    <row r="937" spans="5:9" ht="13">
      <c r="E937" s="67"/>
      <c r="F937" s="67"/>
      <c r="G937" s="67"/>
      <c r="H937" s="67"/>
      <c r="I937" s="67"/>
    </row>
    <row r="938" spans="5:9" ht="13">
      <c r="E938" s="67"/>
      <c r="F938" s="67"/>
      <c r="G938" s="67"/>
      <c r="H938" s="67"/>
      <c r="I938" s="67"/>
    </row>
    <row r="939" spans="5:9" ht="13">
      <c r="E939" s="67"/>
      <c r="F939" s="67"/>
      <c r="G939" s="67"/>
      <c r="H939" s="67"/>
      <c r="I939" s="67"/>
    </row>
    <row r="940" spans="5:9" ht="13">
      <c r="E940" s="67"/>
      <c r="F940" s="67"/>
      <c r="G940" s="67"/>
      <c r="H940" s="67"/>
      <c r="I940" s="67"/>
    </row>
    <row r="941" spans="5:9" ht="13">
      <c r="E941" s="67"/>
      <c r="F941" s="67"/>
      <c r="G941" s="67"/>
      <c r="H941" s="67"/>
      <c r="I941" s="67"/>
    </row>
    <row r="942" spans="5:9" ht="13">
      <c r="E942" s="67"/>
      <c r="F942" s="67"/>
      <c r="G942" s="67"/>
      <c r="H942" s="67"/>
      <c r="I942" s="67"/>
    </row>
    <row r="943" spans="5:9" ht="13">
      <c r="E943" s="67"/>
      <c r="F943" s="67"/>
      <c r="G943" s="67"/>
      <c r="H943" s="67"/>
      <c r="I943" s="67"/>
    </row>
    <row r="944" spans="5:9" ht="13">
      <c r="E944" s="67"/>
      <c r="F944" s="67"/>
      <c r="G944" s="67"/>
      <c r="H944" s="67"/>
      <c r="I944" s="67"/>
    </row>
    <row r="945" spans="5:9" ht="13">
      <c r="E945" s="67"/>
      <c r="F945" s="67"/>
      <c r="G945" s="67"/>
      <c r="H945" s="67"/>
      <c r="I945" s="67"/>
    </row>
    <row r="946" spans="5:9" ht="13">
      <c r="E946" s="67"/>
      <c r="F946" s="67"/>
      <c r="G946" s="67"/>
      <c r="H946" s="67"/>
      <c r="I946" s="67"/>
    </row>
    <row r="947" spans="5:9" ht="13">
      <c r="E947" s="67"/>
      <c r="F947" s="67"/>
      <c r="G947" s="67"/>
      <c r="H947" s="67"/>
      <c r="I947" s="67"/>
    </row>
    <row r="948" spans="5:9" ht="13">
      <c r="E948" s="67"/>
      <c r="F948" s="67"/>
      <c r="G948" s="67"/>
      <c r="H948" s="67"/>
      <c r="I948" s="67"/>
    </row>
    <row r="949" spans="5:9" ht="13">
      <c r="E949" s="67"/>
      <c r="F949" s="67"/>
      <c r="G949" s="67"/>
      <c r="H949" s="67"/>
      <c r="I949" s="67"/>
    </row>
    <row r="950" spans="5:9" ht="13">
      <c r="E950" s="67"/>
      <c r="F950" s="67"/>
      <c r="G950" s="67"/>
      <c r="H950" s="67"/>
      <c r="I950" s="67"/>
    </row>
    <row r="951" spans="5:9" ht="13">
      <c r="E951" s="67"/>
      <c r="F951" s="67"/>
      <c r="G951" s="67"/>
      <c r="H951" s="67"/>
      <c r="I951" s="67"/>
    </row>
    <row r="952" spans="5:9" ht="13">
      <c r="E952" s="67"/>
      <c r="F952" s="67"/>
      <c r="G952" s="67"/>
      <c r="H952" s="67"/>
      <c r="I952" s="67"/>
    </row>
    <row r="953" spans="5:9" ht="13">
      <c r="E953" s="67"/>
      <c r="F953" s="67"/>
      <c r="G953" s="67"/>
      <c r="H953" s="67"/>
      <c r="I953" s="67"/>
    </row>
    <row r="954" spans="5:9" ht="13">
      <c r="E954" s="67"/>
      <c r="F954" s="67"/>
      <c r="G954" s="67"/>
      <c r="H954" s="67"/>
      <c r="I954" s="67"/>
    </row>
    <row r="955" spans="5:9" ht="13">
      <c r="E955" s="67"/>
      <c r="F955" s="67"/>
      <c r="G955" s="67"/>
      <c r="H955" s="67"/>
      <c r="I955" s="67"/>
    </row>
    <row r="956" spans="5:9" ht="13">
      <c r="E956" s="67"/>
      <c r="F956" s="67"/>
      <c r="G956" s="67"/>
      <c r="H956" s="67"/>
      <c r="I956" s="67"/>
    </row>
    <row r="957" spans="5:9" ht="13">
      <c r="E957" s="67"/>
      <c r="F957" s="67"/>
      <c r="G957" s="67"/>
      <c r="H957" s="67"/>
      <c r="I957" s="67"/>
    </row>
    <row r="958" spans="5:9" ht="13">
      <c r="E958" s="67"/>
      <c r="F958" s="67"/>
      <c r="G958" s="67"/>
      <c r="H958" s="67"/>
      <c r="I958" s="67"/>
    </row>
    <row r="959" spans="5:9" ht="13">
      <c r="E959" s="67"/>
      <c r="F959" s="67"/>
      <c r="G959" s="67"/>
      <c r="H959" s="67"/>
      <c r="I959" s="67"/>
    </row>
    <row r="960" spans="5:9" ht="13">
      <c r="E960" s="67"/>
      <c r="F960" s="67"/>
      <c r="G960" s="67"/>
      <c r="H960" s="67"/>
      <c r="I960" s="67"/>
    </row>
    <row r="961" spans="5:9" ht="13">
      <c r="E961" s="67"/>
      <c r="F961" s="67"/>
      <c r="G961" s="67"/>
      <c r="H961" s="67"/>
      <c r="I961" s="67"/>
    </row>
    <row r="962" spans="5:9" ht="13">
      <c r="E962" s="67"/>
      <c r="F962" s="67"/>
      <c r="G962" s="67"/>
      <c r="H962" s="67"/>
      <c r="I962" s="67"/>
    </row>
    <row r="963" spans="5:9" ht="13">
      <c r="E963" s="67"/>
      <c r="F963" s="67"/>
      <c r="G963" s="67"/>
      <c r="H963" s="67"/>
      <c r="I963" s="67"/>
    </row>
    <row r="964" spans="5:9" ht="13">
      <c r="E964" s="67"/>
      <c r="F964" s="67"/>
      <c r="G964" s="67"/>
      <c r="H964" s="67"/>
      <c r="I964" s="67"/>
    </row>
    <row r="965" spans="5:9" ht="13">
      <c r="E965" s="67"/>
      <c r="F965" s="67"/>
      <c r="G965" s="67"/>
      <c r="H965" s="67"/>
      <c r="I965" s="67"/>
    </row>
    <row r="966" spans="5:9" ht="13">
      <c r="E966" s="67"/>
      <c r="F966" s="67"/>
      <c r="G966" s="67"/>
      <c r="H966" s="67"/>
      <c r="I966" s="67"/>
    </row>
    <row r="967" spans="5:9" ht="13">
      <c r="E967" s="67"/>
      <c r="F967" s="67"/>
      <c r="G967" s="67"/>
      <c r="H967" s="67"/>
      <c r="I967" s="67"/>
    </row>
    <row r="968" spans="5:9" ht="13">
      <c r="E968" s="67"/>
      <c r="F968" s="67"/>
      <c r="G968" s="67"/>
      <c r="H968" s="67"/>
      <c r="I968" s="67"/>
    </row>
    <row r="969" spans="5:9" ht="13">
      <c r="E969" s="67"/>
      <c r="F969" s="67"/>
      <c r="G969" s="67"/>
      <c r="H969" s="67"/>
      <c r="I969" s="67"/>
    </row>
    <row r="970" spans="5:9" ht="13">
      <c r="E970" s="67"/>
      <c r="F970" s="67"/>
      <c r="G970" s="67"/>
      <c r="H970" s="67"/>
      <c r="I970" s="67"/>
    </row>
    <row r="971" spans="5:9" ht="13">
      <c r="E971" s="67"/>
      <c r="F971" s="67"/>
      <c r="G971" s="67"/>
      <c r="H971" s="67"/>
      <c r="I971" s="67"/>
    </row>
    <row r="972" spans="5:9" ht="13">
      <c r="E972" s="67"/>
      <c r="F972" s="67"/>
      <c r="G972" s="67"/>
      <c r="H972" s="67"/>
      <c r="I972" s="67"/>
    </row>
    <row r="973" spans="5:9" ht="13">
      <c r="E973" s="67"/>
      <c r="F973" s="67"/>
      <c r="G973" s="67"/>
      <c r="H973" s="67"/>
      <c r="I973" s="67"/>
    </row>
    <row r="974" spans="5:9" ht="13">
      <c r="E974" s="67"/>
      <c r="F974" s="67"/>
      <c r="G974" s="67"/>
      <c r="H974" s="67"/>
      <c r="I974" s="67"/>
    </row>
    <row r="975" spans="5:9" ht="13">
      <c r="E975" s="67"/>
      <c r="F975" s="67"/>
      <c r="G975" s="67"/>
      <c r="H975" s="67"/>
      <c r="I975" s="67"/>
    </row>
    <row r="976" spans="5:9" ht="13">
      <c r="E976" s="67"/>
      <c r="F976" s="67"/>
      <c r="G976" s="67"/>
      <c r="H976" s="67"/>
      <c r="I976" s="67"/>
    </row>
    <row r="977" spans="5:9" ht="13">
      <c r="E977" s="67"/>
      <c r="F977" s="67"/>
      <c r="G977" s="67"/>
      <c r="H977" s="67"/>
      <c r="I977" s="67"/>
    </row>
    <row r="978" spans="5:9" ht="13">
      <c r="E978" s="67"/>
      <c r="F978" s="67"/>
      <c r="G978" s="67"/>
      <c r="H978" s="67"/>
      <c r="I978" s="67"/>
    </row>
    <row r="979" spans="5:9" ht="13">
      <c r="E979" s="67"/>
      <c r="F979" s="67"/>
      <c r="G979" s="67"/>
      <c r="H979" s="67"/>
      <c r="I979" s="67"/>
    </row>
    <row r="980" spans="5:9" ht="13">
      <c r="E980" s="67"/>
      <c r="F980" s="67"/>
      <c r="G980" s="67"/>
      <c r="H980" s="67"/>
      <c r="I980" s="67"/>
    </row>
    <row r="981" spans="5:9" ht="13">
      <c r="E981" s="67"/>
      <c r="F981" s="67"/>
      <c r="G981" s="67"/>
      <c r="H981" s="67"/>
      <c r="I981" s="67"/>
    </row>
    <row r="982" spans="5:9" ht="13">
      <c r="E982" s="67"/>
      <c r="F982" s="67"/>
      <c r="G982" s="67"/>
      <c r="H982" s="67"/>
      <c r="I982" s="67"/>
    </row>
    <row r="983" spans="5:9" ht="13">
      <c r="E983" s="67"/>
      <c r="F983" s="67"/>
      <c r="G983" s="67"/>
      <c r="H983" s="67"/>
      <c r="I983" s="67"/>
    </row>
    <row r="984" spans="5:9" ht="13">
      <c r="E984" s="67"/>
      <c r="F984" s="67"/>
      <c r="G984" s="67"/>
      <c r="H984" s="67"/>
      <c r="I984" s="67"/>
    </row>
    <row r="985" spans="5:9" ht="13">
      <c r="E985" s="67"/>
      <c r="F985" s="67"/>
      <c r="G985" s="67"/>
      <c r="H985" s="67"/>
      <c r="I985" s="67"/>
    </row>
    <row r="986" spans="5:9" ht="13">
      <c r="E986" s="67"/>
      <c r="F986" s="67"/>
      <c r="G986" s="67"/>
      <c r="H986" s="67"/>
      <c r="I986" s="67"/>
    </row>
    <row r="987" spans="5:9" ht="13">
      <c r="E987" s="67"/>
      <c r="F987" s="67"/>
      <c r="G987" s="67"/>
      <c r="H987" s="67"/>
      <c r="I987" s="67"/>
    </row>
    <row r="988" spans="5:9" ht="13">
      <c r="E988" s="67"/>
      <c r="F988" s="67"/>
      <c r="G988" s="67"/>
      <c r="H988" s="67"/>
      <c r="I988" s="67"/>
    </row>
    <row r="989" spans="5:9" ht="13">
      <c r="E989" s="67"/>
      <c r="F989" s="67"/>
      <c r="G989" s="67"/>
      <c r="H989" s="67"/>
      <c r="I989" s="67"/>
    </row>
    <row r="990" spans="5:9" ht="13">
      <c r="E990" s="67"/>
      <c r="F990" s="67"/>
      <c r="G990" s="67"/>
      <c r="H990" s="67"/>
      <c r="I990" s="67"/>
    </row>
    <row r="991" spans="5:9" ht="13">
      <c r="E991" s="67"/>
      <c r="F991" s="67"/>
      <c r="G991" s="67"/>
      <c r="H991" s="67"/>
      <c r="I991" s="67"/>
    </row>
    <row r="992" spans="5:9" ht="13">
      <c r="E992" s="67"/>
      <c r="F992" s="67"/>
      <c r="G992" s="67"/>
      <c r="H992" s="67"/>
      <c r="I992" s="67"/>
    </row>
    <row r="993" spans="5:9" ht="13">
      <c r="E993" s="67"/>
      <c r="F993" s="67"/>
      <c r="G993" s="67"/>
      <c r="H993" s="67"/>
      <c r="I993" s="67"/>
    </row>
    <row r="994" spans="5:9" ht="13">
      <c r="E994" s="67"/>
      <c r="F994" s="67"/>
      <c r="G994" s="67"/>
      <c r="H994" s="67"/>
      <c r="I994" s="67"/>
    </row>
    <row r="995" spans="5:9" ht="13">
      <c r="E995" s="67"/>
      <c r="F995" s="67"/>
      <c r="G995" s="67"/>
      <c r="H995" s="67"/>
      <c r="I995" s="67"/>
    </row>
    <row r="996" spans="5:9" ht="13">
      <c r="E996" s="67"/>
      <c r="F996" s="67"/>
      <c r="G996" s="67"/>
      <c r="H996" s="67"/>
      <c r="I996" s="67"/>
    </row>
    <row r="997" spans="5:9" ht="13">
      <c r="E997" s="67"/>
      <c r="F997" s="67"/>
      <c r="G997" s="67"/>
      <c r="H997" s="67"/>
      <c r="I997" s="67"/>
    </row>
    <row r="998" spans="5:9" ht="13">
      <c r="E998" s="67"/>
      <c r="F998" s="67"/>
      <c r="G998" s="67"/>
      <c r="H998" s="67"/>
      <c r="I998" s="67"/>
    </row>
    <row r="999" spans="5:9" ht="13">
      <c r="E999" s="67"/>
      <c r="F999" s="67"/>
      <c r="G999" s="67"/>
      <c r="H999" s="67"/>
      <c r="I999" s="67"/>
    </row>
    <row r="1000" spans="5:9" ht="13">
      <c r="E1000" s="67"/>
      <c r="F1000" s="67"/>
      <c r="G1000" s="67"/>
      <c r="H1000" s="67"/>
      <c r="I1000" s="67"/>
    </row>
    <row r="1001" spans="5:9" ht="15.75" customHeight="1">
      <c r="E1001" s="67"/>
      <c r="F1001" s="67"/>
      <c r="G1001" s="67"/>
      <c r="H1001" s="67"/>
      <c r="I1001" s="67"/>
    </row>
    <row r="1002" spans="5:9" ht="15.75" customHeight="1">
      <c r="E1002" s="67"/>
      <c r="F1002" s="67"/>
      <c r="G1002" s="67"/>
      <c r="H1002" s="67"/>
      <c r="I1002" s="67"/>
    </row>
    <row r="1003" spans="5:9" ht="15.75" customHeight="1">
      <c r="E1003" s="67"/>
      <c r="F1003" s="67"/>
      <c r="G1003" s="67"/>
      <c r="H1003" s="67"/>
      <c r="I1003" s="67"/>
    </row>
    <row r="1004" spans="5:9" ht="15.75" customHeight="1">
      <c r="E1004" s="67"/>
      <c r="F1004" s="67"/>
      <c r="G1004" s="67"/>
      <c r="H1004" s="67"/>
      <c r="I1004" s="67"/>
    </row>
    <row r="1005" spans="5:9" ht="15.75" customHeight="1">
      <c r="E1005" s="67"/>
      <c r="F1005" s="67"/>
      <c r="G1005" s="67"/>
      <c r="H1005" s="67"/>
      <c r="I1005" s="67"/>
    </row>
    <row r="1006" spans="5:9" ht="15.75" customHeight="1">
      <c r="E1006" s="67"/>
      <c r="F1006" s="67"/>
      <c r="G1006" s="67"/>
      <c r="H1006" s="67"/>
      <c r="I1006" s="67"/>
    </row>
    <row r="1007" spans="5:9" ht="15.75" customHeight="1">
      <c r="E1007" s="67"/>
      <c r="F1007" s="67"/>
      <c r="G1007" s="67"/>
      <c r="H1007" s="67"/>
      <c r="I1007" s="67"/>
    </row>
    <row r="1008" spans="5:9" ht="15.75" customHeight="1">
      <c r="E1008" s="67"/>
      <c r="F1008" s="67"/>
      <c r="G1008" s="67"/>
      <c r="H1008" s="67"/>
      <c r="I1008" s="67"/>
    </row>
    <row r="1009" spans="5:9" ht="15.75" customHeight="1">
      <c r="E1009" s="67"/>
      <c r="F1009" s="67"/>
      <c r="G1009" s="67"/>
      <c r="H1009" s="67"/>
      <c r="I1009" s="67"/>
    </row>
    <row r="1010" spans="5:9" ht="15.75" customHeight="1">
      <c r="E1010" s="67"/>
      <c r="F1010" s="67"/>
      <c r="G1010" s="67"/>
      <c r="H1010" s="67"/>
      <c r="I1010" s="67"/>
    </row>
    <row r="1011" spans="5:9" ht="15.75" customHeight="1">
      <c r="E1011" s="67"/>
      <c r="F1011" s="67"/>
      <c r="G1011" s="67"/>
      <c r="H1011" s="67"/>
      <c r="I1011" s="67"/>
    </row>
    <row r="1012" spans="5:9" ht="15.75" customHeight="1">
      <c r="E1012" s="67"/>
      <c r="F1012" s="67"/>
      <c r="G1012" s="67"/>
      <c r="H1012" s="67"/>
      <c r="I1012" s="67"/>
    </row>
    <row r="1013" spans="5:9" ht="15.75" customHeight="1">
      <c r="E1013" s="67"/>
      <c r="F1013" s="67"/>
      <c r="G1013" s="67"/>
      <c r="H1013" s="67"/>
      <c r="I1013" s="67"/>
    </row>
    <row r="1014" spans="5:9" ht="15.75" customHeight="1">
      <c r="E1014" s="67"/>
      <c r="F1014" s="67"/>
      <c r="G1014" s="67"/>
      <c r="H1014" s="67"/>
      <c r="I1014" s="67"/>
    </row>
    <row r="1015" spans="5:9" ht="15.75" customHeight="1">
      <c r="E1015" s="67"/>
      <c r="F1015" s="67"/>
      <c r="G1015" s="67"/>
      <c r="H1015" s="67"/>
      <c r="I1015" s="67"/>
    </row>
    <row r="1016" spans="5:9" ht="15.75" customHeight="1">
      <c r="E1016" s="67"/>
      <c r="F1016" s="67"/>
      <c r="G1016" s="67"/>
      <c r="H1016" s="67"/>
      <c r="I1016" s="67"/>
    </row>
    <row r="1017" spans="5:9" ht="15.75" customHeight="1">
      <c r="E1017" s="67"/>
      <c r="F1017" s="67"/>
      <c r="G1017" s="67"/>
      <c r="H1017" s="67"/>
      <c r="I1017" s="67"/>
    </row>
    <row r="1018" spans="5:9" ht="15.75" customHeight="1">
      <c r="E1018" s="67"/>
      <c r="F1018" s="67"/>
      <c r="G1018" s="67"/>
      <c r="H1018" s="67"/>
      <c r="I1018" s="67"/>
    </row>
    <row r="1019" spans="5:9" ht="15.75" customHeight="1">
      <c r="E1019" s="67"/>
      <c r="F1019" s="67"/>
      <c r="G1019" s="67"/>
      <c r="H1019" s="67"/>
      <c r="I1019" s="67"/>
    </row>
    <row r="1020" spans="5:9" ht="15.75" customHeight="1">
      <c r="E1020" s="67"/>
      <c r="F1020" s="67"/>
      <c r="G1020" s="67"/>
      <c r="H1020" s="67"/>
      <c r="I1020" s="67"/>
    </row>
    <row r="1021" spans="5:9" ht="15.75" customHeight="1">
      <c r="E1021" s="67"/>
      <c r="F1021" s="67"/>
      <c r="G1021" s="67"/>
      <c r="H1021" s="67"/>
      <c r="I1021" s="67"/>
    </row>
    <row r="1022" spans="5:9" ht="15.75" customHeight="1">
      <c r="E1022" s="67"/>
      <c r="F1022" s="67"/>
      <c r="G1022" s="67"/>
      <c r="H1022" s="67"/>
      <c r="I1022" s="67"/>
    </row>
    <row r="1023" spans="5:9" ht="15.75" customHeight="1">
      <c r="E1023" s="67"/>
      <c r="F1023" s="67"/>
      <c r="G1023" s="67"/>
      <c r="H1023" s="67"/>
      <c r="I1023" s="67"/>
    </row>
    <row r="1024" spans="5:9" ht="15.75" customHeight="1">
      <c r="E1024" s="67"/>
      <c r="F1024" s="67"/>
      <c r="G1024" s="67"/>
      <c r="H1024" s="67"/>
      <c r="I1024" s="67"/>
    </row>
    <row r="1025" spans="5:9" ht="15.75" customHeight="1">
      <c r="E1025" s="67"/>
      <c r="F1025" s="67"/>
      <c r="G1025" s="67"/>
      <c r="H1025" s="67"/>
      <c r="I1025" s="67"/>
    </row>
    <row r="1026" spans="5:9" ht="15.75" customHeight="1">
      <c r="E1026" s="67"/>
      <c r="F1026" s="67"/>
      <c r="G1026" s="67"/>
      <c r="H1026" s="67"/>
      <c r="I1026" s="67"/>
    </row>
    <row r="1027" spans="5:9" ht="15.75" customHeight="1">
      <c r="E1027" s="67"/>
      <c r="F1027" s="67"/>
      <c r="G1027" s="67"/>
      <c r="H1027" s="67"/>
      <c r="I1027" s="67"/>
    </row>
    <row r="1028" spans="5:9" ht="15.75" customHeight="1">
      <c r="E1028" s="67"/>
      <c r="F1028" s="67"/>
      <c r="G1028" s="67"/>
      <c r="H1028" s="67"/>
      <c r="I1028" s="67"/>
    </row>
    <row r="1029" spans="5:9" ht="15.75" customHeight="1">
      <c r="E1029" s="67"/>
      <c r="F1029" s="67"/>
      <c r="G1029" s="67"/>
      <c r="H1029" s="67"/>
      <c r="I1029" s="67"/>
    </row>
    <row r="1030" spans="5:9" ht="15.75" customHeight="1">
      <c r="E1030" s="67"/>
      <c r="F1030" s="67"/>
      <c r="G1030" s="67"/>
      <c r="H1030" s="67"/>
      <c r="I1030" s="67"/>
    </row>
    <row r="1031" spans="5:9" ht="15.75" customHeight="1">
      <c r="E1031" s="67"/>
      <c r="F1031" s="67"/>
      <c r="G1031" s="67"/>
      <c r="H1031" s="67"/>
      <c r="I1031" s="67"/>
    </row>
    <row r="1032" spans="5:9" ht="15.75" customHeight="1">
      <c r="E1032" s="67"/>
      <c r="F1032" s="67"/>
      <c r="G1032" s="67"/>
      <c r="H1032" s="67"/>
      <c r="I1032" s="67"/>
    </row>
    <row r="1033" spans="5:9" ht="15.75" customHeight="1">
      <c r="E1033" s="67"/>
      <c r="F1033" s="67"/>
      <c r="G1033" s="67"/>
      <c r="H1033" s="67"/>
      <c r="I1033" s="67"/>
    </row>
    <row r="1034" spans="5:9" ht="15.75" customHeight="1">
      <c r="E1034" s="67"/>
      <c r="F1034" s="67"/>
      <c r="G1034" s="67"/>
      <c r="H1034" s="67"/>
      <c r="I1034" s="67"/>
    </row>
    <row r="1035" spans="5:9" ht="15.75" customHeight="1">
      <c r="E1035" s="67"/>
      <c r="F1035" s="67"/>
      <c r="G1035" s="67"/>
      <c r="H1035" s="67"/>
      <c r="I1035" s="67"/>
    </row>
    <row r="1036" spans="5:9" ht="15.75" customHeight="1">
      <c r="E1036" s="67"/>
      <c r="F1036" s="67"/>
      <c r="G1036" s="67"/>
      <c r="H1036" s="67"/>
      <c r="I1036" s="67"/>
    </row>
    <row r="1037" spans="5:9" ht="15.75" customHeight="1">
      <c r="E1037" s="67"/>
      <c r="F1037" s="67"/>
      <c r="G1037" s="67"/>
      <c r="H1037" s="67"/>
      <c r="I1037" s="67"/>
    </row>
    <row r="1038" spans="5:9" ht="15.75" customHeight="1">
      <c r="E1038" s="67"/>
      <c r="F1038" s="67"/>
      <c r="G1038" s="67"/>
      <c r="H1038" s="67"/>
      <c r="I1038" s="67"/>
    </row>
    <row r="1039" spans="5:9" ht="15.75" customHeight="1">
      <c r="E1039" s="67"/>
      <c r="F1039" s="67"/>
      <c r="G1039" s="67"/>
      <c r="H1039" s="67"/>
      <c r="I1039" s="67"/>
    </row>
    <row r="1040" spans="5:9" ht="15.75" customHeight="1">
      <c r="E1040" s="67"/>
      <c r="F1040" s="67"/>
      <c r="G1040" s="67"/>
      <c r="H1040" s="67"/>
      <c r="I1040" s="67"/>
    </row>
    <row r="1041" spans="5:9" ht="15.75" customHeight="1">
      <c r="E1041" s="67"/>
      <c r="F1041" s="67"/>
      <c r="G1041" s="67"/>
      <c r="H1041" s="67"/>
      <c r="I1041" s="67"/>
    </row>
    <row r="1042" spans="5:9" ht="15.75" customHeight="1">
      <c r="E1042" s="67"/>
      <c r="F1042" s="67"/>
      <c r="G1042" s="67"/>
      <c r="H1042" s="67"/>
      <c r="I1042" s="67"/>
    </row>
    <row r="1043" spans="5:9" ht="15.75" customHeight="1">
      <c r="E1043" s="67"/>
      <c r="F1043" s="67"/>
      <c r="G1043" s="67"/>
      <c r="H1043" s="67"/>
      <c r="I1043" s="67"/>
    </row>
    <row r="1044" spans="5:9" ht="15.75" customHeight="1">
      <c r="E1044" s="67"/>
      <c r="F1044" s="67"/>
      <c r="G1044" s="67"/>
      <c r="H1044" s="67"/>
      <c r="I1044" s="67"/>
    </row>
    <row r="1045" spans="5:9" ht="15.75" customHeight="1">
      <c r="E1045" s="67"/>
      <c r="F1045" s="67"/>
      <c r="G1045" s="67"/>
      <c r="H1045" s="67"/>
      <c r="I1045" s="67"/>
    </row>
    <row r="1046" spans="5:9" ht="15.75" customHeight="1">
      <c r="E1046" s="67"/>
      <c r="F1046" s="67"/>
      <c r="G1046" s="67"/>
      <c r="H1046" s="67"/>
      <c r="I1046" s="67"/>
    </row>
    <row r="1047" spans="5:9" ht="15.75" customHeight="1">
      <c r="E1047" s="67"/>
      <c r="F1047" s="67"/>
      <c r="G1047" s="67"/>
      <c r="H1047" s="67"/>
      <c r="I1047" s="67"/>
    </row>
    <row r="1048" spans="5:9" ht="15.75" customHeight="1">
      <c r="E1048" s="67"/>
      <c r="F1048" s="67"/>
      <c r="G1048" s="67"/>
      <c r="H1048" s="67"/>
      <c r="I1048" s="67"/>
    </row>
    <row r="1049" spans="5:9" ht="15.75" customHeight="1">
      <c r="E1049" s="67"/>
      <c r="F1049" s="67"/>
      <c r="G1049" s="67"/>
      <c r="H1049" s="67"/>
      <c r="I1049" s="67"/>
    </row>
    <row r="1050" spans="5:9" ht="15.75" customHeight="1">
      <c r="E1050" s="67"/>
      <c r="F1050" s="67"/>
      <c r="G1050" s="67"/>
      <c r="H1050" s="67"/>
      <c r="I1050" s="67"/>
    </row>
    <row r="1051" spans="5:9" ht="15.75" customHeight="1">
      <c r="E1051" s="67"/>
      <c r="F1051" s="67"/>
      <c r="G1051" s="67"/>
      <c r="H1051" s="67"/>
      <c r="I1051" s="67"/>
    </row>
    <row r="1052" spans="5:9" ht="15.75" customHeight="1">
      <c r="E1052" s="67"/>
      <c r="F1052" s="67"/>
      <c r="G1052" s="67"/>
      <c r="H1052" s="67"/>
      <c r="I1052" s="67"/>
    </row>
    <row r="1053" spans="5:9" ht="15.75" customHeight="1">
      <c r="E1053" s="67"/>
      <c r="F1053" s="67"/>
      <c r="G1053" s="67"/>
      <c r="H1053" s="67"/>
      <c r="I1053" s="67"/>
    </row>
    <row r="1054" spans="5:9" ht="15.75" customHeight="1">
      <c r="E1054" s="67"/>
      <c r="F1054" s="67"/>
      <c r="G1054" s="67"/>
      <c r="H1054" s="67"/>
      <c r="I1054" s="67"/>
    </row>
    <row r="1055" spans="5:9" ht="15.75" customHeight="1">
      <c r="E1055" s="67"/>
      <c r="F1055" s="67"/>
      <c r="G1055" s="67"/>
      <c r="H1055" s="67"/>
      <c r="I1055" s="67"/>
    </row>
    <row r="1056" spans="5:9" ht="15.75" customHeight="1">
      <c r="E1056" s="67"/>
      <c r="F1056" s="67"/>
      <c r="G1056" s="67"/>
      <c r="H1056" s="67"/>
      <c r="I1056" s="67"/>
    </row>
    <row r="1057" spans="5:9" ht="15.75" customHeight="1">
      <c r="E1057" s="67"/>
      <c r="F1057" s="67"/>
      <c r="G1057" s="67"/>
      <c r="H1057" s="67"/>
      <c r="I1057" s="67"/>
    </row>
    <row r="1058" spans="5:9" ht="15.75" customHeight="1">
      <c r="E1058" s="67"/>
      <c r="F1058" s="67"/>
      <c r="G1058" s="67"/>
      <c r="H1058" s="67"/>
      <c r="I1058" s="67"/>
    </row>
    <row r="1059" spans="5:9" ht="15.75" customHeight="1">
      <c r="E1059" s="67"/>
      <c r="F1059" s="67"/>
      <c r="G1059" s="67"/>
      <c r="H1059" s="67"/>
      <c r="I1059" s="67"/>
    </row>
    <row r="1060" spans="5:9" ht="15.75" customHeight="1">
      <c r="E1060" s="67"/>
      <c r="F1060" s="67"/>
      <c r="G1060" s="67"/>
      <c r="H1060" s="67"/>
      <c r="I1060" s="67"/>
    </row>
    <row r="1061" spans="5:9" ht="15.75" customHeight="1">
      <c r="E1061" s="67"/>
      <c r="F1061" s="67"/>
      <c r="G1061" s="67"/>
      <c r="H1061" s="67"/>
      <c r="I1061" s="67"/>
    </row>
    <row r="1062" spans="5:9" ht="15.75" customHeight="1">
      <c r="E1062" s="67"/>
      <c r="F1062" s="67"/>
      <c r="G1062" s="67"/>
      <c r="H1062" s="67"/>
      <c r="I1062" s="67"/>
    </row>
    <row r="1063" spans="5:9" ht="15.75" customHeight="1">
      <c r="E1063" s="67"/>
      <c r="F1063" s="67"/>
      <c r="G1063" s="67"/>
      <c r="H1063" s="67"/>
      <c r="I1063" s="67"/>
    </row>
    <row r="1064" spans="5:9" ht="15.75" customHeight="1">
      <c r="E1064" s="67"/>
      <c r="F1064" s="67"/>
      <c r="G1064" s="67"/>
      <c r="H1064" s="67"/>
      <c r="I1064" s="67"/>
    </row>
    <row r="1065" spans="5:9" ht="15.75" customHeight="1">
      <c r="E1065" s="67"/>
      <c r="F1065" s="67"/>
      <c r="G1065" s="67"/>
      <c r="H1065" s="67"/>
      <c r="I1065" s="67"/>
    </row>
    <row r="1066" spans="5:9" ht="15.75" customHeight="1">
      <c r="E1066" s="67"/>
      <c r="F1066" s="67"/>
      <c r="G1066" s="67"/>
      <c r="H1066" s="67"/>
      <c r="I1066" s="67"/>
    </row>
    <row r="1067" spans="5:9" ht="15.75" customHeight="1">
      <c r="E1067" s="67"/>
      <c r="F1067" s="67"/>
      <c r="G1067" s="67"/>
      <c r="H1067" s="67"/>
      <c r="I1067" s="67"/>
    </row>
    <row r="1068" spans="5:9" ht="15.75" customHeight="1">
      <c r="E1068" s="67"/>
      <c r="F1068" s="67"/>
      <c r="G1068" s="67"/>
      <c r="H1068" s="67"/>
      <c r="I1068" s="67"/>
    </row>
    <row r="1069" spans="5:9" ht="15.75" customHeight="1">
      <c r="E1069" s="67"/>
      <c r="F1069" s="67"/>
      <c r="G1069" s="67"/>
      <c r="H1069" s="67"/>
      <c r="I1069" s="67"/>
    </row>
    <row r="1070" spans="5:9" ht="15.75" customHeight="1">
      <c r="E1070" s="67"/>
      <c r="F1070" s="67"/>
      <c r="G1070" s="67"/>
      <c r="H1070" s="67"/>
      <c r="I1070" s="67"/>
    </row>
    <row r="1071" spans="5:9" ht="15.75" customHeight="1">
      <c r="E1071" s="67"/>
      <c r="F1071" s="67"/>
      <c r="G1071" s="67"/>
      <c r="H1071" s="67"/>
      <c r="I1071" s="67"/>
    </row>
    <row r="1072" spans="5:9" ht="15.75" customHeight="1">
      <c r="E1072" s="67"/>
      <c r="F1072" s="67"/>
      <c r="G1072" s="67"/>
      <c r="H1072" s="67"/>
      <c r="I1072" s="67"/>
    </row>
    <row r="1073" spans="5:9" ht="15.75" customHeight="1">
      <c r="E1073" s="67"/>
      <c r="F1073" s="67"/>
      <c r="G1073" s="67"/>
      <c r="H1073" s="67"/>
      <c r="I1073" s="67"/>
    </row>
    <row r="1074" spans="5:9" ht="15.75" customHeight="1">
      <c r="E1074" s="67"/>
      <c r="F1074" s="67"/>
      <c r="G1074" s="67"/>
      <c r="H1074" s="67"/>
      <c r="I1074" s="67"/>
    </row>
    <row r="1075" spans="5:9" ht="15.75" customHeight="1">
      <c r="E1075" s="67"/>
      <c r="F1075" s="67"/>
      <c r="G1075" s="67"/>
      <c r="H1075" s="67"/>
      <c r="I1075" s="67"/>
    </row>
    <row r="1076" spans="5:9" ht="15.75" customHeight="1">
      <c r="E1076" s="67"/>
      <c r="F1076" s="67"/>
      <c r="G1076" s="67"/>
      <c r="H1076" s="67"/>
      <c r="I1076" s="67"/>
    </row>
    <row r="1077" spans="5:9" ht="15.75" customHeight="1">
      <c r="E1077" s="67"/>
      <c r="F1077" s="67"/>
      <c r="G1077" s="67"/>
      <c r="H1077" s="67"/>
      <c r="I1077" s="67"/>
    </row>
    <row r="1078" spans="5:9" ht="15.75" customHeight="1">
      <c r="E1078" s="67"/>
      <c r="F1078" s="67"/>
      <c r="G1078" s="67"/>
      <c r="H1078" s="67"/>
      <c r="I1078" s="67"/>
    </row>
    <row r="1079" spans="5:9" ht="15.75" customHeight="1">
      <c r="E1079" s="67"/>
      <c r="F1079" s="67"/>
      <c r="G1079" s="67"/>
      <c r="H1079" s="67"/>
      <c r="I1079" s="67"/>
    </row>
    <row r="1080" spans="5:9" ht="15.75" customHeight="1">
      <c r="E1080" s="67"/>
      <c r="F1080" s="67"/>
      <c r="G1080" s="67"/>
      <c r="H1080" s="67"/>
      <c r="I1080" s="67"/>
    </row>
    <row r="1081" spans="5:9" ht="15.75" customHeight="1">
      <c r="E1081" s="67"/>
      <c r="F1081" s="67"/>
      <c r="G1081" s="67"/>
      <c r="H1081" s="67"/>
      <c r="I1081" s="67"/>
    </row>
    <row r="1082" spans="5:9" ht="15.75" customHeight="1">
      <c r="E1082" s="67"/>
      <c r="F1082" s="67"/>
      <c r="G1082" s="67"/>
      <c r="H1082" s="67"/>
      <c r="I1082" s="67"/>
    </row>
    <row r="1083" spans="5:9" ht="15.75" customHeight="1">
      <c r="E1083" s="67"/>
      <c r="F1083" s="67"/>
      <c r="G1083" s="67"/>
      <c r="H1083" s="67"/>
      <c r="I1083" s="67"/>
    </row>
    <row r="1084" spans="5:9" ht="15.75" customHeight="1">
      <c r="E1084" s="67"/>
      <c r="F1084" s="67"/>
      <c r="G1084" s="67"/>
      <c r="H1084" s="67"/>
      <c r="I1084" s="67"/>
    </row>
    <row r="1085" spans="5:9" ht="15.75" customHeight="1">
      <c r="E1085" s="67"/>
      <c r="F1085" s="67"/>
      <c r="G1085" s="67"/>
      <c r="H1085" s="67"/>
      <c r="I1085" s="67"/>
    </row>
    <row r="1086" spans="5:9" ht="15.75" customHeight="1">
      <c r="E1086" s="67"/>
      <c r="F1086" s="67"/>
      <c r="G1086" s="67"/>
      <c r="H1086" s="67"/>
      <c r="I1086" s="67"/>
    </row>
    <row r="1087" spans="5:9" ht="15.75" customHeight="1">
      <c r="E1087" s="67"/>
      <c r="F1087" s="67"/>
      <c r="G1087" s="67"/>
      <c r="H1087" s="67"/>
      <c r="I1087" s="67"/>
    </row>
    <row r="1088" spans="5:9" ht="15.75" customHeight="1">
      <c r="E1088" s="67"/>
      <c r="F1088" s="67"/>
      <c r="G1088" s="67"/>
      <c r="H1088" s="67"/>
      <c r="I1088" s="67"/>
    </row>
    <row r="1089" spans="5:9" ht="15.75" customHeight="1">
      <c r="E1089" s="67"/>
      <c r="F1089" s="67"/>
      <c r="G1089" s="67"/>
      <c r="H1089" s="67"/>
      <c r="I1089" s="67"/>
    </row>
    <row r="1090" spans="5:9" ht="15.75" customHeight="1">
      <c r="E1090" s="67"/>
      <c r="F1090" s="67"/>
      <c r="G1090" s="67"/>
      <c r="H1090" s="67"/>
      <c r="I1090" s="67"/>
    </row>
    <row r="1091" spans="5:9" ht="15.75" customHeight="1">
      <c r="E1091" s="67"/>
      <c r="F1091" s="67"/>
      <c r="G1091" s="67"/>
      <c r="H1091" s="67"/>
      <c r="I1091" s="67"/>
    </row>
    <row r="1092" spans="5:9" ht="15.75" customHeight="1">
      <c r="E1092" s="67"/>
      <c r="F1092" s="67"/>
      <c r="G1092" s="67"/>
      <c r="H1092" s="67"/>
      <c r="I1092" s="67"/>
    </row>
    <row r="1093" spans="5:9" ht="15.75" customHeight="1">
      <c r="E1093" s="67"/>
      <c r="F1093" s="67"/>
      <c r="G1093" s="67"/>
      <c r="H1093" s="67"/>
      <c r="I1093" s="67"/>
    </row>
    <row r="1094" spans="5:9" ht="15.75" customHeight="1">
      <c r="E1094" s="67"/>
      <c r="F1094" s="67"/>
      <c r="G1094" s="67"/>
      <c r="H1094" s="67"/>
      <c r="I1094" s="67"/>
    </row>
    <row r="1095" spans="5:9" ht="15.75" customHeight="1">
      <c r="E1095" s="67"/>
      <c r="F1095" s="67"/>
      <c r="G1095" s="67"/>
      <c r="H1095" s="67"/>
      <c r="I1095" s="67"/>
    </row>
    <row r="1096" spans="5:9" ht="15.75" customHeight="1">
      <c r="E1096" s="67"/>
      <c r="F1096" s="67"/>
      <c r="G1096" s="67"/>
      <c r="H1096" s="67"/>
      <c r="I1096" s="67"/>
    </row>
    <row r="1097" spans="5:9" ht="15.75" customHeight="1">
      <c r="E1097" s="67"/>
      <c r="F1097" s="67"/>
      <c r="G1097" s="67"/>
      <c r="H1097" s="67"/>
      <c r="I1097" s="67"/>
    </row>
    <row r="1098" spans="5:9" ht="15.75" customHeight="1">
      <c r="E1098" s="67"/>
      <c r="F1098" s="67"/>
      <c r="G1098" s="67"/>
      <c r="H1098" s="67"/>
      <c r="I1098" s="67"/>
    </row>
    <row r="1099" spans="5:9" ht="15.75" customHeight="1">
      <c r="E1099" s="67"/>
      <c r="F1099" s="67"/>
      <c r="G1099" s="67"/>
      <c r="H1099" s="67"/>
      <c r="I1099" s="67"/>
    </row>
    <row r="1100" spans="5:9" ht="15.75" customHeight="1">
      <c r="E1100" s="67"/>
      <c r="F1100" s="67"/>
      <c r="G1100" s="67"/>
      <c r="H1100" s="67"/>
      <c r="I1100" s="67"/>
    </row>
    <row r="1101" spans="5:9" ht="15.75" customHeight="1">
      <c r="E1101" s="67"/>
      <c r="F1101" s="67"/>
      <c r="G1101" s="67"/>
      <c r="H1101" s="67"/>
      <c r="I1101" s="67"/>
    </row>
    <row r="1102" spans="5:9" ht="15.75" customHeight="1">
      <c r="E1102" s="67"/>
      <c r="F1102" s="67"/>
      <c r="G1102" s="67"/>
      <c r="H1102" s="67"/>
      <c r="I1102" s="67"/>
    </row>
    <row r="1103" spans="5:9" ht="15.75" customHeight="1">
      <c r="E1103" s="67"/>
      <c r="F1103" s="67"/>
      <c r="G1103" s="67"/>
      <c r="H1103" s="67"/>
      <c r="I1103" s="67"/>
    </row>
    <row r="1104" spans="5:9" ht="15.75" customHeight="1">
      <c r="E1104" s="67"/>
      <c r="F1104" s="67"/>
      <c r="G1104" s="67"/>
      <c r="H1104" s="67"/>
      <c r="I1104" s="67"/>
    </row>
    <row r="1105" spans="5:9" ht="15.75" customHeight="1">
      <c r="E1105" s="67"/>
      <c r="F1105" s="67"/>
      <c r="G1105" s="67"/>
      <c r="H1105" s="67"/>
      <c r="I1105" s="67"/>
    </row>
    <row r="1106" spans="5:9" ht="15.75" customHeight="1">
      <c r="E1106" s="67"/>
      <c r="F1106" s="67"/>
      <c r="G1106" s="67"/>
      <c r="H1106" s="67"/>
      <c r="I1106" s="67"/>
    </row>
    <row r="1107" spans="5:9" ht="15.75" customHeight="1">
      <c r="E1107" s="67"/>
      <c r="F1107" s="67"/>
      <c r="G1107" s="67"/>
      <c r="H1107" s="67"/>
      <c r="I1107" s="67"/>
    </row>
    <row r="1108" spans="5:9" ht="15.75" customHeight="1">
      <c r="E1108" s="67"/>
      <c r="F1108" s="67"/>
      <c r="G1108" s="67"/>
      <c r="H1108" s="67"/>
      <c r="I1108" s="67"/>
    </row>
    <row r="1109" spans="5:9" ht="15.75" customHeight="1">
      <c r="E1109" s="67"/>
      <c r="F1109" s="67"/>
      <c r="G1109" s="67"/>
      <c r="H1109" s="67"/>
      <c r="I1109" s="67"/>
    </row>
    <row r="1110" spans="5:9" ht="15.75" customHeight="1">
      <c r="E1110" s="67"/>
      <c r="F1110" s="67"/>
      <c r="G1110" s="67"/>
      <c r="H1110" s="67"/>
      <c r="I1110" s="67"/>
    </row>
    <row r="1111" spans="5:9" ht="15.75" customHeight="1">
      <c r="E1111" s="67"/>
      <c r="F1111" s="67"/>
      <c r="G1111" s="67"/>
      <c r="H1111" s="67"/>
      <c r="I1111" s="67"/>
    </row>
    <row r="1112" spans="5:9" ht="15.75" customHeight="1">
      <c r="E1112" s="67"/>
      <c r="F1112" s="67"/>
      <c r="G1112" s="67"/>
      <c r="H1112" s="67"/>
      <c r="I1112" s="67"/>
    </row>
    <row r="1113" spans="5:9" ht="15.75" customHeight="1">
      <c r="E1113" s="67"/>
      <c r="F1113" s="67"/>
      <c r="G1113" s="67"/>
      <c r="H1113" s="67"/>
      <c r="I1113" s="67"/>
    </row>
    <row r="1114" spans="5:9" ht="15.75" customHeight="1">
      <c r="E1114" s="67"/>
      <c r="F1114" s="67"/>
      <c r="G1114" s="67"/>
      <c r="H1114" s="67"/>
      <c r="I1114" s="67"/>
    </row>
    <row r="1115" spans="5:9" ht="15.75" customHeight="1">
      <c r="E1115" s="67"/>
      <c r="F1115" s="67"/>
      <c r="G1115" s="67"/>
      <c r="H1115" s="67"/>
      <c r="I1115" s="67"/>
    </row>
    <row r="1116" spans="5:9" ht="15.75" customHeight="1">
      <c r="E1116" s="67"/>
      <c r="F1116" s="67"/>
      <c r="G1116" s="67"/>
      <c r="H1116" s="67"/>
      <c r="I1116" s="67"/>
    </row>
    <row r="1117" spans="5:9" ht="15.75" customHeight="1">
      <c r="E1117" s="67"/>
      <c r="F1117" s="67"/>
      <c r="G1117" s="67"/>
      <c r="H1117" s="67"/>
      <c r="I1117" s="67"/>
    </row>
    <row r="1118" spans="5:9" ht="15.75" customHeight="1">
      <c r="E1118" s="67"/>
      <c r="F1118" s="67"/>
      <c r="G1118" s="67"/>
      <c r="H1118" s="67"/>
      <c r="I1118" s="67"/>
    </row>
    <row r="1119" spans="5:9" ht="15.75" customHeight="1">
      <c r="E1119" s="67"/>
      <c r="F1119" s="67"/>
      <c r="G1119" s="67"/>
      <c r="H1119" s="67"/>
      <c r="I1119" s="67"/>
    </row>
    <row r="1120" spans="5:9" ht="15.75" customHeight="1">
      <c r="E1120" s="67"/>
      <c r="F1120" s="67"/>
      <c r="G1120" s="67"/>
      <c r="H1120" s="67"/>
      <c r="I1120" s="67"/>
    </row>
    <row r="1121" spans="5:9" ht="15.75" customHeight="1">
      <c r="E1121" s="67"/>
      <c r="F1121" s="67"/>
      <c r="G1121" s="67"/>
      <c r="H1121" s="67"/>
      <c r="I1121" s="67"/>
    </row>
    <row r="1122" spans="5:9" ht="15.75" customHeight="1">
      <c r="E1122" s="67"/>
      <c r="F1122" s="67"/>
      <c r="G1122" s="67"/>
      <c r="H1122" s="67"/>
      <c r="I1122" s="67"/>
    </row>
    <row r="1123" spans="5:9" ht="15.75" customHeight="1">
      <c r="E1123" s="67"/>
      <c r="F1123" s="67"/>
      <c r="G1123" s="67"/>
      <c r="H1123" s="67"/>
      <c r="I1123" s="67"/>
    </row>
    <row r="1124" spans="5:9" ht="15.75" customHeight="1">
      <c r="E1124" s="67"/>
      <c r="F1124" s="67"/>
      <c r="G1124" s="67"/>
      <c r="H1124" s="67"/>
      <c r="I1124" s="67"/>
    </row>
    <row r="1125" spans="5:9" ht="15.75" customHeight="1">
      <c r="E1125" s="67"/>
      <c r="F1125" s="67"/>
      <c r="G1125" s="67"/>
      <c r="H1125" s="67"/>
      <c r="I1125" s="67"/>
    </row>
    <row r="1126" spans="5:9" ht="15.75" customHeight="1">
      <c r="E1126" s="67"/>
      <c r="F1126" s="67"/>
      <c r="G1126" s="67"/>
      <c r="H1126" s="67"/>
      <c r="I1126" s="67"/>
    </row>
    <row r="1127" spans="5:9" ht="15.75" customHeight="1">
      <c r="E1127" s="67"/>
      <c r="F1127" s="67"/>
      <c r="G1127" s="67"/>
      <c r="H1127" s="67"/>
      <c r="I1127" s="67"/>
    </row>
    <row r="1128" spans="5:9" ht="15.75" customHeight="1">
      <c r="E1128" s="67"/>
      <c r="F1128" s="67"/>
      <c r="G1128" s="67"/>
      <c r="H1128" s="67"/>
      <c r="I1128" s="67"/>
    </row>
    <row r="1129" spans="5:9" ht="15.75" customHeight="1">
      <c r="E1129" s="67"/>
      <c r="F1129" s="67"/>
      <c r="G1129" s="67"/>
      <c r="H1129" s="67"/>
      <c r="I1129" s="67"/>
    </row>
    <row r="1130" spans="5:9" ht="15.75" customHeight="1">
      <c r="E1130" s="67"/>
      <c r="F1130" s="67"/>
      <c r="G1130" s="67"/>
      <c r="H1130" s="67"/>
      <c r="I1130" s="67"/>
    </row>
    <row r="1131" spans="5:9" ht="15.75" customHeight="1">
      <c r="E1131" s="67"/>
      <c r="F1131" s="67"/>
      <c r="G1131" s="67"/>
      <c r="H1131" s="67"/>
      <c r="I1131" s="67"/>
    </row>
    <row r="1132" spans="5:9" ht="15.75" customHeight="1">
      <c r="E1132" s="67"/>
      <c r="F1132" s="67"/>
      <c r="G1132" s="67"/>
      <c r="H1132" s="67"/>
      <c r="I1132" s="67"/>
    </row>
    <row r="1133" spans="5:9" ht="15.75" customHeight="1">
      <c r="E1133" s="67"/>
      <c r="F1133" s="67"/>
      <c r="G1133" s="67"/>
      <c r="H1133" s="67"/>
      <c r="I1133" s="67"/>
    </row>
    <row r="1134" spans="5:9" ht="15.75" customHeight="1">
      <c r="E1134" s="67"/>
      <c r="F1134" s="67"/>
      <c r="G1134" s="67"/>
      <c r="H1134" s="67"/>
      <c r="I1134" s="67"/>
    </row>
    <row r="1135" spans="5:9" ht="15.75" customHeight="1">
      <c r="E1135" s="67"/>
      <c r="F1135" s="67"/>
      <c r="G1135" s="67"/>
      <c r="H1135" s="67"/>
      <c r="I1135" s="67"/>
    </row>
    <row r="1136" spans="5:9" ht="15.75" customHeight="1">
      <c r="E1136" s="67"/>
      <c r="F1136" s="67"/>
      <c r="G1136" s="67"/>
      <c r="H1136" s="67"/>
      <c r="I1136" s="67"/>
    </row>
    <row r="1137" spans="5:9" ht="15.75" customHeight="1">
      <c r="E1137" s="67"/>
      <c r="F1137" s="67"/>
      <c r="G1137" s="67"/>
      <c r="H1137" s="67"/>
      <c r="I1137" s="67"/>
    </row>
    <row r="1138" spans="5:9" ht="15.75" customHeight="1">
      <c r="E1138" s="67"/>
      <c r="F1138" s="67"/>
      <c r="G1138" s="67"/>
      <c r="H1138" s="67"/>
      <c r="I1138" s="67"/>
    </row>
    <row r="1139" spans="5:9" ht="15.75" customHeight="1">
      <c r="E1139" s="67"/>
      <c r="F1139" s="67"/>
      <c r="G1139" s="67"/>
      <c r="H1139" s="67"/>
      <c r="I1139" s="67"/>
    </row>
    <row r="1140" spans="5:9" ht="15.75" customHeight="1">
      <c r="E1140" s="67"/>
      <c r="F1140" s="67"/>
      <c r="G1140" s="67"/>
      <c r="H1140" s="67"/>
      <c r="I1140" s="67"/>
    </row>
    <row r="1141" spans="5:9" ht="15.75" customHeight="1">
      <c r="E1141" s="67"/>
      <c r="F1141" s="67"/>
      <c r="G1141" s="67"/>
      <c r="H1141" s="67"/>
      <c r="I1141" s="67"/>
    </row>
    <row r="1142" spans="5:9" ht="15.75" customHeight="1">
      <c r="E1142" s="67"/>
      <c r="F1142" s="67"/>
      <c r="G1142" s="67"/>
      <c r="H1142" s="67"/>
      <c r="I1142" s="67"/>
    </row>
    <row r="1143" spans="5:9" ht="15.75" customHeight="1">
      <c r="E1143" s="67"/>
      <c r="F1143" s="67"/>
      <c r="G1143" s="67"/>
      <c r="H1143" s="67"/>
      <c r="I1143" s="67"/>
    </row>
    <row r="1144" spans="5:9" ht="15.75" customHeight="1">
      <c r="E1144" s="67"/>
      <c r="F1144" s="67"/>
      <c r="G1144" s="67"/>
      <c r="H1144" s="67"/>
      <c r="I1144" s="67"/>
    </row>
    <row r="1145" spans="5:9" ht="15.75" customHeight="1">
      <c r="E1145" s="67"/>
      <c r="F1145" s="67"/>
      <c r="G1145" s="67"/>
      <c r="H1145" s="67"/>
      <c r="I1145" s="67"/>
    </row>
    <row r="1146" spans="5:9" ht="15.75" customHeight="1">
      <c r="E1146" s="67"/>
      <c r="F1146" s="67"/>
      <c r="G1146" s="67"/>
      <c r="H1146" s="67"/>
      <c r="I1146" s="67"/>
    </row>
    <row r="1147" spans="5:9" ht="15.75" customHeight="1">
      <c r="E1147" s="67"/>
      <c r="F1147" s="67"/>
      <c r="G1147" s="67"/>
      <c r="H1147" s="67"/>
      <c r="I1147" s="67"/>
    </row>
    <row r="1148" spans="5:9" ht="15.75" customHeight="1">
      <c r="E1148" s="67"/>
      <c r="F1148" s="67"/>
      <c r="G1148" s="67"/>
      <c r="H1148" s="67"/>
      <c r="I1148" s="67"/>
    </row>
    <row r="1149" spans="5:9" ht="15.75" customHeight="1">
      <c r="E1149" s="67"/>
      <c r="F1149" s="67"/>
      <c r="G1149" s="67"/>
      <c r="H1149" s="67"/>
      <c r="I1149" s="67"/>
    </row>
    <row r="1150" spans="5:9" ht="15.75" customHeight="1">
      <c r="E1150" s="67"/>
      <c r="F1150" s="67"/>
      <c r="G1150" s="67"/>
      <c r="H1150" s="67"/>
      <c r="I1150" s="67"/>
    </row>
    <row r="1151" spans="5:9" ht="15.75" customHeight="1">
      <c r="E1151" s="67"/>
      <c r="F1151" s="67"/>
      <c r="G1151" s="67"/>
      <c r="H1151" s="67"/>
      <c r="I1151" s="67"/>
    </row>
    <row r="1152" spans="5:9" ht="15.75" customHeight="1">
      <c r="E1152" s="67"/>
      <c r="F1152" s="67"/>
      <c r="G1152" s="67"/>
      <c r="H1152" s="67"/>
      <c r="I1152" s="67"/>
    </row>
    <row r="1153" spans="5:9" ht="15.75" customHeight="1">
      <c r="E1153" s="67"/>
      <c r="F1153" s="67"/>
      <c r="G1153" s="67"/>
      <c r="H1153" s="67"/>
      <c r="I1153" s="67"/>
    </row>
    <row r="1154" spans="5:9" ht="15.75" customHeight="1">
      <c r="E1154" s="67"/>
      <c r="F1154" s="67"/>
      <c r="G1154" s="67"/>
      <c r="H1154" s="67"/>
      <c r="I1154" s="67"/>
    </row>
    <row r="1155" spans="5:9" ht="15.75" customHeight="1">
      <c r="E1155" s="67"/>
      <c r="F1155" s="67"/>
      <c r="G1155" s="67"/>
      <c r="H1155" s="67"/>
      <c r="I1155" s="67"/>
    </row>
    <row r="1156" spans="5:9" ht="15.75" customHeight="1">
      <c r="E1156" s="67"/>
      <c r="F1156" s="67"/>
      <c r="G1156" s="67"/>
      <c r="H1156" s="67"/>
      <c r="I1156" s="67"/>
    </row>
    <row r="1157" spans="5:9" ht="15.75" customHeight="1">
      <c r="E1157" s="67"/>
      <c r="F1157" s="67"/>
      <c r="G1157" s="67"/>
      <c r="H1157" s="67"/>
      <c r="I1157" s="67"/>
    </row>
    <row r="1158" spans="5:9" ht="15.75" customHeight="1">
      <c r="E1158" s="67"/>
      <c r="F1158" s="67"/>
      <c r="G1158" s="67"/>
      <c r="H1158" s="67"/>
      <c r="I1158" s="67"/>
    </row>
    <row r="1159" spans="5:9" ht="15.75" customHeight="1">
      <c r="E1159" s="67"/>
      <c r="F1159" s="67"/>
      <c r="G1159" s="67"/>
      <c r="H1159" s="67"/>
      <c r="I1159" s="67"/>
    </row>
    <row r="1160" spans="5:9" ht="15.75" customHeight="1">
      <c r="E1160" s="67"/>
      <c r="F1160" s="67"/>
      <c r="G1160" s="67"/>
      <c r="H1160" s="67"/>
      <c r="I1160" s="67"/>
    </row>
    <row r="1161" spans="5:9" ht="15.75" customHeight="1">
      <c r="E1161" s="67"/>
      <c r="F1161" s="67"/>
      <c r="G1161" s="67"/>
      <c r="H1161" s="67"/>
      <c r="I1161" s="67"/>
    </row>
    <row r="1162" spans="5:9" ht="15.75" customHeight="1">
      <c r="E1162" s="67"/>
      <c r="F1162" s="67"/>
      <c r="G1162" s="67"/>
      <c r="H1162" s="67"/>
      <c r="I1162" s="67"/>
    </row>
    <row r="1163" spans="5:9" ht="15.75" customHeight="1">
      <c r="E1163" s="67"/>
      <c r="F1163" s="67"/>
      <c r="G1163" s="67"/>
      <c r="H1163" s="67"/>
      <c r="I1163" s="67"/>
    </row>
    <row r="1164" spans="5:9" ht="15.75" customHeight="1">
      <c r="E1164" s="67"/>
      <c r="F1164" s="67"/>
      <c r="G1164" s="67"/>
      <c r="H1164" s="67"/>
      <c r="I1164" s="67"/>
    </row>
    <row r="1165" spans="5:9" ht="15.75" customHeight="1">
      <c r="E1165" s="67"/>
      <c r="F1165" s="67"/>
      <c r="G1165" s="67"/>
      <c r="H1165" s="67"/>
      <c r="I1165" s="67"/>
    </row>
    <row r="1166" spans="5:9" ht="15.75" customHeight="1">
      <c r="E1166" s="67"/>
      <c r="F1166" s="67"/>
      <c r="G1166" s="67"/>
      <c r="H1166" s="67"/>
      <c r="I1166" s="67"/>
    </row>
    <row r="1167" spans="5:9" ht="15.75" customHeight="1">
      <c r="E1167" s="67"/>
      <c r="F1167" s="67"/>
      <c r="G1167" s="67"/>
      <c r="H1167" s="67"/>
      <c r="I1167" s="67"/>
    </row>
    <row r="1168" spans="5:9" ht="15.75" customHeight="1">
      <c r="E1168" s="67"/>
      <c r="F1168" s="67"/>
      <c r="G1168" s="67"/>
      <c r="H1168" s="67"/>
      <c r="I1168" s="67"/>
    </row>
    <row r="1169" spans="5:9" ht="15.75" customHeight="1">
      <c r="E1169" s="67"/>
      <c r="F1169" s="67"/>
      <c r="G1169" s="67"/>
      <c r="H1169" s="67"/>
      <c r="I1169" s="67"/>
    </row>
    <row r="1170" spans="5:9" ht="15.75" customHeight="1">
      <c r="E1170" s="67"/>
      <c r="F1170" s="67"/>
      <c r="G1170" s="67"/>
      <c r="H1170" s="67"/>
      <c r="I1170" s="67"/>
    </row>
    <row r="1171" spans="5:9" ht="15.75" customHeight="1">
      <c r="E1171" s="67"/>
      <c r="F1171" s="67"/>
      <c r="G1171" s="67"/>
      <c r="H1171" s="67"/>
      <c r="I1171" s="67"/>
    </row>
    <row r="1172" spans="5:9" ht="15.75" customHeight="1">
      <c r="E1172" s="67"/>
      <c r="F1172" s="67"/>
      <c r="G1172" s="67"/>
      <c r="H1172" s="67"/>
      <c r="I1172" s="67"/>
    </row>
    <row r="1173" spans="5:9" ht="15.75" customHeight="1">
      <c r="E1173" s="67"/>
      <c r="F1173" s="67"/>
      <c r="G1173" s="67"/>
      <c r="H1173" s="67"/>
      <c r="I1173" s="67"/>
    </row>
    <row r="1174" spans="5:9" ht="15.75" customHeight="1">
      <c r="E1174" s="67"/>
      <c r="F1174" s="67"/>
      <c r="G1174" s="67"/>
      <c r="H1174" s="67"/>
      <c r="I1174" s="67"/>
    </row>
    <row r="1175" spans="5:9" ht="15.75" customHeight="1">
      <c r="E1175" s="67"/>
      <c r="F1175" s="67"/>
      <c r="G1175" s="67"/>
      <c r="H1175" s="67"/>
      <c r="I1175" s="67"/>
    </row>
    <row r="1176" spans="5:9" ht="15.75" customHeight="1">
      <c r="E1176" s="67"/>
      <c r="F1176" s="67"/>
      <c r="G1176" s="67"/>
      <c r="H1176" s="67"/>
      <c r="I1176" s="67"/>
    </row>
    <row r="1177" spans="5:9" ht="15.75" customHeight="1">
      <c r="E1177" s="67"/>
      <c r="F1177" s="67"/>
      <c r="G1177" s="67"/>
      <c r="H1177" s="67"/>
      <c r="I1177" s="67"/>
    </row>
    <row r="1178" spans="5:9" ht="15.75" customHeight="1">
      <c r="E1178" s="67"/>
      <c r="F1178" s="67"/>
      <c r="G1178" s="67"/>
      <c r="H1178" s="67"/>
      <c r="I1178" s="67"/>
    </row>
    <row r="1179" spans="5:9" ht="15.75" customHeight="1">
      <c r="E1179" s="67"/>
      <c r="F1179" s="67"/>
      <c r="G1179" s="67"/>
      <c r="H1179" s="67"/>
      <c r="I1179" s="67"/>
    </row>
    <row r="1180" spans="5:9" ht="15.75" customHeight="1">
      <c r="E1180" s="67"/>
      <c r="F1180" s="67"/>
      <c r="G1180" s="67"/>
      <c r="H1180" s="67"/>
      <c r="I1180" s="67"/>
    </row>
    <row r="1181" spans="5:9" ht="15.75" customHeight="1">
      <c r="E1181" s="67"/>
      <c r="F1181" s="67"/>
      <c r="G1181" s="67"/>
      <c r="H1181" s="67"/>
      <c r="I1181" s="67"/>
    </row>
    <row r="1182" spans="5:9" ht="15.75" customHeight="1">
      <c r="E1182" s="67"/>
      <c r="F1182" s="67"/>
      <c r="G1182" s="67"/>
      <c r="H1182" s="67"/>
      <c r="I1182" s="67"/>
    </row>
    <row r="1183" spans="5:9" ht="15.75" customHeight="1">
      <c r="E1183" s="67"/>
      <c r="F1183" s="67"/>
      <c r="G1183" s="67"/>
      <c r="H1183" s="67"/>
      <c r="I1183" s="67"/>
    </row>
    <row r="1184" spans="5:9" ht="15.75" customHeight="1">
      <c r="E1184" s="67"/>
      <c r="F1184" s="67"/>
      <c r="G1184" s="67"/>
      <c r="H1184" s="67"/>
      <c r="I1184" s="67"/>
    </row>
    <row r="1185" spans="5:9" ht="15.75" customHeight="1">
      <c r="E1185" s="67"/>
      <c r="F1185" s="67"/>
      <c r="G1185" s="67"/>
      <c r="H1185" s="67"/>
      <c r="I1185" s="67"/>
    </row>
    <row r="1186" spans="5:9" ht="15.75" customHeight="1">
      <c r="E1186" s="67"/>
      <c r="F1186" s="67"/>
      <c r="G1186" s="67"/>
      <c r="H1186" s="67"/>
      <c r="I1186" s="67"/>
    </row>
    <row r="1187" spans="5:9" ht="15.75" customHeight="1">
      <c r="E1187" s="67"/>
      <c r="F1187" s="67"/>
      <c r="G1187" s="67"/>
      <c r="H1187" s="67"/>
      <c r="I1187" s="67"/>
    </row>
    <row r="1188" spans="5:9" ht="15.75" customHeight="1">
      <c r="E1188" s="67"/>
      <c r="F1188" s="67"/>
      <c r="G1188" s="67"/>
      <c r="H1188" s="67"/>
      <c r="I1188" s="67"/>
    </row>
    <row r="1189" spans="5:9" ht="15.75" customHeight="1">
      <c r="E1189" s="67"/>
      <c r="F1189" s="67"/>
      <c r="G1189" s="67"/>
      <c r="H1189" s="67"/>
      <c r="I1189" s="67"/>
    </row>
    <row r="1190" spans="5:9" ht="15.75" customHeight="1">
      <c r="E1190" s="67"/>
      <c r="F1190" s="67"/>
      <c r="G1190" s="67"/>
      <c r="H1190" s="67"/>
      <c r="I1190" s="67"/>
    </row>
    <row r="1191" spans="5:9" ht="15.75" customHeight="1">
      <c r="E1191" s="67"/>
      <c r="F1191" s="67"/>
      <c r="G1191" s="67"/>
      <c r="H1191" s="67"/>
      <c r="I1191" s="67"/>
    </row>
    <row r="1192" spans="5:9" ht="15.75" customHeight="1">
      <c r="E1192" s="67"/>
      <c r="F1192" s="67"/>
      <c r="G1192" s="67"/>
      <c r="H1192" s="67"/>
      <c r="I1192" s="67"/>
    </row>
    <row r="1193" spans="5:9" ht="15.75" customHeight="1">
      <c r="E1193" s="67"/>
      <c r="F1193" s="67"/>
      <c r="G1193" s="67"/>
      <c r="H1193" s="67"/>
      <c r="I1193" s="67"/>
    </row>
    <row r="1194" spans="5:9" ht="15.75" customHeight="1">
      <c r="E1194" s="67"/>
      <c r="F1194" s="67"/>
      <c r="G1194" s="67"/>
      <c r="H1194" s="67"/>
      <c r="I1194" s="67"/>
    </row>
    <row r="1195" spans="5:9" ht="15.75" customHeight="1">
      <c r="E1195" s="67"/>
      <c r="F1195" s="67"/>
      <c r="G1195" s="67"/>
      <c r="H1195" s="67"/>
      <c r="I1195" s="67"/>
    </row>
    <row r="1196" spans="5:9" ht="15.75" customHeight="1">
      <c r="E1196" s="67"/>
      <c r="F1196" s="67"/>
      <c r="G1196" s="67"/>
      <c r="H1196" s="67"/>
      <c r="I1196" s="67"/>
    </row>
    <row r="1197" spans="5:9" ht="15.75" customHeight="1">
      <c r="E1197" s="67"/>
      <c r="F1197" s="67"/>
      <c r="G1197" s="67"/>
      <c r="H1197" s="67"/>
      <c r="I1197" s="67"/>
    </row>
    <row r="1198" spans="5:9" ht="15.75" customHeight="1">
      <c r="E1198" s="67"/>
      <c r="F1198" s="67"/>
      <c r="G1198" s="67"/>
      <c r="H1198" s="67"/>
      <c r="I1198" s="67"/>
    </row>
    <row r="1199" spans="5:9" ht="15.75" customHeight="1">
      <c r="E1199" s="67"/>
      <c r="F1199" s="67"/>
      <c r="G1199" s="67"/>
      <c r="H1199" s="67"/>
      <c r="I1199" s="67"/>
    </row>
    <row r="1200" spans="5:9" ht="15.75" customHeight="1">
      <c r="E1200" s="67"/>
      <c r="F1200" s="67"/>
      <c r="G1200" s="67"/>
      <c r="H1200" s="67"/>
      <c r="I1200" s="67"/>
    </row>
    <row r="1201" spans="5:9" ht="15.75" customHeight="1">
      <c r="E1201" s="67"/>
      <c r="F1201" s="67"/>
      <c r="G1201" s="67"/>
      <c r="H1201" s="67"/>
      <c r="I1201" s="67"/>
    </row>
    <row r="1202" spans="5:9" ht="15.75" customHeight="1">
      <c r="E1202" s="67"/>
      <c r="F1202" s="67"/>
      <c r="G1202" s="67"/>
      <c r="H1202" s="67"/>
      <c r="I1202" s="67"/>
    </row>
    <row r="1203" spans="5:9" ht="15.75" customHeight="1">
      <c r="E1203" s="67"/>
      <c r="F1203" s="67"/>
      <c r="G1203" s="67"/>
      <c r="H1203" s="67"/>
      <c r="I1203" s="67"/>
    </row>
    <row r="1204" spans="5:9" ht="15.75" customHeight="1">
      <c r="E1204" s="67"/>
      <c r="F1204" s="67"/>
      <c r="G1204" s="67"/>
      <c r="H1204" s="67"/>
      <c r="I1204" s="67"/>
    </row>
    <row r="1205" spans="5:9" ht="15.75" customHeight="1">
      <c r="E1205" s="67"/>
      <c r="F1205" s="67"/>
      <c r="G1205" s="67"/>
      <c r="H1205" s="67"/>
      <c r="I1205" s="67"/>
    </row>
    <row r="1206" spans="5:9" ht="15.75" customHeight="1">
      <c r="E1206" s="67"/>
      <c r="F1206" s="67"/>
      <c r="G1206" s="67"/>
      <c r="H1206" s="67"/>
      <c r="I1206" s="67"/>
    </row>
    <row r="1207" spans="5:9" ht="15.75" customHeight="1">
      <c r="E1207" s="67"/>
      <c r="F1207" s="67"/>
      <c r="G1207" s="67"/>
      <c r="H1207" s="67"/>
      <c r="I1207" s="67"/>
    </row>
    <row r="1208" spans="5:9" ht="15.75" customHeight="1">
      <c r="E1208" s="67"/>
      <c r="F1208" s="67"/>
      <c r="G1208" s="67"/>
      <c r="H1208" s="67"/>
      <c r="I1208" s="67"/>
    </row>
    <row r="1209" spans="5:9" ht="15.75" customHeight="1">
      <c r="E1209" s="67"/>
      <c r="F1209" s="67"/>
      <c r="G1209" s="67"/>
      <c r="H1209" s="67"/>
      <c r="I1209" s="67"/>
    </row>
    <row r="1210" spans="5:9" ht="15.75" customHeight="1">
      <c r="E1210" s="67"/>
      <c r="F1210" s="67"/>
      <c r="G1210" s="67"/>
      <c r="H1210" s="67"/>
      <c r="I1210" s="67"/>
    </row>
    <row r="1211" spans="5:9" ht="15.75" customHeight="1">
      <c r="E1211" s="67"/>
      <c r="F1211" s="67"/>
      <c r="G1211" s="67"/>
      <c r="H1211" s="67"/>
      <c r="I1211" s="67"/>
    </row>
    <row r="1212" spans="5:9" ht="15.75" customHeight="1">
      <c r="E1212" s="67"/>
      <c r="F1212" s="67"/>
      <c r="G1212" s="67"/>
      <c r="H1212" s="67"/>
      <c r="I1212" s="67"/>
    </row>
    <row r="1213" spans="5:9" ht="15.75" customHeight="1">
      <c r="E1213" s="67"/>
      <c r="F1213" s="67"/>
      <c r="G1213" s="67"/>
      <c r="H1213" s="67"/>
      <c r="I1213" s="67"/>
    </row>
    <row r="1214" spans="5:9" ht="15.75" customHeight="1">
      <c r="E1214" s="67"/>
      <c r="F1214" s="67"/>
      <c r="G1214" s="67"/>
      <c r="H1214" s="67"/>
      <c r="I1214" s="67"/>
    </row>
    <row r="1215" spans="5:9" ht="15.75" customHeight="1">
      <c r="E1215" s="67"/>
      <c r="F1215" s="67"/>
      <c r="G1215" s="67"/>
      <c r="H1215" s="67"/>
      <c r="I1215" s="67"/>
    </row>
    <row r="1216" spans="5:9" ht="15.75" customHeight="1">
      <c r="E1216" s="67"/>
      <c r="F1216" s="67"/>
      <c r="G1216" s="67"/>
      <c r="H1216" s="67"/>
      <c r="I1216" s="67"/>
    </row>
    <row r="1217" spans="5:9" ht="15.75" customHeight="1">
      <c r="E1217" s="67"/>
      <c r="F1217" s="67"/>
      <c r="G1217" s="67"/>
      <c r="H1217" s="67"/>
      <c r="I1217" s="67"/>
    </row>
    <row r="1218" spans="5:9" ht="15.75" customHeight="1">
      <c r="E1218" s="67"/>
      <c r="F1218" s="67"/>
      <c r="G1218" s="67"/>
      <c r="H1218" s="67"/>
      <c r="I1218" s="67"/>
    </row>
    <row r="1219" spans="5:9" ht="15.75" customHeight="1">
      <c r="E1219" s="67"/>
      <c r="F1219" s="67"/>
      <c r="G1219" s="67"/>
      <c r="H1219" s="67"/>
      <c r="I1219" s="67"/>
    </row>
    <row r="1220" spans="5:9" ht="15.75" customHeight="1">
      <c r="E1220" s="67"/>
      <c r="F1220" s="67"/>
      <c r="G1220" s="67"/>
      <c r="H1220" s="67"/>
      <c r="I1220" s="67"/>
    </row>
    <row r="1221" spans="5:9" ht="15.75" customHeight="1">
      <c r="E1221" s="67"/>
      <c r="F1221" s="67"/>
      <c r="G1221" s="67"/>
      <c r="H1221" s="67"/>
      <c r="I1221" s="67"/>
    </row>
    <row r="1222" spans="5:9" ht="15.75" customHeight="1">
      <c r="E1222" s="67"/>
      <c r="F1222" s="67"/>
      <c r="G1222" s="67"/>
      <c r="H1222" s="67"/>
      <c r="I1222" s="67"/>
    </row>
    <row r="1223" spans="5:9" ht="15.75" customHeight="1">
      <c r="E1223" s="67"/>
      <c r="F1223" s="67"/>
      <c r="G1223" s="67"/>
      <c r="H1223" s="67"/>
      <c r="I1223" s="67"/>
    </row>
    <row r="1224" spans="5:9" ht="15.75" customHeight="1">
      <c r="E1224" s="67"/>
      <c r="F1224" s="67"/>
      <c r="G1224" s="67"/>
      <c r="H1224" s="67"/>
      <c r="I1224" s="67"/>
    </row>
    <row r="1225" spans="5:9" ht="15.75" customHeight="1">
      <c r="E1225" s="67"/>
      <c r="F1225" s="67"/>
      <c r="G1225" s="67"/>
      <c r="H1225" s="67"/>
      <c r="I1225" s="67"/>
    </row>
    <row r="1226" spans="5:9" ht="15.75" customHeight="1">
      <c r="E1226" s="67"/>
      <c r="F1226" s="67"/>
      <c r="G1226" s="67"/>
      <c r="H1226" s="67"/>
      <c r="I1226" s="67"/>
    </row>
    <row r="1227" spans="5:9" ht="15.75" customHeight="1">
      <c r="E1227" s="67"/>
      <c r="F1227" s="67"/>
      <c r="G1227" s="67"/>
      <c r="H1227" s="67"/>
      <c r="I1227" s="67"/>
    </row>
    <row r="1228" spans="5:9" ht="15.75" customHeight="1">
      <c r="E1228" s="67"/>
      <c r="F1228" s="67"/>
      <c r="G1228" s="67"/>
      <c r="H1228" s="67"/>
      <c r="I1228" s="67"/>
    </row>
    <row r="1229" spans="5:9" ht="15.75" customHeight="1">
      <c r="E1229" s="67"/>
      <c r="F1229" s="67"/>
      <c r="G1229" s="67"/>
      <c r="H1229" s="67"/>
      <c r="I1229" s="67"/>
    </row>
    <row r="1230" spans="5:9" ht="15.75" customHeight="1">
      <c r="E1230" s="67"/>
      <c r="F1230" s="67"/>
      <c r="G1230" s="67"/>
      <c r="H1230" s="67"/>
      <c r="I1230" s="67"/>
    </row>
    <row r="1231" spans="5:9" ht="15.75" customHeight="1">
      <c r="E1231" s="67"/>
      <c r="F1231" s="67"/>
      <c r="G1231" s="67"/>
      <c r="H1231" s="67"/>
      <c r="I1231" s="67"/>
    </row>
    <row r="1232" spans="5:9" ht="15.75" customHeight="1">
      <c r="E1232" s="67"/>
      <c r="F1232" s="67"/>
      <c r="G1232" s="67"/>
      <c r="H1232" s="67"/>
      <c r="I1232" s="67"/>
    </row>
    <row r="1233" spans="5:9" ht="15.75" customHeight="1">
      <c r="E1233" s="67"/>
      <c r="F1233" s="67"/>
      <c r="G1233" s="67"/>
      <c r="H1233" s="67"/>
      <c r="I1233" s="67"/>
    </row>
    <row r="1234" spans="5:9" ht="15.75" customHeight="1">
      <c r="E1234" s="67"/>
      <c r="F1234" s="67"/>
      <c r="G1234" s="67"/>
      <c r="H1234" s="67"/>
      <c r="I1234" s="67"/>
    </row>
    <row r="1235" spans="5:9" ht="15.75" customHeight="1">
      <c r="E1235" s="67"/>
      <c r="F1235" s="67"/>
      <c r="G1235" s="67"/>
      <c r="H1235" s="67"/>
      <c r="I1235" s="67"/>
    </row>
    <row r="1236" spans="5:9" ht="15.75" customHeight="1">
      <c r="E1236" s="67"/>
      <c r="F1236" s="67"/>
      <c r="G1236" s="67"/>
      <c r="H1236" s="67"/>
      <c r="I1236" s="67"/>
    </row>
    <row r="1237" spans="5:9" ht="15.75" customHeight="1">
      <c r="E1237" s="67"/>
      <c r="F1237" s="67"/>
      <c r="G1237" s="67"/>
      <c r="H1237" s="67"/>
      <c r="I1237" s="67"/>
    </row>
    <row r="1238" spans="5:9" ht="15.75" customHeight="1">
      <c r="E1238" s="67"/>
      <c r="F1238" s="67"/>
      <c r="G1238" s="67"/>
      <c r="H1238" s="67"/>
      <c r="I1238" s="67"/>
    </row>
    <row r="1239" spans="5:9" ht="15.75" customHeight="1">
      <c r="E1239" s="67"/>
      <c r="F1239" s="67"/>
      <c r="G1239" s="67"/>
      <c r="H1239" s="67"/>
      <c r="I1239" s="67"/>
    </row>
    <row r="1240" spans="5:9" ht="15.75" customHeight="1">
      <c r="E1240" s="67"/>
      <c r="F1240" s="67"/>
      <c r="G1240" s="67"/>
      <c r="H1240" s="67"/>
      <c r="I1240" s="67"/>
    </row>
    <row r="1241" spans="5:9" ht="15.75" customHeight="1">
      <c r="E1241" s="67"/>
      <c r="F1241" s="67"/>
      <c r="G1241" s="67"/>
      <c r="H1241" s="67"/>
      <c r="I1241" s="67"/>
    </row>
    <row r="1242" spans="5:9" ht="15.75" customHeight="1">
      <c r="E1242" s="67"/>
      <c r="F1242" s="67"/>
      <c r="G1242" s="67"/>
      <c r="H1242" s="67"/>
      <c r="I1242" s="67"/>
    </row>
    <row r="1243" spans="5:9" ht="15.75" customHeight="1">
      <c r="E1243" s="67"/>
      <c r="F1243" s="67"/>
      <c r="G1243" s="67"/>
      <c r="H1243" s="67"/>
      <c r="I1243" s="67"/>
    </row>
    <row r="1244" spans="5:9" ht="15.75" customHeight="1">
      <c r="E1244" s="67"/>
      <c r="F1244" s="67"/>
      <c r="G1244" s="67"/>
      <c r="H1244" s="67"/>
      <c r="I1244" s="67"/>
    </row>
    <row r="1245" spans="5:9" ht="15.75" customHeight="1">
      <c r="E1245" s="67"/>
      <c r="F1245" s="67"/>
      <c r="G1245" s="67"/>
      <c r="H1245" s="67"/>
      <c r="I1245" s="67"/>
    </row>
    <row r="1246" spans="5:9" ht="15.75" customHeight="1">
      <c r="E1246" s="67"/>
      <c r="F1246" s="67"/>
      <c r="G1246" s="67"/>
      <c r="H1246" s="67"/>
      <c r="I1246" s="67"/>
    </row>
    <row r="1247" spans="5:9" ht="15.75" customHeight="1">
      <c r="E1247" s="67"/>
      <c r="F1247" s="67"/>
      <c r="G1247" s="67"/>
      <c r="H1247" s="67"/>
      <c r="I1247" s="67"/>
    </row>
    <row r="1248" spans="5:9" ht="15.75" customHeight="1">
      <c r="E1248" s="67"/>
      <c r="F1248" s="67"/>
      <c r="G1248" s="67"/>
      <c r="H1248" s="67"/>
      <c r="I1248" s="67"/>
    </row>
    <row r="1249" spans="5:9" ht="15.75" customHeight="1">
      <c r="E1249" s="67"/>
      <c r="F1249" s="67"/>
      <c r="G1249" s="67"/>
      <c r="H1249" s="67"/>
      <c r="I1249" s="67"/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88"/>
  <sheetViews>
    <sheetView workbookViewId="0">
      <selection activeCell="E2" sqref="E2"/>
    </sheetView>
  </sheetViews>
  <sheetFormatPr baseColWidth="10" defaultRowHeight="15.75" customHeight="1"/>
  <cols>
    <col min="2" max="2" width="18.6640625" bestFit="1" customWidth="1"/>
    <col min="3" max="3" width="13.5" bestFit="1" customWidth="1"/>
    <col min="5" max="5" width="14.83203125" bestFit="1" customWidth="1"/>
    <col min="6" max="6" width="18.6640625" bestFit="1" customWidth="1"/>
  </cols>
  <sheetData>
    <row r="1" spans="1:6" ht="15">
      <c r="A1" s="107" t="s">
        <v>920</v>
      </c>
      <c r="B1" s="108" t="s">
        <v>30</v>
      </c>
      <c r="C1" s="108" t="s">
        <v>921</v>
      </c>
      <c r="D1" s="109" t="s">
        <v>922</v>
      </c>
      <c r="E1" s="116" t="s">
        <v>1230</v>
      </c>
    </row>
    <row r="2" spans="1:6" ht="14">
      <c r="A2" s="110" t="s">
        <v>923</v>
      </c>
      <c r="B2" s="110" t="s">
        <v>25</v>
      </c>
      <c r="C2" s="66">
        <v>99</v>
      </c>
      <c r="D2">
        <v>1</v>
      </c>
      <c r="E2" s="111">
        <f>C2*D2</f>
        <v>99</v>
      </c>
    </row>
    <row r="3" spans="1:6" ht="14">
      <c r="A3" s="110" t="s">
        <v>923</v>
      </c>
      <c r="B3" s="110" t="s">
        <v>26</v>
      </c>
      <c r="C3" s="66">
        <v>57</v>
      </c>
      <c r="D3">
        <v>2</v>
      </c>
      <c r="E3" s="111">
        <f t="shared" ref="E3:E4" si="0">C3*D3</f>
        <v>114</v>
      </c>
    </row>
    <row r="4" spans="1:6" ht="14">
      <c r="A4" s="110" t="s">
        <v>923</v>
      </c>
      <c r="B4" s="110" t="s">
        <v>27</v>
      </c>
      <c r="C4" s="66">
        <v>8</v>
      </c>
      <c r="D4">
        <v>3</v>
      </c>
      <c r="E4" s="111">
        <f t="shared" si="0"/>
        <v>24</v>
      </c>
    </row>
    <row r="5" spans="1:6" ht="14">
      <c r="A5" s="110" t="s">
        <v>923</v>
      </c>
      <c r="B5" s="112" t="s">
        <v>924</v>
      </c>
      <c r="C5" s="66">
        <v>16</v>
      </c>
      <c r="D5">
        <v>1</v>
      </c>
      <c r="E5" s="111">
        <v>16</v>
      </c>
    </row>
    <row r="6" spans="1:6" ht="14">
      <c r="B6" s="113" t="s">
        <v>32</v>
      </c>
      <c r="C6" s="115">
        <v>180</v>
      </c>
      <c r="E6" s="111">
        <f>SUM(E2:E5)</f>
        <v>253</v>
      </c>
    </row>
    <row r="7" spans="1:6" ht="13"/>
    <row r="8" spans="1:6" ht="13">
      <c r="A8" s="114" t="s">
        <v>82</v>
      </c>
      <c r="B8" s="114" t="s">
        <v>83</v>
      </c>
      <c r="C8" s="114" t="s">
        <v>58</v>
      </c>
      <c r="D8" s="114" t="s">
        <v>43</v>
      </c>
      <c r="E8" s="114" t="s">
        <v>80</v>
      </c>
      <c r="F8" s="114" t="s">
        <v>81</v>
      </c>
    </row>
    <row r="9" spans="1:6" ht="13">
      <c r="A9" s="64" t="s">
        <v>925</v>
      </c>
      <c r="B9" s="64" t="s">
        <v>25</v>
      </c>
      <c r="C9" s="64">
        <v>1</v>
      </c>
      <c r="D9" s="64" t="s">
        <v>926</v>
      </c>
      <c r="E9" s="65">
        <v>46171.94027777778</v>
      </c>
      <c r="F9" s="65">
        <v>46171.94027777778</v>
      </c>
    </row>
    <row r="10" spans="1:6" ht="13">
      <c r="A10" s="64" t="s">
        <v>927</v>
      </c>
      <c r="B10" s="64" t="s">
        <v>25</v>
      </c>
      <c r="C10" s="64">
        <v>1</v>
      </c>
      <c r="D10" s="64" t="s">
        <v>928</v>
      </c>
      <c r="E10" s="65">
        <v>46172.033726851849</v>
      </c>
      <c r="F10" s="65">
        <v>46172.033726851849</v>
      </c>
    </row>
    <row r="11" spans="1:6" ht="13">
      <c r="A11" s="64" t="s">
        <v>929</v>
      </c>
      <c r="B11" s="64" t="s">
        <v>25</v>
      </c>
      <c r="C11" s="64">
        <v>1</v>
      </c>
      <c r="D11" s="64" t="s">
        <v>930</v>
      </c>
      <c r="E11" s="65">
        <v>46172.035636574074</v>
      </c>
      <c r="F11" s="65">
        <v>46172.035636574074</v>
      </c>
    </row>
    <row r="12" spans="1:6" ht="13">
      <c r="A12" s="64" t="s">
        <v>931</v>
      </c>
      <c r="B12" s="64" t="s">
        <v>25</v>
      </c>
      <c r="C12" s="64">
        <v>1</v>
      </c>
      <c r="D12" s="64" t="s">
        <v>932</v>
      </c>
      <c r="E12" s="65">
        <v>46172.410601851851</v>
      </c>
      <c r="F12" s="65">
        <v>46172.410601851851</v>
      </c>
    </row>
    <row r="13" spans="1:6" ht="13">
      <c r="A13" s="64" t="s">
        <v>933</v>
      </c>
      <c r="B13" s="64" t="s">
        <v>26</v>
      </c>
      <c r="C13" s="64">
        <v>1</v>
      </c>
      <c r="D13" s="64" t="s">
        <v>934</v>
      </c>
      <c r="E13" s="65">
        <v>46172.550254629627</v>
      </c>
      <c r="F13" s="65">
        <v>46172.550254629627</v>
      </c>
    </row>
    <row r="14" spans="1:6" ht="13">
      <c r="A14" s="64" t="s">
        <v>935</v>
      </c>
      <c r="B14" s="64" t="s">
        <v>26</v>
      </c>
      <c r="C14" s="64">
        <v>1</v>
      </c>
      <c r="D14" s="64" t="s">
        <v>936</v>
      </c>
      <c r="E14" s="65">
        <v>46172.844351851854</v>
      </c>
      <c r="F14" s="65">
        <v>46172.844351851854</v>
      </c>
    </row>
    <row r="15" spans="1:6" ht="13">
      <c r="A15" s="64" t="s">
        <v>937</v>
      </c>
      <c r="B15" s="64" t="s">
        <v>26</v>
      </c>
      <c r="C15" s="64">
        <v>1</v>
      </c>
      <c r="D15" s="64" t="s">
        <v>938</v>
      </c>
      <c r="E15" s="65">
        <v>46173.07203703704</v>
      </c>
      <c r="F15" s="65">
        <v>46173.07203703704</v>
      </c>
    </row>
    <row r="16" spans="1:6" ht="13">
      <c r="A16" s="64" t="s">
        <v>939</v>
      </c>
      <c r="B16" s="64" t="s">
        <v>25</v>
      </c>
      <c r="C16" s="64">
        <v>1</v>
      </c>
      <c r="D16" s="64" t="s">
        <v>940</v>
      </c>
      <c r="E16" s="65">
        <v>46173.307847222219</v>
      </c>
      <c r="F16" s="65">
        <v>46173.307847222219</v>
      </c>
    </row>
    <row r="17" spans="1:6" ht="13">
      <c r="A17" s="64" t="s">
        <v>941</v>
      </c>
      <c r="B17" s="64" t="s">
        <v>26</v>
      </c>
      <c r="C17" s="64">
        <v>1</v>
      </c>
      <c r="D17" s="64" t="s">
        <v>942</v>
      </c>
      <c r="E17" s="65">
        <v>46173.457048611112</v>
      </c>
      <c r="F17" s="65">
        <v>46173.457048611112</v>
      </c>
    </row>
    <row r="18" spans="1:6" ht="13">
      <c r="A18" s="64" t="s">
        <v>943</v>
      </c>
      <c r="B18" s="64" t="s">
        <v>25</v>
      </c>
      <c r="C18" s="64">
        <v>1</v>
      </c>
      <c r="D18" s="64" t="s">
        <v>944</v>
      </c>
      <c r="E18" s="65">
        <v>46173.517766203702</v>
      </c>
      <c r="F18" s="65">
        <v>46173.517766203702</v>
      </c>
    </row>
    <row r="19" spans="1:6" ht="13">
      <c r="A19" s="64" t="s">
        <v>945</v>
      </c>
      <c r="B19" s="64" t="s">
        <v>25</v>
      </c>
      <c r="C19" s="64">
        <v>1</v>
      </c>
      <c r="D19" s="64" t="s">
        <v>946</v>
      </c>
      <c r="E19" s="65">
        <v>46173.673715277779</v>
      </c>
      <c r="F19" s="65">
        <v>46173.673715277779</v>
      </c>
    </row>
    <row r="20" spans="1:6" ht="13">
      <c r="A20" s="64" t="s">
        <v>947</v>
      </c>
      <c r="B20" s="64" t="s">
        <v>26</v>
      </c>
      <c r="C20" s="64">
        <v>1</v>
      </c>
      <c r="D20" s="64" t="s">
        <v>948</v>
      </c>
      <c r="E20" s="65">
        <v>46173.683912037035</v>
      </c>
      <c r="F20" s="65">
        <v>46173.683912037035</v>
      </c>
    </row>
    <row r="21" spans="1:6" ht="13">
      <c r="A21" s="64" t="s">
        <v>949</v>
      </c>
      <c r="B21" s="64" t="s">
        <v>25</v>
      </c>
      <c r="C21" s="64">
        <v>1</v>
      </c>
      <c r="D21" s="64" t="s">
        <v>950</v>
      </c>
      <c r="E21" s="65">
        <v>46173.692777777775</v>
      </c>
      <c r="F21" s="65">
        <v>46173.692777777775</v>
      </c>
    </row>
    <row r="22" spans="1:6" ht="13">
      <c r="A22" s="64" t="s">
        <v>143</v>
      </c>
      <c r="B22" s="64" t="s">
        <v>25</v>
      </c>
      <c r="C22" s="64">
        <v>1</v>
      </c>
      <c r="D22" s="64" t="s">
        <v>951</v>
      </c>
      <c r="E22" s="65">
        <v>46173.696099537039</v>
      </c>
      <c r="F22" s="65">
        <v>46173.696099537039</v>
      </c>
    </row>
    <row r="23" spans="1:6" ht="13">
      <c r="A23" s="64" t="s">
        <v>952</v>
      </c>
      <c r="B23" s="64" t="s">
        <v>27</v>
      </c>
      <c r="C23" s="64">
        <v>1</v>
      </c>
      <c r="D23" s="64" t="s">
        <v>953</v>
      </c>
      <c r="E23" s="65">
        <v>46173.704317129632</v>
      </c>
      <c r="F23" s="65">
        <v>46173.704317129632</v>
      </c>
    </row>
    <row r="24" spans="1:6" ht="13">
      <c r="A24" s="64" t="s">
        <v>954</v>
      </c>
      <c r="B24" s="64" t="s">
        <v>25</v>
      </c>
      <c r="C24" s="64">
        <v>1</v>
      </c>
      <c r="D24" s="64" t="s">
        <v>955</v>
      </c>
      <c r="E24" s="65">
        <v>46173.706284722219</v>
      </c>
      <c r="F24" s="65">
        <v>46173.706284722219</v>
      </c>
    </row>
    <row r="25" spans="1:6" ht="13">
      <c r="A25" s="64" t="s">
        <v>956</v>
      </c>
      <c r="B25" s="64" t="s">
        <v>25</v>
      </c>
      <c r="C25" s="64">
        <v>1</v>
      </c>
      <c r="D25" s="64" t="s">
        <v>957</v>
      </c>
      <c r="E25" s="65">
        <v>46173.720069444447</v>
      </c>
      <c r="F25" s="65">
        <v>46173.720069444447</v>
      </c>
    </row>
    <row r="26" spans="1:6" ht="13">
      <c r="A26" s="64" t="s">
        <v>958</v>
      </c>
      <c r="B26" s="64" t="s">
        <v>25</v>
      </c>
      <c r="C26" s="64">
        <v>1</v>
      </c>
      <c r="D26" s="64" t="s">
        <v>959</v>
      </c>
      <c r="E26" s="65">
        <v>46173.738229166665</v>
      </c>
      <c r="F26" s="65">
        <v>46173.738229166665</v>
      </c>
    </row>
    <row r="27" spans="1:6" ht="13">
      <c r="A27" s="64" t="s">
        <v>960</v>
      </c>
      <c r="B27" s="64" t="s">
        <v>26</v>
      </c>
      <c r="C27" s="64">
        <v>1</v>
      </c>
      <c r="D27" s="64" t="s">
        <v>961</v>
      </c>
      <c r="E27" s="65">
        <v>46173.754641203705</v>
      </c>
      <c r="F27" s="65">
        <v>46173.754641203705</v>
      </c>
    </row>
    <row r="28" spans="1:6" ht="13">
      <c r="A28" s="64" t="s">
        <v>962</v>
      </c>
      <c r="B28" s="64" t="s">
        <v>26</v>
      </c>
      <c r="C28" s="64">
        <v>1</v>
      </c>
      <c r="D28" s="64" t="s">
        <v>963</v>
      </c>
      <c r="E28" s="65">
        <v>46173.765636574077</v>
      </c>
      <c r="F28" s="65">
        <v>46173.765636574077</v>
      </c>
    </row>
    <row r="29" spans="1:6" ht="13">
      <c r="A29" s="64" t="s">
        <v>964</v>
      </c>
      <c r="B29" s="64" t="s">
        <v>27</v>
      </c>
      <c r="C29" s="64">
        <v>1</v>
      </c>
      <c r="D29" s="64" t="s">
        <v>965</v>
      </c>
      <c r="E29" s="65">
        <v>46173.76840277778</v>
      </c>
      <c r="F29" s="65">
        <v>46173.76840277778</v>
      </c>
    </row>
    <row r="30" spans="1:6" ht="13">
      <c r="A30" s="64" t="s">
        <v>966</v>
      </c>
      <c r="B30" s="64" t="s">
        <v>25</v>
      </c>
      <c r="C30" s="64">
        <v>1</v>
      </c>
      <c r="D30" s="64" t="s">
        <v>967</v>
      </c>
      <c r="E30" s="65">
        <v>46173.789872685185</v>
      </c>
      <c r="F30" s="65">
        <v>46173.789872685185</v>
      </c>
    </row>
    <row r="31" spans="1:6" ht="13">
      <c r="A31" s="64" t="s">
        <v>119</v>
      </c>
      <c r="B31" s="64" t="s">
        <v>25</v>
      </c>
      <c r="C31" s="64">
        <v>1</v>
      </c>
      <c r="D31" s="64" t="s">
        <v>968</v>
      </c>
      <c r="E31" s="65">
        <v>46173.812615740739</v>
      </c>
      <c r="F31" s="65">
        <v>46173.812615740739</v>
      </c>
    </row>
    <row r="32" spans="1:6" ht="13">
      <c r="A32" s="64" t="s">
        <v>969</v>
      </c>
      <c r="B32" s="64" t="s">
        <v>25</v>
      </c>
      <c r="C32" s="64">
        <v>1</v>
      </c>
      <c r="D32" s="64" t="s">
        <v>970</v>
      </c>
      <c r="E32" s="65">
        <v>46173.839525462965</v>
      </c>
      <c r="F32" s="65">
        <v>46173.839525462965</v>
      </c>
    </row>
    <row r="33" spans="1:6" ht="13">
      <c r="A33" s="64" t="s">
        <v>971</v>
      </c>
      <c r="B33" s="64" t="s">
        <v>25</v>
      </c>
      <c r="C33" s="64">
        <v>1</v>
      </c>
      <c r="D33" s="64" t="s">
        <v>972</v>
      </c>
      <c r="E33" s="65">
        <v>46173.840439814812</v>
      </c>
      <c r="F33" s="65">
        <v>46173.840439814812</v>
      </c>
    </row>
    <row r="34" spans="1:6" ht="13">
      <c r="A34" s="64" t="s">
        <v>973</v>
      </c>
      <c r="B34" s="64" t="s">
        <v>26</v>
      </c>
      <c r="C34" s="64">
        <v>1</v>
      </c>
      <c r="D34" s="64" t="s">
        <v>974</v>
      </c>
      <c r="E34" s="65">
        <v>46173.840046296296</v>
      </c>
      <c r="F34" s="65">
        <v>46173.840046296296</v>
      </c>
    </row>
    <row r="35" spans="1:6" ht="13">
      <c r="A35" s="64" t="s">
        <v>975</v>
      </c>
      <c r="B35" s="64" t="s">
        <v>26</v>
      </c>
      <c r="C35" s="64">
        <v>1</v>
      </c>
      <c r="D35" s="64" t="s">
        <v>976</v>
      </c>
      <c r="E35" s="65">
        <v>46173.841782407406</v>
      </c>
      <c r="F35" s="65">
        <v>46173.841782407406</v>
      </c>
    </row>
    <row r="36" spans="1:6" ht="13">
      <c r="A36" s="64" t="s">
        <v>977</v>
      </c>
      <c r="B36" s="64" t="s">
        <v>26</v>
      </c>
      <c r="C36" s="64">
        <v>1</v>
      </c>
      <c r="D36" s="64" t="s">
        <v>978</v>
      </c>
      <c r="E36" s="65">
        <v>46173.842291666668</v>
      </c>
      <c r="F36" s="65">
        <v>46173.842291666668</v>
      </c>
    </row>
    <row r="37" spans="1:6" ht="13">
      <c r="A37" s="64" t="s">
        <v>979</v>
      </c>
      <c r="B37" s="64" t="s">
        <v>26</v>
      </c>
      <c r="C37" s="64">
        <v>1</v>
      </c>
      <c r="D37" s="64" t="s">
        <v>980</v>
      </c>
      <c r="E37" s="65">
        <v>46173.843136574076</v>
      </c>
      <c r="F37" s="65">
        <v>46173.843136574076</v>
      </c>
    </row>
    <row r="38" spans="1:6" ht="13">
      <c r="A38" s="64" t="s">
        <v>981</v>
      </c>
      <c r="B38" s="64" t="s">
        <v>27</v>
      </c>
      <c r="C38" s="64">
        <v>1</v>
      </c>
      <c r="D38" s="64" t="s">
        <v>982</v>
      </c>
      <c r="E38" s="65">
        <v>46173.843912037039</v>
      </c>
      <c r="F38" s="65">
        <v>46173.843912037039</v>
      </c>
    </row>
    <row r="39" spans="1:6" ht="13">
      <c r="A39" s="64" t="s">
        <v>983</v>
      </c>
      <c r="B39" s="64" t="s">
        <v>25</v>
      </c>
      <c r="C39" s="64">
        <v>1</v>
      </c>
      <c r="D39" s="64" t="s">
        <v>984</v>
      </c>
      <c r="E39" s="65">
        <v>46173.844189814816</v>
      </c>
      <c r="F39" s="65">
        <v>46173.844189814816</v>
      </c>
    </row>
    <row r="40" spans="1:6" ht="13">
      <c r="A40" s="64" t="s">
        <v>985</v>
      </c>
      <c r="B40" s="64" t="s">
        <v>25</v>
      </c>
      <c r="C40" s="64">
        <v>1</v>
      </c>
      <c r="D40" s="64" t="s">
        <v>986</v>
      </c>
      <c r="E40" s="65">
        <v>46173.845625000002</v>
      </c>
      <c r="F40" s="65">
        <v>46173.845625000002</v>
      </c>
    </row>
    <row r="41" spans="1:6" ht="13">
      <c r="A41" s="64" t="s">
        <v>87</v>
      </c>
      <c r="B41" s="64" t="s">
        <v>25</v>
      </c>
      <c r="C41" s="64">
        <v>1</v>
      </c>
      <c r="D41" s="64" t="s">
        <v>987</v>
      </c>
      <c r="E41" s="65">
        <v>46173.846168981479</v>
      </c>
      <c r="F41" s="65">
        <v>46173.846168981479</v>
      </c>
    </row>
    <row r="42" spans="1:6" ht="13">
      <c r="A42" s="64" t="s">
        <v>102</v>
      </c>
      <c r="B42" s="64" t="s">
        <v>25</v>
      </c>
      <c r="C42" s="64">
        <v>1</v>
      </c>
      <c r="D42" s="64" t="s">
        <v>988</v>
      </c>
      <c r="E42" s="65">
        <v>46173.84652777778</v>
      </c>
      <c r="F42" s="65">
        <v>46173.84652777778</v>
      </c>
    </row>
    <row r="43" spans="1:6" ht="13">
      <c r="A43" s="64" t="s">
        <v>989</v>
      </c>
      <c r="B43" s="64" t="s">
        <v>25</v>
      </c>
      <c r="C43" s="64">
        <v>1</v>
      </c>
      <c r="D43" s="64" t="s">
        <v>990</v>
      </c>
      <c r="E43" s="65">
        <v>46173.847268518519</v>
      </c>
      <c r="F43" s="65">
        <v>46173.847268518519</v>
      </c>
    </row>
    <row r="44" spans="1:6" ht="13">
      <c r="A44" s="64" t="s">
        <v>132</v>
      </c>
      <c r="B44" s="64" t="s">
        <v>26</v>
      </c>
      <c r="C44" s="64">
        <v>1</v>
      </c>
      <c r="D44" s="64" t="s">
        <v>991</v>
      </c>
      <c r="E44" s="65">
        <v>46173.847129629627</v>
      </c>
      <c r="F44" s="65">
        <v>46173.847129629627</v>
      </c>
    </row>
    <row r="45" spans="1:6" ht="13">
      <c r="A45" s="64" t="s">
        <v>992</v>
      </c>
      <c r="B45" s="64" t="s">
        <v>25</v>
      </c>
      <c r="C45" s="64">
        <v>1</v>
      </c>
      <c r="D45" s="64" t="s">
        <v>993</v>
      </c>
      <c r="E45" s="65">
        <v>46173.848437499997</v>
      </c>
      <c r="F45" s="65">
        <v>46173.848437499997</v>
      </c>
    </row>
    <row r="46" spans="1:6" ht="13">
      <c r="A46" s="64" t="s">
        <v>131</v>
      </c>
      <c r="B46" s="64" t="s">
        <v>26</v>
      </c>
      <c r="C46" s="64">
        <v>1</v>
      </c>
      <c r="D46" s="64" t="s">
        <v>994</v>
      </c>
      <c r="E46" s="65">
        <v>46173.848576388889</v>
      </c>
      <c r="F46" s="65">
        <v>46173.848576388889</v>
      </c>
    </row>
    <row r="47" spans="1:6" ht="13">
      <c r="A47" s="64" t="s">
        <v>995</v>
      </c>
      <c r="B47" s="64" t="s">
        <v>26</v>
      </c>
      <c r="C47" s="64">
        <v>1</v>
      </c>
      <c r="D47" s="64" t="s">
        <v>996</v>
      </c>
      <c r="E47" s="65">
        <v>46173.8515625</v>
      </c>
      <c r="F47" s="65">
        <v>46173.8515625</v>
      </c>
    </row>
    <row r="48" spans="1:6" ht="13">
      <c r="A48" s="64" t="s">
        <v>997</v>
      </c>
      <c r="B48" s="64" t="s">
        <v>25</v>
      </c>
      <c r="C48" s="64">
        <v>1</v>
      </c>
      <c r="D48" s="64" t="s">
        <v>998</v>
      </c>
      <c r="E48" s="65">
        <v>46173.855532407404</v>
      </c>
      <c r="F48" s="65">
        <v>46173.855543981481</v>
      </c>
    </row>
    <row r="49" spans="1:6" ht="13">
      <c r="A49" s="64" t="s">
        <v>999</v>
      </c>
      <c r="B49" s="64" t="s">
        <v>25</v>
      </c>
      <c r="C49" s="64">
        <v>1</v>
      </c>
      <c r="D49" s="64" t="s">
        <v>1000</v>
      </c>
      <c r="E49" s="65">
        <v>46173.856805555559</v>
      </c>
      <c r="F49" s="65">
        <v>46173.856805555559</v>
      </c>
    </row>
    <row r="50" spans="1:6" ht="13">
      <c r="A50" s="64" t="s">
        <v>1001</v>
      </c>
      <c r="B50" s="64" t="s">
        <v>25</v>
      </c>
      <c r="C50" s="64">
        <v>1</v>
      </c>
      <c r="D50" s="64" t="s">
        <v>1002</v>
      </c>
      <c r="E50" s="65">
        <v>46173.857372685183</v>
      </c>
      <c r="F50" s="65">
        <v>46173.857372685183</v>
      </c>
    </row>
    <row r="51" spans="1:6" ht="13">
      <c r="A51" s="64" t="s">
        <v>1003</v>
      </c>
      <c r="B51" s="64" t="s">
        <v>25</v>
      </c>
      <c r="C51" s="64">
        <v>1</v>
      </c>
      <c r="D51" s="64" t="s">
        <v>1004</v>
      </c>
      <c r="E51" s="65">
        <v>46173.859537037039</v>
      </c>
      <c r="F51" s="65">
        <v>46173.859537037039</v>
      </c>
    </row>
    <row r="52" spans="1:6" ht="13">
      <c r="A52" s="64" t="s">
        <v>1005</v>
      </c>
      <c r="B52" s="64" t="s">
        <v>26</v>
      </c>
      <c r="C52" s="64">
        <v>1</v>
      </c>
      <c r="D52" s="64" t="s">
        <v>1006</v>
      </c>
      <c r="E52" s="65">
        <v>46173.858923611115</v>
      </c>
      <c r="F52" s="65">
        <v>46173.858935185184</v>
      </c>
    </row>
    <row r="53" spans="1:6" ht="13">
      <c r="A53" s="64" t="s">
        <v>1007</v>
      </c>
      <c r="B53" s="64" t="s">
        <v>25</v>
      </c>
      <c r="C53" s="64">
        <v>1</v>
      </c>
      <c r="D53" s="64" t="s">
        <v>1008</v>
      </c>
      <c r="E53" s="65">
        <v>46173.865405092591</v>
      </c>
      <c r="F53" s="65">
        <v>46173.865405092591</v>
      </c>
    </row>
    <row r="54" spans="1:6" ht="13">
      <c r="A54" s="64" t="s">
        <v>137</v>
      </c>
      <c r="B54" s="64" t="s">
        <v>27</v>
      </c>
      <c r="C54" s="64">
        <v>1</v>
      </c>
      <c r="D54" s="64" t="s">
        <v>1009</v>
      </c>
      <c r="E54" s="65">
        <v>46173.865416666667</v>
      </c>
      <c r="F54" s="65">
        <v>46173.865416666667</v>
      </c>
    </row>
    <row r="55" spans="1:6" ht="13">
      <c r="A55" s="64" t="s">
        <v>1010</v>
      </c>
      <c r="B55" s="64" t="s">
        <v>25</v>
      </c>
      <c r="C55" s="64">
        <v>1</v>
      </c>
      <c r="D55" s="64" t="s">
        <v>1011</v>
      </c>
      <c r="E55" s="65">
        <v>46173.865810185183</v>
      </c>
      <c r="F55" s="65">
        <v>46173.865810185183</v>
      </c>
    </row>
    <row r="56" spans="1:6" ht="13">
      <c r="A56" s="64" t="s">
        <v>1012</v>
      </c>
      <c r="B56" s="64" t="s">
        <v>25</v>
      </c>
      <c r="C56" s="64">
        <v>1</v>
      </c>
      <c r="D56" s="64" t="s">
        <v>1013</v>
      </c>
      <c r="E56" s="65">
        <v>46173.866180555553</v>
      </c>
      <c r="F56" s="65">
        <v>46173.866180555553</v>
      </c>
    </row>
    <row r="57" spans="1:6" ht="13">
      <c r="A57" s="64" t="s">
        <v>1014</v>
      </c>
      <c r="B57" s="64" t="s">
        <v>26</v>
      </c>
      <c r="C57" s="64">
        <v>1</v>
      </c>
      <c r="D57" s="64" t="s">
        <v>1015</v>
      </c>
      <c r="E57" s="65">
        <v>46173.866759259261</v>
      </c>
      <c r="F57" s="65">
        <v>46173.866759259261</v>
      </c>
    </row>
    <row r="58" spans="1:6" ht="13">
      <c r="A58" s="64" t="s">
        <v>1016</v>
      </c>
      <c r="B58" s="64" t="s">
        <v>25</v>
      </c>
      <c r="C58" s="64">
        <v>1</v>
      </c>
      <c r="D58" s="64" t="s">
        <v>1017</v>
      </c>
      <c r="E58" s="65">
        <v>46173.866805555554</v>
      </c>
      <c r="F58" s="65">
        <v>46173.866805555554</v>
      </c>
    </row>
    <row r="59" spans="1:6" ht="13">
      <c r="A59" s="64" t="s">
        <v>126</v>
      </c>
      <c r="B59" s="64" t="s">
        <v>25</v>
      </c>
      <c r="C59" s="64">
        <v>1</v>
      </c>
      <c r="D59" s="64" t="s">
        <v>1018</v>
      </c>
      <c r="E59" s="65">
        <v>46173.870381944442</v>
      </c>
      <c r="F59" s="65">
        <v>46173.870381944442</v>
      </c>
    </row>
    <row r="60" spans="1:6" ht="13">
      <c r="A60" s="64" t="s">
        <v>1019</v>
      </c>
      <c r="B60" s="64" t="s">
        <v>25</v>
      </c>
      <c r="C60" s="64">
        <v>1</v>
      </c>
      <c r="D60" s="64" t="s">
        <v>1020</v>
      </c>
      <c r="E60" s="65">
        <v>46173.870555555557</v>
      </c>
      <c r="F60" s="65">
        <v>46173.870555555557</v>
      </c>
    </row>
    <row r="61" spans="1:6" ht="13">
      <c r="A61" s="64" t="s">
        <v>1021</v>
      </c>
      <c r="B61" s="64" t="s">
        <v>26</v>
      </c>
      <c r="C61" s="64">
        <v>1</v>
      </c>
      <c r="D61" s="64" t="s">
        <v>1022</v>
      </c>
      <c r="E61" s="65">
        <v>46173.871006944442</v>
      </c>
      <c r="F61" s="65">
        <v>46173.871006944442</v>
      </c>
    </row>
    <row r="62" spans="1:6" ht="13">
      <c r="A62" s="64" t="s">
        <v>1023</v>
      </c>
      <c r="B62" s="64" t="s">
        <v>26</v>
      </c>
      <c r="C62" s="64">
        <v>1</v>
      </c>
      <c r="D62" s="64" t="s">
        <v>1024</v>
      </c>
      <c r="E62" s="65">
        <v>46173.871655092589</v>
      </c>
      <c r="F62" s="65">
        <v>46173.871655092589</v>
      </c>
    </row>
    <row r="63" spans="1:6" ht="13">
      <c r="A63" s="64" t="s">
        <v>96</v>
      </c>
      <c r="B63" s="64" t="s">
        <v>25</v>
      </c>
      <c r="C63" s="64">
        <v>1</v>
      </c>
      <c r="D63" s="64" t="s">
        <v>1025</v>
      </c>
      <c r="E63" s="65">
        <v>46173.872974537036</v>
      </c>
      <c r="F63" s="65">
        <v>46173.872974537036</v>
      </c>
    </row>
    <row r="64" spans="1:6" ht="13">
      <c r="A64" s="64" t="s">
        <v>1026</v>
      </c>
      <c r="B64" s="64" t="s">
        <v>25</v>
      </c>
      <c r="C64" s="64">
        <v>1</v>
      </c>
      <c r="D64" s="64" t="s">
        <v>1027</v>
      </c>
      <c r="E64" s="65">
        <v>46173.872164351851</v>
      </c>
      <c r="F64" s="65">
        <v>46173.872164351851</v>
      </c>
    </row>
    <row r="65" spans="1:6" ht="13">
      <c r="A65" s="64" t="s">
        <v>1028</v>
      </c>
      <c r="B65" s="64" t="s">
        <v>25</v>
      </c>
      <c r="C65" s="64">
        <v>1</v>
      </c>
      <c r="D65" s="64" t="s">
        <v>1029</v>
      </c>
      <c r="E65" s="65">
        <v>46173.872824074075</v>
      </c>
      <c r="F65" s="65">
        <v>46173.872824074075</v>
      </c>
    </row>
    <row r="66" spans="1:6" ht="13">
      <c r="A66" s="64" t="s">
        <v>1030</v>
      </c>
      <c r="B66" s="64" t="s">
        <v>25</v>
      </c>
      <c r="C66" s="64">
        <v>1</v>
      </c>
      <c r="D66" s="64" t="s">
        <v>1031</v>
      </c>
      <c r="E66" s="65">
        <v>46173.876504629632</v>
      </c>
      <c r="F66" s="65">
        <v>46173.876504629632</v>
      </c>
    </row>
    <row r="67" spans="1:6" ht="13">
      <c r="A67" s="64" t="s">
        <v>1032</v>
      </c>
      <c r="B67" s="64" t="s">
        <v>25</v>
      </c>
      <c r="C67" s="64">
        <v>1</v>
      </c>
      <c r="D67" s="64" t="s">
        <v>1033</v>
      </c>
      <c r="E67" s="65">
        <v>46173.876979166664</v>
      </c>
      <c r="F67" s="65">
        <v>46173.876979166664</v>
      </c>
    </row>
    <row r="68" spans="1:6" ht="13">
      <c r="A68" s="64" t="s">
        <v>1034</v>
      </c>
      <c r="B68" s="64" t="s">
        <v>25</v>
      </c>
      <c r="C68" s="64">
        <v>1</v>
      </c>
      <c r="D68" s="64" t="s">
        <v>1035</v>
      </c>
      <c r="E68" s="65">
        <v>46173.877291666664</v>
      </c>
      <c r="F68" s="65">
        <v>46173.877291666664</v>
      </c>
    </row>
    <row r="69" spans="1:6" ht="13">
      <c r="A69" s="64" t="s">
        <v>1036</v>
      </c>
      <c r="B69" s="64" t="s">
        <v>27</v>
      </c>
      <c r="C69" s="64">
        <v>1</v>
      </c>
      <c r="D69" s="64" t="s">
        <v>1037</v>
      </c>
      <c r="E69" s="65">
        <v>46173.878240740742</v>
      </c>
      <c r="F69" s="65">
        <v>46173.878240740742</v>
      </c>
    </row>
    <row r="70" spans="1:6" ht="13">
      <c r="A70" s="64" t="s">
        <v>1038</v>
      </c>
      <c r="B70" s="64" t="s">
        <v>25</v>
      </c>
      <c r="C70" s="64">
        <v>1</v>
      </c>
      <c r="D70" s="64" t="s">
        <v>1039</v>
      </c>
      <c r="E70" s="65">
        <v>46173.878263888888</v>
      </c>
      <c r="F70" s="65">
        <v>46173.878263888888</v>
      </c>
    </row>
    <row r="71" spans="1:6" ht="13">
      <c r="A71" s="64" t="s">
        <v>1040</v>
      </c>
      <c r="B71" s="64" t="s">
        <v>25</v>
      </c>
      <c r="C71" s="64">
        <v>1</v>
      </c>
      <c r="D71" s="64" t="s">
        <v>1041</v>
      </c>
      <c r="E71" s="65">
        <v>46173.883553240739</v>
      </c>
      <c r="F71" s="65">
        <v>46173.883553240739</v>
      </c>
    </row>
    <row r="72" spans="1:6" ht="13">
      <c r="A72" s="64" t="s">
        <v>110</v>
      </c>
      <c r="B72" s="64" t="s">
        <v>25</v>
      </c>
      <c r="C72" s="64">
        <v>1</v>
      </c>
      <c r="D72" s="64" t="s">
        <v>1042</v>
      </c>
      <c r="E72" s="65">
        <v>46173.888090277775</v>
      </c>
      <c r="F72" s="65">
        <v>46173.888090277775</v>
      </c>
    </row>
    <row r="73" spans="1:6" ht="13">
      <c r="A73" s="64" t="s">
        <v>94</v>
      </c>
      <c r="B73" s="64" t="s">
        <v>25</v>
      </c>
      <c r="C73" s="64">
        <v>1</v>
      </c>
      <c r="D73" s="64" t="s">
        <v>1043</v>
      </c>
      <c r="E73" s="65">
        <v>46173.890451388892</v>
      </c>
      <c r="F73" s="65">
        <v>46173.890451388892</v>
      </c>
    </row>
    <row r="74" spans="1:6" ht="13">
      <c r="A74" s="64" t="s">
        <v>1044</v>
      </c>
      <c r="B74" s="64" t="s">
        <v>26</v>
      </c>
      <c r="C74" s="64">
        <v>1</v>
      </c>
      <c r="D74" s="64" t="s">
        <v>1045</v>
      </c>
      <c r="E74" s="65">
        <v>46173.891099537039</v>
      </c>
      <c r="F74" s="65">
        <v>46173.891099537039</v>
      </c>
    </row>
    <row r="75" spans="1:6" ht="13">
      <c r="A75" s="64" t="s">
        <v>1046</v>
      </c>
      <c r="B75" s="64" t="s">
        <v>26</v>
      </c>
      <c r="C75" s="64">
        <v>1</v>
      </c>
      <c r="D75" s="64" t="s">
        <v>1047</v>
      </c>
      <c r="E75" s="65">
        <v>46173.892581018517</v>
      </c>
      <c r="F75" s="65">
        <v>46173.892581018517</v>
      </c>
    </row>
    <row r="76" spans="1:6" ht="13">
      <c r="A76" s="64" t="s">
        <v>1048</v>
      </c>
      <c r="B76" s="64" t="s">
        <v>26</v>
      </c>
      <c r="C76" s="64">
        <v>1</v>
      </c>
      <c r="D76" s="64" t="s">
        <v>1049</v>
      </c>
      <c r="E76" s="65">
        <v>46173.894895833335</v>
      </c>
      <c r="F76" s="65">
        <v>46173.894895833335</v>
      </c>
    </row>
    <row r="77" spans="1:6" ht="13">
      <c r="A77" s="64" t="s">
        <v>1050</v>
      </c>
      <c r="B77" s="64" t="s">
        <v>25</v>
      </c>
      <c r="C77" s="64">
        <v>1</v>
      </c>
      <c r="D77" s="64" t="s">
        <v>1051</v>
      </c>
      <c r="E77" s="65">
        <v>46173.895520833335</v>
      </c>
      <c r="F77" s="65">
        <v>46173.895520833335</v>
      </c>
    </row>
    <row r="78" spans="1:6" ht="13">
      <c r="A78" s="64" t="s">
        <v>1052</v>
      </c>
      <c r="B78" s="64" t="s">
        <v>25</v>
      </c>
      <c r="C78" s="64">
        <v>1</v>
      </c>
      <c r="D78" s="64" t="s">
        <v>1053</v>
      </c>
      <c r="E78" s="65">
        <v>46173.896793981483</v>
      </c>
      <c r="F78" s="65">
        <v>46173.896793981483</v>
      </c>
    </row>
    <row r="79" spans="1:6" ht="13">
      <c r="A79" s="64" t="s">
        <v>1054</v>
      </c>
      <c r="B79" s="64" t="s">
        <v>27</v>
      </c>
      <c r="C79" s="64">
        <v>1</v>
      </c>
      <c r="D79" s="64" t="s">
        <v>1055</v>
      </c>
      <c r="E79" s="65">
        <v>46173.89634259259</v>
      </c>
      <c r="F79" s="65">
        <v>46173.89634259259</v>
      </c>
    </row>
    <row r="80" spans="1:6" ht="13">
      <c r="A80" s="64" t="s">
        <v>1056</v>
      </c>
      <c r="B80" s="64" t="s">
        <v>25</v>
      </c>
      <c r="C80" s="64">
        <v>1</v>
      </c>
      <c r="D80" s="64" t="s">
        <v>1057</v>
      </c>
      <c r="E80" s="65">
        <v>46173.897615740738</v>
      </c>
      <c r="F80" s="65">
        <v>46173.897615740738</v>
      </c>
    </row>
    <row r="81" spans="1:6" ht="13">
      <c r="A81" s="64" t="s">
        <v>1058</v>
      </c>
      <c r="B81" s="64" t="s">
        <v>25</v>
      </c>
      <c r="C81" s="64">
        <v>1</v>
      </c>
      <c r="D81" s="64" t="s">
        <v>1059</v>
      </c>
      <c r="E81" s="65">
        <v>46173.898958333331</v>
      </c>
      <c r="F81" s="65">
        <v>46173.898958333331</v>
      </c>
    </row>
    <row r="82" spans="1:6" ht="13">
      <c r="A82" s="64" t="s">
        <v>1060</v>
      </c>
      <c r="B82" s="64" t="s">
        <v>25</v>
      </c>
      <c r="C82" s="64">
        <v>1</v>
      </c>
      <c r="D82" s="64" t="s">
        <v>1061</v>
      </c>
      <c r="E82" s="65">
        <v>46173.898946759262</v>
      </c>
      <c r="F82" s="65">
        <v>46173.898946759262</v>
      </c>
    </row>
    <row r="83" spans="1:6" ht="13">
      <c r="A83" s="64" t="s">
        <v>1062</v>
      </c>
      <c r="B83" s="64" t="s">
        <v>26</v>
      </c>
      <c r="C83" s="64">
        <v>1</v>
      </c>
      <c r="D83" s="64" t="s">
        <v>1063</v>
      </c>
      <c r="E83" s="65">
        <v>46173.90053240741</v>
      </c>
      <c r="F83" s="65">
        <v>46173.90053240741</v>
      </c>
    </row>
    <row r="84" spans="1:6" ht="13">
      <c r="A84" s="64" t="s">
        <v>1064</v>
      </c>
      <c r="B84" s="64" t="s">
        <v>25</v>
      </c>
      <c r="C84" s="64">
        <v>1</v>
      </c>
      <c r="D84" s="64" t="s">
        <v>1065</v>
      </c>
      <c r="E84" s="65">
        <v>46173.903217592589</v>
      </c>
      <c r="F84" s="65">
        <v>46173.903217592589</v>
      </c>
    </row>
    <row r="85" spans="1:6" ht="13">
      <c r="A85" s="64" t="s">
        <v>1066</v>
      </c>
      <c r="B85" s="64" t="s">
        <v>25</v>
      </c>
      <c r="C85" s="64">
        <v>1</v>
      </c>
      <c r="D85" s="64" t="s">
        <v>1067</v>
      </c>
      <c r="E85" s="65">
        <v>46173.905092592591</v>
      </c>
      <c r="F85" s="65">
        <v>46173.905092592591</v>
      </c>
    </row>
    <row r="86" spans="1:6" ht="13">
      <c r="A86" s="64" t="s">
        <v>1068</v>
      </c>
      <c r="B86" s="64" t="s">
        <v>25</v>
      </c>
      <c r="C86" s="64">
        <v>1</v>
      </c>
      <c r="D86" s="64" t="s">
        <v>1069</v>
      </c>
      <c r="E86" s="65">
        <v>46173.904803240737</v>
      </c>
      <c r="F86" s="65">
        <v>46173.904803240737</v>
      </c>
    </row>
    <row r="87" spans="1:6" ht="13">
      <c r="A87" s="64" t="s">
        <v>1070</v>
      </c>
      <c r="B87" s="64" t="s">
        <v>26</v>
      </c>
      <c r="C87" s="64">
        <v>1</v>
      </c>
      <c r="D87" s="64" t="s">
        <v>1071</v>
      </c>
      <c r="E87" s="65">
        <v>46173.905486111114</v>
      </c>
      <c r="F87" s="65">
        <v>46173.905486111114</v>
      </c>
    </row>
    <row r="88" spans="1:6" ht="13">
      <c r="A88" s="64" t="s">
        <v>1072</v>
      </c>
      <c r="B88" s="64" t="s">
        <v>26</v>
      </c>
      <c r="C88" s="64">
        <v>1</v>
      </c>
      <c r="D88" s="64" t="s">
        <v>1073</v>
      </c>
      <c r="E88" s="65">
        <v>46173.905648148146</v>
      </c>
      <c r="F88" s="65">
        <v>46173.905648148146</v>
      </c>
    </row>
    <row r="89" spans="1:6" ht="13">
      <c r="A89" s="64" t="s">
        <v>1074</v>
      </c>
      <c r="B89" s="64" t="s">
        <v>25</v>
      </c>
      <c r="C89" s="64">
        <v>1</v>
      </c>
      <c r="D89" s="64" t="s">
        <v>1075</v>
      </c>
      <c r="E89" s="65">
        <v>46173.908449074072</v>
      </c>
      <c r="F89" s="65">
        <v>46173.908449074072</v>
      </c>
    </row>
    <row r="90" spans="1:6" ht="13">
      <c r="A90" s="64" t="s">
        <v>1076</v>
      </c>
      <c r="B90" s="64" t="s">
        <v>26</v>
      </c>
      <c r="C90" s="64">
        <v>1</v>
      </c>
      <c r="D90" s="64" t="s">
        <v>1077</v>
      </c>
      <c r="E90" s="65">
        <v>46173.909849537034</v>
      </c>
      <c r="F90" s="65">
        <v>46173.909849537034</v>
      </c>
    </row>
    <row r="91" spans="1:6" ht="13">
      <c r="A91" s="64" t="s">
        <v>132</v>
      </c>
      <c r="B91" s="64" t="s">
        <v>26</v>
      </c>
      <c r="C91" s="64">
        <v>1</v>
      </c>
      <c r="D91" s="64" t="s">
        <v>1078</v>
      </c>
      <c r="E91" s="65">
        <v>46173.911805555559</v>
      </c>
      <c r="F91" s="65">
        <v>46173.911805555559</v>
      </c>
    </row>
    <row r="92" spans="1:6" ht="13">
      <c r="A92" s="64" t="s">
        <v>1079</v>
      </c>
      <c r="B92" s="64" t="s">
        <v>26</v>
      </c>
      <c r="C92" s="64">
        <v>1</v>
      </c>
      <c r="D92" s="64" t="s">
        <v>1080</v>
      </c>
      <c r="E92" s="65">
        <v>46173.912569444445</v>
      </c>
      <c r="F92" s="65">
        <v>46173.912569444445</v>
      </c>
    </row>
    <row r="93" spans="1:6" ht="13">
      <c r="A93" s="64" t="s">
        <v>1081</v>
      </c>
      <c r="B93" s="64" t="s">
        <v>25</v>
      </c>
      <c r="C93" s="64">
        <v>1</v>
      </c>
      <c r="D93" s="64" t="s">
        <v>1082</v>
      </c>
      <c r="E93" s="65">
        <v>46173.912442129629</v>
      </c>
      <c r="F93" s="65">
        <v>46173.912442129629</v>
      </c>
    </row>
    <row r="94" spans="1:6" ht="13">
      <c r="A94" s="64" t="s">
        <v>94</v>
      </c>
      <c r="B94" s="64" t="s">
        <v>26</v>
      </c>
      <c r="C94" s="64">
        <v>1</v>
      </c>
      <c r="D94" s="64" t="s">
        <v>1083</v>
      </c>
      <c r="E94" s="65">
        <v>46173.913657407407</v>
      </c>
      <c r="F94" s="65">
        <v>46173.913657407407</v>
      </c>
    </row>
    <row r="95" spans="1:6" ht="13">
      <c r="A95" s="64" t="s">
        <v>1084</v>
      </c>
      <c r="B95" s="64" t="s">
        <v>26</v>
      </c>
      <c r="C95" s="64">
        <v>1</v>
      </c>
      <c r="D95" s="64" t="s">
        <v>1085</v>
      </c>
      <c r="E95" s="65">
        <v>46173.918495370373</v>
      </c>
      <c r="F95" s="65">
        <v>46173.918495370373</v>
      </c>
    </row>
    <row r="96" spans="1:6" ht="13">
      <c r="A96" s="64" t="s">
        <v>89</v>
      </c>
      <c r="B96" s="64" t="s">
        <v>25</v>
      </c>
      <c r="C96" s="64">
        <v>1</v>
      </c>
      <c r="D96" s="64" t="s">
        <v>1086</v>
      </c>
      <c r="E96" s="65">
        <v>46173.920451388891</v>
      </c>
      <c r="F96" s="65">
        <v>46173.920451388891</v>
      </c>
    </row>
    <row r="97" spans="1:6" ht="13">
      <c r="A97" s="64" t="s">
        <v>1087</v>
      </c>
      <c r="B97" s="64" t="s">
        <v>25</v>
      </c>
      <c r="C97" s="64">
        <v>1</v>
      </c>
      <c r="D97" s="64" t="s">
        <v>1088</v>
      </c>
      <c r="E97" s="65">
        <v>46173.9221412037</v>
      </c>
      <c r="F97" s="65">
        <v>46173.9221412037</v>
      </c>
    </row>
    <row r="98" spans="1:6" ht="13">
      <c r="A98" s="64" t="s">
        <v>1089</v>
      </c>
      <c r="B98" s="64" t="s">
        <v>25</v>
      </c>
      <c r="C98" s="64">
        <v>1</v>
      </c>
      <c r="D98" s="64" t="s">
        <v>1090</v>
      </c>
      <c r="E98" s="65">
        <v>46173.922337962962</v>
      </c>
      <c r="F98" s="65">
        <v>46173.922337962962</v>
      </c>
    </row>
    <row r="99" spans="1:6" ht="13">
      <c r="A99" s="64" t="s">
        <v>120</v>
      </c>
      <c r="B99" s="64" t="s">
        <v>26</v>
      </c>
      <c r="C99" s="64">
        <v>1</v>
      </c>
      <c r="D99" s="64" t="s">
        <v>1091</v>
      </c>
      <c r="E99" s="65">
        <v>46173.930138888885</v>
      </c>
      <c r="F99" s="65">
        <v>46173.930138888885</v>
      </c>
    </row>
    <row r="100" spans="1:6" ht="13">
      <c r="A100" s="64" t="s">
        <v>98</v>
      </c>
      <c r="B100" s="64" t="s">
        <v>25</v>
      </c>
      <c r="C100" s="64">
        <v>1</v>
      </c>
      <c r="D100" s="64" t="s">
        <v>1092</v>
      </c>
      <c r="E100" s="65">
        <v>46173.930474537039</v>
      </c>
      <c r="F100" s="65">
        <v>46173.930474537039</v>
      </c>
    </row>
    <row r="101" spans="1:6" ht="13">
      <c r="A101" s="64" t="s">
        <v>1093</v>
      </c>
      <c r="B101" s="64" t="s">
        <v>25</v>
      </c>
      <c r="C101" s="64">
        <v>1</v>
      </c>
      <c r="D101" s="64" t="s">
        <v>1094</v>
      </c>
      <c r="E101" s="65">
        <v>46173.932476851849</v>
      </c>
      <c r="F101" s="65">
        <v>46173.932476851849</v>
      </c>
    </row>
    <row r="102" spans="1:6" ht="13">
      <c r="A102" s="64" t="s">
        <v>1095</v>
      </c>
      <c r="B102" s="64" t="s">
        <v>25</v>
      </c>
      <c r="C102" s="64">
        <v>1</v>
      </c>
      <c r="D102" s="64" t="s">
        <v>1096</v>
      </c>
      <c r="E102" s="65">
        <v>46173.940046296295</v>
      </c>
      <c r="F102" s="65">
        <v>46173.940046296295</v>
      </c>
    </row>
    <row r="103" spans="1:6" ht="13">
      <c r="A103" s="64" t="s">
        <v>142</v>
      </c>
      <c r="B103" s="64" t="s">
        <v>26</v>
      </c>
      <c r="C103" s="64">
        <v>1</v>
      </c>
      <c r="D103" s="64" t="s">
        <v>1097</v>
      </c>
      <c r="E103" s="65">
        <v>46173.943032407406</v>
      </c>
      <c r="F103" s="65">
        <v>46173.943032407406</v>
      </c>
    </row>
    <row r="104" spans="1:6" ht="13">
      <c r="A104" s="64" t="s">
        <v>1098</v>
      </c>
      <c r="B104" s="64" t="s">
        <v>25</v>
      </c>
      <c r="C104" s="64">
        <v>1</v>
      </c>
      <c r="D104" s="64" t="s">
        <v>1099</v>
      </c>
      <c r="E104" s="65">
        <v>46173.944953703707</v>
      </c>
      <c r="F104" s="65">
        <v>46173.944953703707</v>
      </c>
    </row>
    <row r="105" spans="1:6" ht="13">
      <c r="A105" s="64" t="s">
        <v>1100</v>
      </c>
      <c r="B105" s="64" t="s">
        <v>26</v>
      </c>
      <c r="C105" s="64">
        <v>1</v>
      </c>
      <c r="D105" s="64" t="s">
        <v>1101</v>
      </c>
      <c r="E105" s="65">
        <v>46173.948101851849</v>
      </c>
      <c r="F105" s="65">
        <v>46173.948101851849</v>
      </c>
    </row>
    <row r="106" spans="1:6" ht="13">
      <c r="A106" s="64" t="s">
        <v>1102</v>
      </c>
      <c r="B106" s="64" t="s">
        <v>25</v>
      </c>
      <c r="C106" s="64">
        <v>1</v>
      </c>
      <c r="D106" s="64" t="s">
        <v>1103</v>
      </c>
      <c r="E106" s="65">
        <v>46173.947662037041</v>
      </c>
      <c r="F106" s="65">
        <v>46173.947662037041</v>
      </c>
    </row>
    <row r="107" spans="1:6" ht="13">
      <c r="A107" s="64" t="s">
        <v>1104</v>
      </c>
      <c r="B107" s="64" t="s">
        <v>26</v>
      </c>
      <c r="C107" s="64">
        <v>1</v>
      </c>
      <c r="D107" s="64" t="s">
        <v>1105</v>
      </c>
      <c r="E107" s="65">
        <v>46173.950358796297</v>
      </c>
      <c r="F107" s="65">
        <v>46173.950358796297</v>
      </c>
    </row>
    <row r="108" spans="1:6" ht="13">
      <c r="A108" s="64" t="s">
        <v>123</v>
      </c>
      <c r="B108" s="64" t="s">
        <v>26</v>
      </c>
      <c r="C108" s="64">
        <v>1</v>
      </c>
      <c r="D108" s="64" t="s">
        <v>1106</v>
      </c>
      <c r="E108" s="65">
        <v>46173.953599537039</v>
      </c>
      <c r="F108" s="65">
        <v>46173.953599537039</v>
      </c>
    </row>
    <row r="109" spans="1:6" ht="13">
      <c r="A109" s="64" t="s">
        <v>1107</v>
      </c>
      <c r="B109" s="64" t="s">
        <v>25</v>
      </c>
      <c r="C109" s="64">
        <v>1</v>
      </c>
      <c r="D109" s="64" t="s">
        <v>1108</v>
      </c>
      <c r="E109" s="65">
        <v>46173.95412037037</v>
      </c>
      <c r="F109" s="65">
        <v>46173.95412037037</v>
      </c>
    </row>
    <row r="110" spans="1:6" ht="13">
      <c r="A110" s="64" t="s">
        <v>567</v>
      </c>
      <c r="B110" s="64" t="s">
        <v>25</v>
      </c>
      <c r="C110" s="64">
        <v>1</v>
      </c>
      <c r="D110" s="64" t="s">
        <v>1109</v>
      </c>
      <c r="E110" s="65">
        <v>46173.953969907408</v>
      </c>
      <c r="F110" s="65">
        <v>46173.953969907408</v>
      </c>
    </row>
    <row r="111" spans="1:6" ht="13">
      <c r="A111" s="64" t="s">
        <v>1110</v>
      </c>
      <c r="B111" s="64" t="s">
        <v>26</v>
      </c>
      <c r="C111" s="64">
        <v>1</v>
      </c>
      <c r="D111" s="64" t="s">
        <v>1111</v>
      </c>
      <c r="E111" s="65">
        <v>46173.957743055558</v>
      </c>
      <c r="F111" s="65">
        <v>46173.957743055558</v>
      </c>
    </row>
    <row r="112" spans="1:6" ht="13">
      <c r="A112" s="64" t="s">
        <v>1112</v>
      </c>
      <c r="B112" s="64" t="s">
        <v>26</v>
      </c>
      <c r="C112" s="64">
        <v>1</v>
      </c>
      <c r="D112" s="64" t="s">
        <v>1113</v>
      </c>
      <c r="E112" s="65">
        <v>46173.962152777778</v>
      </c>
      <c r="F112" s="65">
        <v>46173.962152777778</v>
      </c>
    </row>
    <row r="113" spans="1:6" ht="13">
      <c r="A113" s="64" t="s">
        <v>1114</v>
      </c>
      <c r="B113" s="64" t="s">
        <v>26</v>
      </c>
      <c r="C113" s="64">
        <v>1</v>
      </c>
      <c r="D113" s="64" t="s">
        <v>1115</v>
      </c>
      <c r="E113" s="65">
        <v>46173.971215277779</v>
      </c>
      <c r="F113" s="65">
        <v>46173.971215277779</v>
      </c>
    </row>
    <row r="114" spans="1:6" ht="13">
      <c r="A114" s="64" t="s">
        <v>1116</v>
      </c>
      <c r="B114" s="64" t="s">
        <v>26</v>
      </c>
      <c r="C114" s="64">
        <v>1</v>
      </c>
      <c r="D114" s="64" t="s">
        <v>1117</v>
      </c>
      <c r="E114" s="65">
        <v>46173.976701388892</v>
      </c>
      <c r="F114" s="65">
        <v>46173.976701388892</v>
      </c>
    </row>
    <row r="115" spans="1:6" ht="13">
      <c r="A115" s="64" t="s">
        <v>1118</v>
      </c>
      <c r="B115" s="64" t="s">
        <v>26</v>
      </c>
      <c r="C115" s="64">
        <v>1</v>
      </c>
      <c r="D115" s="64" t="s">
        <v>1119</v>
      </c>
      <c r="E115" s="65">
        <v>46173.988125000003</v>
      </c>
      <c r="F115" s="65">
        <v>46173.988125000003</v>
      </c>
    </row>
    <row r="116" spans="1:6" ht="13">
      <c r="A116" s="64" t="s">
        <v>1120</v>
      </c>
      <c r="B116" s="64" t="s">
        <v>26</v>
      </c>
      <c r="C116" s="64">
        <v>1</v>
      </c>
      <c r="D116" s="64" t="s">
        <v>1121</v>
      </c>
      <c r="E116" s="65">
        <v>46173.992303240739</v>
      </c>
      <c r="F116" s="65">
        <v>46173.992303240739</v>
      </c>
    </row>
    <row r="117" spans="1:6" ht="13">
      <c r="A117" s="64" t="s">
        <v>1040</v>
      </c>
      <c r="B117" s="64" t="s">
        <v>26</v>
      </c>
      <c r="C117" s="64">
        <v>1</v>
      </c>
      <c r="D117" s="64" t="s">
        <v>1122</v>
      </c>
      <c r="E117" s="65">
        <v>46173.993958333333</v>
      </c>
      <c r="F117" s="65">
        <v>46173.993958333333</v>
      </c>
    </row>
    <row r="118" spans="1:6" ht="13">
      <c r="A118" s="64" t="s">
        <v>1123</v>
      </c>
      <c r="B118" s="64" t="s">
        <v>25</v>
      </c>
      <c r="C118" s="64">
        <v>1</v>
      </c>
      <c r="D118" s="64" t="s">
        <v>1124</v>
      </c>
      <c r="E118" s="65">
        <v>46185.939247685186</v>
      </c>
      <c r="F118" s="65">
        <v>46185.939247685186</v>
      </c>
    </row>
    <row r="119" spans="1:6" ht="13">
      <c r="A119" s="64" t="s">
        <v>1125</v>
      </c>
      <c r="B119" s="64" t="s">
        <v>25</v>
      </c>
      <c r="C119" s="64">
        <v>1</v>
      </c>
      <c r="D119" s="64" t="s">
        <v>1126</v>
      </c>
      <c r="E119" s="65">
        <v>46187.341886574075</v>
      </c>
      <c r="F119" s="65">
        <v>46187.341886574075</v>
      </c>
    </row>
    <row r="120" spans="1:6" ht="13">
      <c r="A120" s="64" t="s">
        <v>1127</v>
      </c>
      <c r="B120" s="64" t="s">
        <v>26</v>
      </c>
      <c r="C120" s="64">
        <v>1</v>
      </c>
      <c r="D120" s="64" t="s">
        <v>1128</v>
      </c>
      <c r="E120" s="65">
        <v>46187.550694444442</v>
      </c>
      <c r="F120" s="65">
        <v>46187.550694444442</v>
      </c>
    </row>
    <row r="121" spans="1:6" ht="13">
      <c r="A121" s="64" t="s">
        <v>1129</v>
      </c>
      <c r="B121" s="64" t="s">
        <v>26</v>
      </c>
      <c r="C121" s="64">
        <v>1</v>
      </c>
      <c r="D121" s="64" t="s">
        <v>1130</v>
      </c>
      <c r="E121" s="65">
        <v>46188.024641203701</v>
      </c>
      <c r="F121" s="65">
        <v>46188.024641203701</v>
      </c>
    </row>
    <row r="122" spans="1:6" ht="13">
      <c r="A122" s="64" t="s">
        <v>1131</v>
      </c>
      <c r="B122" s="64" t="s">
        <v>25</v>
      </c>
      <c r="C122" s="64">
        <v>1</v>
      </c>
      <c r="D122" s="64" t="s">
        <v>1132</v>
      </c>
      <c r="E122" s="65">
        <v>46189.473078703704</v>
      </c>
      <c r="F122" s="65">
        <v>46189.473078703704</v>
      </c>
    </row>
    <row r="123" spans="1:6" ht="13">
      <c r="A123" s="64" t="s">
        <v>1133</v>
      </c>
      <c r="B123" s="64" t="s">
        <v>26</v>
      </c>
      <c r="C123" s="64">
        <v>1</v>
      </c>
      <c r="D123" s="64" t="s">
        <v>1134</v>
      </c>
      <c r="E123" s="65">
        <v>46189.705625000002</v>
      </c>
      <c r="F123" s="65">
        <v>46189.705625000002</v>
      </c>
    </row>
    <row r="124" spans="1:6" ht="13">
      <c r="A124" s="64" t="s">
        <v>1135</v>
      </c>
      <c r="B124" s="64" t="s">
        <v>25</v>
      </c>
      <c r="C124" s="64">
        <v>1</v>
      </c>
      <c r="D124" s="64" t="s">
        <v>1136</v>
      </c>
      <c r="E124" s="65">
        <v>46189.726701388892</v>
      </c>
      <c r="F124" s="65">
        <v>46189.726701388892</v>
      </c>
    </row>
    <row r="125" spans="1:6" ht="13">
      <c r="A125" s="64" t="s">
        <v>1137</v>
      </c>
      <c r="B125" s="64" t="s">
        <v>26</v>
      </c>
      <c r="C125" s="64">
        <v>1</v>
      </c>
      <c r="D125" s="64" t="s">
        <v>1138</v>
      </c>
      <c r="E125" s="65">
        <v>46190.095717592594</v>
      </c>
      <c r="F125" s="65">
        <v>46190.095717592594</v>
      </c>
    </row>
    <row r="126" spans="1:6" ht="13">
      <c r="A126" s="64" t="s">
        <v>847</v>
      </c>
      <c r="B126" s="64" t="s">
        <v>1139</v>
      </c>
      <c r="C126" s="64">
        <v>1</v>
      </c>
      <c r="D126" s="64" t="s">
        <v>1140</v>
      </c>
      <c r="E126" s="65">
        <v>46190.882708333331</v>
      </c>
      <c r="F126" s="65">
        <v>46190.882708333331</v>
      </c>
    </row>
    <row r="127" spans="1:6" ht="13">
      <c r="A127" s="64" t="s">
        <v>1141</v>
      </c>
      <c r="B127" s="64" t="s">
        <v>1139</v>
      </c>
      <c r="C127" s="64">
        <v>1</v>
      </c>
      <c r="D127" s="64" t="s">
        <v>1142</v>
      </c>
      <c r="E127" s="65">
        <v>46190.942673611113</v>
      </c>
      <c r="F127" s="65">
        <v>46190.942673611113</v>
      </c>
    </row>
    <row r="128" spans="1:6" ht="13">
      <c r="A128" s="64" t="s">
        <v>1141</v>
      </c>
      <c r="B128" s="64" t="s">
        <v>25</v>
      </c>
      <c r="C128" s="64">
        <v>1</v>
      </c>
      <c r="D128" s="64" t="s">
        <v>1142</v>
      </c>
      <c r="E128" s="65">
        <v>46190.942673611113</v>
      </c>
      <c r="F128" s="65">
        <v>46190.942673611113</v>
      </c>
    </row>
    <row r="129" spans="1:6" ht="13">
      <c r="A129" s="64" t="s">
        <v>849</v>
      </c>
      <c r="B129" s="64" t="s">
        <v>27</v>
      </c>
      <c r="C129" s="64">
        <v>1</v>
      </c>
      <c r="D129" s="64" t="s">
        <v>1143</v>
      </c>
      <c r="E129" s="65">
        <v>46191.56559027778</v>
      </c>
      <c r="F129" s="65">
        <v>46191.56559027778</v>
      </c>
    </row>
    <row r="130" spans="1:6" ht="13">
      <c r="A130" s="64" t="s">
        <v>1144</v>
      </c>
      <c r="B130" s="64" t="s">
        <v>25</v>
      </c>
      <c r="C130" s="64">
        <v>1</v>
      </c>
      <c r="D130" s="64" t="s">
        <v>1145</v>
      </c>
      <c r="E130" s="65">
        <v>46191.592662037037</v>
      </c>
      <c r="F130" s="65">
        <v>46191.592662037037</v>
      </c>
    </row>
    <row r="131" spans="1:6" ht="13">
      <c r="A131" s="64" t="s">
        <v>1146</v>
      </c>
      <c r="B131" s="64" t="s">
        <v>1139</v>
      </c>
      <c r="C131" s="64">
        <v>1</v>
      </c>
      <c r="D131" s="64" t="s">
        <v>1147</v>
      </c>
      <c r="E131" s="65">
        <v>46191.614837962959</v>
      </c>
      <c r="F131" s="65">
        <v>46191.614837962959</v>
      </c>
    </row>
    <row r="132" spans="1:6" ht="13">
      <c r="A132" s="64" t="s">
        <v>1146</v>
      </c>
      <c r="B132" s="64" t="s">
        <v>26</v>
      </c>
      <c r="C132" s="64">
        <v>1</v>
      </c>
      <c r="D132" s="64" t="s">
        <v>1147</v>
      </c>
      <c r="E132" s="65">
        <v>46191.614837962959</v>
      </c>
      <c r="F132" s="65">
        <v>46191.614837962959</v>
      </c>
    </row>
    <row r="133" spans="1:6" ht="13">
      <c r="A133" s="64" t="s">
        <v>1148</v>
      </c>
      <c r="B133" s="64" t="s">
        <v>25</v>
      </c>
      <c r="C133" s="64">
        <v>1</v>
      </c>
      <c r="D133" s="64" t="s">
        <v>1149</v>
      </c>
      <c r="E133" s="65">
        <v>46191.654606481483</v>
      </c>
      <c r="F133" s="65">
        <v>46191.654606481483</v>
      </c>
    </row>
    <row r="134" spans="1:6" ht="13">
      <c r="A134" s="64" t="s">
        <v>130</v>
      </c>
      <c r="B134" s="64" t="s">
        <v>25</v>
      </c>
      <c r="C134" s="64">
        <v>1</v>
      </c>
      <c r="D134" s="64" t="s">
        <v>1150</v>
      </c>
      <c r="E134" s="65">
        <v>46191.659039351849</v>
      </c>
      <c r="F134" s="65">
        <v>46191.659039351849</v>
      </c>
    </row>
    <row r="135" spans="1:6" ht="13">
      <c r="A135" s="64" t="s">
        <v>129</v>
      </c>
      <c r="B135" s="64" t="s">
        <v>25</v>
      </c>
      <c r="C135" s="64">
        <v>1</v>
      </c>
      <c r="D135" s="64" t="s">
        <v>1151</v>
      </c>
      <c r="E135" s="65">
        <v>46191.665914351855</v>
      </c>
      <c r="F135" s="65">
        <v>46191.665914351855</v>
      </c>
    </row>
    <row r="136" spans="1:6" ht="13">
      <c r="A136" s="64" t="s">
        <v>101</v>
      </c>
      <c r="B136" s="64" t="s">
        <v>1139</v>
      </c>
      <c r="C136" s="64">
        <v>1</v>
      </c>
      <c r="D136" s="64" t="s">
        <v>1152</v>
      </c>
      <c r="E136" s="65">
        <v>46191.722361111111</v>
      </c>
      <c r="F136" s="65">
        <v>46191.722361111111</v>
      </c>
    </row>
    <row r="137" spans="1:6" ht="13">
      <c r="A137" s="64" t="s">
        <v>101</v>
      </c>
      <c r="B137" s="64" t="s">
        <v>25</v>
      </c>
      <c r="C137" s="64">
        <v>1</v>
      </c>
      <c r="D137" s="64" t="s">
        <v>1152</v>
      </c>
      <c r="E137" s="65">
        <v>46191.722361111111</v>
      </c>
      <c r="F137" s="65">
        <v>46191.722361111111</v>
      </c>
    </row>
    <row r="138" spans="1:6" ht="13">
      <c r="A138" s="64" t="s">
        <v>1153</v>
      </c>
      <c r="B138" s="64" t="s">
        <v>25</v>
      </c>
      <c r="C138" s="64">
        <v>1</v>
      </c>
      <c r="D138" s="64" t="s">
        <v>1154</v>
      </c>
      <c r="E138" s="65">
        <v>46191.739930555559</v>
      </c>
      <c r="F138" s="65">
        <v>46191.739930555559</v>
      </c>
    </row>
    <row r="139" spans="1:6" ht="13">
      <c r="A139" s="64" t="s">
        <v>88</v>
      </c>
      <c r="B139" s="64" t="s">
        <v>26</v>
      </c>
      <c r="C139" s="64">
        <v>1</v>
      </c>
      <c r="D139" s="64" t="s">
        <v>1155</v>
      </c>
      <c r="E139" s="65">
        <v>46191.768460648149</v>
      </c>
      <c r="F139" s="65">
        <v>46191.768460648149</v>
      </c>
    </row>
    <row r="140" spans="1:6" ht="13">
      <c r="A140" s="64" t="s">
        <v>1156</v>
      </c>
      <c r="B140" s="64" t="s">
        <v>1139</v>
      </c>
      <c r="C140" s="64">
        <v>1</v>
      </c>
      <c r="D140" s="64" t="s">
        <v>1157</v>
      </c>
      <c r="E140" s="65">
        <v>46191.778182870374</v>
      </c>
      <c r="F140" s="65">
        <v>46191.778182870374</v>
      </c>
    </row>
    <row r="141" spans="1:6" ht="13">
      <c r="A141" s="64" t="s">
        <v>1158</v>
      </c>
      <c r="B141" s="64" t="s">
        <v>1139</v>
      </c>
      <c r="C141" s="64">
        <v>2</v>
      </c>
      <c r="D141" s="64" t="s">
        <v>1159</v>
      </c>
      <c r="E141" s="65">
        <v>46191.805289351854</v>
      </c>
      <c r="F141" s="65">
        <v>46191.805289351854</v>
      </c>
    </row>
    <row r="142" spans="1:6" ht="13">
      <c r="A142" s="64" t="s">
        <v>1158</v>
      </c>
      <c r="B142" s="64" t="s">
        <v>26</v>
      </c>
      <c r="C142" s="64">
        <v>1</v>
      </c>
      <c r="D142" s="64" t="s">
        <v>1159</v>
      </c>
      <c r="E142" s="65">
        <v>46191.805289351854</v>
      </c>
      <c r="F142" s="65">
        <v>46191.805289351854</v>
      </c>
    </row>
    <row r="143" spans="1:6" ht="13">
      <c r="A143" s="64" t="s">
        <v>1160</v>
      </c>
      <c r="B143" s="64" t="s">
        <v>1139</v>
      </c>
      <c r="C143" s="64">
        <v>1</v>
      </c>
      <c r="D143" s="64" t="s">
        <v>1161</v>
      </c>
      <c r="E143" s="65">
        <v>46191.839560185188</v>
      </c>
      <c r="F143" s="65">
        <v>46191.839560185188</v>
      </c>
    </row>
    <row r="144" spans="1:6" ht="13">
      <c r="A144" s="64" t="s">
        <v>1160</v>
      </c>
      <c r="B144" s="64" t="s">
        <v>1139</v>
      </c>
      <c r="C144" s="64">
        <v>1</v>
      </c>
      <c r="D144" s="64" t="s">
        <v>1161</v>
      </c>
      <c r="E144" s="65">
        <v>46191.839560185188</v>
      </c>
      <c r="F144" s="65">
        <v>46191.839560185188</v>
      </c>
    </row>
    <row r="145" spans="1:6" ht="13">
      <c r="A145" s="64" t="s">
        <v>93</v>
      </c>
      <c r="B145" s="64" t="s">
        <v>1139</v>
      </c>
      <c r="C145" s="64">
        <v>1</v>
      </c>
      <c r="D145" s="64" t="s">
        <v>1162</v>
      </c>
      <c r="E145" s="65">
        <v>46191.858483796299</v>
      </c>
      <c r="F145" s="65">
        <v>46191.858483796299</v>
      </c>
    </row>
    <row r="146" spans="1:6" ht="13">
      <c r="A146" s="64" t="s">
        <v>93</v>
      </c>
      <c r="B146" s="64" t="s">
        <v>1139</v>
      </c>
      <c r="C146" s="64">
        <v>1</v>
      </c>
      <c r="D146" s="64" t="s">
        <v>1162</v>
      </c>
      <c r="E146" s="65">
        <v>46191.858483796299</v>
      </c>
      <c r="F146" s="65">
        <v>46191.858483796299</v>
      </c>
    </row>
    <row r="147" spans="1:6" ht="13">
      <c r="A147" s="64" t="s">
        <v>1163</v>
      </c>
      <c r="B147" s="64" t="s">
        <v>25</v>
      </c>
      <c r="C147" s="64">
        <v>1</v>
      </c>
      <c r="D147" s="64" t="s">
        <v>1164</v>
      </c>
      <c r="E147" s="65">
        <v>46191.958240740743</v>
      </c>
      <c r="F147" s="65">
        <v>46191.958240740743</v>
      </c>
    </row>
    <row r="148" spans="1:6" ht="13">
      <c r="A148" s="64" t="s">
        <v>1165</v>
      </c>
      <c r="B148" s="64" t="s">
        <v>25</v>
      </c>
      <c r="C148" s="64">
        <v>1</v>
      </c>
      <c r="D148" s="64" t="s">
        <v>1166</v>
      </c>
      <c r="E148" s="65">
        <v>46191.964745370373</v>
      </c>
      <c r="F148" s="65">
        <v>46191.964745370373</v>
      </c>
    </row>
    <row r="149" spans="1:6" ht="13">
      <c r="A149" s="64" t="s">
        <v>1167</v>
      </c>
      <c r="B149" s="64" t="s">
        <v>25</v>
      </c>
      <c r="C149" s="64">
        <v>1</v>
      </c>
      <c r="D149" s="64" t="s">
        <v>1168</v>
      </c>
      <c r="E149" s="65">
        <v>46191.969560185185</v>
      </c>
      <c r="F149" s="65">
        <v>46191.969560185185</v>
      </c>
    </row>
    <row r="150" spans="1:6" ht="13">
      <c r="A150" s="64" t="s">
        <v>1169</v>
      </c>
      <c r="B150" s="64" t="s">
        <v>25</v>
      </c>
      <c r="C150" s="64">
        <v>1</v>
      </c>
      <c r="D150" s="64" t="s">
        <v>1170</v>
      </c>
      <c r="E150" s="65">
        <v>46192.019652777781</v>
      </c>
      <c r="F150" s="65">
        <v>46192.019652777781</v>
      </c>
    </row>
    <row r="151" spans="1:6" ht="13">
      <c r="A151" s="64" t="s">
        <v>939</v>
      </c>
      <c r="B151" s="64" t="s">
        <v>25</v>
      </c>
      <c r="C151" s="64">
        <v>1</v>
      </c>
      <c r="D151" s="64" t="s">
        <v>1171</v>
      </c>
      <c r="E151" s="65">
        <v>46192.360289351855</v>
      </c>
      <c r="F151" s="65">
        <v>46192.360289351855</v>
      </c>
    </row>
    <row r="152" spans="1:6" ht="13">
      <c r="A152" s="64" t="s">
        <v>1172</v>
      </c>
      <c r="B152" s="64" t="s">
        <v>25</v>
      </c>
      <c r="C152" s="64">
        <v>1</v>
      </c>
      <c r="D152" s="64" t="s">
        <v>1173</v>
      </c>
      <c r="E152" s="65">
        <v>46192.520439814813</v>
      </c>
      <c r="F152" s="65">
        <v>46192.520439814813</v>
      </c>
    </row>
    <row r="153" spans="1:6" ht="13">
      <c r="A153" s="64" t="s">
        <v>1174</v>
      </c>
      <c r="B153" s="64" t="s">
        <v>1139</v>
      </c>
      <c r="C153" s="64">
        <v>2</v>
      </c>
      <c r="D153" s="64" t="s">
        <v>1175</v>
      </c>
      <c r="E153" s="65">
        <v>46192.563761574071</v>
      </c>
      <c r="F153" s="65">
        <v>46192.563761574071</v>
      </c>
    </row>
    <row r="154" spans="1:6" ht="13">
      <c r="A154" s="64" t="s">
        <v>1174</v>
      </c>
      <c r="B154" s="64" t="s">
        <v>26</v>
      </c>
      <c r="C154" s="64">
        <v>1</v>
      </c>
      <c r="D154" s="64" t="s">
        <v>1175</v>
      </c>
      <c r="E154" s="65">
        <v>46192.563761574071</v>
      </c>
      <c r="F154" s="65">
        <v>46192.563761574071</v>
      </c>
    </row>
    <row r="155" spans="1:6" ht="13">
      <c r="A155" s="64" t="s">
        <v>1176</v>
      </c>
      <c r="B155" s="64" t="s">
        <v>27</v>
      </c>
      <c r="C155" s="64">
        <v>1</v>
      </c>
      <c r="D155" s="64" t="s">
        <v>1177</v>
      </c>
      <c r="E155" s="65">
        <v>46192.649583333332</v>
      </c>
      <c r="F155" s="65">
        <v>46192.649583333332</v>
      </c>
    </row>
    <row r="156" spans="1:6" ht="13">
      <c r="A156" s="64" t="s">
        <v>1178</v>
      </c>
      <c r="B156" s="64" t="s">
        <v>25</v>
      </c>
      <c r="C156" s="64">
        <v>1</v>
      </c>
      <c r="D156" s="64" t="s">
        <v>1179</v>
      </c>
      <c r="E156" s="65">
        <v>46192.786319444444</v>
      </c>
      <c r="F156" s="65">
        <v>46192.786319444444</v>
      </c>
    </row>
    <row r="157" spans="1:6" ht="13">
      <c r="A157" s="64" t="s">
        <v>1180</v>
      </c>
      <c r="B157" s="64" t="s">
        <v>25</v>
      </c>
      <c r="C157" s="64">
        <v>1</v>
      </c>
      <c r="D157" s="64" t="s">
        <v>1181</v>
      </c>
      <c r="E157" s="65">
        <v>46192.789918981478</v>
      </c>
      <c r="F157" s="65">
        <v>46192.789918981478</v>
      </c>
    </row>
    <row r="158" spans="1:6" ht="13">
      <c r="A158" s="64" t="s">
        <v>1182</v>
      </c>
      <c r="B158" s="64" t="s">
        <v>1139</v>
      </c>
      <c r="C158" s="64">
        <v>2</v>
      </c>
      <c r="D158" s="64" t="s">
        <v>1183</v>
      </c>
      <c r="E158" s="65">
        <v>46192.817789351851</v>
      </c>
      <c r="F158" s="65">
        <v>46192.817789351851</v>
      </c>
    </row>
    <row r="159" spans="1:6" ht="13">
      <c r="A159" s="64" t="s">
        <v>1182</v>
      </c>
      <c r="B159" s="64" t="s">
        <v>26</v>
      </c>
      <c r="C159" s="64">
        <v>1</v>
      </c>
      <c r="D159" s="64" t="s">
        <v>1183</v>
      </c>
      <c r="E159" s="65">
        <v>46192.817789351851</v>
      </c>
      <c r="F159" s="65">
        <v>46192.817789351851</v>
      </c>
    </row>
    <row r="160" spans="1:6" ht="13">
      <c r="A160" s="64" t="s">
        <v>1184</v>
      </c>
      <c r="B160" s="64" t="s">
        <v>26</v>
      </c>
      <c r="C160" s="64">
        <v>1</v>
      </c>
      <c r="D160" s="64" t="s">
        <v>1185</v>
      </c>
      <c r="E160" s="65">
        <v>46192.853356481479</v>
      </c>
      <c r="F160" s="65">
        <v>46192.853356481479</v>
      </c>
    </row>
    <row r="161" spans="1:6" ht="13">
      <c r="A161" s="64" t="s">
        <v>1056</v>
      </c>
      <c r="B161" s="64" t="s">
        <v>25</v>
      </c>
      <c r="C161" s="64">
        <v>1</v>
      </c>
      <c r="D161" s="64" t="s">
        <v>1186</v>
      </c>
      <c r="E161" s="65">
        <v>46192.944733796299</v>
      </c>
      <c r="F161" s="65">
        <v>46192.944733796299</v>
      </c>
    </row>
    <row r="162" spans="1:6" ht="13">
      <c r="A162" s="64" t="s">
        <v>1187</v>
      </c>
      <c r="B162" s="64" t="s">
        <v>25</v>
      </c>
      <c r="C162" s="64">
        <v>1</v>
      </c>
      <c r="D162" s="64" t="s">
        <v>1188</v>
      </c>
      <c r="E162" s="65">
        <v>46193.592060185183</v>
      </c>
      <c r="F162" s="65">
        <v>46193.592060185183</v>
      </c>
    </row>
    <row r="163" spans="1:6" ht="13">
      <c r="A163" s="64" t="s">
        <v>1189</v>
      </c>
      <c r="B163" s="64" t="s">
        <v>25</v>
      </c>
      <c r="C163" s="64">
        <v>1</v>
      </c>
      <c r="D163" s="64" t="s">
        <v>1190</v>
      </c>
      <c r="E163" s="65">
        <v>46193.694652777776</v>
      </c>
      <c r="F163" s="65">
        <v>46193.694652777776</v>
      </c>
    </row>
    <row r="164" spans="1:6" ht="13">
      <c r="A164" s="64" t="s">
        <v>1191</v>
      </c>
      <c r="B164" s="64" t="s">
        <v>26</v>
      </c>
      <c r="C164" s="64">
        <v>1</v>
      </c>
      <c r="D164" s="64" t="s">
        <v>1192</v>
      </c>
      <c r="E164" s="65">
        <v>46194.615532407406</v>
      </c>
      <c r="F164" s="65">
        <v>46194.615532407406</v>
      </c>
    </row>
    <row r="165" spans="1:6" ht="13">
      <c r="A165" s="64" t="s">
        <v>1193</v>
      </c>
      <c r="B165" s="64" t="s">
        <v>25</v>
      </c>
      <c r="C165" s="64">
        <v>1</v>
      </c>
      <c r="D165" s="64" t="s">
        <v>1194</v>
      </c>
      <c r="E165" s="65">
        <v>46194.687372685185</v>
      </c>
      <c r="F165" s="65">
        <v>46194.687372685185</v>
      </c>
    </row>
    <row r="166" spans="1:6" ht="13">
      <c r="A166" s="64" t="s">
        <v>85</v>
      </c>
      <c r="B166" s="64" t="s">
        <v>25</v>
      </c>
      <c r="C166" s="64">
        <v>1</v>
      </c>
      <c r="D166" s="64" t="s">
        <v>1195</v>
      </c>
      <c r="E166" s="65">
        <v>46194.703564814816</v>
      </c>
      <c r="F166" s="65">
        <v>46194.703564814816</v>
      </c>
    </row>
    <row r="167" spans="1:6" ht="13">
      <c r="A167" s="64" t="s">
        <v>1196</v>
      </c>
      <c r="B167" s="64" t="s">
        <v>26</v>
      </c>
      <c r="C167" s="64">
        <v>1</v>
      </c>
      <c r="D167" s="64" t="s">
        <v>1197</v>
      </c>
      <c r="E167" s="65">
        <v>46194.719652777778</v>
      </c>
      <c r="F167" s="65">
        <v>46194.719652777778</v>
      </c>
    </row>
    <row r="168" spans="1:6" ht="13">
      <c r="A168" s="64" t="s">
        <v>1198</v>
      </c>
      <c r="B168" s="64" t="s">
        <v>25</v>
      </c>
      <c r="C168" s="64">
        <v>1</v>
      </c>
      <c r="D168" s="64" t="s">
        <v>1199</v>
      </c>
      <c r="E168" s="65">
        <v>46194.802916666667</v>
      </c>
      <c r="F168" s="65">
        <v>46194.802916666667</v>
      </c>
    </row>
    <row r="169" spans="1:6" ht="13">
      <c r="A169" s="64" t="s">
        <v>139</v>
      </c>
      <c r="B169" s="64" t="s">
        <v>25</v>
      </c>
      <c r="C169" s="64">
        <v>1</v>
      </c>
      <c r="D169" s="64" t="s">
        <v>1200</v>
      </c>
      <c r="E169" s="65">
        <v>46194.883194444446</v>
      </c>
      <c r="F169" s="65">
        <v>46194.883194444446</v>
      </c>
    </row>
    <row r="170" spans="1:6" ht="13">
      <c r="A170" s="64" t="s">
        <v>1201</v>
      </c>
      <c r="B170" s="64" t="s">
        <v>26</v>
      </c>
      <c r="C170" s="64">
        <v>1</v>
      </c>
      <c r="D170" s="64" t="s">
        <v>1202</v>
      </c>
      <c r="E170" s="65">
        <v>46194.919918981483</v>
      </c>
      <c r="F170" s="65">
        <v>46194.919918981483</v>
      </c>
    </row>
    <row r="171" spans="1:6" ht="13">
      <c r="A171" s="64" t="s">
        <v>1203</v>
      </c>
      <c r="B171" s="64" t="s">
        <v>25</v>
      </c>
      <c r="C171" s="64">
        <v>1</v>
      </c>
      <c r="D171" s="64" t="s">
        <v>1204</v>
      </c>
      <c r="E171" s="65">
        <v>46194.946979166663</v>
      </c>
      <c r="F171" s="65">
        <v>46194.946979166663</v>
      </c>
    </row>
    <row r="172" spans="1:6" ht="13">
      <c r="A172" s="64" t="s">
        <v>1205</v>
      </c>
      <c r="B172" s="64" t="s">
        <v>25</v>
      </c>
      <c r="C172" s="64">
        <v>1</v>
      </c>
      <c r="D172" s="64" t="s">
        <v>1206</v>
      </c>
      <c r="E172" s="65">
        <v>46195.269409722219</v>
      </c>
      <c r="F172" s="65">
        <v>46195.269409722219</v>
      </c>
    </row>
    <row r="173" spans="1:6" ht="13">
      <c r="A173" s="64" t="s">
        <v>1207</v>
      </c>
      <c r="B173" s="64" t="s">
        <v>25</v>
      </c>
      <c r="C173" s="64">
        <v>1</v>
      </c>
      <c r="D173" s="64" t="s">
        <v>1208</v>
      </c>
      <c r="E173" s="65">
        <v>46195.479930555557</v>
      </c>
      <c r="F173" s="65">
        <v>46195.479930555557</v>
      </c>
    </row>
    <row r="174" spans="1:6" ht="13">
      <c r="A174" s="64" t="s">
        <v>1209</v>
      </c>
      <c r="B174" s="64" t="s">
        <v>25</v>
      </c>
      <c r="C174" s="64">
        <v>1</v>
      </c>
      <c r="D174" s="64" t="s">
        <v>1210</v>
      </c>
      <c r="E174" s="65">
        <v>46195.500057870369</v>
      </c>
      <c r="F174" s="65">
        <v>46195.500069444446</v>
      </c>
    </row>
    <row r="175" spans="1:6" ht="13">
      <c r="A175" s="64" t="s">
        <v>86</v>
      </c>
      <c r="B175" s="64" t="s">
        <v>25</v>
      </c>
      <c r="C175" s="64">
        <v>1</v>
      </c>
      <c r="D175" s="64" t="s">
        <v>1211</v>
      </c>
      <c r="E175" s="65">
        <v>46195.661319444444</v>
      </c>
      <c r="F175" s="65">
        <v>46195.661319444444</v>
      </c>
    </row>
    <row r="176" spans="1:6" ht="13">
      <c r="A176" s="64" t="s">
        <v>1212</v>
      </c>
      <c r="B176" s="64" t="s">
        <v>26</v>
      </c>
      <c r="C176" s="64">
        <v>1</v>
      </c>
      <c r="D176" s="64" t="s">
        <v>1213</v>
      </c>
      <c r="E176" s="65">
        <v>46195.692071759258</v>
      </c>
      <c r="F176" s="65">
        <v>46195.692071759258</v>
      </c>
    </row>
    <row r="177" spans="1:6" ht="13">
      <c r="A177" s="64" t="s">
        <v>1214</v>
      </c>
      <c r="B177" s="64" t="s">
        <v>25</v>
      </c>
      <c r="C177" s="64">
        <v>1</v>
      </c>
      <c r="D177" s="64" t="s">
        <v>1215</v>
      </c>
      <c r="E177" s="65">
        <v>46196.36613425926</v>
      </c>
      <c r="F177" s="65">
        <v>46196.36613425926</v>
      </c>
    </row>
    <row r="178" spans="1:6" ht="13">
      <c r="A178" s="64" t="s">
        <v>1216</v>
      </c>
      <c r="B178" s="64" t="s">
        <v>25</v>
      </c>
      <c r="C178" s="64">
        <v>1</v>
      </c>
      <c r="D178" s="64" t="s">
        <v>1217</v>
      </c>
      <c r="E178" s="65">
        <v>46196.505520833336</v>
      </c>
      <c r="F178" s="65">
        <v>46196.505520833336</v>
      </c>
    </row>
    <row r="179" spans="1:6" ht="13">
      <c r="A179" s="64" t="s">
        <v>1218</v>
      </c>
      <c r="B179" s="64" t="s">
        <v>25</v>
      </c>
      <c r="C179" s="64">
        <v>1</v>
      </c>
      <c r="D179" s="64" t="s">
        <v>1219</v>
      </c>
      <c r="E179" s="65">
        <v>46196.706585648149</v>
      </c>
      <c r="F179" s="65">
        <v>46196.706585648149</v>
      </c>
    </row>
    <row r="180" spans="1:6" ht="13">
      <c r="A180" s="64" t="s">
        <v>1220</v>
      </c>
      <c r="B180" s="64" t="s">
        <v>26</v>
      </c>
      <c r="C180" s="64">
        <v>1</v>
      </c>
      <c r="D180" s="64" t="s">
        <v>1221</v>
      </c>
      <c r="E180" s="65">
        <v>46196.937141203707</v>
      </c>
      <c r="F180" s="65">
        <v>46196.937141203707</v>
      </c>
    </row>
    <row r="181" spans="1:6" ht="13">
      <c r="A181" s="64" t="s">
        <v>1222</v>
      </c>
      <c r="B181" s="64" t="s">
        <v>25</v>
      </c>
      <c r="C181" s="64">
        <v>1</v>
      </c>
      <c r="D181" s="64" t="s">
        <v>1223</v>
      </c>
      <c r="E181" s="65">
        <v>46197.047083333331</v>
      </c>
      <c r="F181" s="65">
        <v>46197.047083333331</v>
      </c>
    </row>
    <row r="182" spans="1:6" ht="13">
      <c r="A182" s="64" t="s">
        <v>1224</v>
      </c>
      <c r="B182" s="64" t="s">
        <v>1139</v>
      </c>
      <c r="C182" s="64">
        <v>1</v>
      </c>
      <c r="D182" s="64" t="s">
        <v>1225</v>
      </c>
      <c r="E182" s="65">
        <v>46198.448993055557</v>
      </c>
      <c r="F182" s="65">
        <v>46198.448993055557</v>
      </c>
    </row>
    <row r="183" spans="1:6" ht="13">
      <c r="A183" s="64" t="s">
        <v>1224</v>
      </c>
      <c r="B183" s="64" t="s">
        <v>26</v>
      </c>
      <c r="C183" s="64">
        <v>1</v>
      </c>
      <c r="D183" s="64" t="s">
        <v>1225</v>
      </c>
      <c r="E183" s="65">
        <v>46198.448993055557</v>
      </c>
      <c r="F183" s="65">
        <v>46198.448993055557</v>
      </c>
    </row>
    <row r="184" spans="1:6" ht="13">
      <c r="A184" s="64" t="s">
        <v>1226</v>
      </c>
      <c r="B184" s="64" t="s">
        <v>25</v>
      </c>
      <c r="C184" s="64">
        <v>1</v>
      </c>
      <c r="D184" s="64" t="s">
        <v>1227</v>
      </c>
      <c r="E184" s="65">
        <v>46198.984479166669</v>
      </c>
      <c r="F184" s="65">
        <v>46198.984479166669</v>
      </c>
    </row>
    <row r="185" spans="1:6" ht="13">
      <c r="A185" s="64" t="s">
        <v>1228</v>
      </c>
      <c r="B185" s="64" t="s">
        <v>25</v>
      </c>
      <c r="C185" s="64">
        <v>1</v>
      </c>
      <c r="D185" s="64" t="s">
        <v>1229</v>
      </c>
      <c r="E185" s="65">
        <v>46199.545706018522</v>
      </c>
      <c r="F185" s="65">
        <v>46199.545706018522</v>
      </c>
    </row>
    <row r="186" spans="1:6" ht="13"/>
    <row r="187" spans="1:6" ht="13"/>
    <row r="188" spans="1:6" ht="13"/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공구영수증</vt:lpstr>
      <vt:lpstr>광고비용 집계</vt:lpstr>
      <vt:lpstr>판매내역집계</vt:lpstr>
      <vt:lpstr>DB) 스마트스토어(6월구매확정)</vt:lpstr>
      <vt:lpstr>DB) 콘디(6월배송완료)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교영</cp:lastModifiedBy>
  <dcterms:created xsi:type="dcterms:W3CDTF">2026-06-10T12:37:27Z</dcterms:created>
  <dcterms:modified xsi:type="dcterms:W3CDTF">2026-07-15T00:48:26Z</dcterms:modified>
</cp:coreProperties>
</file>