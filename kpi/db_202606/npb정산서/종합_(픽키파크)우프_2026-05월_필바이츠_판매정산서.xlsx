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1.WORKS/001.Picky Doggy Club/003. 정산:대행업무/"/>
    </mc:Choice>
  </mc:AlternateContent>
  <xr:revisionPtr revIDLastSave="0" documentId="13_ncr:1_{229101A5-D8DF-E043-BEA5-EE017F1A5A72}" xr6:coauthVersionLast="47" xr6:coauthVersionMax="47" xr10:uidLastSave="{00000000-0000-0000-0000-000000000000}"/>
  <bookViews>
    <workbookView xWindow="7960" yWindow="500" windowWidth="43240" windowHeight="21100" activeTab="1" xr2:uid="{00000000-000D-0000-FFFF-FFFF00000000}"/>
  </bookViews>
  <sheets>
    <sheet name="정산서" sheetId="1" r:id="rId1"/>
    <sheet name="채널별 정산 합계" sheetId="2" r:id="rId2"/>
    <sheet name="채널별 판매데이터 정리" sheetId="3" state="hidden" r:id="rId3"/>
    <sheet name="DB)카페24-우프" sheetId="4" state="hidden" r:id="rId4"/>
    <sheet name="DB)자사(우프+스마트스토어)" sheetId="12" r:id="rId5"/>
    <sheet name="DB)자사(B2B)" sheetId="17" r:id="rId6"/>
    <sheet name="DB)테일릿(대리점)" sheetId="5" r:id="rId7"/>
    <sheet name="DB파마스퀘어(대리점)" sheetId="18" r:id="rId8"/>
    <sheet name="DB)쿠팡" sheetId="6" r:id="rId9"/>
    <sheet name="DB)스마트스토어" sheetId="7" r:id="rId10"/>
    <sheet name="DB)마켓컬리" sheetId="8" r:id="rId11"/>
    <sheet name="DB)스파크펫" sheetId="9" r:id="rId12"/>
    <sheet name="DB)몽슈슈" sheetId="10" r:id="rId13"/>
    <sheet name="DB)행사" sheetId="15" r:id="rId14"/>
    <sheet name="입출고_물류창고출고" sheetId="11" r:id="rId15"/>
    <sheet name="입출고_용달" sheetId="16" r:id="rId16"/>
    <sheet name="입출고_본사출고" sheetId="13" r:id="rId17"/>
  </sheets>
  <definedNames>
    <definedName name="_xlnm._FilterDatabase" localSheetId="14" hidden="1">입출고_물류창고출고!$A$1:$AA$68</definedName>
    <definedName name="_xlnm._FilterDatabase" localSheetId="15" hidden="1">입출고_용달!$A$2:$H$4</definedName>
    <definedName name="_xlnm._FilterDatabase" localSheetId="9" hidden="1">'DB)스마트스토어'!$A$1:$Q$365</definedName>
    <definedName name="_xlnm._FilterDatabase" localSheetId="3" hidden="1">'DB)카페24-우프'!$A$1:$N$11</definedName>
    <definedName name="_xlnm._FilterDatabase" localSheetId="8" hidden="1">'DB)쿠팡'!$A$1:$P$16</definedName>
    <definedName name="_xlnm._FilterDatabase" localSheetId="6" hidden="1">'DB)테일릿(대리점)'!$A$1:$M$2</definedName>
    <definedName name="_xlnm._FilterDatabase" localSheetId="7" hidden="1">'DB파마스퀘어(대리점)'!$A$1:$M$2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8" roundtripDataChecksum="dY959kdeMrGCnWa3nfClge/IcN9KKU9bpbckr0nazuU="/>
    </ext>
  </extLst>
</workbook>
</file>

<file path=xl/calcChain.xml><?xml version="1.0" encoding="utf-8"?>
<calcChain xmlns="http://schemas.openxmlformats.org/spreadsheetml/2006/main">
  <c r="C10" i="1" l="1"/>
  <c r="C9" i="1"/>
  <c r="D10" i="1"/>
  <c r="D9" i="1"/>
  <c r="C47" i="2"/>
  <c r="C42" i="2"/>
  <c r="E39" i="2"/>
  <c r="D6" i="15"/>
  <c r="C27" i="2"/>
  <c r="C23" i="2"/>
  <c r="F19" i="2"/>
  <c r="I19" i="2" s="1"/>
  <c r="H19" i="2"/>
  <c r="U16" i="6"/>
  <c r="C19" i="2"/>
  <c r="T16" i="6"/>
  <c r="R16" i="6"/>
  <c r="C11" i="2"/>
  <c r="E11" i="2" s="1"/>
  <c r="J7" i="17"/>
  <c r="J6" i="17"/>
  <c r="L6" i="17"/>
  <c r="F11" i="2" s="1"/>
  <c r="H3" i="12"/>
  <c r="G3" i="12"/>
  <c r="E3" i="12"/>
  <c r="H4" i="18"/>
  <c r="M2" i="18"/>
  <c r="M4" i="18" s="1"/>
  <c r="J2" i="18"/>
  <c r="J4" i="18" s="1"/>
  <c r="L3" i="17"/>
  <c r="L4" i="17"/>
  <c r="L5" i="17"/>
  <c r="L2" i="17"/>
  <c r="M4" i="5"/>
  <c r="J4" i="5"/>
  <c r="H4" i="5"/>
  <c r="K2" i="5"/>
  <c r="M2" i="5" s="1"/>
  <c r="J2" i="5"/>
  <c r="T3" i="6"/>
  <c r="T4" i="6"/>
  <c r="T5" i="6"/>
  <c r="T6" i="6"/>
  <c r="T7" i="6"/>
  <c r="T8" i="6"/>
  <c r="T9" i="6"/>
  <c r="T10" i="6"/>
  <c r="T11" i="6"/>
  <c r="T12" i="6"/>
  <c r="T13" i="6"/>
  <c r="T14" i="6"/>
  <c r="T15" i="6"/>
  <c r="T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2" i="6"/>
  <c r="L16" i="6"/>
  <c r="N16" i="8"/>
  <c r="N15" i="8"/>
  <c r="N13" i="8"/>
  <c r="I5" i="9"/>
  <c r="H5" i="9"/>
  <c r="G5" i="9"/>
  <c r="F5" i="9"/>
  <c r="E5" i="9"/>
  <c r="D5" i="9"/>
  <c r="I8" i="9"/>
  <c r="G8" i="9"/>
  <c r="E8" i="9"/>
  <c r="H8" i="9"/>
  <c r="J6" i="15" l="1"/>
  <c r="I3" i="15"/>
  <c r="I4" i="15"/>
  <c r="I2" i="15"/>
  <c r="H3" i="15"/>
  <c r="H4" i="15"/>
  <c r="H2" i="15"/>
  <c r="D3" i="15"/>
  <c r="D4" i="15"/>
  <c r="D2" i="15"/>
  <c r="K3" i="10" l="1"/>
  <c r="J3" i="10"/>
  <c r="P206" i="11" l="1"/>
  <c r="I23" i="2"/>
  <c r="C15" i="2"/>
  <c r="F15" i="2" s="1"/>
  <c r="K3" i="12"/>
  <c r="E7" i="2" s="1"/>
  <c r="D18" i="1"/>
  <c r="F18" i="1" s="1"/>
  <c r="J4" i="16"/>
  <c r="I4" i="16"/>
  <c r="H4" i="16"/>
  <c r="G4" i="16"/>
  <c r="H15" i="2" l="1"/>
  <c r="I15" i="2" s="1"/>
  <c r="Y2" i="11" l="1"/>
  <c r="Y3" i="11"/>
  <c r="Y4" i="11"/>
  <c r="Y23" i="11"/>
  <c r="Y21" i="11"/>
  <c r="Y19" i="11"/>
  <c r="Y17" i="11"/>
  <c r="Y16" i="11"/>
  <c r="Y15" i="11"/>
  <c r="Y14" i="11"/>
  <c r="Y13" i="11"/>
  <c r="Y12" i="11"/>
  <c r="Y11" i="11"/>
  <c r="Y8" i="11"/>
  <c r="Y6" i="11"/>
  <c r="Y5" i="11"/>
  <c r="Y25" i="11"/>
  <c r="Y28" i="11"/>
  <c r="Y27" i="11"/>
  <c r="Y31" i="11"/>
  <c r="Y30" i="11"/>
  <c r="Y34" i="11"/>
  <c r="Y33" i="11"/>
  <c r="Y32" i="11"/>
  <c r="Y38" i="11"/>
  <c r="Y37" i="11"/>
  <c r="Y36" i="11"/>
  <c r="Y35" i="11"/>
  <c r="Y40" i="11"/>
  <c r="Y39" i="11"/>
  <c r="Y46" i="11"/>
  <c r="Y45" i="11"/>
  <c r="Y44" i="11"/>
  <c r="Y43" i="11"/>
  <c r="Y42" i="11"/>
  <c r="Y52" i="11"/>
  <c r="Y51" i="11"/>
  <c r="Y50" i="11"/>
  <c r="Y49" i="11"/>
  <c r="Y48" i="11"/>
  <c r="Y47" i="11"/>
  <c r="Y58" i="11"/>
  <c r="Y57" i="11"/>
  <c r="Y56" i="11"/>
  <c r="Y55" i="11"/>
  <c r="Y54" i="11"/>
  <c r="Y53" i="11"/>
  <c r="Y62" i="11"/>
  <c r="Y61" i="11"/>
  <c r="Y60" i="11"/>
  <c r="Y59" i="11"/>
  <c r="Y67" i="11"/>
  <c r="Y66" i="11"/>
  <c r="Y65" i="11"/>
  <c r="Y64" i="11"/>
  <c r="Y63" i="11"/>
  <c r="C13" i="13"/>
  <c r="E17" i="1" s="1"/>
  <c r="C12" i="13"/>
  <c r="D17" i="1" s="1"/>
  <c r="C17" i="1"/>
  <c r="C19" i="1" s="1"/>
  <c r="F16" i="1"/>
  <c r="B14" i="13"/>
  <c r="C14" i="13" s="1"/>
  <c r="C31" i="2"/>
  <c r="F17" i="1" l="1"/>
  <c r="F19" i="1" s="1"/>
  <c r="E6" i="10"/>
  <c r="E7" i="10" s="1"/>
  <c r="C35" i="2" s="1"/>
  <c r="F35" i="2" s="1"/>
  <c r="I6" i="15"/>
  <c r="H6" i="15"/>
  <c r="C39" i="2"/>
  <c r="H39" i="2" l="1"/>
  <c r="I39" i="2" s="1"/>
  <c r="H35" i="2"/>
  <c r="I35" i="2" l="1"/>
  <c r="D7" i="2"/>
  <c r="C7" i="2"/>
  <c r="F31" i="2"/>
  <c r="F27" i="2"/>
  <c r="H27" i="2" s="1"/>
  <c r="E38" i="6"/>
  <c r="G38" i="6" s="1"/>
  <c r="E37" i="6"/>
  <c r="G37" i="6" s="1"/>
  <c r="G36" i="6"/>
  <c r="K5" i="10"/>
  <c r="K7" i="10" s="1"/>
  <c r="F7" i="2" l="1"/>
  <c r="C44" i="2" l="1"/>
  <c r="H7" i="2"/>
  <c r="I7" i="2" s="1"/>
  <c r="C4" i="1" l="1"/>
  <c r="C43" i="2"/>
  <c r="J12" i="4"/>
  <c r="N11" i="4"/>
  <c r="M11" i="4"/>
  <c r="G52" i="3"/>
  <c r="E52" i="3"/>
  <c r="D52" i="3"/>
  <c r="I51" i="3"/>
  <c r="H51" i="3"/>
  <c r="H52" i="3" s="1"/>
  <c r="G46" i="3"/>
  <c r="E46" i="3"/>
  <c r="D46" i="3"/>
  <c r="H45" i="3"/>
  <c r="H46" i="3" s="1"/>
  <c r="H40" i="3"/>
  <c r="G40" i="3"/>
  <c r="E40" i="3"/>
  <c r="D40" i="3"/>
  <c r="H39" i="3"/>
  <c r="I39" i="3" s="1"/>
  <c r="G34" i="3"/>
  <c r="E34" i="3"/>
  <c r="D34" i="3"/>
  <c r="I33" i="3"/>
  <c r="H33" i="3"/>
  <c r="I32" i="3"/>
  <c r="K32" i="3" s="1"/>
  <c r="L32" i="3" s="1"/>
  <c r="H31" i="3"/>
  <c r="H34" i="3" s="1"/>
  <c r="K30" i="3"/>
  <c r="L30" i="3" s="1"/>
  <c r="I30" i="3"/>
  <c r="H25" i="3"/>
  <c r="G25" i="3"/>
  <c r="E25" i="3"/>
  <c r="D25" i="3"/>
  <c r="K24" i="3"/>
  <c r="I24" i="3"/>
  <c r="L24" i="3" s="1"/>
  <c r="G24" i="3"/>
  <c r="K23" i="3"/>
  <c r="L23" i="3" s="1"/>
  <c r="I23" i="3"/>
  <c r="G23" i="3"/>
  <c r="K22" i="3"/>
  <c r="K25" i="3" s="1"/>
  <c r="I22" i="3"/>
  <c r="I25" i="3" s="1"/>
  <c r="G22" i="3"/>
  <c r="E17" i="3"/>
  <c r="D17" i="3"/>
  <c r="H16" i="3"/>
  <c r="H17" i="3" s="1"/>
  <c r="I17" i="3" s="1"/>
  <c r="H15" i="3"/>
  <c r="I15" i="3" s="1"/>
  <c r="H10" i="3"/>
  <c r="I10" i="3" s="1"/>
  <c r="F10" i="3"/>
  <c r="E10" i="3"/>
  <c r="N58" i="3" s="1"/>
  <c r="D10" i="3"/>
  <c r="N57" i="3" s="1"/>
  <c r="H7" i="3"/>
  <c r="I7" i="3" s="1"/>
  <c r="H31" i="2"/>
  <c r="I27" i="2"/>
  <c r="H11" i="2"/>
  <c r="C45" i="2" l="1"/>
  <c r="E4" i="1" s="1"/>
  <c r="D8" i="1" s="1"/>
  <c r="I31" i="2"/>
  <c r="I11" i="2"/>
  <c r="G4" i="1"/>
  <c r="D11" i="1"/>
  <c r="N12" i="4"/>
  <c r="K39" i="3"/>
  <c r="K40" i="3" s="1"/>
  <c r="I40" i="3"/>
  <c r="K7" i="3"/>
  <c r="L7" i="3" s="1"/>
  <c r="K17" i="3"/>
  <c r="L17" i="3" s="1"/>
  <c r="L51" i="3"/>
  <c r="L52" i="3" s="1"/>
  <c r="N13" i="4"/>
  <c r="K10" i="3"/>
  <c r="K15" i="3"/>
  <c r="L15" i="3" s="1"/>
  <c r="I34" i="3"/>
  <c r="L34" i="3" s="1"/>
  <c r="L22" i="3"/>
  <c r="L25" i="3" s="1"/>
  <c r="I45" i="3"/>
  <c r="I16" i="3"/>
  <c r="I31" i="3"/>
  <c r="K33" i="3"/>
  <c r="L33" i="3" s="1"/>
  <c r="K51" i="3"/>
  <c r="K52" i="3" s="1"/>
  <c r="I52" i="3"/>
  <c r="E10" i="1" l="1"/>
  <c r="C48" i="2"/>
  <c r="K31" i="3"/>
  <c r="L31" i="3" s="1"/>
  <c r="L10" i="3"/>
  <c r="K16" i="3"/>
  <c r="L16" i="3" s="1"/>
  <c r="I46" i="3"/>
  <c r="K45" i="3"/>
  <c r="K46" i="3" s="1"/>
  <c r="L39" i="3"/>
  <c r="L40" i="3" s="1"/>
  <c r="N59" i="3" l="1"/>
  <c r="L45" i="3"/>
  <c r="L46" i="3" s="1"/>
  <c r="N61" i="3" s="1"/>
  <c r="N60" i="3"/>
  <c r="E9" i="1" l="1"/>
  <c r="D4" i="1"/>
  <c r="C8" i="1" s="1"/>
  <c r="C46" i="2" l="1"/>
  <c r="F4" i="1" s="1"/>
  <c r="E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 교영</author>
  </authors>
  <commentList>
    <comment ref="G6" authorId="0" shapeId="0" xr:uid="{4F75B61A-A8B0-6944-9760-516362D4AE0A}">
      <text>
        <r>
          <rPr>
            <b/>
            <sz val="10"/>
            <color rgb="FF000000"/>
            <rFont val="Malgun Gothic"/>
            <family val="2"/>
            <charset val="129"/>
          </rPr>
          <t>우프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PG </t>
        </r>
        <r>
          <rPr>
            <b/>
            <sz val="10"/>
            <color rgb="FF000000"/>
            <rFont val="Malgun Gothic"/>
            <family val="2"/>
            <charset val="129"/>
          </rPr>
          <t>수수료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+ </t>
        </r>
        <r>
          <rPr>
            <b/>
            <sz val="10"/>
            <color rgb="FF000000"/>
            <rFont val="Malgun Gothic"/>
            <family val="2"/>
            <charset val="129"/>
          </rPr>
          <t>고객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기본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적립할인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기준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최저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판매수수료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(</t>
        </r>
        <r>
          <rPr>
            <b/>
            <sz val="10"/>
            <color rgb="FF000000"/>
            <rFont val="Malgun Gothic"/>
            <family val="2"/>
            <charset val="129"/>
          </rPr>
          <t>통상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30%)</t>
        </r>
      </text>
    </comment>
    <comment ref="E10" authorId="0" shapeId="0" xr:uid="{18588E0A-2BBF-0340-87D2-BB5E25F0C16B}">
      <text>
        <r>
          <rPr>
            <sz val="10"/>
            <color rgb="FF000000"/>
            <rFont val="Malgun Gothic"/>
            <family val="2"/>
            <charset val="129"/>
          </rPr>
          <t>사업자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할인율</t>
        </r>
        <r>
          <rPr>
            <sz val="10"/>
            <color rgb="FF000000"/>
            <rFont val="Malgun Gothic"/>
            <family val="2"/>
            <charset val="129"/>
          </rPr>
          <t xml:space="preserve"> (35~40%)</t>
        </r>
      </text>
    </comment>
    <comment ref="G10" authorId="0" shapeId="0" xr:uid="{BB470201-C34F-2743-8E70-8555FD3E7167}">
      <text>
        <r>
          <rPr>
            <sz val="10"/>
            <color rgb="FF000000"/>
            <rFont val="Malgun Gothic"/>
            <family val="2"/>
            <charset val="129"/>
          </rPr>
          <t>우프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판매수수료</t>
        </r>
        <r>
          <rPr>
            <sz val="10"/>
            <color rgb="FF000000"/>
            <rFont val="Malgun Gothic"/>
            <family val="2"/>
            <charset val="129"/>
          </rPr>
          <t xml:space="preserve"> (PG+</t>
        </r>
        <r>
          <rPr>
            <sz val="10"/>
            <color rgb="FF000000"/>
            <rFont val="Malgun Gothic"/>
            <family val="2"/>
            <charset val="129"/>
          </rPr>
          <t>적립금</t>
        </r>
        <r>
          <rPr>
            <sz val="10"/>
            <color rgb="FF000000"/>
            <rFont val="Malgun Gothic"/>
            <family val="2"/>
            <charset val="129"/>
          </rPr>
          <t>)</t>
        </r>
      </text>
    </comment>
    <comment ref="G14" authorId="0" shapeId="0" xr:uid="{AE67B0A0-64AA-B348-9109-C521D7C76BF9}">
      <text>
        <r>
          <rPr>
            <sz val="10"/>
            <color rgb="FF000000"/>
            <rFont val="Malgun Gothic"/>
            <family val="2"/>
            <charset val="129"/>
          </rPr>
          <t>대리점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공제마진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 xml:space="preserve">52%
</t>
        </r>
      </text>
    </comment>
    <comment ref="G18" authorId="0" shapeId="0" xr:uid="{BCB8636E-6B07-2345-86D8-E19110E0C552}">
      <text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만원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미만</t>
        </r>
        <r>
          <rPr>
            <sz val="10"/>
            <color rgb="FF000000"/>
            <rFont val="Malgun Gothic"/>
            <family val="2"/>
            <charset val="129"/>
          </rPr>
          <t xml:space="preserve">: 40% </t>
        </r>
        <r>
          <rPr>
            <sz val="10"/>
            <color rgb="FF000000"/>
            <rFont val="Malgun Gothic"/>
            <family val="2"/>
            <charset val="129"/>
          </rPr>
          <t>할인가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만원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이상</t>
        </r>
        <r>
          <rPr>
            <sz val="10"/>
            <color rgb="FF000000"/>
            <rFont val="Malgun Gothic"/>
            <family val="2"/>
            <charset val="129"/>
          </rPr>
          <t xml:space="preserve">: 37% </t>
        </r>
        <r>
          <rPr>
            <sz val="10"/>
            <color rgb="FF000000"/>
            <rFont val="Malgun Gothic"/>
            <family val="2"/>
            <charset val="129"/>
          </rPr>
          <t>할인가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22" authorId="0" shapeId="0" xr:uid="{53438867-4B8B-1C4D-BF37-F4195A159B31}">
      <text>
        <r>
          <rPr>
            <sz val="10"/>
            <color rgb="FF000000"/>
            <rFont val="Malgun Gothic"/>
            <family val="2"/>
            <charset val="129"/>
          </rPr>
          <t xml:space="preserve">DB </t>
        </r>
        <r>
          <rPr>
            <sz val="10"/>
            <color rgb="FF000000"/>
            <rFont val="Malgun Gothic"/>
            <family val="2"/>
            <charset val="129"/>
          </rPr>
          <t>시트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참조</t>
        </r>
      </text>
    </comment>
  </commentList>
</comments>
</file>

<file path=xl/sharedStrings.xml><?xml version="1.0" encoding="utf-8"?>
<sst xmlns="http://schemas.openxmlformats.org/spreadsheetml/2006/main" count="7827" uniqueCount="1590">
  <si>
    <t>[판매내역 종합]</t>
  </si>
  <si>
    <t>vat포함</t>
  </si>
  <si>
    <t>정산 월</t>
  </si>
  <si>
    <t>소비자정가계</t>
  </si>
  <si>
    <t>매출계</t>
  </si>
  <si>
    <t>수수료 (공제계)</t>
  </si>
  <si>
    <t>정산합계</t>
  </si>
  <si>
    <t>실비합계</t>
  </si>
  <si>
    <t>매출계산서발행</t>
  </si>
  <si>
    <t>항목</t>
  </si>
  <si>
    <t>A 매출</t>
  </si>
  <si>
    <t>B 공제계</t>
  </si>
  <si>
    <t>C 정산계</t>
  </si>
  <si>
    <t>비고</t>
  </si>
  <si>
    <t>품목관리코드</t>
  </si>
  <si>
    <t>품목명</t>
  </si>
  <si>
    <t>정상</t>
  </si>
  <si>
    <t>픽키파크 정산</t>
  </si>
  <si>
    <t>-</t>
  </si>
  <si>
    <t>우프 정산</t>
  </si>
  <si>
    <t xml:space="preserve">우프에서 B의 합 (우프 정산+실비 합계) 만큼 세금계산서를 발행 하고, C 정산계 만큼 대금을 입금해요. </t>
  </si>
  <si>
    <t>실비용 정산</t>
  </si>
  <si>
    <t>픽키파크에서 A 매출을 기타매출로 신고 하시면 됩니다.</t>
  </si>
  <si>
    <t>[실비 : 운임/물류]</t>
  </si>
  <si>
    <t>물류 실비 산정</t>
  </si>
  <si>
    <t>수량(출고건수)</t>
  </si>
  <si>
    <t>피킹/패킹/부자재</t>
  </si>
  <si>
    <t>총계</t>
  </si>
  <si>
    <t>*퀵/용달 등 별도 운송비 발생시에는 개별기재합니다.</t>
  </si>
  <si>
    <t>vat별도</t>
  </si>
  <si>
    <t>견적(원)</t>
  </si>
  <si>
    <t>단위</t>
  </si>
  <si>
    <t>3PL 
 단가표</t>
  </si>
  <si>
    <t>보관료</t>
  </si>
  <si>
    <t>월/평당</t>
  </si>
  <si>
    <t>입고비용</t>
  </si>
  <si>
    <t>건</t>
  </si>
  <si>
    <t>택배운임비</t>
  </si>
  <si>
    <t>로젠택배(소형)</t>
  </si>
  <si>
    <t>로젠택배(중형이상)</t>
  </si>
  <si>
    <t>추가운임(제주도서산간)</t>
  </si>
  <si>
    <t>3,000~4,000</t>
  </si>
  <si>
    <t>지역HUB별 상이</t>
  </si>
  <si>
    <t>[메모/특이사항]</t>
  </si>
  <si>
    <t>재고이동(오프라인 위탁진열/ 판매시 정산)</t>
  </si>
  <si>
    <t>비매출: 협찬, 진열품, 샘플 등의 무상사용</t>
  </si>
  <si>
    <t>세금계산서는 정산 월 기준 익익월 10일에 발행 예정입니다.</t>
  </si>
  <si>
    <t>정산금액은 정산 월 기준 익월 15일 이내 입금 예정이며 정산금액 활용안 협의에 따라 변경될 수 있습니다.</t>
  </si>
  <si>
    <t>불용이슈: 패키지 손상/파손</t>
  </si>
  <si>
    <t>정산기간 2026 1/1 - 1/31</t>
  </si>
  <si>
    <t>wooof-B2C</t>
  </si>
  <si>
    <t>집계기준: 배송완료일</t>
  </si>
  <si>
    <t>정가합계</t>
  </si>
  <si>
    <t>배송비합계</t>
  </si>
  <si>
    <t>할인합계</t>
  </si>
  <si>
    <t>최종결제합계</t>
  </si>
  <si>
    <t>공제(%)</t>
  </si>
  <si>
    <t>공제(원)</t>
  </si>
  <si>
    <t>정산형태</t>
  </si>
  <si>
    <t>합계</t>
  </si>
  <si>
    <t>우프</t>
  </si>
  <si>
    <t>wooof-B2B</t>
  </si>
  <si>
    <t>coupang</t>
  </si>
  <si>
    <t>집계기준: 쿠팡 입고명세서일자 기준</t>
  </si>
  <si>
    <t>쿠팡배송</t>
  </si>
  <si>
    <t>품목별상이</t>
  </si>
  <si>
    <t>smartstore</t>
  </si>
  <si>
    <t>집계기준: 네이버 계산서발행 일자 기준</t>
  </si>
  <si>
    <t>네이버기준</t>
  </si>
  <si>
    <t>kurly</t>
  </si>
  <si>
    <t>컬리배송</t>
  </si>
  <si>
    <t>sparkpet</t>
  </si>
  <si>
    <t>집계기준: 월 정산서 기준</t>
  </si>
  <si>
    <t>자체배송</t>
  </si>
  <si>
    <t>픽키파크</t>
  </si>
  <si>
    <t>몽슈슈</t>
  </si>
  <si>
    <t>매장위탁판매</t>
  </si>
  <si>
    <t>VAT 포함</t>
  </si>
  <si>
    <t>소비자정가합계</t>
  </si>
  <si>
    <t>소비자 정상가 기준 판매 합계</t>
  </si>
  <si>
    <t xml:space="preserve">프로모션할인 / 대량구매할인 / 사업자할인 / 대리점할인 / 매입거래시 공급가할인 / 행사 할인 / 그 외 고객 혜택 할인 포함 </t>
  </si>
  <si>
    <t>최종결제액 합계</t>
  </si>
  <si>
    <t>공제합계</t>
  </si>
  <si>
    <t>거래수수료 / 카드사 등 결제 PG 수수료 / Npay 수수료 / 연동수수료 등</t>
  </si>
  <si>
    <t>최종결제액 합계 - 공제합계 = 정산합계</t>
  </si>
  <si>
    <t>카페24-우프</t>
  </si>
  <si>
    <t>배송완료 기준</t>
  </si>
  <si>
    <t>순번</t>
  </si>
  <si>
    <t xml:space="preserve">제품 </t>
  </si>
  <si>
    <t>판매수량</t>
  </si>
  <si>
    <t>정가</t>
  </si>
  <si>
    <t>고객배송비</t>
  </si>
  <si>
    <t>할인(%)</t>
  </si>
  <si>
    <t>할인(원)</t>
  </si>
  <si>
    <t>수수료(%)</t>
  </si>
  <si>
    <t>수수료(원)</t>
  </si>
  <si>
    <t>(5개입) 픽키도기클럽 필바이츠 강아지 약먹이기 투약보조간식 필포켓 약급여 투약간식 45g, 1개</t>
  </si>
  <si>
    <t>(1박스/20개입) 픽키도기클럽 필바이츠 180g 필포켓 강아지 약먹이기 투약보조제 투약보조간식</t>
  </si>
  <si>
    <t>단순출고</t>
  </si>
  <si>
    <t>(5팩/25개)  픽키도기클럽 필바이츠 강아지 약먹이기 투약보조간식 필포켓 약급여 투약간식 45g, 5개</t>
  </si>
  <si>
    <t>카페24-B2B</t>
  </si>
  <si>
    <t>품목 구성</t>
  </si>
  <si>
    <t>픽키도기클럽 필바이츠 45g (5개입) 강아지 약먹이기 투약보조제 투약보조간식</t>
  </si>
  <si>
    <t>픽키도기클럽 필바이츠 180g (20개입) 강아지 약먹이기 투약보조제 투약보조간식</t>
  </si>
  <si>
    <t>쿠팡</t>
  </si>
  <si>
    <t>월별 입고명세서 기준</t>
  </si>
  <si>
    <t>발주수량</t>
  </si>
  <si>
    <t>총단가</t>
  </si>
  <si>
    <t>총판매가</t>
  </si>
  <si>
    <t>픽키도기클럽 필바이츠 45g (5개입) 강아지 약먹이기 투약보조제 투약보조간식 45g  1개 혼합맛</t>
  </si>
  <si>
    <t>픽키도기클럽 필바이츠 45g (5개입) 강아지 약먹이기 투약보조제 투약보조간식 45g  3개 혼합맛</t>
  </si>
  <si>
    <t>픽키도기클럽 필바이츠 45g (5개입) 강아지 약먹이기 투약보조제 투약보조간식 45g  5개 혼합맛</t>
  </si>
  <si>
    <t>X</t>
  </si>
  <si>
    <t>스마트스토어</t>
  </si>
  <si>
    <t>구매확정 기준</t>
  </si>
  <si>
    <t>(3팩/15개)  픽키도기클럽 필바이츠 강아지 약먹이기 투약보조간식 필포켓 약급여 투약간식 45g, 3개</t>
  </si>
  <si>
    <t>판매정산서기준</t>
  </si>
  <si>
    <t>마켓컬리</t>
  </si>
  <si>
    <t>[픽키도기클럽] 필바이츠 강아지 투약 보조 간식 (45g) (단품)</t>
  </si>
  <si>
    <t>스파크펫</t>
  </si>
  <si>
    <t>월별정산서 기준</t>
  </si>
  <si>
    <t>픽키도기클럽 필바이츠 45g</t>
  </si>
  <si>
    <t>1월부터 적용</t>
  </si>
  <si>
    <t>판매내역 없음</t>
  </si>
  <si>
    <t>총 판매수량</t>
  </si>
  <si>
    <t>판매매출합계</t>
  </si>
  <si>
    <t>일자</t>
  </si>
  <si>
    <t>배송완료일자</t>
  </si>
  <si>
    <t>공급사</t>
  </si>
  <si>
    <t>주문자명</t>
  </si>
  <si>
    <t>채널연동</t>
  </si>
  <si>
    <t>주문번호</t>
  </si>
  <si>
    <t>품목번호</t>
  </si>
  <si>
    <t>구분</t>
  </si>
  <si>
    <t>상품명</t>
  </si>
  <si>
    <t>수량</t>
  </si>
  <si>
    <t>판매가</t>
  </si>
  <si>
    <t>배송비</t>
  </si>
  <si>
    <t>전지원</t>
  </si>
  <si>
    <t>주문자</t>
  </si>
  <si>
    <t>번호</t>
  </si>
  <si>
    <t>SKU번호</t>
  </si>
  <si>
    <t>SKU명</t>
  </si>
  <si>
    <t>입고/반출시각</t>
  </si>
  <si>
    <t>물류센터</t>
  </si>
  <si>
    <t>세금타입</t>
  </si>
  <si>
    <t>단가</t>
  </si>
  <si>
    <t>공급가액</t>
  </si>
  <si>
    <t>세액</t>
  </si>
  <si>
    <t>총공급가액</t>
  </si>
  <si>
    <t>총세액</t>
  </si>
  <si>
    <t>계산서번호</t>
  </si>
  <si>
    <t>발주</t>
  </si>
  <si>
    <t>63097195</t>
  </si>
  <si>
    <t>과세</t>
  </si>
  <si>
    <t>63097196</t>
  </si>
  <si>
    <t>DAE3</t>
  </si>
  <si>
    <t>INC36</t>
  </si>
  <si>
    <t>상품주문번호</t>
  </si>
  <si>
    <t>구매자명</t>
  </si>
  <si>
    <t>정산예정일</t>
  </si>
  <si>
    <t>정산완료일</t>
  </si>
  <si>
    <t>정산기준일</t>
  </si>
  <si>
    <t>세금신고기준일</t>
  </si>
  <si>
    <t>정산상태</t>
  </si>
  <si>
    <t>상품주문</t>
  </si>
  <si>
    <t>대표주문번호</t>
  </si>
  <si>
    <t>운송장번호</t>
  </si>
  <si>
    <t/>
  </si>
  <si>
    <t>거래일</t>
  </si>
  <si>
    <t>할인율</t>
  </si>
  <si>
    <t>적용단가</t>
  </si>
  <si>
    <t>SP09173</t>
  </si>
  <si>
    <t>=======이하여백=======</t>
  </si>
  <si>
    <t>입출고일자</t>
  </si>
  <si>
    <t>입력일자</t>
  </si>
  <si>
    <t>공급처명</t>
  </si>
  <si>
    <t>바코드번호</t>
  </si>
  <si>
    <t>옵션내용</t>
  </si>
  <si>
    <t>상품코드</t>
  </si>
  <si>
    <t>원가</t>
  </si>
  <si>
    <t>입고수량</t>
  </si>
  <si>
    <t>입고금액</t>
  </si>
  <si>
    <t>출고수량</t>
  </si>
  <si>
    <t>출고금액</t>
  </si>
  <si>
    <t>재고작업구분</t>
  </si>
  <si>
    <t>입출고구분</t>
  </si>
  <si>
    <t>픽키도기클럽</t>
  </si>
  <si>
    <t>단일상품</t>
  </si>
  <si>
    <t>발송및출고</t>
  </si>
  <si>
    <t>브랜드</t>
    <phoneticPr fontId="24" type="noConversion"/>
  </si>
  <si>
    <t>픽키도기클럽</t>
    <phoneticPr fontId="24" type="noConversion"/>
  </si>
  <si>
    <t>정상가</t>
    <phoneticPr fontId="24" type="noConversion"/>
  </si>
  <si>
    <t>공급가</t>
    <phoneticPr fontId="24" type="noConversion"/>
  </si>
  <si>
    <t>공급가합</t>
    <phoneticPr fontId="24" type="noConversion"/>
  </si>
  <si>
    <t>할인가</t>
    <phoneticPr fontId="24" type="noConversion"/>
  </si>
  <si>
    <t>판매합계</t>
    <phoneticPr fontId="24" type="noConversion"/>
  </si>
  <si>
    <t>INC30</t>
  </si>
  <si>
    <t>DON1</t>
  </si>
  <si>
    <t>판매구분</t>
    <phoneticPr fontId="31" type="noConversion"/>
  </si>
  <si>
    <t>청구구분</t>
    <phoneticPr fontId="31" type="noConversion"/>
  </si>
  <si>
    <t>판매</t>
    <phoneticPr fontId="31" type="noConversion"/>
  </si>
  <si>
    <t>청구</t>
    <phoneticPr fontId="31" type="noConversion"/>
  </si>
  <si>
    <t>순번</t>
    <phoneticPr fontId="31" type="noConversion"/>
  </si>
  <si>
    <t xml:space="preserve">제품 </t>
    <phoneticPr fontId="31" type="noConversion"/>
  </si>
  <si>
    <t>상품코드</t>
    <phoneticPr fontId="31" type="noConversion"/>
  </si>
  <si>
    <t>재고</t>
    <phoneticPr fontId="31" type="noConversion"/>
  </si>
  <si>
    <t>입고</t>
    <phoneticPr fontId="31" type="noConversion"/>
  </si>
  <si>
    <t>반송</t>
    <phoneticPr fontId="31" type="noConversion"/>
  </si>
  <si>
    <t>월말재고</t>
    <phoneticPr fontId="31" type="noConversion"/>
  </si>
  <si>
    <t>판매합계</t>
    <phoneticPr fontId="31" type="noConversion"/>
  </si>
  <si>
    <t>Pill Bites</t>
    <phoneticPr fontId="31" type="noConversion"/>
  </si>
  <si>
    <t>FO25PB</t>
    <phoneticPr fontId="31" type="noConversion"/>
  </si>
  <si>
    <t>공급가</t>
    <phoneticPr fontId="31" type="noConversion"/>
  </si>
  <si>
    <t>정가합계</t>
    <phoneticPr fontId="24" type="noConversion"/>
  </si>
  <si>
    <t>정가</t>
    <phoneticPr fontId="24" type="noConversion"/>
  </si>
  <si>
    <t>수수료</t>
    <phoneticPr fontId="24" type="noConversion"/>
  </si>
  <si>
    <t>계약상 공급가격</t>
    <phoneticPr fontId="24" type="noConversion"/>
  </si>
  <si>
    <t>공급가(vat+)</t>
    <phoneticPr fontId="24" type="noConversion"/>
  </si>
  <si>
    <t>정가합</t>
    <phoneticPr fontId="24" type="noConversion"/>
  </si>
  <si>
    <t>공제(%)</t>
    <phoneticPr fontId="24" type="noConversion"/>
  </si>
  <si>
    <t>자사몰 (현재 최대한 스마트스토어 쪽으로 매출 발생)</t>
    <phoneticPr fontId="24" type="noConversion"/>
  </si>
  <si>
    <t>수수료율</t>
  </si>
  <si>
    <t>픽키파크</t>
    <phoneticPr fontId="24" type="noConversion"/>
  </si>
  <si>
    <t>물류솔루션</t>
    <phoneticPr fontId="24" type="noConversion"/>
  </si>
  <si>
    <t>월별</t>
    <phoneticPr fontId="24" type="noConversion"/>
  </si>
  <si>
    <t>박스 및 물류 부자재 / 피킹작업 / 건별 패킹작업 /반품회수 및 양품화 / 송장처리 / 쿠팡 등 송장부착 / 명세서 및 쉬핑라벨 문서처리</t>
    <phoneticPr fontId="24" type="noConversion"/>
  </si>
  <si>
    <t>직접 픽키파크로 업체가 발행 후, 해당 업체에서 픽키파크 계좌로 직접 대금 지급되는 건입니다.</t>
    <phoneticPr fontId="24" type="noConversion"/>
  </si>
  <si>
    <t>*입고비용 및 보관비용은 현재 입출고 건수가 작아 청구에 포함하지 않으며, 운송실비(당사가 3PL 지불하는 택배사운임비 +물류사용비) 청구기준만 기재합니다.</t>
    <phoneticPr fontId="24" type="noConversion"/>
  </si>
  <si>
    <t>합계</t>
    <phoneticPr fontId="24" type="noConversion"/>
  </si>
  <si>
    <t>배송비</t>
    <phoneticPr fontId="24" type="noConversion"/>
  </si>
  <si>
    <t>지급일</t>
  </si>
  <si>
    <t>일반정산</t>
  </si>
  <si>
    <t>입출고구분2</t>
    <phoneticPr fontId="24" type="noConversion"/>
  </si>
  <si>
    <t>발송일시</t>
  </si>
  <si>
    <t>받는사람 이름</t>
  </si>
  <si>
    <t>받는사람 전화번호</t>
  </si>
  <si>
    <t>받는사람 주소</t>
  </si>
  <si>
    <t>받는사람 상세주소</t>
  </si>
  <si>
    <t>배송메시지</t>
  </si>
  <si>
    <t>통합상품명(출력용)</t>
  </si>
  <si>
    <t>배송현황</t>
  </si>
  <si>
    <t>반품</t>
    <phoneticPr fontId="31" type="noConversion"/>
  </si>
  <si>
    <t>직접발행 (정산서 전달)</t>
    <phoneticPr fontId="24" type="noConversion"/>
  </si>
  <si>
    <t xml:space="preserve"> 직접발행 (정산서 전달)</t>
    <phoneticPr fontId="24" type="noConversion"/>
  </si>
  <si>
    <t>집계기준: 최종매출기준</t>
    <phoneticPr fontId="24" type="noConversion"/>
  </si>
  <si>
    <t>No.</t>
  </si>
  <si>
    <t>결제수량</t>
  </si>
  <si>
    <t>총결제액</t>
  </si>
  <si>
    <t>현장판매</t>
    <phoneticPr fontId="24" type="noConversion"/>
  </si>
  <si>
    <t>쿠팡 수수료만 공제 / 우프마진 없이 그대로 정산</t>
    <phoneticPr fontId="24" type="noConversion"/>
  </si>
  <si>
    <t>몽슈슈 수수료만 공제 / 우프 마진 없이 그대로 정산</t>
    <phoneticPr fontId="24" type="noConversion"/>
  </si>
  <si>
    <t>집계기준: 컬리 계산서 발행 일자 기준</t>
    <phoneticPr fontId="24" type="noConversion"/>
  </si>
  <si>
    <t>집계기준: 월 정산서 기준</t>
    <phoneticPr fontId="24" type="noConversion"/>
  </si>
  <si>
    <t>대리점 역할의 사업자몰 / (병원,오프라인, 대리점) 거래처별 공급가 상이 / 우프(PG수수료)만 공제 후 전체입금</t>
    <phoneticPr fontId="24" type="noConversion"/>
  </si>
  <si>
    <t>우프(PG수수료)만 공제 후 전체입금</t>
    <phoneticPr fontId="24" type="noConversion"/>
  </si>
  <si>
    <t>정산합계(우프)</t>
    <phoneticPr fontId="24" type="noConversion"/>
  </si>
  <si>
    <t>정산합계(픽키파크)</t>
    <phoneticPr fontId="24" type="noConversion"/>
  </si>
  <si>
    <t>청구제외 / 한시적 무상제공</t>
    <phoneticPr fontId="24" type="noConversion"/>
  </si>
  <si>
    <t>비고</t>
    <phoneticPr fontId="24" type="noConversion"/>
  </si>
  <si>
    <t>정산금합계</t>
    <phoneticPr fontId="24" type="noConversion"/>
  </si>
  <si>
    <t>총판매</t>
    <phoneticPr fontId="24" type="noConversion"/>
  </si>
  <si>
    <t>정가기준</t>
    <phoneticPr fontId="24" type="noConversion"/>
  </si>
  <si>
    <t>위탁수수료</t>
  </si>
  <si>
    <t>정산금액</t>
  </si>
  <si>
    <t>판매 수량</t>
  </si>
  <si>
    <t>판매 합계 금액</t>
  </si>
  <si>
    <t>반품 합계 금액</t>
  </si>
  <si>
    <t>업체명</t>
  </si>
  <si>
    <t>정산 대상 금액</t>
  </si>
  <si>
    <t>반품 수량</t>
  </si>
  <si>
    <t>정산 대상 수량</t>
  </si>
  <si>
    <t>정산 합계 금액</t>
  </si>
  <si>
    <t>총 출고건</t>
    <phoneticPr fontId="24" type="noConversion"/>
  </si>
  <si>
    <t>부자재</t>
    <phoneticPr fontId="24" type="noConversion"/>
  </si>
  <si>
    <t>부가세포함가</t>
    <phoneticPr fontId="24" type="noConversion"/>
  </si>
  <si>
    <t>본사출고</t>
    <phoneticPr fontId="24" type="noConversion"/>
  </si>
  <si>
    <t>부자재(박스)</t>
    <phoneticPr fontId="24" type="noConversion"/>
  </si>
  <si>
    <t>건</t>
    <phoneticPr fontId="24" type="noConversion"/>
  </si>
  <si>
    <t>본사출고시 보관료/입고비/물류솔루션비 등 없음</t>
    <phoneticPr fontId="24" type="noConversion"/>
  </si>
  <si>
    <t>물류사용비</t>
    <phoneticPr fontId="24" type="noConversion"/>
  </si>
  <si>
    <t>필바이츠 45g 반려견 투약보조간식 비건 고구마 피넛버터 (5개입)</t>
  </si>
  <si>
    <t>일련번호</t>
  </si>
  <si>
    <t>공급처전화번호</t>
  </si>
  <si>
    <t>판매단가</t>
  </si>
  <si>
    <t>판매금액</t>
  </si>
  <si>
    <t>상품위치</t>
  </si>
  <si>
    <t>작업자id</t>
  </si>
  <si>
    <t>필바이츠 45g 반려견 투약보조간식 치킨 (5개입)</t>
  </si>
  <si>
    <t>wooof_korea</t>
  </si>
  <si>
    <t>필바이츠 180g 반려견 투약보조간식 치킨 (20개입/상자형)</t>
  </si>
  <si>
    <t>wooof2023</t>
  </si>
  <si>
    <r>
      <t>작업자</t>
    </r>
    <r>
      <rPr>
        <sz val="6"/>
        <color theme="1"/>
        <rFont val="Aptos Narrow"/>
        <charset val="1"/>
        <scheme val="minor"/>
      </rPr>
      <t>id</t>
    </r>
  </si>
  <si>
    <t>용달/퀵</t>
    <phoneticPr fontId="24" type="noConversion"/>
  </si>
  <si>
    <t>주문일자</t>
  </si>
  <si>
    <t>출발지</t>
  </si>
  <si>
    <t>출발동</t>
  </si>
  <si>
    <t>도착지</t>
  </si>
  <si>
    <t>도착동</t>
  </si>
  <si>
    <t>차량</t>
  </si>
  <si>
    <t>요금</t>
  </si>
  <si>
    <t>운임비</t>
    <phoneticPr fontId="24" type="noConversion"/>
  </si>
  <si>
    <r>
      <t xml:space="preserve">3PL </t>
    </r>
    <r>
      <rPr>
        <sz val="8"/>
        <color rgb="FF000000"/>
        <rFont val="Malgun Gothic"/>
        <family val="2"/>
        <charset val="129"/>
      </rPr>
      <t>출고</t>
    </r>
    <r>
      <rPr>
        <sz val="8"/>
        <color rgb="FF000000"/>
        <rFont val="&quot;맑은 고딕&quot;"/>
        <charset val="129"/>
      </rPr>
      <t xml:space="preserve"> (택배)</t>
    </r>
    <phoneticPr fontId="24" type="noConversion"/>
  </si>
  <si>
    <r>
      <rPr>
        <sz val="8"/>
        <color rgb="FF000000"/>
        <rFont val="Malgun Gothic"/>
        <family val="2"/>
        <charset val="129"/>
      </rPr>
      <t>본사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Malgun Gothic"/>
        <family val="2"/>
        <charset val="129"/>
      </rPr>
      <t>출고</t>
    </r>
    <r>
      <rPr>
        <sz val="8"/>
        <color rgb="FF000000"/>
        <rFont val="&quot;맑은 고딕&quot;"/>
        <charset val="129"/>
      </rPr>
      <t xml:space="preserve"> (택배_</t>
    </r>
    <phoneticPr fontId="24" type="noConversion"/>
  </si>
  <si>
    <t>부가세</t>
    <phoneticPr fontId="24" type="noConversion"/>
  </si>
  <si>
    <t>우프(B2B)</t>
  </si>
  <si>
    <t>테일릿(대리점)</t>
    <phoneticPr fontId="24" type="noConversion"/>
  </si>
  <si>
    <t>KKW3</t>
  </si>
  <si>
    <t xml:space="preserve">팝업 </t>
    <phoneticPr fontId="24" type="noConversion"/>
  </si>
  <si>
    <t>류세현</t>
  </si>
  <si>
    <t>2026.05.04</t>
  </si>
  <si>
    <t>판매가합계</t>
    <phoneticPr fontId="24" type="noConversion"/>
  </si>
  <si>
    <t>정산기준금액</t>
    <phoneticPr fontId="24" type="noConversion"/>
  </si>
  <si>
    <t>대리점 공급가 그대로 정산 (우프마진공제 없음) / 대리점이라 공급마진52%할인가로 공급- 100개미만</t>
    <phoneticPr fontId="24" type="noConversion"/>
  </si>
  <si>
    <t>소비자정가합계 - 할인합계 제외 + 배송비 결제액의 합계 (정산 수수료의 기준이 되는 금액 &gt;&gt; 배송비 포함 )</t>
    <phoneticPr fontId="24" type="noConversion"/>
  </si>
  <si>
    <t>2026-05-29 오후 12:32:49</t>
  </si>
  <si>
    <t>2026-05-29 오후 12:03:24</t>
  </si>
  <si>
    <t>2026-05-29 오후 12:03:21</t>
  </si>
  <si>
    <t>2026-05-29 오후 12:03:16</t>
  </si>
  <si>
    <t>2026-05-29 오후 12:03:12</t>
  </si>
  <si>
    <t>2026-05-29 오후 12:03:08</t>
  </si>
  <si>
    <t>2026-05-29 오후 12:03:04</t>
  </si>
  <si>
    <t>2026-05-29 오후 12:03:01</t>
  </si>
  <si>
    <t>2026-05-29 오후 12:02:58</t>
  </si>
  <si>
    <t>2026-05-29 오후 12:02:54</t>
  </si>
  <si>
    <t>2026-05-29 오후 12:02:51</t>
  </si>
  <si>
    <t>2026-05-29 오후 12:02:48</t>
  </si>
  <si>
    <t>2026-05-29 오후 12:02:45</t>
  </si>
  <si>
    <t>2026-05-29 오후 12:02:41</t>
  </si>
  <si>
    <t>2026-05-29 오후 12:02:38</t>
  </si>
  <si>
    <t>2026-05-29 오후 12:02:35</t>
  </si>
  <si>
    <t>2026-05-29 오후 12:02:32</t>
  </si>
  <si>
    <t>2026-05-29 오후 12:02:29</t>
  </si>
  <si>
    <t>2026-05-29 오후 12:02:23</t>
  </si>
  <si>
    <t>2026-05-29 오후 12:02:19</t>
  </si>
  <si>
    <t>2026-05-29 오후 12:02:16</t>
  </si>
  <si>
    <t>2026-05-29 오후 12:02:13</t>
  </si>
  <si>
    <t>2026-05-29 오후 12:02:11</t>
  </si>
  <si>
    <t>2026-05-29 오후 12:02:07</t>
  </si>
  <si>
    <t>2026-05-29 오후 12:02:02</t>
  </si>
  <si>
    <t>2026-05-29 오후 12:01:59</t>
  </si>
  <si>
    <t>2026-05-29 오후 12:01:56</t>
  </si>
  <si>
    <t>2026-05-29 오후 12:01:53</t>
  </si>
  <si>
    <t>2026-05-29 오후 12:01:49</t>
  </si>
  <si>
    <t>2026-05-29 오후 12:01:45</t>
  </si>
  <si>
    <t>2026-05-29 오후 12:01:40</t>
  </si>
  <si>
    <t>2026-05-28 오후 2:40:19</t>
  </si>
  <si>
    <t>2026-05-28 오후 2:37:24</t>
  </si>
  <si>
    <t>2026-05-28 오후 2:37:08</t>
  </si>
  <si>
    <t>2026-05-28 오후 2:06:57</t>
  </si>
  <si>
    <t>2026-05-28 오후 2:05:28</t>
  </si>
  <si>
    <t>2026-05-28 오후 2:04:51</t>
  </si>
  <si>
    <t>2026-05-27 오후 2:44:53</t>
  </si>
  <si>
    <t>2026-05-27 오후 2:44:47</t>
  </si>
  <si>
    <t>2026-05-26 오전 10:24:24</t>
  </si>
  <si>
    <t>2026-05-26 오전 10:24:20</t>
  </si>
  <si>
    <t>2026-05-26 오전 10:24:16</t>
  </si>
  <si>
    <t>2026-05-26 오전 10:24:14</t>
  </si>
  <si>
    <t>2026-05-26 오전 10:24:10</t>
  </si>
  <si>
    <t>2026-05-26 오전 10:24:07</t>
  </si>
  <si>
    <t>2026-05-26 오전 10:24:05</t>
  </si>
  <si>
    <t>2026-05-26 오전 10:24:01</t>
  </si>
  <si>
    <t>2026-05-26 오전 10:22:48</t>
  </si>
  <si>
    <t>2026-05-26 오전 10:22:06</t>
  </si>
  <si>
    <t>2026-05-26 오전 10:21:41</t>
  </si>
  <si>
    <t>2026-05-26 오전 10:21:26</t>
  </si>
  <si>
    <t>2026-05-22 오후 3:51:01</t>
  </si>
  <si>
    <t>2026-05-22 오후 3:49:22</t>
  </si>
  <si>
    <t>2026-05-22 오후 3:32:32</t>
  </si>
  <si>
    <t>발송취소</t>
  </si>
  <si>
    <t>2026-05-22 오후 3:24:17</t>
  </si>
  <si>
    <t>2026-05-22 오후 3:12:20</t>
  </si>
  <si>
    <t>2026-05-22 오후 3:12:14</t>
  </si>
  <si>
    <t>2026-05-22 오후 3:11:51</t>
  </si>
  <si>
    <t>2026-05-22 오후 3:11:44</t>
  </si>
  <si>
    <t>2026-05-22 오후 3:11:41</t>
  </si>
  <si>
    <t>2026-05-22 오전 10:36:44</t>
  </si>
  <si>
    <t>2026-05-21 오후 3:08:47</t>
  </si>
  <si>
    <t>2026-05-21 오후 3:08:39</t>
  </si>
  <si>
    <t>2026-05-21 오후 3:08:34</t>
  </si>
  <si>
    <t>2026-05-21 오전 10:32:04</t>
  </si>
  <si>
    <t>2026-05-21 오전 10:32:00</t>
  </si>
  <si>
    <t>2026-05-21 오전 10:31:57</t>
  </si>
  <si>
    <t>2026-05-21 오전 10:27:50</t>
  </si>
  <si>
    <t>2026-05-21 오전 10:27:25</t>
  </si>
  <si>
    <t>2026-05-20 오후 2:15:28</t>
  </si>
  <si>
    <t>2026-05-20 오후 2:15:14</t>
  </si>
  <si>
    <t>2026-05-20 오전 10:54:03</t>
  </si>
  <si>
    <t>2026-05-20 오전 10:53:59</t>
  </si>
  <si>
    <t>2026-05-20 오전 10:53:42</t>
  </si>
  <si>
    <t>2026-05-19 오후 3:06:23</t>
  </si>
  <si>
    <t>2026-05-19 오후 3:05:58</t>
  </si>
  <si>
    <t>2026-05-19 오전 9:21:50</t>
  </si>
  <si>
    <t>2026-05-18 오후 2:57:59</t>
  </si>
  <si>
    <t>필바이츠 비건(고구마) 180g (20개입)</t>
  </si>
  <si>
    <t>2026-05-18 오후 2:54:35</t>
  </si>
  <si>
    <t>2026-05-18 오후 2:53:04</t>
  </si>
  <si>
    <t>2026-05-18 오전 9:46:30</t>
  </si>
  <si>
    <t>2026-05-18 오전 9:38:32</t>
  </si>
  <si>
    <t>2026-05-18 오전 9:34:18</t>
  </si>
  <si>
    <t>2026-05-18 오전 9:34:12</t>
  </si>
  <si>
    <t>2026-05-18 오전 9:34:08</t>
  </si>
  <si>
    <t>2026-05-18 오전 9:34:04</t>
  </si>
  <si>
    <t>2026-05-18 오전 9:34:00</t>
  </si>
  <si>
    <t>2026-05-18 오전 9:33:55</t>
  </si>
  <si>
    <t>2026-05-18 오전 9:33:33</t>
  </si>
  <si>
    <t>2026-05-15 오후 2:55:20</t>
  </si>
  <si>
    <t>2026-05-15 오후 2:55:16</t>
  </si>
  <si>
    <t>2026-05-15 오후 2:55:13</t>
  </si>
  <si>
    <t>2026-05-15 오전 11:34:58</t>
  </si>
  <si>
    <t>2026-05-15 오전 11:34:26</t>
  </si>
  <si>
    <t>2026-05-15 오전 9:16:45</t>
  </si>
  <si>
    <t>2026-05-15 오전 9:15:36</t>
  </si>
  <si>
    <t>2026-05-14 오후 2:49:03</t>
  </si>
  <si>
    <t>2026-05-14 오후 2:43:44</t>
  </si>
  <si>
    <t>2026-05-14 오후 2:43:26</t>
  </si>
  <si>
    <t>2026-05-14 오후 1:46:07</t>
  </si>
  <si>
    <t>2026-05-14 오후 1:45:30</t>
  </si>
  <si>
    <t>2026-05-14 오전 9:54:03</t>
  </si>
  <si>
    <t>2026-05-14 오전 9:46:34</t>
  </si>
  <si>
    <t>2026-05-14 오전 9:46:32</t>
  </si>
  <si>
    <t>2026-05-14 오전 9:46:29</t>
  </si>
  <si>
    <t>2026-05-14 오전 9:46:27</t>
  </si>
  <si>
    <t>2026-05-14 오전 9:46:24</t>
  </si>
  <si>
    <t>2026-05-14 오전 9:46:21</t>
  </si>
  <si>
    <t>2026-05-14 오전 9:45:54</t>
  </si>
  <si>
    <t>2026-05-14 오전 9:45:51</t>
  </si>
  <si>
    <t>2026-05-14 오전 9:45:49</t>
  </si>
  <si>
    <t>2026-05-14 오전 9:45:34</t>
  </si>
  <si>
    <t>2026-05-13 오후 4:19:13</t>
  </si>
  <si>
    <t>2026-05-13 오후 4:18:47</t>
  </si>
  <si>
    <t>2026-05-13 오후 4:17:14</t>
  </si>
  <si>
    <t>2026-05-13 오후 4:17:05</t>
  </si>
  <si>
    <t>2026-05-13 오후 4:17:02</t>
  </si>
  <si>
    <t>2026-05-13 오후 1:55:47</t>
  </si>
  <si>
    <t>2026-05-13 오후 1:55:25</t>
  </si>
  <si>
    <t>2026-05-13 오후 1:55:22</t>
  </si>
  <si>
    <t>2026-05-13 오후 1:54:40</t>
  </si>
  <si>
    <t>2026-05-13 오후 1:54:30</t>
  </si>
  <si>
    <t>2026-05-13 오후 1:54:15</t>
  </si>
  <si>
    <t>2026-05-13 오후 1:54:10</t>
  </si>
  <si>
    <t>2026-05-13 오후 12:35:38</t>
  </si>
  <si>
    <t>2026-05-12 오전 10:39:57</t>
  </si>
  <si>
    <t>2026-05-11 오후 3:42:25</t>
  </si>
  <si>
    <t>2026-05-11 오후 3:19:33</t>
  </si>
  <si>
    <t>2026-05-11 오후 3:16:51</t>
  </si>
  <si>
    <t>2026-05-11 오전 9:11:26</t>
  </si>
  <si>
    <t>2026-05-11 오전 9:11:20</t>
  </si>
  <si>
    <t>2026-05-08 오후 3:26:04</t>
  </si>
  <si>
    <t>2026-05-07 오후 2:34:15</t>
  </si>
  <si>
    <t>2026-05-07 오후 2:31:14</t>
  </si>
  <si>
    <t>2026-05-07 오후 2:29:45</t>
  </si>
  <si>
    <t>2026-05-06 오후 4:04:46</t>
  </si>
  <si>
    <t>2026-05-06 오후 1:17:35</t>
  </si>
  <si>
    <t>2026-05-06 오후 1:17:32</t>
  </si>
  <si>
    <t>2026-05-06 오후 1:17:30</t>
  </si>
  <si>
    <t>2026-05-06 오후 1:17:27</t>
  </si>
  <si>
    <t>2026-05-06 오후 1:17:24</t>
  </si>
  <si>
    <t>2026-05-06 오후 1:17:22</t>
  </si>
  <si>
    <t>2026-05-06 오후 1:17:19</t>
  </si>
  <si>
    <t>2026-05-06 오후 1:17:17</t>
  </si>
  <si>
    <t>2026-05-06 오후 1:17:13</t>
  </si>
  <si>
    <t>2026-05-06 오후 1:17:10</t>
  </si>
  <si>
    <t>2026-05-06 오후 1:17:07</t>
  </si>
  <si>
    <t>2026-05-06 오후 1:17:04</t>
  </si>
  <si>
    <t>2026-05-06 오후 1:13:11</t>
  </si>
  <si>
    <t>2026-05-04 오후 4:20:33</t>
  </si>
  <si>
    <t>2026-05-04 오후 4:20:07</t>
  </si>
  <si>
    <t>2026-05-04 오후 4:18:32</t>
  </si>
  <si>
    <t>2026-05-04 오후 4:18:20</t>
  </si>
  <si>
    <t>2026-05-04 오후 4:17:54</t>
  </si>
  <si>
    <t>2026-05-04 오후 4:17:45</t>
  </si>
  <si>
    <t>송장번호(중복표기)</t>
    <phoneticPr fontId="31" type="noConversion"/>
  </si>
  <si>
    <t>추가박스수량(+)</t>
    <phoneticPr fontId="31" type="noConversion"/>
  </si>
  <si>
    <t>박스분류</t>
    <phoneticPr fontId="31" type="noConversion"/>
  </si>
  <si>
    <t>소</t>
    <phoneticPr fontId="31" type="noConversion"/>
  </si>
  <si>
    <t>대</t>
    <phoneticPr fontId="31" type="noConversion"/>
  </si>
  <si>
    <t>소형</t>
    <phoneticPr fontId="31" type="noConversion"/>
  </si>
  <si>
    <t>대형</t>
    <phoneticPr fontId="31" type="noConversion"/>
  </si>
  <si>
    <r>
      <t>총</t>
    </r>
    <r>
      <rPr>
        <b/>
        <sz val="11"/>
        <color theme="1"/>
        <rFont val="Aptos Narrow"/>
        <family val="2"/>
        <charset val="1"/>
        <scheme val="minor"/>
      </rPr>
      <t xml:space="preserve"> </t>
    </r>
    <r>
      <rPr>
        <b/>
        <sz val="11"/>
        <color theme="1"/>
        <rFont val="Aptos Narrow"/>
        <family val="2"/>
        <charset val="129"/>
        <scheme val="minor"/>
      </rPr>
      <t>출고</t>
    </r>
    <r>
      <rPr>
        <b/>
        <sz val="11"/>
        <color theme="1"/>
        <rFont val="Aptos Narrow"/>
        <family val="2"/>
        <charset val="1"/>
        <scheme val="minor"/>
      </rPr>
      <t>(</t>
    </r>
    <r>
      <rPr>
        <b/>
        <sz val="11"/>
        <color theme="1"/>
        <rFont val="Aptos Narrow"/>
        <family val="2"/>
        <charset val="129"/>
        <scheme val="minor"/>
      </rPr>
      <t>건</t>
    </r>
    <r>
      <rPr>
        <b/>
        <sz val="11"/>
        <color theme="1"/>
        <rFont val="Aptos Narrow"/>
        <family val="2"/>
        <charset val="1"/>
        <scheme val="minor"/>
      </rPr>
      <t>)</t>
    </r>
    <phoneticPr fontId="31" type="noConversion"/>
  </si>
  <si>
    <t>26년 5월 판매내역</t>
    <phoneticPr fontId="31" type="noConversion"/>
  </si>
  <si>
    <t xml:space="preserve">단가 </t>
    <phoneticPr fontId="31" type="noConversion"/>
  </si>
  <si>
    <t>필바이츠 치킨</t>
  </si>
  <si>
    <t>필바이츠 비건</t>
  </si>
  <si>
    <t>필바이츠 치킨20p</t>
  </si>
  <si>
    <t>2026043050361991</t>
  </si>
  <si>
    <t>2026043049917911</t>
  </si>
  <si>
    <t>2026043043941001</t>
  </si>
  <si>
    <t>2026050154959261</t>
  </si>
  <si>
    <t>2026050327265151</t>
  </si>
  <si>
    <t>LUZBEEBW962P</t>
  </si>
  <si>
    <t>2026050447844261</t>
  </si>
  <si>
    <t>2026050452803761</t>
  </si>
  <si>
    <t>6BPU9956K77Z</t>
  </si>
  <si>
    <t>7NEMJHBQFSMX</t>
  </si>
  <si>
    <t>FMVH8EHRYT36</t>
  </si>
  <si>
    <t>2026050563384051</t>
  </si>
  <si>
    <t>2026050628042011</t>
  </si>
  <si>
    <t>2026050740845371</t>
  </si>
  <si>
    <t>2026050756992101</t>
  </si>
  <si>
    <t>4F9FACG9MDAN</t>
  </si>
  <si>
    <t>2026050881255261</t>
  </si>
  <si>
    <t>AL2LX8DKFGDK</t>
  </si>
  <si>
    <t>2026050912434481</t>
  </si>
  <si>
    <t>2026050999617731</t>
  </si>
  <si>
    <t>BNADL69VZZNH</t>
  </si>
  <si>
    <t>TLGTPS7G8XZB</t>
  </si>
  <si>
    <t>2026051271096061</t>
  </si>
  <si>
    <t>E6Y7WU7J8FX7</t>
  </si>
  <si>
    <t>2026051320643761</t>
  </si>
  <si>
    <t>2026051332869441</t>
  </si>
  <si>
    <t>2026051460259841</t>
  </si>
  <si>
    <t>2026051440420931</t>
  </si>
  <si>
    <t>2026051577735661</t>
  </si>
  <si>
    <t>2026051573866111</t>
  </si>
  <si>
    <t>2PFQASWM3ZVT</t>
  </si>
  <si>
    <t>QXB82NFKD5VR</t>
  </si>
  <si>
    <t>2026051730222021</t>
  </si>
  <si>
    <t>2026051726840651</t>
  </si>
  <si>
    <t>E28TRC3KCFWU</t>
  </si>
  <si>
    <t>2026051998018301</t>
  </si>
  <si>
    <t>2026051988457771</t>
  </si>
  <si>
    <t>2026052037768781</t>
  </si>
  <si>
    <t>2026052146326281</t>
  </si>
  <si>
    <t>2026052142327011</t>
  </si>
  <si>
    <t>2026052271086431</t>
  </si>
  <si>
    <t>2026052289696361</t>
  </si>
  <si>
    <t>2026052270925131</t>
  </si>
  <si>
    <t>2026052289376251</t>
  </si>
  <si>
    <t>VLPR5UKVJG8R</t>
  </si>
  <si>
    <t>2026052321679941</t>
  </si>
  <si>
    <t>2026052321895801</t>
  </si>
  <si>
    <t>WLRRDJ4XDXN8</t>
  </si>
  <si>
    <t>2026052441378661</t>
  </si>
  <si>
    <t>2026052442367111</t>
  </si>
  <si>
    <t>2026052557892601</t>
  </si>
  <si>
    <t>2026052693622761</t>
  </si>
  <si>
    <t>2026052674081611</t>
  </si>
  <si>
    <t>WAFEE95LMK9C</t>
  </si>
  <si>
    <t>2026052860697471</t>
  </si>
  <si>
    <t>2026052973202451</t>
  </si>
  <si>
    <t>2026053135041641</t>
  </si>
  <si>
    <t>2026053134358021</t>
  </si>
  <si>
    <t>2026053131394791</t>
  </si>
  <si>
    <t>FMT84VYHWZX4_반품</t>
    <phoneticPr fontId="31" type="noConversion"/>
  </si>
  <si>
    <t>2026년 5월</t>
    <phoneticPr fontId="24" type="noConversion"/>
  </si>
  <si>
    <t>개별주문번호</t>
  </si>
  <si>
    <t>주문상태</t>
  </si>
  <si>
    <t>주문일시</t>
  </si>
  <si>
    <t>상품번호</t>
  </si>
  <si>
    <t>옵션명</t>
  </si>
  <si>
    <t>옵션번호</t>
  </si>
  <si>
    <t>딜코드</t>
  </si>
  <si>
    <t>판매자코드</t>
  </si>
  <si>
    <t>권장소비자가</t>
  </si>
  <si>
    <t>주문금액</t>
  </si>
  <si>
    <t>택배사</t>
  </si>
  <si>
    <t>수취인명</t>
  </si>
  <si>
    <t>배송유형</t>
  </si>
  <si>
    <t>발주확인일</t>
  </si>
  <si>
    <t>발송처리일</t>
  </si>
  <si>
    <t>배송완료일</t>
  </si>
  <si>
    <t>예약확정일</t>
  </si>
  <si>
    <t>예약일</t>
  </si>
  <si>
    <t>설치사용완료일</t>
  </si>
  <si>
    <t>구매확정일</t>
  </si>
  <si>
    <t>픽업시작일</t>
  </si>
  <si>
    <t>픽업종료일</t>
  </si>
  <si>
    <t>픽업매장</t>
  </si>
  <si>
    <t>미픽업반송대상</t>
  </si>
  <si>
    <t>개인통관고유번호</t>
  </si>
  <si>
    <t>1777728457004</t>
  </si>
  <si>
    <t>2413922270257</t>
  </si>
  <si>
    <t>구매확정</t>
  </si>
  <si>
    <t>2026-05-02T22:27:37</t>
  </si>
  <si>
    <t>P26012716000330</t>
  </si>
  <si>
    <t>P260127160003300001</t>
  </si>
  <si>
    <t>1001951357</t>
  </si>
  <si>
    <t>1</t>
  </si>
  <si>
    <t>2026-05-03T03:06:43</t>
  </si>
  <si>
    <t>2026-05-04T04:00:27</t>
  </si>
  <si>
    <t>1154159</t>
  </si>
  <si>
    <t>20868381</t>
  </si>
  <si>
    <t>1777814907010</t>
  </si>
  <si>
    <t>2414022280231</t>
  </si>
  <si>
    <t>2026-05-03T22:28:28</t>
  </si>
  <si>
    <t>2026-05-04T06:06:38</t>
  </si>
  <si>
    <t>2026-05-05T04:01:09</t>
  </si>
  <si>
    <t>20911360</t>
  </si>
  <si>
    <t>1777893994002</t>
  </si>
  <si>
    <t>2414120260179</t>
  </si>
  <si>
    <t>2026-05-04T20:26:34</t>
  </si>
  <si>
    <t>2026-05-05T06:20:13</t>
  </si>
  <si>
    <t>2026-05-06T04:01:12</t>
  </si>
  <si>
    <t>20941652</t>
  </si>
  <si>
    <t>1777899611004</t>
  </si>
  <si>
    <t>2414122000084</t>
  </si>
  <si>
    <t>2026-05-04T22:00:12</t>
  </si>
  <si>
    <t>2026-05-05T03:29:20</t>
  </si>
  <si>
    <t>20947856</t>
  </si>
  <si>
    <t>1777903142008</t>
  </si>
  <si>
    <t>2414122590034</t>
  </si>
  <si>
    <t>2026-05-04T22:59:02</t>
  </si>
  <si>
    <t>2026-05-05T03:50:46</t>
  </si>
  <si>
    <t>20953305</t>
  </si>
  <si>
    <t>1778162854004</t>
  </si>
  <si>
    <t>2414423070111</t>
  </si>
  <si>
    <t>2026-05-07T23:07:35</t>
  </si>
  <si>
    <t>2026-05-08T22:47:53</t>
  </si>
  <si>
    <t>2026-05-16T03:18:09</t>
  </si>
  <si>
    <t>21069253</t>
  </si>
  <si>
    <t>1778467690002</t>
  </si>
  <si>
    <t>2414811480050</t>
  </si>
  <si>
    <t>2026-05-11T11:48:10</t>
  </si>
  <si>
    <t>2026-05-11T21:00:51</t>
  </si>
  <si>
    <t>2026-05-12T04:01:17</t>
  </si>
  <si>
    <t>21171343</t>
  </si>
  <si>
    <t>1778861414002</t>
  </si>
  <si>
    <t>2415301100015</t>
  </si>
  <si>
    <t>2026-05-16T01:10:14</t>
  </si>
  <si>
    <t>2026-05-16T23:12:46</t>
  </si>
  <si>
    <t>2026-05-20T00:01:17</t>
  </si>
  <si>
    <t>21323008</t>
  </si>
  <si>
    <t>1779186685003</t>
  </si>
  <si>
    <t>2415619310112</t>
  </si>
  <si>
    <t>2026-05-19T19:31:26</t>
  </si>
  <si>
    <t>2</t>
  </si>
  <si>
    <t>2026-05-20T01:57:16</t>
  </si>
  <si>
    <t>2026-05-21T04:02:02</t>
  </si>
  <si>
    <t>21452031</t>
  </si>
  <si>
    <t>1779343446003</t>
  </si>
  <si>
    <t>2415815040016</t>
  </si>
  <si>
    <t>2026-05-21T15:04:07</t>
  </si>
  <si>
    <t>2026-05-22T02:13:08</t>
  </si>
  <si>
    <t>2026-05-23T04:00:50</t>
  </si>
  <si>
    <t>21523951</t>
  </si>
  <si>
    <r>
      <t>상품</t>
    </r>
    <r>
      <rPr>
        <sz val="9"/>
        <color theme="1"/>
        <rFont val="Aptos Narrow"/>
        <family val="2"/>
        <charset val="1"/>
        <scheme val="minor"/>
      </rPr>
      <t>ID</t>
    </r>
  </si>
  <si>
    <r>
      <t>주문</t>
    </r>
    <r>
      <rPr>
        <sz val="9"/>
        <color theme="1"/>
        <rFont val="Aptos Narrow"/>
        <family val="2"/>
        <charset val="1"/>
        <scheme val="minor"/>
      </rPr>
      <t>ID</t>
    </r>
  </si>
  <si>
    <r>
      <t>[픽키도기클럽</t>
    </r>
    <r>
      <rPr>
        <sz val="9"/>
        <color theme="1"/>
        <rFont val="Aptos Narrow"/>
        <family val="2"/>
        <charset val="1"/>
        <scheme val="minor"/>
      </rPr>
      <t xml:space="preserve">] </t>
    </r>
    <r>
      <rPr>
        <sz val="9"/>
        <color theme="1"/>
        <rFont val="Aptos Narrow"/>
        <scheme val="minor"/>
      </rPr>
      <t>필바이츠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강아지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투약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보조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간식</t>
    </r>
    <r>
      <rPr>
        <sz val="9"/>
        <color theme="1"/>
        <rFont val="Aptos Narrow"/>
        <family val="2"/>
        <charset val="1"/>
        <scheme val="minor"/>
      </rPr>
      <t xml:space="preserve"> (45g) (5</t>
    </r>
    <r>
      <rPr>
        <sz val="9"/>
        <color theme="1"/>
        <rFont val="Aptos Narrow"/>
        <scheme val="minor"/>
      </rPr>
      <t>개입</t>
    </r>
    <r>
      <rPr>
        <sz val="9"/>
        <color theme="1"/>
        <rFont val="Aptos Narrow"/>
        <family val="2"/>
        <charset val="1"/>
        <scheme val="minor"/>
      </rPr>
      <t xml:space="preserve"> (45g))</t>
    </r>
  </si>
  <si>
    <r>
      <t>5개입</t>
    </r>
    <r>
      <rPr>
        <sz val="9"/>
        <color theme="1"/>
        <rFont val="Aptos Narrow"/>
        <family val="2"/>
        <charset val="1"/>
        <scheme val="minor"/>
      </rPr>
      <t xml:space="preserve"> (45g)</t>
    </r>
  </si>
  <si>
    <r>
      <t>백</t>
    </r>
    <r>
      <rPr>
        <sz val="9"/>
        <color theme="1"/>
        <rFont val="Aptos Narrow"/>
        <family val="2"/>
        <charset val="1"/>
        <scheme val="minor"/>
      </rPr>
      <t>*</t>
    </r>
    <r>
      <rPr>
        <sz val="9"/>
        <color theme="1"/>
        <rFont val="Aptos Narrow"/>
        <scheme val="minor"/>
      </rPr>
      <t>숙</t>
    </r>
  </si>
  <si>
    <r>
      <t>샛별배송</t>
    </r>
    <r>
      <rPr>
        <sz val="9"/>
        <color theme="1"/>
        <rFont val="Aptos Narrow"/>
        <family val="2"/>
        <charset val="1"/>
        <scheme val="minor"/>
      </rPr>
      <t>+</t>
    </r>
    <r>
      <rPr>
        <sz val="9"/>
        <color theme="1"/>
        <rFont val="Aptos Narrow"/>
        <scheme val="minor"/>
      </rPr>
      <t>하루배송</t>
    </r>
    <r>
      <rPr>
        <sz val="9"/>
        <color theme="1"/>
        <rFont val="Aptos Narrow"/>
        <family val="2"/>
        <charset val="1"/>
        <scheme val="minor"/>
      </rPr>
      <t>(</t>
    </r>
    <r>
      <rPr>
        <sz val="9"/>
        <color theme="1"/>
        <rFont val="Aptos Narrow"/>
        <scheme val="minor"/>
      </rPr>
      <t>택배지역</t>
    </r>
    <r>
      <rPr>
        <sz val="9"/>
        <color theme="1"/>
        <rFont val="Aptos Narrow"/>
        <family val="2"/>
        <charset val="1"/>
        <scheme val="minor"/>
      </rPr>
      <t>-</t>
    </r>
    <r>
      <rPr>
        <sz val="9"/>
        <color theme="1"/>
        <rFont val="Aptos Narrow"/>
        <scheme val="minor"/>
      </rPr>
      <t>택배</t>
    </r>
    <r>
      <rPr>
        <sz val="9"/>
        <color theme="1"/>
        <rFont val="Aptos Narrow"/>
        <family val="2"/>
        <charset val="1"/>
        <scheme val="minor"/>
      </rPr>
      <t>)</t>
    </r>
  </si>
  <si>
    <r>
      <t>박</t>
    </r>
    <r>
      <rPr>
        <sz val="9"/>
        <color theme="1"/>
        <rFont val="Aptos Narrow"/>
        <family val="2"/>
        <charset val="1"/>
        <scheme val="minor"/>
      </rPr>
      <t>*</t>
    </r>
    <r>
      <rPr>
        <sz val="9"/>
        <color theme="1"/>
        <rFont val="Aptos Narrow"/>
        <scheme val="minor"/>
      </rPr>
      <t>민</t>
    </r>
  </si>
  <si>
    <r>
      <t>이</t>
    </r>
    <r>
      <rPr>
        <sz val="9"/>
        <color theme="1"/>
        <rFont val="Aptos Narrow"/>
        <family val="2"/>
        <charset val="1"/>
        <scheme val="minor"/>
      </rPr>
      <t>*</t>
    </r>
    <r>
      <rPr>
        <sz val="9"/>
        <color theme="1"/>
        <rFont val="Aptos Narrow"/>
        <scheme val="minor"/>
      </rPr>
      <t>웅</t>
    </r>
  </si>
  <si>
    <r>
      <t>윤</t>
    </r>
    <r>
      <rPr>
        <sz val="9"/>
        <color theme="1"/>
        <rFont val="Aptos Narrow"/>
        <family val="2"/>
        <charset val="1"/>
        <scheme val="minor"/>
      </rPr>
      <t>*</t>
    </r>
    <r>
      <rPr>
        <sz val="9"/>
        <color theme="1"/>
        <rFont val="Aptos Narrow"/>
        <scheme val="minor"/>
      </rPr>
      <t>희</t>
    </r>
  </si>
  <si>
    <r>
      <t>안</t>
    </r>
    <r>
      <rPr>
        <sz val="9"/>
        <color theme="1"/>
        <rFont val="Aptos Narrow"/>
        <family val="2"/>
        <charset val="1"/>
        <scheme val="minor"/>
      </rPr>
      <t>*</t>
    </r>
    <r>
      <rPr>
        <sz val="9"/>
        <color theme="1"/>
        <rFont val="Aptos Narrow"/>
        <scheme val="minor"/>
      </rPr>
      <t>라</t>
    </r>
  </si>
  <si>
    <r>
      <t>이</t>
    </r>
    <r>
      <rPr>
        <sz val="9"/>
        <color theme="1"/>
        <rFont val="Aptos Narrow"/>
        <family val="2"/>
        <charset val="1"/>
        <scheme val="minor"/>
      </rPr>
      <t>*</t>
    </r>
    <r>
      <rPr>
        <sz val="9"/>
        <color theme="1"/>
        <rFont val="Aptos Narrow"/>
        <scheme val="minor"/>
      </rPr>
      <t>영</t>
    </r>
  </si>
  <si>
    <r>
      <t>전</t>
    </r>
    <r>
      <rPr>
        <sz val="9"/>
        <color theme="1"/>
        <rFont val="Aptos Narrow"/>
        <family val="2"/>
        <charset val="1"/>
        <scheme val="minor"/>
      </rPr>
      <t>*</t>
    </r>
    <r>
      <rPr>
        <sz val="9"/>
        <color theme="1"/>
        <rFont val="Aptos Narrow"/>
        <scheme val="minor"/>
      </rPr>
      <t>영</t>
    </r>
  </si>
  <si>
    <r>
      <t>김</t>
    </r>
    <r>
      <rPr>
        <sz val="9"/>
        <color theme="1"/>
        <rFont val="Aptos Narrow"/>
        <family val="2"/>
        <charset val="1"/>
        <scheme val="minor"/>
      </rPr>
      <t>*</t>
    </r>
  </si>
  <si>
    <r>
      <t>한</t>
    </r>
    <r>
      <rPr>
        <sz val="9"/>
        <color theme="1"/>
        <rFont val="Aptos Narrow"/>
        <family val="2"/>
        <charset val="1"/>
        <scheme val="minor"/>
      </rPr>
      <t>*</t>
    </r>
    <r>
      <rPr>
        <sz val="9"/>
        <color theme="1"/>
        <rFont val="Aptos Narrow"/>
        <scheme val="minor"/>
      </rPr>
      <t>영</t>
    </r>
  </si>
  <si>
    <r>
      <t>김</t>
    </r>
    <r>
      <rPr>
        <sz val="9"/>
        <color theme="1"/>
        <rFont val="Aptos Narrow"/>
        <family val="2"/>
        <charset val="1"/>
        <scheme val="minor"/>
      </rPr>
      <t>*</t>
    </r>
    <r>
      <rPr>
        <sz val="9"/>
        <color theme="1"/>
        <rFont val="Aptos Narrow"/>
        <scheme val="minor"/>
      </rPr>
      <t>온</t>
    </r>
  </si>
  <si>
    <t>수수료(기본)</t>
    <phoneticPr fontId="24" type="noConversion"/>
  </si>
  <si>
    <t>정산예정</t>
    <phoneticPr fontId="24" type="noConversion"/>
  </si>
  <si>
    <t>수수료(원)</t>
    <phoneticPr fontId="24" type="noConversion"/>
  </si>
  <si>
    <t>-컬리 계산서 발행</t>
    <phoneticPr fontId="24" type="noConversion"/>
  </si>
  <si>
    <t>판매채널</t>
  </si>
  <si>
    <t>구매자ID</t>
  </si>
  <si>
    <t>배송방법</t>
  </si>
  <si>
    <t>송장번호</t>
  </si>
  <si>
    <t>상품종류</t>
  </si>
  <si>
    <t>옵션정보</t>
  </si>
  <si>
    <t>상품가격</t>
  </si>
  <si>
    <t>옵션가격</t>
  </si>
  <si>
    <t>최종 상품별 할인액</t>
  </si>
  <si>
    <t>판매자 부담 할인액</t>
  </si>
  <si>
    <t>최종 상품별 총 주문금액</t>
  </si>
  <si>
    <t>판매자 상품코드</t>
  </si>
  <si>
    <t>판매자 내부코드1</t>
  </si>
  <si>
    <t>판매자 내부코드2</t>
  </si>
  <si>
    <t>배송비 묶음번호</t>
  </si>
  <si>
    <t>배송비 형태</t>
  </si>
  <si>
    <t>배송비 유형</t>
  </si>
  <si>
    <t>배송비 합계</t>
  </si>
  <si>
    <t>제주/도서 추가배송비</t>
  </si>
  <si>
    <t>배송비 할인액</t>
  </si>
  <si>
    <t>결제일</t>
  </si>
  <si>
    <t>결제수단</t>
  </si>
  <si>
    <t>결제위치</t>
  </si>
  <si>
    <t>네이버페이 주문관리 수수료</t>
  </si>
  <si>
    <t>매출연동 수수료</t>
  </si>
  <si>
    <t>정산예정금액</t>
  </si>
  <si>
    <t>2026052489034171</t>
  </si>
  <si>
    <t>2026052439194911</t>
  </si>
  <si>
    <t>김희봉</t>
  </si>
  <si>
    <t>택배,등기,소포</t>
  </si>
  <si>
    <t>로젠택배</t>
  </si>
  <si>
    <t>[아반강고 특별 이벤트] 픽키도기클럽 필바이츠 강아지 약먹이기 투약보조간식 필포켓 본품 1팩</t>
  </si>
  <si>
    <t>선결제</t>
  </si>
  <si>
    <t>조건부무료</t>
  </si>
  <si>
    <t>신용카드 간편결제</t>
  </si>
  <si>
    <t>MOBILE</t>
  </si>
  <si>
    <t>2026052210845121</t>
  </si>
  <si>
    <t>2026052275358911</t>
  </si>
  <si>
    <t>황주연</t>
  </si>
  <si>
    <t>(3팩/15개입)  픽키도기클럽 필바이츠 강아지 약먹이기 투약보조간식 필포켓 약급여 투약간식 치킨, 45g, 3개</t>
  </si>
  <si>
    <t>신용카드</t>
  </si>
  <si>
    <t>2026052033798661</t>
  </si>
  <si>
    <t>2026052031047271</t>
  </si>
  <si>
    <t>유다혜</t>
  </si>
  <si>
    <t>(5팩/25개입)  픽키도기클럽 필바이츠 강아지 약먹이기 투약보조간식 필포켓 약급여 투약간식 고구마 피넛버터, 45g, 5개</t>
  </si>
  <si>
    <t>2026052033798651</t>
  </si>
  <si>
    <t>(5개입) 픽키도기클럽 필바이츠 강아지 약먹이기 투약보조간식 필포켓 약급여 투약간식 고구마 피넛버터, 45g, 1개</t>
  </si>
  <si>
    <t>2026052599284611</t>
  </si>
  <si>
    <t>2026052545827581</t>
  </si>
  <si>
    <t>(5개입) 픽키도기클럽 필바이츠 강아지 약먹이기 투약보조간식 필포켓 약급여 투약간식 치킨, 45g, 1개</t>
  </si>
  <si>
    <t>2026052599284601</t>
  </si>
  <si>
    <t>2026052477779261</t>
  </si>
  <si>
    <t>2026052431375661</t>
  </si>
  <si>
    <t>한소라</t>
  </si>
  <si>
    <t>2026052345124891</t>
  </si>
  <si>
    <t>2026052398549041</t>
  </si>
  <si>
    <t>조은희</t>
  </si>
  <si>
    <t>2026052643318781</t>
  </si>
  <si>
    <t>2026052668645261</t>
  </si>
  <si>
    <t>김민선</t>
  </si>
  <si>
    <t>2026052050448281</t>
  </si>
  <si>
    <t>2026052041927261</t>
  </si>
  <si>
    <t>김다솔</t>
  </si>
  <si>
    <t>2026052037675841</t>
  </si>
  <si>
    <t>2026052033644281</t>
  </si>
  <si>
    <t>홍윤서</t>
  </si>
  <si>
    <t>2026052033760781</t>
  </si>
  <si>
    <t>2026052031022051</t>
  </si>
  <si>
    <t>서현진</t>
  </si>
  <si>
    <t>2026052099946471</t>
  </si>
  <si>
    <t>2026052015350771</t>
  </si>
  <si>
    <t>김은수</t>
  </si>
  <si>
    <t>2026051981263611</t>
  </si>
  <si>
    <t>2026051993034641</t>
  </si>
  <si>
    <t>권민정</t>
  </si>
  <si>
    <t>2026052712049341</t>
  </si>
  <si>
    <t>2026052717218811</t>
  </si>
  <si>
    <t>한예은</t>
  </si>
  <si>
    <t>2026052535145961</t>
  </si>
  <si>
    <t>2026052563501601</t>
  </si>
  <si>
    <t>김용숙</t>
  </si>
  <si>
    <t>2026052215642911</t>
  </si>
  <si>
    <t>2026052278504501</t>
  </si>
  <si>
    <t>이소현</t>
  </si>
  <si>
    <t>2026051827834691</t>
  </si>
  <si>
    <t>2026051857939141</t>
  </si>
  <si>
    <t>이현진</t>
  </si>
  <si>
    <t>1박스 / 20개입 (정가:26900원)</t>
  </si>
  <si>
    <t>2026051827834681</t>
  </si>
  <si>
    <t>2026051827834671</t>
  </si>
  <si>
    <t>2026051631482941</t>
  </si>
  <si>
    <t>2026051689611141</t>
  </si>
  <si>
    <t>박나영</t>
  </si>
  <si>
    <t>2026051779673461</t>
  </si>
  <si>
    <t>2026051733073211</t>
  </si>
  <si>
    <t>한지예</t>
  </si>
  <si>
    <t>2026051779673451</t>
  </si>
  <si>
    <t>2026051767086611</t>
  </si>
  <si>
    <t>2026051724355181</t>
  </si>
  <si>
    <t>송은지</t>
  </si>
  <si>
    <t>2026051899254481</t>
  </si>
  <si>
    <t>2026051845811441</t>
  </si>
  <si>
    <t>김영희</t>
  </si>
  <si>
    <t>2026052181035111</t>
  </si>
  <si>
    <t>2026052162202671</t>
  </si>
  <si>
    <t>이혜인</t>
  </si>
  <si>
    <t>2026051593570781</t>
  </si>
  <si>
    <t>2026051570712471</t>
  </si>
  <si>
    <t>윤은영</t>
  </si>
  <si>
    <t>2026051531006721</t>
  </si>
  <si>
    <t>2026051589297071</t>
  </si>
  <si>
    <t>박소영</t>
  </si>
  <si>
    <t>2026052170469741</t>
  </si>
  <si>
    <t>2026052155078331</t>
  </si>
  <si>
    <t>김행</t>
  </si>
  <si>
    <t>무통장입금</t>
  </si>
  <si>
    <t>2026051837261971</t>
  </si>
  <si>
    <t>2026051864113281</t>
  </si>
  <si>
    <t>이윤경</t>
  </si>
  <si>
    <t>2026052170343321</t>
  </si>
  <si>
    <t>2026052154997671</t>
  </si>
  <si>
    <t>박민</t>
  </si>
  <si>
    <t>2026051337637851</t>
  </si>
  <si>
    <t>2026051333381471</t>
  </si>
  <si>
    <t>윤현지</t>
  </si>
  <si>
    <t>2026051446086061</t>
  </si>
  <si>
    <t>2026051438803621</t>
  </si>
  <si>
    <t>서정화</t>
  </si>
  <si>
    <t>2026051325763961</t>
  </si>
  <si>
    <t>2026051325279381</t>
  </si>
  <si>
    <t>한선미</t>
  </si>
  <si>
    <t>2026051326514281</t>
  </si>
  <si>
    <t>2026051325784741</t>
  </si>
  <si>
    <t>최인용</t>
  </si>
  <si>
    <t>2026052030743561</t>
  </si>
  <si>
    <t>2026052029041891</t>
  </si>
  <si>
    <t>김민아</t>
  </si>
  <si>
    <t>2026052026810321</t>
  </si>
  <si>
    <t>2026052026511091</t>
  </si>
  <si>
    <t>원득연</t>
  </si>
  <si>
    <t>2팩 / 10개입 (정가:13600원)</t>
  </si>
  <si>
    <t>2026052026810311</t>
  </si>
  <si>
    <t>2026051761597161</t>
  </si>
  <si>
    <t>2026051720582331</t>
  </si>
  <si>
    <t>오한나</t>
  </si>
  <si>
    <t>2026051658385331</t>
  </si>
  <si>
    <t>2026051618498151</t>
  </si>
  <si>
    <t>이호준</t>
  </si>
  <si>
    <t>2026051658385321</t>
  </si>
  <si>
    <t>2026051658385311</t>
  </si>
  <si>
    <t>2026051475261481</t>
  </si>
  <si>
    <t>2026051458537931</t>
  </si>
  <si>
    <t>고윤주</t>
  </si>
  <si>
    <t>2026051320716611</t>
  </si>
  <si>
    <t>2026051321913331</t>
  </si>
  <si>
    <t>신재은</t>
  </si>
  <si>
    <t>2026051320716601</t>
  </si>
  <si>
    <t>[아반강고 특별 이벤트] 픽키도기클럽 필바이츠 강아지 약먹이기 투약보조간식 필포켓</t>
  </si>
  <si>
    <t>2026051314889711</t>
  </si>
  <si>
    <t>2026051318084741</t>
  </si>
  <si>
    <t>권용식</t>
  </si>
  <si>
    <t>2026051314889701</t>
  </si>
  <si>
    <t>2026051316611791</t>
  </si>
  <si>
    <t>2026051319228861</t>
  </si>
  <si>
    <t>최신영</t>
  </si>
  <si>
    <t>2026051994749021</t>
  </si>
  <si>
    <t>2026051912112181</t>
  </si>
  <si>
    <t>한송이</t>
  </si>
  <si>
    <t>2박스 / 40개입 (정가:53800원)</t>
  </si>
  <si>
    <t>2026051994749011</t>
  </si>
  <si>
    <t>2026051520387931</t>
  </si>
  <si>
    <t>2026051582093251</t>
  </si>
  <si>
    <t>박상신</t>
  </si>
  <si>
    <t>(5팩/25개입)  픽키도기클럽 필바이츠 강아지 약먹이기 투약보조간식 필포켓 약급여 투약간식 치킨, 45g, 5개</t>
  </si>
  <si>
    <t>2026051520387921</t>
  </si>
  <si>
    <t>2026052024250771</t>
  </si>
  <si>
    <t>2026052024861671</t>
  </si>
  <si>
    <t>방사비나</t>
  </si>
  <si>
    <t>2026051450185171</t>
  </si>
  <si>
    <t>2026051441616071</t>
  </si>
  <si>
    <t>이현서</t>
  </si>
  <si>
    <t>2026051450185161</t>
  </si>
  <si>
    <t>2026051450185151</t>
  </si>
  <si>
    <t>2026051529871631</t>
  </si>
  <si>
    <t>2026051588541831</t>
  </si>
  <si>
    <t>김현주</t>
  </si>
  <si>
    <t>2026051815045771</t>
  </si>
  <si>
    <t>2026051849684731</t>
  </si>
  <si>
    <t>2026051314524251</t>
  </si>
  <si>
    <t>2026051317841061</t>
  </si>
  <si>
    <t>2026051465156631</t>
  </si>
  <si>
    <t>2026051451559891</t>
  </si>
  <si>
    <t>지미현</t>
  </si>
  <si>
    <t>2026051462995721</t>
  </si>
  <si>
    <t>2026051450138801</t>
  </si>
  <si>
    <t>전은정</t>
  </si>
  <si>
    <t>2026051454208311</t>
  </si>
  <si>
    <t>2026051444273891</t>
  </si>
  <si>
    <t>김은우</t>
  </si>
  <si>
    <t>2026051457271031</t>
  </si>
  <si>
    <t>2026051446308831</t>
  </si>
  <si>
    <t>정혜선</t>
  </si>
  <si>
    <t>2026051457271021</t>
  </si>
  <si>
    <t>2026051326049421</t>
  </si>
  <si>
    <t>2026051325472271</t>
  </si>
  <si>
    <t>고명희</t>
  </si>
  <si>
    <t>2026051442880311</t>
  </si>
  <si>
    <t>2026051436744421</t>
  </si>
  <si>
    <t>박수빈</t>
  </si>
  <si>
    <t>2026051316943861</t>
  </si>
  <si>
    <t>2026051319451081</t>
  </si>
  <si>
    <t>이은지</t>
  </si>
  <si>
    <t>2026051593343831</t>
  </si>
  <si>
    <t>2026051570559171</t>
  </si>
  <si>
    <t>김철윤</t>
  </si>
  <si>
    <t>2026051340432051</t>
  </si>
  <si>
    <t>2026051335172051</t>
  </si>
  <si>
    <t>전경진</t>
  </si>
  <si>
    <t>2026051443464491</t>
  </si>
  <si>
    <t>2026051437109331</t>
  </si>
  <si>
    <t>송정민</t>
  </si>
  <si>
    <t>2026051591460781</t>
  </si>
  <si>
    <t>2026051569284401</t>
  </si>
  <si>
    <t>정두진</t>
  </si>
  <si>
    <t>2026051389360501</t>
  </si>
  <si>
    <t>2026051397670451</t>
  </si>
  <si>
    <t>문은정</t>
  </si>
  <si>
    <t>2026050619579151</t>
  </si>
  <si>
    <t>2026050620433801</t>
  </si>
  <si>
    <t>이유진</t>
  </si>
  <si>
    <t>여러개 선택하셔도 증정품은 1개만 발송됩니다.</t>
  </si>
  <si>
    <t>2026050619579141</t>
  </si>
  <si>
    <t>2026051444186421</t>
  </si>
  <si>
    <t>2026051437559541</t>
  </si>
  <si>
    <t>정희연</t>
  </si>
  <si>
    <t>2026051315859271</t>
  </si>
  <si>
    <t>2026051318731641</t>
  </si>
  <si>
    <t>박성경</t>
  </si>
  <si>
    <t>2026051328586161</t>
  </si>
  <si>
    <t>2026051327192451</t>
  </si>
  <si>
    <t>이은혜</t>
  </si>
  <si>
    <t>2026051328586151</t>
  </si>
  <si>
    <t>2026051328586141</t>
  </si>
  <si>
    <t>2026051322122511</t>
  </si>
  <si>
    <t>2026051322844541</t>
  </si>
  <si>
    <t>강수경</t>
  </si>
  <si>
    <t>2026050681878051</t>
  </si>
  <si>
    <t>2026050692068671</t>
  </si>
  <si>
    <t>이희숙</t>
  </si>
  <si>
    <t>2026050681878041</t>
  </si>
  <si>
    <t>(3팩/15개)  픽키도기클럽 필바이츠 강아지 약먹이기 투약보조간식 필포켓 약급여 투약간식 치킨, 45g, 3개</t>
  </si>
  <si>
    <t>2026051319817391</t>
  </si>
  <si>
    <t>2026051321332971</t>
  </si>
  <si>
    <t>홍이희</t>
  </si>
  <si>
    <t>2026051319817381</t>
  </si>
  <si>
    <t>2026051319817371</t>
  </si>
  <si>
    <t>비건맛으로 변경시 선택 (교차발송불가)</t>
  </si>
  <si>
    <t>2026051319817361</t>
  </si>
  <si>
    <t>2026051317017611</t>
  </si>
  <si>
    <t>2026051319499791</t>
  </si>
  <si>
    <t>박상아</t>
  </si>
  <si>
    <t>2026051317636471</t>
  </si>
  <si>
    <t>2026051319902691</t>
  </si>
  <si>
    <t>손상우</t>
  </si>
  <si>
    <t>2026051317884731</t>
  </si>
  <si>
    <t>2026051320063881</t>
  </si>
  <si>
    <t>엄유진</t>
  </si>
  <si>
    <t>2026051315258051</t>
  </si>
  <si>
    <t>2026051318331851</t>
  </si>
  <si>
    <t>손장훈</t>
  </si>
  <si>
    <t>2026051070770001</t>
  </si>
  <si>
    <t>2026051026240931</t>
  </si>
  <si>
    <t>이윤희</t>
  </si>
  <si>
    <t>2026051059869011</t>
  </si>
  <si>
    <t>2026051018739471</t>
  </si>
  <si>
    <t>김정숙</t>
  </si>
  <si>
    <t>2026051059869001</t>
  </si>
  <si>
    <t>2026050485386401</t>
  </si>
  <si>
    <t>2026050434170701</t>
  </si>
  <si>
    <t>전지예</t>
  </si>
  <si>
    <t>2026050485386391</t>
  </si>
  <si>
    <t>2026050897917391</t>
  </si>
  <si>
    <t>2026050872692751</t>
  </si>
  <si>
    <t>2026050897917381</t>
  </si>
  <si>
    <t>2026050172203531</t>
  </si>
  <si>
    <t>2026050154614831</t>
  </si>
  <si>
    <t>(20개입/1박스) 픽키도기클럽 필바이츠 강아지 약먹이기 투약보조간식 필포켓 약급여 투약간식 치킨, 180g, 1개</t>
  </si>
  <si>
    <t>2026042932949071</t>
  </si>
  <si>
    <t>2026042927965531</t>
  </si>
  <si>
    <t>2026042932949061</t>
  </si>
  <si>
    <t>2026042991154051</t>
  </si>
  <si>
    <t>2026042996663071</t>
  </si>
  <si>
    <t>2026042991154041</t>
  </si>
  <si>
    <t>2026042866626201</t>
  </si>
  <si>
    <t>2026042880319141</t>
  </si>
  <si>
    <t>2026042866626191</t>
  </si>
  <si>
    <t>2026050239804821</t>
  </si>
  <si>
    <t>2026050294009391</t>
  </si>
  <si>
    <t>2026050239804811</t>
  </si>
  <si>
    <t>(5팩/25개)  픽키도기클럽 필바이츠 강아지 약먹이기 투약보조간식 필포켓 약급여 투약간식 치킨, 45g, 5개</t>
  </si>
  <si>
    <t>2026042499794771</t>
  </si>
  <si>
    <t>2026042472636181</t>
  </si>
  <si>
    <t>2026043050192221</t>
  </si>
  <si>
    <t>2026043039555211</t>
  </si>
  <si>
    <t>2026042930556281</t>
  </si>
  <si>
    <t>2026042926366451</t>
  </si>
  <si>
    <t>2026042930556271</t>
  </si>
  <si>
    <t>2026042328084951</t>
  </si>
  <si>
    <t>2026042324853991</t>
  </si>
  <si>
    <t>2026042855240791</t>
  </si>
  <si>
    <t>2026042872921921</t>
  </si>
  <si>
    <t>2026042855240781</t>
  </si>
  <si>
    <t>130519597</t>
  </si>
  <si>
    <t>2026/05/03 01:40:59</t>
  </si>
  <si>
    <t>INC32</t>
  </si>
  <si>
    <t>8</t>
  </si>
  <si>
    <t>29522026</t>
  </si>
  <si>
    <t>2026/07/01 00:00:00</t>
  </si>
  <si>
    <t>130584512</t>
  </si>
  <si>
    <t>2026/05/07 11:36:58</t>
  </si>
  <si>
    <t>6</t>
  </si>
  <si>
    <t>29556615</t>
  </si>
  <si>
    <t>2026/07/06 00:00:00</t>
  </si>
  <si>
    <t>130902115</t>
  </si>
  <si>
    <t>2026/05/09 15:27:01</t>
  </si>
  <si>
    <t>3</t>
  </si>
  <si>
    <t>29580323</t>
  </si>
  <si>
    <t>2026/07/08 00:00:00</t>
  </si>
  <si>
    <t>130902481</t>
  </si>
  <si>
    <t>2026/05/11 00:18:10</t>
  </si>
  <si>
    <t>29601729</t>
  </si>
  <si>
    <t>2026/07/09 00:00:00</t>
  </si>
  <si>
    <t>131152475</t>
  </si>
  <si>
    <t>2026/05/12 13:25:56</t>
  </si>
  <si>
    <t>CHW4</t>
  </si>
  <si>
    <t>29612240</t>
  </si>
  <si>
    <t>2026/07/10 00:00:00</t>
  </si>
  <si>
    <t>131154102</t>
  </si>
  <si>
    <t>63097197</t>
  </si>
  <si>
    <t>2026/05/14 01:26:12</t>
  </si>
  <si>
    <t>29635622</t>
  </si>
  <si>
    <t>131155162</t>
  </si>
  <si>
    <t>2026/05/15 03:14:22</t>
  </si>
  <si>
    <t>7</t>
  </si>
  <si>
    <t>29648192</t>
  </si>
  <si>
    <t>2026/07/14 00:00:00</t>
  </si>
  <si>
    <t>131584918</t>
  </si>
  <si>
    <t>2026/05/22 20:25:27</t>
  </si>
  <si>
    <t>29728379</t>
  </si>
  <si>
    <t>2026/07/16 00:00:00</t>
  </si>
  <si>
    <t>131804663</t>
  </si>
  <si>
    <t>2026/05/20 14:03:12</t>
  </si>
  <si>
    <t>INC4</t>
  </si>
  <si>
    <t>11</t>
  </si>
  <si>
    <t>29701941</t>
  </si>
  <si>
    <t>132219993</t>
  </si>
  <si>
    <t>2026/05/28 09:14:05</t>
  </si>
  <si>
    <t>4</t>
  </si>
  <si>
    <t>29796601</t>
  </si>
  <si>
    <t>2026/07/24 00:00:00</t>
  </si>
  <si>
    <t>132296829</t>
  </si>
  <si>
    <t>2026/05/23 19:58:41</t>
  </si>
  <si>
    <t>29741292</t>
  </si>
  <si>
    <t>2026/07/22 00:00:00</t>
  </si>
  <si>
    <t>132296896</t>
  </si>
  <si>
    <t>2026/05/25 19:33:26</t>
  </si>
  <si>
    <t>CHW3</t>
  </si>
  <si>
    <t>10</t>
  </si>
  <si>
    <t>29762787</t>
  </si>
  <si>
    <t>132297002</t>
  </si>
  <si>
    <t>2026/05/23 20:46:00</t>
  </si>
  <si>
    <t>132297201</t>
  </si>
  <si>
    <t>2026/05/23 13:26:00</t>
  </si>
  <si>
    <t>20260504-0000048</t>
  </si>
  <si>
    <t>20260504-0000048-01</t>
  </si>
  <si>
    <t>20260504-0000048-02</t>
  </si>
  <si>
    <t>20260513-0000179</t>
  </si>
  <si>
    <t>20260521-0000085</t>
  </si>
  <si>
    <t>20260521-0000085-01</t>
  </si>
  <si>
    <t>20260521-0000085-02</t>
  </si>
  <si>
    <r>
      <rPr>
        <sz val="8"/>
        <color theme="1"/>
        <rFont val="Aptos Narrow"/>
        <family val="2"/>
        <charset val="129"/>
        <scheme val="minor"/>
      </rPr>
      <t>주문번호</t>
    </r>
  </si>
  <si>
    <r>
      <rPr>
        <sz val="8"/>
        <color theme="1"/>
        <rFont val="Aptos Narrow"/>
        <family val="2"/>
        <charset val="129"/>
        <scheme val="minor"/>
      </rPr>
      <t>품목별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주문번호</t>
    </r>
  </si>
  <si>
    <r>
      <rPr>
        <sz val="8"/>
        <color theme="1"/>
        <rFont val="Aptos Narrow"/>
        <family val="2"/>
        <charset val="129"/>
        <scheme val="minor"/>
      </rPr>
      <t>결제일시</t>
    </r>
    <r>
      <rPr>
        <sz val="8"/>
        <color theme="1"/>
        <rFont val="Aptos Narrow"/>
        <family val="2"/>
        <charset val="1"/>
        <scheme val="minor"/>
      </rPr>
      <t>(</t>
    </r>
    <r>
      <rPr>
        <sz val="8"/>
        <color theme="1"/>
        <rFont val="Aptos Narrow"/>
        <family val="2"/>
        <charset val="129"/>
        <scheme val="minor"/>
      </rPr>
      <t>입금확인일</t>
    </r>
    <r>
      <rPr>
        <sz val="8"/>
        <color theme="1"/>
        <rFont val="Aptos Narrow"/>
        <family val="2"/>
        <charset val="1"/>
        <scheme val="minor"/>
      </rPr>
      <t>)</t>
    </r>
  </si>
  <si>
    <r>
      <rPr>
        <sz val="8"/>
        <color theme="1"/>
        <rFont val="Aptos Narrow"/>
        <family val="2"/>
        <charset val="129"/>
        <scheme val="minor"/>
      </rPr>
      <t>배송시작일</t>
    </r>
  </si>
  <si>
    <r>
      <rPr>
        <sz val="8"/>
        <color theme="1"/>
        <rFont val="Aptos Narrow"/>
        <family val="2"/>
        <charset val="129"/>
        <scheme val="minor"/>
      </rPr>
      <t>운송장번호</t>
    </r>
  </si>
  <si>
    <r>
      <rPr>
        <sz val="8"/>
        <color theme="1"/>
        <rFont val="Aptos Narrow"/>
        <family val="2"/>
        <charset val="129"/>
        <scheme val="minor"/>
      </rPr>
      <t>배송완료일</t>
    </r>
  </si>
  <si>
    <r>
      <rPr>
        <sz val="8"/>
        <color theme="1"/>
        <rFont val="Aptos Narrow"/>
        <family val="2"/>
        <charset val="129"/>
        <scheme val="minor"/>
      </rPr>
      <t>환불완료일</t>
    </r>
  </si>
  <si>
    <r>
      <rPr>
        <sz val="8"/>
        <color theme="1"/>
        <rFont val="Aptos Narrow"/>
        <family val="2"/>
        <charset val="129"/>
        <scheme val="minor"/>
      </rPr>
      <t>주문상품명</t>
    </r>
    <r>
      <rPr>
        <sz val="8"/>
        <color theme="1"/>
        <rFont val="Aptos Narrow"/>
        <family val="2"/>
        <charset val="1"/>
        <scheme val="minor"/>
      </rPr>
      <t>(</t>
    </r>
    <r>
      <rPr>
        <sz val="8"/>
        <color theme="1"/>
        <rFont val="Aptos Narrow"/>
        <family val="2"/>
        <charset val="129"/>
        <scheme val="minor"/>
      </rPr>
      <t>기본</t>
    </r>
    <r>
      <rPr>
        <sz val="8"/>
        <color theme="1"/>
        <rFont val="Aptos Narrow"/>
        <family val="2"/>
        <charset val="1"/>
        <scheme val="minor"/>
      </rPr>
      <t>)</t>
    </r>
  </si>
  <si>
    <r>
      <rPr>
        <sz val="8"/>
        <color theme="1"/>
        <rFont val="Aptos Narrow"/>
        <family val="2"/>
        <charset val="129"/>
        <scheme val="minor"/>
      </rPr>
      <t>상품옵션</t>
    </r>
    <r>
      <rPr>
        <sz val="8"/>
        <color theme="1"/>
        <rFont val="Aptos Narrow"/>
        <family val="2"/>
        <charset val="1"/>
        <scheme val="minor"/>
      </rPr>
      <t>(</t>
    </r>
    <r>
      <rPr>
        <sz val="8"/>
        <color theme="1"/>
        <rFont val="Aptos Narrow"/>
        <family val="2"/>
        <charset val="129"/>
        <scheme val="minor"/>
      </rPr>
      <t>기본</t>
    </r>
    <r>
      <rPr>
        <sz val="8"/>
        <color theme="1"/>
        <rFont val="Aptos Narrow"/>
        <family val="2"/>
        <charset val="1"/>
        <scheme val="minor"/>
      </rPr>
      <t>)</t>
    </r>
  </si>
  <si>
    <r>
      <rPr>
        <sz val="8"/>
        <color theme="1"/>
        <rFont val="Aptos Narrow"/>
        <family val="2"/>
        <charset val="129"/>
        <scheme val="minor"/>
      </rPr>
      <t>수량</t>
    </r>
  </si>
  <si>
    <r>
      <rPr>
        <sz val="8"/>
        <color theme="1"/>
        <rFont val="Aptos Narrow"/>
        <family val="2"/>
        <charset val="129"/>
        <scheme val="minor"/>
      </rPr>
      <t>판매가</t>
    </r>
  </si>
  <si>
    <r>
      <rPr>
        <sz val="8"/>
        <color theme="1"/>
        <rFont val="Aptos Narrow"/>
        <family val="2"/>
        <charset val="129"/>
        <scheme val="minor"/>
      </rPr>
      <t>상품별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추가할인금액</t>
    </r>
  </si>
  <si>
    <r>
      <rPr>
        <sz val="8"/>
        <color theme="1"/>
        <rFont val="Aptos Narrow"/>
        <family val="2"/>
        <charset val="129"/>
        <scheme val="minor"/>
      </rPr>
      <t>상품별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추가할인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상세</t>
    </r>
  </si>
  <si>
    <r>
      <rPr>
        <sz val="8"/>
        <color theme="1"/>
        <rFont val="Aptos Narrow"/>
        <family val="2"/>
        <charset val="129"/>
        <scheme val="minor"/>
      </rPr>
      <t>공급사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기본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배송비</t>
    </r>
  </si>
  <si>
    <r>
      <rPr>
        <sz val="8"/>
        <color theme="1"/>
        <rFont val="Aptos Narrow"/>
        <family val="2"/>
        <charset val="129"/>
        <scheme val="minor"/>
      </rPr>
      <t>개별배송비</t>
    </r>
  </si>
  <si>
    <r>
      <rPr>
        <sz val="8"/>
        <color theme="1"/>
        <rFont val="Aptos Narrow"/>
        <family val="2"/>
        <charset val="129"/>
        <scheme val="minor"/>
      </rPr>
      <t>쿠폰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할인금액</t>
    </r>
    <r>
      <rPr>
        <sz val="8"/>
        <color theme="1"/>
        <rFont val="Aptos Narrow"/>
        <family val="2"/>
        <charset val="1"/>
        <scheme val="minor"/>
      </rPr>
      <t>(</t>
    </r>
    <r>
      <rPr>
        <sz val="8"/>
        <color theme="1"/>
        <rFont val="Aptos Narrow"/>
        <family val="2"/>
        <charset val="129"/>
        <scheme val="minor"/>
      </rPr>
      <t>최종</t>
    </r>
    <r>
      <rPr>
        <sz val="8"/>
        <color theme="1"/>
        <rFont val="Aptos Narrow"/>
        <family val="2"/>
        <charset val="1"/>
        <scheme val="minor"/>
      </rPr>
      <t>)</t>
    </r>
  </si>
  <si>
    <r>
      <rPr>
        <sz val="8"/>
        <color theme="1"/>
        <rFont val="Aptos Narrow"/>
        <family val="2"/>
        <charset val="129"/>
        <scheme val="minor"/>
      </rPr>
      <t>사용한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쿠폰명</t>
    </r>
  </si>
  <si>
    <r>
      <rPr>
        <sz val="8"/>
        <color theme="1"/>
        <rFont val="Aptos Narrow"/>
        <family val="2"/>
        <charset val="129"/>
        <scheme val="minor"/>
      </rPr>
      <t>주문자명</t>
    </r>
  </si>
  <si>
    <r>
      <rPr>
        <sz val="8"/>
        <color theme="1"/>
        <rFont val="Aptos Narrow"/>
        <family val="2"/>
        <charset val="129"/>
        <scheme val="minor"/>
      </rPr>
      <t>반품신청일</t>
    </r>
  </si>
  <si>
    <r>
      <rPr>
        <sz val="8"/>
        <color theme="1"/>
        <rFont val="Aptos Narrow"/>
        <family val="2"/>
        <charset val="129"/>
        <scheme val="minor"/>
      </rPr>
      <t>교환상태</t>
    </r>
  </si>
  <si>
    <r>
      <rPr>
        <sz val="8"/>
        <color theme="1"/>
        <rFont val="Aptos Narrow"/>
        <family val="2"/>
        <charset val="129"/>
        <scheme val="minor"/>
      </rPr>
      <t>쇼핑몰</t>
    </r>
  </si>
  <si>
    <r>
      <rPr>
        <sz val="8"/>
        <color theme="1"/>
        <rFont val="Aptos Narrow"/>
        <family val="2"/>
        <charset val="129"/>
        <scheme val="minor"/>
      </rPr>
      <t>옵션</t>
    </r>
    <r>
      <rPr>
        <sz val="8"/>
        <color theme="1"/>
        <rFont val="Aptos Narrow"/>
        <family val="2"/>
        <charset val="1"/>
        <scheme val="minor"/>
      </rPr>
      <t>+</t>
    </r>
    <r>
      <rPr>
        <sz val="8"/>
        <color theme="1"/>
        <rFont val="Aptos Narrow"/>
        <family val="2"/>
        <charset val="129"/>
        <scheme val="minor"/>
      </rPr>
      <t>판매가</t>
    </r>
  </si>
  <si>
    <r>
      <rPr>
        <sz val="8"/>
        <color theme="1"/>
        <rFont val="Aptos Narrow"/>
        <family val="2"/>
        <charset val="129"/>
        <scheme val="minor"/>
      </rPr>
      <t>주문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상태</t>
    </r>
  </si>
  <si>
    <r>
      <rPr>
        <sz val="8"/>
        <color theme="1"/>
        <rFont val="Aptos Narrow"/>
        <family val="2"/>
        <charset val="129"/>
        <scheme val="minor"/>
      </rPr>
      <t>지역별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배송비</t>
    </r>
  </si>
  <si>
    <r>
      <rPr>
        <sz val="8"/>
        <color theme="1"/>
        <rFont val="Aptos Narrow"/>
        <family val="2"/>
        <charset val="129"/>
        <scheme val="minor"/>
      </rPr>
      <t>환불상태</t>
    </r>
  </si>
  <si>
    <r>
      <rPr>
        <sz val="8"/>
        <color theme="1"/>
        <rFont val="Aptos Narrow"/>
        <family val="2"/>
        <charset val="129"/>
        <scheme val="minor"/>
      </rPr>
      <t>수령인</t>
    </r>
  </si>
  <si>
    <r>
      <rPr>
        <sz val="8"/>
        <color theme="1"/>
        <rFont val="Aptos Narrow"/>
        <family val="2"/>
        <charset val="129"/>
        <scheme val="minor"/>
      </rPr>
      <t>픽키도기클럽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필바이츠</t>
    </r>
    <r>
      <rPr>
        <sz val="8"/>
        <color theme="1"/>
        <rFont val="Aptos Narrow"/>
        <family val="2"/>
        <charset val="1"/>
        <scheme val="minor"/>
      </rPr>
      <t xml:space="preserve"> 45g (5</t>
    </r>
    <r>
      <rPr>
        <sz val="8"/>
        <color theme="1"/>
        <rFont val="Aptos Narrow"/>
        <family val="2"/>
        <charset val="129"/>
        <scheme val="minor"/>
      </rPr>
      <t>개입</t>
    </r>
    <r>
      <rPr>
        <sz val="8"/>
        <color theme="1"/>
        <rFont val="Aptos Narrow"/>
        <family val="2"/>
        <charset val="1"/>
        <scheme val="minor"/>
      </rPr>
      <t xml:space="preserve">) </t>
    </r>
    <r>
      <rPr>
        <sz val="8"/>
        <color theme="1"/>
        <rFont val="Aptos Narrow"/>
        <family val="2"/>
        <charset val="129"/>
        <scheme val="minor"/>
      </rPr>
      <t>강아지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약먹이기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투약보조제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투약보조간식</t>
    </r>
  </si>
  <si>
    <r>
      <rPr>
        <sz val="8"/>
        <color theme="1"/>
        <rFont val="Aptos Narrow"/>
        <family val="2"/>
        <charset val="129"/>
        <scheme val="minor"/>
      </rPr>
      <t>수량</t>
    </r>
    <r>
      <rPr>
        <sz val="8"/>
        <color theme="1"/>
        <rFont val="Aptos Narrow"/>
        <family val="2"/>
        <charset val="1"/>
        <scheme val="minor"/>
      </rPr>
      <t>=1</t>
    </r>
    <r>
      <rPr>
        <sz val="8"/>
        <color theme="1"/>
        <rFont val="Aptos Narrow"/>
        <family val="2"/>
        <charset val="129"/>
        <scheme val="minor"/>
      </rPr>
      <t>개</t>
    </r>
  </si>
  <si>
    <r>
      <rPr>
        <sz val="8"/>
        <color theme="1"/>
        <rFont val="Aptos Narrow"/>
        <family val="2"/>
        <charset val="129"/>
        <scheme val="minor"/>
      </rPr>
      <t>픽키도기클럽</t>
    </r>
  </si>
  <si>
    <r>
      <rPr>
        <sz val="8"/>
        <color theme="1"/>
        <rFont val="Aptos Narrow"/>
        <family val="2"/>
        <charset val="129"/>
        <scheme val="minor"/>
      </rPr>
      <t>우프</t>
    </r>
    <r>
      <rPr>
        <sz val="8"/>
        <color theme="1"/>
        <rFont val="Aptos Narrow"/>
        <family val="2"/>
        <charset val="1"/>
        <scheme val="minor"/>
      </rPr>
      <t>(B2B)</t>
    </r>
  </si>
  <si>
    <r>
      <rPr>
        <sz val="8"/>
        <color theme="1"/>
        <rFont val="Aptos Narrow"/>
        <family val="2"/>
        <charset val="129"/>
        <scheme val="minor"/>
      </rPr>
      <t>배송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완료</t>
    </r>
  </si>
  <si>
    <r>
      <rPr>
        <sz val="8"/>
        <color theme="1"/>
        <rFont val="Aptos Narrow"/>
        <family val="2"/>
        <charset val="129"/>
        <scheme val="minor"/>
      </rPr>
      <t>픽키도기클럽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필바이츠</t>
    </r>
    <r>
      <rPr>
        <sz val="8"/>
        <color theme="1"/>
        <rFont val="Aptos Narrow"/>
        <family val="2"/>
        <charset val="1"/>
        <scheme val="minor"/>
      </rPr>
      <t xml:space="preserve"> 45g (5</t>
    </r>
    <r>
      <rPr>
        <sz val="8"/>
        <color theme="1"/>
        <rFont val="Aptos Narrow"/>
        <family val="2"/>
        <charset val="129"/>
        <scheme val="minor"/>
      </rPr>
      <t>개입</t>
    </r>
    <r>
      <rPr>
        <sz val="8"/>
        <color theme="1"/>
        <rFont val="Aptos Narrow"/>
        <family val="2"/>
        <charset val="1"/>
        <scheme val="minor"/>
      </rPr>
      <t xml:space="preserve">) </t>
    </r>
    <r>
      <rPr>
        <sz val="8"/>
        <color theme="1"/>
        <rFont val="Aptos Narrow"/>
        <family val="2"/>
        <charset val="129"/>
        <scheme val="minor"/>
      </rPr>
      <t>고구마와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피넛버터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비건간식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강아지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투약보조간식</t>
    </r>
  </si>
  <si>
    <r>
      <rPr>
        <sz val="8"/>
        <color theme="1"/>
        <rFont val="Aptos Narrow"/>
        <family val="2"/>
        <charset val="129"/>
        <scheme val="minor"/>
      </rPr>
      <t>픽키도기클럽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필바이츠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비건</t>
    </r>
    <r>
      <rPr>
        <sz val="8"/>
        <color theme="1"/>
        <rFont val="Aptos Narrow"/>
        <family val="2"/>
        <charset val="1"/>
        <scheme val="minor"/>
      </rPr>
      <t xml:space="preserve"> - </t>
    </r>
    <r>
      <rPr>
        <sz val="8"/>
        <color theme="1"/>
        <rFont val="Aptos Narrow"/>
        <family val="2"/>
        <charset val="129"/>
        <scheme val="minor"/>
      </rPr>
      <t>고구마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피넛버</t>
    </r>
    <r>
      <rPr>
        <sz val="8"/>
        <color theme="1"/>
        <rFont val="Aptos Narrow"/>
        <family val="2"/>
        <charset val="1"/>
        <scheme val="minor"/>
      </rPr>
      <t>45g (5</t>
    </r>
    <r>
      <rPr>
        <sz val="8"/>
        <color theme="1"/>
        <rFont val="Aptos Narrow"/>
        <family val="2"/>
        <charset val="129"/>
        <scheme val="minor"/>
      </rPr>
      <t>개입</t>
    </r>
    <r>
      <rPr>
        <sz val="8"/>
        <color theme="1"/>
        <rFont val="Aptos Narrow"/>
        <family val="2"/>
        <charset val="1"/>
        <scheme val="minor"/>
      </rPr>
      <t xml:space="preserve">) </t>
    </r>
    <r>
      <rPr>
        <sz val="8"/>
        <color theme="1"/>
        <rFont val="Aptos Narrow"/>
        <family val="2"/>
        <charset val="129"/>
        <scheme val="minor"/>
      </rPr>
      <t>강아지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약먹이기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투약보조제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family val="2"/>
        <charset val="129"/>
        <scheme val="minor"/>
      </rPr>
      <t>투약보조간식</t>
    </r>
  </si>
  <si>
    <r>
      <rPr>
        <sz val="8"/>
        <color theme="1"/>
        <rFont val="Aptos Narrow"/>
        <family val="2"/>
        <charset val="129"/>
        <scheme val="minor"/>
      </rPr>
      <t>이지연</t>
    </r>
  </si>
  <si>
    <r>
      <t>VIP</t>
    </r>
    <r>
      <rPr>
        <sz val="8"/>
        <color rgb="FFFF0000"/>
        <rFont val="Aptos Narrow"/>
        <family val="2"/>
        <charset val="129"/>
        <scheme val="minor"/>
      </rPr>
      <t>동물의료센터</t>
    </r>
    <r>
      <rPr>
        <sz val="8"/>
        <color rgb="FFFF0000"/>
        <rFont val="Aptos Narrow"/>
        <family val="2"/>
        <charset val="1"/>
        <scheme val="minor"/>
      </rPr>
      <t xml:space="preserve"> </t>
    </r>
    <r>
      <rPr>
        <sz val="8"/>
        <color rgb="FFFF0000"/>
        <rFont val="Aptos Narrow"/>
        <family val="2"/>
        <charset val="129"/>
        <scheme val="minor"/>
      </rPr>
      <t>동대문점</t>
    </r>
    <r>
      <rPr>
        <sz val="8"/>
        <color rgb="FFFF0000"/>
        <rFont val="Aptos Narrow"/>
        <family val="2"/>
        <charset val="1"/>
        <scheme val="minor"/>
      </rPr>
      <t xml:space="preserve"> (</t>
    </r>
    <r>
      <rPr>
        <sz val="8"/>
        <color rgb="FFFF0000"/>
        <rFont val="Aptos Narrow"/>
        <family val="2"/>
        <charset val="129"/>
        <scheme val="minor"/>
      </rPr>
      <t>김보영님</t>
    </r>
    <r>
      <rPr>
        <sz val="8"/>
        <color rgb="FFFF0000"/>
        <rFont val="Aptos Narrow"/>
        <family val="2"/>
        <charset val="1"/>
        <scheme val="minor"/>
      </rPr>
      <t>)</t>
    </r>
  </si>
  <si>
    <t>우프(테일릿)</t>
    <phoneticPr fontId="24" type="noConversion"/>
  </si>
  <si>
    <t>대리점</t>
    <phoneticPr fontId="24" type="noConversion"/>
  </si>
  <si>
    <t>픽키도기클럽 필바이츠 45g (5개입) 고구마와 피넛버터 비건간식 강아지 투약보조간식</t>
    <phoneticPr fontId="24" type="noConversion"/>
  </si>
  <si>
    <t>2026051130555701</t>
  </si>
  <si>
    <t>2026051159050161</t>
  </si>
  <si>
    <t>이윤주</t>
  </si>
  <si>
    <t>alji*******</t>
  </si>
  <si>
    <t>92234975700</t>
  </si>
  <si>
    <t>13464102127</t>
  </si>
  <si>
    <t>2026051162020871</t>
  </si>
  <si>
    <t>파마스퀘어(엘피네트웍스)</t>
    <phoneticPr fontId="24" type="noConversion"/>
  </si>
  <si>
    <t>수수료 기준금액</t>
  </si>
  <si>
    <t>수수료 구분</t>
  </si>
  <si>
    <t>매출연동수수료 상세</t>
  </si>
  <si>
    <t>수수료상한액</t>
  </si>
  <si>
    <t>수수료금액</t>
  </si>
  <si>
    <t>0</t>
  </si>
  <si>
    <t>2026.05.01</t>
  </si>
  <si>
    <t>Npay 수수료</t>
  </si>
  <si>
    <t>네이버페이 포인트·머니</t>
  </si>
  <si>
    <t>판매 수수료</t>
  </si>
  <si>
    <t>스마트스토어 판매수수료</t>
  </si>
  <si>
    <t>5</t>
  </si>
  <si>
    <t>20260428109065437906</t>
  </si>
  <si>
    <t>김은성</t>
  </si>
  <si>
    <t>2026.05.02</t>
  </si>
  <si>
    <t>9</t>
  </si>
  <si>
    <t>스마트스토어 판매자마케팅수수료</t>
  </si>
  <si>
    <t>20260423109052640574</t>
  </si>
  <si>
    <t>2026.05.06</t>
  </si>
  <si>
    <t>12</t>
  </si>
  <si>
    <t>13</t>
  </si>
  <si>
    <t>14</t>
  </si>
  <si>
    <t>15</t>
  </si>
  <si>
    <t>20260429109069545679</t>
  </si>
  <si>
    <t>16</t>
  </si>
  <si>
    <t>조미선</t>
  </si>
  <si>
    <t>17</t>
  </si>
  <si>
    <t>18</t>
  </si>
  <si>
    <t>20260430109070780579</t>
  </si>
  <si>
    <t>19</t>
  </si>
  <si>
    <t>최영은</t>
  </si>
  <si>
    <t>2026.05.07</t>
  </si>
  <si>
    <t>20</t>
  </si>
  <si>
    <t>21</t>
  </si>
  <si>
    <t>22</t>
  </si>
  <si>
    <t>20260424109057134256</t>
  </si>
  <si>
    <t>23</t>
  </si>
  <si>
    <t>24</t>
  </si>
  <si>
    <t>2026.05.08</t>
  </si>
  <si>
    <t>25</t>
  </si>
  <si>
    <t>솔루션 사용료</t>
  </si>
  <si>
    <t>쇼핑 커넥트 솔루션 사용료</t>
  </si>
  <si>
    <t>26</t>
  </si>
  <si>
    <t>27</t>
  </si>
  <si>
    <t>28</t>
  </si>
  <si>
    <t>29</t>
  </si>
  <si>
    <t>30</t>
  </si>
  <si>
    <t>20260502109075393693</t>
  </si>
  <si>
    <t>31</t>
  </si>
  <si>
    <t>김선영</t>
  </si>
  <si>
    <t>2026.05.11</t>
  </si>
  <si>
    <t>32</t>
  </si>
  <si>
    <t>33</t>
  </si>
  <si>
    <t>34</t>
  </si>
  <si>
    <t>35</t>
  </si>
  <si>
    <t>20260428109066141677</t>
  </si>
  <si>
    <t>36</t>
  </si>
  <si>
    <t>진효정</t>
  </si>
  <si>
    <t>37</t>
  </si>
  <si>
    <t>38</t>
  </si>
  <si>
    <t>39</t>
  </si>
  <si>
    <t>40</t>
  </si>
  <si>
    <t>20260429109069698150</t>
  </si>
  <si>
    <t>41</t>
  </si>
  <si>
    <t>민현정</t>
  </si>
  <si>
    <t>42</t>
  </si>
  <si>
    <t>43</t>
  </si>
  <si>
    <t>44</t>
  </si>
  <si>
    <t>45</t>
  </si>
  <si>
    <t>20260429109067710648</t>
  </si>
  <si>
    <t>46</t>
  </si>
  <si>
    <t>오미경</t>
  </si>
  <si>
    <t>2026.05.09</t>
  </si>
  <si>
    <t>47</t>
  </si>
  <si>
    <t>후불결제</t>
  </si>
  <si>
    <t>48</t>
  </si>
  <si>
    <t>49</t>
  </si>
  <si>
    <t>20260501109072081318</t>
  </si>
  <si>
    <t>50</t>
  </si>
  <si>
    <t>51</t>
  </si>
  <si>
    <t>신예희</t>
  </si>
  <si>
    <t>52</t>
  </si>
  <si>
    <t>53</t>
  </si>
  <si>
    <t>54</t>
  </si>
  <si>
    <t>55</t>
  </si>
  <si>
    <t>56</t>
  </si>
  <si>
    <t>57</t>
  </si>
  <si>
    <t>20260508109090250234</t>
  </si>
  <si>
    <t>58</t>
  </si>
  <si>
    <t>59</t>
  </si>
  <si>
    <t>2026.05.10</t>
  </si>
  <si>
    <t>60</t>
  </si>
  <si>
    <t>61</t>
  </si>
  <si>
    <t>62</t>
  </si>
  <si>
    <t>63</t>
  </si>
  <si>
    <t>20260504109078129919</t>
  </si>
  <si>
    <t>64</t>
  </si>
  <si>
    <t>2026.05.14</t>
  </si>
  <si>
    <t>2026.05.13</t>
  </si>
  <si>
    <t>65</t>
  </si>
  <si>
    <t>66</t>
  </si>
  <si>
    <t>67</t>
  </si>
  <si>
    <t>68</t>
  </si>
  <si>
    <t>20260510109093468553</t>
  </si>
  <si>
    <t>69</t>
  </si>
  <si>
    <t>70</t>
  </si>
  <si>
    <t>71</t>
  </si>
  <si>
    <t>20260510109094116439</t>
  </si>
  <si>
    <t>72</t>
  </si>
  <si>
    <t>2026.05.15</t>
  </si>
  <si>
    <t>73</t>
  </si>
  <si>
    <t>74</t>
  </si>
  <si>
    <t>20260513109102066226</t>
  </si>
  <si>
    <t>75</t>
  </si>
  <si>
    <t>76</t>
  </si>
  <si>
    <t>77</t>
  </si>
  <si>
    <t>20260513109102176146</t>
  </si>
  <si>
    <t>78</t>
  </si>
  <si>
    <t>79</t>
  </si>
  <si>
    <t>80</t>
  </si>
  <si>
    <t>20260513109102214675</t>
  </si>
  <si>
    <t>81</t>
  </si>
  <si>
    <t>82</t>
  </si>
  <si>
    <t>83</t>
  </si>
  <si>
    <t>84</t>
  </si>
  <si>
    <t>20260513109102229989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</si>
  <si>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</si>
  <si>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</si>
  <si>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</si>
  <si>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</si>
  <si>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</si>
  <si>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</si>
  <si>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</si>
  <si>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</si>
  <si>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</si>
  <si>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</si>
  <si>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</si>
  <si>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</si>
  <si>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</si>
  <si>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</si>
  <si>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20260513109102349982</t>
  </si>
  <si>
    <t>99</t>
  </si>
  <si>
    <t>100</t>
  </si>
  <si>
    <t>2026.05.18</t>
  </si>
  <si>
    <t>101</t>
  </si>
  <si>
    <t>102</t>
  </si>
  <si>
    <t>103</t>
  </si>
  <si>
    <t>104</t>
  </si>
  <si>
    <t>105</t>
  </si>
  <si>
    <t>106</t>
  </si>
  <si>
    <t>20260506109083501130</t>
  </si>
  <si>
    <t>107</t>
  </si>
  <si>
    <t>108</t>
  </si>
  <si>
    <t>109</t>
  </si>
  <si>
    <t>110</t>
  </si>
  <si>
    <t>20260513109102103540</t>
  </si>
  <si>
    <t>111</t>
  </si>
  <si>
    <t>112</t>
  </si>
  <si>
    <t>113</t>
  </si>
  <si>
    <t>20260513109102493698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</si>
  <si>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</si>
  <si>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</si>
  <si>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</si>
  <si>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</si>
  <si>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</si>
  <si>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</si>
  <si>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</si>
  <si>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</si>
  <si>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</si>
  <si>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</si>
  <si>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20260513109102901498</t>
  </si>
  <si>
    <t>124</t>
  </si>
  <si>
    <t>125</t>
  </si>
  <si>
    <t>126</t>
  </si>
  <si>
    <t>127</t>
  </si>
  <si>
    <t>128</t>
  </si>
  <si>
    <t>20260514109103893860</t>
  </si>
  <si>
    <t>129</t>
  </si>
  <si>
    <t>130</t>
  </si>
  <si>
    <t>2026.05.16</t>
  </si>
  <si>
    <t>131</t>
  </si>
  <si>
    <t>132</t>
  </si>
  <si>
    <t>133</t>
  </si>
  <si>
    <t>134</t>
  </si>
  <si>
    <t>20260506109085249873</t>
  </si>
  <si>
    <t>135</t>
  </si>
  <si>
    <t>136</t>
  </si>
  <si>
    <t>137</t>
  </si>
  <si>
    <t>138</t>
  </si>
  <si>
    <t>139</t>
  </si>
  <si>
    <t>20260514109103849025</t>
  </si>
  <si>
    <t>140</t>
  </si>
  <si>
    <t>141</t>
  </si>
  <si>
    <t>142</t>
  </si>
  <si>
    <t>20260515109106906868</t>
  </si>
  <si>
    <t>143</t>
  </si>
  <si>
    <t>2026.05.17</t>
  </si>
  <si>
    <t>144</t>
  </si>
  <si>
    <t>145</t>
  </si>
  <si>
    <t>20260513109102171479</t>
  </si>
  <si>
    <t>146</t>
  </si>
  <si>
    <t>147</t>
  </si>
  <si>
    <t>148</t>
  </si>
  <si>
    <t>20260513109103656748</t>
  </si>
  <si>
    <t>149</t>
  </si>
  <si>
    <t>150</t>
  </si>
  <si>
    <t>151</t>
  </si>
  <si>
    <t>20260515109107027164</t>
  </si>
  <si>
    <t>152</t>
  </si>
  <si>
    <t>2026.05.19</t>
  </si>
  <si>
    <t>153</t>
  </si>
  <si>
    <t>154</t>
  </si>
  <si>
    <t>20260513109102741866</t>
  </si>
  <si>
    <t>155</t>
  </si>
  <si>
    <t>156</t>
  </si>
  <si>
    <t>157</t>
  </si>
  <si>
    <t>20260514109103812789</t>
  </si>
  <si>
    <t>158</t>
  </si>
  <si>
    <t>159</t>
  </si>
  <si>
    <t>160</t>
  </si>
  <si>
    <t>20260514109104553587</t>
  </si>
  <si>
    <t>161</t>
  </si>
  <si>
    <t>162</t>
  </si>
  <si>
    <t>163</t>
  </si>
  <si>
    <t>164</t>
  </si>
  <si>
    <t>165</t>
  </si>
  <si>
    <t>20260514109104744575</t>
  </si>
  <si>
    <t>166</t>
  </si>
  <si>
    <t>167</t>
  </si>
  <si>
    <t>168</t>
  </si>
  <si>
    <t>169</t>
  </si>
  <si>
    <t>20260514109105101179</t>
  </si>
  <si>
    <t>170</t>
  </si>
  <si>
    <t>171</t>
  </si>
  <si>
    <t>2026.05.20</t>
  </si>
  <si>
    <t>172</t>
  </si>
  <si>
    <t>173</t>
  </si>
  <si>
    <t>20260513109102020500</t>
  </si>
  <si>
    <t>174</t>
  </si>
  <si>
    <t>175</t>
  </si>
  <si>
    <t>176</t>
  </si>
  <si>
    <t>20260514109105235252</t>
  </si>
  <si>
    <t>177</t>
  </si>
  <si>
    <t>178</t>
  </si>
  <si>
    <t>179</t>
  </si>
  <si>
    <t>180</t>
  </si>
  <si>
    <t>20260515109108613733</t>
  </si>
  <si>
    <t>181</t>
  </si>
  <si>
    <t>182</t>
  </si>
  <si>
    <t>183</t>
  </si>
  <si>
    <t>184</t>
  </si>
  <si>
    <t>20260518109113279484</t>
  </si>
  <si>
    <t>185</t>
  </si>
  <si>
    <t>2026.05.22</t>
  </si>
  <si>
    <t>2026.05.21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</si>
  <si>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</si>
  <si>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</si>
  <si>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</si>
  <si>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</si>
  <si>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</si>
  <si>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</si>
  <si>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</si>
  <si>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</si>
  <si>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</si>
  <si>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</si>
  <si>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</si>
  <si>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</si>
  <si>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</si>
  <si>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</si>
  <si>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</si>
  <si>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</si>
  <si>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</si>
  <si>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</si>
  <si>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20260520109119603032</t>
  </si>
  <si>
    <t>204</t>
  </si>
  <si>
    <t>2026.05.26</t>
  </si>
  <si>
    <t>205</t>
  </si>
  <si>
    <t>206</t>
  </si>
  <si>
    <t>207</t>
  </si>
  <si>
    <t>208</t>
  </si>
  <si>
    <t>20260513109102043253</t>
  </si>
  <si>
    <t>209</t>
  </si>
  <si>
    <t>210</t>
  </si>
  <si>
    <t>211</t>
  </si>
  <si>
    <t>20260513109102150185</t>
  </si>
  <si>
    <t>212</t>
  </si>
  <si>
    <t>213</t>
  </si>
  <si>
    <t>214</t>
  </si>
  <si>
    <t>215</t>
  </si>
  <si>
    <t>216</t>
  </si>
  <si>
    <t>217</t>
  </si>
  <si>
    <t>218</t>
  </si>
  <si>
    <t>20260513109102405753</t>
  </si>
  <si>
    <t>219</t>
  </si>
  <si>
    <t>220</t>
  </si>
  <si>
    <t>221</t>
  </si>
  <si>
    <t>222</t>
  </si>
  <si>
    <t>20260514109105869322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</si>
  <si>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</si>
  <si>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</si>
  <si>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</si>
  <si>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</si>
  <si>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</si>
  <si>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</si>
  <si>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</si>
  <si>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</si>
  <si>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</si>
  <si>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</si>
  <si>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20260516109110346351</t>
  </si>
  <si>
    <t>233</t>
  </si>
  <si>
    <t>234</t>
  </si>
  <si>
    <t>235</t>
  </si>
  <si>
    <t>236</t>
  </si>
  <si>
    <t>237</t>
  </si>
  <si>
    <t>20260517109110546154</t>
  </si>
  <si>
    <t>238</t>
  </si>
  <si>
    <t>239</t>
  </si>
  <si>
    <t>240</t>
  </si>
  <si>
    <t>241</t>
  </si>
  <si>
    <t>242</t>
  </si>
  <si>
    <t>243</t>
  </si>
  <si>
    <t>20260520109119762002</t>
  </si>
  <si>
    <t>244</t>
  </si>
  <si>
    <t>245</t>
  </si>
  <si>
    <t>246</t>
  </si>
  <si>
    <t>247</t>
  </si>
  <si>
    <t>20260520109120009012</t>
  </si>
  <si>
    <t>248</t>
  </si>
  <si>
    <t>249</t>
  </si>
  <si>
    <t>2026.05.23</t>
  </si>
  <si>
    <t>250</t>
  </si>
  <si>
    <t>251</t>
  </si>
  <si>
    <t>20260513109102723739</t>
  </si>
  <si>
    <t>252</t>
  </si>
  <si>
    <t>253</t>
  </si>
  <si>
    <t>254</t>
  </si>
  <si>
    <t>255</t>
  </si>
  <si>
    <t>20260513109102771077</t>
  </si>
  <si>
    <t>256</t>
  </si>
  <si>
    <t>257</t>
  </si>
  <si>
    <t>258</t>
  </si>
  <si>
    <t>259</t>
  </si>
  <si>
    <t>20260513109103480724</t>
  </si>
  <si>
    <t>260</t>
  </si>
  <si>
    <t>261</t>
  </si>
  <si>
    <t>262</t>
  </si>
  <si>
    <t>20260514109104018529</t>
  </si>
  <si>
    <t>263</t>
  </si>
  <si>
    <t>264</t>
  </si>
  <si>
    <t>265</t>
  </si>
  <si>
    <t>20260515109108684655</t>
  </si>
  <si>
    <t>266</t>
  </si>
  <si>
    <t>267</t>
  </si>
  <si>
    <t>268</t>
  </si>
  <si>
    <t>20260518109114685123</t>
  </si>
  <si>
    <t>269</t>
  </si>
  <si>
    <t>270</t>
  </si>
  <si>
    <t>271</t>
  </si>
  <si>
    <t>20260521109122505939</t>
  </si>
  <si>
    <t>272</t>
  </si>
  <si>
    <t>273</t>
  </si>
  <si>
    <t>274</t>
  </si>
  <si>
    <t>20260521109122513598</t>
  </si>
  <si>
    <t>275</t>
  </si>
  <si>
    <t>2026.05.24</t>
  </si>
  <si>
    <t>276</t>
  </si>
  <si>
    <t>277</t>
  </si>
  <si>
    <t>278</t>
  </si>
  <si>
    <t>20260515109107041083</t>
  </si>
  <si>
    <t>279</t>
  </si>
  <si>
    <t>280</t>
  </si>
  <si>
    <t>2026.05.27</t>
  </si>
  <si>
    <t>281</t>
  </si>
  <si>
    <t>282</t>
  </si>
  <si>
    <t>20260521109123169851</t>
  </si>
  <si>
    <t>283</t>
  </si>
  <si>
    <t>2026.05.28</t>
  </si>
  <si>
    <t>284</t>
  </si>
  <si>
    <t>285</t>
  </si>
  <si>
    <t>20260516109108713730</t>
  </si>
  <si>
    <t>286</t>
  </si>
  <si>
    <t>287</t>
  </si>
  <si>
    <t>288</t>
  </si>
  <si>
    <t>20260517109110904871</t>
  </si>
  <si>
    <t>289</t>
  </si>
  <si>
    <t>290</t>
  </si>
  <si>
    <t>291</t>
  </si>
  <si>
    <t>292</t>
  </si>
  <si>
    <t>293</t>
  </si>
  <si>
    <t>20260517109111657947</t>
  </si>
  <si>
    <t>294</t>
  </si>
  <si>
    <t>295</t>
  </si>
  <si>
    <t>296</t>
  </si>
  <si>
    <t>297</t>
  </si>
  <si>
    <t>20260518109112892267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</si>
  <si>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</si>
  <si>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</si>
  <si>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</si>
  <si>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</si>
  <si>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</si>
  <si>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</si>
  <si>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</si>
  <si>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</si>
  <si>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</si>
  <si>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</si>
  <si>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</si>
  <si>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</si>
  <si>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</si>
  <si>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</si>
  <si>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20260522109124709962</t>
  </si>
  <si>
    <t>312</t>
  </si>
  <si>
    <t>313</t>
  </si>
  <si>
    <t>314</t>
  </si>
  <si>
    <t>315</t>
  </si>
  <si>
    <t>316</t>
  </si>
  <si>
    <t>20260525109131292908</t>
  </si>
  <si>
    <t>317</t>
  </si>
  <si>
    <t>318</t>
  </si>
  <si>
    <t>2026.05.29</t>
  </si>
  <si>
    <t>319</t>
  </si>
  <si>
    <t>320</t>
  </si>
  <si>
    <t>20260527109135555113</t>
  </si>
  <si>
    <t>321</t>
  </si>
  <si>
    <t>2026.06.01</t>
  </si>
  <si>
    <t>322</t>
  </si>
  <si>
    <t>323</t>
  </si>
  <si>
    <t>20260519109117487339</t>
  </si>
  <si>
    <t>324</t>
  </si>
  <si>
    <t>325</t>
  </si>
  <si>
    <t>326</t>
  </si>
  <si>
    <t>20260520109118686934</t>
  </si>
  <si>
    <t>327</t>
  </si>
  <si>
    <t>2026.05.30</t>
  </si>
  <si>
    <t>328</t>
  </si>
  <si>
    <t>329</t>
  </si>
  <si>
    <t>20260520109120200767</t>
  </si>
  <si>
    <t>330</t>
  </si>
  <si>
    <t>331</t>
  </si>
  <si>
    <t>332</t>
  </si>
  <si>
    <t>20260520109120448852</t>
  </si>
  <si>
    <t>333</t>
  </si>
  <si>
    <t>334</t>
  </si>
  <si>
    <t>335</t>
  </si>
  <si>
    <t>336</t>
  </si>
  <si>
    <t>20260520109121247659</t>
  </si>
  <si>
    <t>337</t>
  </si>
  <si>
    <t>338</t>
  </si>
  <si>
    <t>339</t>
  </si>
  <si>
    <t>340</t>
  </si>
  <si>
    <t>20260523109126472944</t>
  </si>
  <si>
    <t>341</t>
  </si>
  <si>
    <t>342</t>
  </si>
  <si>
    <t>343</t>
  </si>
  <si>
    <t>20260524109128373899</t>
  </si>
  <si>
    <t>344</t>
  </si>
  <si>
    <t>345</t>
  </si>
  <si>
    <t>346</t>
  </si>
  <si>
    <t>347</t>
  </si>
  <si>
    <t>348</t>
  </si>
  <si>
    <t>20260525109129684808</t>
  </si>
  <si>
    <t>349</t>
  </si>
  <si>
    <t>350</t>
  </si>
  <si>
    <t>351</t>
  </si>
  <si>
    <t>20260526109131811811</t>
  </si>
  <si>
    <t>352</t>
  </si>
  <si>
    <t>2026.05.31</t>
  </si>
  <si>
    <t>353</t>
  </si>
  <si>
    <t>354</t>
  </si>
  <si>
    <t>355</t>
  </si>
  <si>
    <t>356</t>
  </si>
  <si>
    <t>357</t>
  </si>
  <si>
    <t>358</t>
  </si>
  <si>
    <t>359</t>
  </si>
  <si>
    <t>20260522109124418201</t>
  </si>
  <si>
    <t>360</t>
  </si>
  <si>
    <t>361</t>
  </si>
  <si>
    <t>362</t>
  </si>
  <si>
    <t>363</t>
  </si>
  <si>
    <t>20260524109129047219</t>
  </si>
  <si>
    <t>정산기간 2026 5/1 - 5/31</t>
    <phoneticPr fontId="24" type="noConversion"/>
  </si>
  <si>
    <r>
      <t>철수마켓</t>
    </r>
    <r>
      <rPr>
        <sz val="10"/>
        <color theme="1"/>
        <rFont val="Aptos Narrow"/>
        <family val="2"/>
        <charset val="1"/>
        <scheme val="minor"/>
      </rPr>
      <t>(</t>
    </r>
    <r>
      <rPr>
        <sz val="10"/>
        <color theme="1"/>
        <rFont val="Aptos Narrow"/>
        <scheme val="minor"/>
      </rPr>
      <t>오프라인플리마켓</t>
    </r>
    <r>
      <rPr>
        <sz val="10"/>
        <color theme="1"/>
        <rFont val="Aptos Narrow"/>
        <family val="2"/>
        <charset val="1"/>
        <scheme val="minor"/>
      </rPr>
      <t>)</t>
    </r>
    <phoneticPr fontId="24" type="noConversion"/>
  </si>
  <si>
    <r>
      <t>정산</t>
    </r>
    <r>
      <rPr>
        <b/>
        <sz val="11"/>
        <color theme="1"/>
        <rFont val="Aptos Narrow"/>
        <family val="2"/>
        <charset val="1"/>
        <scheme val="minor"/>
      </rPr>
      <t xml:space="preserve"> </t>
    </r>
    <r>
      <rPr>
        <b/>
        <sz val="11"/>
        <color theme="1"/>
        <rFont val="Aptos Narrow"/>
        <scheme val="minor"/>
      </rPr>
      <t>확정</t>
    </r>
    <r>
      <rPr>
        <b/>
        <sz val="11"/>
        <color theme="1"/>
        <rFont val="Aptos Narrow"/>
        <family val="2"/>
        <charset val="1"/>
        <scheme val="minor"/>
      </rPr>
      <t xml:space="preserve"> </t>
    </r>
    <r>
      <rPr>
        <b/>
        <sz val="11"/>
        <color theme="1"/>
        <rFont val="Aptos Narrow"/>
        <scheme val="minor"/>
      </rPr>
      <t>금액</t>
    </r>
    <phoneticPr fontId="24" type="noConversion"/>
  </si>
  <si>
    <t>보내는 사람 이름</t>
  </si>
  <si>
    <t>보내는 사람 전화번호</t>
  </si>
  <si>
    <t>보내는 사람 전화번호2</t>
  </si>
  <si>
    <t>보내는 사람 주소</t>
  </si>
  <si>
    <t>보내는 사람 상세 주소</t>
  </si>
  <si>
    <t>받는 사람 이름</t>
  </si>
  <si>
    <t>받는 사람 전화번호</t>
  </si>
  <si>
    <t>받는사람 전화번호2</t>
  </si>
  <si>
    <t>상품 이름</t>
  </si>
  <si>
    <t>옵션 이름</t>
  </si>
  <si>
    <t>상품 수량</t>
  </si>
  <si>
    <t>92700894624</t>
  </si>
  <si>
    <t>백승원</t>
  </si>
  <si>
    <t>010-9108-0328</t>
  </si>
  <si>
    <t>서울 강남구 언주로30길 57 (타워팰리스)</t>
  </si>
  <si>
    <t>타워팰리스2차 F동3304호</t>
  </si>
  <si>
    <t>필바이츠 비건 (고구마와 피넛버터) 45g - 2개입</t>
  </si>
  <si>
    <t xml:space="preserve">픽키도기클럽 필바이츠 </t>
  </si>
  <si>
    <t>20260507-01</t>
  </si>
  <si>
    <t>92700544871</t>
  </si>
  <si>
    <t>윤하리</t>
  </si>
  <si>
    <t>010-2357-3154</t>
  </si>
  <si>
    <t>경기 광주시 상태길68번길 5-1 (씨에로빌)</t>
  </si>
  <si>
    <t xml:space="preserve">101동 402호 </t>
  </si>
  <si>
    <t xml:space="preserve">필바이츠 오리지널 20P </t>
  </si>
  <si>
    <t>(청담VIP구매건 불량교환출고)</t>
  </si>
  <si>
    <t>본사발송 로젠(5월)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</si>
</sst>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₩&quot;* #,##0_);_(&quot;₩&quot;* \(#,##0\);_(&quot;₩&quot;* &quot;-&quot;_);_(@_)"/>
    <numFmt numFmtId="41" formatCode="_(* #,##0_);_(* \(#,##0\);_(* &quot;-&quot;_);_(@_)"/>
    <numFmt numFmtId="176" formatCode="_-* #,##0_-;\-* #,##0_-;_-* &quot;-&quot;_-;_-@"/>
    <numFmt numFmtId="177" formatCode="0_);[Red]\(0\)"/>
    <numFmt numFmtId="178" formatCode="yyyy\-mm\-dd"/>
    <numFmt numFmtId="179" formatCode="yyyy/mm/dd\ hh:mm"/>
    <numFmt numFmtId="182" formatCode="_-* #,##0_-;\-* #,##0_-;_-* &quot;-&quot;_-;_-@_-"/>
    <numFmt numFmtId="183" formatCode="yyyymmdd"/>
    <numFmt numFmtId="184" formatCode="&quot;\&quot;#,##0"/>
  </numFmts>
  <fonts count="75">
    <font>
      <sz val="11"/>
      <color theme="1"/>
      <name val="Aptos Narrow"/>
      <scheme val="minor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charset val="129"/>
    </font>
    <font>
      <b/>
      <sz val="8"/>
      <color theme="1"/>
      <name val="&quot;맑은 고딕&quot;"/>
      <charset val="129"/>
    </font>
    <font>
      <sz val="8"/>
      <color rgb="FF000000"/>
      <name val="&quot;Noto Sans KR&quot;"/>
    </font>
    <font>
      <sz val="11"/>
      <name val="Aptos Narrow"/>
    </font>
    <font>
      <sz val="8"/>
      <color theme="1"/>
      <name val="&quot;맑은 고딕&quot;"/>
      <charset val="129"/>
    </font>
    <font>
      <sz val="8"/>
      <color rgb="FFFF0000"/>
      <name val="&quot;맑은 고딕&quot;"/>
      <charset val="129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8"/>
      <color rgb="FF1155CC"/>
      <name val="Malgun Gothic"/>
      <family val="2"/>
      <charset val="129"/>
    </font>
    <font>
      <b/>
      <sz val="8"/>
      <color rgb="FF666666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8"/>
      <color rgb="FF000000"/>
      <name val="Malgun Gothic"/>
      <family val="2"/>
      <charset val="129"/>
    </font>
    <font>
      <sz val="8"/>
      <color theme="1"/>
      <name val="Arial"/>
      <family val="2"/>
    </font>
    <font>
      <sz val="9"/>
      <color theme="1"/>
      <name val="Malgun Gothic"/>
      <family val="2"/>
      <charset val="129"/>
    </font>
    <font>
      <b/>
      <sz val="10"/>
      <color rgb="FFFF0000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1"/>
      <color theme="1"/>
      <name val="Aptos Narrow"/>
      <scheme val="minor"/>
    </font>
    <font>
      <sz val="8"/>
      <name val="Aptos Narrow"/>
      <family val="3"/>
      <charset val="129"/>
      <scheme val="minor"/>
    </font>
    <font>
      <sz val="8"/>
      <color theme="1"/>
      <name val="Malgun Gothic"/>
      <family val="2"/>
      <charset val="129"/>
    </font>
    <font>
      <sz val="9"/>
      <color indexed="8"/>
      <name val="나눔고딕"/>
      <family val="2"/>
      <charset val="129"/>
    </font>
    <font>
      <sz val="9"/>
      <color theme="1"/>
      <name val="Aptos Narrow"/>
      <scheme val="minor"/>
    </font>
    <font>
      <sz val="8"/>
      <color theme="1"/>
      <name val="Aptos Narrow"/>
      <scheme val="minor"/>
    </font>
    <font>
      <b/>
      <sz val="9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sz val="8"/>
      <name val="Aptos Narrow"/>
      <family val="2"/>
      <charset val="129"/>
      <scheme val="minor"/>
    </font>
    <font>
      <sz val="9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0"/>
      <color theme="1"/>
      <name val="Noto Sans KR"/>
      <family val="2"/>
      <charset val="129"/>
    </font>
    <font>
      <sz val="9"/>
      <color theme="1"/>
      <name val="Aptos Narrow"/>
      <family val="2"/>
      <charset val="1"/>
      <scheme val="minor"/>
    </font>
    <font>
      <sz val="8"/>
      <name val="Aptos Narrow"/>
    </font>
    <font>
      <sz val="6"/>
      <color rgb="FF000000"/>
      <name val="&quot;맑은 고딕&quot;"/>
      <charset val="129"/>
    </font>
    <font>
      <b/>
      <sz val="8"/>
      <color rgb="FFFF0000"/>
      <name val="&quot;맑은 고딕&quot;"/>
      <charset val="129"/>
    </font>
    <font>
      <b/>
      <sz val="8"/>
      <color theme="1"/>
      <name val="Malgun Gothic"/>
      <family val="2"/>
      <charset val="129"/>
    </font>
    <font>
      <b/>
      <sz val="8"/>
      <color rgb="FF000000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b/>
      <sz val="8"/>
      <color rgb="FF000000"/>
      <name val="&quot;맑은 고딕&quot;"/>
      <charset val="129"/>
    </font>
    <font>
      <b/>
      <sz val="11"/>
      <color theme="1"/>
      <name val="Aptos Narrow"/>
    </font>
    <font>
      <sz val="10"/>
      <color theme="1"/>
      <name val="Aptos Narrow"/>
      <scheme val="minor"/>
    </font>
    <font>
      <b/>
      <sz val="11"/>
      <color rgb="FFFF0000"/>
      <name val="Aptos Narrow"/>
      <scheme val="minor"/>
    </font>
    <font>
      <sz val="9"/>
      <color theme="1"/>
      <name val="Aptos Narrow"/>
      <family val="2"/>
      <charset val="129"/>
      <scheme val="minor"/>
    </font>
    <font>
      <sz val="11"/>
      <name val="맑은 고딕"/>
      <family val="2"/>
      <charset val="129"/>
    </font>
    <font>
      <b/>
      <sz val="10"/>
      <color theme="1"/>
      <name val="Arial"/>
      <family val="2"/>
    </font>
    <font>
      <b/>
      <sz val="9"/>
      <color theme="1"/>
      <name val="Calibri"/>
      <family val="2"/>
    </font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  <scheme val="minor"/>
    </font>
    <font>
      <sz val="8"/>
      <color rgb="FF000000"/>
      <name val="Times New Roman"/>
      <family val="1"/>
    </font>
    <font>
      <sz val="6"/>
      <color theme="1"/>
      <name val="Aptos Narrow"/>
      <charset val="1"/>
      <scheme val="minor"/>
    </font>
    <font>
      <sz val="9"/>
      <name val="굴림체"/>
      <family val="3"/>
      <charset val="129"/>
    </font>
    <font>
      <sz val="10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8"/>
      <color rgb="FF000000"/>
      <name val="&quot;맑은 고딕&quot;"/>
      <family val="2"/>
      <charset val="129"/>
    </font>
    <font>
      <sz val="9"/>
      <name val="Malgun Gothic"/>
      <family val="2"/>
      <charset val="129"/>
    </font>
    <font>
      <b/>
      <sz val="10"/>
      <name val="맑은 고딕"/>
      <family val="2"/>
      <charset val="129"/>
    </font>
    <font>
      <b/>
      <sz val="12"/>
      <color theme="1"/>
      <name val="Aptos Narrow"/>
      <family val="2"/>
      <charset val="129"/>
      <scheme val="minor"/>
    </font>
    <font>
      <b/>
      <sz val="9"/>
      <color theme="1"/>
      <name val="Aptos Narrow"/>
      <family val="2"/>
      <charset val="129"/>
      <scheme val="minor"/>
    </font>
    <font>
      <sz val="9"/>
      <color rgb="FFFF0000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charset val="1"/>
      <scheme val="minor"/>
    </font>
    <font>
      <sz val="10"/>
      <color theme="1"/>
      <name val="Aptos Narrow"/>
      <family val="2"/>
      <charset val="1"/>
      <scheme val="minor"/>
    </font>
    <font>
      <sz val="8"/>
      <color theme="1"/>
      <name val="Aptos Narrow"/>
      <family val="2"/>
      <scheme val="minor"/>
    </font>
    <font>
      <sz val="8"/>
      <color theme="1"/>
      <name val="Aptos Narrow"/>
      <family val="2"/>
      <charset val="129"/>
      <scheme val="minor"/>
    </font>
    <font>
      <sz val="8"/>
      <color theme="1"/>
      <name val="Aptos Narrow"/>
      <family val="2"/>
      <charset val="1"/>
      <scheme val="minor"/>
    </font>
    <font>
      <sz val="8"/>
      <color rgb="FFFF0000"/>
      <name val="Aptos Narrow"/>
      <family val="2"/>
      <scheme val="minor"/>
    </font>
    <font>
      <sz val="8"/>
      <color rgb="FFFF0000"/>
      <name val="Aptos Narrow"/>
      <family val="2"/>
      <charset val="129"/>
      <scheme val="minor"/>
    </font>
    <font>
      <sz val="8"/>
      <color rgb="FFFF0000"/>
      <name val="Aptos Narrow"/>
      <family val="2"/>
      <charset val="1"/>
      <scheme val="minor"/>
    </font>
    <font>
      <b/>
      <sz val="9"/>
      <name val="맑은 고딕"/>
      <family val="2"/>
      <charset val="129"/>
    </font>
    <font>
      <sz val="9"/>
      <name val="Aptos Narrow"/>
    </font>
  </fonts>
  <fills count="21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AF2D0"/>
        <bgColor rgb="FFDAF2D0"/>
      </patternFill>
    </fill>
    <fill>
      <patternFill patternType="solid">
        <fgColor rgb="FFC0E6F5"/>
        <bgColor rgb="FFC0E6F5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DBE9F7"/>
        <bgColor rgb="FFDBE9F7"/>
      </patternFill>
    </fill>
    <fill>
      <patternFill patternType="solid">
        <fgColor rgb="FFCCCCCC"/>
        <bgColor rgb="FFCCCCCC"/>
      </patternFill>
    </fill>
    <fill>
      <patternFill patternType="solid">
        <fgColor rgb="FFDAE9F8"/>
        <bgColor rgb="FFDAE9F8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rgb="FFBDD5EC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6" tint="0.79998168889431442"/>
        <bgColor rgb="FFCCCCCC"/>
      </patternFill>
    </fill>
    <fill>
      <patternFill patternType="solid">
        <fgColor rgb="FFF5F5F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CCFF"/>
      </patternFill>
    </fill>
  </fills>
  <borders count="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/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182" fontId="51" fillId="0" borderId="0" applyFont="0" applyFill="0" applyBorder="0" applyAlignment="0" applyProtection="0">
      <alignment vertical="center"/>
    </xf>
    <xf numFmtId="0" fontId="55" fillId="0" borderId="0"/>
  </cellStyleXfs>
  <cellXfs count="35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3" fontId="7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2" fillId="0" borderId="2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41" fontId="10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176" fontId="8" fillId="0" borderId="1" xfId="0" applyNumberFormat="1" applyFont="1" applyBorder="1" applyAlignment="1">
      <alignment horizontal="center" vertical="center"/>
    </xf>
    <xf numFmtId="41" fontId="9" fillId="0" borderId="1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6" fontId="10" fillId="0" borderId="17" xfId="0" applyNumberFormat="1" applyFont="1" applyBorder="1" applyAlignment="1">
      <alignment horizontal="center" vertical="center"/>
    </xf>
    <xf numFmtId="176" fontId="10" fillId="0" borderId="18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1" fontId="10" fillId="7" borderId="1" xfId="0" applyNumberFormat="1" applyFont="1" applyFill="1" applyBorder="1" applyAlignment="1">
      <alignment horizontal="center" vertical="center"/>
    </xf>
    <xf numFmtId="176" fontId="10" fillId="0" borderId="22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76" fontId="10" fillId="0" borderId="27" xfId="0" applyNumberFormat="1" applyFont="1" applyBorder="1" applyAlignment="1">
      <alignment horizontal="center" vertical="center"/>
    </xf>
    <xf numFmtId="176" fontId="13" fillId="0" borderId="27" xfId="0" applyNumberFormat="1" applyFont="1" applyBorder="1" applyAlignment="1">
      <alignment horizontal="center" vertical="center"/>
    </xf>
    <xf numFmtId="9" fontId="10" fillId="0" borderId="27" xfId="0" applyNumberFormat="1" applyFont="1" applyBorder="1" applyAlignment="1">
      <alignment horizontal="center" vertical="center"/>
    </xf>
    <xf numFmtId="176" fontId="13" fillId="7" borderId="27" xfId="0" applyNumberFormat="1" applyFont="1" applyFill="1" applyBorder="1" applyAlignment="1">
      <alignment horizontal="center" vertical="center"/>
    </xf>
    <xf numFmtId="176" fontId="10" fillId="7" borderId="28" xfId="0" applyNumberFormat="1" applyFont="1" applyFill="1" applyBorder="1" applyAlignment="1">
      <alignment horizontal="center" vertical="center"/>
    </xf>
    <xf numFmtId="176" fontId="10" fillId="0" borderId="29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41" fontId="8" fillId="0" borderId="22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41" fontId="10" fillId="7" borderId="27" xfId="0" applyNumberFormat="1" applyFont="1" applyFill="1" applyBorder="1" applyAlignment="1">
      <alignment vertical="center"/>
    </xf>
    <xf numFmtId="176" fontId="17" fillId="0" borderId="29" xfId="0" applyNumberFormat="1" applyFont="1" applyBorder="1" applyAlignment="1">
      <alignment horizontal="center" vertical="center"/>
    </xf>
    <xf numFmtId="41" fontId="10" fillId="0" borderId="22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1" fontId="10" fillId="0" borderId="10" xfId="0" applyNumberFormat="1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9" fontId="10" fillId="0" borderId="10" xfId="0" applyNumberFormat="1" applyFont="1" applyBorder="1" applyAlignment="1">
      <alignment horizontal="center" vertical="center"/>
    </xf>
    <xf numFmtId="41" fontId="10" fillId="0" borderId="32" xfId="0" applyNumberFormat="1" applyFont="1" applyBorder="1" applyAlignment="1">
      <alignment horizontal="center" vertical="center"/>
    </xf>
    <xf numFmtId="41" fontId="10" fillId="0" borderId="27" xfId="0" applyNumberFormat="1" applyFont="1" applyBorder="1" applyAlignment="1">
      <alignment horizontal="center" vertical="center"/>
    </xf>
    <xf numFmtId="41" fontId="13" fillId="0" borderId="27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41" fontId="8" fillId="0" borderId="0" xfId="0" applyNumberFormat="1" applyFont="1" applyAlignment="1">
      <alignment vertical="center"/>
    </xf>
    <xf numFmtId="41" fontId="8" fillId="0" borderId="32" xfId="0" applyNumberFormat="1" applyFont="1" applyBorder="1" applyAlignment="1">
      <alignment horizontal="center" vertical="center"/>
    </xf>
    <xf numFmtId="41" fontId="13" fillId="7" borderId="27" xfId="0" applyNumberFormat="1" applyFont="1" applyFill="1" applyBorder="1" applyAlignment="1">
      <alignment horizontal="center" vertical="center"/>
    </xf>
    <xf numFmtId="41" fontId="10" fillId="7" borderId="28" xfId="0" applyNumberFormat="1" applyFont="1" applyFill="1" applyBorder="1" applyAlignment="1">
      <alignment horizontal="center" vertical="center"/>
    </xf>
    <xf numFmtId="41" fontId="10" fillId="0" borderId="29" xfId="0" applyNumberFormat="1" applyFont="1" applyBorder="1" applyAlignment="1">
      <alignment horizontal="center" vertical="center"/>
    </xf>
    <xf numFmtId="41" fontId="13" fillId="7" borderId="33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41" fontId="10" fillId="7" borderId="27" xfId="0" applyNumberFormat="1" applyFont="1" applyFill="1" applyBorder="1" applyAlignment="1">
      <alignment horizontal="center" vertical="center"/>
    </xf>
    <xf numFmtId="41" fontId="17" fillId="0" borderId="29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176" fontId="16" fillId="0" borderId="0" xfId="0" applyNumberFormat="1" applyFont="1" applyAlignment="1">
      <alignment vertical="center"/>
    </xf>
    <xf numFmtId="178" fontId="16" fillId="10" borderId="0" xfId="0" applyNumberFormat="1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vertical="center"/>
    </xf>
    <xf numFmtId="176" fontId="16" fillId="10" borderId="0" xfId="0" applyNumberFormat="1" applyFont="1" applyFill="1" applyAlignment="1">
      <alignment vertical="center"/>
    </xf>
    <xf numFmtId="176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76" fontId="19" fillId="0" borderId="0" xfId="0" applyNumberFormat="1" applyFont="1" applyAlignment="1">
      <alignment horizontal="center" vertical="center"/>
    </xf>
    <xf numFmtId="0" fontId="21" fillId="0" borderId="36" xfId="0" applyFont="1" applyBorder="1" applyAlignment="1">
      <alignment vertical="center" wrapText="1"/>
    </xf>
    <xf numFmtId="49" fontId="22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76" fontId="25" fillId="0" borderId="0" xfId="0" applyNumberFormat="1" applyFont="1" applyAlignment="1">
      <alignment vertical="center"/>
    </xf>
    <xf numFmtId="22" fontId="25" fillId="0" borderId="0" xfId="0" applyNumberFormat="1" applyFont="1" applyAlignment="1">
      <alignment vertical="center"/>
    </xf>
    <xf numFmtId="178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3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3" fontId="26" fillId="0" borderId="39" xfId="0" applyNumberFormat="1" applyFont="1" applyBorder="1" applyAlignment="1">
      <alignment horizontal="right" vertical="center" wrapText="1"/>
    </xf>
    <xf numFmtId="0" fontId="26" fillId="0" borderId="40" xfId="0" applyFont="1" applyBorder="1" applyAlignment="1">
      <alignment horizontal="center" vertical="center" wrapText="1"/>
    </xf>
    <xf numFmtId="3" fontId="18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29" fillId="11" borderId="41" xfId="0" applyFont="1" applyFill="1" applyBorder="1" applyAlignment="1">
      <alignment horizontal="center" vertical="center" wrapText="1"/>
    </xf>
    <xf numFmtId="0" fontId="29" fillId="11" borderId="42" xfId="0" applyFont="1" applyFill="1" applyBorder="1" applyAlignment="1">
      <alignment horizontal="center" vertical="center" wrapText="1"/>
    </xf>
    <xf numFmtId="0" fontId="30" fillId="11" borderId="42" xfId="0" applyFont="1" applyFill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 wrapText="1"/>
    </xf>
    <xf numFmtId="49" fontId="30" fillId="11" borderId="44" xfId="0" applyNumberFormat="1" applyFont="1" applyFill="1" applyBorder="1" applyAlignment="1">
      <alignment horizontal="center" vertical="center" wrapText="1"/>
    </xf>
    <xf numFmtId="14" fontId="32" fillId="0" borderId="45" xfId="0" applyNumberFormat="1" applyFont="1" applyBorder="1" applyAlignment="1">
      <alignment horizontal="center" vertical="center" wrapText="1"/>
    </xf>
    <xf numFmtId="0" fontId="32" fillId="0" borderId="36" xfId="0" applyFont="1" applyBorder="1" applyAlignment="1">
      <alignment vertical="center" wrapText="1"/>
    </xf>
    <xf numFmtId="0" fontId="32" fillId="0" borderId="36" xfId="0" applyFont="1" applyBorder="1" applyAlignment="1">
      <alignment horizontal="center" vertical="center" wrapText="1"/>
    </xf>
    <xf numFmtId="3" fontId="32" fillId="0" borderId="36" xfId="0" applyNumberFormat="1" applyFont="1" applyBorder="1" applyAlignment="1">
      <alignment horizontal="right" vertical="center" wrapText="1"/>
    </xf>
    <xf numFmtId="49" fontId="33" fillId="0" borderId="37" xfId="0" applyNumberFormat="1" applyFont="1" applyBorder="1" applyAlignment="1">
      <alignment horizontal="left" vertical="center"/>
    </xf>
    <xf numFmtId="49" fontId="34" fillId="0" borderId="46" xfId="0" applyNumberFormat="1" applyFont="1" applyBorder="1" applyAlignment="1">
      <alignment vertical="center" wrapText="1"/>
    </xf>
    <xf numFmtId="14" fontId="32" fillId="0" borderId="47" xfId="0" applyNumberFormat="1" applyFont="1" applyBorder="1" applyAlignment="1">
      <alignment horizontal="center" vertical="center" wrapText="1"/>
    </xf>
    <xf numFmtId="0" fontId="32" fillId="0" borderId="48" xfId="0" applyFont="1" applyBorder="1" applyAlignment="1">
      <alignment vertical="center" wrapText="1"/>
    </xf>
    <xf numFmtId="0" fontId="32" fillId="0" borderId="48" xfId="0" applyFont="1" applyBorder="1" applyAlignment="1">
      <alignment horizontal="center" vertical="center" wrapText="1"/>
    </xf>
    <xf numFmtId="3" fontId="32" fillId="0" borderId="48" xfId="0" applyNumberFormat="1" applyFont="1" applyBorder="1" applyAlignment="1">
      <alignment horizontal="right" vertical="center" wrapText="1"/>
    </xf>
    <xf numFmtId="0" fontId="21" fillId="0" borderId="48" xfId="0" applyFont="1" applyBorder="1" applyAlignment="1">
      <alignment vertical="center" wrapText="1"/>
    </xf>
    <xf numFmtId="3" fontId="32" fillId="0" borderId="49" xfId="0" applyNumberFormat="1" applyFont="1" applyBorder="1" applyAlignment="1">
      <alignment horizontal="right" vertical="center" wrapText="1"/>
    </xf>
    <xf numFmtId="49" fontId="33" fillId="0" borderId="50" xfId="0" applyNumberFormat="1" applyFont="1" applyBorder="1" applyAlignment="1">
      <alignment horizontal="left" vertical="center"/>
    </xf>
    <xf numFmtId="49" fontId="34" fillId="0" borderId="51" xfId="0" applyNumberFormat="1" applyFont="1" applyBorder="1" applyAlignment="1">
      <alignment vertical="center" wrapText="1"/>
    </xf>
    <xf numFmtId="3" fontId="20" fillId="0" borderId="0" xfId="0" applyNumberFormat="1" applyFont="1" applyAlignment="1">
      <alignment vertical="center"/>
    </xf>
    <xf numFmtId="0" fontId="0" fillId="12" borderId="39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41" fontId="0" fillId="0" borderId="39" xfId="2" applyNumberFormat="1" applyFont="1" applyBorder="1" applyAlignment="1">
      <alignment horizontal="center" vertical="center"/>
    </xf>
    <xf numFmtId="41" fontId="0" fillId="0" borderId="0" xfId="0" applyNumberFormat="1" applyAlignment="1">
      <alignment vertical="center"/>
    </xf>
    <xf numFmtId="41" fontId="20" fillId="0" borderId="0" xfId="0" applyNumberFormat="1" applyFont="1" applyAlignment="1">
      <alignment vertical="center"/>
    </xf>
    <xf numFmtId="0" fontId="22" fillId="12" borderId="39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6" fillId="0" borderId="39" xfId="0" applyFont="1" applyBorder="1" applyAlignment="1">
      <alignment horizontal="center" vertical="center"/>
    </xf>
    <xf numFmtId="41" fontId="16" fillId="0" borderId="39" xfId="1" applyFont="1" applyBorder="1" applyAlignment="1">
      <alignment horizontal="center" vertical="center"/>
    </xf>
    <xf numFmtId="9" fontId="16" fillId="0" borderId="39" xfId="0" applyNumberFormat="1" applyFont="1" applyBorder="1" applyAlignment="1">
      <alignment horizontal="center" vertical="center"/>
    </xf>
    <xf numFmtId="41" fontId="16" fillId="0" borderId="39" xfId="1" applyFont="1" applyBorder="1" applyAlignment="1">
      <alignment vertical="center"/>
    </xf>
    <xf numFmtId="0" fontId="18" fillId="0" borderId="39" xfId="0" applyFont="1" applyBorder="1" applyAlignment="1">
      <alignment horizontal="center" vertical="center"/>
    </xf>
    <xf numFmtId="0" fontId="18" fillId="0" borderId="39" xfId="0" applyFont="1" applyBorder="1" applyAlignment="1">
      <alignment vertical="center"/>
    </xf>
    <xf numFmtId="176" fontId="14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left" vertical="center"/>
    </xf>
    <xf numFmtId="176" fontId="25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39" fillId="0" borderId="6" xfId="0" applyFont="1" applyBorder="1" applyAlignment="1">
      <alignment horizontal="center" vertical="center"/>
    </xf>
    <xf numFmtId="176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6" borderId="1" xfId="0" applyFont="1" applyFill="1" applyBorder="1" applyAlignment="1">
      <alignment horizontal="center" vertical="center"/>
    </xf>
    <xf numFmtId="176" fontId="14" fillId="6" borderId="3" xfId="0" applyNumberFormat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40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176" fontId="40" fillId="7" borderId="1" xfId="0" applyNumberFormat="1" applyFont="1" applyFill="1" applyBorder="1" applyAlignment="1">
      <alignment horizontal="center" vertical="center"/>
    </xf>
    <xf numFmtId="176" fontId="14" fillId="7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176" fontId="14" fillId="8" borderId="3" xfId="0" applyNumberFormat="1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/>
    </xf>
    <xf numFmtId="176" fontId="41" fillId="7" borderId="1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176" fontId="39" fillId="0" borderId="1" xfId="0" applyNumberFormat="1" applyFont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41" fontId="39" fillId="0" borderId="1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0" fontId="2" fillId="13" borderId="53" xfId="0" applyFont="1" applyFill="1" applyBorder="1" applyAlignment="1">
      <alignment horizontal="center" vertical="center"/>
    </xf>
    <xf numFmtId="3" fontId="6" fillId="13" borderId="54" xfId="0" applyNumberFormat="1" applyFont="1" applyFill="1" applyBorder="1" applyAlignment="1">
      <alignment horizontal="center" vertical="center"/>
    </xf>
    <xf numFmtId="0" fontId="2" fillId="13" borderId="55" xfId="0" applyFont="1" applyFill="1" applyBorder="1" applyAlignment="1">
      <alignment horizontal="center" vertical="center"/>
    </xf>
    <xf numFmtId="0" fontId="2" fillId="13" borderId="56" xfId="0" applyFont="1" applyFill="1" applyBorder="1" applyAlignment="1">
      <alignment horizontal="center" vertical="center"/>
    </xf>
    <xf numFmtId="3" fontId="6" fillId="13" borderId="56" xfId="0" applyNumberFormat="1" applyFont="1" applyFill="1" applyBorder="1" applyAlignment="1">
      <alignment horizontal="center" vertical="center"/>
    </xf>
    <xf numFmtId="3" fontId="38" fillId="0" borderId="4" xfId="0" applyNumberFormat="1" applyFont="1" applyBorder="1" applyAlignment="1">
      <alignment horizontal="center" vertical="center"/>
    </xf>
    <xf numFmtId="3" fontId="42" fillId="13" borderId="54" xfId="0" applyNumberFormat="1" applyFont="1" applyFill="1" applyBorder="1" applyAlignment="1">
      <alignment horizontal="center" vertical="center"/>
    </xf>
    <xf numFmtId="41" fontId="39" fillId="0" borderId="0" xfId="1" applyFont="1" applyAlignment="1">
      <alignment vertical="center"/>
    </xf>
    <xf numFmtId="0" fontId="39" fillId="0" borderId="0" xfId="0" applyFont="1" applyAlignment="1">
      <alignment vertical="center"/>
    </xf>
    <xf numFmtId="3" fontId="16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0" fontId="46" fillId="0" borderId="0" xfId="0" applyFont="1" applyAlignment="1">
      <alignment vertical="center"/>
    </xf>
    <xf numFmtId="177" fontId="46" fillId="0" borderId="0" xfId="0" applyNumberFormat="1" applyFont="1" applyAlignment="1">
      <alignment vertical="center"/>
    </xf>
    <xf numFmtId="14" fontId="46" fillId="0" borderId="0" xfId="0" applyNumberFormat="1" applyFont="1" applyAlignment="1">
      <alignment vertical="center"/>
    </xf>
    <xf numFmtId="0" fontId="46" fillId="0" borderId="0" xfId="0" applyFont="1" applyAlignment="1">
      <alignment horizontal="right" vertical="center"/>
    </xf>
    <xf numFmtId="0" fontId="47" fillId="15" borderId="30" xfId="0" applyFont="1" applyFill="1" applyBorder="1"/>
    <xf numFmtId="41" fontId="0" fillId="0" borderId="0" xfId="1" applyFont="1" applyAlignment="1">
      <alignment vertical="center"/>
    </xf>
    <xf numFmtId="41" fontId="20" fillId="0" borderId="0" xfId="1" applyFont="1" applyAlignment="1">
      <alignment vertical="center"/>
    </xf>
    <xf numFmtId="0" fontId="22" fillId="0" borderId="0" xfId="0" applyFont="1" applyAlignment="1">
      <alignment vertical="center"/>
    </xf>
    <xf numFmtId="41" fontId="14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3" fontId="21" fillId="0" borderId="0" xfId="0" applyNumberFormat="1" applyFont="1" applyAlignment="1">
      <alignment vertical="center"/>
    </xf>
    <xf numFmtId="9" fontId="21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176" fontId="14" fillId="0" borderId="0" xfId="0" applyNumberFormat="1" applyFont="1" applyAlignment="1">
      <alignment horizontal="left" vertical="center"/>
    </xf>
    <xf numFmtId="3" fontId="42" fillId="0" borderId="4" xfId="0" applyNumberFormat="1" applyFont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176" fontId="14" fillId="16" borderId="3" xfId="0" applyNumberFormat="1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176" fontId="14" fillId="17" borderId="3" xfId="0" applyNumberFormat="1" applyFont="1" applyFill="1" applyBorder="1" applyAlignment="1">
      <alignment horizontal="center" vertical="center"/>
    </xf>
    <xf numFmtId="0" fontId="14" fillId="17" borderId="3" xfId="0" applyFont="1" applyFill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9" fontId="0" fillId="0" borderId="0" xfId="3" applyFont="1" applyAlignment="1">
      <alignment horizontal="center" vertical="center"/>
    </xf>
    <xf numFmtId="0" fontId="47" fillId="15" borderId="8" xfId="0" applyFont="1" applyFill="1" applyBorder="1"/>
    <xf numFmtId="0" fontId="47" fillId="15" borderId="0" xfId="0" applyFont="1" applyFill="1"/>
    <xf numFmtId="0" fontId="47" fillId="15" borderId="9" xfId="0" applyFont="1" applyFill="1" applyBorder="1"/>
    <xf numFmtId="0" fontId="47" fillId="0" borderId="60" xfId="0" applyFont="1" applyBorder="1"/>
    <xf numFmtId="0" fontId="47" fillId="0" borderId="61" xfId="0" applyFont="1" applyBorder="1"/>
    <xf numFmtId="0" fontId="47" fillId="0" borderId="62" xfId="0" applyFont="1" applyBorder="1"/>
    <xf numFmtId="0" fontId="47" fillId="18" borderId="60" xfId="0" applyFont="1" applyFill="1" applyBorder="1"/>
    <xf numFmtId="0" fontId="47" fillId="18" borderId="61" xfId="0" applyFont="1" applyFill="1" applyBorder="1"/>
    <xf numFmtId="0" fontId="47" fillId="18" borderId="62" xfId="0" applyFont="1" applyFill="1" applyBorder="1"/>
    <xf numFmtId="177" fontId="1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left" vertical="center" wrapText="1"/>
    </xf>
    <xf numFmtId="0" fontId="2" fillId="0" borderId="63" xfId="0" applyFont="1" applyBorder="1" applyAlignment="1">
      <alignment vertical="center"/>
    </xf>
    <xf numFmtId="0" fontId="2" fillId="0" borderId="63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2" fillId="0" borderId="63" xfId="0" applyFont="1" applyBorder="1" applyAlignment="1">
      <alignment horizontal="left" vertical="center"/>
    </xf>
    <xf numFmtId="3" fontId="2" fillId="0" borderId="63" xfId="0" applyNumberFormat="1" applyFont="1" applyBorder="1" applyAlignment="1">
      <alignment horizontal="center" vertical="center"/>
    </xf>
    <xf numFmtId="49" fontId="54" fillId="0" borderId="64" xfId="0" applyNumberFormat="1" applyFont="1" applyBorder="1" applyAlignment="1">
      <alignment horizontal="center" vertical="center"/>
    </xf>
    <xf numFmtId="49" fontId="54" fillId="0" borderId="64" xfId="0" applyNumberFormat="1" applyFont="1" applyBorder="1" applyAlignment="1">
      <alignment horizontal="left" vertical="center"/>
    </xf>
    <xf numFmtId="0" fontId="54" fillId="0" borderId="64" xfId="0" applyFont="1" applyBorder="1" applyAlignment="1">
      <alignment horizontal="left" vertical="center"/>
    </xf>
    <xf numFmtId="3" fontId="54" fillId="0" borderId="64" xfId="0" applyNumberFormat="1" applyFont="1" applyBorder="1" applyAlignment="1">
      <alignment horizontal="right" vertical="center"/>
    </xf>
    <xf numFmtId="49" fontId="56" fillId="19" borderId="64" xfId="7" applyNumberFormat="1" applyFont="1" applyFill="1" applyBorder="1" applyAlignment="1">
      <alignment horizontal="center" vertical="center"/>
    </xf>
    <xf numFmtId="0" fontId="56" fillId="19" borderId="65" xfId="7" applyFont="1" applyFill="1" applyBorder="1" applyAlignment="1">
      <alignment vertical="center"/>
    </xf>
    <xf numFmtId="22" fontId="56" fillId="19" borderId="66" xfId="7" applyNumberFormat="1" applyFont="1" applyFill="1" applyBorder="1" applyAlignment="1">
      <alignment horizontal="right" vertical="center"/>
    </xf>
    <xf numFmtId="0" fontId="57" fillId="19" borderId="66" xfId="7" applyFont="1" applyFill="1" applyBorder="1" applyAlignment="1">
      <alignment horizontal="right" vertical="center"/>
    </xf>
    <xf numFmtId="3" fontId="57" fillId="19" borderId="66" xfId="7" applyNumberFormat="1" applyFont="1" applyFill="1" applyBorder="1" applyAlignment="1">
      <alignment horizontal="right" vertical="center"/>
    </xf>
    <xf numFmtId="0" fontId="58" fillId="0" borderId="3" xfId="0" applyFont="1" applyBorder="1" applyAlignment="1">
      <alignment horizontal="center" vertical="center"/>
    </xf>
    <xf numFmtId="49" fontId="59" fillId="19" borderId="64" xfId="7" applyNumberFormat="1" applyFont="1" applyFill="1" applyBorder="1" applyAlignment="1">
      <alignment horizontal="center" vertical="center"/>
    </xf>
    <xf numFmtId="177" fontId="25" fillId="0" borderId="0" xfId="0" applyNumberFormat="1" applyFont="1" applyAlignment="1">
      <alignment vertical="center"/>
    </xf>
    <xf numFmtId="177" fontId="16" fillId="0" borderId="0" xfId="0" applyNumberFormat="1" applyFont="1" applyAlignment="1">
      <alignment vertical="center"/>
    </xf>
    <xf numFmtId="41" fontId="35" fillId="0" borderId="0" xfId="1" applyFont="1" applyAlignment="1">
      <alignment vertical="center"/>
    </xf>
    <xf numFmtId="0" fontId="60" fillId="20" borderId="0" xfId="0" applyFont="1" applyFill="1" applyAlignment="1">
      <alignment horizontal="center"/>
    </xf>
    <xf numFmtId="0" fontId="44" fillId="0" borderId="0" xfId="0" applyFont="1"/>
    <xf numFmtId="183" fontId="44" fillId="0" borderId="0" xfId="0" applyNumberFormat="1" applyFont="1" applyAlignment="1">
      <alignment horizontal="left" wrapText="1"/>
    </xf>
    <xf numFmtId="41" fontId="44" fillId="0" borderId="0" xfId="1" applyFont="1" applyAlignment="1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4" fillId="0" borderId="63" xfId="0" applyFont="1" applyBorder="1" applyAlignment="1">
      <alignment horizontal="left" vertical="center"/>
    </xf>
    <xf numFmtId="0" fontId="2" fillId="0" borderId="63" xfId="0" applyFont="1" applyBorder="1" applyAlignment="1">
      <alignment horizontal="left" vertical="center"/>
    </xf>
    <xf numFmtId="0" fontId="2" fillId="0" borderId="63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3" fontId="3" fillId="13" borderId="52" xfId="0" applyNumberFormat="1" applyFont="1" applyFill="1" applyBorder="1" applyAlignment="1">
      <alignment horizontal="center" vertical="center"/>
    </xf>
    <xf numFmtId="0" fontId="43" fillId="13" borderId="51" xfId="0" applyFont="1" applyFill="1" applyBorder="1" applyAlignment="1">
      <alignment vertical="center"/>
    </xf>
    <xf numFmtId="0" fontId="25" fillId="0" borderId="6" xfId="0" applyFont="1" applyBorder="1" applyAlignment="1">
      <alignment horizontal="left" vertical="center"/>
    </xf>
    <xf numFmtId="0" fontId="36" fillId="0" borderId="5" xfId="0" applyFont="1" applyBorder="1" applyAlignment="1">
      <alignment vertical="center"/>
    </xf>
    <xf numFmtId="0" fontId="36" fillId="0" borderId="2" xfId="0" applyFont="1" applyBorder="1" applyAlignment="1">
      <alignment vertical="center"/>
    </xf>
    <xf numFmtId="41" fontId="10" fillId="7" borderId="10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vertical="center"/>
    </xf>
    <xf numFmtId="0" fontId="46" fillId="0" borderId="67" xfId="0" applyFont="1" applyBorder="1" applyAlignment="1">
      <alignment horizontal="center" vertical="center"/>
    </xf>
    <xf numFmtId="14" fontId="46" fillId="0" borderId="67" xfId="0" applyNumberFormat="1" applyFont="1" applyBorder="1" applyAlignment="1">
      <alignment vertical="center"/>
    </xf>
    <xf numFmtId="0" fontId="46" fillId="0" borderId="67" xfId="0" applyFont="1" applyBorder="1" applyAlignment="1">
      <alignment vertical="center"/>
    </xf>
    <xf numFmtId="177" fontId="46" fillId="0" borderId="67" xfId="0" applyNumberFormat="1" applyFont="1" applyBorder="1" applyAlignment="1">
      <alignment vertical="center"/>
    </xf>
    <xf numFmtId="0" fontId="62" fillId="0" borderId="67" xfId="0" applyFont="1" applyBorder="1" applyAlignment="1">
      <alignment horizontal="center" vertical="center"/>
    </xf>
    <xf numFmtId="0" fontId="64" fillId="0" borderId="67" xfId="0" applyFont="1" applyBorder="1" applyAlignment="1">
      <alignment vertical="center"/>
    </xf>
    <xf numFmtId="0" fontId="61" fillId="0" borderId="67" xfId="0" applyFont="1" applyBorder="1" applyAlignment="1">
      <alignment vertical="center"/>
    </xf>
    <xf numFmtId="0" fontId="0" fillId="0" borderId="67" xfId="0" applyBorder="1" applyAlignment="1">
      <alignment vertical="center"/>
    </xf>
    <xf numFmtId="9" fontId="16" fillId="0" borderId="0" xfId="3" applyFont="1" applyAlignment="1">
      <alignment vertical="center"/>
    </xf>
    <xf numFmtId="176" fontId="16" fillId="0" borderId="0" xfId="0" quotePrefix="1" applyNumberFormat="1" applyFont="1" applyAlignment="1">
      <alignment vertical="center"/>
    </xf>
    <xf numFmtId="0" fontId="0" fillId="0" borderId="0" xfId="0"/>
    <xf numFmtId="179" fontId="0" fillId="0" borderId="0" xfId="0" applyNumberFormat="1" applyAlignment="1">
      <alignment horizontal="right" wrapText="1"/>
    </xf>
    <xf numFmtId="0" fontId="26" fillId="14" borderId="57" xfId="0" applyFont="1" applyFill="1" applyBorder="1" applyAlignment="1">
      <alignment horizontal="center" vertical="center" wrapText="1"/>
    </xf>
    <xf numFmtId="0" fontId="26" fillId="14" borderId="58" xfId="0" applyFont="1" applyFill="1" applyBorder="1" applyAlignment="1">
      <alignment horizontal="center" vertical="center" wrapText="1"/>
    </xf>
    <xf numFmtId="0" fontId="26" fillId="14" borderId="59" xfId="0" applyFont="1" applyFill="1" applyBorder="1" applyAlignment="1">
      <alignment horizontal="center" vertical="center" wrapText="1"/>
    </xf>
    <xf numFmtId="0" fontId="26" fillId="0" borderId="39" xfId="0" applyNumberFormat="1" applyFont="1" applyBorder="1" applyAlignment="1">
      <alignment horizontal="right" vertical="center" wrapText="1"/>
    </xf>
    <xf numFmtId="41" fontId="16" fillId="0" borderId="0" xfId="0" applyNumberFormat="1" applyFont="1" applyAlignment="1">
      <alignment vertical="center"/>
    </xf>
    <xf numFmtId="0" fontId="67" fillId="0" borderId="0" xfId="0" applyFont="1" applyAlignment="1">
      <alignment vertical="center"/>
    </xf>
    <xf numFmtId="22" fontId="69" fillId="0" borderId="0" xfId="0" applyNumberFormat="1" applyFont="1" applyAlignment="1">
      <alignment vertical="center"/>
    </xf>
    <xf numFmtId="0" fontId="70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73" fillId="20" borderId="0" xfId="0" applyFont="1" applyFill="1" applyAlignment="1">
      <alignment horizontal="center"/>
    </xf>
    <xf numFmtId="0" fontId="27" fillId="0" borderId="0" xfId="0" applyFont="1"/>
    <xf numFmtId="179" fontId="27" fillId="0" borderId="0" xfId="0" applyNumberFormat="1" applyFont="1" applyAlignment="1">
      <alignment horizontal="right" wrapText="1"/>
    </xf>
    <xf numFmtId="184" fontId="27" fillId="0" borderId="0" xfId="0" applyNumberFormat="1" applyFont="1" applyAlignment="1">
      <alignment wrapText="1"/>
    </xf>
    <xf numFmtId="176" fontId="39" fillId="0" borderId="0" xfId="0" applyNumberFormat="1" applyFont="1" applyAlignment="1">
      <alignment vertical="center"/>
    </xf>
    <xf numFmtId="0" fontId="4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1" fontId="60" fillId="20" borderId="0" xfId="1" applyFont="1" applyFill="1" applyAlignment="1">
      <alignment horizontal="center"/>
    </xf>
    <xf numFmtId="41" fontId="0" fillId="0" borderId="0" xfId="1" applyFont="1" applyAlignment="1">
      <alignment horizontal="right" wrapText="1"/>
    </xf>
    <xf numFmtId="0" fontId="49" fillId="1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8" fillId="0" borderId="67" xfId="0" applyFont="1" applyBorder="1" applyAlignment="1">
      <alignment vertical="center"/>
    </xf>
    <xf numFmtId="0" fontId="21" fillId="0" borderId="67" xfId="0" applyFont="1" applyBorder="1" applyAlignment="1">
      <alignment vertical="center"/>
    </xf>
    <xf numFmtId="3" fontId="21" fillId="0" borderId="67" xfId="0" applyNumberFormat="1" applyFont="1" applyBorder="1" applyAlignment="1">
      <alignment vertical="center"/>
    </xf>
    <xf numFmtId="9" fontId="21" fillId="0" borderId="67" xfId="0" applyNumberFormat="1" applyFont="1" applyBorder="1" applyAlignment="1">
      <alignment vertical="center"/>
    </xf>
    <xf numFmtId="3" fontId="0" fillId="0" borderId="67" xfId="0" applyNumberFormat="1" applyBorder="1" applyAlignment="1">
      <alignment vertical="center"/>
    </xf>
    <xf numFmtId="0" fontId="19" fillId="0" borderId="0" xfId="0" applyFont="1" applyAlignment="1">
      <alignment vertical="center"/>
    </xf>
    <xf numFmtId="3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1" fontId="40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74" fillId="0" borderId="13" xfId="0" applyFont="1" applyBorder="1" applyAlignment="1">
      <alignment vertical="center"/>
    </xf>
    <xf numFmtId="3" fontId="42" fillId="0" borderId="9" xfId="0" applyNumberFormat="1" applyFont="1" applyBorder="1" applyAlignment="1">
      <alignment horizontal="center" vertical="center"/>
    </xf>
  </cellXfs>
  <cellStyles count="8">
    <cellStyle name="백분율" xfId="3" builtinId="5"/>
    <cellStyle name="백분율 2" xfId="5" xr:uid="{ADD0F965-11C0-7F48-A4EB-4BCAE29685D7}"/>
    <cellStyle name="쉼표 [0]" xfId="1" builtinId="6"/>
    <cellStyle name="쉼표 [0] 2" xfId="6" xr:uid="{DD564577-FF18-624B-B81E-06B7123279F1}"/>
    <cellStyle name="통화 [0]" xfId="2" builtinId="7"/>
    <cellStyle name="표준" xfId="0" builtinId="0"/>
    <cellStyle name="표준 2" xfId="7" xr:uid="{427B508C-65D9-C747-98E8-12CA0B4A1814}"/>
    <cellStyle name="표준 3" xfId="4" xr:uid="{4855E03E-272D-6D46-BDE1-8D27F84EFD3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B2:AA50"/>
  <sheetViews>
    <sheetView zoomScale="130" zoomScaleNormal="130" workbookViewId="0">
      <selection activeCell="E9" sqref="B6:J11"/>
    </sheetView>
  </sheetViews>
  <sheetFormatPr baseColWidth="10" defaultColWidth="12.6640625" defaultRowHeight="15" customHeight="1"/>
  <cols>
    <col min="1" max="1" width="3.6640625" customWidth="1"/>
    <col min="3" max="3" width="13.6640625" customWidth="1"/>
    <col min="4" max="4" width="15.33203125" customWidth="1"/>
    <col min="6" max="6" width="17.5" customWidth="1"/>
    <col min="12" max="12" width="13.33203125" bestFit="1" customWidth="1"/>
    <col min="13" max="13" width="44.5" bestFit="1" customWidth="1"/>
    <col min="14" max="14" width="8.6640625" customWidth="1"/>
    <col min="15" max="23" width="8.5" customWidth="1"/>
  </cols>
  <sheetData>
    <row r="2" spans="2:27">
      <c r="B2" s="1" t="s">
        <v>0</v>
      </c>
      <c r="C2" s="2"/>
      <c r="D2" s="2"/>
      <c r="E2" s="2"/>
      <c r="F2" s="2"/>
      <c r="G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>
      <c r="B3" s="4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7" t="s">
        <v>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>
      <c r="B4" s="236">
        <v>2026.5</v>
      </c>
      <c r="C4" s="9">
        <f>'채널별 정산 합계'!C42</f>
        <v>3315020</v>
      </c>
      <c r="D4" s="9">
        <f>'채널별 정산 합계'!C44</f>
        <v>3371820</v>
      </c>
      <c r="E4" s="9">
        <f>'채널별 정산 합계'!C45</f>
        <v>835130</v>
      </c>
      <c r="F4" s="228">
        <f>'채널별 정산 합계'!C46</f>
        <v>2536690</v>
      </c>
      <c r="G4" s="9">
        <f>F19</f>
        <v>640100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>
      <c r="B5" s="2"/>
      <c r="C5" s="2"/>
      <c r="D5" s="2"/>
      <c r="E5" s="2"/>
      <c r="F5" s="2"/>
      <c r="G5" s="2"/>
      <c r="H5" s="2"/>
      <c r="I5" s="2"/>
      <c r="J5" s="2"/>
      <c r="K5" s="2"/>
      <c r="X5" s="2"/>
      <c r="Y5" s="2"/>
      <c r="Z5" s="2"/>
      <c r="AA5" s="2"/>
    </row>
    <row r="6" spans="2:27">
      <c r="B6" s="279" t="s">
        <v>8</v>
      </c>
      <c r="C6" s="275"/>
      <c r="D6" s="2"/>
      <c r="E6" s="2"/>
      <c r="F6" s="3"/>
      <c r="G6" s="2"/>
      <c r="H6" s="2"/>
      <c r="I6" s="2"/>
      <c r="J6" s="3" t="s">
        <v>1</v>
      </c>
      <c r="K6" s="2"/>
      <c r="X6" s="2"/>
      <c r="Y6" s="2"/>
      <c r="Z6" s="2"/>
      <c r="AA6" s="2"/>
    </row>
    <row r="7" spans="2:27">
      <c r="B7" s="10" t="s">
        <v>9</v>
      </c>
      <c r="C7" s="11" t="s">
        <v>10</v>
      </c>
      <c r="D7" s="11" t="s">
        <v>11</v>
      </c>
      <c r="E7" s="11" t="s">
        <v>12</v>
      </c>
      <c r="F7" s="291" t="s">
        <v>13</v>
      </c>
      <c r="G7" s="283"/>
      <c r="H7" s="283"/>
      <c r="I7" s="283"/>
      <c r="J7" s="284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</row>
    <row r="8" spans="2:27">
      <c r="B8" s="8" t="s">
        <v>6</v>
      </c>
      <c r="C8" s="204">
        <f t="shared" ref="C8:E8" si="0">D4</f>
        <v>3371820</v>
      </c>
      <c r="D8" s="14">
        <f t="shared" si="0"/>
        <v>835130</v>
      </c>
      <c r="E8" s="204">
        <f t="shared" si="0"/>
        <v>2536690</v>
      </c>
      <c r="F8" s="276"/>
      <c r="G8" s="277"/>
      <c r="H8" s="277"/>
      <c r="I8" s="277"/>
      <c r="J8" s="27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" thickBot="1">
      <c r="B9" s="197" t="s">
        <v>17</v>
      </c>
      <c r="C9" s="351">
        <f>'채널별 정산 합계'!F23+'채널별 정산 합계'!F27+'채널별 정산 합계'!F31</f>
        <v>1972520</v>
      </c>
      <c r="D9" s="198">
        <f>'채널별 정산 합계'!H31+'채널별 정산 합계'!H27+'채널별 정산 합계'!H23</f>
        <v>354817</v>
      </c>
      <c r="E9" s="198">
        <f>C9-D9</f>
        <v>1617703</v>
      </c>
      <c r="F9" s="276" t="s">
        <v>227</v>
      </c>
      <c r="G9" s="277"/>
      <c r="H9" s="277"/>
      <c r="I9" s="277"/>
      <c r="J9" s="27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3"/>
      <c r="Y9" s="2"/>
      <c r="Z9" s="2"/>
      <c r="AA9" s="2"/>
    </row>
    <row r="10" spans="2:27" ht="19.5" customHeight="1">
      <c r="B10" s="199" t="s">
        <v>19</v>
      </c>
      <c r="C10" s="205">
        <f>'채널별 정산 합계'!F7+'채널별 정산 합계'!F11+'채널별 정산 합계'!F15+'채널별 정산 합계'!F19+'채널별 정산 합계'!F35+'채널별 정산 합계'!F39</f>
        <v>1399300</v>
      </c>
      <c r="D10" s="200">
        <f>'채널별 정산 합계'!H7+'채널별 정산 합계'!H11+'채널별 정산 합계'!H15+'채널별 정산 합계'!H19+'채널별 정산 합계'!H35+'채널별 정산 합계'!H39</f>
        <v>480313</v>
      </c>
      <c r="E10" s="292">
        <f>C10-D10-D11</f>
        <v>278887</v>
      </c>
      <c r="F10" s="276" t="s">
        <v>20</v>
      </c>
      <c r="G10" s="277"/>
      <c r="H10" s="277"/>
      <c r="I10" s="277"/>
      <c r="J10" s="27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3"/>
      <c r="Y10" s="2"/>
      <c r="Z10" s="2"/>
      <c r="AA10" s="2"/>
    </row>
    <row r="11" spans="2:27" ht="16" thickBot="1">
      <c r="B11" s="201" t="s">
        <v>21</v>
      </c>
      <c r="C11" s="202"/>
      <c r="D11" s="203">
        <f>F19</f>
        <v>640100</v>
      </c>
      <c r="E11" s="293"/>
      <c r="F11" s="276" t="s">
        <v>22</v>
      </c>
      <c r="G11" s="277"/>
      <c r="H11" s="277"/>
      <c r="I11" s="277"/>
      <c r="J11" s="27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>
      <c r="B12" s="16"/>
      <c r="C12" s="2"/>
      <c r="D12" s="2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>
      <c r="B13" s="279" t="s">
        <v>23</v>
      </c>
      <c r="C13" s="275"/>
      <c r="D13" s="2"/>
      <c r="E13" s="2"/>
      <c r="F13" s="3" t="s">
        <v>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>
      <c r="B14" s="280" t="s">
        <v>2</v>
      </c>
      <c r="C14" s="282" t="s">
        <v>24</v>
      </c>
      <c r="D14" s="283"/>
      <c r="E14" s="283"/>
      <c r="F14" s="28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>
      <c r="B15" s="281"/>
      <c r="C15" s="17" t="s">
        <v>25</v>
      </c>
      <c r="D15" s="17" t="s">
        <v>301</v>
      </c>
      <c r="E15" s="17" t="s">
        <v>26</v>
      </c>
      <c r="F15" s="18" t="s">
        <v>27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>
      <c r="B16" s="8" t="s">
        <v>302</v>
      </c>
      <c r="C16" s="19">
        <v>155</v>
      </c>
      <c r="D16" s="9">
        <v>2650</v>
      </c>
      <c r="E16" s="9">
        <v>1430</v>
      </c>
      <c r="F16" s="9">
        <f>C16*(D16+E16)</f>
        <v>632400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>
      <c r="B17" s="265" t="s">
        <v>303</v>
      </c>
      <c r="C17" s="248">
        <f>입출고_본사출고!B11</f>
        <v>2</v>
      </c>
      <c r="D17" s="9">
        <f>입출고_본사출고!C12</f>
        <v>3300</v>
      </c>
      <c r="E17" s="9">
        <f>입출고_본사출고!C13</f>
        <v>550</v>
      </c>
      <c r="F17" s="9">
        <f>C17*(D17+E17)</f>
        <v>7700</v>
      </c>
      <c r="G17" s="2"/>
      <c r="H17" s="2"/>
      <c r="I17" s="2"/>
      <c r="J17" s="2"/>
      <c r="K17" s="2"/>
      <c r="X17" s="2"/>
      <c r="Y17" s="2"/>
      <c r="Z17" s="2"/>
      <c r="AA17" s="2"/>
    </row>
    <row r="18" spans="2:27">
      <c r="B18" s="8" t="s">
        <v>293</v>
      </c>
      <c r="C18" s="248">
        <v>0</v>
      </c>
      <c r="D18" s="9">
        <f>입출고_용달!J4</f>
        <v>0</v>
      </c>
      <c r="E18" s="9"/>
      <c r="F18" s="9">
        <f>C18*(D18+E18)</f>
        <v>0</v>
      </c>
      <c r="G18" s="2"/>
      <c r="H18" s="2"/>
      <c r="I18" s="2"/>
      <c r="J18" s="2"/>
      <c r="K18" s="2"/>
      <c r="X18" s="2"/>
      <c r="Y18" s="2"/>
      <c r="Z18" s="2"/>
      <c r="AA18" s="2"/>
    </row>
    <row r="19" spans="2:27">
      <c r="B19" s="8" t="s">
        <v>229</v>
      </c>
      <c r="C19" s="19">
        <f>SUM(C16:C17)</f>
        <v>157</v>
      </c>
      <c r="D19" s="9"/>
      <c r="E19" s="9"/>
      <c r="F19" s="9">
        <f>SUM(F16:F17)</f>
        <v>640100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</row>
    <row r="20" spans="2:27">
      <c r="B20" s="274" t="s">
        <v>228</v>
      </c>
      <c r="C20" s="274"/>
      <c r="D20" s="274"/>
      <c r="E20" s="274"/>
      <c r="F20" s="274"/>
      <c r="G20" s="274"/>
      <c r="H20" s="27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>
      <c r="B21" s="274" t="s">
        <v>28</v>
      </c>
      <c r="C21" s="275"/>
      <c r="D21" s="27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>
      <c r="B22" s="2"/>
      <c r="C22" s="2"/>
      <c r="D22" s="2"/>
      <c r="E22" s="2"/>
      <c r="F22" s="3" t="s">
        <v>29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>
      <c r="B23" s="21" t="s">
        <v>9</v>
      </c>
      <c r="C23" s="22" t="s">
        <v>9</v>
      </c>
      <c r="D23" s="22" t="s">
        <v>30</v>
      </c>
      <c r="E23" s="22" t="s">
        <v>31</v>
      </c>
      <c r="F23" s="22" t="s">
        <v>13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>
      <c r="B24" s="285" t="s">
        <v>32</v>
      </c>
      <c r="C24" s="23" t="s">
        <v>33</v>
      </c>
      <c r="D24" s="24">
        <v>4000</v>
      </c>
      <c r="E24" s="25" t="s">
        <v>34</v>
      </c>
      <c r="F24" s="26" t="s">
        <v>258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>
      <c r="B25" s="286"/>
      <c r="C25" s="23" t="s">
        <v>35</v>
      </c>
      <c r="D25" s="24" t="s">
        <v>18</v>
      </c>
      <c r="E25" s="25" t="s">
        <v>36</v>
      </c>
      <c r="F25" s="26" t="s">
        <v>258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>
      <c r="B26" s="287"/>
      <c r="C26" s="23" t="s">
        <v>224</v>
      </c>
      <c r="D26" s="24">
        <v>300000</v>
      </c>
      <c r="E26" s="25" t="s">
        <v>225</v>
      </c>
      <c r="F26" s="26" t="s">
        <v>258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>
      <c r="B27" s="286"/>
      <c r="C27" s="27" t="s">
        <v>37</v>
      </c>
      <c r="D27" s="28">
        <v>2500</v>
      </c>
      <c r="E27" s="29" t="s">
        <v>36</v>
      </c>
      <c r="F27" s="30" t="s">
        <v>38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>
      <c r="B28" s="286"/>
      <c r="C28" s="27" t="s">
        <v>37</v>
      </c>
      <c r="D28" s="28">
        <v>4000</v>
      </c>
      <c r="E28" s="29" t="s">
        <v>36</v>
      </c>
      <c r="F28" s="30" t="s">
        <v>39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>
      <c r="B29" s="286"/>
      <c r="C29" s="30" t="s">
        <v>40</v>
      </c>
      <c r="D29" s="12" t="s">
        <v>41</v>
      </c>
      <c r="E29" s="15" t="s">
        <v>36</v>
      </c>
      <c r="F29" s="30" t="s">
        <v>42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44">
      <c r="B30" s="287"/>
      <c r="C30" s="253" t="s">
        <v>280</v>
      </c>
      <c r="D30" s="198">
        <v>1300</v>
      </c>
      <c r="E30" s="249" t="s">
        <v>36</v>
      </c>
      <c r="F30" s="250" t="s">
        <v>226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>
      <c r="B31" s="290" t="s">
        <v>276</v>
      </c>
      <c r="C31" s="254" t="s">
        <v>37</v>
      </c>
      <c r="D31" s="255">
        <v>3000</v>
      </c>
      <c r="E31" s="252" t="s">
        <v>36</v>
      </c>
      <c r="F31" s="254" t="s">
        <v>38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>
      <c r="B32" s="290"/>
      <c r="C32" s="254" t="s">
        <v>37</v>
      </c>
      <c r="D32" s="255">
        <v>4000</v>
      </c>
      <c r="E32" s="252" t="s">
        <v>36</v>
      </c>
      <c r="F32" s="254" t="s">
        <v>39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>
      <c r="B33" s="290"/>
      <c r="C33" s="254" t="s">
        <v>40</v>
      </c>
      <c r="D33" s="255" t="s">
        <v>41</v>
      </c>
      <c r="E33" s="252" t="s">
        <v>36</v>
      </c>
      <c r="F33" s="254" t="s">
        <v>42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>
      <c r="B34" s="290"/>
      <c r="C34" s="251" t="s">
        <v>277</v>
      </c>
      <c r="D34" s="255">
        <v>500</v>
      </c>
      <c r="E34" s="252" t="s">
        <v>278</v>
      </c>
      <c r="F34" s="25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>
      <c r="B35" s="290"/>
      <c r="C35" s="288" t="s">
        <v>279</v>
      </c>
      <c r="D35" s="289"/>
      <c r="E35" s="289"/>
      <c r="F35" s="289"/>
      <c r="G35" s="2"/>
      <c r="H35" s="2"/>
      <c r="I35" s="2"/>
      <c r="J35" s="2"/>
      <c r="K35" s="2"/>
      <c r="Y35" s="2"/>
      <c r="Z35" s="2"/>
      <c r="AA35" s="2"/>
    </row>
    <row r="36" spans="2:27">
      <c r="G36" s="2"/>
      <c r="H36" s="2"/>
      <c r="I36" s="2"/>
      <c r="J36" s="2"/>
      <c r="K36" s="2"/>
      <c r="Y36" s="2"/>
      <c r="Z36" s="2"/>
      <c r="AA36" s="2"/>
    </row>
    <row r="37" spans="2:27">
      <c r="G37" s="2"/>
      <c r="H37" s="2"/>
      <c r="I37" s="2"/>
      <c r="J37" s="2"/>
      <c r="K37" s="2"/>
      <c r="Y37" s="2"/>
      <c r="Z37" s="2"/>
      <c r="AA37" s="2"/>
    </row>
    <row r="38" spans="2:27" ht="15.75" customHeight="1">
      <c r="B38" s="279" t="s">
        <v>43</v>
      </c>
      <c r="C38" s="275"/>
      <c r="D38" s="2"/>
      <c r="E38" s="2"/>
      <c r="F38" s="2"/>
      <c r="G38" s="2"/>
      <c r="H38" s="2"/>
      <c r="I38" s="2"/>
      <c r="J38" s="2"/>
      <c r="K38" s="2"/>
      <c r="Y38" s="2"/>
      <c r="Z38" s="2"/>
      <c r="AA38" s="2"/>
    </row>
    <row r="39" spans="2:27">
      <c r="B39" s="274" t="s">
        <v>44</v>
      </c>
      <c r="C39" s="275"/>
      <c r="D39" s="275"/>
      <c r="E39" s="2"/>
      <c r="F39" s="2"/>
      <c r="G39" s="2"/>
      <c r="H39" s="2"/>
      <c r="I39" s="2"/>
      <c r="J39" s="2"/>
      <c r="K39" s="2"/>
      <c r="Y39" s="2"/>
      <c r="Z39" s="2"/>
      <c r="AA39" s="2"/>
    </row>
    <row r="40" spans="2:27">
      <c r="B40" s="274" t="s">
        <v>45</v>
      </c>
      <c r="C40" s="275"/>
      <c r="D40" s="275"/>
      <c r="E40" s="2"/>
      <c r="F40" s="2"/>
      <c r="K40" s="2"/>
      <c r="Y40" s="2"/>
      <c r="Z40" s="2"/>
      <c r="AA40" s="2"/>
    </row>
    <row r="41" spans="2:27">
      <c r="B41" s="274" t="s">
        <v>46</v>
      </c>
      <c r="C41" s="275"/>
      <c r="D41" s="275"/>
      <c r="E41" s="2"/>
      <c r="F41" s="2"/>
      <c r="K41" s="2"/>
      <c r="Y41" s="2"/>
      <c r="Z41" s="2"/>
      <c r="AA41" s="2"/>
    </row>
    <row r="42" spans="2:27">
      <c r="B42" s="274" t="s">
        <v>47</v>
      </c>
      <c r="C42" s="275"/>
      <c r="D42" s="275"/>
      <c r="E42" s="275"/>
      <c r="F42" s="275"/>
      <c r="K42" s="2"/>
      <c r="Y42" s="2"/>
      <c r="Z42" s="2"/>
      <c r="AA42" s="2"/>
    </row>
    <row r="43" spans="2:27">
      <c r="B43" s="20" t="s">
        <v>48</v>
      </c>
      <c r="D43" s="2"/>
      <c r="E43" s="2"/>
      <c r="F43" s="2"/>
      <c r="K43" s="2"/>
      <c r="Y43" s="2"/>
      <c r="Z43" s="2"/>
      <c r="AA43" s="2"/>
    </row>
    <row r="44" spans="2:27"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</sheetData>
  <mergeCells count="20">
    <mergeCell ref="F7:J7"/>
    <mergeCell ref="B6:C6"/>
    <mergeCell ref="F8:J8"/>
    <mergeCell ref="F9:J9"/>
    <mergeCell ref="F10:J10"/>
    <mergeCell ref="E10:E11"/>
    <mergeCell ref="B20:H20"/>
    <mergeCell ref="B21:D21"/>
    <mergeCell ref="F11:J11"/>
    <mergeCell ref="B13:C13"/>
    <mergeCell ref="B42:F42"/>
    <mergeCell ref="B14:B15"/>
    <mergeCell ref="C14:F14"/>
    <mergeCell ref="B24:B30"/>
    <mergeCell ref="C35:F35"/>
    <mergeCell ref="B31:B35"/>
    <mergeCell ref="B38:C38"/>
    <mergeCell ref="B39:D39"/>
    <mergeCell ref="B40:D40"/>
    <mergeCell ref="B41:D41"/>
  </mergeCells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A991"/>
  <sheetViews>
    <sheetView tabSelected="1" topLeftCell="A3" zoomScale="120" zoomScaleNormal="120" workbookViewId="0">
      <selection activeCell="J23" sqref="B23:J31"/>
    </sheetView>
  </sheetViews>
  <sheetFormatPr baseColWidth="10" defaultColWidth="12.6640625" defaultRowHeight="15" customHeight="1"/>
  <cols>
    <col min="1" max="1" width="4" style="170" customWidth="1"/>
    <col min="2" max="2" width="14.1640625" style="170" customWidth="1"/>
    <col min="3" max="3" width="10.33203125" style="170" customWidth="1"/>
    <col min="4" max="4" width="10" style="170" customWidth="1"/>
    <col min="5" max="5" width="9.5" style="170" customWidth="1"/>
    <col min="6" max="6" width="12" style="170" bestFit="1" customWidth="1"/>
    <col min="7" max="10" width="9.5" style="170" customWidth="1"/>
    <col min="11" max="11" width="71.83203125" style="170" bestFit="1" customWidth="1"/>
    <col min="12" max="12" width="9.5" style="170" customWidth="1"/>
    <col min="13" max="13" width="10.5" style="170" customWidth="1"/>
    <col min="14" max="14" width="11.5" style="170" customWidth="1"/>
    <col min="15" max="27" width="9.5" style="170" customWidth="1"/>
    <col min="28" max="16384" width="12.6640625" style="170"/>
  </cols>
  <sheetData>
    <row r="1" spans="1:27" ht="13.5" customHeight="1">
      <c r="A1" s="123"/>
      <c r="B1" s="127"/>
      <c r="C1" s="123"/>
      <c r="D1" s="123"/>
      <c r="E1" s="123"/>
      <c r="F1" s="123"/>
      <c r="G1" s="123"/>
      <c r="H1" s="123"/>
      <c r="I1" s="169"/>
      <c r="J1" s="123"/>
      <c r="K1" s="123"/>
      <c r="L1" s="127"/>
      <c r="M1" s="127"/>
      <c r="N1" s="127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spans="1:27" ht="34.5" customHeight="1">
      <c r="A2" s="123"/>
      <c r="B2" s="349" t="s">
        <v>1560</v>
      </c>
      <c r="C2" s="350"/>
      <c r="D2" s="123"/>
      <c r="E2" s="123"/>
      <c r="F2" s="123"/>
      <c r="G2" s="123"/>
      <c r="H2" s="123"/>
      <c r="I2" s="169"/>
      <c r="J2" s="123"/>
      <c r="K2" s="123"/>
      <c r="L2" s="127"/>
      <c r="M2" s="127"/>
      <c r="N2" s="127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spans="1:27" ht="13.5" customHeight="1">
      <c r="A3" s="123"/>
      <c r="B3" s="127"/>
      <c r="C3" s="123"/>
      <c r="D3" s="171"/>
      <c r="E3" s="123"/>
      <c r="F3" s="123"/>
      <c r="G3" s="123"/>
      <c r="H3" s="123"/>
      <c r="I3" s="169"/>
      <c r="J3" s="123"/>
      <c r="K3" s="123"/>
      <c r="L3" s="127"/>
      <c r="M3" s="127"/>
      <c r="N3" s="127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27" ht="13.5" customHeight="1">
      <c r="A4" s="123"/>
      <c r="B4" s="172"/>
      <c r="C4" s="173"/>
      <c r="D4" s="171"/>
      <c r="E4" s="173"/>
      <c r="F4" s="173"/>
      <c r="G4" s="173"/>
      <c r="H4" s="173"/>
      <c r="I4" s="171"/>
      <c r="J4" s="173"/>
      <c r="K4" s="173"/>
      <c r="L4" s="172"/>
      <c r="M4" s="172"/>
      <c r="N4" s="172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 spans="1:27" ht="16.5" customHeight="1">
      <c r="A5" s="123"/>
      <c r="B5" s="174" t="s">
        <v>50</v>
      </c>
      <c r="C5" s="37" t="s">
        <v>51</v>
      </c>
      <c r="D5" s="175"/>
      <c r="E5" s="176"/>
      <c r="F5" s="176"/>
      <c r="G5" s="176"/>
      <c r="H5" s="176"/>
      <c r="I5" s="175"/>
      <c r="J5" s="176"/>
      <c r="K5" s="38"/>
      <c r="L5" s="172"/>
      <c r="M5" s="172"/>
      <c r="N5" s="17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 spans="1:27" ht="16.5" customHeight="1">
      <c r="A6" s="123"/>
      <c r="B6" s="177" t="s">
        <v>9</v>
      </c>
      <c r="C6" s="178" t="s">
        <v>52</v>
      </c>
      <c r="D6" s="178" t="s">
        <v>53</v>
      </c>
      <c r="E6" s="178" t="s">
        <v>54</v>
      </c>
      <c r="F6" s="179" t="s">
        <v>55</v>
      </c>
      <c r="G6" s="180" t="s">
        <v>56</v>
      </c>
      <c r="H6" s="179" t="s">
        <v>57</v>
      </c>
      <c r="I6" s="179" t="s">
        <v>6</v>
      </c>
      <c r="J6" s="179" t="s">
        <v>58</v>
      </c>
      <c r="K6" s="179" t="s">
        <v>13</v>
      </c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 spans="1:27" ht="16.5" customHeight="1">
      <c r="A7" s="123"/>
      <c r="B7" s="181" t="s">
        <v>59</v>
      </c>
      <c r="C7" s="167">
        <f>'DB)자사(우프+스마트스토어)'!E3</f>
        <v>6800</v>
      </c>
      <c r="D7" s="167">
        <f>'DB)자사(우프+스마트스토어)'!H3</f>
        <v>3000</v>
      </c>
      <c r="E7" s="167">
        <f>'DB)자사(우프+스마트스토어)'!K3</f>
        <v>0</v>
      </c>
      <c r="F7" s="182">
        <f>C7+D7-E7</f>
        <v>9800</v>
      </c>
      <c r="G7" s="183">
        <v>0.1</v>
      </c>
      <c r="H7" s="167">
        <f>F7*G7</f>
        <v>980</v>
      </c>
      <c r="I7" s="184">
        <f>F7-H7</f>
        <v>8820</v>
      </c>
      <c r="J7" s="185" t="s">
        <v>60</v>
      </c>
      <c r="K7" s="168" t="s">
        <v>221</v>
      </c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 spans="1:27" ht="16.5" customHeight="1">
      <c r="A8" s="123"/>
      <c r="B8" s="127"/>
      <c r="C8" s="123"/>
      <c r="D8" s="123"/>
      <c r="E8" s="123"/>
      <c r="F8" s="123"/>
      <c r="G8" s="123"/>
      <c r="H8" s="123"/>
      <c r="I8" s="169"/>
      <c r="J8" s="123"/>
      <c r="K8" s="186"/>
      <c r="L8" s="127"/>
      <c r="M8" s="127"/>
      <c r="N8" s="127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27" ht="16.5" customHeight="1">
      <c r="A9" s="123"/>
      <c r="B9" s="174" t="s">
        <v>61</v>
      </c>
      <c r="C9" s="37" t="s">
        <v>51</v>
      </c>
      <c r="D9" s="175"/>
      <c r="E9" s="176"/>
      <c r="F9" s="176"/>
      <c r="G9" s="176"/>
      <c r="H9" s="176"/>
      <c r="I9" s="175"/>
      <c r="J9" s="176"/>
      <c r="K9" s="42"/>
      <c r="L9" s="127"/>
      <c r="M9" s="127"/>
      <c r="N9" s="127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 spans="1:27" ht="16.5" customHeight="1">
      <c r="A10" s="123"/>
      <c r="B10" s="187" t="s">
        <v>9</v>
      </c>
      <c r="C10" s="188" t="s">
        <v>52</v>
      </c>
      <c r="D10" s="188" t="s">
        <v>53</v>
      </c>
      <c r="E10" s="188" t="s">
        <v>54</v>
      </c>
      <c r="F10" s="189" t="s">
        <v>55</v>
      </c>
      <c r="G10" s="180" t="s">
        <v>220</v>
      </c>
      <c r="H10" s="179" t="s">
        <v>57</v>
      </c>
      <c r="I10" s="189" t="s">
        <v>6</v>
      </c>
      <c r="J10" s="189" t="s">
        <v>58</v>
      </c>
      <c r="K10" s="189" t="s">
        <v>13</v>
      </c>
      <c r="L10" s="127"/>
      <c r="M10" s="127"/>
      <c r="N10" s="127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 spans="1:27" ht="16.5" customHeight="1">
      <c r="A11" s="123"/>
      <c r="B11" s="181" t="s">
        <v>59</v>
      </c>
      <c r="C11" s="167">
        <f>'DB)자사(B2B)'!J7</f>
        <v>442000</v>
      </c>
      <c r="D11" s="167"/>
      <c r="E11" s="167">
        <f>C11-F11</f>
        <v>154700</v>
      </c>
      <c r="F11" s="182">
        <f>'DB)자사(B2B)'!L6</f>
        <v>287300</v>
      </c>
      <c r="G11" s="183">
        <v>0.05</v>
      </c>
      <c r="H11" s="167">
        <f>F11*G11</f>
        <v>14365</v>
      </c>
      <c r="I11" s="184">
        <f>F11-H11</f>
        <v>272935</v>
      </c>
      <c r="J11" s="185" t="s">
        <v>60</v>
      </c>
      <c r="K11" s="168" t="s">
        <v>254</v>
      </c>
      <c r="L11" s="127"/>
      <c r="M11" s="127"/>
      <c r="N11" s="127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 spans="1:27" ht="16.5" customHeight="1">
      <c r="A12" s="123"/>
      <c r="B12" s="127"/>
      <c r="C12" s="123"/>
      <c r="D12" s="123"/>
      <c r="E12" s="123"/>
      <c r="F12" s="123"/>
      <c r="G12" s="123"/>
      <c r="H12" s="123"/>
      <c r="I12" s="169"/>
      <c r="J12" s="123"/>
      <c r="K12" s="186"/>
      <c r="L12" s="127"/>
      <c r="M12" s="127"/>
      <c r="N12" s="127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 spans="1:27" ht="16.5" customHeight="1">
      <c r="A13" s="123"/>
      <c r="B13" s="174" t="s">
        <v>306</v>
      </c>
      <c r="C13" s="37" t="s">
        <v>51</v>
      </c>
      <c r="D13" s="175"/>
      <c r="E13" s="176"/>
      <c r="F13" s="176"/>
      <c r="G13" s="176"/>
      <c r="H13" s="176"/>
      <c r="I13" s="175"/>
      <c r="J13" s="176"/>
      <c r="K13" s="42"/>
      <c r="L13" s="127"/>
      <c r="M13" s="127"/>
      <c r="N13" s="127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 spans="1:27" ht="16.5" customHeight="1">
      <c r="A14" s="123"/>
      <c r="B14" s="187" t="s">
        <v>9</v>
      </c>
      <c r="C14" s="188" t="s">
        <v>52</v>
      </c>
      <c r="D14" s="188" t="s">
        <v>53</v>
      </c>
      <c r="E14" s="188" t="s">
        <v>54</v>
      </c>
      <c r="F14" s="189" t="s">
        <v>55</v>
      </c>
      <c r="G14" s="180" t="s">
        <v>220</v>
      </c>
      <c r="H14" s="179" t="s">
        <v>57</v>
      </c>
      <c r="I14" s="189" t="s">
        <v>6</v>
      </c>
      <c r="J14" s="189" t="s">
        <v>58</v>
      </c>
      <c r="K14" s="189" t="s">
        <v>13</v>
      </c>
      <c r="L14" s="127"/>
      <c r="M14" s="127"/>
      <c r="N14" s="127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 spans="1:27" ht="16.5" customHeight="1">
      <c r="A15" s="123"/>
      <c r="B15" s="181" t="s">
        <v>59</v>
      </c>
      <c r="C15" s="167">
        <f>'DB)테일릿(대리점)'!J4</f>
        <v>340000</v>
      </c>
      <c r="D15" s="167">
        <v>0</v>
      </c>
      <c r="E15" s="167"/>
      <c r="F15" s="182">
        <f>C15-E15</f>
        <v>340000</v>
      </c>
      <c r="G15" s="183">
        <v>0.52</v>
      </c>
      <c r="H15" s="167">
        <f>F15*G15</f>
        <v>176800</v>
      </c>
      <c r="I15" s="184">
        <f>F15-H15</f>
        <v>163200</v>
      </c>
      <c r="J15" s="185" t="s">
        <v>60</v>
      </c>
      <c r="K15" s="168" t="s">
        <v>313</v>
      </c>
      <c r="L15" s="127"/>
      <c r="M15" s="127"/>
      <c r="N15" s="127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 spans="1:27" ht="16.5" customHeight="1">
      <c r="A16" s="123"/>
      <c r="B16" s="127"/>
      <c r="C16" s="123"/>
      <c r="D16" s="123"/>
      <c r="E16" s="123"/>
      <c r="F16" s="123"/>
      <c r="G16" s="123"/>
      <c r="H16" s="123"/>
      <c r="I16" s="169"/>
      <c r="J16" s="123"/>
      <c r="K16" s="123"/>
      <c r="L16" s="127"/>
      <c r="M16" s="127"/>
      <c r="N16" s="127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 spans="1:27" ht="16.5" customHeight="1">
      <c r="A17" s="123"/>
      <c r="B17" s="174" t="s">
        <v>62</v>
      </c>
      <c r="C17" s="37" t="s">
        <v>63</v>
      </c>
      <c r="D17" s="175"/>
      <c r="E17" s="176"/>
      <c r="F17" s="176"/>
      <c r="G17" s="176"/>
      <c r="H17" s="176"/>
      <c r="I17" s="175"/>
      <c r="J17" s="176"/>
      <c r="K17" s="38"/>
      <c r="L17" s="127"/>
      <c r="M17" s="127"/>
      <c r="N17" s="127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 spans="1:27" ht="16.5" customHeight="1">
      <c r="A18" s="123"/>
      <c r="B18" s="177" t="s">
        <v>9</v>
      </c>
      <c r="C18" s="178" t="s">
        <v>52</v>
      </c>
      <c r="D18" s="178" t="s">
        <v>53</v>
      </c>
      <c r="E18" s="178" t="s">
        <v>54</v>
      </c>
      <c r="F18" s="179" t="s">
        <v>55</v>
      </c>
      <c r="G18" s="180" t="s">
        <v>56</v>
      </c>
      <c r="H18" s="179" t="s">
        <v>57</v>
      </c>
      <c r="I18" s="179" t="s">
        <v>6</v>
      </c>
      <c r="J18" s="179" t="s">
        <v>58</v>
      </c>
      <c r="K18" s="179" t="s">
        <v>13</v>
      </c>
      <c r="L18" s="127"/>
      <c r="M18" s="127"/>
      <c r="N18" s="127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 spans="1:27" ht="16.5" customHeight="1">
      <c r="A19" s="123"/>
      <c r="B19" s="181" t="s">
        <v>59</v>
      </c>
      <c r="C19" s="190">
        <f>'DB)쿠팡'!R16</f>
        <v>666400</v>
      </c>
      <c r="D19" s="167" t="s">
        <v>64</v>
      </c>
      <c r="E19" s="167">
        <v>0</v>
      </c>
      <c r="F19" s="182">
        <f>'DB)쿠팡'!R16</f>
        <v>666400</v>
      </c>
      <c r="G19" s="181" t="s">
        <v>65</v>
      </c>
      <c r="H19" s="190">
        <f>'DB)쿠팡'!U16</f>
        <v>260848</v>
      </c>
      <c r="I19" s="184">
        <f>F19-H19</f>
        <v>405552</v>
      </c>
      <c r="J19" s="185" t="s">
        <v>60</v>
      </c>
      <c r="K19" s="168" t="s">
        <v>250</v>
      </c>
      <c r="L19" s="127"/>
      <c r="M19" s="127"/>
      <c r="N19" s="127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spans="1:27" ht="16.5" customHeight="1">
      <c r="A20" s="123"/>
      <c r="B20" s="127"/>
      <c r="C20" s="123"/>
      <c r="D20" s="123"/>
      <c r="E20" s="123"/>
      <c r="F20" s="123"/>
      <c r="G20" s="123"/>
      <c r="H20" s="123"/>
      <c r="I20" s="169"/>
      <c r="J20" s="123"/>
      <c r="K20" s="123"/>
      <c r="L20" s="127"/>
      <c r="M20" s="127"/>
      <c r="N20" s="127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spans="1:27" ht="16.5" customHeight="1">
      <c r="A21" s="123"/>
      <c r="B21" s="174" t="s">
        <v>66</v>
      </c>
      <c r="C21" s="37" t="s">
        <v>67</v>
      </c>
      <c r="D21" s="175"/>
      <c r="E21" s="176"/>
      <c r="F21" s="176"/>
      <c r="G21" s="176"/>
      <c r="H21" s="176"/>
      <c r="I21" s="175"/>
      <c r="J21" s="176"/>
      <c r="K21" s="38"/>
      <c r="L21" s="127"/>
      <c r="M21" s="127"/>
      <c r="N21" s="127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spans="1:27" ht="16.5" customHeight="1">
      <c r="A22" s="123"/>
      <c r="B22" s="229" t="s">
        <v>9</v>
      </c>
      <c r="C22" s="230" t="s">
        <v>311</v>
      </c>
      <c r="D22" s="230" t="s">
        <v>53</v>
      </c>
      <c r="E22" s="230"/>
      <c r="F22" s="231" t="s">
        <v>312</v>
      </c>
      <c r="G22" s="232" t="s">
        <v>56</v>
      </c>
      <c r="H22" s="231" t="s">
        <v>57</v>
      </c>
      <c r="I22" s="231" t="s">
        <v>6</v>
      </c>
      <c r="J22" s="231" t="s">
        <v>58</v>
      </c>
      <c r="K22" s="231" t="s">
        <v>13</v>
      </c>
      <c r="L22" s="127"/>
      <c r="M22" s="127"/>
      <c r="N22" s="127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spans="1:27" ht="16.5" customHeight="1">
      <c r="A23" s="123"/>
      <c r="B23" s="181" t="s">
        <v>59</v>
      </c>
      <c r="C23" s="190">
        <f>F23-D23</f>
        <v>914920</v>
      </c>
      <c r="D23" s="167">
        <v>228000</v>
      </c>
      <c r="E23" s="167"/>
      <c r="F23" s="182">
        <v>1142920</v>
      </c>
      <c r="G23" s="181" t="s">
        <v>68</v>
      </c>
      <c r="H23" s="190">
        <v>64457</v>
      </c>
      <c r="I23" s="191">
        <f>F23-H23</f>
        <v>1078463</v>
      </c>
      <c r="J23" s="184" t="s">
        <v>223</v>
      </c>
      <c r="K23" s="168" t="s">
        <v>244</v>
      </c>
      <c r="L23" s="127"/>
      <c r="M23" s="127"/>
      <c r="N23" s="127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 spans="1:27" ht="16.5" customHeight="1">
      <c r="A24" s="123"/>
      <c r="B24" s="127"/>
      <c r="C24" s="123"/>
      <c r="D24" s="123"/>
      <c r="E24" s="123"/>
      <c r="F24" s="123"/>
      <c r="G24" s="123"/>
      <c r="H24" s="123"/>
      <c r="I24" s="169"/>
      <c r="J24" s="123"/>
      <c r="K24" s="123"/>
      <c r="L24" s="127"/>
      <c r="M24" s="127"/>
      <c r="N24" s="127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 spans="1:27" ht="16.5" customHeight="1">
      <c r="A25" s="123"/>
      <c r="B25" s="174" t="s">
        <v>69</v>
      </c>
      <c r="C25" s="37" t="s">
        <v>252</v>
      </c>
      <c r="D25" s="175"/>
      <c r="E25" s="176"/>
      <c r="F25" s="176"/>
      <c r="G25" s="176"/>
      <c r="H25" s="176"/>
      <c r="I25" s="175"/>
      <c r="J25" s="176"/>
      <c r="K25" s="38"/>
      <c r="L25" s="127"/>
      <c r="M25" s="127"/>
      <c r="N25" s="127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 spans="1:27" ht="16.5" customHeight="1">
      <c r="A26" s="123"/>
      <c r="B26" s="233" t="s">
        <v>9</v>
      </c>
      <c r="C26" s="234" t="s">
        <v>52</v>
      </c>
      <c r="D26" s="234" t="s">
        <v>53</v>
      </c>
      <c r="E26" s="234" t="s">
        <v>54</v>
      </c>
      <c r="F26" s="235" t="s">
        <v>55</v>
      </c>
      <c r="G26" s="232" t="s">
        <v>56</v>
      </c>
      <c r="H26" s="231" t="s">
        <v>57</v>
      </c>
      <c r="I26" s="235" t="s">
        <v>6</v>
      </c>
      <c r="J26" s="235" t="s">
        <v>58</v>
      </c>
      <c r="K26" s="235" t="s">
        <v>13</v>
      </c>
      <c r="L26" s="127"/>
      <c r="M26" s="127"/>
      <c r="N26" s="127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 spans="1:27" ht="16.5" customHeight="1">
      <c r="A27" s="123"/>
      <c r="B27" s="181" t="s">
        <v>59</v>
      </c>
      <c r="C27" s="190">
        <f>'DB)마켓컬리'!N13</f>
        <v>74800</v>
      </c>
      <c r="D27" s="167" t="s">
        <v>70</v>
      </c>
      <c r="E27" s="167"/>
      <c r="F27" s="182">
        <f>C27-E27</f>
        <v>74800</v>
      </c>
      <c r="G27" s="183">
        <v>0.35</v>
      </c>
      <c r="H27" s="190">
        <f>F27*G27</f>
        <v>26180</v>
      </c>
      <c r="I27" s="191">
        <f>F27-H27</f>
        <v>48620</v>
      </c>
      <c r="J27" s="184" t="s">
        <v>223</v>
      </c>
      <c r="K27" s="168" t="s">
        <v>244</v>
      </c>
      <c r="L27" s="127"/>
      <c r="M27" s="127"/>
      <c r="N27" s="127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 spans="1:27" ht="16.5" customHeight="1">
      <c r="A28" s="123"/>
      <c r="B28" s="127"/>
      <c r="C28" s="123"/>
      <c r="D28" s="123"/>
      <c r="E28" s="123"/>
      <c r="F28" s="123"/>
      <c r="G28" s="123"/>
      <c r="H28" s="123"/>
      <c r="I28" s="169"/>
      <c r="J28" s="123"/>
      <c r="K28" s="123"/>
      <c r="L28" s="127"/>
      <c r="M28" s="127"/>
      <c r="N28" s="127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 spans="1:27" ht="16.5" customHeight="1">
      <c r="A29" s="123"/>
      <c r="B29" s="174" t="s">
        <v>71</v>
      </c>
      <c r="C29" s="37" t="s">
        <v>253</v>
      </c>
      <c r="D29" s="175"/>
      <c r="E29" s="176"/>
      <c r="F29" s="176"/>
      <c r="G29" s="176"/>
      <c r="H29" s="176"/>
      <c r="I29" s="175"/>
      <c r="J29" s="176"/>
      <c r="K29" s="38"/>
      <c r="L29" s="127"/>
      <c r="M29" s="127"/>
      <c r="N29" s="127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 spans="1:27" ht="16.5" customHeight="1">
      <c r="A30" s="123"/>
      <c r="B30" s="229" t="s">
        <v>9</v>
      </c>
      <c r="C30" s="230" t="s">
        <v>52</v>
      </c>
      <c r="D30" s="230" t="s">
        <v>53</v>
      </c>
      <c r="E30" s="230" t="s">
        <v>54</v>
      </c>
      <c r="F30" s="231" t="s">
        <v>55</v>
      </c>
      <c r="G30" s="232" t="s">
        <v>56</v>
      </c>
      <c r="H30" s="231" t="s">
        <v>57</v>
      </c>
      <c r="I30" s="231" t="s">
        <v>6</v>
      </c>
      <c r="J30" s="231" t="s">
        <v>58</v>
      </c>
      <c r="K30" s="231" t="s">
        <v>13</v>
      </c>
      <c r="L30" s="127"/>
      <c r="M30" s="127"/>
      <c r="N30" s="127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 spans="1:27" ht="16.5" customHeight="1">
      <c r="A31" s="123"/>
      <c r="B31" s="181" t="s">
        <v>59</v>
      </c>
      <c r="C31" s="347">
        <f>'DB)스파크펫'!I8</f>
        <v>754800</v>
      </c>
      <c r="D31" s="167" t="s">
        <v>73</v>
      </c>
      <c r="E31" s="167"/>
      <c r="F31" s="182">
        <f>C31-E31</f>
        <v>754800</v>
      </c>
      <c r="G31" s="183">
        <v>0.35</v>
      </c>
      <c r="H31" s="190">
        <f>F31*G31</f>
        <v>264180</v>
      </c>
      <c r="I31" s="191">
        <f>F31-H31</f>
        <v>490620</v>
      </c>
      <c r="J31" s="184" t="s">
        <v>74</v>
      </c>
      <c r="K31" s="168" t="s">
        <v>243</v>
      </c>
      <c r="L31" s="127"/>
      <c r="M31" s="127"/>
      <c r="N31" s="127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 spans="1:27" ht="16.5" customHeight="1">
      <c r="A32" s="123"/>
      <c r="B32" s="127"/>
      <c r="C32" s="123"/>
      <c r="D32" s="123"/>
      <c r="E32" s="123"/>
      <c r="F32" s="123"/>
      <c r="G32" s="123"/>
      <c r="H32" s="123"/>
      <c r="I32" s="169"/>
      <c r="J32" s="123"/>
      <c r="K32" s="123"/>
      <c r="L32" s="127"/>
      <c r="M32" s="127"/>
      <c r="N32" s="127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 spans="1:27" ht="16.5" customHeight="1">
      <c r="A33" s="123"/>
      <c r="B33" s="174" t="s">
        <v>75</v>
      </c>
      <c r="C33" s="37" t="s">
        <v>72</v>
      </c>
      <c r="D33" s="175"/>
      <c r="E33" s="176"/>
      <c r="F33" s="176"/>
      <c r="G33" s="176"/>
      <c r="H33" s="176"/>
      <c r="I33" s="175"/>
      <c r="J33" s="176"/>
      <c r="K33" s="38"/>
      <c r="L33" s="127"/>
      <c r="M33" s="127"/>
      <c r="N33" s="127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 spans="1:27" ht="16.5" customHeight="1">
      <c r="A34" s="123"/>
      <c r="B34" s="177" t="s">
        <v>9</v>
      </c>
      <c r="C34" s="178" t="s">
        <v>52</v>
      </c>
      <c r="D34" s="178" t="s">
        <v>53</v>
      </c>
      <c r="E34" s="178" t="s">
        <v>54</v>
      </c>
      <c r="F34" s="179" t="s">
        <v>55</v>
      </c>
      <c r="G34" s="180" t="s">
        <v>56</v>
      </c>
      <c r="H34" s="179" t="s">
        <v>57</v>
      </c>
      <c r="I34" s="179" t="s">
        <v>6</v>
      </c>
      <c r="J34" s="179" t="s">
        <v>58</v>
      </c>
      <c r="K34" s="179" t="s">
        <v>13</v>
      </c>
      <c r="L34" s="127"/>
      <c r="M34" s="127"/>
      <c r="N34" s="127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 spans="1:27" ht="16.5" customHeight="1">
      <c r="A35" s="123"/>
      <c r="B35" s="181" t="s">
        <v>59</v>
      </c>
      <c r="C35" s="190">
        <f>'DB)몽슈슈'!E7</f>
        <v>40800</v>
      </c>
      <c r="D35" s="348" t="s">
        <v>76</v>
      </c>
      <c r="E35" s="167"/>
      <c r="F35" s="182">
        <f>C35-E35</f>
        <v>40800</v>
      </c>
      <c r="G35" s="183">
        <v>0.4</v>
      </c>
      <c r="H35" s="190">
        <f>F35*G35</f>
        <v>16320</v>
      </c>
      <c r="I35" s="184">
        <f>F35-H35</f>
        <v>24480</v>
      </c>
      <c r="J35" s="185" t="s">
        <v>60</v>
      </c>
      <c r="K35" s="168" t="s">
        <v>251</v>
      </c>
      <c r="L35" s="127"/>
      <c r="M35" s="127"/>
      <c r="N35" s="127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 spans="1:27" ht="16.5" customHeight="1">
      <c r="A36" s="123"/>
      <c r="B36" s="127"/>
      <c r="C36" s="123"/>
      <c r="D36" s="123"/>
      <c r="E36" s="123"/>
      <c r="F36" s="123"/>
      <c r="G36" s="123"/>
      <c r="H36" s="123"/>
      <c r="I36" s="169"/>
      <c r="J36" s="123"/>
      <c r="K36" s="123"/>
      <c r="L36" s="127"/>
      <c r="M36" s="127"/>
      <c r="N36" s="127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 spans="1:27" ht="16.5" customHeight="1">
      <c r="A37" s="123"/>
      <c r="B37" s="174" t="s">
        <v>308</v>
      </c>
      <c r="C37" s="37" t="s">
        <v>245</v>
      </c>
      <c r="D37" s="175"/>
      <c r="E37" s="176"/>
      <c r="F37" s="176"/>
      <c r="G37" s="176"/>
      <c r="H37" s="176"/>
      <c r="I37" s="175"/>
      <c r="J37" s="176"/>
      <c r="K37" s="38"/>
      <c r="L37" s="127"/>
      <c r="M37" s="127"/>
      <c r="N37" s="127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spans="1:27" ht="16.5" customHeight="1">
      <c r="A38" s="123"/>
      <c r="B38" s="177" t="s">
        <v>9</v>
      </c>
      <c r="C38" s="178" t="s">
        <v>52</v>
      </c>
      <c r="D38" s="178" t="s">
        <v>53</v>
      </c>
      <c r="E38" s="178" t="s">
        <v>54</v>
      </c>
      <c r="F38" s="179" t="s">
        <v>55</v>
      </c>
      <c r="G38" s="180" t="s">
        <v>56</v>
      </c>
      <c r="H38" s="179" t="s">
        <v>57</v>
      </c>
      <c r="I38" s="179" t="s">
        <v>6</v>
      </c>
      <c r="J38" s="179" t="s">
        <v>58</v>
      </c>
      <c r="K38" s="179" t="s">
        <v>13</v>
      </c>
      <c r="L38" s="127"/>
      <c r="M38" s="127"/>
      <c r="N38" s="127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spans="1:27" ht="16.5" customHeight="1">
      <c r="A39" s="123"/>
      <c r="B39" s="181" t="s">
        <v>59</v>
      </c>
      <c r="C39" s="190">
        <f>'DB)행사'!D6</f>
        <v>74500</v>
      </c>
      <c r="D39" s="167" t="s">
        <v>249</v>
      </c>
      <c r="E39" s="167">
        <f>C39-F39</f>
        <v>19500</v>
      </c>
      <c r="F39" s="182">
        <v>55000</v>
      </c>
      <c r="G39" s="183">
        <v>0.2</v>
      </c>
      <c r="H39" s="190">
        <f>F39*G39</f>
        <v>11000</v>
      </c>
      <c r="I39" s="184">
        <f>F39-H39</f>
        <v>44000</v>
      </c>
      <c r="J39" s="185" t="s">
        <v>60</v>
      </c>
      <c r="K39" s="168" t="s">
        <v>255</v>
      </c>
      <c r="L39" s="127"/>
      <c r="M39" s="127"/>
      <c r="N39" s="127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spans="1:27" ht="16.5" customHeight="1">
      <c r="A40" s="123"/>
      <c r="B40" s="172"/>
      <c r="C40" s="218"/>
      <c r="D40" s="171"/>
      <c r="E40" s="171"/>
      <c r="F40" s="219"/>
      <c r="G40" s="220"/>
      <c r="H40" s="218"/>
      <c r="I40" s="219"/>
      <c r="J40" s="171"/>
      <c r="K40" s="227"/>
      <c r="L40" s="127"/>
      <c r="M40" s="127"/>
      <c r="N40" s="127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 spans="1:27" ht="16.5" customHeight="1">
      <c r="K41" s="44" t="s">
        <v>77</v>
      </c>
    </row>
    <row r="42" spans="1:27" ht="16.5" customHeight="1">
      <c r="A42" s="123"/>
      <c r="B42" s="192" t="s">
        <v>78</v>
      </c>
      <c r="C42" s="193">
        <f>SUM(C7:C39)</f>
        <v>3315020</v>
      </c>
      <c r="D42" s="294" t="s">
        <v>79</v>
      </c>
      <c r="E42" s="295"/>
      <c r="F42" s="295"/>
      <c r="G42" s="295"/>
      <c r="H42" s="295"/>
      <c r="I42" s="295"/>
      <c r="J42" s="295"/>
      <c r="K42" s="296"/>
      <c r="L42" s="127"/>
      <c r="M42" s="127"/>
      <c r="N42" s="127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 spans="1:27" ht="16.5" customHeight="1">
      <c r="A43" s="123"/>
      <c r="B43" s="192" t="s">
        <v>54</v>
      </c>
      <c r="C43" s="193">
        <f>SUM(E7:E35)</f>
        <v>154700</v>
      </c>
      <c r="D43" s="294" t="s">
        <v>80</v>
      </c>
      <c r="E43" s="295"/>
      <c r="F43" s="295"/>
      <c r="G43" s="295"/>
      <c r="H43" s="295"/>
      <c r="I43" s="295"/>
      <c r="J43" s="295"/>
      <c r="K43" s="296"/>
      <c r="L43" s="127"/>
      <c r="M43" s="127"/>
      <c r="N43" s="127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 spans="1:27" ht="16.5" customHeight="1">
      <c r="A44" s="123"/>
      <c r="B44" s="192" t="s">
        <v>81</v>
      </c>
      <c r="C44" s="194">
        <f>SUM(F7:F39)</f>
        <v>3371820</v>
      </c>
      <c r="D44" s="294" t="s">
        <v>314</v>
      </c>
      <c r="E44" s="295"/>
      <c r="F44" s="295"/>
      <c r="G44" s="295"/>
      <c r="H44" s="295"/>
      <c r="I44" s="295"/>
      <c r="J44" s="295"/>
      <c r="K44" s="296"/>
      <c r="L44" s="127"/>
      <c r="M44" s="127"/>
      <c r="N44" s="127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 spans="1:27" ht="16.5" customHeight="1">
      <c r="A45" s="123"/>
      <c r="B45" s="192" t="s">
        <v>82</v>
      </c>
      <c r="C45" s="193">
        <f>SUM(H7:H39)</f>
        <v>835130</v>
      </c>
      <c r="D45" s="294" t="s">
        <v>83</v>
      </c>
      <c r="E45" s="295"/>
      <c r="F45" s="295"/>
      <c r="G45" s="295"/>
      <c r="H45" s="295"/>
      <c r="I45" s="295"/>
      <c r="J45" s="295"/>
      <c r="K45" s="296"/>
      <c r="L45" s="127"/>
      <c r="M45" s="127"/>
      <c r="N45" s="127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spans="1:27" ht="16.5" customHeight="1">
      <c r="A46" s="123"/>
      <c r="B46" s="195" t="s">
        <v>6</v>
      </c>
      <c r="C46" s="196">
        <f>SUM(I5:I39)</f>
        <v>2536690</v>
      </c>
      <c r="D46" s="294" t="s">
        <v>84</v>
      </c>
      <c r="E46" s="295"/>
      <c r="F46" s="295"/>
      <c r="G46" s="295"/>
      <c r="H46" s="295"/>
      <c r="I46" s="295"/>
      <c r="J46" s="295"/>
      <c r="K46" s="296"/>
      <c r="L46" s="127"/>
      <c r="M46" s="127"/>
      <c r="N46" s="127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spans="1:27" ht="13.5" customHeight="1">
      <c r="A47" s="123"/>
      <c r="B47" s="127" t="s">
        <v>256</v>
      </c>
      <c r="C47" s="124">
        <f>I7+I11+I15+I19+I35+I39</f>
        <v>918987</v>
      </c>
      <c r="D47" s="123"/>
      <c r="E47" s="123"/>
      <c r="F47" s="123"/>
      <c r="G47" s="123"/>
      <c r="H47" s="123"/>
      <c r="I47" s="169"/>
      <c r="J47" s="123"/>
      <c r="K47" s="123"/>
      <c r="L47" s="127"/>
      <c r="M47" s="127"/>
      <c r="N47" s="127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spans="1:27" ht="13.5" customHeight="1">
      <c r="A48" s="123"/>
      <c r="B48" s="127" t="s">
        <v>257</v>
      </c>
      <c r="C48" s="124">
        <f>I31+I27+I23</f>
        <v>1617703</v>
      </c>
      <c r="D48" s="123"/>
      <c r="E48" s="123"/>
      <c r="F48" s="123"/>
      <c r="G48" s="123"/>
      <c r="H48" s="123"/>
      <c r="I48" s="169"/>
      <c r="J48" s="123"/>
      <c r="K48" s="123"/>
      <c r="L48" s="123"/>
      <c r="M48" s="127"/>
      <c r="N48" s="127"/>
      <c r="O48" s="127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 spans="1:27" ht="13.5" customHeight="1">
      <c r="A49" s="123"/>
      <c r="B49" s="127"/>
      <c r="C49" s="123"/>
      <c r="D49" s="123"/>
      <c r="E49" s="123"/>
      <c r="F49" s="123"/>
      <c r="G49" s="123"/>
      <c r="H49" s="123"/>
      <c r="I49" s="169"/>
      <c r="J49" s="123"/>
      <c r="K49" s="123"/>
      <c r="L49" s="123"/>
      <c r="M49" s="127"/>
      <c r="N49" s="127"/>
      <c r="O49" s="127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 spans="1:27" ht="13.5" customHeight="1">
      <c r="A50" s="123"/>
      <c r="B50" s="127"/>
      <c r="C50" s="123"/>
      <c r="D50" s="123"/>
      <c r="E50" s="123"/>
      <c r="F50" s="123"/>
      <c r="G50" s="123"/>
      <c r="H50" s="123"/>
      <c r="I50" s="169"/>
      <c r="J50" s="123"/>
      <c r="K50" s="123"/>
      <c r="L50" s="123"/>
      <c r="M50" s="127"/>
      <c r="N50" s="127"/>
      <c r="O50" s="127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 spans="1:27" ht="13.5" customHeight="1">
      <c r="A51" s="123"/>
      <c r="B51" s="127"/>
      <c r="C51" s="123"/>
      <c r="D51" s="123"/>
      <c r="E51" s="123"/>
      <c r="F51" s="123"/>
      <c r="G51" s="123"/>
      <c r="H51" s="123"/>
      <c r="I51" s="169"/>
      <c r="J51" s="123"/>
      <c r="K51" s="123"/>
      <c r="L51" s="123"/>
      <c r="M51" s="127"/>
      <c r="N51" s="127"/>
      <c r="O51" s="127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 spans="1:27" ht="13.5" customHeight="1">
      <c r="A52" s="123"/>
      <c r="B52" s="127"/>
      <c r="C52" s="123"/>
      <c r="D52" s="123"/>
      <c r="E52" s="123"/>
      <c r="F52" s="123"/>
      <c r="G52" s="123"/>
      <c r="H52" s="123"/>
      <c r="I52" s="169"/>
      <c r="J52" s="123"/>
      <c r="K52" s="123"/>
      <c r="L52" s="123"/>
      <c r="M52" s="127"/>
      <c r="N52" s="127"/>
      <c r="O52" s="127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 spans="1:27" ht="13.5" customHeight="1">
      <c r="A53" s="123"/>
      <c r="B53" s="127"/>
      <c r="C53" s="123"/>
      <c r="D53" s="123"/>
      <c r="E53" s="123"/>
      <c r="F53" s="123"/>
      <c r="G53" s="123"/>
      <c r="H53" s="123"/>
      <c r="I53" s="169"/>
      <c r="J53" s="123"/>
      <c r="K53" s="123"/>
      <c r="L53" s="123"/>
      <c r="M53" s="127"/>
      <c r="N53" s="127"/>
      <c r="O53" s="127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 spans="1:27" ht="13.5" customHeight="1">
      <c r="A54" s="123"/>
      <c r="B54" s="127"/>
      <c r="C54" s="123"/>
      <c r="D54" s="123"/>
      <c r="E54" s="123"/>
      <c r="F54" s="123"/>
      <c r="G54" s="123"/>
      <c r="H54" s="123"/>
      <c r="I54" s="169"/>
      <c r="J54" s="123"/>
      <c r="K54" s="123"/>
      <c r="L54" s="123"/>
      <c r="M54" s="127"/>
      <c r="N54" s="127"/>
      <c r="O54" s="127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 spans="1:27" ht="13.5" customHeight="1">
      <c r="A55" s="123"/>
      <c r="B55" s="127"/>
      <c r="C55" s="123"/>
      <c r="D55" s="123"/>
      <c r="E55" s="123"/>
      <c r="F55" s="123"/>
      <c r="G55" s="123"/>
      <c r="H55" s="123"/>
      <c r="I55" s="169"/>
      <c r="J55" s="123"/>
      <c r="K55" s="123"/>
      <c r="L55" s="127"/>
      <c r="M55" s="127"/>
      <c r="N55" s="127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 spans="1:27" ht="13.5" customHeight="1">
      <c r="A56" s="123"/>
      <c r="B56" s="127"/>
      <c r="C56" s="123"/>
      <c r="D56" s="123"/>
      <c r="E56" s="123"/>
      <c r="F56" s="123"/>
      <c r="G56" s="123"/>
      <c r="H56" s="123"/>
      <c r="I56" s="169"/>
      <c r="J56" s="123"/>
      <c r="K56" s="123"/>
      <c r="L56" s="127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 spans="1:27" ht="13.5" customHeight="1">
      <c r="A57" s="123"/>
      <c r="B57" s="127"/>
      <c r="C57" s="123"/>
      <c r="D57" s="123"/>
      <c r="E57" s="123"/>
      <c r="F57" s="123"/>
      <c r="G57" s="123"/>
      <c r="H57" s="123"/>
      <c r="I57" s="169"/>
      <c r="J57" s="123"/>
      <c r="K57" s="123"/>
      <c r="L57" s="127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 spans="1:27" ht="13.5" customHeight="1">
      <c r="A58" s="123"/>
      <c r="B58" s="127"/>
      <c r="C58" s="123"/>
      <c r="D58" s="123"/>
      <c r="E58" s="123"/>
      <c r="F58" s="123"/>
      <c r="G58" s="123"/>
      <c r="H58" s="123"/>
      <c r="I58" s="169"/>
      <c r="J58" s="123"/>
      <c r="K58" s="123"/>
      <c r="L58" s="127"/>
      <c r="M58" s="127"/>
      <c r="N58" s="127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 spans="1:27" ht="13.5" customHeight="1">
      <c r="A59" s="123"/>
      <c r="B59" s="127"/>
      <c r="C59" s="123"/>
      <c r="D59" s="123"/>
      <c r="E59" s="123"/>
      <c r="F59" s="123"/>
      <c r="G59" s="123"/>
      <c r="H59" s="123"/>
      <c r="I59" s="169"/>
      <c r="J59" s="123"/>
      <c r="K59" s="123"/>
      <c r="L59" s="127"/>
      <c r="M59" s="127"/>
      <c r="N59" s="127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 spans="1:27" ht="13.5" customHeight="1">
      <c r="A60" s="123"/>
      <c r="B60" s="127"/>
      <c r="C60" s="123"/>
      <c r="D60" s="123"/>
      <c r="E60" s="123"/>
      <c r="F60" s="123"/>
      <c r="G60" s="123"/>
      <c r="H60" s="123"/>
      <c r="I60" s="169"/>
      <c r="J60" s="123"/>
      <c r="K60" s="123"/>
      <c r="L60" s="127"/>
      <c r="M60" s="127"/>
      <c r="N60" s="127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 spans="1:27" ht="13.5" customHeight="1">
      <c r="A61" s="123"/>
      <c r="B61" s="127"/>
      <c r="C61" s="123"/>
      <c r="D61" s="123"/>
      <c r="E61" s="123"/>
      <c r="F61" s="123"/>
      <c r="G61" s="123"/>
      <c r="H61" s="123"/>
      <c r="I61" s="169"/>
      <c r="J61" s="123"/>
      <c r="K61" s="123"/>
      <c r="L61" s="127"/>
      <c r="M61" s="127"/>
      <c r="N61" s="127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 spans="1:27" ht="13.5" customHeight="1">
      <c r="A62" s="123"/>
      <c r="B62" s="127"/>
      <c r="C62" s="123"/>
      <c r="D62" s="123"/>
      <c r="E62" s="123"/>
      <c r="F62" s="123"/>
      <c r="G62" s="123"/>
      <c r="H62" s="123"/>
      <c r="I62" s="169"/>
      <c r="J62" s="123"/>
      <c r="K62" s="123"/>
      <c r="L62" s="127"/>
      <c r="M62" s="127"/>
      <c r="N62" s="127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 spans="1:27" ht="13.5" customHeight="1">
      <c r="A63" s="123"/>
      <c r="B63" s="127"/>
      <c r="C63" s="123"/>
      <c r="D63" s="123"/>
      <c r="E63" s="123"/>
      <c r="F63" s="123"/>
      <c r="G63" s="123"/>
      <c r="H63" s="123"/>
      <c r="I63" s="169"/>
      <c r="J63" s="123"/>
      <c r="K63" s="123"/>
      <c r="L63" s="127"/>
      <c r="M63" s="127"/>
      <c r="N63" s="127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 spans="1:27" ht="13.5" customHeight="1">
      <c r="A64" s="123"/>
      <c r="B64" s="127"/>
      <c r="C64" s="123"/>
      <c r="D64" s="123"/>
      <c r="E64" s="123"/>
      <c r="F64" s="123"/>
      <c r="G64" s="123"/>
      <c r="H64" s="123"/>
      <c r="I64" s="169"/>
      <c r="J64" s="123"/>
      <c r="K64" s="123"/>
      <c r="L64" s="127"/>
      <c r="M64" s="127"/>
      <c r="N64" s="127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 spans="1:27" ht="13.5" customHeight="1">
      <c r="A65" s="123"/>
      <c r="B65" s="127"/>
      <c r="C65" s="123"/>
      <c r="D65" s="123"/>
      <c r="E65" s="123"/>
      <c r="F65" s="123"/>
      <c r="G65" s="123"/>
      <c r="H65" s="123"/>
      <c r="I65" s="169"/>
      <c r="J65" s="123"/>
      <c r="K65" s="123"/>
      <c r="L65" s="127"/>
      <c r="M65" s="127"/>
      <c r="N65" s="127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 spans="1:27" ht="13.5" customHeight="1">
      <c r="A66" s="123"/>
      <c r="B66" s="127"/>
      <c r="C66" s="123"/>
      <c r="D66" s="123"/>
      <c r="E66" s="123"/>
      <c r="F66" s="123"/>
      <c r="G66" s="123"/>
      <c r="H66" s="123"/>
      <c r="I66" s="169"/>
      <c r="J66" s="123"/>
      <c r="K66" s="123"/>
      <c r="L66" s="127"/>
      <c r="M66" s="127"/>
      <c r="N66" s="127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 spans="1:27" ht="13.5" customHeight="1">
      <c r="A67" s="123"/>
      <c r="B67" s="127"/>
      <c r="C67" s="123"/>
      <c r="D67" s="123"/>
      <c r="E67" s="123"/>
      <c r="F67" s="123"/>
      <c r="G67" s="123"/>
      <c r="H67" s="123"/>
      <c r="I67" s="169"/>
      <c r="J67" s="123"/>
      <c r="K67" s="123"/>
      <c r="L67" s="127"/>
      <c r="M67" s="127"/>
      <c r="N67" s="127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 spans="1:27" ht="13.5" customHeight="1">
      <c r="A68" s="123"/>
      <c r="B68" s="127"/>
      <c r="C68" s="123"/>
      <c r="D68" s="123"/>
      <c r="E68" s="123"/>
      <c r="F68" s="123"/>
      <c r="G68" s="123"/>
      <c r="H68" s="123"/>
      <c r="I68" s="169"/>
      <c r="J68" s="123"/>
      <c r="K68" s="123"/>
      <c r="L68" s="127"/>
      <c r="M68" s="127"/>
      <c r="N68" s="127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 spans="1:27" ht="13.5" customHeight="1">
      <c r="A69" s="123"/>
      <c r="B69" s="127"/>
      <c r="C69" s="123"/>
      <c r="D69" s="123"/>
      <c r="E69" s="123"/>
      <c r="F69" s="123"/>
      <c r="G69" s="123"/>
      <c r="H69" s="123"/>
      <c r="I69" s="169"/>
      <c r="J69" s="123"/>
      <c r="K69" s="123"/>
      <c r="L69" s="127"/>
      <c r="M69" s="127"/>
      <c r="N69" s="127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 spans="1:27" ht="13.5" customHeight="1">
      <c r="A70" s="123"/>
      <c r="B70" s="127"/>
      <c r="C70" s="123"/>
      <c r="D70" s="123"/>
      <c r="E70" s="123"/>
      <c r="F70" s="123"/>
      <c r="G70" s="123"/>
      <c r="H70" s="123"/>
      <c r="I70" s="169"/>
      <c r="J70" s="123"/>
      <c r="K70" s="123"/>
      <c r="L70" s="127"/>
      <c r="M70" s="127"/>
      <c r="N70" s="127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 spans="1:27" ht="13.5" customHeight="1">
      <c r="A71" s="123"/>
      <c r="B71" s="127"/>
      <c r="C71" s="123"/>
      <c r="D71" s="123"/>
      <c r="E71" s="123"/>
      <c r="F71" s="123"/>
      <c r="G71" s="123"/>
      <c r="H71" s="123"/>
      <c r="I71" s="169"/>
      <c r="J71" s="123"/>
      <c r="K71" s="123"/>
      <c r="L71" s="127"/>
      <c r="M71" s="127"/>
      <c r="N71" s="127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 spans="1:27" ht="13.5" customHeight="1">
      <c r="A72" s="123"/>
      <c r="B72" s="127"/>
      <c r="C72" s="123"/>
      <c r="D72" s="123"/>
      <c r="E72" s="123"/>
      <c r="F72" s="123"/>
      <c r="G72" s="123"/>
      <c r="H72" s="123"/>
      <c r="I72" s="169"/>
      <c r="J72" s="123"/>
      <c r="K72" s="123"/>
      <c r="L72" s="127"/>
      <c r="M72" s="127"/>
      <c r="N72" s="127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 spans="1:27" ht="13.5" customHeight="1">
      <c r="A73" s="123"/>
      <c r="B73" s="127"/>
      <c r="C73" s="123"/>
      <c r="D73" s="123"/>
      <c r="E73" s="123"/>
      <c r="F73" s="123"/>
      <c r="G73" s="123"/>
      <c r="H73" s="123"/>
      <c r="I73" s="169"/>
      <c r="J73" s="123"/>
      <c r="K73" s="123"/>
      <c r="L73" s="127"/>
      <c r="M73" s="127"/>
      <c r="N73" s="127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 spans="1:27" ht="13.5" customHeight="1">
      <c r="A74" s="123"/>
      <c r="B74" s="127"/>
      <c r="C74" s="123"/>
      <c r="D74" s="123"/>
      <c r="E74" s="123"/>
      <c r="F74" s="123"/>
      <c r="G74" s="123"/>
      <c r="H74" s="123"/>
      <c r="I74" s="169"/>
      <c r="J74" s="123"/>
      <c r="K74" s="123"/>
      <c r="L74" s="127"/>
      <c r="M74" s="127"/>
      <c r="N74" s="127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 spans="1:27" ht="13.5" customHeight="1">
      <c r="A75" s="123"/>
      <c r="B75" s="127"/>
      <c r="C75" s="123"/>
      <c r="D75" s="123"/>
      <c r="E75" s="123"/>
      <c r="F75" s="123"/>
      <c r="G75" s="123"/>
      <c r="H75" s="123"/>
      <c r="I75" s="169"/>
      <c r="J75" s="123"/>
      <c r="K75" s="123"/>
      <c r="L75" s="127"/>
      <c r="M75" s="127"/>
      <c r="N75" s="127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 spans="1:27" ht="13.5" customHeight="1">
      <c r="A76" s="123"/>
      <c r="B76" s="127"/>
      <c r="C76" s="123"/>
      <c r="D76" s="123"/>
      <c r="E76" s="123"/>
      <c r="F76" s="123"/>
      <c r="G76" s="123"/>
      <c r="H76" s="123"/>
      <c r="I76" s="169"/>
      <c r="J76" s="123"/>
      <c r="K76" s="123"/>
      <c r="L76" s="127"/>
      <c r="M76" s="127"/>
      <c r="N76" s="127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spans="1:27" ht="13.5" customHeight="1">
      <c r="A77" s="123"/>
      <c r="B77" s="127"/>
      <c r="C77" s="123"/>
      <c r="D77" s="123"/>
      <c r="E77" s="123"/>
      <c r="F77" s="123"/>
      <c r="G77" s="123"/>
      <c r="H77" s="123"/>
      <c r="I77" s="169"/>
      <c r="J77" s="123"/>
      <c r="K77" s="123"/>
      <c r="L77" s="127"/>
      <c r="M77" s="127"/>
      <c r="N77" s="127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1:27" ht="13.5" customHeight="1">
      <c r="A78" s="123"/>
      <c r="B78" s="127"/>
      <c r="C78" s="123"/>
      <c r="D78" s="123"/>
      <c r="E78" s="123"/>
      <c r="F78" s="123"/>
      <c r="G78" s="123"/>
      <c r="H78" s="123"/>
      <c r="I78" s="169"/>
      <c r="J78" s="123"/>
      <c r="K78" s="123"/>
      <c r="L78" s="127"/>
      <c r="M78" s="127"/>
      <c r="N78" s="127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spans="1:27" ht="13.5" customHeight="1">
      <c r="A79" s="123"/>
      <c r="B79" s="127"/>
      <c r="C79" s="123"/>
      <c r="D79" s="123"/>
      <c r="E79" s="123"/>
      <c r="F79" s="123"/>
      <c r="G79" s="123"/>
      <c r="H79" s="123"/>
      <c r="I79" s="169"/>
      <c r="J79" s="123"/>
      <c r="K79" s="123"/>
      <c r="L79" s="127"/>
      <c r="M79" s="127"/>
      <c r="N79" s="127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 spans="1:27" ht="13.5" customHeight="1">
      <c r="A80" s="123"/>
      <c r="B80" s="127"/>
      <c r="C80" s="123"/>
      <c r="D80" s="123"/>
      <c r="E80" s="123"/>
      <c r="F80" s="123"/>
      <c r="G80" s="123"/>
      <c r="H80" s="123"/>
      <c r="I80" s="169"/>
      <c r="J80" s="123"/>
      <c r="K80" s="123"/>
      <c r="L80" s="127"/>
      <c r="M80" s="127"/>
      <c r="N80" s="127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 spans="1:27" ht="13.5" customHeight="1">
      <c r="A81" s="123"/>
      <c r="B81" s="127"/>
      <c r="C81" s="123"/>
      <c r="D81" s="123"/>
      <c r="E81" s="123"/>
      <c r="F81" s="123"/>
      <c r="G81" s="123"/>
      <c r="H81" s="123"/>
      <c r="I81" s="169"/>
      <c r="J81" s="123"/>
      <c r="K81" s="123"/>
      <c r="L81" s="127"/>
      <c r="M81" s="127"/>
      <c r="N81" s="127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 spans="1:27" ht="13.5" customHeight="1">
      <c r="A82" s="123"/>
      <c r="B82" s="127"/>
      <c r="C82" s="123"/>
      <c r="D82" s="123"/>
      <c r="E82" s="123"/>
      <c r="F82" s="123"/>
      <c r="G82" s="123"/>
      <c r="H82" s="123"/>
      <c r="I82" s="169"/>
      <c r="J82" s="123"/>
      <c r="K82" s="123"/>
      <c r="L82" s="127"/>
      <c r="M82" s="127"/>
      <c r="N82" s="127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 spans="1:27" ht="13.5" customHeight="1">
      <c r="A83" s="123"/>
      <c r="B83" s="127"/>
      <c r="C83" s="123"/>
      <c r="D83" s="123"/>
      <c r="E83" s="123"/>
      <c r="F83" s="123"/>
      <c r="G83" s="123"/>
      <c r="H83" s="123"/>
      <c r="I83" s="169"/>
      <c r="J83" s="123"/>
      <c r="K83" s="123"/>
      <c r="L83" s="127"/>
      <c r="M83" s="127"/>
      <c r="N83" s="127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 spans="1:27" ht="13.5" customHeight="1">
      <c r="A84" s="123"/>
      <c r="B84" s="127"/>
      <c r="C84" s="123"/>
      <c r="D84" s="123"/>
      <c r="E84" s="123"/>
      <c r="F84" s="123"/>
      <c r="G84" s="123"/>
      <c r="H84" s="123"/>
      <c r="I84" s="169"/>
      <c r="J84" s="123"/>
      <c r="K84" s="123"/>
      <c r="L84" s="127"/>
      <c r="M84" s="127"/>
      <c r="N84" s="127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 spans="1:27" ht="13.5" customHeight="1">
      <c r="A85" s="123"/>
      <c r="B85" s="127"/>
      <c r="C85" s="123"/>
      <c r="D85" s="123"/>
      <c r="E85" s="123"/>
      <c r="F85" s="123"/>
      <c r="G85" s="123"/>
      <c r="H85" s="123"/>
      <c r="I85" s="169"/>
      <c r="J85" s="123"/>
      <c r="K85" s="123"/>
      <c r="L85" s="127"/>
      <c r="M85" s="127"/>
      <c r="N85" s="127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 spans="1:27" ht="13.5" customHeight="1">
      <c r="A86" s="123"/>
      <c r="B86" s="127"/>
      <c r="C86" s="123"/>
      <c r="D86" s="123"/>
      <c r="E86" s="123"/>
      <c r="F86" s="123"/>
      <c r="G86" s="123"/>
      <c r="H86" s="123"/>
      <c r="I86" s="169"/>
      <c r="J86" s="123"/>
      <c r="K86" s="123"/>
      <c r="L86" s="127"/>
      <c r="M86" s="127"/>
      <c r="N86" s="127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 spans="1:27" ht="13.5" customHeight="1">
      <c r="A87" s="123"/>
      <c r="B87" s="127"/>
      <c r="C87" s="123"/>
      <c r="D87" s="123"/>
      <c r="E87" s="123"/>
      <c r="F87" s="123"/>
      <c r="G87" s="123"/>
      <c r="H87" s="123"/>
      <c r="I87" s="169"/>
      <c r="J87" s="123"/>
      <c r="K87" s="123"/>
      <c r="L87" s="127"/>
      <c r="M87" s="127"/>
      <c r="N87" s="127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 spans="1:27" ht="13.5" customHeight="1">
      <c r="A88" s="123"/>
      <c r="B88" s="127"/>
      <c r="C88" s="123"/>
      <c r="D88" s="123"/>
      <c r="E88" s="123"/>
      <c r="F88" s="123"/>
      <c r="G88" s="123"/>
      <c r="H88" s="123"/>
      <c r="I88" s="169"/>
      <c r="J88" s="123"/>
      <c r="K88" s="123"/>
      <c r="L88" s="127"/>
      <c r="M88" s="127"/>
      <c r="N88" s="127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 spans="1:27" ht="13.5" customHeight="1">
      <c r="A89" s="123"/>
      <c r="B89" s="127"/>
      <c r="C89" s="123"/>
      <c r="D89" s="123"/>
      <c r="E89" s="123"/>
      <c r="F89" s="123"/>
      <c r="G89" s="123"/>
      <c r="H89" s="123"/>
      <c r="I89" s="169"/>
      <c r="J89" s="123"/>
      <c r="K89" s="123"/>
      <c r="L89" s="127"/>
      <c r="M89" s="127"/>
      <c r="N89" s="127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 spans="1:27" ht="13.5" customHeight="1">
      <c r="A90" s="123"/>
      <c r="B90" s="127"/>
      <c r="C90" s="123"/>
      <c r="D90" s="123"/>
      <c r="E90" s="123"/>
      <c r="F90" s="123"/>
      <c r="G90" s="123"/>
      <c r="H90" s="123"/>
      <c r="I90" s="169"/>
      <c r="J90" s="123"/>
      <c r="K90" s="123"/>
      <c r="L90" s="127"/>
      <c r="M90" s="127"/>
      <c r="N90" s="127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 spans="1:27" ht="13.5" customHeight="1">
      <c r="A91" s="123"/>
      <c r="B91" s="127"/>
      <c r="C91" s="123"/>
      <c r="D91" s="123"/>
      <c r="E91" s="123"/>
      <c r="F91" s="123"/>
      <c r="G91" s="123"/>
      <c r="H91" s="123"/>
      <c r="I91" s="169"/>
      <c r="J91" s="123"/>
      <c r="K91" s="123"/>
      <c r="L91" s="127"/>
      <c r="M91" s="127"/>
      <c r="N91" s="127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 spans="1:27" ht="13.5" customHeight="1">
      <c r="A92" s="123"/>
      <c r="B92" s="127"/>
      <c r="C92" s="123"/>
      <c r="D92" s="123"/>
      <c r="E92" s="123"/>
      <c r="F92" s="123"/>
      <c r="G92" s="123"/>
      <c r="H92" s="123"/>
      <c r="I92" s="169"/>
      <c r="J92" s="123"/>
      <c r="K92" s="123"/>
      <c r="L92" s="127"/>
      <c r="M92" s="127"/>
      <c r="N92" s="127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 spans="1:27" ht="13.5" customHeight="1">
      <c r="A93" s="123"/>
      <c r="B93" s="127"/>
      <c r="C93" s="123"/>
      <c r="D93" s="123"/>
      <c r="E93" s="123"/>
      <c r="F93" s="123"/>
      <c r="G93" s="123"/>
      <c r="H93" s="123"/>
      <c r="I93" s="169"/>
      <c r="J93" s="123"/>
      <c r="K93" s="123"/>
      <c r="L93" s="127"/>
      <c r="M93" s="127"/>
      <c r="N93" s="127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 spans="1:27" ht="13.5" customHeight="1">
      <c r="A94" s="123"/>
      <c r="B94" s="127"/>
      <c r="C94" s="123"/>
      <c r="D94" s="123"/>
      <c r="E94" s="123"/>
      <c r="F94" s="123"/>
      <c r="G94" s="123"/>
      <c r="H94" s="123"/>
      <c r="I94" s="169"/>
      <c r="J94" s="123"/>
      <c r="K94" s="123"/>
      <c r="L94" s="127"/>
      <c r="M94" s="127"/>
      <c r="N94" s="127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 spans="1:27" ht="13.5" customHeight="1">
      <c r="A95" s="123"/>
      <c r="B95" s="127"/>
      <c r="C95" s="123"/>
      <c r="D95" s="123"/>
      <c r="E95" s="123"/>
      <c r="F95" s="123"/>
      <c r="G95" s="123"/>
      <c r="H95" s="123"/>
      <c r="I95" s="169"/>
      <c r="J95" s="123"/>
      <c r="K95" s="123"/>
      <c r="L95" s="127"/>
      <c r="M95" s="127"/>
      <c r="N95" s="127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 spans="1:27" ht="13.5" customHeight="1">
      <c r="A96" s="123"/>
      <c r="B96" s="127"/>
      <c r="C96" s="123"/>
      <c r="D96" s="123"/>
      <c r="E96" s="123"/>
      <c r="F96" s="123"/>
      <c r="G96" s="123"/>
      <c r="H96" s="123"/>
      <c r="I96" s="169"/>
      <c r="J96" s="123"/>
      <c r="K96" s="123"/>
      <c r="L96" s="127"/>
      <c r="M96" s="127"/>
      <c r="N96" s="127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 spans="1:27" ht="13.5" customHeight="1">
      <c r="A97" s="123"/>
      <c r="B97" s="127"/>
      <c r="C97" s="123"/>
      <c r="D97" s="123"/>
      <c r="E97" s="123"/>
      <c r="F97" s="123"/>
      <c r="G97" s="123"/>
      <c r="H97" s="123"/>
      <c r="I97" s="169"/>
      <c r="J97" s="123"/>
      <c r="K97" s="123"/>
      <c r="L97" s="127"/>
      <c r="M97" s="127"/>
      <c r="N97" s="127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 spans="1:27" ht="13.5" customHeight="1">
      <c r="A98" s="123"/>
      <c r="B98" s="127"/>
      <c r="C98" s="123"/>
      <c r="D98" s="123"/>
      <c r="E98" s="123"/>
      <c r="F98" s="123"/>
      <c r="G98" s="123"/>
      <c r="H98" s="123"/>
      <c r="I98" s="169"/>
      <c r="J98" s="123"/>
      <c r="K98" s="123"/>
      <c r="L98" s="127"/>
      <c r="M98" s="127"/>
      <c r="N98" s="127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 spans="1:27" ht="13.5" customHeight="1">
      <c r="A99" s="123"/>
      <c r="B99" s="127"/>
      <c r="C99" s="123"/>
      <c r="D99" s="123"/>
      <c r="E99" s="123"/>
      <c r="F99" s="123"/>
      <c r="G99" s="123"/>
      <c r="H99" s="123"/>
      <c r="I99" s="169"/>
      <c r="J99" s="123"/>
      <c r="K99" s="123"/>
      <c r="L99" s="127"/>
      <c r="M99" s="127"/>
      <c r="N99" s="127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 spans="1:27" ht="13.5" customHeight="1">
      <c r="A100" s="123"/>
      <c r="B100" s="127"/>
      <c r="C100" s="123"/>
      <c r="D100" s="123"/>
      <c r="E100" s="123"/>
      <c r="F100" s="123"/>
      <c r="G100" s="123"/>
      <c r="H100" s="123"/>
      <c r="I100" s="169"/>
      <c r="J100" s="123"/>
      <c r="K100" s="123"/>
      <c r="L100" s="127"/>
      <c r="M100" s="127"/>
      <c r="N100" s="127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 spans="1:27" ht="13.5" customHeight="1">
      <c r="A101" s="123"/>
      <c r="B101" s="127"/>
      <c r="C101" s="123"/>
      <c r="D101" s="123"/>
      <c r="E101" s="123"/>
      <c r="F101" s="123"/>
      <c r="G101" s="123"/>
      <c r="H101" s="123"/>
      <c r="I101" s="169"/>
      <c r="J101" s="123"/>
      <c r="K101" s="123"/>
      <c r="L101" s="127"/>
      <c r="M101" s="127"/>
      <c r="N101" s="127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 spans="1:27" ht="13.5" customHeight="1">
      <c r="A102" s="123"/>
      <c r="B102" s="127"/>
      <c r="C102" s="123"/>
      <c r="D102" s="123"/>
      <c r="E102" s="123"/>
      <c r="F102" s="123"/>
      <c r="G102" s="123"/>
      <c r="H102" s="123"/>
      <c r="I102" s="169"/>
      <c r="J102" s="123"/>
      <c r="K102" s="123"/>
      <c r="L102" s="127"/>
      <c r="M102" s="127"/>
      <c r="N102" s="127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 spans="1:27" ht="13.5" customHeight="1">
      <c r="A103" s="123"/>
      <c r="B103" s="127"/>
      <c r="C103" s="123"/>
      <c r="D103" s="123"/>
      <c r="E103" s="123"/>
      <c r="F103" s="123"/>
      <c r="G103" s="123"/>
      <c r="H103" s="123"/>
      <c r="I103" s="169"/>
      <c r="J103" s="123"/>
      <c r="K103" s="123"/>
      <c r="L103" s="127"/>
      <c r="M103" s="127"/>
      <c r="N103" s="127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 spans="1:27" ht="13.5" customHeight="1">
      <c r="A104" s="123"/>
      <c r="B104" s="127"/>
      <c r="C104" s="123"/>
      <c r="D104" s="123"/>
      <c r="E104" s="123"/>
      <c r="F104" s="123"/>
      <c r="G104" s="123"/>
      <c r="H104" s="123"/>
      <c r="I104" s="169"/>
      <c r="J104" s="123"/>
      <c r="K104" s="123"/>
      <c r="L104" s="127"/>
      <c r="M104" s="127"/>
      <c r="N104" s="127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 spans="1:27" ht="13.5" customHeight="1">
      <c r="A105" s="123"/>
      <c r="B105" s="127"/>
      <c r="C105" s="123"/>
      <c r="D105" s="123"/>
      <c r="E105" s="123"/>
      <c r="F105" s="123"/>
      <c r="G105" s="123"/>
      <c r="H105" s="123"/>
      <c r="I105" s="169"/>
      <c r="J105" s="123"/>
      <c r="K105" s="123"/>
      <c r="L105" s="127"/>
      <c r="M105" s="127"/>
      <c r="N105" s="127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 spans="1:27" ht="13.5" customHeight="1">
      <c r="A106" s="123"/>
      <c r="B106" s="127"/>
      <c r="C106" s="123"/>
      <c r="D106" s="123"/>
      <c r="E106" s="123"/>
      <c r="F106" s="123"/>
      <c r="G106" s="123"/>
      <c r="H106" s="123"/>
      <c r="I106" s="169"/>
      <c r="J106" s="123"/>
      <c r="K106" s="123"/>
      <c r="L106" s="127"/>
      <c r="M106" s="127"/>
      <c r="N106" s="127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 spans="1:27" ht="13.5" customHeight="1">
      <c r="A107" s="123"/>
      <c r="B107" s="127"/>
      <c r="C107" s="123"/>
      <c r="D107" s="123"/>
      <c r="E107" s="123"/>
      <c r="F107" s="123"/>
      <c r="G107" s="123"/>
      <c r="H107" s="123"/>
      <c r="I107" s="169"/>
      <c r="J107" s="123"/>
      <c r="K107" s="123"/>
      <c r="L107" s="127"/>
      <c r="M107" s="127"/>
      <c r="N107" s="127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 spans="1:27" ht="13.5" customHeight="1">
      <c r="A108" s="123"/>
      <c r="B108" s="127"/>
      <c r="C108" s="123"/>
      <c r="D108" s="123"/>
      <c r="E108" s="123"/>
      <c r="F108" s="123"/>
      <c r="G108" s="123"/>
      <c r="H108" s="123"/>
      <c r="I108" s="169"/>
      <c r="J108" s="123"/>
      <c r="K108" s="123"/>
      <c r="L108" s="127"/>
      <c r="M108" s="127"/>
      <c r="N108" s="127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 spans="1:27" ht="13.5" customHeight="1">
      <c r="A109" s="123"/>
      <c r="B109" s="127"/>
      <c r="C109" s="123"/>
      <c r="D109" s="123"/>
      <c r="E109" s="123"/>
      <c r="F109" s="123"/>
      <c r="G109" s="123"/>
      <c r="H109" s="123"/>
      <c r="I109" s="169"/>
      <c r="J109" s="123"/>
      <c r="K109" s="123"/>
      <c r="L109" s="127"/>
      <c r="M109" s="127"/>
      <c r="N109" s="127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 spans="1:27" ht="13.5" customHeight="1">
      <c r="A110" s="123"/>
      <c r="B110" s="127"/>
      <c r="C110" s="123"/>
      <c r="D110" s="123"/>
      <c r="E110" s="123"/>
      <c r="F110" s="123"/>
      <c r="G110" s="123"/>
      <c r="H110" s="123"/>
      <c r="I110" s="169"/>
      <c r="J110" s="123"/>
      <c r="K110" s="123"/>
      <c r="L110" s="127"/>
      <c r="M110" s="127"/>
      <c r="N110" s="127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 spans="1:27" ht="13.5" customHeight="1">
      <c r="A111" s="123"/>
      <c r="B111" s="127"/>
      <c r="C111" s="123"/>
      <c r="D111" s="123"/>
      <c r="E111" s="123"/>
      <c r="F111" s="123"/>
      <c r="G111" s="123"/>
      <c r="H111" s="123"/>
      <c r="I111" s="169"/>
      <c r="J111" s="123"/>
      <c r="K111" s="123"/>
      <c r="L111" s="127"/>
      <c r="M111" s="127"/>
      <c r="N111" s="127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 spans="1:27" ht="13.5" customHeight="1">
      <c r="A112" s="123"/>
      <c r="B112" s="127"/>
      <c r="C112" s="123"/>
      <c r="D112" s="123"/>
      <c r="E112" s="123"/>
      <c r="F112" s="123"/>
      <c r="G112" s="123"/>
      <c r="H112" s="123"/>
      <c r="I112" s="169"/>
      <c r="J112" s="123"/>
      <c r="K112" s="123"/>
      <c r="L112" s="127"/>
      <c r="M112" s="127"/>
      <c r="N112" s="127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 spans="1:27" ht="13.5" customHeight="1">
      <c r="A113" s="123"/>
      <c r="B113" s="127"/>
      <c r="C113" s="123"/>
      <c r="D113" s="123"/>
      <c r="E113" s="123"/>
      <c r="F113" s="123"/>
      <c r="G113" s="123"/>
      <c r="H113" s="123"/>
      <c r="I113" s="169"/>
      <c r="J113" s="123"/>
      <c r="K113" s="123"/>
      <c r="L113" s="127"/>
      <c r="M113" s="127"/>
      <c r="N113" s="127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 spans="1:27" ht="13.5" customHeight="1">
      <c r="A114" s="123"/>
      <c r="B114" s="127"/>
      <c r="C114" s="123"/>
      <c r="D114" s="123"/>
      <c r="E114" s="123"/>
      <c r="F114" s="123"/>
      <c r="G114" s="123"/>
      <c r="H114" s="123"/>
      <c r="I114" s="169"/>
      <c r="J114" s="123"/>
      <c r="K114" s="123"/>
      <c r="L114" s="127"/>
      <c r="M114" s="127"/>
      <c r="N114" s="127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spans="1:27" ht="13.5" customHeight="1">
      <c r="A115" s="123"/>
      <c r="B115" s="127"/>
      <c r="C115" s="123"/>
      <c r="D115" s="123"/>
      <c r="E115" s="123"/>
      <c r="F115" s="123"/>
      <c r="G115" s="123"/>
      <c r="H115" s="123"/>
      <c r="I115" s="169"/>
      <c r="J115" s="123"/>
      <c r="K115" s="123"/>
      <c r="L115" s="127"/>
      <c r="M115" s="127"/>
      <c r="N115" s="127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 spans="1:27" ht="13.5" customHeight="1">
      <c r="A116" s="123"/>
      <c r="B116" s="127"/>
      <c r="C116" s="123"/>
      <c r="D116" s="123"/>
      <c r="E116" s="123"/>
      <c r="F116" s="123"/>
      <c r="G116" s="123"/>
      <c r="H116" s="123"/>
      <c r="I116" s="169"/>
      <c r="J116" s="123"/>
      <c r="K116" s="123"/>
      <c r="L116" s="127"/>
      <c r="M116" s="127"/>
      <c r="N116" s="127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 spans="1:27" ht="13.5" customHeight="1">
      <c r="A117" s="123"/>
      <c r="B117" s="127"/>
      <c r="C117" s="123"/>
      <c r="D117" s="123"/>
      <c r="E117" s="123"/>
      <c r="F117" s="123"/>
      <c r="G117" s="123"/>
      <c r="H117" s="123"/>
      <c r="I117" s="169"/>
      <c r="J117" s="123"/>
      <c r="K117" s="123"/>
      <c r="L117" s="127"/>
      <c r="M117" s="127"/>
      <c r="N117" s="127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 spans="1:27" ht="13.5" customHeight="1">
      <c r="A118" s="123"/>
      <c r="B118" s="127"/>
      <c r="C118" s="123"/>
      <c r="D118" s="123"/>
      <c r="E118" s="123"/>
      <c r="F118" s="123"/>
      <c r="G118" s="123"/>
      <c r="H118" s="123"/>
      <c r="I118" s="169"/>
      <c r="J118" s="123"/>
      <c r="K118" s="123"/>
      <c r="L118" s="127"/>
      <c r="M118" s="127"/>
      <c r="N118" s="127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 spans="1:27" ht="13.5" customHeight="1">
      <c r="A119" s="123"/>
      <c r="B119" s="127"/>
      <c r="C119" s="123"/>
      <c r="D119" s="123"/>
      <c r="E119" s="123"/>
      <c r="F119" s="123"/>
      <c r="G119" s="123"/>
      <c r="H119" s="123"/>
      <c r="I119" s="169"/>
      <c r="J119" s="123"/>
      <c r="K119" s="123"/>
      <c r="L119" s="127"/>
      <c r="M119" s="127"/>
      <c r="N119" s="127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 spans="1:27" ht="13.5" customHeight="1">
      <c r="A120" s="123"/>
      <c r="B120" s="127"/>
      <c r="C120" s="123"/>
      <c r="D120" s="123"/>
      <c r="E120" s="123"/>
      <c r="F120" s="123"/>
      <c r="G120" s="123"/>
      <c r="H120" s="123"/>
      <c r="I120" s="169"/>
      <c r="J120" s="123"/>
      <c r="K120" s="123"/>
      <c r="L120" s="127"/>
      <c r="M120" s="127"/>
      <c r="N120" s="127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 spans="1:27" ht="13.5" customHeight="1">
      <c r="A121" s="123"/>
      <c r="B121" s="127"/>
      <c r="C121" s="123"/>
      <c r="D121" s="123"/>
      <c r="E121" s="123"/>
      <c r="F121" s="123"/>
      <c r="G121" s="123"/>
      <c r="H121" s="123"/>
      <c r="I121" s="169"/>
      <c r="J121" s="123"/>
      <c r="K121" s="123"/>
      <c r="L121" s="127"/>
      <c r="M121" s="127"/>
      <c r="N121" s="127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 spans="1:27" ht="13.5" customHeight="1">
      <c r="A122" s="123"/>
      <c r="B122" s="127"/>
      <c r="C122" s="123"/>
      <c r="D122" s="123"/>
      <c r="E122" s="123"/>
      <c r="F122" s="123"/>
      <c r="G122" s="123"/>
      <c r="H122" s="123"/>
      <c r="I122" s="169"/>
      <c r="J122" s="123"/>
      <c r="K122" s="123"/>
      <c r="L122" s="127"/>
      <c r="M122" s="127"/>
      <c r="N122" s="127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 spans="1:27" ht="13.5" customHeight="1">
      <c r="A123" s="123"/>
      <c r="B123" s="127"/>
      <c r="C123" s="123"/>
      <c r="D123" s="123"/>
      <c r="E123" s="123"/>
      <c r="F123" s="123"/>
      <c r="G123" s="123"/>
      <c r="H123" s="123"/>
      <c r="I123" s="169"/>
      <c r="J123" s="123"/>
      <c r="K123" s="123"/>
      <c r="L123" s="127"/>
      <c r="M123" s="127"/>
      <c r="N123" s="127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 spans="1:27" ht="13.5" customHeight="1">
      <c r="A124" s="123"/>
      <c r="B124" s="127"/>
      <c r="C124" s="123"/>
      <c r="D124" s="123"/>
      <c r="E124" s="123"/>
      <c r="F124" s="123"/>
      <c r="G124" s="123"/>
      <c r="H124" s="123"/>
      <c r="I124" s="169"/>
      <c r="J124" s="123"/>
      <c r="K124" s="123"/>
      <c r="L124" s="127"/>
      <c r="M124" s="127"/>
      <c r="N124" s="127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 spans="1:27" ht="13.5" customHeight="1">
      <c r="A125" s="123"/>
      <c r="B125" s="127"/>
      <c r="C125" s="123"/>
      <c r="D125" s="123"/>
      <c r="E125" s="123"/>
      <c r="F125" s="123"/>
      <c r="G125" s="123"/>
      <c r="H125" s="123"/>
      <c r="I125" s="169"/>
      <c r="J125" s="123"/>
      <c r="K125" s="123"/>
      <c r="L125" s="127"/>
      <c r="M125" s="127"/>
      <c r="N125" s="127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 spans="1:27" ht="13.5" customHeight="1">
      <c r="A126" s="123"/>
      <c r="B126" s="127"/>
      <c r="C126" s="123"/>
      <c r="D126" s="123"/>
      <c r="E126" s="123"/>
      <c r="F126" s="123"/>
      <c r="G126" s="123"/>
      <c r="H126" s="123"/>
      <c r="I126" s="169"/>
      <c r="J126" s="123"/>
      <c r="K126" s="123"/>
      <c r="L126" s="127"/>
      <c r="M126" s="127"/>
      <c r="N126" s="127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 spans="1:27" ht="13.5" customHeight="1">
      <c r="A127" s="123"/>
      <c r="B127" s="127"/>
      <c r="C127" s="123"/>
      <c r="D127" s="123"/>
      <c r="E127" s="123"/>
      <c r="F127" s="123"/>
      <c r="G127" s="123"/>
      <c r="H127" s="123"/>
      <c r="I127" s="169"/>
      <c r="J127" s="123"/>
      <c r="K127" s="123"/>
      <c r="L127" s="127"/>
      <c r="M127" s="127"/>
      <c r="N127" s="127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 spans="1:27" ht="13.5" customHeight="1">
      <c r="A128" s="123"/>
      <c r="B128" s="127"/>
      <c r="C128" s="123"/>
      <c r="D128" s="123"/>
      <c r="E128" s="123"/>
      <c r="F128" s="123"/>
      <c r="G128" s="123"/>
      <c r="H128" s="123"/>
      <c r="I128" s="169"/>
      <c r="J128" s="123"/>
      <c r="K128" s="123"/>
      <c r="L128" s="127"/>
      <c r="M128" s="127"/>
      <c r="N128" s="127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 spans="1:27" ht="13.5" customHeight="1">
      <c r="A129" s="123"/>
      <c r="B129" s="127"/>
      <c r="C129" s="123"/>
      <c r="D129" s="123"/>
      <c r="E129" s="123"/>
      <c r="F129" s="123"/>
      <c r="G129" s="123"/>
      <c r="H129" s="123"/>
      <c r="I129" s="169"/>
      <c r="J129" s="123"/>
      <c r="K129" s="123"/>
      <c r="L129" s="127"/>
      <c r="M129" s="127"/>
      <c r="N129" s="127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 spans="1:27" ht="13.5" customHeight="1">
      <c r="A130" s="123"/>
      <c r="B130" s="127"/>
      <c r="C130" s="123"/>
      <c r="D130" s="123"/>
      <c r="E130" s="123"/>
      <c r="F130" s="123"/>
      <c r="G130" s="123"/>
      <c r="H130" s="123"/>
      <c r="I130" s="169"/>
      <c r="J130" s="123"/>
      <c r="K130" s="123"/>
      <c r="L130" s="127"/>
      <c r="M130" s="127"/>
      <c r="N130" s="127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 spans="1:27" ht="13.5" customHeight="1">
      <c r="A131" s="123"/>
      <c r="B131" s="127"/>
      <c r="C131" s="123"/>
      <c r="D131" s="123"/>
      <c r="E131" s="123"/>
      <c r="F131" s="123"/>
      <c r="G131" s="123"/>
      <c r="H131" s="123"/>
      <c r="I131" s="169"/>
      <c r="J131" s="123"/>
      <c r="K131" s="123"/>
      <c r="L131" s="127"/>
      <c r="M131" s="127"/>
      <c r="N131" s="127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 spans="1:27" ht="13.5" customHeight="1">
      <c r="A132" s="123"/>
      <c r="B132" s="127"/>
      <c r="C132" s="123"/>
      <c r="D132" s="123"/>
      <c r="E132" s="123"/>
      <c r="F132" s="123"/>
      <c r="G132" s="123"/>
      <c r="H132" s="123"/>
      <c r="I132" s="169"/>
      <c r="J132" s="123"/>
      <c r="K132" s="123"/>
      <c r="L132" s="127"/>
      <c r="M132" s="127"/>
      <c r="N132" s="127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 spans="1:27" ht="13.5" customHeight="1">
      <c r="A133" s="123"/>
      <c r="B133" s="127"/>
      <c r="C133" s="123"/>
      <c r="D133" s="123"/>
      <c r="E133" s="123"/>
      <c r="F133" s="123"/>
      <c r="G133" s="123"/>
      <c r="H133" s="123"/>
      <c r="I133" s="169"/>
      <c r="J133" s="123"/>
      <c r="K133" s="123"/>
      <c r="L133" s="127"/>
      <c r="M133" s="127"/>
      <c r="N133" s="127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 spans="1:27" ht="13.5" customHeight="1">
      <c r="A134" s="123"/>
      <c r="B134" s="127"/>
      <c r="C134" s="123"/>
      <c r="D134" s="123"/>
      <c r="E134" s="123"/>
      <c r="F134" s="123"/>
      <c r="G134" s="123"/>
      <c r="H134" s="123"/>
      <c r="I134" s="169"/>
      <c r="J134" s="123"/>
      <c r="K134" s="123"/>
      <c r="L134" s="127"/>
      <c r="M134" s="127"/>
      <c r="N134" s="127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 spans="1:27" ht="13.5" customHeight="1">
      <c r="A135" s="123"/>
      <c r="B135" s="127"/>
      <c r="C135" s="123"/>
      <c r="D135" s="123"/>
      <c r="E135" s="123"/>
      <c r="F135" s="123"/>
      <c r="G135" s="123"/>
      <c r="H135" s="123"/>
      <c r="I135" s="169"/>
      <c r="J135" s="123"/>
      <c r="K135" s="123"/>
      <c r="L135" s="127"/>
      <c r="M135" s="127"/>
      <c r="N135" s="127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 spans="1:27" ht="13.5" customHeight="1">
      <c r="A136" s="123"/>
      <c r="B136" s="127"/>
      <c r="C136" s="123"/>
      <c r="D136" s="123"/>
      <c r="E136" s="123"/>
      <c r="F136" s="123"/>
      <c r="G136" s="123"/>
      <c r="H136" s="123"/>
      <c r="I136" s="169"/>
      <c r="J136" s="123"/>
      <c r="K136" s="123"/>
      <c r="L136" s="127"/>
      <c r="M136" s="127"/>
      <c r="N136" s="127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 spans="1:27" ht="13.5" customHeight="1">
      <c r="A137" s="123"/>
      <c r="B137" s="127"/>
      <c r="C137" s="123"/>
      <c r="D137" s="123"/>
      <c r="E137" s="123"/>
      <c r="F137" s="123"/>
      <c r="G137" s="123"/>
      <c r="H137" s="123"/>
      <c r="I137" s="169"/>
      <c r="J137" s="123"/>
      <c r="K137" s="123"/>
      <c r="L137" s="127"/>
      <c r="M137" s="127"/>
      <c r="N137" s="127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 spans="1:27" ht="13.5" customHeight="1">
      <c r="A138" s="123"/>
      <c r="B138" s="127"/>
      <c r="C138" s="123"/>
      <c r="D138" s="123"/>
      <c r="E138" s="123"/>
      <c r="F138" s="123"/>
      <c r="G138" s="123"/>
      <c r="H138" s="123"/>
      <c r="I138" s="169"/>
      <c r="J138" s="123"/>
      <c r="K138" s="123"/>
      <c r="L138" s="127"/>
      <c r="M138" s="127"/>
      <c r="N138" s="127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 spans="1:27" ht="13.5" customHeight="1">
      <c r="A139" s="123"/>
      <c r="B139" s="127"/>
      <c r="C139" s="123"/>
      <c r="D139" s="123"/>
      <c r="E139" s="123"/>
      <c r="F139" s="123"/>
      <c r="G139" s="123"/>
      <c r="H139" s="123"/>
      <c r="I139" s="169"/>
      <c r="J139" s="123"/>
      <c r="K139" s="123"/>
      <c r="L139" s="127"/>
      <c r="M139" s="127"/>
      <c r="N139" s="127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 spans="1:27" ht="13.5" customHeight="1">
      <c r="A140" s="123"/>
      <c r="B140" s="127"/>
      <c r="C140" s="123"/>
      <c r="D140" s="123"/>
      <c r="E140" s="123"/>
      <c r="F140" s="123"/>
      <c r="G140" s="123"/>
      <c r="H140" s="123"/>
      <c r="I140" s="169"/>
      <c r="J140" s="123"/>
      <c r="K140" s="123"/>
      <c r="L140" s="127"/>
      <c r="M140" s="127"/>
      <c r="N140" s="127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 spans="1:27" ht="13.5" customHeight="1">
      <c r="A141" s="123"/>
      <c r="B141" s="127"/>
      <c r="C141" s="123"/>
      <c r="D141" s="123"/>
      <c r="E141" s="123"/>
      <c r="F141" s="123"/>
      <c r="G141" s="123"/>
      <c r="H141" s="123"/>
      <c r="I141" s="169"/>
      <c r="J141" s="123"/>
      <c r="K141" s="123"/>
      <c r="L141" s="127"/>
      <c r="M141" s="127"/>
      <c r="N141" s="127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 spans="1:27" ht="13.5" customHeight="1">
      <c r="A142" s="123"/>
      <c r="B142" s="127"/>
      <c r="C142" s="123"/>
      <c r="D142" s="123"/>
      <c r="E142" s="123"/>
      <c r="F142" s="123"/>
      <c r="G142" s="123"/>
      <c r="H142" s="123"/>
      <c r="I142" s="169"/>
      <c r="J142" s="123"/>
      <c r="K142" s="123"/>
      <c r="L142" s="127"/>
      <c r="M142" s="127"/>
      <c r="N142" s="127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 spans="1:27" ht="13.5" customHeight="1">
      <c r="A143" s="123"/>
      <c r="B143" s="127"/>
      <c r="C143" s="123"/>
      <c r="D143" s="123"/>
      <c r="E143" s="123"/>
      <c r="F143" s="123"/>
      <c r="G143" s="123"/>
      <c r="H143" s="123"/>
      <c r="I143" s="169"/>
      <c r="J143" s="123"/>
      <c r="K143" s="123"/>
      <c r="L143" s="127"/>
      <c r="M143" s="127"/>
      <c r="N143" s="127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 spans="1:27" ht="13.5" customHeight="1">
      <c r="A144" s="123"/>
      <c r="B144" s="127"/>
      <c r="C144" s="123"/>
      <c r="D144" s="123"/>
      <c r="E144" s="123"/>
      <c r="F144" s="123"/>
      <c r="G144" s="123"/>
      <c r="H144" s="123"/>
      <c r="I144" s="169"/>
      <c r="J144" s="123"/>
      <c r="K144" s="123"/>
      <c r="L144" s="127"/>
      <c r="M144" s="127"/>
      <c r="N144" s="127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 spans="1:27" ht="13.5" customHeight="1">
      <c r="A145" s="123"/>
      <c r="B145" s="127"/>
      <c r="C145" s="123"/>
      <c r="D145" s="123"/>
      <c r="E145" s="123"/>
      <c r="F145" s="123"/>
      <c r="G145" s="123"/>
      <c r="H145" s="123"/>
      <c r="I145" s="169"/>
      <c r="J145" s="123"/>
      <c r="K145" s="123"/>
      <c r="L145" s="127"/>
      <c r="M145" s="127"/>
      <c r="N145" s="127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 spans="1:27" ht="13.5" customHeight="1">
      <c r="A146" s="123"/>
      <c r="B146" s="127"/>
      <c r="C146" s="123"/>
      <c r="D146" s="123"/>
      <c r="E146" s="123"/>
      <c r="F146" s="123"/>
      <c r="G146" s="123"/>
      <c r="H146" s="123"/>
      <c r="I146" s="169"/>
      <c r="J146" s="123"/>
      <c r="K146" s="123"/>
      <c r="L146" s="127"/>
      <c r="M146" s="127"/>
      <c r="N146" s="127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 spans="1:27" ht="13.5" customHeight="1">
      <c r="A147" s="123"/>
      <c r="B147" s="127"/>
      <c r="C147" s="123"/>
      <c r="D147" s="123"/>
      <c r="E147" s="123"/>
      <c r="F147" s="123"/>
      <c r="G147" s="123"/>
      <c r="H147" s="123"/>
      <c r="I147" s="169"/>
      <c r="J147" s="123"/>
      <c r="K147" s="123"/>
      <c r="L147" s="127"/>
      <c r="M147" s="127"/>
      <c r="N147" s="127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 spans="1:27" ht="13.5" customHeight="1">
      <c r="A148" s="123"/>
      <c r="B148" s="127"/>
      <c r="C148" s="123"/>
      <c r="D148" s="123"/>
      <c r="E148" s="123"/>
      <c r="F148" s="123"/>
      <c r="G148" s="123"/>
      <c r="H148" s="123"/>
      <c r="I148" s="169"/>
      <c r="J148" s="123"/>
      <c r="K148" s="123"/>
      <c r="L148" s="127"/>
      <c r="M148" s="127"/>
      <c r="N148" s="127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 spans="1:27" ht="13.5" customHeight="1">
      <c r="A149" s="123"/>
      <c r="B149" s="127"/>
      <c r="C149" s="123"/>
      <c r="D149" s="123"/>
      <c r="E149" s="123"/>
      <c r="F149" s="123"/>
      <c r="G149" s="123"/>
      <c r="H149" s="123"/>
      <c r="I149" s="169"/>
      <c r="J149" s="123"/>
      <c r="K149" s="123"/>
      <c r="L149" s="127"/>
      <c r="M149" s="127"/>
      <c r="N149" s="127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 spans="1:27" ht="13.5" customHeight="1">
      <c r="A150" s="123"/>
      <c r="B150" s="127"/>
      <c r="C150" s="123"/>
      <c r="D150" s="123"/>
      <c r="E150" s="123"/>
      <c r="F150" s="123"/>
      <c r="G150" s="123"/>
      <c r="H150" s="123"/>
      <c r="I150" s="169"/>
      <c r="J150" s="123"/>
      <c r="K150" s="123"/>
      <c r="L150" s="127"/>
      <c r="M150" s="127"/>
      <c r="N150" s="127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 spans="1:27" ht="13.5" customHeight="1">
      <c r="A151" s="123"/>
      <c r="B151" s="127"/>
      <c r="C151" s="123"/>
      <c r="D151" s="123"/>
      <c r="E151" s="123"/>
      <c r="F151" s="123"/>
      <c r="G151" s="123"/>
      <c r="H151" s="123"/>
      <c r="I151" s="169"/>
      <c r="J151" s="123"/>
      <c r="K151" s="123"/>
      <c r="L151" s="127"/>
      <c r="M151" s="127"/>
      <c r="N151" s="127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 spans="1:27" ht="13.5" customHeight="1">
      <c r="A152" s="123"/>
      <c r="B152" s="127"/>
      <c r="C152" s="123"/>
      <c r="D152" s="123"/>
      <c r="E152" s="123"/>
      <c r="F152" s="123"/>
      <c r="G152" s="123"/>
      <c r="H152" s="123"/>
      <c r="I152" s="169"/>
      <c r="J152" s="123"/>
      <c r="K152" s="123"/>
      <c r="L152" s="127"/>
      <c r="M152" s="127"/>
      <c r="N152" s="127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 spans="1:27" ht="13.5" customHeight="1">
      <c r="A153" s="123"/>
      <c r="B153" s="127"/>
      <c r="C153" s="123"/>
      <c r="D153" s="123"/>
      <c r="E153" s="123"/>
      <c r="F153" s="123"/>
      <c r="G153" s="123"/>
      <c r="H153" s="123"/>
      <c r="I153" s="169"/>
      <c r="J153" s="123"/>
      <c r="K153" s="123"/>
      <c r="L153" s="127"/>
      <c r="M153" s="127"/>
      <c r="N153" s="127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 spans="1:27" ht="13.5" customHeight="1">
      <c r="A154" s="123"/>
      <c r="B154" s="127"/>
      <c r="C154" s="123"/>
      <c r="D154" s="123"/>
      <c r="E154" s="123"/>
      <c r="F154" s="123"/>
      <c r="G154" s="123"/>
      <c r="H154" s="123"/>
      <c r="I154" s="169"/>
      <c r="J154" s="123"/>
      <c r="K154" s="123"/>
      <c r="L154" s="127"/>
      <c r="M154" s="127"/>
      <c r="N154" s="127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 spans="1:27" ht="13.5" customHeight="1">
      <c r="A155" s="123"/>
      <c r="B155" s="127"/>
      <c r="C155" s="123"/>
      <c r="D155" s="123"/>
      <c r="E155" s="123"/>
      <c r="F155" s="123"/>
      <c r="G155" s="123"/>
      <c r="H155" s="123"/>
      <c r="I155" s="169"/>
      <c r="J155" s="123"/>
      <c r="K155" s="123"/>
      <c r="L155" s="127"/>
      <c r="M155" s="127"/>
      <c r="N155" s="127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 spans="1:27" ht="13.5" customHeight="1">
      <c r="A156" s="123"/>
      <c r="B156" s="127"/>
      <c r="C156" s="123"/>
      <c r="D156" s="123"/>
      <c r="E156" s="123"/>
      <c r="F156" s="123"/>
      <c r="G156" s="123"/>
      <c r="H156" s="123"/>
      <c r="I156" s="169"/>
      <c r="J156" s="123"/>
      <c r="K156" s="123"/>
      <c r="L156" s="127"/>
      <c r="M156" s="127"/>
      <c r="N156" s="127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 spans="1:27" ht="13.5" customHeight="1">
      <c r="A157" s="123"/>
      <c r="B157" s="127"/>
      <c r="C157" s="123"/>
      <c r="D157" s="123"/>
      <c r="E157" s="123"/>
      <c r="F157" s="123"/>
      <c r="G157" s="123"/>
      <c r="H157" s="123"/>
      <c r="I157" s="169"/>
      <c r="J157" s="123"/>
      <c r="K157" s="123"/>
      <c r="L157" s="127"/>
      <c r="M157" s="127"/>
      <c r="N157" s="127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 spans="1:27" ht="13.5" customHeight="1">
      <c r="A158" s="123"/>
      <c r="B158" s="127"/>
      <c r="C158" s="123"/>
      <c r="D158" s="123"/>
      <c r="E158" s="123"/>
      <c r="F158" s="123"/>
      <c r="G158" s="123"/>
      <c r="H158" s="123"/>
      <c r="I158" s="169"/>
      <c r="J158" s="123"/>
      <c r="K158" s="123"/>
      <c r="L158" s="127"/>
      <c r="M158" s="127"/>
      <c r="N158" s="127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 spans="1:27" ht="13.5" customHeight="1">
      <c r="A159" s="123"/>
      <c r="B159" s="127"/>
      <c r="C159" s="123"/>
      <c r="D159" s="123"/>
      <c r="E159" s="123"/>
      <c r="F159" s="123"/>
      <c r="G159" s="123"/>
      <c r="H159" s="123"/>
      <c r="I159" s="169"/>
      <c r="J159" s="123"/>
      <c r="K159" s="123"/>
      <c r="L159" s="127"/>
      <c r="M159" s="127"/>
      <c r="N159" s="127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 spans="1:27" ht="13.5" customHeight="1">
      <c r="A160" s="123"/>
      <c r="B160" s="127"/>
      <c r="C160" s="123"/>
      <c r="D160" s="123"/>
      <c r="E160" s="123"/>
      <c r="F160" s="123"/>
      <c r="G160" s="123"/>
      <c r="H160" s="123"/>
      <c r="I160" s="169"/>
      <c r="J160" s="123"/>
      <c r="K160" s="123"/>
      <c r="L160" s="127"/>
      <c r="M160" s="127"/>
      <c r="N160" s="127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 spans="1:27" ht="13.5" customHeight="1">
      <c r="A161" s="123"/>
      <c r="B161" s="127"/>
      <c r="C161" s="123"/>
      <c r="D161" s="123"/>
      <c r="E161" s="123"/>
      <c r="F161" s="123"/>
      <c r="G161" s="123"/>
      <c r="H161" s="123"/>
      <c r="I161" s="169"/>
      <c r="J161" s="123"/>
      <c r="K161" s="123"/>
      <c r="L161" s="127"/>
      <c r="M161" s="127"/>
      <c r="N161" s="127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 spans="1:27" ht="13.5" customHeight="1">
      <c r="A162" s="123"/>
      <c r="B162" s="127"/>
      <c r="C162" s="123"/>
      <c r="D162" s="123"/>
      <c r="E162" s="123"/>
      <c r="F162" s="123"/>
      <c r="G162" s="123"/>
      <c r="H162" s="123"/>
      <c r="I162" s="169"/>
      <c r="J162" s="123"/>
      <c r="K162" s="123"/>
      <c r="L162" s="127"/>
      <c r="M162" s="127"/>
      <c r="N162" s="127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 spans="1:27" ht="13.5" customHeight="1">
      <c r="A163" s="123"/>
      <c r="B163" s="127"/>
      <c r="C163" s="123"/>
      <c r="D163" s="123"/>
      <c r="E163" s="123"/>
      <c r="F163" s="123"/>
      <c r="G163" s="123"/>
      <c r="H163" s="123"/>
      <c r="I163" s="169"/>
      <c r="J163" s="123"/>
      <c r="K163" s="123"/>
      <c r="L163" s="127"/>
      <c r="M163" s="127"/>
      <c r="N163" s="127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 spans="1:27" ht="13.5" customHeight="1">
      <c r="A164" s="123"/>
      <c r="B164" s="127"/>
      <c r="C164" s="123"/>
      <c r="D164" s="123"/>
      <c r="E164" s="123"/>
      <c r="F164" s="123"/>
      <c r="G164" s="123"/>
      <c r="H164" s="123"/>
      <c r="I164" s="169"/>
      <c r="J164" s="123"/>
      <c r="K164" s="123"/>
      <c r="L164" s="127"/>
      <c r="M164" s="127"/>
      <c r="N164" s="127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 spans="1:27" ht="13.5" customHeight="1">
      <c r="A165" s="123"/>
      <c r="B165" s="127"/>
      <c r="C165" s="123"/>
      <c r="D165" s="123"/>
      <c r="E165" s="123"/>
      <c r="F165" s="123"/>
      <c r="G165" s="123"/>
      <c r="H165" s="123"/>
      <c r="I165" s="169"/>
      <c r="J165" s="123"/>
      <c r="K165" s="123"/>
      <c r="L165" s="127"/>
      <c r="M165" s="127"/>
      <c r="N165" s="127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 spans="1:27" ht="13.5" customHeight="1">
      <c r="A166" s="123"/>
      <c r="B166" s="127"/>
      <c r="C166" s="123"/>
      <c r="D166" s="123"/>
      <c r="E166" s="123"/>
      <c r="F166" s="123"/>
      <c r="G166" s="123"/>
      <c r="H166" s="123"/>
      <c r="I166" s="169"/>
      <c r="J166" s="123"/>
      <c r="K166" s="123"/>
      <c r="L166" s="127"/>
      <c r="M166" s="127"/>
      <c r="N166" s="127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 spans="1:27" ht="13.5" customHeight="1">
      <c r="A167" s="123"/>
      <c r="B167" s="127"/>
      <c r="C167" s="123"/>
      <c r="D167" s="123"/>
      <c r="E167" s="123"/>
      <c r="F167" s="123"/>
      <c r="G167" s="123"/>
      <c r="H167" s="123"/>
      <c r="I167" s="169"/>
      <c r="J167" s="123"/>
      <c r="K167" s="123"/>
      <c r="L167" s="127"/>
      <c r="M167" s="127"/>
      <c r="N167" s="127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 spans="1:27" ht="13.5" customHeight="1">
      <c r="A168" s="123"/>
      <c r="B168" s="127"/>
      <c r="C168" s="123"/>
      <c r="D168" s="123"/>
      <c r="E168" s="123"/>
      <c r="F168" s="123"/>
      <c r="G168" s="123"/>
      <c r="H168" s="123"/>
      <c r="I168" s="169"/>
      <c r="J168" s="123"/>
      <c r="K168" s="123"/>
      <c r="L168" s="127"/>
      <c r="M168" s="127"/>
      <c r="N168" s="127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 spans="1:27" ht="13.5" customHeight="1">
      <c r="A169" s="123"/>
      <c r="B169" s="127"/>
      <c r="C169" s="123"/>
      <c r="D169" s="123"/>
      <c r="E169" s="123"/>
      <c r="F169" s="123"/>
      <c r="G169" s="123"/>
      <c r="H169" s="123"/>
      <c r="I169" s="169"/>
      <c r="J169" s="123"/>
      <c r="K169" s="123"/>
      <c r="L169" s="127"/>
      <c r="M169" s="127"/>
      <c r="N169" s="127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 spans="1:27" ht="13.5" customHeight="1">
      <c r="A170" s="123"/>
      <c r="B170" s="127"/>
      <c r="C170" s="123"/>
      <c r="D170" s="123"/>
      <c r="E170" s="123"/>
      <c r="F170" s="123"/>
      <c r="G170" s="123"/>
      <c r="H170" s="123"/>
      <c r="I170" s="169"/>
      <c r="J170" s="123"/>
      <c r="K170" s="123"/>
      <c r="L170" s="127"/>
      <c r="M170" s="127"/>
      <c r="N170" s="127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 spans="1:27" ht="13.5" customHeight="1">
      <c r="A171" s="123"/>
      <c r="B171" s="127"/>
      <c r="C171" s="123"/>
      <c r="D171" s="123"/>
      <c r="E171" s="123"/>
      <c r="F171" s="123"/>
      <c r="G171" s="123"/>
      <c r="H171" s="123"/>
      <c r="I171" s="169"/>
      <c r="J171" s="123"/>
      <c r="K171" s="123"/>
      <c r="L171" s="127"/>
      <c r="M171" s="127"/>
      <c r="N171" s="127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 spans="1:27" ht="13.5" customHeight="1">
      <c r="A172" s="123"/>
      <c r="B172" s="127"/>
      <c r="C172" s="123"/>
      <c r="D172" s="123"/>
      <c r="E172" s="123"/>
      <c r="F172" s="123"/>
      <c r="G172" s="123"/>
      <c r="H172" s="123"/>
      <c r="I172" s="169"/>
      <c r="J172" s="123"/>
      <c r="K172" s="123"/>
      <c r="L172" s="127"/>
      <c r="M172" s="127"/>
      <c r="N172" s="127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 spans="1:27" ht="13.5" customHeight="1">
      <c r="A173" s="123"/>
      <c r="B173" s="127"/>
      <c r="C173" s="123"/>
      <c r="D173" s="123"/>
      <c r="E173" s="123"/>
      <c r="F173" s="123"/>
      <c r="G173" s="123"/>
      <c r="H173" s="123"/>
      <c r="I173" s="169"/>
      <c r="J173" s="123"/>
      <c r="K173" s="123"/>
      <c r="L173" s="127"/>
      <c r="M173" s="127"/>
      <c r="N173" s="127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 spans="1:27" ht="13.5" customHeight="1">
      <c r="A174" s="123"/>
      <c r="B174" s="127"/>
      <c r="C174" s="123"/>
      <c r="D174" s="123"/>
      <c r="E174" s="123"/>
      <c r="F174" s="123"/>
      <c r="G174" s="123"/>
      <c r="H174" s="123"/>
      <c r="I174" s="169"/>
      <c r="J174" s="123"/>
      <c r="K174" s="123"/>
      <c r="L174" s="127"/>
      <c r="M174" s="127"/>
      <c r="N174" s="127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 spans="1:27" ht="13.5" customHeight="1">
      <c r="A175" s="123"/>
      <c r="B175" s="127"/>
      <c r="C175" s="123"/>
      <c r="D175" s="123"/>
      <c r="E175" s="123"/>
      <c r="F175" s="123"/>
      <c r="G175" s="123"/>
      <c r="H175" s="123"/>
      <c r="I175" s="169"/>
      <c r="J175" s="123"/>
      <c r="K175" s="123"/>
      <c r="L175" s="127"/>
      <c r="M175" s="127"/>
      <c r="N175" s="127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 spans="1:27" ht="13.5" customHeight="1">
      <c r="A176" s="123"/>
      <c r="B176" s="127"/>
      <c r="C176" s="123"/>
      <c r="D176" s="123"/>
      <c r="E176" s="123"/>
      <c r="F176" s="123"/>
      <c r="G176" s="123"/>
      <c r="H176" s="123"/>
      <c r="I176" s="169"/>
      <c r="J176" s="123"/>
      <c r="K176" s="123"/>
      <c r="L176" s="127"/>
      <c r="M176" s="127"/>
      <c r="N176" s="127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 spans="1:27" ht="13.5" customHeight="1">
      <c r="A177" s="123"/>
      <c r="B177" s="127"/>
      <c r="C177" s="123"/>
      <c r="D177" s="123"/>
      <c r="E177" s="123"/>
      <c r="F177" s="123"/>
      <c r="G177" s="123"/>
      <c r="H177" s="123"/>
      <c r="I177" s="169"/>
      <c r="J177" s="123"/>
      <c r="K177" s="123"/>
      <c r="L177" s="127"/>
      <c r="M177" s="127"/>
      <c r="N177" s="127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 spans="1:27" ht="13.5" customHeight="1">
      <c r="A178" s="123"/>
      <c r="B178" s="127"/>
      <c r="C178" s="123"/>
      <c r="D178" s="123"/>
      <c r="E178" s="123"/>
      <c r="F178" s="123"/>
      <c r="G178" s="123"/>
      <c r="H178" s="123"/>
      <c r="I178" s="169"/>
      <c r="J178" s="123"/>
      <c r="K178" s="123"/>
      <c r="L178" s="127"/>
      <c r="M178" s="127"/>
      <c r="N178" s="127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 spans="1:27" ht="13.5" customHeight="1">
      <c r="A179" s="123"/>
      <c r="B179" s="127"/>
      <c r="C179" s="123"/>
      <c r="D179" s="123"/>
      <c r="E179" s="123"/>
      <c r="F179" s="123"/>
      <c r="G179" s="123"/>
      <c r="H179" s="123"/>
      <c r="I179" s="169"/>
      <c r="J179" s="123"/>
      <c r="K179" s="123"/>
      <c r="L179" s="127"/>
      <c r="M179" s="127"/>
      <c r="N179" s="127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 spans="1:27" ht="13.5" customHeight="1">
      <c r="A180" s="123"/>
      <c r="B180" s="127"/>
      <c r="C180" s="123"/>
      <c r="D180" s="123"/>
      <c r="E180" s="123"/>
      <c r="F180" s="123"/>
      <c r="G180" s="123"/>
      <c r="H180" s="123"/>
      <c r="I180" s="169"/>
      <c r="J180" s="123"/>
      <c r="K180" s="123"/>
      <c r="L180" s="127"/>
      <c r="M180" s="127"/>
      <c r="N180" s="127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 spans="1:27" ht="13.5" customHeight="1">
      <c r="A181" s="123"/>
      <c r="B181" s="127"/>
      <c r="C181" s="123"/>
      <c r="D181" s="123"/>
      <c r="E181" s="123"/>
      <c r="F181" s="123"/>
      <c r="G181" s="123"/>
      <c r="H181" s="123"/>
      <c r="I181" s="169"/>
      <c r="J181" s="123"/>
      <c r="K181" s="123"/>
      <c r="L181" s="127"/>
      <c r="M181" s="127"/>
      <c r="N181" s="127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 spans="1:27" ht="13.5" customHeight="1">
      <c r="A182" s="123"/>
      <c r="B182" s="127"/>
      <c r="C182" s="123"/>
      <c r="D182" s="123"/>
      <c r="E182" s="123"/>
      <c r="F182" s="123"/>
      <c r="G182" s="123"/>
      <c r="H182" s="123"/>
      <c r="I182" s="169"/>
      <c r="J182" s="123"/>
      <c r="K182" s="123"/>
      <c r="L182" s="127"/>
      <c r="M182" s="127"/>
      <c r="N182" s="127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 spans="1:27" ht="13.5" customHeight="1">
      <c r="A183" s="123"/>
      <c r="B183" s="127"/>
      <c r="C183" s="123"/>
      <c r="D183" s="123"/>
      <c r="E183" s="123"/>
      <c r="F183" s="123"/>
      <c r="G183" s="123"/>
      <c r="H183" s="123"/>
      <c r="I183" s="169"/>
      <c r="J183" s="123"/>
      <c r="K183" s="123"/>
      <c r="L183" s="127"/>
      <c r="M183" s="127"/>
      <c r="N183" s="127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 spans="1:27" ht="13.5" customHeight="1">
      <c r="A184" s="123"/>
      <c r="B184" s="127"/>
      <c r="C184" s="123"/>
      <c r="D184" s="123"/>
      <c r="E184" s="123"/>
      <c r="F184" s="123"/>
      <c r="G184" s="123"/>
      <c r="H184" s="123"/>
      <c r="I184" s="169"/>
      <c r="J184" s="123"/>
      <c r="K184" s="123"/>
      <c r="L184" s="127"/>
      <c r="M184" s="127"/>
      <c r="N184" s="127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 spans="1:27" ht="13.5" customHeight="1">
      <c r="A185" s="123"/>
      <c r="B185" s="127"/>
      <c r="C185" s="123"/>
      <c r="D185" s="123"/>
      <c r="E185" s="123"/>
      <c r="F185" s="123"/>
      <c r="G185" s="123"/>
      <c r="H185" s="123"/>
      <c r="I185" s="169"/>
      <c r="J185" s="123"/>
      <c r="K185" s="123"/>
      <c r="L185" s="127"/>
      <c r="M185" s="127"/>
      <c r="N185" s="127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 spans="1:27" ht="13.5" customHeight="1">
      <c r="A186" s="123"/>
      <c r="B186" s="127"/>
      <c r="C186" s="123"/>
      <c r="D186" s="123"/>
      <c r="E186" s="123"/>
      <c r="F186" s="123"/>
      <c r="G186" s="123"/>
      <c r="H186" s="123"/>
      <c r="I186" s="169"/>
      <c r="J186" s="123"/>
      <c r="K186" s="123"/>
      <c r="L186" s="127"/>
      <c r="M186" s="127"/>
      <c r="N186" s="127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 spans="1:27" ht="13.5" customHeight="1">
      <c r="A187" s="123"/>
      <c r="B187" s="127"/>
      <c r="C187" s="123"/>
      <c r="D187" s="123"/>
      <c r="E187" s="123"/>
      <c r="F187" s="123"/>
      <c r="G187" s="123"/>
      <c r="H187" s="123"/>
      <c r="I187" s="169"/>
      <c r="J187" s="123"/>
      <c r="K187" s="123"/>
      <c r="L187" s="127"/>
      <c r="M187" s="127"/>
      <c r="N187" s="127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 spans="1:27" ht="13.5" customHeight="1">
      <c r="A188" s="123"/>
      <c r="B188" s="127"/>
      <c r="C188" s="123"/>
      <c r="D188" s="123"/>
      <c r="E188" s="123"/>
      <c r="F188" s="123"/>
      <c r="G188" s="123"/>
      <c r="H188" s="123"/>
      <c r="I188" s="169"/>
      <c r="J188" s="123"/>
      <c r="K188" s="123"/>
      <c r="L188" s="127"/>
      <c r="M188" s="127"/>
      <c r="N188" s="127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 spans="1:27" ht="13.5" customHeight="1">
      <c r="A189" s="123"/>
      <c r="B189" s="127"/>
      <c r="C189" s="123"/>
      <c r="D189" s="123"/>
      <c r="E189" s="123"/>
      <c r="F189" s="123"/>
      <c r="G189" s="123"/>
      <c r="H189" s="123"/>
      <c r="I189" s="169"/>
      <c r="J189" s="123"/>
      <c r="K189" s="123"/>
      <c r="L189" s="127"/>
      <c r="M189" s="127"/>
      <c r="N189" s="127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 spans="1:27" ht="13.5" customHeight="1">
      <c r="A190" s="123"/>
      <c r="B190" s="127"/>
      <c r="C190" s="123"/>
      <c r="D190" s="123"/>
      <c r="E190" s="123"/>
      <c r="F190" s="123"/>
      <c r="G190" s="123"/>
      <c r="H190" s="123"/>
      <c r="I190" s="169"/>
      <c r="J190" s="123"/>
      <c r="K190" s="123"/>
      <c r="L190" s="127"/>
      <c r="M190" s="127"/>
      <c r="N190" s="127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 spans="1:27" ht="13.5" customHeight="1">
      <c r="A191" s="123"/>
      <c r="B191" s="127"/>
      <c r="C191" s="123"/>
      <c r="D191" s="123"/>
      <c r="E191" s="123"/>
      <c r="F191" s="123"/>
      <c r="G191" s="123"/>
      <c r="H191" s="123"/>
      <c r="I191" s="169"/>
      <c r="J191" s="123"/>
      <c r="K191" s="123"/>
      <c r="L191" s="127"/>
      <c r="M191" s="127"/>
      <c r="N191" s="127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 spans="1:27" ht="13.5" customHeight="1">
      <c r="A192" s="123"/>
      <c r="B192" s="127"/>
      <c r="C192" s="123"/>
      <c r="D192" s="123"/>
      <c r="E192" s="123"/>
      <c r="F192" s="123"/>
      <c r="G192" s="123"/>
      <c r="H192" s="123"/>
      <c r="I192" s="169"/>
      <c r="J192" s="123"/>
      <c r="K192" s="123"/>
      <c r="L192" s="127"/>
      <c r="M192" s="127"/>
      <c r="N192" s="127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 spans="1:27" ht="13.5" customHeight="1">
      <c r="A193" s="123"/>
      <c r="B193" s="127"/>
      <c r="C193" s="123"/>
      <c r="D193" s="123"/>
      <c r="E193" s="123"/>
      <c r="F193" s="123"/>
      <c r="G193" s="123"/>
      <c r="H193" s="123"/>
      <c r="I193" s="169"/>
      <c r="J193" s="123"/>
      <c r="K193" s="123"/>
      <c r="L193" s="127"/>
      <c r="M193" s="127"/>
      <c r="N193" s="127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 spans="1:27" ht="13.5" customHeight="1">
      <c r="A194" s="123"/>
      <c r="B194" s="127"/>
      <c r="C194" s="123"/>
      <c r="D194" s="123"/>
      <c r="E194" s="123"/>
      <c r="F194" s="123"/>
      <c r="G194" s="123"/>
      <c r="H194" s="123"/>
      <c r="I194" s="169"/>
      <c r="J194" s="123"/>
      <c r="K194" s="123"/>
      <c r="L194" s="127"/>
      <c r="M194" s="127"/>
      <c r="N194" s="127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 spans="1:27" ht="13.5" customHeight="1">
      <c r="A195" s="123"/>
      <c r="B195" s="127"/>
      <c r="C195" s="123"/>
      <c r="D195" s="123"/>
      <c r="E195" s="123"/>
      <c r="F195" s="123"/>
      <c r="G195" s="123"/>
      <c r="H195" s="123"/>
      <c r="I195" s="169"/>
      <c r="J195" s="123"/>
      <c r="K195" s="123"/>
      <c r="L195" s="127"/>
      <c r="M195" s="127"/>
      <c r="N195" s="127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 spans="1:27" ht="13.5" customHeight="1">
      <c r="A196" s="123"/>
      <c r="B196" s="127"/>
      <c r="C196" s="123"/>
      <c r="D196" s="123"/>
      <c r="E196" s="123"/>
      <c r="F196" s="123"/>
      <c r="G196" s="123"/>
      <c r="H196" s="123"/>
      <c r="I196" s="169"/>
      <c r="J196" s="123"/>
      <c r="K196" s="123"/>
      <c r="L196" s="127"/>
      <c r="M196" s="127"/>
      <c r="N196" s="127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 spans="1:27" ht="13.5" customHeight="1">
      <c r="A197" s="123"/>
      <c r="B197" s="127"/>
      <c r="C197" s="123"/>
      <c r="D197" s="123"/>
      <c r="E197" s="123"/>
      <c r="F197" s="123"/>
      <c r="G197" s="123"/>
      <c r="H197" s="123"/>
      <c r="I197" s="169"/>
      <c r="J197" s="123"/>
      <c r="K197" s="123"/>
      <c r="L197" s="127"/>
      <c r="M197" s="127"/>
      <c r="N197" s="127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 spans="1:27" ht="13.5" customHeight="1">
      <c r="A198" s="123"/>
      <c r="B198" s="127"/>
      <c r="C198" s="123"/>
      <c r="D198" s="123"/>
      <c r="E198" s="123"/>
      <c r="F198" s="123"/>
      <c r="G198" s="123"/>
      <c r="H198" s="123"/>
      <c r="I198" s="169"/>
      <c r="J198" s="123"/>
      <c r="K198" s="123"/>
      <c r="L198" s="127"/>
      <c r="M198" s="127"/>
      <c r="N198" s="127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 spans="1:27" ht="13.5" customHeight="1">
      <c r="A199" s="123"/>
      <c r="B199" s="127"/>
      <c r="C199" s="123"/>
      <c r="D199" s="123"/>
      <c r="E199" s="123"/>
      <c r="F199" s="123"/>
      <c r="G199" s="123"/>
      <c r="H199" s="123"/>
      <c r="I199" s="169"/>
      <c r="J199" s="123"/>
      <c r="K199" s="123"/>
      <c r="L199" s="127"/>
      <c r="M199" s="127"/>
      <c r="N199" s="127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 spans="1:27" ht="13.5" customHeight="1">
      <c r="A200" s="123"/>
      <c r="B200" s="127"/>
      <c r="C200" s="123"/>
      <c r="D200" s="123"/>
      <c r="E200" s="123"/>
      <c r="F200" s="123"/>
      <c r="G200" s="123"/>
      <c r="H200" s="123"/>
      <c r="I200" s="169"/>
      <c r="J200" s="123"/>
      <c r="K200" s="123"/>
      <c r="L200" s="127"/>
      <c r="M200" s="127"/>
      <c r="N200" s="127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 spans="1:27" ht="13.5" customHeight="1">
      <c r="A201" s="123"/>
      <c r="B201" s="127"/>
      <c r="C201" s="123"/>
      <c r="D201" s="123"/>
      <c r="E201" s="123"/>
      <c r="F201" s="123"/>
      <c r="G201" s="123"/>
      <c r="H201" s="123"/>
      <c r="I201" s="169"/>
      <c r="J201" s="123"/>
      <c r="K201" s="123"/>
      <c r="L201" s="127"/>
      <c r="M201" s="127"/>
      <c r="N201" s="127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 spans="1:27" ht="13.5" customHeight="1">
      <c r="A202" s="123"/>
      <c r="B202" s="127"/>
      <c r="C202" s="123"/>
      <c r="D202" s="123"/>
      <c r="E202" s="123"/>
      <c r="F202" s="123"/>
      <c r="G202" s="123"/>
      <c r="H202" s="123"/>
      <c r="I202" s="169"/>
      <c r="J202" s="123"/>
      <c r="K202" s="123"/>
      <c r="L202" s="127"/>
      <c r="M202" s="127"/>
      <c r="N202" s="127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 spans="1:27" ht="13.5" customHeight="1">
      <c r="A203" s="123"/>
      <c r="B203" s="127"/>
      <c r="C203" s="123"/>
      <c r="D203" s="123"/>
      <c r="E203" s="123"/>
      <c r="F203" s="123"/>
      <c r="G203" s="123"/>
      <c r="H203" s="123"/>
      <c r="I203" s="169"/>
      <c r="J203" s="123"/>
      <c r="K203" s="123"/>
      <c r="L203" s="127"/>
      <c r="M203" s="127"/>
      <c r="N203" s="127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 spans="1:27" ht="13.5" customHeight="1">
      <c r="A204" s="123"/>
      <c r="B204" s="127"/>
      <c r="C204" s="123"/>
      <c r="D204" s="123"/>
      <c r="E204" s="123"/>
      <c r="F204" s="123"/>
      <c r="G204" s="123"/>
      <c r="H204" s="123"/>
      <c r="I204" s="169"/>
      <c r="J204" s="123"/>
      <c r="K204" s="123"/>
      <c r="L204" s="127"/>
      <c r="M204" s="127"/>
      <c r="N204" s="127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 spans="1:27" ht="13.5" customHeight="1">
      <c r="A205" s="123"/>
      <c r="B205" s="127"/>
      <c r="C205" s="123"/>
      <c r="D205" s="123"/>
      <c r="E205" s="123"/>
      <c r="F205" s="123"/>
      <c r="G205" s="123"/>
      <c r="H205" s="123"/>
      <c r="I205" s="169"/>
      <c r="J205" s="123"/>
      <c r="K205" s="123"/>
      <c r="L205" s="127"/>
      <c r="M205" s="127"/>
      <c r="N205" s="127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 spans="1:27" ht="13.5" customHeight="1">
      <c r="A206" s="123"/>
      <c r="B206" s="127"/>
      <c r="C206" s="123"/>
      <c r="D206" s="123"/>
      <c r="E206" s="123"/>
      <c r="F206" s="123"/>
      <c r="G206" s="123"/>
      <c r="H206" s="123"/>
      <c r="I206" s="169"/>
      <c r="J206" s="123"/>
      <c r="K206" s="123"/>
      <c r="L206" s="127"/>
      <c r="M206" s="127"/>
      <c r="N206" s="127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 spans="1:27" ht="13.5" customHeight="1">
      <c r="A207" s="123"/>
      <c r="B207" s="127"/>
      <c r="C207" s="123"/>
      <c r="D207" s="123"/>
      <c r="E207" s="123"/>
      <c r="F207" s="123"/>
      <c r="G207" s="123"/>
      <c r="H207" s="123"/>
      <c r="I207" s="169"/>
      <c r="J207" s="123"/>
      <c r="K207" s="123"/>
      <c r="L207" s="127"/>
      <c r="M207" s="127"/>
      <c r="N207" s="127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 spans="1:27" ht="13.5" customHeight="1">
      <c r="A208" s="123"/>
      <c r="B208" s="127"/>
      <c r="C208" s="123"/>
      <c r="D208" s="123"/>
      <c r="E208" s="123"/>
      <c r="F208" s="123"/>
      <c r="G208" s="123"/>
      <c r="H208" s="123"/>
      <c r="I208" s="169"/>
      <c r="J208" s="123"/>
      <c r="K208" s="123"/>
      <c r="L208" s="127"/>
      <c r="M208" s="127"/>
      <c r="N208" s="127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 spans="1:27" ht="13.5" customHeight="1">
      <c r="A209" s="123"/>
      <c r="B209" s="127"/>
      <c r="C209" s="123"/>
      <c r="D209" s="123"/>
      <c r="E209" s="123"/>
      <c r="F209" s="123"/>
      <c r="G209" s="123"/>
      <c r="H209" s="123"/>
      <c r="I209" s="169"/>
      <c r="J209" s="123"/>
      <c r="K209" s="123"/>
      <c r="L209" s="127"/>
      <c r="M209" s="127"/>
      <c r="N209" s="127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 spans="1:27" ht="13.5" customHeight="1">
      <c r="A210" s="123"/>
      <c r="B210" s="127"/>
      <c r="C210" s="123"/>
      <c r="D210" s="123"/>
      <c r="E210" s="123"/>
      <c r="F210" s="123"/>
      <c r="G210" s="123"/>
      <c r="H210" s="123"/>
      <c r="I210" s="169"/>
      <c r="J210" s="123"/>
      <c r="K210" s="123"/>
      <c r="L210" s="127"/>
      <c r="M210" s="127"/>
      <c r="N210" s="127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 spans="1:27" ht="13.5" customHeight="1">
      <c r="A211" s="123"/>
      <c r="B211" s="127"/>
      <c r="C211" s="123"/>
      <c r="D211" s="123"/>
      <c r="E211" s="123"/>
      <c r="F211" s="123"/>
      <c r="G211" s="123"/>
      <c r="H211" s="123"/>
      <c r="I211" s="169"/>
      <c r="J211" s="123"/>
      <c r="K211" s="123"/>
      <c r="L211" s="127"/>
      <c r="M211" s="127"/>
      <c r="N211" s="127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 spans="1:27" ht="13.5" customHeight="1">
      <c r="A212" s="123"/>
      <c r="B212" s="127"/>
      <c r="C212" s="123"/>
      <c r="D212" s="123"/>
      <c r="E212" s="123"/>
      <c r="F212" s="123"/>
      <c r="G212" s="123"/>
      <c r="H212" s="123"/>
      <c r="I212" s="169"/>
      <c r="J212" s="123"/>
      <c r="K212" s="123"/>
      <c r="L212" s="127"/>
      <c r="M212" s="127"/>
      <c r="N212" s="127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 spans="1:27" ht="13.5" customHeight="1">
      <c r="A213" s="123"/>
      <c r="B213" s="127"/>
      <c r="C213" s="123"/>
      <c r="D213" s="123"/>
      <c r="E213" s="123"/>
      <c r="F213" s="123"/>
      <c r="G213" s="123"/>
      <c r="H213" s="123"/>
      <c r="I213" s="169"/>
      <c r="J213" s="123"/>
      <c r="K213" s="123"/>
      <c r="L213" s="127"/>
      <c r="M213" s="127"/>
      <c r="N213" s="127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spans="1:27" ht="13.5" customHeight="1">
      <c r="A214" s="123"/>
      <c r="B214" s="127"/>
      <c r="C214" s="123"/>
      <c r="D214" s="123"/>
      <c r="E214" s="123"/>
      <c r="F214" s="123"/>
      <c r="G214" s="123"/>
      <c r="H214" s="123"/>
      <c r="I214" s="169"/>
      <c r="J214" s="123"/>
      <c r="K214" s="123"/>
      <c r="L214" s="127"/>
      <c r="M214" s="127"/>
      <c r="N214" s="127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spans="1:27" ht="13.5" customHeight="1">
      <c r="A215" s="123"/>
      <c r="B215" s="127"/>
      <c r="C215" s="123"/>
      <c r="D215" s="123"/>
      <c r="E215" s="123"/>
      <c r="F215" s="123"/>
      <c r="G215" s="123"/>
      <c r="H215" s="123"/>
      <c r="I215" s="169"/>
      <c r="J215" s="123"/>
      <c r="K215" s="123"/>
      <c r="L215" s="127"/>
      <c r="M215" s="127"/>
      <c r="N215" s="127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spans="1:27" ht="13.5" customHeight="1">
      <c r="A216" s="123"/>
      <c r="B216" s="127"/>
      <c r="C216" s="123"/>
      <c r="D216" s="123"/>
      <c r="E216" s="123"/>
      <c r="F216" s="123"/>
      <c r="G216" s="123"/>
      <c r="H216" s="123"/>
      <c r="I216" s="169"/>
      <c r="J216" s="123"/>
      <c r="K216" s="123"/>
      <c r="L216" s="127"/>
      <c r="M216" s="127"/>
      <c r="N216" s="127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spans="1:27" ht="13.5" customHeight="1">
      <c r="A217" s="123"/>
      <c r="B217" s="127"/>
      <c r="C217" s="123"/>
      <c r="D217" s="123"/>
      <c r="E217" s="123"/>
      <c r="F217" s="123"/>
      <c r="G217" s="123"/>
      <c r="H217" s="123"/>
      <c r="I217" s="169"/>
      <c r="J217" s="123"/>
      <c r="K217" s="123"/>
      <c r="L217" s="127"/>
      <c r="M217" s="127"/>
      <c r="N217" s="127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spans="1:27" ht="13.5" customHeight="1">
      <c r="A218" s="123"/>
      <c r="B218" s="127"/>
      <c r="C218" s="123"/>
      <c r="D218" s="123"/>
      <c r="E218" s="123"/>
      <c r="F218" s="123"/>
      <c r="G218" s="123"/>
      <c r="H218" s="123"/>
      <c r="I218" s="169"/>
      <c r="J218" s="123"/>
      <c r="K218" s="123"/>
      <c r="L218" s="127"/>
      <c r="M218" s="127"/>
      <c r="N218" s="127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spans="1:27" ht="13.5" customHeight="1">
      <c r="A219" s="123"/>
      <c r="B219" s="127"/>
      <c r="C219" s="123"/>
      <c r="D219" s="123"/>
      <c r="E219" s="123"/>
      <c r="F219" s="123"/>
      <c r="G219" s="123"/>
      <c r="H219" s="123"/>
      <c r="I219" s="169"/>
      <c r="J219" s="123"/>
      <c r="K219" s="123"/>
      <c r="L219" s="127"/>
      <c r="M219" s="127"/>
      <c r="N219" s="127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spans="1:27" ht="13.5" customHeight="1">
      <c r="A220" s="123"/>
      <c r="B220" s="127"/>
      <c r="C220" s="123"/>
      <c r="D220" s="123"/>
      <c r="E220" s="123"/>
      <c r="F220" s="123"/>
      <c r="G220" s="123"/>
      <c r="H220" s="123"/>
      <c r="I220" s="169"/>
      <c r="J220" s="123"/>
      <c r="K220" s="123"/>
      <c r="L220" s="127"/>
      <c r="M220" s="127"/>
      <c r="N220" s="127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spans="1:27" ht="13.5" customHeight="1">
      <c r="A221" s="123"/>
      <c r="B221" s="127"/>
      <c r="C221" s="123"/>
      <c r="D221" s="123"/>
      <c r="E221" s="123"/>
      <c r="F221" s="123"/>
      <c r="G221" s="123"/>
      <c r="H221" s="123"/>
      <c r="I221" s="169"/>
      <c r="J221" s="123"/>
      <c r="K221" s="123"/>
      <c r="L221" s="127"/>
      <c r="M221" s="127"/>
      <c r="N221" s="127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spans="1:27" ht="13.5" customHeight="1">
      <c r="A222" s="123"/>
      <c r="B222" s="127"/>
      <c r="C222" s="123"/>
      <c r="D222" s="123"/>
      <c r="E222" s="123"/>
      <c r="F222" s="123"/>
      <c r="G222" s="123"/>
      <c r="H222" s="123"/>
      <c r="I222" s="169"/>
      <c r="J222" s="123"/>
      <c r="K222" s="123"/>
      <c r="L222" s="127"/>
      <c r="M222" s="127"/>
      <c r="N222" s="127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spans="1:27" ht="13.5" customHeight="1">
      <c r="A223" s="123"/>
      <c r="B223" s="127"/>
      <c r="C223" s="123"/>
      <c r="D223" s="123"/>
      <c r="E223" s="123"/>
      <c r="F223" s="123"/>
      <c r="G223" s="123"/>
      <c r="H223" s="123"/>
      <c r="I223" s="169"/>
      <c r="J223" s="123"/>
      <c r="K223" s="123"/>
      <c r="L223" s="127"/>
      <c r="M223" s="127"/>
      <c r="N223" s="127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spans="1:27" ht="13.5" customHeight="1">
      <c r="A224" s="123"/>
      <c r="B224" s="127"/>
      <c r="C224" s="123"/>
      <c r="D224" s="123"/>
      <c r="E224" s="123"/>
      <c r="F224" s="123"/>
      <c r="G224" s="123"/>
      <c r="H224" s="123"/>
      <c r="I224" s="169"/>
      <c r="J224" s="123"/>
      <c r="K224" s="123"/>
      <c r="L224" s="127"/>
      <c r="M224" s="127"/>
      <c r="N224" s="127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spans="1:27" ht="13.5" customHeight="1">
      <c r="A225" s="123"/>
      <c r="B225" s="127"/>
      <c r="C225" s="123"/>
      <c r="D225" s="123"/>
      <c r="E225" s="123"/>
      <c r="F225" s="123"/>
      <c r="G225" s="123"/>
      <c r="H225" s="123"/>
      <c r="I225" s="169"/>
      <c r="J225" s="123"/>
      <c r="K225" s="123"/>
      <c r="L225" s="127"/>
      <c r="M225" s="127"/>
      <c r="N225" s="127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spans="1:27" ht="13.5" customHeight="1">
      <c r="A226" s="123"/>
      <c r="B226" s="127"/>
      <c r="C226" s="123"/>
      <c r="D226" s="123"/>
      <c r="E226" s="123"/>
      <c r="F226" s="123"/>
      <c r="G226" s="123"/>
      <c r="H226" s="123"/>
      <c r="I226" s="169"/>
      <c r="J226" s="123"/>
      <c r="K226" s="123"/>
      <c r="L226" s="127"/>
      <c r="M226" s="127"/>
      <c r="N226" s="127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spans="1:27" ht="13.5" customHeight="1">
      <c r="A227" s="123"/>
      <c r="B227" s="127"/>
      <c r="C227" s="123"/>
      <c r="D227" s="123"/>
      <c r="E227" s="123"/>
      <c r="F227" s="123"/>
      <c r="G227" s="123"/>
      <c r="H227" s="123"/>
      <c r="I227" s="169"/>
      <c r="J227" s="123"/>
      <c r="K227" s="123"/>
      <c r="L227" s="127"/>
      <c r="M227" s="127"/>
      <c r="N227" s="127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spans="1:27" ht="13.5" customHeight="1">
      <c r="A228" s="123"/>
      <c r="B228" s="127"/>
      <c r="C228" s="123"/>
      <c r="D228" s="123"/>
      <c r="E228" s="123"/>
      <c r="F228" s="123"/>
      <c r="G228" s="123"/>
      <c r="H228" s="123"/>
      <c r="I228" s="169"/>
      <c r="J228" s="123"/>
      <c r="K228" s="123"/>
      <c r="L228" s="127"/>
      <c r="M228" s="127"/>
      <c r="N228" s="127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spans="1:27" ht="13.5" customHeight="1">
      <c r="A229" s="123"/>
      <c r="B229" s="127"/>
      <c r="C229" s="123"/>
      <c r="D229" s="123"/>
      <c r="E229" s="123"/>
      <c r="F229" s="123"/>
      <c r="G229" s="123"/>
      <c r="H229" s="123"/>
      <c r="I229" s="169"/>
      <c r="J229" s="123"/>
      <c r="K229" s="123"/>
      <c r="L229" s="127"/>
      <c r="M229" s="127"/>
      <c r="N229" s="127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spans="1:27" ht="13.5" customHeight="1">
      <c r="A230" s="123"/>
      <c r="B230" s="127"/>
      <c r="C230" s="123"/>
      <c r="D230" s="123"/>
      <c r="E230" s="123"/>
      <c r="F230" s="123"/>
      <c r="G230" s="123"/>
      <c r="H230" s="123"/>
      <c r="I230" s="169"/>
      <c r="J230" s="123"/>
      <c r="K230" s="123"/>
      <c r="L230" s="127"/>
      <c r="M230" s="127"/>
      <c r="N230" s="127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spans="1:27" ht="13.5" customHeight="1">
      <c r="A231" s="123"/>
      <c r="B231" s="127"/>
      <c r="C231" s="123"/>
      <c r="D231" s="123"/>
      <c r="E231" s="123"/>
      <c r="F231" s="123"/>
      <c r="G231" s="123"/>
      <c r="H231" s="123"/>
      <c r="I231" s="169"/>
      <c r="J231" s="123"/>
      <c r="K231" s="123"/>
      <c r="L231" s="127"/>
      <c r="M231" s="127"/>
      <c r="N231" s="127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spans="1:27" ht="13.5" customHeight="1">
      <c r="A232" s="123"/>
      <c r="B232" s="127"/>
      <c r="C232" s="123"/>
      <c r="D232" s="123"/>
      <c r="E232" s="123"/>
      <c r="F232" s="123"/>
      <c r="G232" s="123"/>
      <c r="H232" s="123"/>
      <c r="I232" s="169"/>
      <c r="J232" s="123"/>
      <c r="K232" s="123"/>
      <c r="L232" s="127"/>
      <c r="M232" s="127"/>
      <c r="N232" s="127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spans="1:27" ht="13.5" customHeight="1">
      <c r="A233" s="123"/>
      <c r="B233" s="127"/>
      <c r="C233" s="123"/>
      <c r="D233" s="123"/>
      <c r="E233" s="123"/>
      <c r="F233" s="123"/>
      <c r="G233" s="123"/>
      <c r="H233" s="123"/>
      <c r="I233" s="169"/>
      <c r="J233" s="123"/>
      <c r="K233" s="123"/>
      <c r="L233" s="127"/>
      <c r="M233" s="127"/>
      <c r="N233" s="127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spans="1:27" ht="13.5" customHeight="1">
      <c r="A234" s="123"/>
      <c r="B234" s="127"/>
      <c r="C234" s="123"/>
      <c r="D234" s="123"/>
      <c r="E234" s="123"/>
      <c r="F234" s="123"/>
      <c r="G234" s="123"/>
      <c r="H234" s="123"/>
      <c r="I234" s="169"/>
      <c r="J234" s="123"/>
      <c r="K234" s="123"/>
      <c r="L234" s="127"/>
      <c r="M234" s="127"/>
      <c r="N234" s="127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spans="1:27" ht="13.5" customHeight="1">
      <c r="A235" s="123"/>
      <c r="B235" s="127"/>
      <c r="C235" s="123"/>
      <c r="D235" s="123"/>
      <c r="E235" s="123"/>
      <c r="F235" s="123"/>
      <c r="G235" s="123"/>
      <c r="H235" s="123"/>
      <c r="I235" s="169"/>
      <c r="J235" s="123"/>
      <c r="K235" s="123"/>
      <c r="L235" s="127"/>
      <c r="M235" s="127"/>
      <c r="N235" s="127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spans="1:27" ht="13.5" customHeight="1">
      <c r="A236" s="123"/>
      <c r="B236" s="127"/>
      <c r="C236" s="123"/>
      <c r="D236" s="123"/>
      <c r="E236" s="123"/>
      <c r="F236" s="123"/>
      <c r="G236" s="123"/>
      <c r="H236" s="123"/>
      <c r="I236" s="169"/>
      <c r="J236" s="123"/>
      <c r="K236" s="123"/>
      <c r="L236" s="127"/>
      <c r="M236" s="127"/>
      <c r="N236" s="127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spans="1:27" ht="13.5" customHeight="1">
      <c r="A237" s="123"/>
      <c r="B237" s="127"/>
      <c r="C237" s="123"/>
      <c r="D237" s="123"/>
      <c r="E237" s="123"/>
      <c r="F237" s="123"/>
      <c r="G237" s="123"/>
      <c r="H237" s="123"/>
      <c r="I237" s="169"/>
      <c r="J237" s="123"/>
      <c r="K237" s="123"/>
      <c r="L237" s="127"/>
      <c r="M237" s="127"/>
      <c r="N237" s="127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spans="1:27" ht="13.5" customHeight="1">
      <c r="A238" s="123"/>
      <c r="B238" s="127"/>
      <c r="C238" s="123"/>
      <c r="D238" s="123"/>
      <c r="E238" s="123"/>
      <c r="F238" s="123"/>
      <c r="G238" s="123"/>
      <c r="H238" s="123"/>
      <c r="I238" s="169"/>
      <c r="J238" s="123"/>
      <c r="K238" s="123"/>
      <c r="L238" s="127"/>
      <c r="M238" s="127"/>
      <c r="N238" s="127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spans="1:27" ht="13.5" customHeight="1">
      <c r="A239" s="123"/>
      <c r="B239" s="127"/>
      <c r="C239" s="123"/>
      <c r="D239" s="123"/>
      <c r="E239" s="123"/>
      <c r="F239" s="123"/>
      <c r="G239" s="123"/>
      <c r="H239" s="123"/>
      <c r="I239" s="169"/>
      <c r="J239" s="123"/>
      <c r="K239" s="123"/>
      <c r="L239" s="127"/>
      <c r="M239" s="127"/>
      <c r="N239" s="127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spans="1:27" ht="13.5" customHeight="1">
      <c r="A240" s="123"/>
      <c r="B240" s="127"/>
      <c r="C240" s="123"/>
      <c r="D240" s="123"/>
      <c r="E240" s="123"/>
      <c r="F240" s="123"/>
      <c r="G240" s="123"/>
      <c r="H240" s="123"/>
      <c r="I240" s="169"/>
      <c r="J240" s="123"/>
      <c r="K240" s="123"/>
      <c r="L240" s="127"/>
      <c r="M240" s="127"/>
      <c r="N240" s="127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spans="1:27" ht="13.5" customHeight="1">
      <c r="A241" s="123"/>
      <c r="B241" s="127"/>
      <c r="C241" s="123"/>
      <c r="D241" s="123"/>
      <c r="E241" s="123"/>
      <c r="F241" s="123"/>
      <c r="G241" s="123"/>
      <c r="H241" s="123"/>
      <c r="I241" s="169"/>
      <c r="J241" s="123"/>
      <c r="K241" s="123"/>
      <c r="L241" s="127"/>
      <c r="M241" s="127"/>
      <c r="N241" s="127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spans="1:27" ht="13.5" customHeight="1">
      <c r="A242" s="123"/>
      <c r="B242" s="127"/>
      <c r="C242" s="123"/>
      <c r="D242" s="123"/>
      <c r="E242" s="123"/>
      <c r="F242" s="123"/>
      <c r="G242" s="123"/>
      <c r="H242" s="123"/>
      <c r="I242" s="169"/>
      <c r="J242" s="123"/>
      <c r="K242" s="123"/>
      <c r="L242" s="127"/>
      <c r="M242" s="127"/>
      <c r="N242" s="127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spans="1:27" ht="13.5" customHeight="1">
      <c r="A243" s="123"/>
      <c r="B243" s="127"/>
      <c r="C243" s="123"/>
      <c r="D243" s="123"/>
      <c r="E243" s="123"/>
      <c r="F243" s="123"/>
      <c r="G243" s="123"/>
      <c r="H243" s="123"/>
      <c r="I243" s="169"/>
      <c r="J243" s="123"/>
      <c r="K243" s="123"/>
      <c r="L243" s="127"/>
      <c r="M243" s="127"/>
      <c r="N243" s="127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spans="1:27" ht="13.5" customHeight="1">
      <c r="A244" s="123"/>
      <c r="B244" s="127"/>
      <c r="C244" s="123"/>
      <c r="D244" s="123"/>
      <c r="E244" s="123"/>
      <c r="F244" s="123"/>
      <c r="G244" s="123"/>
      <c r="H244" s="123"/>
      <c r="I244" s="169"/>
      <c r="J244" s="123"/>
      <c r="K244" s="123"/>
      <c r="L244" s="127"/>
      <c r="M244" s="127"/>
      <c r="N244" s="127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spans="1:27" ht="13.5" customHeight="1">
      <c r="A245" s="123"/>
      <c r="B245" s="127"/>
      <c r="C245" s="123"/>
      <c r="D245" s="123"/>
      <c r="E245" s="123"/>
      <c r="F245" s="123"/>
      <c r="G245" s="123"/>
      <c r="H245" s="123"/>
      <c r="I245" s="169"/>
      <c r="J245" s="123"/>
      <c r="K245" s="123"/>
      <c r="L245" s="127"/>
      <c r="M245" s="127"/>
      <c r="N245" s="127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spans="1:27" ht="13.5" customHeight="1">
      <c r="A246" s="123"/>
      <c r="B246" s="127"/>
      <c r="C246" s="123"/>
      <c r="D246" s="123"/>
      <c r="E246" s="123"/>
      <c r="F246" s="123"/>
      <c r="G246" s="123"/>
      <c r="H246" s="123"/>
      <c r="I246" s="169"/>
      <c r="J246" s="123"/>
      <c r="K246" s="123"/>
      <c r="L246" s="127"/>
      <c r="M246" s="127"/>
      <c r="N246" s="127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spans="1:27" ht="13.5" customHeight="1">
      <c r="A247" s="123"/>
      <c r="B247" s="127"/>
      <c r="C247" s="123"/>
      <c r="D247" s="123"/>
      <c r="E247" s="123"/>
      <c r="F247" s="123"/>
      <c r="G247" s="123"/>
      <c r="H247" s="123"/>
      <c r="I247" s="169"/>
      <c r="J247" s="123"/>
      <c r="K247" s="123"/>
      <c r="L247" s="127"/>
      <c r="M247" s="127"/>
      <c r="N247" s="127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spans="1:27" ht="13.5" customHeight="1">
      <c r="A248" s="123"/>
      <c r="B248" s="127"/>
      <c r="C248" s="123"/>
      <c r="D248" s="123"/>
      <c r="E248" s="123"/>
      <c r="F248" s="123"/>
      <c r="G248" s="123"/>
      <c r="H248" s="123"/>
      <c r="I248" s="169"/>
      <c r="J248" s="123"/>
      <c r="K248" s="123"/>
      <c r="L248" s="127"/>
      <c r="M248" s="127"/>
      <c r="N248" s="127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spans="1:27" ht="13.5" customHeight="1">
      <c r="A249" s="123"/>
      <c r="B249" s="127"/>
      <c r="C249" s="123"/>
      <c r="D249" s="123"/>
      <c r="E249" s="123"/>
      <c r="F249" s="123"/>
      <c r="G249" s="123"/>
      <c r="H249" s="123"/>
      <c r="I249" s="169"/>
      <c r="J249" s="123"/>
      <c r="K249" s="123"/>
      <c r="L249" s="127"/>
      <c r="M249" s="127"/>
      <c r="N249" s="127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spans="1:27" ht="13.5" customHeight="1">
      <c r="A250" s="123"/>
      <c r="B250" s="127"/>
      <c r="C250" s="123"/>
      <c r="D250" s="123"/>
      <c r="E250" s="123"/>
      <c r="F250" s="123"/>
      <c r="G250" s="123"/>
      <c r="H250" s="123"/>
      <c r="I250" s="169"/>
      <c r="J250" s="123"/>
      <c r="K250" s="123"/>
      <c r="L250" s="127"/>
      <c r="M250" s="127"/>
      <c r="N250" s="127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spans="1:27" ht="13.5" customHeight="1">
      <c r="A251" s="123"/>
      <c r="B251" s="127"/>
      <c r="C251" s="123"/>
      <c r="D251" s="123"/>
      <c r="E251" s="123"/>
      <c r="F251" s="123"/>
      <c r="G251" s="123"/>
      <c r="H251" s="123"/>
      <c r="I251" s="169"/>
      <c r="J251" s="123"/>
      <c r="K251" s="123"/>
      <c r="L251" s="127"/>
      <c r="M251" s="127"/>
      <c r="N251" s="127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spans="1:27" ht="13.5" customHeight="1">
      <c r="A252" s="123"/>
      <c r="B252" s="127"/>
      <c r="C252" s="123"/>
      <c r="D252" s="123"/>
      <c r="E252" s="123"/>
      <c r="F252" s="123"/>
      <c r="G252" s="123"/>
      <c r="H252" s="123"/>
      <c r="I252" s="169"/>
      <c r="J252" s="123"/>
      <c r="K252" s="123"/>
      <c r="L252" s="127"/>
      <c r="M252" s="127"/>
      <c r="N252" s="127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spans="1:27" ht="13.5" customHeight="1">
      <c r="A253" s="123"/>
      <c r="B253" s="127"/>
      <c r="C253" s="123"/>
      <c r="D253" s="123"/>
      <c r="E253" s="123"/>
      <c r="F253" s="123"/>
      <c r="G253" s="123"/>
      <c r="H253" s="123"/>
      <c r="I253" s="169"/>
      <c r="J253" s="123"/>
      <c r="K253" s="123"/>
      <c r="L253" s="127"/>
      <c r="M253" s="127"/>
      <c r="N253" s="127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spans="1:27" ht="13.5" customHeight="1">
      <c r="A254" s="123"/>
      <c r="B254" s="127"/>
      <c r="C254" s="123"/>
      <c r="D254" s="123"/>
      <c r="E254" s="123"/>
      <c r="F254" s="123"/>
      <c r="G254" s="123"/>
      <c r="H254" s="123"/>
      <c r="I254" s="169"/>
      <c r="J254" s="123"/>
      <c r="K254" s="123"/>
      <c r="L254" s="127"/>
      <c r="M254" s="127"/>
      <c r="N254" s="127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spans="1:27" ht="13.5" customHeight="1">
      <c r="A255" s="123"/>
      <c r="B255" s="127"/>
      <c r="C255" s="123"/>
      <c r="D255" s="123"/>
      <c r="E255" s="123"/>
      <c r="F255" s="123"/>
      <c r="G255" s="123"/>
      <c r="H255" s="123"/>
      <c r="I255" s="169"/>
      <c r="J255" s="123"/>
      <c r="K255" s="123"/>
      <c r="L255" s="127"/>
      <c r="M255" s="127"/>
      <c r="N255" s="127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spans="1:27" ht="13.5" customHeight="1">
      <c r="A256" s="123"/>
      <c r="B256" s="127"/>
      <c r="C256" s="123"/>
      <c r="D256" s="123"/>
      <c r="E256" s="123"/>
      <c r="F256" s="123"/>
      <c r="G256" s="123"/>
      <c r="H256" s="123"/>
      <c r="I256" s="169"/>
      <c r="J256" s="123"/>
      <c r="K256" s="123"/>
      <c r="L256" s="127"/>
      <c r="M256" s="127"/>
      <c r="N256" s="127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spans="1:27" ht="13.5" customHeight="1">
      <c r="A257" s="123"/>
      <c r="B257" s="127"/>
      <c r="C257" s="123"/>
      <c r="D257" s="123"/>
      <c r="E257" s="123"/>
      <c r="F257" s="123"/>
      <c r="G257" s="123"/>
      <c r="H257" s="123"/>
      <c r="I257" s="169"/>
      <c r="J257" s="123"/>
      <c r="K257" s="123"/>
      <c r="L257" s="127"/>
      <c r="M257" s="127"/>
      <c r="N257" s="127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spans="1:27" ht="13.5" customHeight="1">
      <c r="A258" s="123"/>
      <c r="B258" s="127"/>
      <c r="C258" s="123"/>
      <c r="D258" s="123"/>
      <c r="E258" s="123"/>
      <c r="F258" s="123"/>
      <c r="G258" s="123"/>
      <c r="H258" s="123"/>
      <c r="I258" s="169"/>
      <c r="J258" s="123"/>
      <c r="K258" s="123"/>
      <c r="L258" s="127"/>
      <c r="M258" s="127"/>
      <c r="N258" s="127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spans="1:27" ht="13.5" customHeight="1">
      <c r="A259" s="123"/>
      <c r="B259" s="127"/>
      <c r="C259" s="123"/>
      <c r="D259" s="123"/>
      <c r="E259" s="123"/>
      <c r="F259" s="123"/>
      <c r="G259" s="123"/>
      <c r="H259" s="123"/>
      <c r="I259" s="169"/>
      <c r="J259" s="123"/>
      <c r="K259" s="123"/>
      <c r="L259" s="127"/>
      <c r="M259" s="127"/>
      <c r="N259" s="127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spans="1:27" ht="13.5" customHeight="1">
      <c r="A260" s="123"/>
      <c r="B260" s="127"/>
      <c r="C260" s="123"/>
      <c r="D260" s="123"/>
      <c r="E260" s="123"/>
      <c r="F260" s="123"/>
      <c r="G260" s="123"/>
      <c r="H260" s="123"/>
      <c r="I260" s="169"/>
      <c r="J260" s="123"/>
      <c r="K260" s="123"/>
      <c r="L260" s="127"/>
      <c r="M260" s="127"/>
      <c r="N260" s="127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spans="1:27" ht="13.5" customHeight="1">
      <c r="A261" s="123"/>
      <c r="B261" s="127"/>
      <c r="C261" s="123"/>
      <c r="D261" s="123"/>
      <c r="E261" s="123"/>
      <c r="F261" s="123"/>
      <c r="G261" s="123"/>
      <c r="H261" s="123"/>
      <c r="I261" s="169"/>
      <c r="J261" s="123"/>
      <c r="K261" s="123"/>
      <c r="L261" s="127"/>
      <c r="M261" s="127"/>
      <c r="N261" s="127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spans="1:27" ht="13.5" customHeight="1">
      <c r="A262" s="123"/>
      <c r="B262" s="127"/>
      <c r="C262" s="123"/>
      <c r="D262" s="123"/>
      <c r="E262" s="123"/>
      <c r="F262" s="123"/>
      <c r="G262" s="123"/>
      <c r="H262" s="123"/>
      <c r="I262" s="169"/>
      <c r="J262" s="123"/>
      <c r="K262" s="123"/>
      <c r="L262" s="127"/>
      <c r="M262" s="127"/>
      <c r="N262" s="127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spans="1:27" ht="13.5" customHeight="1">
      <c r="A263" s="123"/>
      <c r="B263" s="127"/>
      <c r="C263" s="123"/>
      <c r="D263" s="123"/>
      <c r="E263" s="123"/>
      <c r="F263" s="123"/>
      <c r="G263" s="123"/>
      <c r="H263" s="123"/>
      <c r="I263" s="169"/>
      <c r="J263" s="123"/>
      <c r="K263" s="123"/>
      <c r="L263" s="127"/>
      <c r="M263" s="127"/>
      <c r="N263" s="127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spans="1:27" ht="13.5" customHeight="1">
      <c r="A264" s="123"/>
      <c r="B264" s="127"/>
      <c r="C264" s="123"/>
      <c r="D264" s="123"/>
      <c r="E264" s="123"/>
      <c r="F264" s="123"/>
      <c r="G264" s="123"/>
      <c r="H264" s="123"/>
      <c r="I264" s="169"/>
      <c r="J264" s="123"/>
      <c r="K264" s="123"/>
      <c r="L264" s="127"/>
      <c r="M264" s="127"/>
      <c r="N264" s="127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spans="1:27" ht="13.5" customHeight="1">
      <c r="A265" s="123"/>
      <c r="B265" s="127"/>
      <c r="C265" s="123"/>
      <c r="D265" s="123"/>
      <c r="E265" s="123"/>
      <c r="F265" s="123"/>
      <c r="G265" s="123"/>
      <c r="H265" s="123"/>
      <c r="I265" s="169"/>
      <c r="J265" s="123"/>
      <c r="K265" s="123"/>
      <c r="L265" s="127"/>
      <c r="M265" s="127"/>
      <c r="N265" s="127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spans="1:27" ht="13.5" customHeight="1">
      <c r="A266" s="123"/>
      <c r="B266" s="127"/>
      <c r="C266" s="123"/>
      <c r="D266" s="123"/>
      <c r="E266" s="123"/>
      <c r="F266" s="123"/>
      <c r="G266" s="123"/>
      <c r="H266" s="123"/>
      <c r="I266" s="169"/>
      <c r="J266" s="123"/>
      <c r="K266" s="123"/>
      <c r="L266" s="127"/>
      <c r="M266" s="127"/>
      <c r="N266" s="127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spans="1:27" ht="13.5" customHeight="1">
      <c r="A267" s="123"/>
      <c r="B267" s="127"/>
      <c r="C267" s="123"/>
      <c r="D267" s="123"/>
      <c r="E267" s="123"/>
      <c r="F267" s="123"/>
      <c r="G267" s="123"/>
      <c r="H267" s="123"/>
      <c r="I267" s="169"/>
      <c r="J267" s="123"/>
      <c r="K267" s="123"/>
      <c r="L267" s="127"/>
      <c r="M267" s="127"/>
      <c r="N267" s="127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spans="1:27" ht="13.5" customHeight="1">
      <c r="A268" s="123"/>
      <c r="B268" s="127"/>
      <c r="C268" s="123"/>
      <c r="D268" s="123"/>
      <c r="E268" s="123"/>
      <c r="F268" s="123"/>
      <c r="G268" s="123"/>
      <c r="H268" s="123"/>
      <c r="I268" s="169"/>
      <c r="J268" s="123"/>
      <c r="K268" s="123"/>
      <c r="L268" s="127"/>
      <c r="M268" s="127"/>
      <c r="N268" s="127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spans="1:27" ht="13.5" customHeight="1">
      <c r="A269" s="123"/>
      <c r="B269" s="127"/>
      <c r="C269" s="123"/>
      <c r="D269" s="123"/>
      <c r="E269" s="123"/>
      <c r="F269" s="123"/>
      <c r="G269" s="123"/>
      <c r="H269" s="123"/>
      <c r="I269" s="169"/>
      <c r="J269" s="123"/>
      <c r="K269" s="123"/>
      <c r="L269" s="127"/>
      <c r="M269" s="127"/>
      <c r="N269" s="127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spans="1:27" ht="13.5" customHeight="1">
      <c r="A270" s="123"/>
      <c r="B270" s="127"/>
      <c r="C270" s="123"/>
      <c r="D270" s="123"/>
      <c r="E270" s="123"/>
      <c r="F270" s="123"/>
      <c r="G270" s="123"/>
      <c r="H270" s="123"/>
      <c r="I270" s="169"/>
      <c r="J270" s="123"/>
      <c r="K270" s="123"/>
      <c r="L270" s="127"/>
      <c r="M270" s="127"/>
      <c r="N270" s="127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spans="1:27" ht="13.5" customHeight="1">
      <c r="A271" s="123"/>
      <c r="B271" s="127"/>
      <c r="C271" s="123"/>
      <c r="D271" s="123"/>
      <c r="E271" s="123"/>
      <c r="F271" s="123"/>
      <c r="G271" s="123"/>
      <c r="H271" s="123"/>
      <c r="I271" s="169"/>
      <c r="J271" s="123"/>
      <c r="K271" s="123"/>
      <c r="L271" s="127"/>
      <c r="M271" s="127"/>
      <c r="N271" s="127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spans="1:27" ht="13.5" customHeight="1">
      <c r="A272" s="123"/>
      <c r="B272" s="127"/>
      <c r="C272" s="123"/>
      <c r="D272" s="123"/>
      <c r="E272" s="123"/>
      <c r="F272" s="123"/>
      <c r="G272" s="123"/>
      <c r="H272" s="123"/>
      <c r="I272" s="169"/>
      <c r="J272" s="123"/>
      <c r="K272" s="123"/>
      <c r="L272" s="127"/>
      <c r="M272" s="127"/>
      <c r="N272" s="127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spans="1:27" ht="13.5" customHeight="1">
      <c r="A273" s="123"/>
      <c r="B273" s="127"/>
      <c r="C273" s="123"/>
      <c r="D273" s="123"/>
      <c r="E273" s="123"/>
      <c r="F273" s="123"/>
      <c r="G273" s="123"/>
      <c r="H273" s="123"/>
      <c r="I273" s="169"/>
      <c r="J273" s="123"/>
      <c r="K273" s="123"/>
      <c r="L273" s="127"/>
      <c r="M273" s="127"/>
      <c r="N273" s="127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spans="1:27" ht="13.5" customHeight="1">
      <c r="A274" s="123"/>
      <c r="B274" s="127"/>
      <c r="C274" s="123"/>
      <c r="D274" s="123"/>
      <c r="E274" s="123"/>
      <c r="F274" s="123"/>
      <c r="G274" s="123"/>
      <c r="H274" s="123"/>
      <c r="I274" s="169"/>
      <c r="J274" s="123"/>
      <c r="K274" s="123"/>
      <c r="L274" s="127"/>
      <c r="M274" s="127"/>
      <c r="N274" s="127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spans="1:27" ht="13.5" customHeight="1">
      <c r="A275" s="123"/>
      <c r="B275" s="127"/>
      <c r="C275" s="123"/>
      <c r="D275" s="123"/>
      <c r="E275" s="123"/>
      <c r="F275" s="123"/>
      <c r="G275" s="123"/>
      <c r="H275" s="123"/>
      <c r="I275" s="169"/>
      <c r="J275" s="123"/>
      <c r="K275" s="123"/>
      <c r="L275" s="127"/>
      <c r="M275" s="127"/>
      <c r="N275" s="127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spans="1:27" ht="13.5" customHeight="1">
      <c r="A276" s="123"/>
      <c r="B276" s="127"/>
      <c r="C276" s="123"/>
      <c r="D276" s="123"/>
      <c r="E276" s="123"/>
      <c r="F276" s="123"/>
      <c r="G276" s="123"/>
      <c r="H276" s="123"/>
      <c r="I276" s="169"/>
      <c r="J276" s="123"/>
      <c r="K276" s="123"/>
      <c r="L276" s="127"/>
      <c r="M276" s="127"/>
      <c r="N276" s="127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spans="1:27" ht="13.5" customHeight="1">
      <c r="A277" s="123"/>
      <c r="B277" s="127"/>
      <c r="C277" s="123"/>
      <c r="D277" s="123"/>
      <c r="E277" s="123"/>
      <c r="F277" s="123"/>
      <c r="G277" s="123"/>
      <c r="H277" s="123"/>
      <c r="I277" s="169"/>
      <c r="J277" s="123"/>
      <c r="K277" s="123"/>
      <c r="L277" s="127"/>
      <c r="M277" s="127"/>
      <c r="N277" s="127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spans="1:27" ht="13.5" customHeight="1">
      <c r="A278" s="123"/>
      <c r="B278" s="127"/>
      <c r="C278" s="123"/>
      <c r="D278" s="123"/>
      <c r="E278" s="123"/>
      <c r="F278" s="123"/>
      <c r="G278" s="123"/>
      <c r="H278" s="123"/>
      <c r="I278" s="169"/>
      <c r="J278" s="123"/>
      <c r="K278" s="123"/>
      <c r="L278" s="127"/>
      <c r="M278" s="127"/>
      <c r="N278" s="127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spans="1:27" ht="13.5" customHeight="1">
      <c r="A279" s="123"/>
      <c r="B279" s="127"/>
      <c r="C279" s="123"/>
      <c r="D279" s="123"/>
      <c r="E279" s="123"/>
      <c r="F279" s="123"/>
      <c r="G279" s="123"/>
      <c r="H279" s="123"/>
      <c r="I279" s="169"/>
      <c r="J279" s="123"/>
      <c r="K279" s="123"/>
      <c r="L279" s="127"/>
      <c r="M279" s="127"/>
      <c r="N279" s="127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spans="1:27" ht="13.5" customHeight="1">
      <c r="A280" s="123"/>
      <c r="B280" s="127"/>
      <c r="C280" s="123"/>
      <c r="D280" s="123"/>
      <c r="E280" s="123"/>
      <c r="F280" s="123"/>
      <c r="G280" s="123"/>
      <c r="H280" s="123"/>
      <c r="I280" s="169"/>
      <c r="J280" s="123"/>
      <c r="K280" s="123"/>
      <c r="L280" s="127"/>
      <c r="M280" s="127"/>
      <c r="N280" s="127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spans="1:27" ht="13.5" customHeight="1">
      <c r="A281" s="123"/>
      <c r="B281" s="127"/>
      <c r="C281" s="123"/>
      <c r="D281" s="123"/>
      <c r="E281" s="123"/>
      <c r="F281" s="123"/>
      <c r="G281" s="123"/>
      <c r="H281" s="123"/>
      <c r="I281" s="169"/>
      <c r="J281" s="123"/>
      <c r="K281" s="123"/>
      <c r="L281" s="127"/>
      <c r="M281" s="127"/>
      <c r="N281" s="127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spans="1:27" ht="13.5" customHeight="1">
      <c r="A282" s="123"/>
      <c r="B282" s="127"/>
      <c r="C282" s="123"/>
      <c r="D282" s="123"/>
      <c r="E282" s="123"/>
      <c r="F282" s="123"/>
      <c r="G282" s="123"/>
      <c r="H282" s="123"/>
      <c r="I282" s="169"/>
      <c r="J282" s="123"/>
      <c r="K282" s="123"/>
      <c r="L282" s="127"/>
      <c r="M282" s="127"/>
      <c r="N282" s="127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spans="1:27" ht="13.5" customHeight="1">
      <c r="A283" s="123"/>
      <c r="B283" s="127"/>
      <c r="C283" s="123"/>
      <c r="D283" s="123"/>
      <c r="E283" s="123"/>
      <c r="F283" s="123"/>
      <c r="G283" s="123"/>
      <c r="H283" s="123"/>
      <c r="I283" s="169"/>
      <c r="J283" s="123"/>
      <c r="K283" s="123"/>
      <c r="L283" s="127"/>
      <c r="M283" s="127"/>
      <c r="N283" s="127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spans="1:27" ht="13.5" customHeight="1">
      <c r="A284" s="123"/>
      <c r="B284" s="127"/>
      <c r="C284" s="123"/>
      <c r="D284" s="123"/>
      <c r="E284" s="123"/>
      <c r="F284" s="123"/>
      <c r="G284" s="123"/>
      <c r="H284" s="123"/>
      <c r="I284" s="169"/>
      <c r="J284" s="123"/>
      <c r="K284" s="123"/>
      <c r="L284" s="127"/>
      <c r="M284" s="127"/>
      <c r="N284" s="127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spans="1:27" ht="13.5" customHeight="1">
      <c r="A285" s="123"/>
      <c r="B285" s="127"/>
      <c r="C285" s="123"/>
      <c r="D285" s="123"/>
      <c r="E285" s="123"/>
      <c r="F285" s="123"/>
      <c r="G285" s="123"/>
      <c r="H285" s="123"/>
      <c r="I285" s="169"/>
      <c r="J285" s="123"/>
      <c r="K285" s="123"/>
      <c r="L285" s="127"/>
      <c r="M285" s="127"/>
      <c r="N285" s="127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spans="1:27" ht="13.5" customHeight="1">
      <c r="A286" s="123"/>
      <c r="B286" s="127"/>
      <c r="C286" s="123"/>
      <c r="D286" s="123"/>
      <c r="E286" s="123"/>
      <c r="F286" s="123"/>
      <c r="G286" s="123"/>
      <c r="H286" s="123"/>
      <c r="I286" s="169"/>
      <c r="J286" s="123"/>
      <c r="K286" s="123"/>
      <c r="L286" s="127"/>
      <c r="M286" s="127"/>
      <c r="N286" s="127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spans="1:27" ht="13.5" customHeight="1">
      <c r="A287" s="123"/>
      <c r="B287" s="127"/>
      <c r="C287" s="123"/>
      <c r="D287" s="123"/>
      <c r="E287" s="123"/>
      <c r="F287" s="123"/>
      <c r="G287" s="123"/>
      <c r="H287" s="123"/>
      <c r="I287" s="169"/>
      <c r="J287" s="123"/>
      <c r="K287" s="123"/>
      <c r="L287" s="127"/>
      <c r="M287" s="127"/>
      <c r="N287" s="127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spans="1:27" ht="13.5" customHeight="1">
      <c r="A288" s="123"/>
      <c r="B288" s="127"/>
      <c r="C288" s="123"/>
      <c r="D288" s="123"/>
      <c r="E288" s="123"/>
      <c r="F288" s="123"/>
      <c r="G288" s="123"/>
      <c r="H288" s="123"/>
      <c r="I288" s="169"/>
      <c r="J288" s="123"/>
      <c r="K288" s="123"/>
      <c r="L288" s="127"/>
      <c r="M288" s="127"/>
      <c r="N288" s="127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spans="1:27" ht="13.5" customHeight="1">
      <c r="A289" s="123"/>
      <c r="B289" s="127"/>
      <c r="C289" s="123"/>
      <c r="D289" s="123"/>
      <c r="E289" s="123"/>
      <c r="F289" s="123"/>
      <c r="G289" s="123"/>
      <c r="H289" s="123"/>
      <c r="I289" s="169"/>
      <c r="J289" s="123"/>
      <c r="K289" s="123"/>
      <c r="L289" s="127"/>
      <c r="M289" s="127"/>
      <c r="N289" s="127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spans="1:27" ht="13.5" customHeight="1">
      <c r="A290" s="123"/>
      <c r="B290" s="127"/>
      <c r="C290" s="123"/>
      <c r="D290" s="123"/>
      <c r="E290" s="123"/>
      <c r="F290" s="123"/>
      <c r="G290" s="123"/>
      <c r="H290" s="123"/>
      <c r="I290" s="169"/>
      <c r="J290" s="123"/>
      <c r="K290" s="123"/>
      <c r="L290" s="127"/>
      <c r="M290" s="127"/>
      <c r="N290" s="127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spans="1:27" ht="13.5" customHeight="1">
      <c r="A291" s="123"/>
      <c r="B291" s="127"/>
      <c r="C291" s="123"/>
      <c r="D291" s="123"/>
      <c r="E291" s="123"/>
      <c r="F291" s="123"/>
      <c r="G291" s="123"/>
      <c r="H291" s="123"/>
      <c r="I291" s="169"/>
      <c r="J291" s="123"/>
      <c r="K291" s="123"/>
      <c r="L291" s="127"/>
      <c r="M291" s="127"/>
      <c r="N291" s="127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spans="1:27" ht="13.5" customHeight="1">
      <c r="A292" s="123"/>
      <c r="B292" s="127"/>
      <c r="C292" s="123"/>
      <c r="D292" s="123"/>
      <c r="E292" s="123"/>
      <c r="F292" s="123"/>
      <c r="G292" s="123"/>
      <c r="H292" s="123"/>
      <c r="I292" s="169"/>
      <c r="J292" s="123"/>
      <c r="K292" s="123"/>
      <c r="L292" s="127"/>
      <c r="M292" s="127"/>
      <c r="N292" s="127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spans="1:27" ht="13.5" customHeight="1">
      <c r="A293" s="123"/>
      <c r="B293" s="127"/>
      <c r="C293" s="123"/>
      <c r="D293" s="123"/>
      <c r="E293" s="123"/>
      <c r="F293" s="123"/>
      <c r="G293" s="123"/>
      <c r="H293" s="123"/>
      <c r="I293" s="169"/>
      <c r="J293" s="123"/>
      <c r="K293" s="123"/>
      <c r="L293" s="127"/>
      <c r="M293" s="127"/>
      <c r="N293" s="127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spans="1:27" ht="13.5" customHeight="1">
      <c r="A294" s="123"/>
      <c r="B294" s="127"/>
      <c r="C294" s="123"/>
      <c r="D294" s="123"/>
      <c r="E294" s="123"/>
      <c r="F294" s="123"/>
      <c r="G294" s="123"/>
      <c r="H294" s="123"/>
      <c r="I294" s="169"/>
      <c r="J294" s="123"/>
      <c r="K294" s="123"/>
      <c r="L294" s="127"/>
      <c r="M294" s="127"/>
      <c r="N294" s="127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spans="1:27" ht="13.5" customHeight="1">
      <c r="A295" s="123"/>
      <c r="B295" s="127"/>
      <c r="C295" s="123"/>
      <c r="D295" s="123"/>
      <c r="E295" s="123"/>
      <c r="F295" s="123"/>
      <c r="G295" s="123"/>
      <c r="H295" s="123"/>
      <c r="I295" s="169"/>
      <c r="J295" s="123"/>
      <c r="K295" s="123"/>
      <c r="L295" s="127"/>
      <c r="M295" s="127"/>
      <c r="N295" s="127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spans="1:27" ht="13.5" customHeight="1">
      <c r="A296" s="123"/>
      <c r="B296" s="127"/>
      <c r="C296" s="123"/>
      <c r="D296" s="123"/>
      <c r="E296" s="123"/>
      <c r="F296" s="123"/>
      <c r="G296" s="123"/>
      <c r="H296" s="123"/>
      <c r="I296" s="169"/>
      <c r="J296" s="123"/>
      <c r="K296" s="123"/>
      <c r="L296" s="127"/>
      <c r="M296" s="127"/>
      <c r="N296" s="127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spans="1:27" ht="13.5" customHeight="1">
      <c r="A297" s="123"/>
      <c r="B297" s="127"/>
      <c r="C297" s="123"/>
      <c r="D297" s="123"/>
      <c r="E297" s="123"/>
      <c r="F297" s="123"/>
      <c r="G297" s="123"/>
      <c r="H297" s="123"/>
      <c r="I297" s="169"/>
      <c r="J297" s="123"/>
      <c r="K297" s="123"/>
      <c r="L297" s="127"/>
      <c r="M297" s="127"/>
      <c r="N297" s="127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spans="1:27" ht="13.5" customHeight="1">
      <c r="A298" s="123"/>
      <c r="B298" s="127"/>
      <c r="C298" s="123"/>
      <c r="D298" s="123"/>
      <c r="E298" s="123"/>
      <c r="F298" s="123"/>
      <c r="G298" s="123"/>
      <c r="H298" s="123"/>
      <c r="I298" s="169"/>
      <c r="J298" s="123"/>
      <c r="K298" s="123"/>
      <c r="L298" s="127"/>
      <c r="M298" s="127"/>
      <c r="N298" s="127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spans="1:27" ht="13.5" customHeight="1">
      <c r="A299" s="123"/>
      <c r="B299" s="127"/>
      <c r="C299" s="123"/>
      <c r="D299" s="123"/>
      <c r="E299" s="123"/>
      <c r="F299" s="123"/>
      <c r="G299" s="123"/>
      <c r="H299" s="123"/>
      <c r="I299" s="169"/>
      <c r="J299" s="123"/>
      <c r="K299" s="123"/>
      <c r="L299" s="127"/>
      <c r="M299" s="127"/>
      <c r="N299" s="127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spans="1:27" ht="13.5" customHeight="1">
      <c r="A300" s="123"/>
      <c r="B300" s="127"/>
      <c r="C300" s="123"/>
      <c r="D300" s="123"/>
      <c r="E300" s="123"/>
      <c r="F300" s="123"/>
      <c r="G300" s="123"/>
      <c r="H300" s="123"/>
      <c r="I300" s="169"/>
      <c r="J300" s="123"/>
      <c r="K300" s="123"/>
      <c r="L300" s="127"/>
      <c r="M300" s="127"/>
      <c r="N300" s="127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spans="1:27" ht="13.5" customHeight="1">
      <c r="A301" s="123"/>
      <c r="B301" s="127"/>
      <c r="C301" s="123"/>
      <c r="D301" s="123"/>
      <c r="E301" s="123"/>
      <c r="F301" s="123"/>
      <c r="G301" s="123"/>
      <c r="H301" s="123"/>
      <c r="I301" s="169"/>
      <c r="J301" s="123"/>
      <c r="K301" s="123"/>
      <c r="L301" s="127"/>
      <c r="M301" s="127"/>
      <c r="N301" s="127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spans="1:27" ht="13.5" customHeight="1">
      <c r="A302" s="123"/>
      <c r="B302" s="127"/>
      <c r="C302" s="123"/>
      <c r="D302" s="123"/>
      <c r="E302" s="123"/>
      <c r="F302" s="123"/>
      <c r="G302" s="123"/>
      <c r="H302" s="123"/>
      <c r="I302" s="169"/>
      <c r="J302" s="123"/>
      <c r="K302" s="123"/>
      <c r="L302" s="127"/>
      <c r="M302" s="127"/>
      <c r="N302" s="127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spans="1:27" ht="13.5" customHeight="1">
      <c r="A303" s="123"/>
      <c r="B303" s="127"/>
      <c r="C303" s="123"/>
      <c r="D303" s="123"/>
      <c r="E303" s="123"/>
      <c r="F303" s="123"/>
      <c r="G303" s="123"/>
      <c r="H303" s="123"/>
      <c r="I303" s="169"/>
      <c r="J303" s="123"/>
      <c r="K303" s="123"/>
      <c r="L303" s="127"/>
      <c r="M303" s="127"/>
      <c r="N303" s="127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spans="1:27" ht="13.5" customHeight="1">
      <c r="A304" s="123"/>
      <c r="B304" s="127"/>
      <c r="C304" s="123"/>
      <c r="D304" s="123"/>
      <c r="E304" s="123"/>
      <c r="F304" s="123"/>
      <c r="G304" s="123"/>
      <c r="H304" s="123"/>
      <c r="I304" s="169"/>
      <c r="J304" s="123"/>
      <c r="K304" s="123"/>
      <c r="L304" s="127"/>
      <c r="M304" s="127"/>
      <c r="N304" s="127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spans="1:27" ht="13.5" customHeight="1">
      <c r="A305" s="123"/>
      <c r="B305" s="127"/>
      <c r="C305" s="123"/>
      <c r="D305" s="123"/>
      <c r="E305" s="123"/>
      <c r="F305" s="123"/>
      <c r="G305" s="123"/>
      <c r="H305" s="123"/>
      <c r="I305" s="169"/>
      <c r="J305" s="123"/>
      <c r="K305" s="123"/>
      <c r="L305" s="127"/>
      <c r="M305" s="127"/>
      <c r="N305" s="127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spans="1:27" ht="13.5" customHeight="1">
      <c r="A306" s="123"/>
      <c r="B306" s="127"/>
      <c r="C306" s="123"/>
      <c r="D306" s="123"/>
      <c r="E306" s="123"/>
      <c r="F306" s="123"/>
      <c r="G306" s="123"/>
      <c r="H306" s="123"/>
      <c r="I306" s="169"/>
      <c r="J306" s="123"/>
      <c r="K306" s="123"/>
      <c r="L306" s="127"/>
      <c r="M306" s="127"/>
      <c r="N306" s="127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spans="1:27" ht="13.5" customHeight="1">
      <c r="A307" s="123"/>
      <c r="B307" s="127"/>
      <c r="C307" s="123"/>
      <c r="D307" s="123"/>
      <c r="E307" s="123"/>
      <c r="F307" s="123"/>
      <c r="G307" s="123"/>
      <c r="H307" s="123"/>
      <c r="I307" s="169"/>
      <c r="J307" s="123"/>
      <c r="K307" s="123"/>
      <c r="L307" s="127"/>
      <c r="M307" s="127"/>
      <c r="N307" s="127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spans="1:27" ht="13.5" customHeight="1">
      <c r="A308" s="123"/>
      <c r="B308" s="127"/>
      <c r="C308" s="123"/>
      <c r="D308" s="123"/>
      <c r="E308" s="123"/>
      <c r="F308" s="123"/>
      <c r="G308" s="123"/>
      <c r="H308" s="123"/>
      <c r="I308" s="169"/>
      <c r="J308" s="123"/>
      <c r="K308" s="123"/>
      <c r="L308" s="127"/>
      <c r="M308" s="127"/>
      <c r="N308" s="127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spans="1:27" ht="13.5" customHeight="1">
      <c r="A309" s="123"/>
      <c r="B309" s="127"/>
      <c r="C309" s="123"/>
      <c r="D309" s="123"/>
      <c r="E309" s="123"/>
      <c r="F309" s="123"/>
      <c r="G309" s="123"/>
      <c r="H309" s="123"/>
      <c r="I309" s="169"/>
      <c r="J309" s="123"/>
      <c r="K309" s="123"/>
      <c r="L309" s="127"/>
      <c r="M309" s="127"/>
      <c r="N309" s="127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spans="1:27" ht="13.5" customHeight="1">
      <c r="A310" s="123"/>
      <c r="B310" s="127"/>
      <c r="C310" s="123"/>
      <c r="D310" s="123"/>
      <c r="E310" s="123"/>
      <c r="F310" s="123"/>
      <c r="G310" s="123"/>
      <c r="H310" s="123"/>
      <c r="I310" s="169"/>
      <c r="J310" s="123"/>
      <c r="K310" s="123"/>
      <c r="L310" s="127"/>
      <c r="M310" s="127"/>
      <c r="N310" s="127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spans="1:27" ht="13.5" customHeight="1">
      <c r="A311" s="123"/>
      <c r="B311" s="127"/>
      <c r="C311" s="123"/>
      <c r="D311" s="123"/>
      <c r="E311" s="123"/>
      <c r="F311" s="123"/>
      <c r="G311" s="123"/>
      <c r="H311" s="123"/>
      <c r="I311" s="169"/>
      <c r="J311" s="123"/>
      <c r="K311" s="123"/>
      <c r="L311" s="127"/>
      <c r="M311" s="127"/>
      <c r="N311" s="127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spans="1:27" ht="13.5" customHeight="1">
      <c r="A312" s="123"/>
      <c r="B312" s="127"/>
      <c r="C312" s="123"/>
      <c r="D312" s="123"/>
      <c r="E312" s="123"/>
      <c r="F312" s="123"/>
      <c r="G312" s="123"/>
      <c r="H312" s="123"/>
      <c r="I312" s="169"/>
      <c r="J312" s="123"/>
      <c r="K312" s="123"/>
      <c r="L312" s="127"/>
      <c r="M312" s="127"/>
      <c r="N312" s="127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spans="1:27" ht="13.5" customHeight="1">
      <c r="A313" s="123"/>
      <c r="B313" s="127"/>
      <c r="C313" s="123"/>
      <c r="D313" s="123"/>
      <c r="E313" s="123"/>
      <c r="F313" s="123"/>
      <c r="G313" s="123"/>
      <c r="H313" s="123"/>
      <c r="I313" s="169"/>
      <c r="J313" s="123"/>
      <c r="K313" s="123"/>
      <c r="L313" s="127"/>
      <c r="M313" s="127"/>
      <c r="N313" s="127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spans="1:27" ht="13.5" customHeight="1">
      <c r="A314" s="123"/>
      <c r="B314" s="127"/>
      <c r="C314" s="123"/>
      <c r="D314" s="123"/>
      <c r="E314" s="123"/>
      <c r="F314" s="123"/>
      <c r="G314" s="123"/>
      <c r="H314" s="123"/>
      <c r="I314" s="169"/>
      <c r="J314" s="123"/>
      <c r="K314" s="123"/>
      <c r="L314" s="127"/>
      <c r="M314" s="127"/>
      <c r="N314" s="127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spans="1:27" ht="13.5" customHeight="1">
      <c r="A315" s="123"/>
      <c r="B315" s="127"/>
      <c r="C315" s="123"/>
      <c r="D315" s="123"/>
      <c r="E315" s="123"/>
      <c r="F315" s="123"/>
      <c r="G315" s="123"/>
      <c r="H315" s="123"/>
      <c r="I315" s="169"/>
      <c r="J315" s="123"/>
      <c r="K315" s="123"/>
      <c r="L315" s="127"/>
      <c r="M315" s="127"/>
      <c r="N315" s="127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spans="1:27" ht="13.5" customHeight="1">
      <c r="A316" s="123"/>
      <c r="B316" s="127"/>
      <c r="C316" s="123"/>
      <c r="D316" s="123"/>
      <c r="E316" s="123"/>
      <c r="F316" s="123"/>
      <c r="G316" s="123"/>
      <c r="H316" s="123"/>
      <c r="I316" s="169"/>
      <c r="J316" s="123"/>
      <c r="K316" s="123"/>
      <c r="L316" s="127"/>
      <c r="M316" s="127"/>
      <c r="N316" s="127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spans="1:27" ht="13.5" customHeight="1">
      <c r="A317" s="123"/>
      <c r="B317" s="127"/>
      <c r="C317" s="123"/>
      <c r="D317" s="123"/>
      <c r="E317" s="123"/>
      <c r="F317" s="123"/>
      <c r="G317" s="123"/>
      <c r="H317" s="123"/>
      <c r="I317" s="169"/>
      <c r="J317" s="123"/>
      <c r="K317" s="123"/>
      <c r="L317" s="127"/>
      <c r="M317" s="127"/>
      <c r="N317" s="127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spans="1:27" ht="13.5" customHeight="1">
      <c r="A318" s="123"/>
      <c r="B318" s="127"/>
      <c r="C318" s="123"/>
      <c r="D318" s="123"/>
      <c r="E318" s="123"/>
      <c r="F318" s="123"/>
      <c r="G318" s="123"/>
      <c r="H318" s="123"/>
      <c r="I318" s="169"/>
      <c r="J318" s="123"/>
      <c r="K318" s="123"/>
      <c r="L318" s="127"/>
      <c r="M318" s="127"/>
      <c r="N318" s="127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spans="1:27" ht="13.5" customHeight="1">
      <c r="A319" s="123"/>
      <c r="B319" s="127"/>
      <c r="C319" s="123"/>
      <c r="D319" s="123"/>
      <c r="E319" s="123"/>
      <c r="F319" s="123"/>
      <c r="G319" s="123"/>
      <c r="H319" s="123"/>
      <c r="I319" s="169"/>
      <c r="J319" s="123"/>
      <c r="K319" s="123"/>
      <c r="L319" s="127"/>
      <c r="M319" s="127"/>
      <c r="N319" s="127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spans="1:27" ht="13.5" customHeight="1">
      <c r="A320" s="123"/>
      <c r="B320" s="127"/>
      <c r="C320" s="123"/>
      <c r="D320" s="123"/>
      <c r="E320" s="123"/>
      <c r="F320" s="123"/>
      <c r="G320" s="123"/>
      <c r="H320" s="123"/>
      <c r="I320" s="169"/>
      <c r="J320" s="123"/>
      <c r="K320" s="123"/>
      <c r="L320" s="127"/>
      <c r="M320" s="127"/>
      <c r="N320" s="127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spans="1:27" ht="13.5" customHeight="1">
      <c r="A321" s="123"/>
      <c r="B321" s="127"/>
      <c r="C321" s="123"/>
      <c r="D321" s="123"/>
      <c r="E321" s="123"/>
      <c r="F321" s="123"/>
      <c r="G321" s="123"/>
      <c r="H321" s="123"/>
      <c r="I321" s="169"/>
      <c r="J321" s="123"/>
      <c r="K321" s="123"/>
      <c r="L321" s="127"/>
      <c r="M321" s="127"/>
      <c r="N321" s="127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spans="1:27" ht="13.5" customHeight="1">
      <c r="A322" s="123"/>
      <c r="B322" s="127"/>
      <c r="C322" s="123"/>
      <c r="D322" s="123"/>
      <c r="E322" s="123"/>
      <c r="F322" s="123"/>
      <c r="G322" s="123"/>
      <c r="H322" s="123"/>
      <c r="I322" s="169"/>
      <c r="J322" s="123"/>
      <c r="K322" s="123"/>
      <c r="L322" s="127"/>
      <c r="M322" s="127"/>
      <c r="N322" s="127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spans="1:27" ht="13.5" customHeight="1">
      <c r="A323" s="123"/>
      <c r="B323" s="127"/>
      <c r="C323" s="123"/>
      <c r="D323" s="123"/>
      <c r="E323" s="123"/>
      <c r="F323" s="123"/>
      <c r="G323" s="123"/>
      <c r="H323" s="123"/>
      <c r="I323" s="169"/>
      <c r="J323" s="123"/>
      <c r="K323" s="123"/>
      <c r="L323" s="127"/>
      <c r="M323" s="127"/>
      <c r="N323" s="127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spans="1:27" ht="13.5" customHeight="1">
      <c r="A324" s="123"/>
      <c r="B324" s="127"/>
      <c r="C324" s="123"/>
      <c r="D324" s="123"/>
      <c r="E324" s="123"/>
      <c r="F324" s="123"/>
      <c r="G324" s="123"/>
      <c r="H324" s="123"/>
      <c r="I324" s="169"/>
      <c r="J324" s="123"/>
      <c r="K324" s="123"/>
      <c r="L324" s="127"/>
      <c r="M324" s="127"/>
      <c r="N324" s="127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spans="1:27" ht="13.5" customHeight="1">
      <c r="A325" s="123"/>
      <c r="B325" s="127"/>
      <c r="C325" s="123"/>
      <c r="D325" s="123"/>
      <c r="E325" s="123"/>
      <c r="F325" s="123"/>
      <c r="G325" s="123"/>
      <c r="H325" s="123"/>
      <c r="I325" s="169"/>
      <c r="J325" s="123"/>
      <c r="K325" s="123"/>
      <c r="L325" s="127"/>
      <c r="M325" s="127"/>
      <c r="N325" s="127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spans="1:27" ht="13.5" customHeight="1">
      <c r="A326" s="123"/>
      <c r="B326" s="127"/>
      <c r="C326" s="123"/>
      <c r="D326" s="123"/>
      <c r="E326" s="123"/>
      <c r="F326" s="123"/>
      <c r="G326" s="123"/>
      <c r="H326" s="123"/>
      <c r="I326" s="169"/>
      <c r="J326" s="123"/>
      <c r="K326" s="123"/>
      <c r="L326" s="127"/>
      <c r="M326" s="127"/>
      <c r="N326" s="127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spans="1:27" ht="13.5" customHeight="1">
      <c r="A327" s="123"/>
      <c r="B327" s="127"/>
      <c r="C327" s="123"/>
      <c r="D327" s="123"/>
      <c r="E327" s="123"/>
      <c r="F327" s="123"/>
      <c r="G327" s="123"/>
      <c r="H327" s="123"/>
      <c r="I327" s="169"/>
      <c r="J327" s="123"/>
      <c r="K327" s="123"/>
      <c r="L327" s="127"/>
      <c r="M327" s="127"/>
      <c r="N327" s="127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spans="1:27" ht="13.5" customHeight="1">
      <c r="A328" s="123"/>
      <c r="B328" s="127"/>
      <c r="C328" s="123"/>
      <c r="D328" s="123"/>
      <c r="E328" s="123"/>
      <c r="F328" s="123"/>
      <c r="G328" s="123"/>
      <c r="H328" s="123"/>
      <c r="I328" s="169"/>
      <c r="J328" s="123"/>
      <c r="K328" s="123"/>
      <c r="L328" s="127"/>
      <c r="M328" s="127"/>
      <c r="N328" s="127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spans="1:27" ht="13.5" customHeight="1">
      <c r="A329" s="123"/>
      <c r="B329" s="127"/>
      <c r="C329" s="123"/>
      <c r="D329" s="123"/>
      <c r="E329" s="123"/>
      <c r="F329" s="123"/>
      <c r="G329" s="123"/>
      <c r="H329" s="123"/>
      <c r="I329" s="169"/>
      <c r="J329" s="123"/>
      <c r="K329" s="123"/>
      <c r="L329" s="127"/>
      <c r="M329" s="127"/>
      <c r="N329" s="127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spans="1:27" ht="13.5" customHeight="1">
      <c r="A330" s="123"/>
      <c r="B330" s="127"/>
      <c r="C330" s="123"/>
      <c r="D330" s="123"/>
      <c r="E330" s="123"/>
      <c r="F330" s="123"/>
      <c r="G330" s="123"/>
      <c r="H330" s="123"/>
      <c r="I330" s="169"/>
      <c r="J330" s="123"/>
      <c r="K330" s="123"/>
      <c r="L330" s="127"/>
      <c r="M330" s="127"/>
      <c r="N330" s="127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spans="1:27" ht="13.5" customHeight="1">
      <c r="A331" s="123"/>
      <c r="B331" s="127"/>
      <c r="C331" s="123"/>
      <c r="D331" s="123"/>
      <c r="E331" s="123"/>
      <c r="F331" s="123"/>
      <c r="G331" s="123"/>
      <c r="H331" s="123"/>
      <c r="I331" s="169"/>
      <c r="J331" s="123"/>
      <c r="K331" s="123"/>
      <c r="L331" s="127"/>
      <c r="M331" s="127"/>
      <c r="N331" s="127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spans="1:27" ht="13.5" customHeight="1">
      <c r="A332" s="123"/>
      <c r="B332" s="127"/>
      <c r="C332" s="123"/>
      <c r="D332" s="123"/>
      <c r="E332" s="123"/>
      <c r="F332" s="123"/>
      <c r="G332" s="123"/>
      <c r="H332" s="123"/>
      <c r="I332" s="169"/>
      <c r="J332" s="123"/>
      <c r="K332" s="123"/>
      <c r="L332" s="127"/>
      <c r="M332" s="127"/>
      <c r="N332" s="127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spans="1:27" ht="13.5" customHeight="1">
      <c r="A333" s="123"/>
      <c r="B333" s="127"/>
      <c r="C333" s="123"/>
      <c r="D333" s="123"/>
      <c r="E333" s="123"/>
      <c r="F333" s="123"/>
      <c r="G333" s="123"/>
      <c r="H333" s="123"/>
      <c r="I333" s="169"/>
      <c r="J333" s="123"/>
      <c r="K333" s="123"/>
      <c r="L333" s="127"/>
      <c r="M333" s="127"/>
      <c r="N333" s="127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spans="1:27" ht="13.5" customHeight="1">
      <c r="A334" s="123"/>
      <c r="B334" s="127"/>
      <c r="C334" s="123"/>
      <c r="D334" s="123"/>
      <c r="E334" s="123"/>
      <c r="F334" s="123"/>
      <c r="G334" s="123"/>
      <c r="H334" s="123"/>
      <c r="I334" s="169"/>
      <c r="J334" s="123"/>
      <c r="K334" s="123"/>
      <c r="L334" s="127"/>
      <c r="M334" s="127"/>
      <c r="N334" s="127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1:27" ht="13.5" customHeight="1">
      <c r="A335" s="123"/>
      <c r="B335" s="127"/>
      <c r="C335" s="123"/>
      <c r="D335" s="123"/>
      <c r="E335" s="123"/>
      <c r="F335" s="123"/>
      <c r="G335" s="123"/>
      <c r="H335" s="123"/>
      <c r="I335" s="169"/>
      <c r="J335" s="123"/>
      <c r="K335" s="123"/>
      <c r="L335" s="127"/>
      <c r="M335" s="127"/>
      <c r="N335" s="127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1:27" ht="13.5" customHeight="1">
      <c r="A336" s="123"/>
      <c r="B336" s="127"/>
      <c r="C336" s="123"/>
      <c r="D336" s="123"/>
      <c r="E336" s="123"/>
      <c r="F336" s="123"/>
      <c r="G336" s="123"/>
      <c r="H336" s="123"/>
      <c r="I336" s="169"/>
      <c r="J336" s="123"/>
      <c r="K336" s="123"/>
      <c r="L336" s="127"/>
      <c r="M336" s="127"/>
      <c r="N336" s="127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spans="1:27" ht="13.5" customHeight="1">
      <c r="A337" s="123"/>
      <c r="B337" s="127"/>
      <c r="C337" s="123"/>
      <c r="D337" s="123"/>
      <c r="E337" s="123"/>
      <c r="F337" s="123"/>
      <c r="G337" s="123"/>
      <c r="H337" s="123"/>
      <c r="I337" s="169"/>
      <c r="J337" s="123"/>
      <c r="K337" s="123"/>
      <c r="L337" s="127"/>
      <c r="M337" s="127"/>
      <c r="N337" s="127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spans="1:27" ht="13.5" customHeight="1">
      <c r="A338" s="123"/>
      <c r="B338" s="127"/>
      <c r="C338" s="123"/>
      <c r="D338" s="123"/>
      <c r="E338" s="123"/>
      <c r="F338" s="123"/>
      <c r="G338" s="123"/>
      <c r="H338" s="123"/>
      <c r="I338" s="169"/>
      <c r="J338" s="123"/>
      <c r="K338" s="123"/>
      <c r="L338" s="127"/>
      <c r="M338" s="127"/>
      <c r="N338" s="127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spans="1:27" ht="13.5" customHeight="1">
      <c r="A339" s="123"/>
      <c r="B339" s="127"/>
      <c r="C339" s="123"/>
      <c r="D339" s="123"/>
      <c r="E339" s="123"/>
      <c r="F339" s="123"/>
      <c r="G339" s="123"/>
      <c r="H339" s="123"/>
      <c r="I339" s="169"/>
      <c r="J339" s="123"/>
      <c r="K339" s="123"/>
      <c r="L339" s="127"/>
      <c r="M339" s="127"/>
      <c r="N339" s="127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spans="1:27" ht="13.5" customHeight="1">
      <c r="A340" s="123"/>
      <c r="B340" s="127"/>
      <c r="C340" s="123"/>
      <c r="D340" s="123"/>
      <c r="E340" s="123"/>
      <c r="F340" s="123"/>
      <c r="G340" s="123"/>
      <c r="H340" s="123"/>
      <c r="I340" s="169"/>
      <c r="J340" s="123"/>
      <c r="K340" s="123"/>
      <c r="L340" s="127"/>
      <c r="M340" s="127"/>
      <c r="N340" s="127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spans="1:27" ht="13.5" customHeight="1">
      <c r="A341" s="123"/>
      <c r="B341" s="127"/>
      <c r="C341" s="123"/>
      <c r="D341" s="123"/>
      <c r="E341" s="123"/>
      <c r="F341" s="123"/>
      <c r="G341" s="123"/>
      <c r="H341" s="123"/>
      <c r="I341" s="169"/>
      <c r="J341" s="123"/>
      <c r="K341" s="123"/>
      <c r="L341" s="127"/>
      <c r="M341" s="127"/>
      <c r="N341" s="127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spans="1:27" ht="13.5" customHeight="1">
      <c r="A342" s="123"/>
      <c r="B342" s="127"/>
      <c r="C342" s="123"/>
      <c r="D342" s="123"/>
      <c r="E342" s="123"/>
      <c r="F342" s="123"/>
      <c r="G342" s="123"/>
      <c r="H342" s="123"/>
      <c r="I342" s="169"/>
      <c r="J342" s="123"/>
      <c r="K342" s="123"/>
      <c r="L342" s="127"/>
      <c r="M342" s="127"/>
      <c r="N342" s="127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spans="1:27" ht="13.5" customHeight="1">
      <c r="A343" s="123"/>
      <c r="B343" s="127"/>
      <c r="C343" s="123"/>
      <c r="D343" s="123"/>
      <c r="E343" s="123"/>
      <c r="F343" s="123"/>
      <c r="G343" s="123"/>
      <c r="H343" s="123"/>
      <c r="I343" s="169"/>
      <c r="J343" s="123"/>
      <c r="K343" s="123"/>
      <c r="L343" s="127"/>
      <c r="M343" s="127"/>
      <c r="N343" s="127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spans="1:27" ht="13.5" customHeight="1">
      <c r="A344" s="123"/>
      <c r="B344" s="127"/>
      <c r="C344" s="123"/>
      <c r="D344" s="123"/>
      <c r="E344" s="123"/>
      <c r="F344" s="123"/>
      <c r="G344" s="123"/>
      <c r="H344" s="123"/>
      <c r="I344" s="169"/>
      <c r="J344" s="123"/>
      <c r="K344" s="123"/>
      <c r="L344" s="127"/>
      <c r="M344" s="127"/>
      <c r="N344" s="127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spans="1:27" ht="13.5" customHeight="1">
      <c r="A345" s="123"/>
      <c r="B345" s="127"/>
      <c r="C345" s="123"/>
      <c r="D345" s="123"/>
      <c r="E345" s="123"/>
      <c r="F345" s="123"/>
      <c r="G345" s="123"/>
      <c r="H345" s="123"/>
      <c r="I345" s="169"/>
      <c r="J345" s="123"/>
      <c r="K345" s="123"/>
      <c r="L345" s="127"/>
      <c r="M345" s="127"/>
      <c r="N345" s="127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spans="1:27" ht="13.5" customHeight="1">
      <c r="A346" s="123"/>
      <c r="B346" s="127"/>
      <c r="C346" s="123"/>
      <c r="D346" s="123"/>
      <c r="E346" s="123"/>
      <c r="F346" s="123"/>
      <c r="G346" s="123"/>
      <c r="H346" s="123"/>
      <c r="I346" s="169"/>
      <c r="J346" s="123"/>
      <c r="K346" s="123"/>
      <c r="L346" s="127"/>
      <c r="M346" s="127"/>
      <c r="N346" s="127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spans="1:27" ht="13.5" customHeight="1">
      <c r="A347" s="123"/>
      <c r="B347" s="127"/>
      <c r="C347" s="123"/>
      <c r="D347" s="123"/>
      <c r="E347" s="123"/>
      <c r="F347" s="123"/>
      <c r="G347" s="123"/>
      <c r="H347" s="123"/>
      <c r="I347" s="169"/>
      <c r="J347" s="123"/>
      <c r="K347" s="123"/>
      <c r="L347" s="127"/>
      <c r="M347" s="127"/>
      <c r="N347" s="127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spans="1:27" ht="13.5" customHeight="1">
      <c r="A348" s="123"/>
      <c r="B348" s="127"/>
      <c r="C348" s="123"/>
      <c r="D348" s="123"/>
      <c r="E348" s="123"/>
      <c r="F348" s="123"/>
      <c r="G348" s="123"/>
      <c r="H348" s="123"/>
      <c r="I348" s="169"/>
      <c r="J348" s="123"/>
      <c r="K348" s="123"/>
      <c r="L348" s="127"/>
      <c r="M348" s="127"/>
      <c r="N348" s="127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spans="1:27" ht="13.5" customHeight="1">
      <c r="A349" s="123"/>
      <c r="B349" s="127"/>
      <c r="C349" s="123"/>
      <c r="D349" s="123"/>
      <c r="E349" s="123"/>
      <c r="F349" s="123"/>
      <c r="G349" s="123"/>
      <c r="H349" s="123"/>
      <c r="I349" s="169"/>
      <c r="J349" s="123"/>
      <c r="K349" s="123"/>
      <c r="L349" s="127"/>
      <c r="M349" s="127"/>
      <c r="N349" s="127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spans="1:27" ht="13.5" customHeight="1">
      <c r="A350" s="123"/>
      <c r="B350" s="127"/>
      <c r="C350" s="123"/>
      <c r="D350" s="123"/>
      <c r="E350" s="123"/>
      <c r="F350" s="123"/>
      <c r="G350" s="123"/>
      <c r="H350" s="123"/>
      <c r="I350" s="169"/>
      <c r="J350" s="123"/>
      <c r="K350" s="123"/>
      <c r="L350" s="127"/>
      <c r="M350" s="127"/>
      <c r="N350" s="127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spans="1:27" ht="13.5" customHeight="1">
      <c r="A351" s="123"/>
      <c r="B351" s="127"/>
      <c r="C351" s="123"/>
      <c r="D351" s="123"/>
      <c r="E351" s="123"/>
      <c r="F351" s="123"/>
      <c r="G351" s="123"/>
      <c r="H351" s="123"/>
      <c r="I351" s="169"/>
      <c r="J351" s="123"/>
      <c r="K351" s="123"/>
      <c r="L351" s="127"/>
      <c r="M351" s="127"/>
      <c r="N351" s="127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spans="1:27" ht="13.5" customHeight="1">
      <c r="A352" s="123"/>
      <c r="B352" s="127"/>
      <c r="C352" s="123"/>
      <c r="D352" s="123"/>
      <c r="E352" s="123"/>
      <c r="F352" s="123"/>
      <c r="G352" s="123"/>
      <c r="H352" s="123"/>
      <c r="I352" s="169"/>
      <c r="J352" s="123"/>
      <c r="K352" s="123"/>
      <c r="L352" s="127"/>
      <c r="M352" s="127"/>
      <c r="N352" s="127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spans="1:27" ht="13.5" customHeight="1">
      <c r="A353" s="123"/>
      <c r="B353" s="127"/>
      <c r="C353" s="123"/>
      <c r="D353" s="123"/>
      <c r="E353" s="123"/>
      <c r="F353" s="123"/>
      <c r="G353" s="123"/>
      <c r="H353" s="123"/>
      <c r="I353" s="169"/>
      <c r="J353" s="123"/>
      <c r="K353" s="123"/>
      <c r="L353" s="127"/>
      <c r="M353" s="127"/>
      <c r="N353" s="127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spans="1:27" ht="13.5" customHeight="1">
      <c r="A354" s="123"/>
      <c r="B354" s="127"/>
      <c r="C354" s="123"/>
      <c r="D354" s="123"/>
      <c r="E354" s="123"/>
      <c r="F354" s="123"/>
      <c r="G354" s="123"/>
      <c r="H354" s="123"/>
      <c r="I354" s="169"/>
      <c r="J354" s="123"/>
      <c r="K354" s="123"/>
      <c r="L354" s="127"/>
      <c r="M354" s="127"/>
      <c r="N354" s="127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spans="1:27" ht="13.5" customHeight="1">
      <c r="A355" s="123"/>
      <c r="B355" s="127"/>
      <c r="C355" s="123"/>
      <c r="D355" s="123"/>
      <c r="E355" s="123"/>
      <c r="F355" s="123"/>
      <c r="G355" s="123"/>
      <c r="H355" s="123"/>
      <c r="I355" s="169"/>
      <c r="J355" s="123"/>
      <c r="K355" s="123"/>
      <c r="L355" s="127"/>
      <c r="M355" s="127"/>
      <c r="N355" s="127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spans="1:27" ht="13.5" customHeight="1">
      <c r="A356" s="123"/>
      <c r="B356" s="127"/>
      <c r="C356" s="123"/>
      <c r="D356" s="123"/>
      <c r="E356" s="123"/>
      <c r="F356" s="123"/>
      <c r="G356" s="123"/>
      <c r="H356" s="123"/>
      <c r="I356" s="169"/>
      <c r="J356" s="123"/>
      <c r="K356" s="123"/>
      <c r="L356" s="127"/>
      <c r="M356" s="127"/>
      <c r="N356" s="127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spans="1:27" ht="13.5" customHeight="1">
      <c r="A357" s="123"/>
      <c r="B357" s="127"/>
      <c r="C357" s="123"/>
      <c r="D357" s="123"/>
      <c r="E357" s="123"/>
      <c r="F357" s="123"/>
      <c r="G357" s="123"/>
      <c r="H357" s="123"/>
      <c r="I357" s="169"/>
      <c r="J357" s="123"/>
      <c r="K357" s="123"/>
      <c r="L357" s="127"/>
      <c r="M357" s="127"/>
      <c r="N357" s="127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spans="1:27" ht="13.5" customHeight="1">
      <c r="A358" s="123"/>
      <c r="B358" s="127"/>
      <c r="C358" s="123"/>
      <c r="D358" s="123"/>
      <c r="E358" s="123"/>
      <c r="F358" s="123"/>
      <c r="G358" s="123"/>
      <c r="H358" s="123"/>
      <c r="I358" s="169"/>
      <c r="J358" s="123"/>
      <c r="K358" s="123"/>
      <c r="L358" s="127"/>
      <c r="M358" s="127"/>
      <c r="N358" s="127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spans="1:27" ht="13.5" customHeight="1">
      <c r="A359" s="123"/>
      <c r="B359" s="127"/>
      <c r="C359" s="123"/>
      <c r="D359" s="123"/>
      <c r="E359" s="123"/>
      <c r="F359" s="123"/>
      <c r="G359" s="123"/>
      <c r="H359" s="123"/>
      <c r="I359" s="169"/>
      <c r="J359" s="123"/>
      <c r="K359" s="123"/>
      <c r="L359" s="127"/>
      <c r="M359" s="127"/>
      <c r="N359" s="127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spans="1:27" ht="13.5" customHeight="1">
      <c r="A360" s="123"/>
      <c r="B360" s="127"/>
      <c r="C360" s="123"/>
      <c r="D360" s="123"/>
      <c r="E360" s="123"/>
      <c r="F360" s="123"/>
      <c r="G360" s="123"/>
      <c r="H360" s="123"/>
      <c r="I360" s="169"/>
      <c r="J360" s="123"/>
      <c r="K360" s="123"/>
      <c r="L360" s="127"/>
      <c r="M360" s="127"/>
      <c r="N360" s="127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spans="1:27" ht="13.5" customHeight="1">
      <c r="A361" s="123"/>
      <c r="B361" s="127"/>
      <c r="C361" s="123"/>
      <c r="D361" s="123"/>
      <c r="E361" s="123"/>
      <c r="F361" s="123"/>
      <c r="G361" s="123"/>
      <c r="H361" s="123"/>
      <c r="I361" s="169"/>
      <c r="J361" s="123"/>
      <c r="K361" s="123"/>
      <c r="L361" s="127"/>
      <c r="M361" s="127"/>
      <c r="N361" s="127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spans="1:27" ht="13.5" customHeight="1">
      <c r="A362" s="123"/>
      <c r="B362" s="127"/>
      <c r="C362" s="123"/>
      <c r="D362" s="123"/>
      <c r="E362" s="123"/>
      <c r="F362" s="123"/>
      <c r="G362" s="123"/>
      <c r="H362" s="123"/>
      <c r="I362" s="169"/>
      <c r="J362" s="123"/>
      <c r="K362" s="123"/>
      <c r="L362" s="127"/>
      <c r="M362" s="127"/>
      <c r="N362" s="127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spans="1:27" ht="13.5" customHeight="1">
      <c r="A363" s="123"/>
      <c r="B363" s="127"/>
      <c r="C363" s="123"/>
      <c r="D363" s="123"/>
      <c r="E363" s="123"/>
      <c r="F363" s="123"/>
      <c r="G363" s="123"/>
      <c r="H363" s="123"/>
      <c r="I363" s="169"/>
      <c r="J363" s="123"/>
      <c r="K363" s="123"/>
      <c r="L363" s="127"/>
      <c r="M363" s="127"/>
      <c r="N363" s="127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spans="1:27" ht="13.5" customHeight="1">
      <c r="A364" s="123"/>
      <c r="B364" s="127"/>
      <c r="C364" s="123"/>
      <c r="D364" s="123"/>
      <c r="E364" s="123"/>
      <c r="F364" s="123"/>
      <c r="G364" s="123"/>
      <c r="H364" s="123"/>
      <c r="I364" s="169"/>
      <c r="J364" s="123"/>
      <c r="K364" s="123"/>
      <c r="L364" s="127"/>
      <c r="M364" s="127"/>
      <c r="N364" s="127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spans="1:27" ht="13.5" customHeight="1">
      <c r="A365" s="123"/>
      <c r="B365" s="127"/>
      <c r="C365" s="123"/>
      <c r="D365" s="123"/>
      <c r="E365" s="123"/>
      <c r="F365" s="123"/>
      <c r="G365" s="123"/>
      <c r="H365" s="123"/>
      <c r="I365" s="169"/>
      <c r="J365" s="123"/>
      <c r="K365" s="123"/>
      <c r="L365" s="127"/>
      <c r="M365" s="127"/>
      <c r="N365" s="127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spans="1:27" ht="13.5" customHeight="1">
      <c r="A366" s="123"/>
      <c r="B366" s="127"/>
      <c r="C366" s="123"/>
      <c r="D366" s="123"/>
      <c r="E366" s="123"/>
      <c r="F366" s="123"/>
      <c r="G366" s="123"/>
      <c r="H366" s="123"/>
      <c r="I366" s="169"/>
      <c r="J366" s="123"/>
      <c r="K366" s="123"/>
      <c r="L366" s="127"/>
      <c r="M366" s="127"/>
      <c r="N366" s="127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spans="1:27" ht="13.5" customHeight="1">
      <c r="A367" s="123"/>
      <c r="B367" s="127"/>
      <c r="C367" s="123"/>
      <c r="D367" s="123"/>
      <c r="E367" s="123"/>
      <c r="F367" s="123"/>
      <c r="G367" s="123"/>
      <c r="H367" s="123"/>
      <c r="I367" s="169"/>
      <c r="J367" s="123"/>
      <c r="K367" s="123"/>
      <c r="L367" s="127"/>
      <c r="M367" s="127"/>
      <c r="N367" s="127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spans="1:27" ht="13.5" customHeight="1">
      <c r="A368" s="123"/>
      <c r="B368" s="127"/>
      <c r="C368" s="123"/>
      <c r="D368" s="123"/>
      <c r="E368" s="123"/>
      <c r="F368" s="123"/>
      <c r="G368" s="123"/>
      <c r="H368" s="123"/>
      <c r="I368" s="169"/>
      <c r="J368" s="123"/>
      <c r="K368" s="123"/>
      <c r="L368" s="127"/>
      <c r="M368" s="127"/>
      <c r="N368" s="127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spans="1:27" ht="13.5" customHeight="1">
      <c r="A369" s="123"/>
      <c r="B369" s="127"/>
      <c r="C369" s="123"/>
      <c r="D369" s="123"/>
      <c r="E369" s="123"/>
      <c r="F369" s="123"/>
      <c r="G369" s="123"/>
      <c r="H369" s="123"/>
      <c r="I369" s="169"/>
      <c r="J369" s="123"/>
      <c r="K369" s="123"/>
      <c r="L369" s="127"/>
      <c r="M369" s="127"/>
      <c r="N369" s="127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spans="1:27" ht="13.5" customHeight="1">
      <c r="A370" s="123"/>
      <c r="B370" s="127"/>
      <c r="C370" s="123"/>
      <c r="D370" s="123"/>
      <c r="E370" s="123"/>
      <c r="F370" s="123"/>
      <c r="G370" s="123"/>
      <c r="H370" s="123"/>
      <c r="I370" s="169"/>
      <c r="J370" s="123"/>
      <c r="K370" s="123"/>
      <c r="L370" s="127"/>
      <c r="M370" s="127"/>
      <c r="N370" s="127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spans="1:27" ht="13.5" customHeight="1">
      <c r="A371" s="123"/>
      <c r="B371" s="127"/>
      <c r="C371" s="123"/>
      <c r="D371" s="123"/>
      <c r="E371" s="123"/>
      <c r="F371" s="123"/>
      <c r="G371" s="123"/>
      <c r="H371" s="123"/>
      <c r="I371" s="169"/>
      <c r="J371" s="123"/>
      <c r="K371" s="123"/>
      <c r="L371" s="127"/>
      <c r="M371" s="127"/>
      <c r="N371" s="127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spans="1:27" ht="13.5" customHeight="1">
      <c r="A372" s="123"/>
      <c r="B372" s="127"/>
      <c r="C372" s="123"/>
      <c r="D372" s="123"/>
      <c r="E372" s="123"/>
      <c r="F372" s="123"/>
      <c r="G372" s="123"/>
      <c r="H372" s="123"/>
      <c r="I372" s="169"/>
      <c r="J372" s="123"/>
      <c r="K372" s="123"/>
      <c r="L372" s="127"/>
      <c r="M372" s="127"/>
      <c r="N372" s="127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spans="1:27" ht="13.5" customHeight="1">
      <c r="A373" s="123"/>
      <c r="B373" s="127"/>
      <c r="C373" s="123"/>
      <c r="D373" s="123"/>
      <c r="E373" s="123"/>
      <c r="F373" s="123"/>
      <c r="G373" s="123"/>
      <c r="H373" s="123"/>
      <c r="I373" s="169"/>
      <c r="J373" s="123"/>
      <c r="K373" s="123"/>
      <c r="L373" s="127"/>
      <c r="M373" s="127"/>
      <c r="N373" s="127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spans="1:27" ht="13.5" customHeight="1">
      <c r="A374" s="123"/>
      <c r="B374" s="127"/>
      <c r="C374" s="123"/>
      <c r="D374" s="123"/>
      <c r="E374" s="123"/>
      <c r="F374" s="123"/>
      <c r="G374" s="123"/>
      <c r="H374" s="123"/>
      <c r="I374" s="169"/>
      <c r="J374" s="123"/>
      <c r="K374" s="123"/>
      <c r="L374" s="127"/>
      <c r="M374" s="127"/>
      <c r="N374" s="127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spans="1:27" ht="13.5" customHeight="1">
      <c r="A375" s="123"/>
      <c r="B375" s="127"/>
      <c r="C375" s="123"/>
      <c r="D375" s="123"/>
      <c r="E375" s="123"/>
      <c r="F375" s="123"/>
      <c r="G375" s="123"/>
      <c r="H375" s="123"/>
      <c r="I375" s="169"/>
      <c r="J375" s="123"/>
      <c r="K375" s="123"/>
      <c r="L375" s="127"/>
      <c r="M375" s="127"/>
      <c r="N375" s="127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spans="1:27" ht="13.5" customHeight="1">
      <c r="A376" s="123"/>
      <c r="B376" s="127"/>
      <c r="C376" s="123"/>
      <c r="D376" s="123"/>
      <c r="E376" s="123"/>
      <c r="F376" s="123"/>
      <c r="G376" s="123"/>
      <c r="H376" s="123"/>
      <c r="I376" s="169"/>
      <c r="J376" s="123"/>
      <c r="K376" s="123"/>
      <c r="L376" s="127"/>
      <c r="M376" s="127"/>
      <c r="N376" s="127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spans="1:27" ht="13.5" customHeight="1">
      <c r="A377" s="123"/>
      <c r="B377" s="127"/>
      <c r="C377" s="123"/>
      <c r="D377" s="123"/>
      <c r="E377" s="123"/>
      <c r="F377" s="123"/>
      <c r="G377" s="123"/>
      <c r="H377" s="123"/>
      <c r="I377" s="169"/>
      <c r="J377" s="123"/>
      <c r="K377" s="123"/>
      <c r="L377" s="127"/>
      <c r="M377" s="127"/>
      <c r="N377" s="127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spans="1:27" ht="13.5" customHeight="1">
      <c r="A378" s="123"/>
      <c r="B378" s="127"/>
      <c r="C378" s="123"/>
      <c r="D378" s="123"/>
      <c r="E378" s="123"/>
      <c r="F378" s="123"/>
      <c r="G378" s="123"/>
      <c r="H378" s="123"/>
      <c r="I378" s="169"/>
      <c r="J378" s="123"/>
      <c r="K378" s="123"/>
      <c r="L378" s="127"/>
      <c r="M378" s="127"/>
      <c r="N378" s="127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spans="1:27" ht="13.5" customHeight="1">
      <c r="A379" s="123"/>
      <c r="B379" s="127"/>
      <c r="C379" s="123"/>
      <c r="D379" s="123"/>
      <c r="E379" s="123"/>
      <c r="F379" s="123"/>
      <c r="G379" s="123"/>
      <c r="H379" s="123"/>
      <c r="I379" s="169"/>
      <c r="J379" s="123"/>
      <c r="K379" s="123"/>
      <c r="L379" s="127"/>
      <c r="M379" s="127"/>
      <c r="N379" s="127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 spans="1:27" ht="13.5" customHeight="1">
      <c r="A380" s="123"/>
      <c r="B380" s="127"/>
      <c r="C380" s="123"/>
      <c r="D380" s="123"/>
      <c r="E380" s="123"/>
      <c r="F380" s="123"/>
      <c r="G380" s="123"/>
      <c r="H380" s="123"/>
      <c r="I380" s="169"/>
      <c r="J380" s="123"/>
      <c r="K380" s="123"/>
      <c r="L380" s="127"/>
      <c r="M380" s="127"/>
      <c r="N380" s="127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 spans="1:27" ht="13.5" customHeight="1">
      <c r="A381" s="123"/>
      <c r="B381" s="127"/>
      <c r="C381" s="123"/>
      <c r="D381" s="123"/>
      <c r="E381" s="123"/>
      <c r="F381" s="123"/>
      <c r="G381" s="123"/>
      <c r="H381" s="123"/>
      <c r="I381" s="169"/>
      <c r="J381" s="123"/>
      <c r="K381" s="123"/>
      <c r="L381" s="127"/>
      <c r="M381" s="127"/>
      <c r="N381" s="127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 spans="1:27" ht="13.5" customHeight="1">
      <c r="A382" s="123"/>
      <c r="B382" s="127"/>
      <c r="C382" s="123"/>
      <c r="D382" s="123"/>
      <c r="E382" s="123"/>
      <c r="F382" s="123"/>
      <c r="G382" s="123"/>
      <c r="H382" s="123"/>
      <c r="I382" s="169"/>
      <c r="J382" s="123"/>
      <c r="K382" s="123"/>
      <c r="L382" s="127"/>
      <c r="M382" s="127"/>
      <c r="N382" s="127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 spans="1:27" ht="13.5" customHeight="1">
      <c r="A383" s="123"/>
      <c r="B383" s="127"/>
      <c r="C383" s="123"/>
      <c r="D383" s="123"/>
      <c r="E383" s="123"/>
      <c r="F383" s="123"/>
      <c r="G383" s="123"/>
      <c r="H383" s="123"/>
      <c r="I383" s="169"/>
      <c r="J383" s="123"/>
      <c r="K383" s="123"/>
      <c r="L383" s="127"/>
      <c r="M383" s="127"/>
      <c r="N383" s="127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 spans="1:27" ht="13.5" customHeight="1">
      <c r="A384" s="123"/>
      <c r="B384" s="127"/>
      <c r="C384" s="123"/>
      <c r="D384" s="123"/>
      <c r="E384" s="123"/>
      <c r="F384" s="123"/>
      <c r="G384" s="123"/>
      <c r="H384" s="123"/>
      <c r="I384" s="169"/>
      <c r="J384" s="123"/>
      <c r="K384" s="123"/>
      <c r="L384" s="127"/>
      <c r="M384" s="127"/>
      <c r="N384" s="127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 spans="1:27" ht="13.5" customHeight="1">
      <c r="A385" s="123"/>
      <c r="B385" s="127"/>
      <c r="C385" s="123"/>
      <c r="D385" s="123"/>
      <c r="E385" s="123"/>
      <c r="F385" s="123"/>
      <c r="G385" s="123"/>
      <c r="H385" s="123"/>
      <c r="I385" s="169"/>
      <c r="J385" s="123"/>
      <c r="K385" s="123"/>
      <c r="L385" s="127"/>
      <c r="M385" s="127"/>
      <c r="N385" s="127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 spans="1:27" ht="13.5" customHeight="1">
      <c r="A386" s="123"/>
      <c r="B386" s="127"/>
      <c r="C386" s="123"/>
      <c r="D386" s="123"/>
      <c r="E386" s="123"/>
      <c r="F386" s="123"/>
      <c r="G386" s="123"/>
      <c r="H386" s="123"/>
      <c r="I386" s="169"/>
      <c r="J386" s="123"/>
      <c r="K386" s="123"/>
      <c r="L386" s="127"/>
      <c r="M386" s="127"/>
      <c r="N386" s="127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 spans="1:27" ht="13.5" customHeight="1">
      <c r="A387" s="123"/>
      <c r="B387" s="127"/>
      <c r="C387" s="123"/>
      <c r="D387" s="123"/>
      <c r="E387" s="123"/>
      <c r="F387" s="123"/>
      <c r="G387" s="123"/>
      <c r="H387" s="123"/>
      <c r="I387" s="169"/>
      <c r="J387" s="123"/>
      <c r="K387" s="123"/>
      <c r="L387" s="127"/>
      <c r="M387" s="127"/>
      <c r="N387" s="127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 spans="1:27" ht="13.5" customHeight="1">
      <c r="A388" s="123"/>
      <c r="B388" s="127"/>
      <c r="C388" s="123"/>
      <c r="D388" s="123"/>
      <c r="E388" s="123"/>
      <c r="F388" s="123"/>
      <c r="G388" s="123"/>
      <c r="H388" s="123"/>
      <c r="I388" s="169"/>
      <c r="J388" s="123"/>
      <c r="K388" s="123"/>
      <c r="L388" s="127"/>
      <c r="M388" s="127"/>
      <c r="N388" s="127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 spans="1:27" ht="13.5" customHeight="1">
      <c r="A389" s="123"/>
      <c r="B389" s="127"/>
      <c r="C389" s="123"/>
      <c r="D389" s="123"/>
      <c r="E389" s="123"/>
      <c r="F389" s="123"/>
      <c r="G389" s="123"/>
      <c r="H389" s="123"/>
      <c r="I389" s="169"/>
      <c r="J389" s="123"/>
      <c r="K389" s="123"/>
      <c r="L389" s="127"/>
      <c r="M389" s="127"/>
      <c r="N389" s="127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 spans="1:27" ht="13.5" customHeight="1">
      <c r="A390" s="123"/>
      <c r="B390" s="127"/>
      <c r="C390" s="123"/>
      <c r="D390" s="123"/>
      <c r="E390" s="123"/>
      <c r="F390" s="123"/>
      <c r="G390" s="123"/>
      <c r="H390" s="123"/>
      <c r="I390" s="169"/>
      <c r="J390" s="123"/>
      <c r="K390" s="123"/>
      <c r="L390" s="127"/>
      <c r="M390" s="127"/>
      <c r="N390" s="127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 spans="1:27" ht="13.5" customHeight="1">
      <c r="A391" s="123"/>
      <c r="B391" s="127"/>
      <c r="C391" s="123"/>
      <c r="D391" s="123"/>
      <c r="E391" s="123"/>
      <c r="F391" s="123"/>
      <c r="G391" s="123"/>
      <c r="H391" s="123"/>
      <c r="I391" s="169"/>
      <c r="J391" s="123"/>
      <c r="K391" s="123"/>
      <c r="L391" s="127"/>
      <c r="M391" s="127"/>
      <c r="N391" s="127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 spans="1:27" ht="13.5" customHeight="1">
      <c r="A392" s="123"/>
      <c r="B392" s="127"/>
      <c r="C392" s="123"/>
      <c r="D392" s="123"/>
      <c r="E392" s="123"/>
      <c r="F392" s="123"/>
      <c r="G392" s="123"/>
      <c r="H392" s="123"/>
      <c r="I392" s="169"/>
      <c r="J392" s="123"/>
      <c r="K392" s="123"/>
      <c r="L392" s="127"/>
      <c r="M392" s="127"/>
      <c r="N392" s="127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 spans="1:27" ht="13.5" customHeight="1">
      <c r="A393" s="123"/>
      <c r="B393" s="127"/>
      <c r="C393" s="123"/>
      <c r="D393" s="123"/>
      <c r="E393" s="123"/>
      <c r="F393" s="123"/>
      <c r="G393" s="123"/>
      <c r="H393" s="123"/>
      <c r="I393" s="169"/>
      <c r="J393" s="123"/>
      <c r="K393" s="123"/>
      <c r="L393" s="127"/>
      <c r="M393" s="127"/>
      <c r="N393" s="127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 spans="1:27" ht="13.5" customHeight="1">
      <c r="A394" s="123"/>
      <c r="B394" s="127"/>
      <c r="C394" s="123"/>
      <c r="D394" s="123"/>
      <c r="E394" s="123"/>
      <c r="F394" s="123"/>
      <c r="G394" s="123"/>
      <c r="H394" s="123"/>
      <c r="I394" s="169"/>
      <c r="J394" s="123"/>
      <c r="K394" s="123"/>
      <c r="L394" s="127"/>
      <c r="M394" s="127"/>
      <c r="N394" s="127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 spans="1:27" ht="13.5" customHeight="1">
      <c r="A395" s="123"/>
      <c r="B395" s="127"/>
      <c r="C395" s="123"/>
      <c r="D395" s="123"/>
      <c r="E395" s="123"/>
      <c r="F395" s="123"/>
      <c r="G395" s="123"/>
      <c r="H395" s="123"/>
      <c r="I395" s="169"/>
      <c r="J395" s="123"/>
      <c r="K395" s="123"/>
      <c r="L395" s="127"/>
      <c r="M395" s="127"/>
      <c r="N395" s="127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 spans="1:27" ht="13.5" customHeight="1">
      <c r="A396" s="123"/>
      <c r="B396" s="127"/>
      <c r="C396" s="123"/>
      <c r="D396" s="123"/>
      <c r="E396" s="123"/>
      <c r="F396" s="123"/>
      <c r="G396" s="123"/>
      <c r="H396" s="123"/>
      <c r="I396" s="169"/>
      <c r="J396" s="123"/>
      <c r="K396" s="123"/>
      <c r="L396" s="127"/>
      <c r="M396" s="127"/>
      <c r="N396" s="127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 spans="1:27" ht="13.5" customHeight="1">
      <c r="A397" s="123"/>
      <c r="B397" s="127"/>
      <c r="C397" s="123"/>
      <c r="D397" s="123"/>
      <c r="E397" s="123"/>
      <c r="F397" s="123"/>
      <c r="G397" s="123"/>
      <c r="H397" s="123"/>
      <c r="I397" s="169"/>
      <c r="J397" s="123"/>
      <c r="K397" s="123"/>
      <c r="L397" s="127"/>
      <c r="M397" s="127"/>
      <c r="N397" s="127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 spans="1:27" ht="13.5" customHeight="1">
      <c r="A398" s="123"/>
      <c r="B398" s="127"/>
      <c r="C398" s="123"/>
      <c r="D398" s="123"/>
      <c r="E398" s="123"/>
      <c r="F398" s="123"/>
      <c r="G398" s="123"/>
      <c r="H398" s="123"/>
      <c r="I398" s="169"/>
      <c r="J398" s="123"/>
      <c r="K398" s="123"/>
      <c r="L398" s="127"/>
      <c r="M398" s="127"/>
      <c r="N398" s="127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 spans="1:27" ht="13.5" customHeight="1">
      <c r="A399" s="123"/>
      <c r="B399" s="127"/>
      <c r="C399" s="123"/>
      <c r="D399" s="123"/>
      <c r="E399" s="123"/>
      <c r="F399" s="123"/>
      <c r="G399" s="123"/>
      <c r="H399" s="123"/>
      <c r="I399" s="169"/>
      <c r="J399" s="123"/>
      <c r="K399" s="123"/>
      <c r="L399" s="127"/>
      <c r="M399" s="127"/>
      <c r="N399" s="127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 spans="1:27" ht="13.5" customHeight="1">
      <c r="A400" s="123"/>
      <c r="B400" s="127"/>
      <c r="C400" s="123"/>
      <c r="D400" s="123"/>
      <c r="E400" s="123"/>
      <c r="F400" s="123"/>
      <c r="G400" s="123"/>
      <c r="H400" s="123"/>
      <c r="I400" s="169"/>
      <c r="J400" s="123"/>
      <c r="K400" s="123"/>
      <c r="L400" s="127"/>
      <c r="M400" s="127"/>
      <c r="N400" s="127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 spans="1:27" ht="13.5" customHeight="1">
      <c r="A401" s="123"/>
      <c r="B401" s="127"/>
      <c r="C401" s="123"/>
      <c r="D401" s="123"/>
      <c r="E401" s="123"/>
      <c r="F401" s="123"/>
      <c r="G401" s="123"/>
      <c r="H401" s="123"/>
      <c r="I401" s="169"/>
      <c r="J401" s="123"/>
      <c r="K401" s="123"/>
      <c r="L401" s="127"/>
      <c r="M401" s="127"/>
      <c r="N401" s="127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 spans="1:27" ht="13.5" customHeight="1">
      <c r="A402" s="123"/>
      <c r="B402" s="127"/>
      <c r="C402" s="123"/>
      <c r="D402" s="123"/>
      <c r="E402" s="123"/>
      <c r="F402" s="123"/>
      <c r="G402" s="123"/>
      <c r="H402" s="123"/>
      <c r="I402" s="169"/>
      <c r="J402" s="123"/>
      <c r="K402" s="123"/>
      <c r="L402" s="127"/>
      <c r="M402" s="127"/>
      <c r="N402" s="127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 spans="1:27" ht="13.5" customHeight="1">
      <c r="A403" s="123"/>
      <c r="B403" s="127"/>
      <c r="C403" s="123"/>
      <c r="D403" s="123"/>
      <c r="E403" s="123"/>
      <c r="F403" s="123"/>
      <c r="G403" s="123"/>
      <c r="H403" s="123"/>
      <c r="I403" s="169"/>
      <c r="J403" s="123"/>
      <c r="K403" s="123"/>
      <c r="L403" s="127"/>
      <c r="M403" s="127"/>
      <c r="N403" s="127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 spans="1:27" ht="13.5" customHeight="1">
      <c r="A404" s="123"/>
      <c r="B404" s="127"/>
      <c r="C404" s="123"/>
      <c r="D404" s="123"/>
      <c r="E404" s="123"/>
      <c r="F404" s="123"/>
      <c r="G404" s="123"/>
      <c r="H404" s="123"/>
      <c r="I404" s="169"/>
      <c r="J404" s="123"/>
      <c r="K404" s="123"/>
      <c r="L404" s="127"/>
      <c r="M404" s="127"/>
      <c r="N404" s="127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 spans="1:27" ht="13.5" customHeight="1">
      <c r="A405" s="123"/>
      <c r="B405" s="127"/>
      <c r="C405" s="123"/>
      <c r="D405" s="123"/>
      <c r="E405" s="123"/>
      <c r="F405" s="123"/>
      <c r="G405" s="123"/>
      <c r="H405" s="123"/>
      <c r="I405" s="169"/>
      <c r="J405" s="123"/>
      <c r="K405" s="123"/>
      <c r="L405" s="127"/>
      <c r="M405" s="127"/>
      <c r="N405" s="127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 spans="1:27" ht="13.5" customHeight="1">
      <c r="A406" s="123"/>
      <c r="B406" s="127"/>
      <c r="C406" s="123"/>
      <c r="D406" s="123"/>
      <c r="E406" s="123"/>
      <c r="F406" s="123"/>
      <c r="G406" s="123"/>
      <c r="H406" s="123"/>
      <c r="I406" s="169"/>
      <c r="J406" s="123"/>
      <c r="K406" s="123"/>
      <c r="L406" s="127"/>
      <c r="M406" s="127"/>
      <c r="N406" s="127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 spans="1:27" ht="13.5" customHeight="1">
      <c r="A407" s="123"/>
      <c r="B407" s="127"/>
      <c r="C407" s="123"/>
      <c r="D407" s="123"/>
      <c r="E407" s="123"/>
      <c r="F407" s="123"/>
      <c r="G407" s="123"/>
      <c r="H407" s="123"/>
      <c r="I407" s="169"/>
      <c r="J407" s="123"/>
      <c r="K407" s="123"/>
      <c r="L407" s="127"/>
      <c r="M407" s="127"/>
      <c r="N407" s="127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 spans="1:27" ht="13.5" customHeight="1">
      <c r="A408" s="123"/>
      <c r="B408" s="127"/>
      <c r="C408" s="123"/>
      <c r="D408" s="123"/>
      <c r="E408" s="123"/>
      <c r="F408" s="123"/>
      <c r="G408" s="123"/>
      <c r="H408" s="123"/>
      <c r="I408" s="169"/>
      <c r="J408" s="123"/>
      <c r="K408" s="123"/>
      <c r="L408" s="127"/>
      <c r="M408" s="127"/>
      <c r="N408" s="127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 spans="1:27" ht="13.5" customHeight="1">
      <c r="A409" s="123"/>
      <c r="B409" s="127"/>
      <c r="C409" s="123"/>
      <c r="D409" s="123"/>
      <c r="E409" s="123"/>
      <c r="F409" s="123"/>
      <c r="G409" s="123"/>
      <c r="H409" s="123"/>
      <c r="I409" s="169"/>
      <c r="J409" s="123"/>
      <c r="K409" s="123"/>
      <c r="L409" s="127"/>
      <c r="M409" s="127"/>
      <c r="N409" s="127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 spans="1:27" ht="13.5" customHeight="1">
      <c r="A410" s="123"/>
      <c r="B410" s="127"/>
      <c r="C410" s="123"/>
      <c r="D410" s="123"/>
      <c r="E410" s="123"/>
      <c r="F410" s="123"/>
      <c r="G410" s="123"/>
      <c r="H410" s="123"/>
      <c r="I410" s="169"/>
      <c r="J410" s="123"/>
      <c r="K410" s="123"/>
      <c r="L410" s="127"/>
      <c r="M410" s="127"/>
      <c r="N410" s="127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 spans="1:27" ht="13.5" customHeight="1">
      <c r="A411" s="123"/>
      <c r="B411" s="127"/>
      <c r="C411" s="123"/>
      <c r="D411" s="123"/>
      <c r="E411" s="123"/>
      <c r="F411" s="123"/>
      <c r="G411" s="123"/>
      <c r="H411" s="123"/>
      <c r="I411" s="169"/>
      <c r="J411" s="123"/>
      <c r="K411" s="123"/>
      <c r="L411" s="127"/>
      <c r="M411" s="127"/>
      <c r="N411" s="127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 spans="1:27" ht="13.5" customHeight="1">
      <c r="A412" s="123"/>
      <c r="B412" s="127"/>
      <c r="C412" s="123"/>
      <c r="D412" s="123"/>
      <c r="E412" s="123"/>
      <c r="F412" s="123"/>
      <c r="G412" s="123"/>
      <c r="H412" s="123"/>
      <c r="I412" s="169"/>
      <c r="J412" s="123"/>
      <c r="K412" s="123"/>
      <c r="L412" s="127"/>
      <c r="M412" s="127"/>
      <c r="N412" s="127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 spans="1:27" ht="13.5" customHeight="1">
      <c r="A413" s="123"/>
      <c r="B413" s="127"/>
      <c r="C413" s="123"/>
      <c r="D413" s="123"/>
      <c r="E413" s="123"/>
      <c r="F413" s="123"/>
      <c r="G413" s="123"/>
      <c r="H413" s="123"/>
      <c r="I413" s="169"/>
      <c r="J413" s="123"/>
      <c r="K413" s="123"/>
      <c r="L413" s="127"/>
      <c r="M413" s="127"/>
      <c r="N413" s="127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 spans="1:27" ht="13.5" customHeight="1">
      <c r="A414" s="123"/>
      <c r="B414" s="127"/>
      <c r="C414" s="123"/>
      <c r="D414" s="123"/>
      <c r="E414" s="123"/>
      <c r="F414" s="123"/>
      <c r="G414" s="123"/>
      <c r="H414" s="123"/>
      <c r="I414" s="169"/>
      <c r="J414" s="123"/>
      <c r="K414" s="123"/>
      <c r="L414" s="127"/>
      <c r="M414" s="127"/>
      <c r="N414" s="127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 spans="1:27" ht="13.5" customHeight="1">
      <c r="A415" s="123"/>
      <c r="B415" s="127"/>
      <c r="C415" s="123"/>
      <c r="D415" s="123"/>
      <c r="E415" s="123"/>
      <c r="F415" s="123"/>
      <c r="G415" s="123"/>
      <c r="H415" s="123"/>
      <c r="I415" s="169"/>
      <c r="J415" s="123"/>
      <c r="K415" s="123"/>
      <c r="L415" s="127"/>
      <c r="M415" s="127"/>
      <c r="N415" s="127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 spans="1:27" ht="13.5" customHeight="1">
      <c r="A416" s="123"/>
      <c r="B416" s="127"/>
      <c r="C416" s="123"/>
      <c r="D416" s="123"/>
      <c r="E416" s="123"/>
      <c r="F416" s="123"/>
      <c r="G416" s="123"/>
      <c r="H416" s="123"/>
      <c r="I416" s="169"/>
      <c r="J416" s="123"/>
      <c r="K416" s="123"/>
      <c r="L416" s="127"/>
      <c r="M416" s="127"/>
      <c r="N416" s="127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 spans="1:27" ht="13.5" customHeight="1">
      <c r="A417" s="123"/>
      <c r="B417" s="127"/>
      <c r="C417" s="123"/>
      <c r="D417" s="123"/>
      <c r="E417" s="123"/>
      <c r="F417" s="123"/>
      <c r="G417" s="123"/>
      <c r="H417" s="123"/>
      <c r="I417" s="169"/>
      <c r="J417" s="123"/>
      <c r="K417" s="123"/>
      <c r="L417" s="127"/>
      <c r="M417" s="127"/>
      <c r="N417" s="127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 spans="1:27" ht="13.5" customHeight="1">
      <c r="A418" s="123"/>
      <c r="B418" s="127"/>
      <c r="C418" s="123"/>
      <c r="D418" s="123"/>
      <c r="E418" s="123"/>
      <c r="F418" s="123"/>
      <c r="G418" s="123"/>
      <c r="H418" s="123"/>
      <c r="I418" s="169"/>
      <c r="J418" s="123"/>
      <c r="K418" s="123"/>
      <c r="L418" s="127"/>
      <c r="M418" s="127"/>
      <c r="N418" s="127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 spans="1:27" ht="13.5" customHeight="1">
      <c r="A419" s="123"/>
      <c r="B419" s="127"/>
      <c r="C419" s="123"/>
      <c r="D419" s="123"/>
      <c r="E419" s="123"/>
      <c r="F419" s="123"/>
      <c r="G419" s="123"/>
      <c r="H419" s="123"/>
      <c r="I419" s="169"/>
      <c r="J419" s="123"/>
      <c r="K419" s="123"/>
      <c r="L419" s="127"/>
      <c r="M419" s="127"/>
      <c r="N419" s="127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 spans="1:27" ht="13.5" customHeight="1">
      <c r="A420" s="123"/>
      <c r="B420" s="127"/>
      <c r="C420" s="123"/>
      <c r="D420" s="123"/>
      <c r="E420" s="123"/>
      <c r="F420" s="123"/>
      <c r="G420" s="123"/>
      <c r="H420" s="123"/>
      <c r="I420" s="169"/>
      <c r="J420" s="123"/>
      <c r="K420" s="123"/>
      <c r="L420" s="127"/>
      <c r="M420" s="127"/>
      <c r="N420" s="127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 spans="1:27" ht="13.5" customHeight="1">
      <c r="A421" s="123"/>
      <c r="B421" s="127"/>
      <c r="C421" s="123"/>
      <c r="D421" s="123"/>
      <c r="E421" s="123"/>
      <c r="F421" s="123"/>
      <c r="G421" s="123"/>
      <c r="H421" s="123"/>
      <c r="I421" s="169"/>
      <c r="J421" s="123"/>
      <c r="K421" s="123"/>
      <c r="L421" s="127"/>
      <c r="M421" s="127"/>
      <c r="N421" s="127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 spans="1:27" ht="13.5" customHeight="1">
      <c r="A422" s="123"/>
      <c r="B422" s="127"/>
      <c r="C422" s="123"/>
      <c r="D422" s="123"/>
      <c r="E422" s="123"/>
      <c r="F422" s="123"/>
      <c r="G422" s="123"/>
      <c r="H422" s="123"/>
      <c r="I422" s="169"/>
      <c r="J422" s="123"/>
      <c r="K422" s="123"/>
      <c r="L422" s="127"/>
      <c r="M422" s="127"/>
      <c r="N422" s="127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 spans="1:27" ht="13.5" customHeight="1">
      <c r="A423" s="123"/>
      <c r="B423" s="127"/>
      <c r="C423" s="123"/>
      <c r="D423" s="123"/>
      <c r="E423" s="123"/>
      <c r="F423" s="123"/>
      <c r="G423" s="123"/>
      <c r="H423" s="123"/>
      <c r="I423" s="169"/>
      <c r="J423" s="123"/>
      <c r="K423" s="123"/>
      <c r="L423" s="127"/>
      <c r="M423" s="127"/>
      <c r="N423" s="127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 spans="1:27" ht="13.5" customHeight="1">
      <c r="A424" s="123"/>
      <c r="B424" s="127"/>
      <c r="C424" s="123"/>
      <c r="D424" s="123"/>
      <c r="E424" s="123"/>
      <c r="F424" s="123"/>
      <c r="G424" s="123"/>
      <c r="H424" s="123"/>
      <c r="I424" s="169"/>
      <c r="J424" s="123"/>
      <c r="K424" s="123"/>
      <c r="L424" s="127"/>
      <c r="M424" s="127"/>
      <c r="N424" s="127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 spans="1:27" ht="13.5" customHeight="1">
      <c r="A425" s="123"/>
      <c r="B425" s="127"/>
      <c r="C425" s="123"/>
      <c r="D425" s="123"/>
      <c r="E425" s="123"/>
      <c r="F425" s="123"/>
      <c r="G425" s="123"/>
      <c r="H425" s="123"/>
      <c r="I425" s="169"/>
      <c r="J425" s="123"/>
      <c r="K425" s="123"/>
      <c r="L425" s="127"/>
      <c r="M425" s="127"/>
      <c r="N425" s="127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 spans="1:27" ht="13.5" customHeight="1">
      <c r="A426" s="123"/>
      <c r="B426" s="127"/>
      <c r="C426" s="123"/>
      <c r="D426" s="123"/>
      <c r="E426" s="123"/>
      <c r="F426" s="123"/>
      <c r="G426" s="123"/>
      <c r="H426" s="123"/>
      <c r="I426" s="169"/>
      <c r="J426" s="123"/>
      <c r="K426" s="123"/>
      <c r="L426" s="127"/>
      <c r="M426" s="127"/>
      <c r="N426" s="127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 spans="1:27" ht="13.5" customHeight="1">
      <c r="A427" s="123"/>
      <c r="B427" s="127"/>
      <c r="C427" s="123"/>
      <c r="D427" s="123"/>
      <c r="E427" s="123"/>
      <c r="F427" s="123"/>
      <c r="G427" s="123"/>
      <c r="H427" s="123"/>
      <c r="I427" s="169"/>
      <c r="J427" s="123"/>
      <c r="K427" s="123"/>
      <c r="L427" s="127"/>
      <c r="M427" s="127"/>
      <c r="N427" s="127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 spans="1:27" ht="13.5" customHeight="1">
      <c r="A428" s="123"/>
      <c r="B428" s="127"/>
      <c r="C428" s="123"/>
      <c r="D428" s="123"/>
      <c r="E428" s="123"/>
      <c r="F428" s="123"/>
      <c r="G428" s="123"/>
      <c r="H428" s="123"/>
      <c r="I428" s="169"/>
      <c r="J428" s="123"/>
      <c r="K428" s="123"/>
      <c r="L428" s="127"/>
      <c r="M428" s="127"/>
      <c r="N428" s="127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 spans="1:27" ht="13.5" customHeight="1">
      <c r="A429" s="123"/>
      <c r="B429" s="127"/>
      <c r="C429" s="123"/>
      <c r="D429" s="123"/>
      <c r="E429" s="123"/>
      <c r="F429" s="123"/>
      <c r="G429" s="123"/>
      <c r="H429" s="123"/>
      <c r="I429" s="169"/>
      <c r="J429" s="123"/>
      <c r="K429" s="123"/>
      <c r="L429" s="127"/>
      <c r="M429" s="127"/>
      <c r="N429" s="127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 spans="1:27" ht="13.5" customHeight="1">
      <c r="A430" s="123"/>
      <c r="B430" s="127"/>
      <c r="C430" s="123"/>
      <c r="D430" s="123"/>
      <c r="E430" s="123"/>
      <c r="F430" s="123"/>
      <c r="G430" s="123"/>
      <c r="H430" s="123"/>
      <c r="I430" s="169"/>
      <c r="J430" s="123"/>
      <c r="K430" s="123"/>
      <c r="L430" s="127"/>
      <c r="M430" s="127"/>
      <c r="N430" s="127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 spans="1:27" ht="13.5" customHeight="1">
      <c r="A431" s="123"/>
      <c r="B431" s="127"/>
      <c r="C431" s="123"/>
      <c r="D431" s="123"/>
      <c r="E431" s="123"/>
      <c r="F431" s="123"/>
      <c r="G431" s="123"/>
      <c r="H431" s="123"/>
      <c r="I431" s="169"/>
      <c r="J431" s="123"/>
      <c r="K431" s="123"/>
      <c r="L431" s="127"/>
      <c r="M431" s="127"/>
      <c r="N431" s="127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 spans="1:27" ht="13.5" customHeight="1">
      <c r="A432" s="123"/>
      <c r="B432" s="127"/>
      <c r="C432" s="123"/>
      <c r="D432" s="123"/>
      <c r="E432" s="123"/>
      <c r="F432" s="123"/>
      <c r="G432" s="123"/>
      <c r="H432" s="123"/>
      <c r="I432" s="169"/>
      <c r="J432" s="123"/>
      <c r="K432" s="123"/>
      <c r="L432" s="127"/>
      <c r="M432" s="127"/>
      <c r="N432" s="127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 spans="1:27" ht="13.5" customHeight="1">
      <c r="A433" s="123"/>
      <c r="B433" s="127"/>
      <c r="C433" s="123"/>
      <c r="D433" s="123"/>
      <c r="E433" s="123"/>
      <c r="F433" s="123"/>
      <c r="G433" s="123"/>
      <c r="H433" s="123"/>
      <c r="I433" s="169"/>
      <c r="J433" s="123"/>
      <c r="K433" s="123"/>
      <c r="L433" s="127"/>
      <c r="M433" s="127"/>
      <c r="N433" s="127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 spans="1:27" ht="13.5" customHeight="1">
      <c r="A434" s="123"/>
      <c r="B434" s="127"/>
      <c r="C434" s="123"/>
      <c r="D434" s="123"/>
      <c r="E434" s="123"/>
      <c r="F434" s="123"/>
      <c r="G434" s="123"/>
      <c r="H434" s="123"/>
      <c r="I434" s="169"/>
      <c r="J434" s="123"/>
      <c r="K434" s="123"/>
      <c r="L434" s="127"/>
      <c r="M434" s="127"/>
      <c r="N434" s="127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 spans="1:27" ht="13.5" customHeight="1">
      <c r="A435" s="123"/>
      <c r="B435" s="127"/>
      <c r="C435" s="123"/>
      <c r="D435" s="123"/>
      <c r="E435" s="123"/>
      <c r="F435" s="123"/>
      <c r="G435" s="123"/>
      <c r="H435" s="123"/>
      <c r="I435" s="169"/>
      <c r="J435" s="123"/>
      <c r="K435" s="123"/>
      <c r="L435" s="127"/>
      <c r="M435" s="127"/>
      <c r="N435" s="127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 spans="1:27" ht="13.5" customHeight="1">
      <c r="A436" s="123"/>
      <c r="B436" s="127"/>
      <c r="C436" s="123"/>
      <c r="D436" s="123"/>
      <c r="E436" s="123"/>
      <c r="F436" s="123"/>
      <c r="G436" s="123"/>
      <c r="H436" s="123"/>
      <c r="I436" s="169"/>
      <c r="J436" s="123"/>
      <c r="K436" s="123"/>
      <c r="L436" s="127"/>
      <c r="M436" s="127"/>
      <c r="N436" s="127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 spans="1:27" ht="13.5" customHeight="1">
      <c r="A437" s="123"/>
      <c r="B437" s="127"/>
      <c r="C437" s="123"/>
      <c r="D437" s="123"/>
      <c r="E437" s="123"/>
      <c r="F437" s="123"/>
      <c r="G437" s="123"/>
      <c r="H437" s="123"/>
      <c r="I437" s="169"/>
      <c r="J437" s="123"/>
      <c r="K437" s="123"/>
      <c r="L437" s="127"/>
      <c r="M437" s="127"/>
      <c r="N437" s="127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 spans="1:27" ht="13.5" customHeight="1">
      <c r="A438" s="123"/>
      <c r="B438" s="127"/>
      <c r="C438" s="123"/>
      <c r="D438" s="123"/>
      <c r="E438" s="123"/>
      <c r="F438" s="123"/>
      <c r="G438" s="123"/>
      <c r="H438" s="123"/>
      <c r="I438" s="169"/>
      <c r="J438" s="123"/>
      <c r="K438" s="123"/>
      <c r="L438" s="127"/>
      <c r="M438" s="127"/>
      <c r="N438" s="127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 spans="1:27" ht="13.5" customHeight="1">
      <c r="A439" s="123"/>
      <c r="B439" s="127"/>
      <c r="C439" s="123"/>
      <c r="D439" s="123"/>
      <c r="E439" s="123"/>
      <c r="F439" s="123"/>
      <c r="G439" s="123"/>
      <c r="H439" s="123"/>
      <c r="I439" s="169"/>
      <c r="J439" s="123"/>
      <c r="K439" s="123"/>
      <c r="L439" s="127"/>
      <c r="M439" s="127"/>
      <c r="N439" s="127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 spans="1:27" ht="13.5" customHeight="1">
      <c r="A440" s="123"/>
      <c r="B440" s="127"/>
      <c r="C440" s="123"/>
      <c r="D440" s="123"/>
      <c r="E440" s="123"/>
      <c r="F440" s="123"/>
      <c r="G440" s="123"/>
      <c r="H440" s="123"/>
      <c r="I440" s="169"/>
      <c r="J440" s="123"/>
      <c r="K440" s="123"/>
      <c r="L440" s="127"/>
      <c r="M440" s="127"/>
      <c r="N440" s="127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 spans="1:27" ht="13.5" customHeight="1">
      <c r="A441" s="123"/>
      <c r="B441" s="127"/>
      <c r="C441" s="123"/>
      <c r="D441" s="123"/>
      <c r="E441" s="123"/>
      <c r="F441" s="123"/>
      <c r="G441" s="123"/>
      <c r="H441" s="123"/>
      <c r="I441" s="169"/>
      <c r="J441" s="123"/>
      <c r="K441" s="123"/>
      <c r="L441" s="127"/>
      <c r="M441" s="127"/>
      <c r="N441" s="127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 spans="1:27" ht="13.5" customHeight="1">
      <c r="A442" s="123"/>
      <c r="B442" s="127"/>
      <c r="C442" s="123"/>
      <c r="D442" s="123"/>
      <c r="E442" s="123"/>
      <c r="F442" s="123"/>
      <c r="G442" s="123"/>
      <c r="H442" s="123"/>
      <c r="I442" s="169"/>
      <c r="J442" s="123"/>
      <c r="K442" s="123"/>
      <c r="L442" s="127"/>
      <c r="M442" s="127"/>
      <c r="N442" s="127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 spans="1:27" ht="13.5" customHeight="1">
      <c r="A443" s="123"/>
      <c r="B443" s="127"/>
      <c r="C443" s="123"/>
      <c r="D443" s="123"/>
      <c r="E443" s="123"/>
      <c r="F443" s="123"/>
      <c r="G443" s="123"/>
      <c r="H443" s="123"/>
      <c r="I443" s="169"/>
      <c r="J443" s="123"/>
      <c r="K443" s="123"/>
      <c r="L443" s="127"/>
      <c r="M443" s="127"/>
      <c r="N443" s="127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 spans="1:27" ht="13.5" customHeight="1">
      <c r="A444" s="123"/>
      <c r="B444" s="127"/>
      <c r="C444" s="123"/>
      <c r="D444" s="123"/>
      <c r="E444" s="123"/>
      <c r="F444" s="123"/>
      <c r="G444" s="123"/>
      <c r="H444" s="123"/>
      <c r="I444" s="169"/>
      <c r="J444" s="123"/>
      <c r="K444" s="123"/>
      <c r="L444" s="127"/>
      <c r="M444" s="127"/>
      <c r="N444" s="127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 spans="1:27" ht="13.5" customHeight="1">
      <c r="A445" s="123"/>
      <c r="B445" s="127"/>
      <c r="C445" s="123"/>
      <c r="D445" s="123"/>
      <c r="E445" s="123"/>
      <c r="F445" s="123"/>
      <c r="G445" s="123"/>
      <c r="H445" s="123"/>
      <c r="I445" s="169"/>
      <c r="J445" s="123"/>
      <c r="K445" s="123"/>
      <c r="L445" s="127"/>
      <c r="M445" s="127"/>
      <c r="N445" s="127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 spans="1:27" ht="13.5" customHeight="1">
      <c r="A446" s="123"/>
      <c r="B446" s="127"/>
      <c r="C446" s="123"/>
      <c r="D446" s="123"/>
      <c r="E446" s="123"/>
      <c r="F446" s="123"/>
      <c r="G446" s="123"/>
      <c r="H446" s="123"/>
      <c r="I446" s="169"/>
      <c r="J446" s="123"/>
      <c r="K446" s="123"/>
      <c r="L446" s="127"/>
      <c r="M446" s="127"/>
      <c r="N446" s="127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 spans="1:27" ht="13.5" customHeight="1">
      <c r="A447" s="123"/>
      <c r="B447" s="127"/>
      <c r="C447" s="123"/>
      <c r="D447" s="123"/>
      <c r="E447" s="123"/>
      <c r="F447" s="123"/>
      <c r="G447" s="123"/>
      <c r="H447" s="123"/>
      <c r="I447" s="169"/>
      <c r="J447" s="123"/>
      <c r="K447" s="123"/>
      <c r="L447" s="127"/>
      <c r="M447" s="127"/>
      <c r="N447" s="127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 spans="1:27" ht="13.5" customHeight="1">
      <c r="A448" s="123"/>
      <c r="B448" s="127"/>
      <c r="C448" s="123"/>
      <c r="D448" s="123"/>
      <c r="E448" s="123"/>
      <c r="F448" s="123"/>
      <c r="G448" s="123"/>
      <c r="H448" s="123"/>
      <c r="I448" s="169"/>
      <c r="J448" s="123"/>
      <c r="K448" s="123"/>
      <c r="L448" s="127"/>
      <c r="M448" s="127"/>
      <c r="N448" s="127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 spans="1:27" ht="13.5" customHeight="1">
      <c r="A449" s="123"/>
      <c r="B449" s="127"/>
      <c r="C449" s="123"/>
      <c r="D449" s="123"/>
      <c r="E449" s="123"/>
      <c r="F449" s="123"/>
      <c r="G449" s="123"/>
      <c r="H449" s="123"/>
      <c r="I449" s="169"/>
      <c r="J449" s="123"/>
      <c r="K449" s="123"/>
      <c r="L449" s="127"/>
      <c r="M449" s="127"/>
      <c r="N449" s="127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 spans="1:27" ht="13.5" customHeight="1">
      <c r="A450" s="123"/>
      <c r="B450" s="127"/>
      <c r="C450" s="123"/>
      <c r="D450" s="123"/>
      <c r="E450" s="123"/>
      <c r="F450" s="123"/>
      <c r="G450" s="123"/>
      <c r="H450" s="123"/>
      <c r="I450" s="169"/>
      <c r="J450" s="123"/>
      <c r="K450" s="123"/>
      <c r="L450" s="127"/>
      <c r="M450" s="127"/>
      <c r="N450" s="127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 spans="1:27" ht="13.5" customHeight="1">
      <c r="A451" s="123"/>
      <c r="B451" s="127"/>
      <c r="C451" s="123"/>
      <c r="D451" s="123"/>
      <c r="E451" s="123"/>
      <c r="F451" s="123"/>
      <c r="G451" s="123"/>
      <c r="H451" s="123"/>
      <c r="I451" s="169"/>
      <c r="J451" s="123"/>
      <c r="K451" s="123"/>
      <c r="L451" s="127"/>
      <c r="M451" s="127"/>
      <c r="N451" s="127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 spans="1:27" ht="13.5" customHeight="1">
      <c r="A452" s="123"/>
      <c r="B452" s="127"/>
      <c r="C452" s="123"/>
      <c r="D452" s="123"/>
      <c r="E452" s="123"/>
      <c r="F452" s="123"/>
      <c r="G452" s="123"/>
      <c r="H452" s="123"/>
      <c r="I452" s="169"/>
      <c r="J452" s="123"/>
      <c r="K452" s="123"/>
      <c r="L452" s="127"/>
      <c r="M452" s="127"/>
      <c r="N452" s="127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 spans="1:27" ht="13.5" customHeight="1">
      <c r="A453" s="123"/>
      <c r="B453" s="127"/>
      <c r="C453" s="123"/>
      <c r="D453" s="123"/>
      <c r="E453" s="123"/>
      <c r="F453" s="123"/>
      <c r="G453" s="123"/>
      <c r="H453" s="123"/>
      <c r="I453" s="169"/>
      <c r="J453" s="123"/>
      <c r="K453" s="123"/>
      <c r="L453" s="127"/>
      <c r="M453" s="127"/>
      <c r="N453" s="127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 spans="1:27" ht="13.5" customHeight="1">
      <c r="A454" s="123"/>
      <c r="B454" s="127"/>
      <c r="C454" s="123"/>
      <c r="D454" s="123"/>
      <c r="E454" s="123"/>
      <c r="F454" s="123"/>
      <c r="G454" s="123"/>
      <c r="H454" s="123"/>
      <c r="I454" s="169"/>
      <c r="J454" s="123"/>
      <c r="K454" s="123"/>
      <c r="L454" s="127"/>
      <c r="M454" s="127"/>
      <c r="N454" s="127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 spans="1:27" ht="13.5" customHeight="1">
      <c r="A455" s="123"/>
      <c r="B455" s="127"/>
      <c r="C455" s="123"/>
      <c r="D455" s="123"/>
      <c r="E455" s="123"/>
      <c r="F455" s="123"/>
      <c r="G455" s="123"/>
      <c r="H455" s="123"/>
      <c r="I455" s="169"/>
      <c r="J455" s="123"/>
      <c r="K455" s="123"/>
      <c r="L455" s="127"/>
      <c r="M455" s="127"/>
      <c r="N455" s="127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 spans="1:27" ht="13.5" customHeight="1">
      <c r="A456" s="123"/>
      <c r="B456" s="127"/>
      <c r="C456" s="123"/>
      <c r="D456" s="123"/>
      <c r="E456" s="123"/>
      <c r="F456" s="123"/>
      <c r="G456" s="123"/>
      <c r="H456" s="123"/>
      <c r="I456" s="169"/>
      <c r="J456" s="123"/>
      <c r="K456" s="123"/>
      <c r="L456" s="127"/>
      <c r="M456" s="127"/>
      <c r="N456" s="127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 spans="1:27" ht="13.5" customHeight="1">
      <c r="A457" s="123"/>
      <c r="B457" s="127"/>
      <c r="C457" s="123"/>
      <c r="D457" s="123"/>
      <c r="E457" s="123"/>
      <c r="F457" s="123"/>
      <c r="G457" s="123"/>
      <c r="H457" s="123"/>
      <c r="I457" s="169"/>
      <c r="J457" s="123"/>
      <c r="K457" s="123"/>
      <c r="L457" s="127"/>
      <c r="M457" s="127"/>
      <c r="N457" s="127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 spans="1:27" ht="13.5" customHeight="1">
      <c r="A458" s="123"/>
      <c r="B458" s="127"/>
      <c r="C458" s="123"/>
      <c r="D458" s="123"/>
      <c r="E458" s="123"/>
      <c r="F458" s="123"/>
      <c r="G458" s="123"/>
      <c r="H458" s="123"/>
      <c r="I458" s="169"/>
      <c r="J458" s="123"/>
      <c r="K458" s="123"/>
      <c r="L458" s="127"/>
      <c r="M458" s="127"/>
      <c r="N458" s="127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 spans="1:27" ht="13.5" customHeight="1">
      <c r="A459" s="123"/>
      <c r="B459" s="127"/>
      <c r="C459" s="123"/>
      <c r="D459" s="123"/>
      <c r="E459" s="123"/>
      <c r="F459" s="123"/>
      <c r="G459" s="123"/>
      <c r="H459" s="123"/>
      <c r="I459" s="169"/>
      <c r="J459" s="123"/>
      <c r="K459" s="123"/>
      <c r="L459" s="127"/>
      <c r="M459" s="127"/>
      <c r="N459" s="127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 spans="1:27" ht="13.5" customHeight="1">
      <c r="A460" s="123"/>
      <c r="B460" s="127"/>
      <c r="C460" s="123"/>
      <c r="D460" s="123"/>
      <c r="E460" s="123"/>
      <c r="F460" s="123"/>
      <c r="G460" s="123"/>
      <c r="H460" s="123"/>
      <c r="I460" s="169"/>
      <c r="J460" s="123"/>
      <c r="K460" s="123"/>
      <c r="L460" s="127"/>
      <c r="M460" s="127"/>
      <c r="N460" s="127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 spans="1:27" ht="13.5" customHeight="1">
      <c r="A461" s="123"/>
      <c r="B461" s="127"/>
      <c r="C461" s="123"/>
      <c r="D461" s="123"/>
      <c r="E461" s="123"/>
      <c r="F461" s="123"/>
      <c r="G461" s="123"/>
      <c r="H461" s="123"/>
      <c r="I461" s="169"/>
      <c r="J461" s="123"/>
      <c r="K461" s="123"/>
      <c r="L461" s="127"/>
      <c r="M461" s="127"/>
      <c r="N461" s="127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 spans="1:27" ht="13.5" customHeight="1">
      <c r="A462" s="123"/>
      <c r="B462" s="127"/>
      <c r="C462" s="123"/>
      <c r="D462" s="123"/>
      <c r="E462" s="123"/>
      <c r="F462" s="123"/>
      <c r="G462" s="123"/>
      <c r="H462" s="123"/>
      <c r="I462" s="169"/>
      <c r="J462" s="123"/>
      <c r="K462" s="123"/>
      <c r="L462" s="127"/>
      <c r="M462" s="127"/>
      <c r="N462" s="127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 spans="1:27" ht="13.5" customHeight="1">
      <c r="A463" s="123"/>
      <c r="B463" s="127"/>
      <c r="C463" s="123"/>
      <c r="D463" s="123"/>
      <c r="E463" s="123"/>
      <c r="F463" s="123"/>
      <c r="G463" s="123"/>
      <c r="H463" s="123"/>
      <c r="I463" s="169"/>
      <c r="J463" s="123"/>
      <c r="K463" s="123"/>
      <c r="L463" s="127"/>
      <c r="M463" s="127"/>
      <c r="N463" s="127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 spans="1:27" ht="13.5" customHeight="1">
      <c r="A464" s="123"/>
      <c r="B464" s="127"/>
      <c r="C464" s="123"/>
      <c r="D464" s="123"/>
      <c r="E464" s="123"/>
      <c r="F464" s="123"/>
      <c r="G464" s="123"/>
      <c r="H464" s="123"/>
      <c r="I464" s="169"/>
      <c r="J464" s="123"/>
      <c r="K464" s="123"/>
      <c r="L464" s="127"/>
      <c r="M464" s="127"/>
      <c r="N464" s="127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 spans="1:27" ht="13.5" customHeight="1">
      <c r="A465" s="123"/>
      <c r="B465" s="127"/>
      <c r="C465" s="123"/>
      <c r="D465" s="123"/>
      <c r="E465" s="123"/>
      <c r="F465" s="123"/>
      <c r="G465" s="123"/>
      <c r="H465" s="123"/>
      <c r="I465" s="169"/>
      <c r="J465" s="123"/>
      <c r="K465" s="123"/>
      <c r="L465" s="127"/>
      <c r="M465" s="127"/>
      <c r="N465" s="127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 spans="1:27" ht="13.5" customHeight="1">
      <c r="A466" s="123"/>
      <c r="B466" s="127"/>
      <c r="C466" s="123"/>
      <c r="D466" s="123"/>
      <c r="E466" s="123"/>
      <c r="F466" s="123"/>
      <c r="G466" s="123"/>
      <c r="H466" s="123"/>
      <c r="I466" s="169"/>
      <c r="J466" s="123"/>
      <c r="K466" s="123"/>
      <c r="L466" s="127"/>
      <c r="M466" s="127"/>
      <c r="N466" s="127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 spans="1:27" ht="13.5" customHeight="1">
      <c r="A467" s="123"/>
      <c r="B467" s="127"/>
      <c r="C467" s="123"/>
      <c r="D467" s="123"/>
      <c r="E467" s="123"/>
      <c r="F467" s="123"/>
      <c r="G467" s="123"/>
      <c r="H467" s="123"/>
      <c r="I467" s="169"/>
      <c r="J467" s="123"/>
      <c r="K467" s="123"/>
      <c r="L467" s="127"/>
      <c r="M467" s="127"/>
      <c r="N467" s="127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 spans="1:27" ht="13.5" customHeight="1">
      <c r="A468" s="123"/>
      <c r="B468" s="127"/>
      <c r="C468" s="123"/>
      <c r="D468" s="123"/>
      <c r="E468" s="123"/>
      <c r="F468" s="123"/>
      <c r="G468" s="123"/>
      <c r="H468" s="123"/>
      <c r="I468" s="169"/>
      <c r="J468" s="123"/>
      <c r="K468" s="123"/>
      <c r="L468" s="127"/>
      <c r="M468" s="127"/>
      <c r="N468" s="127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 spans="1:27" ht="13.5" customHeight="1">
      <c r="A469" s="123"/>
      <c r="B469" s="127"/>
      <c r="C469" s="123"/>
      <c r="D469" s="123"/>
      <c r="E469" s="123"/>
      <c r="F469" s="123"/>
      <c r="G469" s="123"/>
      <c r="H469" s="123"/>
      <c r="I469" s="169"/>
      <c r="J469" s="123"/>
      <c r="K469" s="123"/>
      <c r="L469" s="127"/>
      <c r="M469" s="127"/>
      <c r="N469" s="127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 spans="1:27" ht="13.5" customHeight="1">
      <c r="A470" s="123"/>
      <c r="B470" s="127"/>
      <c r="C470" s="123"/>
      <c r="D470" s="123"/>
      <c r="E470" s="123"/>
      <c r="F470" s="123"/>
      <c r="G470" s="123"/>
      <c r="H470" s="123"/>
      <c r="I470" s="169"/>
      <c r="J470" s="123"/>
      <c r="K470" s="123"/>
      <c r="L470" s="127"/>
      <c r="M470" s="127"/>
      <c r="N470" s="127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 spans="1:27" ht="13.5" customHeight="1">
      <c r="A471" s="123"/>
      <c r="B471" s="127"/>
      <c r="C471" s="123"/>
      <c r="D471" s="123"/>
      <c r="E471" s="123"/>
      <c r="F471" s="123"/>
      <c r="G471" s="123"/>
      <c r="H471" s="123"/>
      <c r="I471" s="169"/>
      <c r="J471" s="123"/>
      <c r="K471" s="123"/>
      <c r="L471" s="127"/>
      <c r="M471" s="127"/>
      <c r="N471" s="127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 spans="1:27" ht="13.5" customHeight="1">
      <c r="A472" s="123"/>
      <c r="B472" s="127"/>
      <c r="C472" s="123"/>
      <c r="D472" s="123"/>
      <c r="E472" s="123"/>
      <c r="F472" s="123"/>
      <c r="G472" s="123"/>
      <c r="H472" s="123"/>
      <c r="I472" s="169"/>
      <c r="J472" s="123"/>
      <c r="K472" s="123"/>
      <c r="L472" s="127"/>
      <c r="M472" s="127"/>
      <c r="N472" s="127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 spans="1:27" ht="13.5" customHeight="1">
      <c r="A473" s="123"/>
      <c r="B473" s="127"/>
      <c r="C473" s="123"/>
      <c r="D473" s="123"/>
      <c r="E473" s="123"/>
      <c r="F473" s="123"/>
      <c r="G473" s="123"/>
      <c r="H473" s="123"/>
      <c r="I473" s="169"/>
      <c r="J473" s="123"/>
      <c r="K473" s="123"/>
      <c r="L473" s="127"/>
      <c r="M473" s="127"/>
      <c r="N473" s="127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 spans="1:27" ht="13.5" customHeight="1">
      <c r="A474" s="123"/>
      <c r="B474" s="127"/>
      <c r="C474" s="123"/>
      <c r="D474" s="123"/>
      <c r="E474" s="123"/>
      <c r="F474" s="123"/>
      <c r="G474" s="123"/>
      <c r="H474" s="123"/>
      <c r="I474" s="169"/>
      <c r="J474" s="123"/>
      <c r="K474" s="123"/>
      <c r="L474" s="127"/>
      <c r="M474" s="127"/>
      <c r="N474" s="127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 spans="1:27" ht="13.5" customHeight="1">
      <c r="A475" s="123"/>
      <c r="B475" s="127"/>
      <c r="C475" s="123"/>
      <c r="D475" s="123"/>
      <c r="E475" s="123"/>
      <c r="F475" s="123"/>
      <c r="G475" s="123"/>
      <c r="H475" s="123"/>
      <c r="I475" s="169"/>
      <c r="J475" s="123"/>
      <c r="K475" s="123"/>
      <c r="L475" s="127"/>
      <c r="M475" s="127"/>
      <c r="N475" s="127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 spans="1:27" ht="13.5" customHeight="1">
      <c r="A476" s="123"/>
      <c r="B476" s="127"/>
      <c r="C476" s="123"/>
      <c r="D476" s="123"/>
      <c r="E476" s="123"/>
      <c r="F476" s="123"/>
      <c r="G476" s="123"/>
      <c r="H476" s="123"/>
      <c r="I476" s="169"/>
      <c r="J476" s="123"/>
      <c r="K476" s="123"/>
      <c r="L476" s="127"/>
      <c r="M476" s="127"/>
      <c r="N476" s="127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 spans="1:27" ht="13.5" customHeight="1">
      <c r="A477" s="123"/>
      <c r="B477" s="127"/>
      <c r="C477" s="123"/>
      <c r="D477" s="123"/>
      <c r="E477" s="123"/>
      <c r="F477" s="123"/>
      <c r="G477" s="123"/>
      <c r="H477" s="123"/>
      <c r="I477" s="169"/>
      <c r="J477" s="123"/>
      <c r="K477" s="123"/>
      <c r="L477" s="127"/>
      <c r="M477" s="127"/>
      <c r="N477" s="127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 spans="1:27" ht="13.5" customHeight="1">
      <c r="A478" s="123"/>
      <c r="B478" s="127"/>
      <c r="C478" s="123"/>
      <c r="D478" s="123"/>
      <c r="E478" s="123"/>
      <c r="F478" s="123"/>
      <c r="G478" s="123"/>
      <c r="H478" s="123"/>
      <c r="I478" s="169"/>
      <c r="J478" s="123"/>
      <c r="K478" s="123"/>
      <c r="L478" s="127"/>
      <c r="M478" s="127"/>
      <c r="N478" s="127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 spans="1:27" ht="13.5" customHeight="1">
      <c r="A479" s="123"/>
      <c r="B479" s="127"/>
      <c r="C479" s="123"/>
      <c r="D479" s="123"/>
      <c r="E479" s="123"/>
      <c r="F479" s="123"/>
      <c r="G479" s="123"/>
      <c r="H479" s="123"/>
      <c r="I479" s="169"/>
      <c r="J479" s="123"/>
      <c r="K479" s="123"/>
      <c r="L479" s="127"/>
      <c r="M479" s="127"/>
      <c r="N479" s="127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 spans="1:27" ht="13.5" customHeight="1">
      <c r="A480" s="123"/>
      <c r="B480" s="127"/>
      <c r="C480" s="123"/>
      <c r="D480" s="123"/>
      <c r="E480" s="123"/>
      <c r="F480" s="123"/>
      <c r="G480" s="123"/>
      <c r="H480" s="123"/>
      <c r="I480" s="169"/>
      <c r="J480" s="123"/>
      <c r="K480" s="123"/>
      <c r="L480" s="127"/>
      <c r="M480" s="127"/>
      <c r="N480" s="127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 spans="1:27" ht="13.5" customHeight="1">
      <c r="A481" s="123"/>
      <c r="B481" s="127"/>
      <c r="C481" s="123"/>
      <c r="D481" s="123"/>
      <c r="E481" s="123"/>
      <c r="F481" s="123"/>
      <c r="G481" s="123"/>
      <c r="H481" s="123"/>
      <c r="I481" s="169"/>
      <c r="J481" s="123"/>
      <c r="K481" s="123"/>
      <c r="L481" s="127"/>
      <c r="M481" s="127"/>
      <c r="N481" s="127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 spans="1:27" ht="13.5" customHeight="1">
      <c r="A482" s="123"/>
      <c r="B482" s="127"/>
      <c r="C482" s="123"/>
      <c r="D482" s="123"/>
      <c r="E482" s="123"/>
      <c r="F482" s="123"/>
      <c r="G482" s="123"/>
      <c r="H482" s="123"/>
      <c r="I482" s="169"/>
      <c r="J482" s="123"/>
      <c r="K482" s="123"/>
      <c r="L482" s="127"/>
      <c r="M482" s="127"/>
      <c r="N482" s="127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 spans="1:27" ht="13.5" customHeight="1">
      <c r="A483" s="123"/>
      <c r="B483" s="127"/>
      <c r="C483" s="123"/>
      <c r="D483" s="123"/>
      <c r="E483" s="123"/>
      <c r="F483" s="123"/>
      <c r="G483" s="123"/>
      <c r="H483" s="123"/>
      <c r="I483" s="169"/>
      <c r="J483" s="123"/>
      <c r="K483" s="123"/>
      <c r="L483" s="127"/>
      <c r="M483" s="127"/>
      <c r="N483" s="127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 spans="1:27" ht="13.5" customHeight="1">
      <c r="A484" s="123"/>
      <c r="B484" s="127"/>
      <c r="C484" s="123"/>
      <c r="D484" s="123"/>
      <c r="E484" s="123"/>
      <c r="F484" s="123"/>
      <c r="G484" s="123"/>
      <c r="H484" s="123"/>
      <c r="I484" s="169"/>
      <c r="J484" s="123"/>
      <c r="K484" s="123"/>
      <c r="L484" s="127"/>
      <c r="M484" s="127"/>
      <c r="N484" s="127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 spans="1:27" ht="13.5" customHeight="1">
      <c r="A485" s="123"/>
      <c r="B485" s="127"/>
      <c r="C485" s="123"/>
      <c r="D485" s="123"/>
      <c r="E485" s="123"/>
      <c r="F485" s="123"/>
      <c r="G485" s="123"/>
      <c r="H485" s="123"/>
      <c r="I485" s="169"/>
      <c r="J485" s="123"/>
      <c r="K485" s="123"/>
      <c r="L485" s="127"/>
      <c r="M485" s="127"/>
      <c r="N485" s="127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 spans="1:27" ht="13.5" customHeight="1">
      <c r="A486" s="123"/>
      <c r="B486" s="127"/>
      <c r="C486" s="123"/>
      <c r="D486" s="123"/>
      <c r="E486" s="123"/>
      <c r="F486" s="123"/>
      <c r="G486" s="123"/>
      <c r="H486" s="123"/>
      <c r="I486" s="169"/>
      <c r="J486" s="123"/>
      <c r="K486" s="123"/>
      <c r="L486" s="127"/>
      <c r="M486" s="127"/>
      <c r="N486" s="127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 spans="1:27" ht="13.5" customHeight="1">
      <c r="A487" s="123"/>
      <c r="B487" s="127"/>
      <c r="C487" s="123"/>
      <c r="D487" s="123"/>
      <c r="E487" s="123"/>
      <c r="F487" s="123"/>
      <c r="G487" s="123"/>
      <c r="H487" s="123"/>
      <c r="I487" s="169"/>
      <c r="J487" s="123"/>
      <c r="K487" s="123"/>
      <c r="L487" s="127"/>
      <c r="M487" s="127"/>
      <c r="N487" s="127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 spans="1:27" ht="13.5" customHeight="1">
      <c r="A488" s="123"/>
      <c r="B488" s="127"/>
      <c r="C488" s="123"/>
      <c r="D488" s="123"/>
      <c r="E488" s="123"/>
      <c r="F488" s="123"/>
      <c r="G488" s="123"/>
      <c r="H488" s="123"/>
      <c r="I488" s="169"/>
      <c r="J488" s="123"/>
      <c r="K488" s="123"/>
      <c r="L488" s="127"/>
      <c r="M488" s="127"/>
      <c r="N488" s="127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 spans="1:27" ht="13.5" customHeight="1">
      <c r="A489" s="123"/>
      <c r="B489" s="127"/>
      <c r="C489" s="123"/>
      <c r="D489" s="123"/>
      <c r="E489" s="123"/>
      <c r="F489" s="123"/>
      <c r="G489" s="123"/>
      <c r="H489" s="123"/>
      <c r="I489" s="169"/>
      <c r="J489" s="123"/>
      <c r="K489" s="123"/>
      <c r="L489" s="127"/>
      <c r="M489" s="127"/>
      <c r="N489" s="127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 spans="1:27" ht="13.5" customHeight="1">
      <c r="A490" s="123"/>
      <c r="B490" s="127"/>
      <c r="C490" s="123"/>
      <c r="D490" s="123"/>
      <c r="E490" s="123"/>
      <c r="F490" s="123"/>
      <c r="G490" s="123"/>
      <c r="H490" s="123"/>
      <c r="I490" s="169"/>
      <c r="J490" s="123"/>
      <c r="K490" s="123"/>
      <c r="L490" s="127"/>
      <c r="M490" s="127"/>
      <c r="N490" s="127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 spans="1:27" ht="13.5" customHeight="1">
      <c r="A491" s="123"/>
      <c r="B491" s="127"/>
      <c r="C491" s="123"/>
      <c r="D491" s="123"/>
      <c r="E491" s="123"/>
      <c r="F491" s="123"/>
      <c r="G491" s="123"/>
      <c r="H491" s="123"/>
      <c r="I491" s="169"/>
      <c r="J491" s="123"/>
      <c r="K491" s="123"/>
      <c r="L491" s="127"/>
      <c r="M491" s="127"/>
      <c r="N491" s="127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 spans="1:27" ht="13.5" customHeight="1">
      <c r="A492" s="123"/>
      <c r="B492" s="127"/>
      <c r="C492" s="123"/>
      <c r="D492" s="123"/>
      <c r="E492" s="123"/>
      <c r="F492" s="123"/>
      <c r="G492" s="123"/>
      <c r="H492" s="123"/>
      <c r="I492" s="169"/>
      <c r="J492" s="123"/>
      <c r="K492" s="123"/>
      <c r="L492" s="127"/>
      <c r="M492" s="127"/>
      <c r="N492" s="127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 spans="1:27" ht="13.5" customHeight="1">
      <c r="A493" s="123"/>
      <c r="B493" s="127"/>
      <c r="C493" s="123"/>
      <c r="D493" s="123"/>
      <c r="E493" s="123"/>
      <c r="F493" s="123"/>
      <c r="G493" s="123"/>
      <c r="H493" s="123"/>
      <c r="I493" s="169"/>
      <c r="J493" s="123"/>
      <c r="K493" s="123"/>
      <c r="L493" s="127"/>
      <c r="M493" s="127"/>
      <c r="N493" s="127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 spans="1:27" ht="13.5" customHeight="1">
      <c r="A494" s="123"/>
      <c r="B494" s="127"/>
      <c r="C494" s="123"/>
      <c r="D494" s="123"/>
      <c r="E494" s="123"/>
      <c r="F494" s="123"/>
      <c r="G494" s="123"/>
      <c r="H494" s="123"/>
      <c r="I494" s="169"/>
      <c r="J494" s="123"/>
      <c r="K494" s="123"/>
      <c r="L494" s="127"/>
      <c r="M494" s="127"/>
      <c r="N494" s="127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 spans="1:27" ht="13.5" customHeight="1">
      <c r="A495" s="123"/>
      <c r="B495" s="127"/>
      <c r="C495" s="123"/>
      <c r="D495" s="123"/>
      <c r="E495" s="123"/>
      <c r="F495" s="123"/>
      <c r="G495" s="123"/>
      <c r="H495" s="123"/>
      <c r="I495" s="169"/>
      <c r="J495" s="123"/>
      <c r="K495" s="123"/>
      <c r="L495" s="127"/>
      <c r="M495" s="127"/>
      <c r="N495" s="127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 spans="1:27" ht="13.5" customHeight="1">
      <c r="A496" s="123"/>
      <c r="B496" s="127"/>
      <c r="C496" s="123"/>
      <c r="D496" s="123"/>
      <c r="E496" s="123"/>
      <c r="F496" s="123"/>
      <c r="G496" s="123"/>
      <c r="H496" s="123"/>
      <c r="I496" s="169"/>
      <c r="J496" s="123"/>
      <c r="K496" s="123"/>
      <c r="L496" s="127"/>
      <c r="M496" s="127"/>
      <c r="N496" s="127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 spans="1:27" ht="13.5" customHeight="1">
      <c r="A497" s="123"/>
      <c r="B497" s="127"/>
      <c r="C497" s="123"/>
      <c r="D497" s="123"/>
      <c r="E497" s="123"/>
      <c r="F497" s="123"/>
      <c r="G497" s="123"/>
      <c r="H497" s="123"/>
      <c r="I497" s="169"/>
      <c r="J497" s="123"/>
      <c r="K497" s="123"/>
      <c r="L497" s="127"/>
      <c r="M497" s="127"/>
      <c r="N497" s="127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 spans="1:27" ht="13.5" customHeight="1">
      <c r="A498" s="123"/>
      <c r="B498" s="127"/>
      <c r="C498" s="123"/>
      <c r="D498" s="123"/>
      <c r="E498" s="123"/>
      <c r="F498" s="123"/>
      <c r="G498" s="123"/>
      <c r="H498" s="123"/>
      <c r="I498" s="169"/>
      <c r="J498" s="123"/>
      <c r="K498" s="123"/>
      <c r="L498" s="127"/>
      <c r="M498" s="127"/>
      <c r="N498" s="127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 spans="1:27" ht="13.5" customHeight="1">
      <c r="A499" s="123"/>
      <c r="B499" s="127"/>
      <c r="C499" s="123"/>
      <c r="D499" s="123"/>
      <c r="E499" s="123"/>
      <c r="F499" s="123"/>
      <c r="G499" s="123"/>
      <c r="H499" s="123"/>
      <c r="I499" s="169"/>
      <c r="J499" s="123"/>
      <c r="K499" s="123"/>
      <c r="L499" s="127"/>
      <c r="M499" s="127"/>
      <c r="N499" s="127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 spans="1:27" ht="13.5" customHeight="1">
      <c r="A500" s="123"/>
      <c r="B500" s="127"/>
      <c r="C500" s="123"/>
      <c r="D500" s="123"/>
      <c r="E500" s="123"/>
      <c r="F500" s="123"/>
      <c r="G500" s="123"/>
      <c r="H500" s="123"/>
      <c r="I500" s="169"/>
      <c r="J500" s="123"/>
      <c r="K500" s="123"/>
      <c r="L500" s="127"/>
      <c r="M500" s="127"/>
      <c r="N500" s="127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 spans="1:27" ht="13.5" customHeight="1">
      <c r="A501" s="123"/>
      <c r="B501" s="127"/>
      <c r="C501" s="123"/>
      <c r="D501" s="123"/>
      <c r="E501" s="123"/>
      <c r="F501" s="123"/>
      <c r="G501" s="123"/>
      <c r="H501" s="123"/>
      <c r="I501" s="169"/>
      <c r="J501" s="123"/>
      <c r="K501" s="123"/>
      <c r="L501" s="127"/>
      <c r="M501" s="127"/>
      <c r="N501" s="127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 spans="1:27" ht="13.5" customHeight="1">
      <c r="A502" s="123"/>
      <c r="B502" s="127"/>
      <c r="C502" s="123"/>
      <c r="D502" s="123"/>
      <c r="E502" s="123"/>
      <c r="F502" s="123"/>
      <c r="G502" s="123"/>
      <c r="H502" s="123"/>
      <c r="I502" s="169"/>
      <c r="J502" s="123"/>
      <c r="K502" s="123"/>
      <c r="L502" s="127"/>
      <c r="M502" s="127"/>
      <c r="N502" s="127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 spans="1:27" ht="13.5" customHeight="1">
      <c r="A503" s="123"/>
      <c r="B503" s="127"/>
      <c r="C503" s="123"/>
      <c r="D503" s="123"/>
      <c r="E503" s="123"/>
      <c r="F503" s="123"/>
      <c r="G503" s="123"/>
      <c r="H503" s="123"/>
      <c r="I503" s="169"/>
      <c r="J503" s="123"/>
      <c r="K503" s="123"/>
      <c r="L503" s="127"/>
      <c r="M503" s="127"/>
      <c r="N503" s="127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 spans="1:27" ht="13.5" customHeight="1">
      <c r="A504" s="123"/>
      <c r="B504" s="127"/>
      <c r="C504" s="123"/>
      <c r="D504" s="123"/>
      <c r="E504" s="123"/>
      <c r="F504" s="123"/>
      <c r="G504" s="123"/>
      <c r="H504" s="123"/>
      <c r="I504" s="169"/>
      <c r="J504" s="123"/>
      <c r="K504" s="123"/>
      <c r="L504" s="127"/>
      <c r="M504" s="127"/>
      <c r="N504" s="127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 spans="1:27" ht="13.5" customHeight="1">
      <c r="A505" s="123"/>
      <c r="B505" s="127"/>
      <c r="C505" s="123"/>
      <c r="D505" s="123"/>
      <c r="E505" s="123"/>
      <c r="F505" s="123"/>
      <c r="G505" s="123"/>
      <c r="H505" s="123"/>
      <c r="I505" s="169"/>
      <c r="J505" s="123"/>
      <c r="K505" s="123"/>
      <c r="L505" s="127"/>
      <c r="M505" s="127"/>
      <c r="N505" s="127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 spans="1:27" ht="13.5" customHeight="1">
      <c r="A506" s="123"/>
      <c r="B506" s="127"/>
      <c r="C506" s="123"/>
      <c r="D506" s="123"/>
      <c r="E506" s="123"/>
      <c r="F506" s="123"/>
      <c r="G506" s="123"/>
      <c r="H506" s="123"/>
      <c r="I506" s="169"/>
      <c r="J506" s="123"/>
      <c r="K506" s="123"/>
      <c r="L506" s="127"/>
      <c r="M506" s="127"/>
      <c r="N506" s="127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 spans="1:27" ht="13.5" customHeight="1">
      <c r="A507" s="123"/>
      <c r="B507" s="127"/>
      <c r="C507" s="123"/>
      <c r="D507" s="123"/>
      <c r="E507" s="123"/>
      <c r="F507" s="123"/>
      <c r="G507" s="123"/>
      <c r="H507" s="123"/>
      <c r="I507" s="169"/>
      <c r="J507" s="123"/>
      <c r="K507" s="123"/>
      <c r="L507" s="127"/>
      <c r="M507" s="127"/>
      <c r="N507" s="127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 spans="1:27" ht="13.5" customHeight="1">
      <c r="A508" s="123"/>
      <c r="B508" s="127"/>
      <c r="C508" s="123"/>
      <c r="D508" s="123"/>
      <c r="E508" s="123"/>
      <c r="F508" s="123"/>
      <c r="G508" s="123"/>
      <c r="H508" s="123"/>
      <c r="I508" s="169"/>
      <c r="J508" s="123"/>
      <c r="K508" s="123"/>
      <c r="L508" s="127"/>
      <c r="M508" s="127"/>
      <c r="N508" s="127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 spans="1:27" ht="13.5" customHeight="1">
      <c r="A509" s="123"/>
      <c r="B509" s="127"/>
      <c r="C509" s="123"/>
      <c r="D509" s="123"/>
      <c r="E509" s="123"/>
      <c r="F509" s="123"/>
      <c r="G509" s="123"/>
      <c r="H509" s="123"/>
      <c r="I509" s="169"/>
      <c r="J509" s="123"/>
      <c r="K509" s="123"/>
      <c r="L509" s="127"/>
      <c r="M509" s="127"/>
      <c r="N509" s="127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 spans="1:27" ht="13.5" customHeight="1">
      <c r="A510" s="123"/>
      <c r="B510" s="127"/>
      <c r="C510" s="123"/>
      <c r="D510" s="123"/>
      <c r="E510" s="123"/>
      <c r="F510" s="123"/>
      <c r="G510" s="123"/>
      <c r="H510" s="123"/>
      <c r="I510" s="169"/>
      <c r="J510" s="123"/>
      <c r="K510" s="123"/>
      <c r="L510" s="127"/>
      <c r="M510" s="127"/>
      <c r="N510" s="127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 spans="1:27" ht="13.5" customHeight="1">
      <c r="A511" s="123"/>
      <c r="B511" s="127"/>
      <c r="C511" s="123"/>
      <c r="D511" s="123"/>
      <c r="E511" s="123"/>
      <c r="F511" s="123"/>
      <c r="G511" s="123"/>
      <c r="H511" s="123"/>
      <c r="I511" s="169"/>
      <c r="J511" s="123"/>
      <c r="K511" s="123"/>
      <c r="L511" s="127"/>
      <c r="M511" s="127"/>
      <c r="N511" s="127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 spans="1:27" ht="13.5" customHeight="1">
      <c r="A512" s="123"/>
      <c r="B512" s="127"/>
      <c r="C512" s="123"/>
      <c r="D512" s="123"/>
      <c r="E512" s="123"/>
      <c r="F512" s="123"/>
      <c r="G512" s="123"/>
      <c r="H512" s="123"/>
      <c r="I512" s="169"/>
      <c r="J512" s="123"/>
      <c r="K512" s="123"/>
      <c r="L512" s="127"/>
      <c r="M512" s="127"/>
      <c r="N512" s="127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 spans="1:27" ht="13.5" customHeight="1">
      <c r="A513" s="123"/>
      <c r="B513" s="127"/>
      <c r="C513" s="123"/>
      <c r="D513" s="123"/>
      <c r="E513" s="123"/>
      <c r="F513" s="123"/>
      <c r="G513" s="123"/>
      <c r="H513" s="123"/>
      <c r="I513" s="169"/>
      <c r="J513" s="123"/>
      <c r="K513" s="123"/>
      <c r="L513" s="127"/>
      <c r="M513" s="127"/>
      <c r="N513" s="127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 spans="1:27" ht="13.5" customHeight="1">
      <c r="A514" s="123"/>
      <c r="B514" s="127"/>
      <c r="C514" s="123"/>
      <c r="D514" s="123"/>
      <c r="E514" s="123"/>
      <c r="F514" s="123"/>
      <c r="G514" s="123"/>
      <c r="H514" s="123"/>
      <c r="I514" s="169"/>
      <c r="J514" s="123"/>
      <c r="K514" s="123"/>
      <c r="L514" s="127"/>
      <c r="M514" s="127"/>
      <c r="N514" s="127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 spans="1:27" ht="13.5" customHeight="1">
      <c r="A515" s="123"/>
      <c r="B515" s="127"/>
      <c r="C515" s="123"/>
      <c r="D515" s="123"/>
      <c r="E515" s="123"/>
      <c r="F515" s="123"/>
      <c r="G515" s="123"/>
      <c r="H515" s="123"/>
      <c r="I515" s="169"/>
      <c r="J515" s="123"/>
      <c r="K515" s="123"/>
      <c r="L515" s="127"/>
      <c r="M515" s="127"/>
      <c r="N515" s="127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 spans="1:27" ht="13.5" customHeight="1">
      <c r="A516" s="123"/>
      <c r="B516" s="127"/>
      <c r="C516" s="123"/>
      <c r="D516" s="123"/>
      <c r="E516" s="123"/>
      <c r="F516" s="123"/>
      <c r="G516" s="123"/>
      <c r="H516" s="123"/>
      <c r="I516" s="169"/>
      <c r="J516" s="123"/>
      <c r="K516" s="123"/>
      <c r="L516" s="127"/>
      <c r="M516" s="127"/>
      <c r="N516" s="127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 spans="1:27" ht="13.5" customHeight="1">
      <c r="A517" s="123"/>
      <c r="B517" s="127"/>
      <c r="C517" s="123"/>
      <c r="D517" s="123"/>
      <c r="E517" s="123"/>
      <c r="F517" s="123"/>
      <c r="G517" s="123"/>
      <c r="H517" s="123"/>
      <c r="I517" s="169"/>
      <c r="J517" s="123"/>
      <c r="K517" s="123"/>
      <c r="L517" s="127"/>
      <c r="M517" s="127"/>
      <c r="N517" s="127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 spans="1:27" ht="13.5" customHeight="1">
      <c r="A518" s="123"/>
      <c r="B518" s="127"/>
      <c r="C518" s="123"/>
      <c r="D518" s="123"/>
      <c r="E518" s="123"/>
      <c r="F518" s="123"/>
      <c r="G518" s="123"/>
      <c r="H518" s="123"/>
      <c r="I518" s="169"/>
      <c r="J518" s="123"/>
      <c r="K518" s="123"/>
      <c r="L518" s="127"/>
      <c r="M518" s="127"/>
      <c r="N518" s="127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 spans="1:27" ht="13.5" customHeight="1">
      <c r="A519" s="123"/>
      <c r="B519" s="127"/>
      <c r="C519" s="123"/>
      <c r="D519" s="123"/>
      <c r="E519" s="123"/>
      <c r="F519" s="123"/>
      <c r="G519" s="123"/>
      <c r="H519" s="123"/>
      <c r="I519" s="169"/>
      <c r="J519" s="123"/>
      <c r="K519" s="123"/>
      <c r="L519" s="127"/>
      <c r="M519" s="127"/>
      <c r="N519" s="127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 spans="1:27" ht="13.5" customHeight="1">
      <c r="A520" s="123"/>
      <c r="B520" s="127"/>
      <c r="C520" s="123"/>
      <c r="D520" s="123"/>
      <c r="E520" s="123"/>
      <c r="F520" s="123"/>
      <c r="G520" s="123"/>
      <c r="H520" s="123"/>
      <c r="I520" s="169"/>
      <c r="J520" s="123"/>
      <c r="K520" s="123"/>
      <c r="L520" s="127"/>
      <c r="M520" s="127"/>
      <c r="N520" s="127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 spans="1:27" ht="13.5" customHeight="1">
      <c r="A521" s="123"/>
      <c r="B521" s="127"/>
      <c r="C521" s="123"/>
      <c r="D521" s="123"/>
      <c r="E521" s="123"/>
      <c r="F521" s="123"/>
      <c r="G521" s="123"/>
      <c r="H521" s="123"/>
      <c r="I521" s="169"/>
      <c r="J521" s="123"/>
      <c r="K521" s="123"/>
      <c r="L521" s="127"/>
      <c r="M521" s="127"/>
      <c r="N521" s="127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 spans="1:27" ht="13.5" customHeight="1">
      <c r="A522" s="123"/>
      <c r="B522" s="127"/>
      <c r="C522" s="123"/>
      <c r="D522" s="123"/>
      <c r="E522" s="123"/>
      <c r="F522" s="123"/>
      <c r="G522" s="123"/>
      <c r="H522" s="123"/>
      <c r="I522" s="169"/>
      <c r="J522" s="123"/>
      <c r="K522" s="123"/>
      <c r="L522" s="127"/>
      <c r="M522" s="127"/>
      <c r="N522" s="127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 spans="1:27" ht="13.5" customHeight="1">
      <c r="A523" s="123"/>
      <c r="B523" s="127"/>
      <c r="C523" s="123"/>
      <c r="D523" s="123"/>
      <c r="E523" s="123"/>
      <c r="F523" s="123"/>
      <c r="G523" s="123"/>
      <c r="H523" s="123"/>
      <c r="I523" s="169"/>
      <c r="J523" s="123"/>
      <c r="K523" s="123"/>
      <c r="L523" s="127"/>
      <c r="M523" s="127"/>
      <c r="N523" s="127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 spans="1:27" ht="13.5" customHeight="1">
      <c r="A524" s="123"/>
      <c r="B524" s="127"/>
      <c r="C524" s="123"/>
      <c r="D524" s="123"/>
      <c r="E524" s="123"/>
      <c r="F524" s="123"/>
      <c r="G524" s="123"/>
      <c r="H524" s="123"/>
      <c r="I524" s="169"/>
      <c r="J524" s="123"/>
      <c r="K524" s="123"/>
      <c r="L524" s="127"/>
      <c r="M524" s="127"/>
      <c r="N524" s="127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 spans="1:27" ht="13.5" customHeight="1">
      <c r="A525" s="123"/>
      <c r="B525" s="127"/>
      <c r="C525" s="123"/>
      <c r="D525" s="123"/>
      <c r="E525" s="123"/>
      <c r="F525" s="123"/>
      <c r="G525" s="123"/>
      <c r="H525" s="123"/>
      <c r="I525" s="169"/>
      <c r="J525" s="123"/>
      <c r="K525" s="123"/>
      <c r="L525" s="127"/>
      <c r="M525" s="127"/>
      <c r="N525" s="127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 spans="1:27" ht="13.5" customHeight="1">
      <c r="A526" s="123"/>
      <c r="B526" s="127"/>
      <c r="C526" s="123"/>
      <c r="D526" s="123"/>
      <c r="E526" s="123"/>
      <c r="F526" s="123"/>
      <c r="G526" s="123"/>
      <c r="H526" s="123"/>
      <c r="I526" s="169"/>
      <c r="J526" s="123"/>
      <c r="K526" s="123"/>
      <c r="L526" s="127"/>
      <c r="M526" s="127"/>
      <c r="N526" s="127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 spans="1:27" ht="13.5" customHeight="1">
      <c r="A527" s="123"/>
      <c r="B527" s="127"/>
      <c r="C527" s="123"/>
      <c r="D527" s="123"/>
      <c r="E527" s="123"/>
      <c r="F527" s="123"/>
      <c r="G527" s="123"/>
      <c r="H527" s="123"/>
      <c r="I527" s="169"/>
      <c r="J527" s="123"/>
      <c r="K527" s="123"/>
      <c r="L527" s="127"/>
      <c r="M527" s="127"/>
      <c r="N527" s="127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 spans="1:27" ht="13.5" customHeight="1">
      <c r="A528" s="123"/>
      <c r="B528" s="127"/>
      <c r="C528" s="123"/>
      <c r="D528" s="123"/>
      <c r="E528" s="123"/>
      <c r="F528" s="123"/>
      <c r="G528" s="123"/>
      <c r="H528" s="123"/>
      <c r="I528" s="169"/>
      <c r="J528" s="123"/>
      <c r="K528" s="123"/>
      <c r="L528" s="127"/>
      <c r="M528" s="127"/>
      <c r="N528" s="127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 spans="1:27" ht="13.5" customHeight="1">
      <c r="A529" s="123"/>
      <c r="B529" s="127"/>
      <c r="C529" s="123"/>
      <c r="D529" s="123"/>
      <c r="E529" s="123"/>
      <c r="F529" s="123"/>
      <c r="G529" s="123"/>
      <c r="H529" s="123"/>
      <c r="I529" s="169"/>
      <c r="J529" s="123"/>
      <c r="K529" s="123"/>
      <c r="L529" s="127"/>
      <c r="M529" s="127"/>
      <c r="N529" s="127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 spans="1:27" ht="13.5" customHeight="1">
      <c r="A530" s="123"/>
      <c r="B530" s="127"/>
      <c r="C530" s="123"/>
      <c r="D530" s="123"/>
      <c r="E530" s="123"/>
      <c r="F530" s="123"/>
      <c r="G530" s="123"/>
      <c r="H530" s="123"/>
      <c r="I530" s="169"/>
      <c r="J530" s="123"/>
      <c r="K530" s="123"/>
      <c r="L530" s="127"/>
      <c r="M530" s="127"/>
      <c r="N530" s="127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 spans="1:27" ht="13.5" customHeight="1">
      <c r="A531" s="123"/>
      <c r="B531" s="127"/>
      <c r="C531" s="123"/>
      <c r="D531" s="123"/>
      <c r="E531" s="123"/>
      <c r="F531" s="123"/>
      <c r="G531" s="123"/>
      <c r="H531" s="123"/>
      <c r="I531" s="169"/>
      <c r="J531" s="123"/>
      <c r="K531" s="123"/>
      <c r="L531" s="127"/>
      <c r="M531" s="127"/>
      <c r="N531" s="127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 spans="1:27" ht="13.5" customHeight="1">
      <c r="A532" s="123"/>
      <c r="B532" s="127"/>
      <c r="C532" s="123"/>
      <c r="D532" s="123"/>
      <c r="E532" s="123"/>
      <c r="F532" s="123"/>
      <c r="G532" s="123"/>
      <c r="H532" s="123"/>
      <c r="I532" s="169"/>
      <c r="J532" s="123"/>
      <c r="K532" s="123"/>
      <c r="L532" s="127"/>
      <c r="M532" s="127"/>
      <c r="N532" s="127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 spans="1:27" ht="13.5" customHeight="1">
      <c r="A533" s="123"/>
      <c r="B533" s="127"/>
      <c r="C533" s="123"/>
      <c r="D533" s="123"/>
      <c r="E533" s="123"/>
      <c r="F533" s="123"/>
      <c r="G533" s="123"/>
      <c r="H533" s="123"/>
      <c r="I533" s="169"/>
      <c r="J533" s="123"/>
      <c r="K533" s="123"/>
      <c r="L533" s="127"/>
      <c r="M533" s="127"/>
      <c r="N533" s="127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 spans="1:27" ht="13.5" customHeight="1">
      <c r="A534" s="123"/>
      <c r="B534" s="127"/>
      <c r="C534" s="123"/>
      <c r="D534" s="123"/>
      <c r="E534" s="123"/>
      <c r="F534" s="123"/>
      <c r="G534" s="123"/>
      <c r="H534" s="123"/>
      <c r="I534" s="169"/>
      <c r="J534" s="123"/>
      <c r="K534" s="123"/>
      <c r="L534" s="127"/>
      <c r="M534" s="127"/>
      <c r="N534" s="127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 spans="1:27" ht="13.5" customHeight="1">
      <c r="A535" s="123"/>
      <c r="B535" s="127"/>
      <c r="C535" s="123"/>
      <c r="D535" s="123"/>
      <c r="E535" s="123"/>
      <c r="F535" s="123"/>
      <c r="G535" s="123"/>
      <c r="H535" s="123"/>
      <c r="I535" s="169"/>
      <c r="J535" s="123"/>
      <c r="K535" s="123"/>
      <c r="L535" s="127"/>
      <c r="M535" s="127"/>
      <c r="N535" s="127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 spans="1:27" ht="13.5" customHeight="1">
      <c r="A536" s="123"/>
      <c r="B536" s="127"/>
      <c r="C536" s="123"/>
      <c r="D536" s="123"/>
      <c r="E536" s="123"/>
      <c r="F536" s="123"/>
      <c r="G536" s="123"/>
      <c r="H536" s="123"/>
      <c r="I536" s="169"/>
      <c r="J536" s="123"/>
      <c r="K536" s="123"/>
      <c r="L536" s="127"/>
      <c r="M536" s="127"/>
      <c r="N536" s="127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 spans="1:27" ht="13.5" customHeight="1">
      <c r="A537" s="123"/>
      <c r="B537" s="127"/>
      <c r="C537" s="123"/>
      <c r="D537" s="123"/>
      <c r="E537" s="123"/>
      <c r="F537" s="123"/>
      <c r="G537" s="123"/>
      <c r="H537" s="123"/>
      <c r="I537" s="169"/>
      <c r="J537" s="123"/>
      <c r="K537" s="123"/>
      <c r="L537" s="127"/>
      <c r="M537" s="127"/>
      <c r="N537" s="127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 spans="1:27" ht="13.5" customHeight="1">
      <c r="A538" s="123"/>
      <c r="B538" s="127"/>
      <c r="C538" s="123"/>
      <c r="D538" s="123"/>
      <c r="E538" s="123"/>
      <c r="F538" s="123"/>
      <c r="G538" s="123"/>
      <c r="H538" s="123"/>
      <c r="I538" s="169"/>
      <c r="J538" s="123"/>
      <c r="K538" s="123"/>
      <c r="L538" s="127"/>
      <c r="M538" s="127"/>
      <c r="N538" s="127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 spans="1:27" ht="13.5" customHeight="1">
      <c r="A539" s="123"/>
      <c r="B539" s="127"/>
      <c r="C539" s="123"/>
      <c r="D539" s="123"/>
      <c r="E539" s="123"/>
      <c r="F539" s="123"/>
      <c r="G539" s="123"/>
      <c r="H539" s="123"/>
      <c r="I539" s="169"/>
      <c r="J539" s="123"/>
      <c r="K539" s="123"/>
      <c r="L539" s="127"/>
      <c r="M539" s="127"/>
      <c r="N539" s="127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 spans="1:27" ht="13.5" customHeight="1">
      <c r="A540" s="123"/>
      <c r="B540" s="127"/>
      <c r="C540" s="123"/>
      <c r="D540" s="123"/>
      <c r="E540" s="123"/>
      <c r="F540" s="123"/>
      <c r="G540" s="123"/>
      <c r="H540" s="123"/>
      <c r="I540" s="169"/>
      <c r="J540" s="123"/>
      <c r="K540" s="123"/>
      <c r="L540" s="127"/>
      <c r="M540" s="127"/>
      <c r="N540" s="127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 spans="1:27" ht="13.5" customHeight="1">
      <c r="A541" s="123"/>
      <c r="B541" s="127"/>
      <c r="C541" s="123"/>
      <c r="D541" s="123"/>
      <c r="E541" s="123"/>
      <c r="F541" s="123"/>
      <c r="G541" s="123"/>
      <c r="H541" s="123"/>
      <c r="I541" s="169"/>
      <c r="J541" s="123"/>
      <c r="K541" s="123"/>
      <c r="L541" s="127"/>
      <c r="M541" s="127"/>
      <c r="N541" s="127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 spans="1:27" ht="13.5" customHeight="1">
      <c r="A542" s="123"/>
      <c r="B542" s="127"/>
      <c r="C542" s="123"/>
      <c r="D542" s="123"/>
      <c r="E542" s="123"/>
      <c r="F542" s="123"/>
      <c r="G542" s="123"/>
      <c r="H542" s="123"/>
      <c r="I542" s="169"/>
      <c r="J542" s="123"/>
      <c r="K542" s="123"/>
      <c r="L542" s="127"/>
      <c r="M542" s="127"/>
      <c r="N542" s="127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 spans="1:27" ht="13.5" customHeight="1">
      <c r="A543" s="123"/>
      <c r="B543" s="127"/>
      <c r="C543" s="123"/>
      <c r="D543" s="123"/>
      <c r="E543" s="123"/>
      <c r="F543" s="123"/>
      <c r="G543" s="123"/>
      <c r="H543" s="123"/>
      <c r="I543" s="169"/>
      <c r="J543" s="123"/>
      <c r="K543" s="123"/>
      <c r="L543" s="127"/>
      <c r="M543" s="127"/>
      <c r="N543" s="127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 spans="1:27" ht="13.5" customHeight="1">
      <c r="A544" s="123"/>
      <c r="B544" s="127"/>
      <c r="C544" s="123"/>
      <c r="D544" s="123"/>
      <c r="E544" s="123"/>
      <c r="F544" s="123"/>
      <c r="G544" s="123"/>
      <c r="H544" s="123"/>
      <c r="I544" s="169"/>
      <c r="J544" s="123"/>
      <c r="K544" s="123"/>
      <c r="L544" s="127"/>
      <c r="M544" s="127"/>
      <c r="N544" s="127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 spans="1:27" ht="13.5" customHeight="1">
      <c r="A545" s="123"/>
      <c r="B545" s="127"/>
      <c r="C545" s="123"/>
      <c r="D545" s="123"/>
      <c r="E545" s="123"/>
      <c r="F545" s="123"/>
      <c r="G545" s="123"/>
      <c r="H545" s="123"/>
      <c r="I545" s="169"/>
      <c r="J545" s="123"/>
      <c r="K545" s="123"/>
      <c r="L545" s="127"/>
      <c r="M545" s="127"/>
      <c r="N545" s="127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 spans="1:27" ht="13.5" customHeight="1">
      <c r="A546" s="123"/>
      <c r="B546" s="127"/>
      <c r="C546" s="123"/>
      <c r="D546" s="123"/>
      <c r="E546" s="123"/>
      <c r="F546" s="123"/>
      <c r="G546" s="123"/>
      <c r="H546" s="123"/>
      <c r="I546" s="169"/>
      <c r="J546" s="123"/>
      <c r="K546" s="123"/>
      <c r="L546" s="127"/>
      <c r="M546" s="127"/>
      <c r="N546" s="127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 spans="1:27" ht="13.5" customHeight="1">
      <c r="A547" s="123"/>
      <c r="B547" s="127"/>
      <c r="C547" s="123"/>
      <c r="D547" s="123"/>
      <c r="E547" s="123"/>
      <c r="F547" s="123"/>
      <c r="G547" s="123"/>
      <c r="H547" s="123"/>
      <c r="I547" s="169"/>
      <c r="J547" s="123"/>
      <c r="K547" s="123"/>
      <c r="L547" s="127"/>
      <c r="M547" s="127"/>
      <c r="N547" s="127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 spans="1:27" ht="13.5" customHeight="1">
      <c r="A548" s="123"/>
      <c r="B548" s="127"/>
      <c r="C548" s="123"/>
      <c r="D548" s="123"/>
      <c r="E548" s="123"/>
      <c r="F548" s="123"/>
      <c r="G548" s="123"/>
      <c r="H548" s="123"/>
      <c r="I548" s="169"/>
      <c r="J548" s="123"/>
      <c r="K548" s="123"/>
      <c r="L548" s="127"/>
      <c r="M548" s="127"/>
      <c r="N548" s="127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 spans="1:27" ht="13.5" customHeight="1">
      <c r="A549" s="123"/>
      <c r="B549" s="127"/>
      <c r="C549" s="123"/>
      <c r="D549" s="123"/>
      <c r="E549" s="123"/>
      <c r="F549" s="123"/>
      <c r="G549" s="123"/>
      <c r="H549" s="123"/>
      <c r="I549" s="169"/>
      <c r="J549" s="123"/>
      <c r="K549" s="123"/>
      <c r="L549" s="127"/>
      <c r="M549" s="127"/>
      <c r="N549" s="127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 spans="1:27" ht="13.5" customHeight="1">
      <c r="A550" s="123"/>
      <c r="B550" s="127"/>
      <c r="C550" s="123"/>
      <c r="D550" s="123"/>
      <c r="E550" s="123"/>
      <c r="F550" s="123"/>
      <c r="G550" s="123"/>
      <c r="H550" s="123"/>
      <c r="I550" s="169"/>
      <c r="J550" s="123"/>
      <c r="K550" s="123"/>
      <c r="L550" s="127"/>
      <c r="M550" s="127"/>
      <c r="N550" s="127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 spans="1:27" ht="13.5" customHeight="1">
      <c r="A551" s="123"/>
      <c r="B551" s="127"/>
      <c r="C551" s="123"/>
      <c r="D551" s="123"/>
      <c r="E551" s="123"/>
      <c r="F551" s="123"/>
      <c r="G551" s="123"/>
      <c r="H551" s="123"/>
      <c r="I551" s="169"/>
      <c r="J551" s="123"/>
      <c r="K551" s="123"/>
      <c r="L551" s="127"/>
      <c r="M551" s="127"/>
      <c r="N551" s="127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 spans="1:27" ht="13.5" customHeight="1">
      <c r="A552" s="123"/>
      <c r="B552" s="127"/>
      <c r="C552" s="123"/>
      <c r="D552" s="123"/>
      <c r="E552" s="123"/>
      <c r="F552" s="123"/>
      <c r="G552" s="123"/>
      <c r="H552" s="123"/>
      <c r="I552" s="169"/>
      <c r="J552" s="123"/>
      <c r="K552" s="123"/>
      <c r="L552" s="127"/>
      <c r="M552" s="127"/>
      <c r="N552" s="127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 spans="1:27" ht="13.5" customHeight="1">
      <c r="A553" s="123"/>
      <c r="B553" s="127"/>
      <c r="C553" s="123"/>
      <c r="D553" s="123"/>
      <c r="E553" s="123"/>
      <c r="F553" s="123"/>
      <c r="G553" s="123"/>
      <c r="H553" s="123"/>
      <c r="I553" s="169"/>
      <c r="J553" s="123"/>
      <c r="K553" s="123"/>
      <c r="L553" s="127"/>
      <c r="M553" s="127"/>
      <c r="N553" s="127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 spans="1:27" ht="13.5" customHeight="1">
      <c r="A554" s="123"/>
      <c r="B554" s="127"/>
      <c r="C554" s="123"/>
      <c r="D554" s="123"/>
      <c r="E554" s="123"/>
      <c r="F554" s="123"/>
      <c r="G554" s="123"/>
      <c r="H554" s="123"/>
      <c r="I554" s="169"/>
      <c r="J554" s="123"/>
      <c r="K554" s="123"/>
      <c r="L554" s="127"/>
      <c r="M554" s="127"/>
      <c r="N554" s="127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 spans="1:27" ht="13.5" customHeight="1">
      <c r="A555" s="123"/>
      <c r="B555" s="127"/>
      <c r="C555" s="123"/>
      <c r="D555" s="123"/>
      <c r="E555" s="123"/>
      <c r="F555" s="123"/>
      <c r="G555" s="123"/>
      <c r="H555" s="123"/>
      <c r="I555" s="169"/>
      <c r="J555" s="123"/>
      <c r="K555" s="123"/>
      <c r="L555" s="127"/>
      <c r="M555" s="127"/>
      <c r="N555" s="127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 spans="1:27" ht="13.5" customHeight="1">
      <c r="A556" s="123"/>
      <c r="B556" s="127"/>
      <c r="C556" s="123"/>
      <c r="D556" s="123"/>
      <c r="E556" s="123"/>
      <c r="F556" s="123"/>
      <c r="G556" s="123"/>
      <c r="H556" s="123"/>
      <c r="I556" s="169"/>
      <c r="J556" s="123"/>
      <c r="K556" s="123"/>
      <c r="L556" s="127"/>
      <c r="M556" s="127"/>
      <c r="N556" s="127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 spans="1:27" ht="13.5" customHeight="1">
      <c r="A557" s="123"/>
      <c r="B557" s="127"/>
      <c r="C557" s="123"/>
      <c r="D557" s="123"/>
      <c r="E557" s="123"/>
      <c r="F557" s="123"/>
      <c r="G557" s="123"/>
      <c r="H557" s="123"/>
      <c r="I557" s="169"/>
      <c r="J557" s="123"/>
      <c r="K557" s="123"/>
      <c r="L557" s="127"/>
      <c r="M557" s="127"/>
      <c r="N557" s="127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 spans="1:27" ht="13.5" customHeight="1">
      <c r="A558" s="123"/>
      <c r="B558" s="127"/>
      <c r="C558" s="123"/>
      <c r="D558" s="123"/>
      <c r="E558" s="123"/>
      <c r="F558" s="123"/>
      <c r="G558" s="123"/>
      <c r="H558" s="123"/>
      <c r="I558" s="169"/>
      <c r="J558" s="123"/>
      <c r="K558" s="123"/>
      <c r="L558" s="127"/>
      <c r="M558" s="127"/>
      <c r="N558" s="127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 spans="1:27" ht="13.5" customHeight="1">
      <c r="A559" s="123"/>
      <c r="B559" s="127"/>
      <c r="C559" s="123"/>
      <c r="D559" s="123"/>
      <c r="E559" s="123"/>
      <c r="F559" s="123"/>
      <c r="G559" s="123"/>
      <c r="H559" s="123"/>
      <c r="I559" s="169"/>
      <c r="J559" s="123"/>
      <c r="K559" s="123"/>
      <c r="L559" s="127"/>
      <c r="M559" s="127"/>
      <c r="N559" s="127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 spans="1:27" ht="13.5" customHeight="1">
      <c r="A560" s="123"/>
      <c r="B560" s="127"/>
      <c r="C560" s="123"/>
      <c r="D560" s="123"/>
      <c r="E560" s="123"/>
      <c r="F560" s="123"/>
      <c r="G560" s="123"/>
      <c r="H560" s="123"/>
      <c r="I560" s="169"/>
      <c r="J560" s="123"/>
      <c r="K560" s="123"/>
      <c r="L560" s="127"/>
      <c r="M560" s="127"/>
      <c r="N560" s="127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 spans="1:27" ht="13.5" customHeight="1">
      <c r="A561" s="123"/>
      <c r="B561" s="127"/>
      <c r="C561" s="123"/>
      <c r="D561" s="123"/>
      <c r="E561" s="123"/>
      <c r="F561" s="123"/>
      <c r="G561" s="123"/>
      <c r="H561" s="123"/>
      <c r="I561" s="169"/>
      <c r="J561" s="123"/>
      <c r="K561" s="123"/>
      <c r="L561" s="127"/>
      <c r="M561" s="127"/>
      <c r="N561" s="127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 spans="1:27" ht="13.5" customHeight="1">
      <c r="A562" s="123"/>
      <c r="B562" s="127"/>
      <c r="C562" s="123"/>
      <c r="D562" s="123"/>
      <c r="E562" s="123"/>
      <c r="F562" s="123"/>
      <c r="G562" s="123"/>
      <c r="H562" s="123"/>
      <c r="I562" s="169"/>
      <c r="J562" s="123"/>
      <c r="K562" s="123"/>
      <c r="L562" s="127"/>
      <c r="M562" s="127"/>
      <c r="N562" s="127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 spans="1:27" ht="13.5" customHeight="1">
      <c r="A563" s="123"/>
      <c r="B563" s="127"/>
      <c r="C563" s="123"/>
      <c r="D563" s="123"/>
      <c r="E563" s="123"/>
      <c r="F563" s="123"/>
      <c r="G563" s="123"/>
      <c r="H563" s="123"/>
      <c r="I563" s="169"/>
      <c r="J563" s="123"/>
      <c r="K563" s="123"/>
      <c r="L563" s="127"/>
      <c r="M563" s="127"/>
      <c r="N563" s="127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 spans="1:27" ht="13.5" customHeight="1">
      <c r="A564" s="123"/>
      <c r="B564" s="127"/>
      <c r="C564" s="123"/>
      <c r="D564" s="123"/>
      <c r="E564" s="123"/>
      <c r="F564" s="123"/>
      <c r="G564" s="123"/>
      <c r="H564" s="123"/>
      <c r="I564" s="169"/>
      <c r="J564" s="123"/>
      <c r="K564" s="123"/>
      <c r="L564" s="127"/>
      <c r="M564" s="127"/>
      <c r="N564" s="127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 spans="1:27" ht="13.5" customHeight="1">
      <c r="A565" s="123"/>
      <c r="B565" s="127"/>
      <c r="C565" s="123"/>
      <c r="D565" s="123"/>
      <c r="E565" s="123"/>
      <c r="F565" s="123"/>
      <c r="G565" s="123"/>
      <c r="H565" s="123"/>
      <c r="I565" s="169"/>
      <c r="J565" s="123"/>
      <c r="K565" s="123"/>
      <c r="L565" s="127"/>
      <c r="M565" s="127"/>
      <c r="N565" s="127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 spans="1:27" ht="13.5" customHeight="1">
      <c r="A566" s="123"/>
      <c r="B566" s="127"/>
      <c r="C566" s="123"/>
      <c r="D566" s="123"/>
      <c r="E566" s="123"/>
      <c r="F566" s="123"/>
      <c r="G566" s="123"/>
      <c r="H566" s="123"/>
      <c r="I566" s="169"/>
      <c r="J566" s="123"/>
      <c r="K566" s="123"/>
      <c r="L566" s="127"/>
      <c r="M566" s="127"/>
      <c r="N566" s="127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 spans="1:27" ht="13.5" customHeight="1">
      <c r="A567" s="123"/>
      <c r="B567" s="127"/>
      <c r="C567" s="123"/>
      <c r="D567" s="123"/>
      <c r="E567" s="123"/>
      <c r="F567" s="123"/>
      <c r="G567" s="123"/>
      <c r="H567" s="123"/>
      <c r="I567" s="169"/>
      <c r="J567" s="123"/>
      <c r="K567" s="123"/>
      <c r="L567" s="127"/>
      <c r="M567" s="127"/>
      <c r="N567" s="127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 spans="1:27" ht="13.5" customHeight="1">
      <c r="A568" s="123"/>
      <c r="B568" s="127"/>
      <c r="C568" s="123"/>
      <c r="D568" s="123"/>
      <c r="E568" s="123"/>
      <c r="F568" s="123"/>
      <c r="G568" s="123"/>
      <c r="H568" s="123"/>
      <c r="I568" s="169"/>
      <c r="J568" s="123"/>
      <c r="K568" s="123"/>
      <c r="L568" s="127"/>
      <c r="M568" s="127"/>
      <c r="N568" s="127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 spans="1:27" ht="13.5" customHeight="1">
      <c r="A569" s="123"/>
      <c r="B569" s="127"/>
      <c r="C569" s="123"/>
      <c r="D569" s="123"/>
      <c r="E569" s="123"/>
      <c r="F569" s="123"/>
      <c r="G569" s="123"/>
      <c r="H569" s="123"/>
      <c r="I569" s="169"/>
      <c r="J569" s="123"/>
      <c r="K569" s="123"/>
      <c r="L569" s="127"/>
      <c r="M569" s="127"/>
      <c r="N569" s="127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 spans="1:27" ht="13.5" customHeight="1">
      <c r="A570" s="123"/>
      <c r="B570" s="127"/>
      <c r="C570" s="123"/>
      <c r="D570" s="123"/>
      <c r="E570" s="123"/>
      <c r="F570" s="123"/>
      <c r="G570" s="123"/>
      <c r="H570" s="123"/>
      <c r="I570" s="169"/>
      <c r="J570" s="123"/>
      <c r="K570" s="123"/>
      <c r="L570" s="127"/>
      <c r="M570" s="127"/>
      <c r="N570" s="127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 spans="1:27" ht="13.5" customHeight="1">
      <c r="A571" s="123"/>
      <c r="B571" s="127"/>
      <c r="C571" s="123"/>
      <c r="D571" s="123"/>
      <c r="E571" s="123"/>
      <c r="F571" s="123"/>
      <c r="G571" s="123"/>
      <c r="H571" s="123"/>
      <c r="I571" s="169"/>
      <c r="J571" s="123"/>
      <c r="K571" s="123"/>
      <c r="L571" s="127"/>
      <c r="M571" s="127"/>
      <c r="N571" s="127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 spans="1:27" ht="13.5" customHeight="1">
      <c r="A572" s="123"/>
      <c r="B572" s="127"/>
      <c r="C572" s="123"/>
      <c r="D572" s="123"/>
      <c r="E572" s="123"/>
      <c r="F572" s="123"/>
      <c r="G572" s="123"/>
      <c r="H572" s="123"/>
      <c r="I572" s="169"/>
      <c r="J572" s="123"/>
      <c r="K572" s="123"/>
      <c r="L572" s="127"/>
      <c r="M572" s="127"/>
      <c r="N572" s="127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 spans="1:27" ht="13.5" customHeight="1">
      <c r="A573" s="123"/>
      <c r="B573" s="127"/>
      <c r="C573" s="123"/>
      <c r="D573" s="123"/>
      <c r="E573" s="123"/>
      <c r="F573" s="123"/>
      <c r="G573" s="123"/>
      <c r="H573" s="123"/>
      <c r="I573" s="169"/>
      <c r="J573" s="123"/>
      <c r="K573" s="123"/>
      <c r="L573" s="127"/>
      <c r="M573" s="127"/>
      <c r="N573" s="127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 spans="1:27" ht="13.5" customHeight="1">
      <c r="A574" s="123"/>
      <c r="B574" s="127"/>
      <c r="C574" s="123"/>
      <c r="D574" s="123"/>
      <c r="E574" s="123"/>
      <c r="F574" s="123"/>
      <c r="G574" s="123"/>
      <c r="H574" s="123"/>
      <c r="I574" s="169"/>
      <c r="J574" s="123"/>
      <c r="K574" s="123"/>
      <c r="L574" s="127"/>
      <c r="M574" s="127"/>
      <c r="N574" s="127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 spans="1:27" ht="13.5" customHeight="1">
      <c r="A575" s="123"/>
      <c r="B575" s="127"/>
      <c r="C575" s="123"/>
      <c r="D575" s="123"/>
      <c r="E575" s="123"/>
      <c r="F575" s="123"/>
      <c r="G575" s="123"/>
      <c r="H575" s="123"/>
      <c r="I575" s="169"/>
      <c r="J575" s="123"/>
      <c r="K575" s="123"/>
      <c r="L575" s="127"/>
      <c r="M575" s="127"/>
      <c r="N575" s="127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 spans="1:27" ht="13.5" customHeight="1">
      <c r="A576" s="123"/>
      <c r="B576" s="127"/>
      <c r="C576" s="123"/>
      <c r="D576" s="123"/>
      <c r="E576" s="123"/>
      <c r="F576" s="123"/>
      <c r="G576" s="123"/>
      <c r="H576" s="123"/>
      <c r="I576" s="169"/>
      <c r="J576" s="123"/>
      <c r="K576" s="123"/>
      <c r="L576" s="127"/>
      <c r="M576" s="127"/>
      <c r="N576" s="127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 spans="1:27" ht="13.5" customHeight="1">
      <c r="A577" s="123"/>
      <c r="B577" s="127"/>
      <c r="C577" s="123"/>
      <c r="D577" s="123"/>
      <c r="E577" s="123"/>
      <c r="F577" s="123"/>
      <c r="G577" s="123"/>
      <c r="H577" s="123"/>
      <c r="I577" s="169"/>
      <c r="J577" s="123"/>
      <c r="K577" s="123"/>
      <c r="L577" s="127"/>
      <c r="M577" s="127"/>
      <c r="N577" s="127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 spans="1:27" ht="13.5" customHeight="1">
      <c r="A578" s="123"/>
      <c r="B578" s="127"/>
      <c r="C578" s="123"/>
      <c r="D578" s="123"/>
      <c r="E578" s="123"/>
      <c r="F578" s="123"/>
      <c r="G578" s="123"/>
      <c r="H578" s="123"/>
      <c r="I578" s="169"/>
      <c r="J578" s="123"/>
      <c r="K578" s="123"/>
      <c r="L578" s="127"/>
      <c r="M578" s="127"/>
      <c r="N578" s="127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 spans="1:27" ht="13.5" customHeight="1">
      <c r="A579" s="123"/>
      <c r="B579" s="127"/>
      <c r="C579" s="123"/>
      <c r="D579" s="123"/>
      <c r="E579" s="123"/>
      <c r="F579" s="123"/>
      <c r="G579" s="123"/>
      <c r="H579" s="123"/>
      <c r="I579" s="169"/>
      <c r="J579" s="123"/>
      <c r="K579" s="123"/>
      <c r="L579" s="127"/>
      <c r="M579" s="127"/>
      <c r="N579" s="127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 spans="1:27" ht="13.5" customHeight="1">
      <c r="A580" s="123"/>
      <c r="B580" s="127"/>
      <c r="C580" s="123"/>
      <c r="D580" s="123"/>
      <c r="E580" s="123"/>
      <c r="F580" s="123"/>
      <c r="G580" s="123"/>
      <c r="H580" s="123"/>
      <c r="I580" s="169"/>
      <c r="J580" s="123"/>
      <c r="K580" s="123"/>
      <c r="L580" s="127"/>
      <c r="M580" s="127"/>
      <c r="N580" s="127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 spans="1:27" ht="13.5" customHeight="1">
      <c r="A581" s="123"/>
      <c r="B581" s="127"/>
      <c r="C581" s="123"/>
      <c r="D581" s="123"/>
      <c r="E581" s="123"/>
      <c r="F581" s="123"/>
      <c r="G581" s="123"/>
      <c r="H581" s="123"/>
      <c r="I581" s="169"/>
      <c r="J581" s="123"/>
      <c r="K581" s="123"/>
      <c r="L581" s="127"/>
      <c r="M581" s="127"/>
      <c r="N581" s="127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 spans="1:27" ht="13.5" customHeight="1">
      <c r="A582" s="123"/>
      <c r="B582" s="127"/>
      <c r="C582" s="123"/>
      <c r="D582" s="123"/>
      <c r="E582" s="123"/>
      <c r="F582" s="123"/>
      <c r="G582" s="123"/>
      <c r="H582" s="123"/>
      <c r="I582" s="169"/>
      <c r="J582" s="123"/>
      <c r="K582" s="123"/>
      <c r="L582" s="127"/>
      <c r="M582" s="127"/>
      <c r="N582" s="127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 spans="1:27" ht="13.5" customHeight="1">
      <c r="A583" s="123"/>
      <c r="B583" s="127"/>
      <c r="C583" s="123"/>
      <c r="D583" s="123"/>
      <c r="E583" s="123"/>
      <c r="F583" s="123"/>
      <c r="G583" s="123"/>
      <c r="H583" s="123"/>
      <c r="I583" s="169"/>
      <c r="J583" s="123"/>
      <c r="K583" s="123"/>
      <c r="L583" s="127"/>
      <c r="M583" s="127"/>
      <c r="N583" s="127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 spans="1:27" ht="13.5" customHeight="1">
      <c r="A584" s="123"/>
      <c r="B584" s="127"/>
      <c r="C584" s="123"/>
      <c r="D584" s="123"/>
      <c r="E584" s="123"/>
      <c r="F584" s="123"/>
      <c r="G584" s="123"/>
      <c r="H584" s="123"/>
      <c r="I584" s="169"/>
      <c r="J584" s="123"/>
      <c r="K584" s="123"/>
      <c r="L584" s="127"/>
      <c r="M584" s="127"/>
      <c r="N584" s="127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 spans="1:27" ht="13.5" customHeight="1">
      <c r="A585" s="123"/>
      <c r="B585" s="127"/>
      <c r="C585" s="123"/>
      <c r="D585" s="123"/>
      <c r="E585" s="123"/>
      <c r="F585" s="123"/>
      <c r="G585" s="123"/>
      <c r="H585" s="123"/>
      <c r="I585" s="169"/>
      <c r="J585" s="123"/>
      <c r="K585" s="123"/>
      <c r="L585" s="127"/>
      <c r="M585" s="127"/>
      <c r="N585" s="127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 spans="1:27" ht="13.5" customHeight="1">
      <c r="A586" s="123"/>
      <c r="B586" s="127"/>
      <c r="C586" s="123"/>
      <c r="D586" s="123"/>
      <c r="E586" s="123"/>
      <c r="F586" s="123"/>
      <c r="G586" s="123"/>
      <c r="H586" s="123"/>
      <c r="I586" s="169"/>
      <c r="J586" s="123"/>
      <c r="K586" s="123"/>
      <c r="L586" s="127"/>
      <c r="M586" s="127"/>
      <c r="N586" s="127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 spans="1:27" ht="13.5" customHeight="1">
      <c r="A587" s="123"/>
      <c r="B587" s="127"/>
      <c r="C587" s="123"/>
      <c r="D587" s="123"/>
      <c r="E587" s="123"/>
      <c r="F587" s="123"/>
      <c r="G587" s="123"/>
      <c r="H587" s="123"/>
      <c r="I587" s="169"/>
      <c r="J587" s="123"/>
      <c r="K587" s="123"/>
      <c r="L587" s="127"/>
      <c r="M587" s="127"/>
      <c r="N587" s="127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 spans="1:27" ht="13.5" customHeight="1">
      <c r="A588" s="123"/>
      <c r="B588" s="127"/>
      <c r="C588" s="123"/>
      <c r="D588" s="123"/>
      <c r="E588" s="123"/>
      <c r="F588" s="123"/>
      <c r="G588" s="123"/>
      <c r="H588" s="123"/>
      <c r="I588" s="169"/>
      <c r="J588" s="123"/>
      <c r="K588" s="123"/>
      <c r="L588" s="127"/>
      <c r="M588" s="127"/>
      <c r="N588" s="127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 spans="1:27" ht="13.5" customHeight="1">
      <c r="A589" s="123"/>
      <c r="B589" s="127"/>
      <c r="C589" s="123"/>
      <c r="D589" s="123"/>
      <c r="E589" s="123"/>
      <c r="F589" s="123"/>
      <c r="G589" s="123"/>
      <c r="H589" s="123"/>
      <c r="I589" s="169"/>
      <c r="J589" s="123"/>
      <c r="K589" s="123"/>
      <c r="L589" s="127"/>
      <c r="M589" s="127"/>
      <c r="N589" s="127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 spans="1:27" ht="13.5" customHeight="1">
      <c r="A590" s="123"/>
      <c r="B590" s="127"/>
      <c r="C590" s="123"/>
      <c r="D590" s="123"/>
      <c r="E590" s="123"/>
      <c r="F590" s="123"/>
      <c r="G590" s="123"/>
      <c r="H590" s="123"/>
      <c r="I590" s="169"/>
      <c r="J590" s="123"/>
      <c r="K590" s="123"/>
      <c r="L590" s="127"/>
      <c r="M590" s="127"/>
      <c r="N590" s="127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 spans="1:27" ht="13.5" customHeight="1">
      <c r="A591" s="123"/>
      <c r="B591" s="127"/>
      <c r="C591" s="123"/>
      <c r="D591" s="123"/>
      <c r="E591" s="123"/>
      <c r="F591" s="123"/>
      <c r="G591" s="123"/>
      <c r="H591" s="123"/>
      <c r="I591" s="169"/>
      <c r="J591" s="123"/>
      <c r="K591" s="123"/>
      <c r="L591" s="127"/>
      <c r="M591" s="127"/>
      <c r="N591" s="127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 spans="1:27" ht="13.5" customHeight="1">
      <c r="A592" s="123"/>
      <c r="B592" s="127"/>
      <c r="C592" s="123"/>
      <c r="D592" s="123"/>
      <c r="E592" s="123"/>
      <c r="F592" s="123"/>
      <c r="G592" s="123"/>
      <c r="H592" s="123"/>
      <c r="I592" s="169"/>
      <c r="J592" s="123"/>
      <c r="K592" s="123"/>
      <c r="L592" s="127"/>
      <c r="M592" s="127"/>
      <c r="N592" s="127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 spans="1:27" ht="13.5" customHeight="1">
      <c r="A593" s="123"/>
      <c r="B593" s="127"/>
      <c r="C593" s="123"/>
      <c r="D593" s="123"/>
      <c r="E593" s="123"/>
      <c r="F593" s="123"/>
      <c r="G593" s="123"/>
      <c r="H593" s="123"/>
      <c r="I593" s="169"/>
      <c r="J593" s="123"/>
      <c r="K593" s="123"/>
      <c r="L593" s="127"/>
      <c r="M593" s="127"/>
      <c r="N593" s="127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 spans="1:27" ht="13.5" customHeight="1">
      <c r="A594" s="123"/>
      <c r="B594" s="127"/>
      <c r="C594" s="123"/>
      <c r="D594" s="123"/>
      <c r="E594" s="123"/>
      <c r="F594" s="123"/>
      <c r="G594" s="123"/>
      <c r="H594" s="123"/>
      <c r="I594" s="169"/>
      <c r="J594" s="123"/>
      <c r="K594" s="123"/>
      <c r="L594" s="127"/>
      <c r="M594" s="127"/>
      <c r="N594" s="127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 spans="1:27" ht="13.5" customHeight="1">
      <c r="A595" s="123"/>
      <c r="B595" s="127"/>
      <c r="C595" s="123"/>
      <c r="D595" s="123"/>
      <c r="E595" s="123"/>
      <c r="F595" s="123"/>
      <c r="G595" s="123"/>
      <c r="H595" s="123"/>
      <c r="I595" s="169"/>
      <c r="J595" s="123"/>
      <c r="K595" s="123"/>
      <c r="L595" s="127"/>
      <c r="M595" s="127"/>
      <c r="N595" s="127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 spans="1:27" ht="13.5" customHeight="1">
      <c r="A596" s="123"/>
      <c r="B596" s="127"/>
      <c r="C596" s="123"/>
      <c r="D596" s="123"/>
      <c r="E596" s="123"/>
      <c r="F596" s="123"/>
      <c r="G596" s="123"/>
      <c r="H596" s="123"/>
      <c r="I596" s="169"/>
      <c r="J596" s="123"/>
      <c r="K596" s="123"/>
      <c r="L596" s="127"/>
      <c r="M596" s="127"/>
      <c r="N596" s="127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 spans="1:27" ht="13.5" customHeight="1">
      <c r="A597" s="123"/>
      <c r="B597" s="127"/>
      <c r="C597" s="123"/>
      <c r="D597" s="123"/>
      <c r="E597" s="123"/>
      <c r="F597" s="123"/>
      <c r="G597" s="123"/>
      <c r="H597" s="123"/>
      <c r="I597" s="169"/>
      <c r="J597" s="123"/>
      <c r="K597" s="123"/>
      <c r="L597" s="127"/>
      <c r="M597" s="127"/>
      <c r="N597" s="127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 spans="1:27" ht="13.5" customHeight="1">
      <c r="A598" s="123"/>
      <c r="B598" s="127"/>
      <c r="C598" s="123"/>
      <c r="D598" s="123"/>
      <c r="E598" s="123"/>
      <c r="F598" s="123"/>
      <c r="G598" s="123"/>
      <c r="H598" s="123"/>
      <c r="I598" s="169"/>
      <c r="J598" s="123"/>
      <c r="K598" s="123"/>
      <c r="L598" s="127"/>
      <c r="M598" s="127"/>
      <c r="N598" s="127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 spans="1:27" ht="13.5" customHeight="1">
      <c r="A599" s="123"/>
      <c r="B599" s="127"/>
      <c r="C599" s="123"/>
      <c r="D599" s="123"/>
      <c r="E599" s="123"/>
      <c r="F599" s="123"/>
      <c r="G599" s="123"/>
      <c r="H599" s="123"/>
      <c r="I599" s="169"/>
      <c r="J599" s="123"/>
      <c r="K599" s="123"/>
      <c r="L599" s="127"/>
      <c r="M599" s="127"/>
      <c r="N599" s="127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 spans="1:27" ht="13.5" customHeight="1">
      <c r="A600" s="123"/>
      <c r="B600" s="127"/>
      <c r="C600" s="123"/>
      <c r="D600" s="123"/>
      <c r="E600" s="123"/>
      <c r="F600" s="123"/>
      <c r="G600" s="123"/>
      <c r="H600" s="123"/>
      <c r="I600" s="169"/>
      <c r="J600" s="123"/>
      <c r="K600" s="123"/>
      <c r="L600" s="127"/>
      <c r="M600" s="127"/>
      <c r="N600" s="127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 spans="1:27" ht="13.5" customHeight="1">
      <c r="A601" s="123"/>
      <c r="B601" s="127"/>
      <c r="C601" s="123"/>
      <c r="D601" s="123"/>
      <c r="E601" s="123"/>
      <c r="F601" s="123"/>
      <c r="G601" s="123"/>
      <c r="H601" s="123"/>
      <c r="I601" s="169"/>
      <c r="J601" s="123"/>
      <c r="K601" s="123"/>
      <c r="L601" s="127"/>
      <c r="M601" s="127"/>
      <c r="N601" s="127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 spans="1:27" ht="13.5" customHeight="1">
      <c r="A602" s="123"/>
      <c r="B602" s="127"/>
      <c r="C602" s="123"/>
      <c r="D602" s="123"/>
      <c r="E602" s="123"/>
      <c r="F602" s="123"/>
      <c r="G602" s="123"/>
      <c r="H602" s="123"/>
      <c r="I602" s="169"/>
      <c r="J602" s="123"/>
      <c r="K602" s="123"/>
      <c r="L602" s="127"/>
      <c r="M602" s="127"/>
      <c r="N602" s="127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 spans="1:27" ht="13.5" customHeight="1">
      <c r="A603" s="123"/>
      <c r="B603" s="127"/>
      <c r="C603" s="123"/>
      <c r="D603" s="123"/>
      <c r="E603" s="123"/>
      <c r="F603" s="123"/>
      <c r="G603" s="123"/>
      <c r="H603" s="123"/>
      <c r="I603" s="169"/>
      <c r="J603" s="123"/>
      <c r="K603" s="123"/>
      <c r="L603" s="127"/>
      <c r="M603" s="127"/>
      <c r="N603" s="127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 spans="1:27" ht="13.5" customHeight="1">
      <c r="A604" s="123"/>
      <c r="B604" s="127"/>
      <c r="C604" s="123"/>
      <c r="D604" s="123"/>
      <c r="E604" s="123"/>
      <c r="F604" s="123"/>
      <c r="G604" s="123"/>
      <c r="H604" s="123"/>
      <c r="I604" s="169"/>
      <c r="J604" s="123"/>
      <c r="K604" s="123"/>
      <c r="L604" s="127"/>
      <c r="M604" s="127"/>
      <c r="N604" s="127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 spans="1:27" ht="13.5" customHeight="1">
      <c r="A605" s="123"/>
      <c r="B605" s="127"/>
      <c r="C605" s="123"/>
      <c r="D605" s="123"/>
      <c r="E605" s="123"/>
      <c r="F605" s="123"/>
      <c r="G605" s="123"/>
      <c r="H605" s="123"/>
      <c r="I605" s="169"/>
      <c r="J605" s="123"/>
      <c r="K605" s="123"/>
      <c r="L605" s="127"/>
      <c r="M605" s="127"/>
      <c r="N605" s="127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 spans="1:27" ht="13.5" customHeight="1">
      <c r="A606" s="123"/>
      <c r="B606" s="127"/>
      <c r="C606" s="123"/>
      <c r="D606" s="123"/>
      <c r="E606" s="123"/>
      <c r="F606" s="123"/>
      <c r="G606" s="123"/>
      <c r="H606" s="123"/>
      <c r="I606" s="169"/>
      <c r="J606" s="123"/>
      <c r="K606" s="123"/>
      <c r="L606" s="127"/>
      <c r="M606" s="127"/>
      <c r="N606" s="127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 spans="1:27" ht="13.5" customHeight="1">
      <c r="A607" s="123"/>
      <c r="B607" s="127"/>
      <c r="C607" s="123"/>
      <c r="D607" s="123"/>
      <c r="E607" s="123"/>
      <c r="F607" s="123"/>
      <c r="G607" s="123"/>
      <c r="H607" s="123"/>
      <c r="I607" s="169"/>
      <c r="J607" s="123"/>
      <c r="K607" s="123"/>
      <c r="L607" s="127"/>
      <c r="M607" s="127"/>
      <c r="N607" s="127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 spans="1:27" ht="13.5" customHeight="1">
      <c r="A608" s="123"/>
      <c r="B608" s="127"/>
      <c r="C608" s="123"/>
      <c r="D608" s="123"/>
      <c r="E608" s="123"/>
      <c r="F608" s="123"/>
      <c r="G608" s="123"/>
      <c r="H608" s="123"/>
      <c r="I608" s="169"/>
      <c r="J608" s="123"/>
      <c r="K608" s="123"/>
      <c r="L608" s="127"/>
      <c r="M608" s="127"/>
      <c r="N608" s="127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 spans="1:27" ht="13.5" customHeight="1">
      <c r="A609" s="123"/>
      <c r="B609" s="127"/>
      <c r="C609" s="123"/>
      <c r="D609" s="123"/>
      <c r="E609" s="123"/>
      <c r="F609" s="123"/>
      <c r="G609" s="123"/>
      <c r="H609" s="123"/>
      <c r="I609" s="169"/>
      <c r="J609" s="123"/>
      <c r="K609" s="123"/>
      <c r="L609" s="127"/>
      <c r="M609" s="127"/>
      <c r="N609" s="127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 spans="1:27" ht="13.5" customHeight="1">
      <c r="A610" s="123"/>
      <c r="B610" s="127"/>
      <c r="C610" s="123"/>
      <c r="D610" s="123"/>
      <c r="E610" s="123"/>
      <c r="F610" s="123"/>
      <c r="G610" s="123"/>
      <c r="H610" s="123"/>
      <c r="I610" s="169"/>
      <c r="J610" s="123"/>
      <c r="K610" s="123"/>
      <c r="L610" s="127"/>
      <c r="M610" s="127"/>
      <c r="N610" s="127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 spans="1:27" ht="13.5" customHeight="1">
      <c r="A611" s="123"/>
      <c r="B611" s="127"/>
      <c r="C611" s="123"/>
      <c r="D611" s="123"/>
      <c r="E611" s="123"/>
      <c r="F611" s="123"/>
      <c r="G611" s="123"/>
      <c r="H611" s="123"/>
      <c r="I611" s="169"/>
      <c r="J611" s="123"/>
      <c r="K611" s="123"/>
      <c r="L611" s="127"/>
      <c r="M611" s="127"/>
      <c r="N611" s="127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 spans="1:27" ht="13.5" customHeight="1">
      <c r="A612" s="123"/>
      <c r="B612" s="127"/>
      <c r="C612" s="123"/>
      <c r="D612" s="123"/>
      <c r="E612" s="123"/>
      <c r="F612" s="123"/>
      <c r="G612" s="123"/>
      <c r="H612" s="123"/>
      <c r="I612" s="169"/>
      <c r="J612" s="123"/>
      <c r="K612" s="123"/>
      <c r="L612" s="127"/>
      <c r="M612" s="127"/>
      <c r="N612" s="127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 spans="1:27" ht="13.5" customHeight="1">
      <c r="A613" s="123"/>
      <c r="B613" s="127"/>
      <c r="C613" s="123"/>
      <c r="D613" s="123"/>
      <c r="E613" s="123"/>
      <c r="F613" s="123"/>
      <c r="G613" s="123"/>
      <c r="H613" s="123"/>
      <c r="I613" s="169"/>
      <c r="J613" s="123"/>
      <c r="K613" s="123"/>
      <c r="L613" s="127"/>
      <c r="M613" s="127"/>
      <c r="N613" s="127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 spans="1:27" ht="13.5" customHeight="1">
      <c r="A614" s="123"/>
      <c r="B614" s="127"/>
      <c r="C614" s="123"/>
      <c r="D614" s="123"/>
      <c r="E614" s="123"/>
      <c r="F614" s="123"/>
      <c r="G614" s="123"/>
      <c r="H614" s="123"/>
      <c r="I614" s="169"/>
      <c r="J614" s="123"/>
      <c r="K614" s="123"/>
      <c r="L614" s="127"/>
      <c r="M614" s="127"/>
      <c r="N614" s="127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 spans="1:27" ht="13.5" customHeight="1">
      <c r="A615" s="123"/>
      <c r="B615" s="127"/>
      <c r="C615" s="123"/>
      <c r="D615" s="123"/>
      <c r="E615" s="123"/>
      <c r="F615" s="123"/>
      <c r="G615" s="123"/>
      <c r="H615" s="123"/>
      <c r="I615" s="169"/>
      <c r="J615" s="123"/>
      <c r="K615" s="123"/>
      <c r="L615" s="127"/>
      <c r="M615" s="127"/>
      <c r="N615" s="127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 spans="1:27" ht="13.5" customHeight="1">
      <c r="A616" s="123"/>
      <c r="B616" s="127"/>
      <c r="C616" s="123"/>
      <c r="D616" s="123"/>
      <c r="E616" s="123"/>
      <c r="F616" s="123"/>
      <c r="G616" s="123"/>
      <c r="H616" s="123"/>
      <c r="I616" s="169"/>
      <c r="J616" s="123"/>
      <c r="K616" s="123"/>
      <c r="L616" s="127"/>
      <c r="M616" s="127"/>
      <c r="N616" s="127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 spans="1:27" ht="13.5" customHeight="1">
      <c r="A617" s="123"/>
      <c r="B617" s="127"/>
      <c r="C617" s="123"/>
      <c r="D617" s="123"/>
      <c r="E617" s="123"/>
      <c r="F617" s="123"/>
      <c r="G617" s="123"/>
      <c r="H617" s="123"/>
      <c r="I617" s="169"/>
      <c r="J617" s="123"/>
      <c r="K617" s="123"/>
      <c r="L617" s="127"/>
      <c r="M617" s="127"/>
      <c r="N617" s="127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 spans="1:27" ht="13.5" customHeight="1">
      <c r="A618" s="123"/>
      <c r="B618" s="127"/>
      <c r="C618" s="123"/>
      <c r="D618" s="123"/>
      <c r="E618" s="123"/>
      <c r="F618" s="123"/>
      <c r="G618" s="123"/>
      <c r="H618" s="123"/>
      <c r="I618" s="169"/>
      <c r="J618" s="123"/>
      <c r="K618" s="123"/>
      <c r="L618" s="127"/>
      <c r="M618" s="127"/>
      <c r="N618" s="127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 spans="1:27" ht="13.5" customHeight="1">
      <c r="A619" s="123"/>
      <c r="B619" s="127"/>
      <c r="C619" s="123"/>
      <c r="D619" s="123"/>
      <c r="E619" s="123"/>
      <c r="F619" s="123"/>
      <c r="G619" s="123"/>
      <c r="H619" s="123"/>
      <c r="I619" s="169"/>
      <c r="J619" s="123"/>
      <c r="K619" s="123"/>
      <c r="L619" s="127"/>
      <c r="M619" s="127"/>
      <c r="N619" s="127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 spans="1:27" ht="13.5" customHeight="1">
      <c r="A620" s="123"/>
      <c r="B620" s="127"/>
      <c r="C620" s="123"/>
      <c r="D620" s="123"/>
      <c r="E620" s="123"/>
      <c r="F620" s="123"/>
      <c r="G620" s="123"/>
      <c r="H620" s="123"/>
      <c r="I620" s="169"/>
      <c r="J620" s="123"/>
      <c r="K620" s="123"/>
      <c r="L620" s="127"/>
      <c r="M620" s="127"/>
      <c r="N620" s="127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 spans="1:27" ht="13.5" customHeight="1">
      <c r="A621" s="123"/>
      <c r="B621" s="127"/>
      <c r="C621" s="123"/>
      <c r="D621" s="123"/>
      <c r="E621" s="123"/>
      <c r="F621" s="123"/>
      <c r="G621" s="123"/>
      <c r="H621" s="123"/>
      <c r="I621" s="169"/>
      <c r="J621" s="123"/>
      <c r="K621" s="123"/>
      <c r="L621" s="127"/>
      <c r="M621" s="127"/>
      <c r="N621" s="127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 spans="1:27" ht="13.5" customHeight="1">
      <c r="A622" s="123"/>
      <c r="B622" s="127"/>
      <c r="C622" s="123"/>
      <c r="D622" s="123"/>
      <c r="E622" s="123"/>
      <c r="F622" s="123"/>
      <c r="G622" s="123"/>
      <c r="H622" s="123"/>
      <c r="I622" s="169"/>
      <c r="J622" s="123"/>
      <c r="K622" s="123"/>
      <c r="L622" s="127"/>
      <c r="M622" s="127"/>
      <c r="N622" s="127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 spans="1:27" ht="13.5" customHeight="1">
      <c r="A623" s="123"/>
      <c r="B623" s="127"/>
      <c r="C623" s="123"/>
      <c r="D623" s="123"/>
      <c r="E623" s="123"/>
      <c r="F623" s="123"/>
      <c r="G623" s="123"/>
      <c r="H623" s="123"/>
      <c r="I623" s="169"/>
      <c r="J623" s="123"/>
      <c r="K623" s="123"/>
      <c r="L623" s="127"/>
      <c r="M623" s="127"/>
      <c r="N623" s="127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 spans="1:27" ht="13.5" customHeight="1">
      <c r="A624" s="123"/>
      <c r="B624" s="127"/>
      <c r="C624" s="123"/>
      <c r="D624" s="123"/>
      <c r="E624" s="123"/>
      <c r="F624" s="123"/>
      <c r="G624" s="123"/>
      <c r="H624" s="123"/>
      <c r="I624" s="169"/>
      <c r="J624" s="123"/>
      <c r="K624" s="123"/>
      <c r="L624" s="127"/>
      <c r="M624" s="127"/>
      <c r="N624" s="127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 spans="1:27" ht="13.5" customHeight="1">
      <c r="A625" s="123"/>
      <c r="B625" s="127"/>
      <c r="C625" s="123"/>
      <c r="D625" s="123"/>
      <c r="E625" s="123"/>
      <c r="F625" s="123"/>
      <c r="G625" s="123"/>
      <c r="H625" s="123"/>
      <c r="I625" s="169"/>
      <c r="J625" s="123"/>
      <c r="K625" s="123"/>
      <c r="L625" s="127"/>
      <c r="M625" s="127"/>
      <c r="N625" s="127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 spans="1:27" ht="13.5" customHeight="1">
      <c r="A626" s="123"/>
      <c r="B626" s="127"/>
      <c r="C626" s="123"/>
      <c r="D626" s="123"/>
      <c r="E626" s="123"/>
      <c r="F626" s="123"/>
      <c r="G626" s="123"/>
      <c r="H626" s="123"/>
      <c r="I626" s="169"/>
      <c r="J626" s="123"/>
      <c r="K626" s="123"/>
      <c r="L626" s="127"/>
      <c r="M626" s="127"/>
      <c r="N626" s="127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 spans="1:27" ht="13.5" customHeight="1">
      <c r="A627" s="123"/>
      <c r="B627" s="127"/>
      <c r="C627" s="123"/>
      <c r="D627" s="123"/>
      <c r="E627" s="123"/>
      <c r="F627" s="123"/>
      <c r="G627" s="123"/>
      <c r="H627" s="123"/>
      <c r="I627" s="169"/>
      <c r="J627" s="123"/>
      <c r="K627" s="123"/>
      <c r="L627" s="127"/>
      <c r="M627" s="127"/>
      <c r="N627" s="127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 spans="1:27" ht="13.5" customHeight="1">
      <c r="A628" s="123"/>
      <c r="B628" s="127"/>
      <c r="C628" s="123"/>
      <c r="D628" s="123"/>
      <c r="E628" s="123"/>
      <c r="F628" s="123"/>
      <c r="G628" s="123"/>
      <c r="H628" s="123"/>
      <c r="I628" s="169"/>
      <c r="J628" s="123"/>
      <c r="K628" s="123"/>
      <c r="L628" s="127"/>
      <c r="M628" s="127"/>
      <c r="N628" s="127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 spans="1:27" ht="13.5" customHeight="1">
      <c r="A629" s="123"/>
      <c r="B629" s="127"/>
      <c r="C629" s="123"/>
      <c r="D629" s="123"/>
      <c r="E629" s="123"/>
      <c r="F629" s="123"/>
      <c r="G629" s="123"/>
      <c r="H629" s="123"/>
      <c r="I629" s="169"/>
      <c r="J629" s="123"/>
      <c r="K629" s="123"/>
      <c r="L629" s="127"/>
      <c r="M629" s="127"/>
      <c r="N629" s="127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 spans="1:27" ht="13.5" customHeight="1">
      <c r="A630" s="123"/>
      <c r="B630" s="127"/>
      <c r="C630" s="123"/>
      <c r="D630" s="123"/>
      <c r="E630" s="123"/>
      <c r="F630" s="123"/>
      <c r="G630" s="123"/>
      <c r="H630" s="123"/>
      <c r="I630" s="169"/>
      <c r="J630" s="123"/>
      <c r="K630" s="123"/>
      <c r="L630" s="127"/>
      <c r="M630" s="127"/>
      <c r="N630" s="127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 spans="1:27" ht="13.5" customHeight="1">
      <c r="A631" s="123"/>
      <c r="B631" s="127"/>
      <c r="C631" s="123"/>
      <c r="D631" s="123"/>
      <c r="E631" s="123"/>
      <c r="F631" s="123"/>
      <c r="G631" s="123"/>
      <c r="H631" s="123"/>
      <c r="I631" s="169"/>
      <c r="J631" s="123"/>
      <c r="K631" s="123"/>
      <c r="L631" s="127"/>
      <c r="M631" s="127"/>
      <c r="N631" s="127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 spans="1:27" ht="13.5" customHeight="1">
      <c r="A632" s="123"/>
      <c r="B632" s="127"/>
      <c r="C632" s="123"/>
      <c r="D632" s="123"/>
      <c r="E632" s="123"/>
      <c r="F632" s="123"/>
      <c r="G632" s="123"/>
      <c r="H632" s="123"/>
      <c r="I632" s="169"/>
      <c r="J632" s="123"/>
      <c r="K632" s="123"/>
      <c r="L632" s="127"/>
      <c r="M632" s="127"/>
      <c r="N632" s="127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 spans="1:27" ht="13.5" customHeight="1">
      <c r="A633" s="123"/>
      <c r="B633" s="127"/>
      <c r="C633" s="123"/>
      <c r="D633" s="123"/>
      <c r="E633" s="123"/>
      <c r="F633" s="123"/>
      <c r="G633" s="123"/>
      <c r="H633" s="123"/>
      <c r="I633" s="169"/>
      <c r="J633" s="123"/>
      <c r="K633" s="123"/>
      <c r="L633" s="127"/>
      <c r="M633" s="127"/>
      <c r="N633" s="127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 spans="1:27" ht="13.5" customHeight="1">
      <c r="A634" s="123"/>
      <c r="B634" s="127"/>
      <c r="C634" s="123"/>
      <c r="D634" s="123"/>
      <c r="E634" s="123"/>
      <c r="F634" s="123"/>
      <c r="G634" s="123"/>
      <c r="H634" s="123"/>
      <c r="I634" s="169"/>
      <c r="J634" s="123"/>
      <c r="K634" s="123"/>
      <c r="L634" s="127"/>
      <c r="M634" s="127"/>
      <c r="N634" s="127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 spans="1:27" ht="13.5" customHeight="1">
      <c r="A635" s="123"/>
      <c r="B635" s="127"/>
      <c r="C635" s="123"/>
      <c r="D635" s="123"/>
      <c r="E635" s="123"/>
      <c r="F635" s="123"/>
      <c r="G635" s="123"/>
      <c r="H635" s="123"/>
      <c r="I635" s="169"/>
      <c r="J635" s="123"/>
      <c r="K635" s="123"/>
      <c r="L635" s="127"/>
      <c r="M635" s="127"/>
      <c r="N635" s="127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 spans="1:27" ht="13.5" customHeight="1">
      <c r="A636" s="123"/>
      <c r="B636" s="127"/>
      <c r="C636" s="123"/>
      <c r="D636" s="123"/>
      <c r="E636" s="123"/>
      <c r="F636" s="123"/>
      <c r="G636" s="123"/>
      <c r="H636" s="123"/>
      <c r="I636" s="169"/>
      <c r="J636" s="123"/>
      <c r="K636" s="123"/>
      <c r="L636" s="127"/>
      <c r="M636" s="127"/>
      <c r="N636" s="127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 spans="1:27" ht="13.5" customHeight="1">
      <c r="A637" s="123"/>
      <c r="B637" s="127"/>
      <c r="C637" s="123"/>
      <c r="D637" s="123"/>
      <c r="E637" s="123"/>
      <c r="F637" s="123"/>
      <c r="G637" s="123"/>
      <c r="H637" s="123"/>
      <c r="I637" s="169"/>
      <c r="J637" s="123"/>
      <c r="K637" s="123"/>
      <c r="L637" s="127"/>
      <c r="M637" s="127"/>
      <c r="N637" s="127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 spans="1:27" ht="13.5" customHeight="1">
      <c r="A638" s="123"/>
      <c r="B638" s="127"/>
      <c r="C638" s="123"/>
      <c r="D638" s="123"/>
      <c r="E638" s="123"/>
      <c r="F638" s="123"/>
      <c r="G638" s="123"/>
      <c r="H638" s="123"/>
      <c r="I638" s="169"/>
      <c r="J638" s="123"/>
      <c r="K638" s="123"/>
      <c r="L638" s="127"/>
      <c r="M638" s="127"/>
      <c r="N638" s="127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 spans="1:27" ht="13.5" customHeight="1">
      <c r="A639" s="123"/>
      <c r="B639" s="127"/>
      <c r="C639" s="123"/>
      <c r="D639" s="123"/>
      <c r="E639" s="123"/>
      <c r="F639" s="123"/>
      <c r="G639" s="123"/>
      <c r="H639" s="123"/>
      <c r="I639" s="169"/>
      <c r="J639" s="123"/>
      <c r="K639" s="123"/>
      <c r="L639" s="127"/>
      <c r="M639" s="127"/>
      <c r="N639" s="127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 spans="1:27" ht="13.5" customHeight="1">
      <c r="A640" s="123"/>
      <c r="B640" s="127"/>
      <c r="C640" s="123"/>
      <c r="D640" s="123"/>
      <c r="E640" s="123"/>
      <c r="F640" s="123"/>
      <c r="G640" s="123"/>
      <c r="H640" s="123"/>
      <c r="I640" s="169"/>
      <c r="J640" s="123"/>
      <c r="K640" s="123"/>
      <c r="L640" s="127"/>
      <c r="M640" s="127"/>
      <c r="N640" s="127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 spans="1:27" ht="13.5" customHeight="1">
      <c r="A641" s="123"/>
      <c r="B641" s="127"/>
      <c r="C641" s="123"/>
      <c r="D641" s="123"/>
      <c r="E641" s="123"/>
      <c r="F641" s="123"/>
      <c r="G641" s="123"/>
      <c r="H641" s="123"/>
      <c r="I641" s="169"/>
      <c r="J641" s="123"/>
      <c r="K641" s="123"/>
      <c r="L641" s="127"/>
      <c r="M641" s="127"/>
      <c r="N641" s="127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 spans="1:27" ht="13.5" customHeight="1">
      <c r="A642" s="123"/>
      <c r="B642" s="127"/>
      <c r="C642" s="123"/>
      <c r="D642" s="123"/>
      <c r="E642" s="123"/>
      <c r="F642" s="123"/>
      <c r="G642" s="123"/>
      <c r="H642" s="123"/>
      <c r="I642" s="169"/>
      <c r="J642" s="123"/>
      <c r="K642" s="123"/>
      <c r="L642" s="127"/>
      <c r="M642" s="127"/>
      <c r="N642" s="127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 spans="1:27" ht="13.5" customHeight="1">
      <c r="A643" s="123"/>
      <c r="B643" s="127"/>
      <c r="C643" s="123"/>
      <c r="D643" s="123"/>
      <c r="E643" s="123"/>
      <c r="F643" s="123"/>
      <c r="G643" s="123"/>
      <c r="H643" s="123"/>
      <c r="I643" s="169"/>
      <c r="J643" s="123"/>
      <c r="K643" s="123"/>
      <c r="L643" s="127"/>
      <c r="M643" s="127"/>
      <c r="N643" s="127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 spans="1:27" ht="13.5" customHeight="1">
      <c r="A644" s="123"/>
      <c r="B644" s="127"/>
      <c r="C644" s="123"/>
      <c r="D644" s="123"/>
      <c r="E644" s="123"/>
      <c r="F644" s="123"/>
      <c r="G644" s="123"/>
      <c r="H644" s="123"/>
      <c r="I644" s="169"/>
      <c r="J644" s="123"/>
      <c r="K644" s="123"/>
      <c r="L644" s="127"/>
      <c r="M644" s="127"/>
      <c r="N644" s="127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 spans="1:27" ht="13.5" customHeight="1">
      <c r="A645" s="123"/>
      <c r="B645" s="127"/>
      <c r="C645" s="123"/>
      <c r="D645" s="123"/>
      <c r="E645" s="123"/>
      <c r="F645" s="123"/>
      <c r="G645" s="123"/>
      <c r="H645" s="123"/>
      <c r="I645" s="169"/>
      <c r="J645" s="123"/>
      <c r="K645" s="123"/>
      <c r="L645" s="127"/>
      <c r="M645" s="127"/>
      <c r="N645" s="127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 spans="1:27" ht="13.5" customHeight="1">
      <c r="A646" s="123"/>
      <c r="B646" s="127"/>
      <c r="C646" s="123"/>
      <c r="D646" s="123"/>
      <c r="E646" s="123"/>
      <c r="F646" s="123"/>
      <c r="G646" s="123"/>
      <c r="H646" s="123"/>
      <c r="I646" s="169"/>
      <c r="J646" s="123"/>
      <c r="K646" s="123"/>
      <c r="L646" s="127"/>
      <c r="M646" s="127"/>
      <c r="N646" s="127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 spans="1:27" ht="13.5" customHeight="1">
      <c r="A647" s="123"/>
      <c r="B647" s="127"/>
      <c r="C647" s="123"/>
      <c r="D647" s="123"/>
      <c r="E647" s="123"/>
      <c r="F647" s="123"/>
      <c r="G647" s="123"/>
      <c r="H647" s="123"/>
      <c r="I647" s="169"/>
      <c r="J647" s="123"/>
      <c r="K647" s="123"/>
      <c r="L647" s="127"/>
      <c r="M647" s="127"/>
      <c r="N647" s="127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 spans="1:27" ht="13.5" customHeight="1">
      <c r="A648" s="123"/>
      <c r="B648" s="127"/>
      <c r="C648" s="123"/>
      <c r="D648" s="123"/>
      <c r="E648" s="123"/>
      <c r="F648" s="123"/>
      <c r="G648" s="123"/>
      <c r="H648" s="123"/>
      <c r="I648" s="169"/>
      <c r="J648" s="123"/>
      <c r="K648" s="123"/>
      <c r="L648" s="127"/>
      <c r="M648" s="127"/>
      <c r="N648" s="127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 spans="1:27" ht="13.5" customHeight="1">
      <c r="A649" s="123"/>
      <c r="B649" s="127"/>
      <c r="C649" s="123"/>
      <c r="D649" s="123"/>
      <c r="E649" s="123"/>
      <c r="F649" s="123"/>
      <c r="G649" s="123"/>
      <c r="H649" s="123"/>
      <c r="I649" s="169"/>
      <c r="J649" s="123"/>
      <c r="K649" s="123"/>
      <c r="L649" s="127"/>
      <c r="M649" s="127"/>
      <c r="N649" s="127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 spans="1:27" ht="13.5" customHeight="1">
      <c r="A650" s="123"/>
      <c r="B650" s="127"/>
      <c r="C650" s="123"/>
      <c r="D650" s="123"/>
      <c r="E650" s="123"/>
      <c r="F650" s="123"/>
      <c r="G650" s="123"/>
      <c r="H650" s="123"/>
      <c r="I650" s="169"/>
      <c r="J650" s="123"/>
      <c r="K650" s="123"/>
      <c r="L650" s="127"/>
      <c r="M650" s="127"/>
      <c r="N650" s="127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 spans="1:27" ht="13.5" customHeight="1">
      <c r="A651" s="123"/>
      <c r="B651" s="127"/>
      <c r="C651" s="123"/>
      <c r="D651" s="123"/>
      <c r="E651" s="123"/>
      <c r="F651" s="123"/>
      <c r="G651" s="123"/>
      <c r="H651" s="123"/>
      <c r="I651" s="169"/>
      <c r="J651" s="123"/>
      <c r="K651" s="123"/>
      <c r="L651" s="127"/>
      <c r="M651" s="127"/>
      <c r="N651" s="127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 spans="1:27" ht="13.5" customHeight="1">
      <c r="A652" s="123"/>
      <c r="B652" s="127"/>
      <c r="C652" s="123"/>
      <c r="D652" s="123"/>
      <c r="E652" s="123"/>
      <c r="F652" s="123"/>
      <c r="G652" s="123"/>
      <c r="H652" s="123"/>
      <c r="I652" s="169"/>
      <c r="J652" s="123"/>
      <c r="K652" s="123"/>
      <c r="L652" s="127"/>
      <c r="M652" s="127"/>
      <c r="N652" s="127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 spans="1:27" ht="13.5" customHeight="1">
      <c r="A653" s="123"/>
      <c r="B653" s="127"/>
      <c r="C653" s="123"/>
      <c r="D653" s="123"/>
      <c r="E653" s="123"/>
      <c r="F653" s="123"/>
      <c r="G653" s="123"/>
      <c r="H653" s="123"/>
      <c r="I653" s="169"/>
      <c r="J653" s="123"/>
      <c r="K653" s="123"/>
      <c r="L653" s="127"/>
      <c r="M653" s="127"/>
      <c r="N653" s="127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 spans="1:27" ht="13.5" customHeight="1">
      <c r="A654" s="123"/>
      <c r="B654" s="127"/>
      <c r="C654" s="123"/>
      <c r="D654" s="123"/>
      <c r="E654" s="123"/>
      <c r="F654" s="123"/>
      <c r="G654" s="123"/>
      <c r="H654" s="123"/>
      <c r="I654" s="169"/>
      <c r="J654" s="123"/>
      <c r="K654" s="123"/>
      <c r="L654" s="127"/>
      <c r="M654" s="127"/>
      <c r="N654" s="127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 spans="1:27" ht="13.5" customHeight="1">
      <c r="A655" s="123"/>
      <c r="B655" s="127"/>
      <c r="C655" s="123"/>
      <c r="D655" s="123"/>
      <c r="E655" s="123"/>
      <c r="F655" s="123"/>
      <c r="G655" s="123"/>
      <c r="H655" s="123"/>
      <c r="I655" s="169"/>
      <c r="J655" s="123"/>
      <c r="K655" s="123"/>
      <c r="L655" s="127"/>
      <c r="M655" s="127"/>
      <c r="N655" s="127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 spans="1:27" ht="13.5" customHeight="1">
      <c r="A656" s="123"/>
      <c r="B656" s="127"/>
      <c r="C656" s="123"/>
      <c r="D656" s="123"/>
      <c r="E656" s="123"/>
      <c r="F656" s="123"/>
      <c r="G656" s="123"/>
      <c r="H656" s="123"/>
      <c r="I656" s="169"/>
      <c r="J656" s="123"/>
      <c r="K656" s="123"/>
      <c r="L656" s="127"/>
      <c r="M656" s="127"/>
      <c r="N656" s="127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 spans="1:27" ht="13.5" customHeight="1">
      <c r="A657" s="123"/>
      <c r="B657" s="127"/>
      <c r="C657" s="123"/>
      <c r="D657" s="123"/>
      <c r="E657" s="123"/>
      <c r="F657" s="123"/>
      <c r="G657" s="123"/>
      <c r="H657" s="123"/>
      <c r="I657" s="169"/>
      <c r="J657" s="123"/>
      <c r="K657" s="123"/>
      <c r="L657" s="127"/>
      <c r="M657" s="127"/>
      <c r="N657" s="127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 spans="1:27" ht="13.5" customHeight="1">
      <c r="A658" s="123"/>
      <c r="B658" s="127"/>
      <c r="C658" s="123"/>
      <c r="D658" s="123"/>
      <c r="E658" s="123"/>
      <c r="F658" s="123"/>
      <c r="G658" s="123"/>
      <c r="H658" s="123"/>
      <c r="I658" s="169"/>
      <c r="J658" s="123"/>
      <c r="K658" s="123"/>
      <c r="L658" s="127"/>
      <c r="M658" s="127"/>
      <c r="N658" s="127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 spans="1:27" ht="13.5" customHeight="1">
      <c r="A659" s="123"/>
      <c r="B659" s="127"/>
      <c r="C659" s="123"/>
      <c r="D659" s="123"/>
      <c r="E659" s="123"/>
      <c r="F659" s="123"/>
      <c r="G659" s="123"/>
      <c r="H659" s="123"/>
      <c r="I659" s="169"/>
      <c r="J659" s="123"/>
      <c r="K659" s="123"/>
      <c r="L659" s="127"/>
      <c r="M659" s="127"/>
      <c r="N659" s="127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 spans="1:27" ht="13.5" customHeight="1">
      <c r="A660" s="123"/>
      <c r="B660" s="127"/>
      <c r="C660" s="123"/>
      <c r="D660" s="123"/>
      <c r="E660" s="123"/>
      <c r="F660" s="123"/>
      <c r="G660" s="123"/>
      <c r="H660" s="123"/>
      <c r="I660" s="169"/>
      <c r="J660" s="123"/>
      <c r="K660" s="123"/>
      <c r="L660" s="127"/>
      <c r="M660" s="127"/>
      <c r="N660" s="127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 spans="1:27" ht="13.5" customHeight="1">
      <c r="A661" s="123"/>
      <c r="B661" s="127"/>
      <c r="C661" s="123"/>
      <c r="D661" s="123"/>
      <c r="E661" s="123"/>
      <c r="F661" s="123"/>
      <c r="G661" s="123"/>
      <c r="H661" s="123"/>
      <c r="I661" s="169"/>
      <c r="J661" s="123"/>
      <c r="K661" s="123"/>
      <c r="L661" s="127"/>
      <c r="M661" s="127"/>
      <c r="N661" s="127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 spans="1:27" ht="13.5" customHeight="1">
      <c r="A662" s="123"/>
      <c r="B662" s="127"/>
      <c r="C662" s="123"/>
      <c r="D662" s="123"/>
      <c r="E662" s="123"/>
      <c r="F662" s="123"/>
      <c r="G662" s="123"/>
      <c r="H662" s="123"/>
      <c r="I662" s="169"/>
      <c r="J662" s="123"/>
      <c r="K662" s="123"/>
      <c r="L662" s="127"/>
      <c r="M662" s="127"/>
      <c r="N662" s="127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 spans="1:27" ht="13.5" customHeight="1">
      <c r="A663" s="123"/>
      <c r="B663" s="127"/>
      <c r="C663" s="123"/>
      <c r="D663" s="123"/>
      <c r="E663" s="123"/>
      <c r="F663" s="123"/>
      <c r="G663" s="123"/>
      <c r="H663" s="123"/>
      <c r="I663" s="169"/>
      <c r="J663" s="123"/>
      <c r="K663" s="123"/>
      <c r="L663" s="127"/>
      <c r="M663" s="127"/>
      <c r="N663" s="127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 spans="1:27" ht="13.5" customHeight="1">
      <c r="A664" s="123"/>
      <c r="B664" s="127"/>
      <c r="C664" s="123"/>
      <c r="D664" s="123"/>
      <c r="E664" s="123"/>
      <c r="F664" s="123"/>
      <c r="G664" s="123"/>
      <c r="H664" s="123"/>
      <c r="I664" s="169"/>
      <c r="J664" s="123"/>
      <c r="K664" s="123"/>
      <c r="L664" s="127"/>
      <c r="M664" s="127"/>
      <c r="N664" s="127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 spans="1:27" ht="13.5" customHeight="1">
      <c r="A665" s="123"/>
      <c r="B665" s="127"/>
      <c r="C665" s="123"/>
      <c r="D665" s="123"/>
      <c r="E665" s="123"/>
      <c r="F665" s="123"/>
      <c r="G665" s="123"/>
      <c r="H665" s="123"/>
      <c r="I665" s="169"/>
      <c r="J665" s="123"/>
      <c r="K665" s="123"/>
      <c r="L665" s="127"/>
      <c r="M665" s="127"/>
      <c r="N665" s="127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 spans="1:27" ht="13.5" customHeight="1">
      <c r="A666" s="123"/>
      <c r="B666" s="127"/>
      <c r="C666" s="123"/>
      <c r="D666" s="123"/>
      <c r="E666" s="123"/>
      <c r="F666" s="123"/>
      <c r="G666" s="123"/>
      <c r="H666" s="123"/>
      <c r="I666" s="169"/>
      <c r="J666" s="123"/>
      <c r="K666" s="123"/>
      <c r="L666" s="127"/>
      <c r="M666" s="127"/>
      <c r="N666" s="127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 spans="1:27" ht="13.5" customHeight="1">
      <c r="A667" s="123"/>
      <c r="B667" s="127"/>
      <c r="C667" s="123"/>
      <c r="D667" s="123"/>
      <c r="E667" s="123"/>
      <c r="F667" s="123"/>
      <c r="G667" s="123"/>
      <c r="H667" s="123"/>
      <c r="I667" s="169"/>
      <c r="J667" s="123"/>
      <c r="K667" s="123"/>
      <c r="L667" s="127"/>
      <c r="M667" s="127"/>
      <c r="N667" s="127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 spans="1:27" ht="13.5" customHeight="1">
      <c r="A668" s="123"/>
      <c r="B668" s="127"/>
      <c r="C668" s="123"/>
      <c r="D668" s="123"/>
      <c r="E668" s="123"/>
      <c r="F668" s="123"/>
      <c r="G668" s="123"/>
      <c r="H668" s="123"/>
      <c r="I668" s="169"/>
      <c r="J668" s="123"/>
      <c r="K668" s="123"/>
      <c r="L668" s="127"/>
      <c r="M668" s="127"/>
      <c r="N668" s="127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 spans="1:27" ht="13.5" customHeight="1">
      <c r="A669" s="123"/>
      <c r="B669" s="127"/>
      <c r="C669" s="123"/>
      <c r="D669" s="123"/>
      <c r="E669" s="123"/>
      <c r="F669" s="123"/>
      <c r="G669" s="123"/>
      <c r="H669" s="123"/>
      <c r="I669" s="169"/>
      <c r="J669" s="123"/>
      <c r="K669" s="123"/>
      <c r="L669" s="127"/>
      <c r="M669" s="127"/>
      <c r="N669" s="127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 spans="1:27" ht="13.5" customHeight="1">
      <c r="A670" s="123"/>
      <c r="B670" s="127"/>
      <c r="C670" s="123"/>
      <c r="D670" s="123"/>
      <c r="E670" s="123"/>
      <c r="F670" s="123"/>
      <c r="G670" s="123"/>
      <c r="H670" s="123"/>
      <c r="I670" s="169"/>
      <c r="J670" s="123"/>
      <c r="K670" s="123"/>
      <c r="L670" s="127"/>
      <c r="M670" s="127"/>
      <c r="N670" s="127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 spans="1:27" ht="13.5" customHeight="1">
      <c r="A671" s="123"/>
      <c r="B671" s="127"/>
      <c r="C671" s="123"/>
      <c r="D671" s="123"/>
      <c r="E671" s="123"/>
      <c r="F671" s="123"/>
      <c r="G671" s="123"/>
      <c r="H671" s="123"/>
      <c r="I671" s="169"/>
      <c r="J671" s="123"/>
      <c r="K671" s="123"/>
      <c r="L671" s="127"/>
      <c r="M671" s="127"/>
      <c r="N671" s="127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 spans="1:27" ht="13.5" customHeight="1">
      <c r="A672" s="123"/>
      <c r="B672" s="127"/>
      <c r="C672" s="123"/>
      <c r="D672" s="123"/>
      <c r="E672" s="123"/>
      <c r="F672" s="123"/>
      <c r="G672" s="123"/>
      <c r="H672" s="123"/>
      <c r="I672" s="169"/>
      <c r="J672" s="123"/>
      <c r="K672" s="123"/>
      <c r="L672" s="127"/>
      <c r="M672" s="127"/>
      <c r="N672" s="127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 spans="1:27" ht="13.5" customHeight="1">
      <c r="A673" s="123"/>
      <c r="B673" s="127"/>
      <c r="C673" s="123"/>
      <c r="D673" s="123"/>
      <c r="E673" s="123"/>
      <c r="F673" s="123"/>
      <c r="G673" s="123"/>
      <c r="H673" s="123"/>
      <c r="I673" s="169"/>
      <c r="J673" s="123"/>
      <c r="K673" s="123"/>
      <c r="L673" s="127"/>
      <c r="M673" s="127"/>
      <c r="N673" s="127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 spans="1:27" ht="13.5" customHeight="1">
      <c r="A674" s="123"/>
      <c r="B674" s="127"/>
      <c r="C674" s="123"/>
      <c r="D674" s="123"/>
      <c r="E674" s="123"/>
      <c r="F674" s="123"/>
      <c r="G674" s="123"/>
      <c r="H674" s="123"/>
      <c r="I674" s="169"/>
      <c r="J674" s="123"/>
      <c r="K674" s="123"/>
      <c r="L674" s="127"/>
      <c r="M674" s="127"/>
      <c r="N674" s="127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 spans="1:27" ht="13.5" customHeight="1">
      <c r="A675" s="123"/>
      <c r="B675" s="127"/>
      <c r="C675" s="123"/>
      <c r="D675" s="123"/>
      <c r="E675" s="123"/>
      <c r="F675" s="123"/>
      <c r="G675" s="123"/>
      <c r="H675" s="123"/>
      <c r="I675" s="169"/>
      <c r="J675" s="123"/>
      <c r="K675" s="123"/>
      <c r="L675" s="127"/>
      <c r="M675" s="127"/>
      <c r="N675" s="127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 spans="1:27" ht="13.5" customHeight="1">
      <c r="A676" s="123"/>
      <c r="B676" s="127"/>
      <c r="C676" s="123"/>
      <c r="D676" s="123"/>
      <c r="E676" s="123"/>
      <c r="F676" s="123"/>
      <c r="G676" s="123"/>
      <c r="H676" s="123"/>
      <c r="I676" s="169"/>
      <c r="J676" s="123"/>
      <c r="K676" s="123"/>
      <c r="L676" s="127"/>
      <c r="M676" s="127"/>
      <c r="N676" s="127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 spans="1:27" ht="13.5" customHeight="1">
      <c r="A677" s="123"/>
      <c r="B677" s="127"/>
      <c r="C677" s="123"/>
      <c r="D677" s="123"/>
      <c r="E677" s="123"/>
      <c r="F677" s="123"/>
      <c r="G677" s="123"/>
      <c r="H677" s="123"/>
      <c r="I677" s="169"/>
      <c r="J677" s="123"/>
      <c r="K677" s="123"/>
      <c r="L677" s="127"/>
      <c r="M677" s="127"/>
      <c r="N677" s="127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 spans="1:27" ht="13.5" customHeight="1">
      <c r="A678" s="123"/>
      <c r="B678" s="127"/>
      <c r="C678" s="123"/>
      <c r="D678" s="123"/>
      <c r="E678" s="123"/>
      <c r="F678" s="123"/>
      <c r="G678" s="123"/>
      <c r="H678" s="123"/>
      <c r="I678" s="169"/>
      <c r="J678" s="123"/>
      <c r="K678" s="123"/>
      <c r="L678" s="127"/>
      <c r="M678" s="127"/>
      <c r="N678" s="127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 spans="1:27" ht="13.5" customHeight="1">
      <c r="A679" s="123"/>
      <c r="B679" s="127"/>
      <c r="C679" s="123"/>
      <c r="D679" s="123"/>
      <c r="E679" s="123"/>
      <c r="F679" s="123"/>
      <c r="G679" s="123"/>
      <c r="H679" s="123"/>
      <c r="I679" s="169"/>
      <c r="J679" s="123"/>
      <c r="K679" s="123"/>
      <c r="L679" s="127"/>
      <c r="M679" s="127"/>
      <c r="N679" s="127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 spans="1:27" ht="13.5" customHeight="1">
      <c r="A680" s="123"/>
      <c r="B680" s="127"/>
      <c r="C680" s="123"/>
      <c r="D680" s="123"/>
      <c r="E680" s="123"/>
      <c r="F680" s="123"/>
      <c r="G680" s="123"/>
      <c r="H680" s="123"/>
      <c r="I680" s="169"/>
      <c r="J680" s="123"/>
      <c r="K680" s="123"/>
      <c r="L680" s="127"/>
      <c r="M680" s="127"/>
      <c r="N680" s="127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 spans="1:27" ht="13.5" customHeight="1">
      <c r="A681" s="123"/>
      <c r="B681" s="127"/>
      <c r="C681" s="123"/>
      <c r="D681" s="123"/>
      <c r="E681" s="123"/>
      <c r="F681" s="123"/>
      <c r="G681" s="123"/>
      <c r="H681" s="123"/>
      <c r="I681" s="169"/>
      <c r="J681" s="123"/>
      <c r="K681" s="123"/>
      <c r="L681" s="127"/>
      <c r="M681" s="127"/>
      <c r="N681" s="127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 spans="1:27" ht="13.5" customHeight="1">
      <c r="A682" s="123"/>
      <c r="B682" s="127"/>
      <c r="C682" s="123"/>
      <c r="D682" s="123"/>
      <c r="E682" s="123"/>
      <c r="F682" s="123"/>
      <c r="G682" s="123"/>
      <c r="H682" s="123"/>
      <c r="I682" s="169"/>
      <c r="J682" s="123"/>
      <c r="K682" s="123"/>
      <c r="L682" s="127"/>
      <c r="M682" s="127"/>
      <c r="N682" s="127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 spans="1:27" ht="13.5" customHeight="1">
      <c r="A683" s="123"/>
      <c r="B683" s="127"/>
      <c r="C683" s="123"/>
      <c r="D683" s="123"/>
      <c r="E683" s="123"/>
      <c r="F683" s="123"/>
      <c r="G683" s="123"/>
      <c r="H683" s="123"/>
      <c r="I683" s="169"/>
      <c r="J683" s="123"/>
      <c r="K683" s="123"/>
      <c r="L683" s="127"/>
      <c r="M683" s="127"/>
      <c r="N683" s="127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 spans="1:27" ht="13.5" customHeight="1">
      <c r="A684" s="123"/>
      <c r="B684" s="127"/>
      <c r="C684" s="123"/>
      <c r="D684" s="123"/>
      <c r="E684" s="123"/>
      <c r="F684" s="123"/>
      <c r="G684" s="123"/>
      <c r="H684" s="123"/>
      <c r="I684" s="169"/>
      <c r="J684" s="123"/>
      <c r="K684" s="123"/>
      <c r="L684" s="127"/>
      <c r="M684" s="127"/>
      <c r="N684" s="127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 spans="1:27" ht="13.5" customHeight="1">
      <c r="A685" s="123"/>
      <c r="B685" s="127"/>
      <c r="C685" s="123"/>
      <c r="D685" s="123"/>
      <c r="E685" s="123"/>
      <c r="F685" s="123"/>
      <c r="G685" s="123"/>
      <c r="H685" s="123"/>
      <c r="I685" s="169"/>
      <c r="J685" s="123"/>
      <c r="K685" s="123"/>
      <c r="L685" s="127"/>
      <c r="M685" s="127"/>
      <c r="N685" s="127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 spans="1:27" ht="13.5" customHeight="1">
      <c r="A686" s="123"/>
      <c r="B686" s="127"/>
      <c r="C686" s="123"/>
      <c r="D686" s="123"/>
      <c r="E686" s="123"/>
      <c r="F686" s="123"/>
      <c r="G686" s="123"/>
      <c r="H686" s="123"/>
      <c r="I686" s="169"/>
      <c r="J686" s="123"/>
      <c r="K686" s="123"/>
      <c r="L686" s="127"/>
      <c r="M686" s="127"/>
      <c r="N686" s="127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 spans="1:27" ht="13.5" customHeight="1">
      <c r="A687" s="123"/>
      <c r="B687" s="127"/>
      <c r="C687" s="123"/>
      <c r="D687" s="123"/>
      <c r="E687" s="123"/>
      <c r="F687" s="123"/>
      <c r="G687" s="123"/>
      <c r="H687" s="123"/>
      <c r="I687" s="169"/>
      <c r="J687" s="123"/>
      <c r="K687" s="123"/>
      <c r="L687" s="127"/>
      <c r="M687" s="127"/>
      <c r="N687" s="127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 spans="1:27" ht="13.5" customHeight="1">
      <c r="A688" s="123"/>
      <c r="B688" s="127"/>
      <c r="C688" s="123"/>
      <c r="D688" s="123"/>
      <c r="E688" s="123"/>
      <c r="F688" s="123"/>
      <c r="G688" s="123"/>
      <c r="H688" s="123"/>
      <c r="I688" s="169"/>
      <c r="J688" s="123"/>
      <c r="K688" s="123"/>
      <c r="L688" s="127"/>
      <c r="M688" s="127"/>
      <c r="N688" s="127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 spans="1:27" ht="13.5" customHeight="1">
      <c r="A689" s="123"/>
      <c r="B689" s="127"/>
      <c r="C689" s="123"/>
      <c r="D689" s="123"/>
      <c r="E689" s="123"/>
      <c r="F689" s="123"/>
      <c r="G689" s="123"/>
      <c r="H689" s="123"/>
      <c r="I689" s="169"/>
      <c r="J689" s="123"/>
      <c r="K689" s="123"/>
      <c r="L689" s="127"/>
      <c r="M689" s="127"/>
      <c r="N689" s="127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 spans="1:27" ht="13.5" customHeight="1">
      <c r="A690" s="123"/>
      <c r="B690" s="127"/>
      <c r="C690" s="123"/>
      <c r="D690" s="123"/>
      <c r="E690" s="123"/>
      <c r="F690" s="123"/>
      <c r="G690" s="123"/>
      <c r="H690" s="123"/>
      <c r="I690" s="169"/>
      <c r="J690" s="123"/>
      <c r="K690" s="123"/>
      <c r="L690" s="127"/>
      <c r="M690" s="127"/>
      <c r="N690" s="127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 spans="1:27" ht="13.5" customHeight="1">
      <c r="A691" s="123"/>
      <c r="B691" s="127"/>
      <c r="C691" s="123"/>
      <c r="D691" s="123"/>
      <c r="E691" s="123"/>
      <c r="F691" s="123"/>
      <c r="G691" s="123"/>
      <c r="H691" s="123"/>
      <c r="I691" s="169"/>
      <c r="J691" s="123"/>
      <c r="K691" s="123"/>
      <c r="L691" s="127"/>
      <c r="M691" s="127"/>
      <c r="N691" s="127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 spans="1:27" ht="13.5" customHeight="1">
      <c r="A692" s="123"/>
      <c r="B692" s="127"/>
      <c r="C692" s="123"/>
      <c r="D692" s="123"/>
      <c r="E692" s="123"/>
      <c r="F692" s="123"/>
      <c r="G692" s="123"/>
      <c r="H692" s="123"/>
      <c r="I692" s="169"/>
      <c r="J692" s="123"/>
      <c r="K692" s="123"/>
      <c r="L692" s="127"/>
      <c r="M692" s="127"/>
      <c r="N692" s="127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 spans="1:27" ht="13.5" customHeight="1">
      <c r="A693" s="123"/>
      <c r="B693" s="127"/>
      <c r="C693" s="123"/>
      <c r="D693" s="123"/>
      <c r="E693" s="123"/>
      <c r="F693" s="123"/>
      <c r="G693" s="123"/>
      <c r="H693" s="123"/>
      <c r="I693" s="169"/>
      <c r="J693" s="123"/>
      <c r="K693" s="123"/>
      <c r="L693" s="127"/>
      <c r="M693" s="127"/>
      <c r="N693" s="127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 spans="1:27" ht="13.5" customHeight="1">
      <c r="A694" s="123"/>
      <c r="B694" s="127"/>
      <c r="C694" s="123"/>
      <c r="D694" s="123"/>
      <c r="E694" s="123"/>
      <c r="F694" s="123"/>
      <c r="G694" s="123"/>
      <c r="H694" s="123"/>
      <c r="I694" s="169"/>
      <c r="J694" s="123"/>
      <c r="K694" s="123"/>
      <c r="L694" s="127"/>
      <c r="M694" s="127"/>
      <c r="N694" s="127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 spans="1:27" ht="13.5" customHeight="1">
      <c r="A695" s="123"/>
      <c r="B695" s="127"/>
      <c r="C695" s="123"/>
      <c r="D695" s="123"/>
      <c r="E695" s="123"/>
      <c r="F695" s="123"/>
      <c r="G695" s="123"/>
      <c r="H695" s="123"/>
      <c r="I695" s="169"/>
      <c r="J695" s="123"/>
      <c r="K695" s="123"/>
      <c r="L695" s="127"/>
      <c r="M695" s="127"/>
      <c r="N695" s="127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 spans="1:27" ht="13.5" customHeight="1">
      <c r="A696" s="123"/>
      <c r="B696" s="127"/>
      <c r="C696" s="123"/>
      <c r="D696" s="123"/>
      <c r="E696" s="123"/>
      <c r="F696" s="123"/>
      <c r="G696" s="123"/>
      <c r="H696" s="123"/>
      <c r="I696" s="169"/>
      <c r="J696" s="123"/>
      <c r="K696" s="123"/>
      <c r="L696" s="127"/>
      <c r="M696" s="127"/>
      <c r="N696" s="127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 spans="1:27" ht="13.5" customHeight="1">
      <c r="A697" s="123"/>
      <c r="B697" s="127"/>
      <c r="C697" s="123"/>
      <c r="D697" s="123"/>
      <c r="E697" s="123"/>
      <c r="F697" s="123"/>
      <c r="G697" s="123"/>
      <c r="H697" s="123"/>
      <c r="I697" s="169"/>
      <c r="J697" s="123"/>
      <c r="K697" s="123"/>
      <c r="L697" s="127"/>
      <c r="M697" s="127"/>
      <c r="N697" s="127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 spans="1:27" ht="13.5" customHeight="1">
      <c r="A698" s="123"/>
      <c r="B698" s="127"/>
      <c r="C698" s="123"/>
      <c r="D698" s="123"/>
      <c r="E698" s="123"/>
      <c r="F698" s="123"/>
      <c r="G698" s="123"/>
      <c r="H698" s="123"/>
      <c r="I698" s="169"/>
      <c r="J698" s="123"/>
      <c r="K698" s="123"/>
      <c r="L698" s="127"/>
      <c r="M698" s="127"/>
      <c r="N698" s="127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 spans="1:27" ht="13.5" customHeight="1">
      <c r="A699" s="123"/>
      <c r="B699" s="127"/>
      <c r="C699" s="123"/>
      <c r="D699" s="123"/>
      <c r="E699" s="123"/>
      <c r="F699" s="123"/>
      <c r="G699" s="123"/>
      <c r="H699" s="123"/>
      <c r="I699" s="169"/>
      <c r="J699" s="123"/>
      <c r="K699" s="123"/>
      <c r="L699" s="127"/>
      <c r="M699" s="127"/>
      <c r="N699" s="127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 spans="1:27" ht="13.5" customHeight="1">
      <c r="A700" s="123"/>
      <c r="B700" s="127"/>
      <c r="C700" s="123"/>
      <c r="D700" s="123"/>
      <c r="E700" s="123"/>
      <c r="F700" s="123"/>
      <c r="G700" s="123"/>
      <c r="H700" s="123"/>
      <c r="I700" s="169"/>
      <c r="J700" s="123"/>
      <c r="K700" s="123"/>
      <c r="L700" s="127"/>
      <c r="M700" s="127"/>
      <c r="N700" s="127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 spans="1:27" ht="13.5" customHeight="1">
      <c r="A701" s="123"/>
      <c r="B701" s="127"/>
      <c r="C701" s="123"/>
      <c r="D701" s="123"/>
      <c r="E701" s="123"/>
      <c r="F701" s="123"/>
      <c r="G701" s="123"/>
      <c r="H701" s="123"/>
      <c r="I701" s="169"/>
      <c r="J701" s="123"/>
      <c r="K701" s="123"/>
      <c r="L701" s="127"/>
      <c r="M701" s="127"/>
      <c r="N701" s="127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 spans="1:27" ht="13.5" customHeight="1">
      <c r="A702" s="123"/>
      <c r="B702" s="127"/>
      <c r="C702" s="123"/>
      <c r="D702" s="123"/>
      <c r="E702" s="123"/>
      <c r="F702" s="123"/>
      <c r="G702" s="123"/>
      <c r="H702" s="123"/>
      <c r="I702" s="169"/>
      <c r="J702" s="123"/>
      <c r="K702" s="123"/>
      <c r="L702" s="127"/>
      <c r="M702" s="127"/>
      <c r="N702" s="127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 spans="1:27" ht="13.5" customHeight="1">
      <c r="A703" s="123"/>
      <c r="B703" s="127"/>
      <c r="C703" s="123"/>
      <c r="D703" s="123"/>
      <c r="E703" s="123"/>
      <c r="F703" s="123"/>
      <c r="G703" s="123"/>
      <c r="H703" s="123"/>
      <c r="I703" s="169"/>
      <c r="J703" s="123"/>
      <c r="K703" s="123"/>
      <c r="L703" s="127"/>
      <c r="M703" s="127"/>
      <c r="N703" s="127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 spans="1:27" ht="13.5" customHeight="1">
      <c r="A704" s="123"/>
      <c r="B704" s="127"/>
      <c r="C704" s="123"/>
      <c r="D704" s="123"/>
      <c r="E704" s="123"/>
      <c r="F704" s="123"/>
      <c r="G704" s="123"/>
      <c r="H704" s="123"/>
      <c r="I704" s="169"/>
      <c r="J704" s="123"/>
      <c r="K704" s="123"/>
      <c r="L704" s="127"/>
      <c r="M704" s="127"/>
      <c r="N704" s="127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 spans="1:27" ht="13.5" customHeight="1">
      <c r="A705" s="123"/>
      <c r="B705" s="127"/>
      <c r="C705" s="123"/>
      <c r="D705" s="123"/>
      <c r="E705" s="123"/>
      <c r="F705" s="123"/>
      <c r="G705" s="123"/>
      <c r="H705" s="123"/>
      <c r="I705" s="169"/>
      <c r="J705" s="123"/>
      <c r="K705" s="123"/>
      <c r="L705" s="127"/>
      <c r="M705" s="127"/>
      <c r="N705" s="127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 spans="1:27" ht="13.5" customHeight="1">
      <c r="A706" s="123"/>
      <c r="B706" s="127"/>
      <c r="C706" s="123"/>
      <c r="D706" s="123"/>
      <c r="E706" s="123"/>
      <c r="F706" s="123"/>
      <c r="G706" s="123"/>
      <c r="H706" s="123"/>
      <c r="I706" s="169"/>
      <c r="J706" s="123"/>
      <c r="K706" s="123"/>
      <c r="L706" s="127"/>
      <c r="M706" s="127"/>
      <c r="N706" s="127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 spans="1:27" ht="13.5" customHeight="1">
      <c r="A707" s="123"/>
      <c r="B707" s="127"/>
      <c r="C707" s="123"/>
      <c r="D707" s="123"/>
      <c r="E707" s="123"/>
      <c r="F707" s="123"/>
      <c r="G707" s="123"/>
      <c r="H707" s="123"/>
      <c r="I707" s="169"/>
      <c r="J707" s="123"/>
      <c r="K707" s="123"/>
      <c r="L707" s="127"/>
      <c r="M707" s="127"/>
      <c r="N707" s="127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 spans="1:27" ht="13.5" customHeight="1">
      <c r="A708" s="123"/>
      <c r="B708" s="127"/>
      <c r="C708" s="123"/>
      <c r="D708" s="123"/>
      <c r="E708" s="123"/>
      <c r="F708" s="123"/>
      <c r="G708" s="123"/>
      <c r="H708" s="123"/>
      <c r="I708" s="169"/>
      <c r="J708" s="123"/>
      <c r="K708" s="123"/>
      <c r="L708" s="127"/>
      <c r="M708" s="127"/>
      <c r="N708" s="127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 spans="1:27" ht="13.5" customHeight="1">
      <c r="A709" s="123"/>
      <c r="B709" s="127"/>
      <c r="C709" s="123"/>
      <c r="D709" s="123"/>
      <c r="E709" s="123"/>
      <c r="F709" s="123"/>
      <c r="G709" s="123"/>
      <c r="H709" s="123"/>
      <c r="I709" s="169"/>
      <c r="J709" s="123"/>
      <c r="K709" s="123"/>
      <c r="L709" s="127"/>
      <c r="M709" s="127"/>
      <c r="N709" s="127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 spans="1:27" ht="13.5" customHeight="1">
      <c r="A710" s="123"/>
      <c r="B710" s="127"/>
      <c r="C710" s="123"/>
      <c r="D710" s="123"/>
      <c r="E710" s="123"/>
      <c r="F710" s="123"/>
      <c r="G710" s="123"/>
      <c r="H710" s="123"/>
      <c r="I710" s="169"/>
      <c r="J710" s="123"/>
      <c r="K710" s="123"/>
      <c r="L710" s="127"/>
      <c r="M710" s="127"/>
      <c r="N710" s="127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 spans="1:27" ht="13.5" customHeight="1">
      <c r="A711" s="123"/>
      <c r="B711" s="127"/>
      <c r="C711" s="123"/>
      <c r="D711" s="123"/>
      <c r="E711" s="123"/>
      <c r="F711" s="123"/>
      <c r="G711" s="123"/>
      <c r="H711" s="123"/>
      <c r="I711" s="169"/>
      <c r="J711" s="123"/>
      <c r="K711" s="123"/>
      <c r="L711" s="127"/>
      <c r="M711" s="127"/>
      <c r="N711" s="127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 spans="1:27" ht="13.5" customHeight="1">
      <c r="A712" s="123"/>
      <c r="B712" s="127"/>
      <c r="C712" s="123"/>
      <c r="D712" s="123"/>
      <c r="E712" s="123"/>
      <c r="F712" s="123"/>
      <c r="G712" s="123"/>
      <c r="H712" s="123"/>
      <c r="I712" s="169"/>
      <c r="J712" s="123"/>
      <c r="K712" s="123"/>
      <c r="L712" s="127"/>
      <c r="M712" s="127"/>
      <c r="N712" s="127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 spans="1:27" ht="13.5" customHeight="1">
      <c r="A713" s="123"/>
      <c r="B713" s="127"/>
      <c r="C713" s="123"/>
      <c r="D713" s="123"/>
      <c r="E713" s="123"/>
      <c r="F713" s="123"/>
      <c r="G713" s="123"/>
      <c r="H713" s="123"/>
      <c r="I713" s="169"/>
      <c r="J713" s="123"/>
      <c r="K713" s="123"/>
      <c r="L713" s="127"/>
      <c r="M713" s="127"/>
      <c r="N713" s="127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 spans="1:27" ht="13.5" customHeight="1">
      <c r="A714" s="123"/>
      <c r="B714" s="127"/>
      <c r="C714" s="123"/>
      <c r="D714" s="123"/>
      <c r="E714" s="123"/>
      <c r="F714" s="123"/>
      <c r="G714" s="123"/>
      <c r="H714" s="123"/>
      <c r="I714" s="169"/>
      <c r="J714" s="123"/>
      <c r="K714" s="123"/>
      <c r="L714" s="127"/>
      <c r="M714" s="127"/>
      <c r="N714" s="127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 spans="1:27" ht="13.5" customHeight="1">
      <c r="A715" s="123"/>
      <c r="B715" s="127"/>
      <c r="C715" s="123"/>
      <c r="D715" s="123"/>
      <c r="E715" s="123"/>
      <c r="F715" s="123"/>
      <c r="G715" s="123"/>
      <c r="H715" s="123"/>
      <c r="I715" s="169"/>
      <c r="J715" s="123"/>
      <c r="K715" s="123"/>
      <c r="L715" s="127"/>
      <c r="M715" s="127"/>
      <c r="N715" s="127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 spans="1:27" ht="13.5" customHeight="1">
      <c r="A716" s="123"/>
      <c r="B716" s="127"/>
      <c r="C716" s="123"/>
      <c r="D716" s="123"/>
      <c r="E716" s="123"/>
      <c r="F716" s="123"/>
      <c r="G716" s="123"/>
      <c r="H716" s="123"/>
      <c r="I716" s="169"/>
      <c r="J716" s="123"/>
      <c r="K716" s="123"/>
      <c r="L716" s="127"/>
      <c r="M716" s="127"/>
      <c r="N716" s="127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 spans="1:27" ht="13.5" customHeight="1">
      <c r="A717" s="123"/>
      <c r="B717" s="127"/>
      <c r="C717" s="123"/>
      <c r="D717" s="123"/>
      <c r="E717" s="123"/>
      <c r="F717" s="123"/>
      <c r="G717" s="123"/>
      <c r="H717" s="123"/>
      <c r="I717" s="169"/>
      <c r="J717" s="123"/>
      <c r="K717" s="123"/>
      <c r="L717" s="127"/>
      <c r="M717" s="127"/>
      <c r="N717" s="127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 spans="1:27" ht="13.5" customHeight="1">
      <c r="A718" s="123"/>
      <c r="B718" s="127"/>
      <c r="C718" s="123"/>
      <c r="D718" s="123"/>
      <c r="E718" s="123"/>
      <c r="F718" s="123"/>
      <c r="G718" s="123"/>
      <c r="H718" s="123"/>
      <c r="I718" s="169"/>
      <c r="J718" s="123"/>
      <c r="K718" s="123"/>
      <c r="L718" s="127"/>
      <c r="M718" s="127"/>
      <c r="N718" s="127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 spans="1:27" ht="13.5" customHeight="1">
      <c r="A719" s="123"/>
      <c r="B719" s="127"/>
      <c r="C719" s="123"/>
      <c r="D719" s="123"/>
      <c r="E719" s="123"/>
      <c r="F719" s="123"/>
      <c r="G719" s="123"/>
      <c r="H719" s="123"/>
      <c r="I719" s="169"/>
      <c r="J719" s="123"/>
      <c r="K719" s="123"/>
      <c r="L719" s="127"/>
      <c r="M719" s="127"/>
      <c r="N719" s="127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 spans="1:27" ht="13.5" customHeight="1">
      <c r="A720" s="123"/>
      <c r="B720" s="127"/>
      <c r="C720" s="123"/>
      <c r="D720" s="123"/>
      <c r="E720" s="123"/>
      <c r="F720" s="123"/>
      <c r="G720" s="123"/>
      <c r="H720" s="123"/>
      <c r="I720" s="169"/>
      <c r="J720" s="123"/>
      <c r="K720" s="123"/>
      <c r="L720" s="127"/>
      <c r="M720" s="127"/>
      <c r="N720" s="127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 spans="1:27" ht="13.5" customHeight="1">
      <c r="A721" s="123"/>
      <c r="B721" s="127"/>
      <c r="C721" s="123"/>
      <c r="D721" s="123"/>
      <c r="E721" s="123"/>
      <c r="F721" s="123"/>
      <c r="G721" s="123"/>
      <c r="H721" s="123"/>
      <c r="I721" s="169"/>
      <c r="J721" s="123"/>
      <c r="K721" s="123"/>
      <c r="L721" s="127"/>
      <c r="M721" s="127"/>
      <c r="N721" s="127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 spans="1:27" ht="13.5" customHeight="1">
      <c r="A722" s="123"/>
      <c r="B722" s="127"/>
      <c r="C722" s="123"/>
      <c r="D722" s="123"/>
      <c r="E722" s="123"/>
      <c r="F722" s="123"/>
      <c r="G722" s="123"/>
      <c r="H722" s="123"/>
      <c r="I722" s="169"/>
      <c r="J722" s="123"/>
      <c r="K722" s="123"/>
      <c r="L722" s="127"/>
      <c r="M722" s="127"/>
      <c r="N722" s="127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 spans="1:27" ht="13.5" customHeight="1">
      <c r="A723" s="123"/>
      <c r="B723" s="127"/>
      <c r="C723" s="123"/>
      <c r="D723" s="123"/>
      <c r="E723" s="123"/>
      <c r="F723" s="123"/>
      <c r="G723" s="123"/>
      <c r="H723" s="123"/>
      <c r="I723" s="169"/>
      <c r="J723" s="123"/>
      <c r="K723" s="123"/>
      <c r="L723" s="127"/>
      <c r="M723" s="127"/>
      <c r="N723" s="127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 spans="1:27" ht="13.5" customHeight="1">
      <c r="A724" s="123"/>
      <c r="B724" s="127"/>
      <c r="C724" s="123"/>
      <c r="D724" s="123"/>
      <c r="E724" s="123"/>
      <c r="F724" s="123"/>
      <c r="G724" s="123"/>
      <c r="H724" s="123"/>
      <c r="I724" s="169"/>
      <c r="J724" s="123"/>
      <c r="K724" s="123"/>
      <c r="L724" s="127"/>
      <c r="M724" s="127"/>
      <c r="N724" s="127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 spans="1:27" ht="13.5" customHeight="1">
      <c r="A725" s="123"/>
      <c r="B725" s="127"/>
      <c r="C725" s="123"/>
      <c r="D725" s="123"/>
      <c r="E725" s="123"/>
      <c r="F725" s="123"/>
      <c r="G725" s="123"/>
      <c r="H725" s="123"/>
      <c r="I725" s="169"/>
      <c r="J725" s="123"/>
      <c r="K725" s="123"/>
      <c r="L725" s="127"/>
      <c r="M725" s="127"/>
      <c r="N725" s="127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 spans="1:27" ht="13.5" customHeight="1">
      <c r="A726" s="123"/>
      <c r="B726" s="127"/>
      <c r="C726" s="123"/>
      <c r="D726" s="123"/>
      <c r="E726" s="123"/>
      <c r="F726" s="123"/>
      <c r="G726" s="123"/>
      <c r="H726" s="123"/>
      <c r="I726" s="169"/>
      <c r="J726" s="123"/>
      <c r="K726" s="123"/>
      <c r="L726" s="127"/>
      <c r="M726" s="127"/>
      <c r="N726" s="127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 spans="1:27" ht="13.5" customHeight="1">
      <c r="A727" s="123"/>
      <c r="B727" s="127"/>
      <c r="C727" s="123"/>
      <c r="D727" s="123"/>
      <c r="E727" s="123"/>
      <c r="F727" s="123"/>
      <c r="G727" s="123"/>
      <c r="H727" s="123"/>
      <c r="I727" s="169"/>
      <c r="J727" s="123"/>
      <c r="K727" s="123"/>
      <c r="L727" s="127"/>
      <c r="M727" s="127"/>
      <c r="N727" s="127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 spans="1:27" ht="13.5" customHeight="1">
      <c r="A728" s="123"/>
      <c r="B728" s="127"/>
      <c r="C728" s="123"/>
      <c r="D728" s="123"/>
      <c r="E728" s="123"/>
      <c r="F728" s="123"/>
      <c r="G728" s="123"/>
      <c r="H728" s="123"/>
      <c r="I728" s="169"/>
      <c r="J728" s="123"/>
      <c r="K728" s="123"/>
      <c r="L728" s="127"/>
      <c r="M728" s="127"/>
      <c r="N728" s="127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 spans="1:27" ht="13.5" customHeight="1">
      <c r="A729" s="123"/>
      <c r="B729" s="127"/>
      <c r="C729" s="123"/>
      <c r="D729" s="123"/>
      <c r="E729" s="123"/>
      <c r="F729" s="123"/>
      <c r="G729" s="123"/>
      <c r="H729" s="123"/>
      <c r="I729" s="169"/>
      <c r="J729" s="123"/>
      <c r="K729" s="123"/>
      <c r="L729" s="127"/>
      <c r="M729" s="127"/>
      <c r="N729" s="127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 spans="1:27" ht="13.5" customHeight="1">
      <c r="A730" s="123"/>
      <c r="B730" s="127"/>
      <c r="C730" s="123"/>
      <c r="D730" s="123"/>
      <c r="E730" s="123"/>
      <c r="F730" s="123"/>
      <c r="G730" s="123"/>
      <c r="H730" s="123"/>
      <c r="I730" s="169"/>
      <c r="J730" s="123"/>
      <c r="K730" s="123"/>
      <c r="L730" s="127"/>
      <c r="M730" s="127"/>
      <c r="N730" s="127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 spans="1:27" ht="13.5" customHeight="1">
      <c r="A731" s="123"/>
      <c r="B731" s="127"/>
      <c r="C731" s="123"/>
      <c r="D731" s="123"/>
      <c r="E731" s="123"/>
      <c r="F731" s="123"/>
      <c r="G731" s="123"/>
      <c r="H731" s="123"/>
      <c r="I731" s="169"/>
      <c r="J731" s="123"/>
      <c r="K731" s="123"/>
      <c r="L731" s="127"/>
      <c r="M731" s="127"/>
      <c r="N731" s="127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 spans="1:27" ht="13.5" customHeight="1">
      <c r="A732" s="123"/>
      <c r="B732" s="127"/>
      <c r="C732" s="123"/>
      <c r="D732" s="123"/>
      <c r="E732" s="123"/>
      <c r="F732" s="123"/>
      <c r="G732" s="123"/>
      <c r="H732" s="123"/>
      <c r="I732" s="169"/>
      <c r="J732" s="123"/>
      <c r="K732" s="123"/>
      <c r="L732" s="127"/>
      <c r="M732" s="127"/>
      <c r="N732" s="127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 spans="1:27" ht="13.5" customHeight="1">
      <c r="A733" s="123"/>
      <c r="B733" s="127"/>
      <c r="C733" s="123"/>
      <c r="D733" s="123"/>
      <c r="E733" s="123"/>
      <c r="F733" s="123"/>
      <c r="G733" s="123"/>
      <c r="H733" s="123"/>
      <c r="I733" s="169"/>
      <c r="J733" s="123"/>
      <c r="K733" s="123"/>
      <c r="L733" s="127"/>
      <c r="M733" s="127"/>
      <c r="N733" s="127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 spans="1:27" ht="13.5" customHeight="1">
      <c r="A734" s="123"/>
      <c r="B734" s="127"/>
      <c r="C734" s="123"/>
      <c r="D734" s="123"/>
      <c r="E734" s="123"/>
      <c r="F734" s="123"/>
      <c r="G734" s="123"/>
      <c r="H734" s="123"/>
      <c r="I734" s="169"/>
      <c r="J734" s="123"/>
      <c r="K734" s="123"/>
      <c r="L734" s="127"/>
      <c r="M734" s="127"/>
      <c r="N734" s="127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 spans="1:27" ht="13.5" customHeight="1">
      <c r="A735" s="123"/>
      <c r="B735" s="127"/>
      <c r="C735" s="123"/>
      <c r="D735" s="123"/>
      <c r="E735" s="123"/>
      <c r="F735" s="123"/>
      <c r="G735" s="123"/>
      <c r="H735" s="123"/>
      <c r="I735" s="169"/>
      <c r="J735" s="123"/>
      <c r="K735" s="123"/>
      <c r="L735" s="127"/>
      <c r="M735" s="127"/>
      <c r="N735" s="127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 spans="1:27" ht="13.5" customHeight="1">
      <c r="A736" s="123"/>
      <c r="B736" s="127"/>
      <c r="C736" s="123"/>
      <c r="D736" s="123"/>
      <c r="E736" s="123"/>
      <c r="F736" s="123"/>
      <c r="G736" s="123"/>
      <c r="H736" s="123"/>
      <c r="I736" s="169"/>
      <c r="J736" s="123"/>
      <c r="K736" s="123"/>
      <c r="L736" s="127"/>
      <c r="M736" s="127"/>
      <c r="N736" s="127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 spans="1:27" ht="13.5" customHeight="1">
      <c r="A737" s="123"/>
      <c r="B737" s="127"/>
      <c r="C737" s="123"/>
      <c r="D737" s="123"/>
      <c r="E737" s="123"/>
      <c r="F737" s="123"/>
      <c r="G737" s="123"/>
      <c r="H737" s="123"/>
      <c r="I737" s="169"/>
      <c r="J737" s="123"/>
      <c r="K737" s="123"/>
      <c r="L737" s="127"/>
      <c r="M737" s="127"/>
      <c r="N737" s="127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 spans="1:27" ht="13.5" customHeight="1">
      <c r="A738" s="123"/>
      <c r="B738" s="127"/>
      <c r="C738" s="123"/>
      <c r="D738" s="123"/>
      <c r="E738" s="123"/>
      <c r="F738" s="123"/>
      <c r="G738" s="123"/>
      <c r="H738" s="123"/>
      <c r="I738" s="169"/>
      <c r="J738" s="123"/>
      <c r="K738" s="123"/>
      <c r="L738" s="127"/>
      <c r="M738" s="127"/>
      <c r="N738" s="127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 spans="1:27" ht="13.5" customHeight="1">
      <c r="A739" s="123"/>
      <c r="B739" s="127"/>
      <c r="C739" s="123"/>
      <c r="D739" s="123"/>
      <c r="E739" s="123"/>
      <c r="F739" s="123"/>
      <c r="G739" s="123"/>
      <c r="H739" s="123"/>
      <c r="I739" s="169"/>
      <c r="J739" s="123"/>
      <c r="K739" s="123"/>
      <c r="L739" s="127"/>
      <c r="M739" s="127"/>
      <c r="N739" s="127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 spans="1:27" ht="13.5" customHeight="1">
      <c r="A740" s="123"/>
      <c r="B740" s="127"/>
      <c r="C740" s="123"/>
      <c r="D740" s="123"/>
      <c r="E740" s="123"/>
      <c r="F740" s="123"/>
      <c r="G740" s="123"/>
      <c r="H740" s="123"/>
      <c r="I740" s="169"/>
      <c r="J740" s="123"/>
      <c r="K740" s="123"/>
      <c r="L740" s="127"/>
      <c r="M740" s="127"/>
      <c r="N740" s="127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 spans="1:27" ht="13.5" customHeight="1">
      <c r="A741" s="123"/>
      <c r="B741" s="127"/>
      <c r="C741" s="123"/>
      <c r="D741" s="123"/>
      <c r="E741" s="123"/>
      <c r="F741" s="123"/>
      <c r="G741" s="123"/>
      <c r="H741" s="123"/>
      <c r="I741" s="169"/>
      <c r="J741" s="123"/>
      <c r="K741" s="123"/>
      <c r="L741" s="127"/>
      <c r="M741" s="127"/>
      <c r="N741" s="127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 spans="1:27" ht="13.5" customHeight="1">
      <c r="A742" s="123"/>
      <c r="B742" s="127"/>
      <c r="C742" s="123"/>
      <c r="D742" s="123"/>
      <c r="E742" s="123"/>
      <c r="F742" s="123"/>
      <c r="G742" s="123"/>
      <c r="H742" s="123"/>
      <c r="I742" s="169"/>
      <c r="J742" s="123"/>
      <c r="K742" s="123"/>
      <c r="L742" s="127"/>
      <c r="M742" s="127"/>
      <c r="N742" s="127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 spans="1:27" ht="13.5" customHeight="1">
      <c r="A743" s="123"/>
      <c r="B743" s="127"/>
      <c r="C743" s="123"/>
      <c r="D743" s="123"/>
      <c r="E743" s="123"/>
      <c r="F743" s="123"/>
      <c r="G743" s="123"/>
      <c r="H743" s="123"/>
      <c r="I743" s="169"/>
      <c r="J743" s="123"/>
      <c r="K743" s="123"/>
      <c r="L743" s="127"/>
      <c r="M743" s="127"/>
      <c r="N743" s="127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 spans="1:27" ht="13.5" customHeight="1">
      <c r="A744" s="123"/>
      <c r="B744" s="127"/>
      <c r="C744" s="123"/>
      <c r="D744" s="123"/>
      <c r="E744" s="123"/>
      <c r="F744" s="123"/>
      <c r="G744" s="123"/>
      <c r="H744" s="123"/>
      <c r="I744" s="169"/>
      <c r="J744" s="123"/>
      <c r="K744" s="123"/>
      <c r="L744" s="127"/>
      <c r="M744" s="127"/>
      <c r="N744" s="127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 spans="1:27" ht="13.5" customHeight="1">
      <c r="A745" s="123"/>
      <c r="B745" s="127"/>
      <c r="C745" s="123"/>
      <c r="D745" s="123"/>
      <c r="E745" s="123"/>
      <c r="F745" s="123"/>
      <c r="G745" s="123"/>
      <c r="H745" s="123"/>
      <c r="I745" s="169"/>
      <c r="J745" s="123"/>
      <c r="K745" s="123"/>
      <c r="L745" s="127"/>
      <c r="M745" s="127"/>
      <c r="N745" s="127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 spans="1:27" ht="13.5" customHeight="1">
      <c r="A746" s="123"/>
      <c r="B746" s="127"/>
      <c r="C746" s="123"/>
      <c r="D746" s="123"/>
      <c r="E746" s="123"/>
      <c r="F746" s="123"/>
      <c r="G746" s="123"/>
      <c r="H746" s="123"/>
      <c r="I746" s="169"/>
      <c r="J746" s="123"/>
      <c r="K746" s="123"/>
      <c r="L746" s="127"/>
      <c r="M746" s="127"/>
      <c r="N746" s="127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 spans="1:27" ht="13.5" customHeight="1">
      <c r="A747" s="123"/>
      <c r="B747" s="127"/>
      <c r="C747" s="123"/>
      <c r="D747" s="123"/>
      <c r="E747" s="123"/>
      <c r="F747" s="123"/>
      <c r="G747" s="123"/>
      <c r="H747" s="123"/>
      <c r="I747" s="169"/>
      <c r="J747" s="123"/>
      <c r="K747" s="123"/>
      <c r="L747" s="127"/>
      <c r="M747" s="127"/>
      <c r="N747" s="127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 spans="1:27" ht="13.5" customHeight="1">
      <c r="A748" s="123"/>
      <c r="B748" s="127"/>
      <c r="C748" s="123"/>
      <c r="D748" s="123"/>
      <c r="E748" s="123"/>
      <c r="F748" s="123"/>
      <c r="G748" s="123"/>
      <c r="H748" s="123"/>
      <c r="I748" s="169"/>
      <c r="J748" s="123"/>
      <c r="K748" s="123"/>
      <c r="L748" s="127"/>
      <c r="M748" s="127"/>
      <c r="N748" s="127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 spans="1:27" ht="13.5" customHeight="1">
      <c r="A749" s="123"/>
      <c r="B749" s="127"/>
      <c r="C749" s="123"/>
      <c r="D749" s="123"/>
      <c r="E749" s="123"/>
      <c r="F749" s="123"/>
      <c r="G749" s="123"/>
      <c r="H749" s="123"/>
      <c r="I749" s="169"/>
      <c r="J749" s="123"/>
      <c r="K749" s="123"/>
      <c r="L749" s="127"/>
      <c r="M749" s="127"/>
      <c r="N749" s="127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 spans="1:27" ht="13.5" customHeight="1">
      <c r="A750" s="123"/>
      <c r="B750" s="127"/>
      <c r="C750" s="123"/>
      <c r="D750" s="123"/>
      <c r="E750" s="123"/>
      <c r="F750" s="123"/>
      <c r="G750" s="123"/>
      <c r="H750" s="123"/>
      <c r="I750" s="169"/>
      <c r="J750" s="123"/>
      <c r="K750" s="123"/>
      <c r="L750" s="127"/>
      <c r="M750" s="127"/>
      <c r="N750" s="127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 spans="1:27" ht="13.5" customHeight="1">
      <c r="A751" s="123"/>
      <c r="B751" s="127"/>
      <c r="C751" s="123"/>
      <c r="D751" s="123"/>
      <c r="E751" s="123"/>
      <c r="F751" s="123"/>
      <c r="G751" s="123"/>
      <c r="H751" s="123"/>
      <c r="I751" s="169"/>
      <c r="J751" s="123"/>
      <c r="K751" s="123"/>
      <c r="L751" s="127"/>
      <c r="M751" s="127"/>
      <c r="N751" s="127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 spans="1:27" ht="13.5" customHeight="1">
      <c r="A752" s="123"/>
      <c r="B752" s="127"/>
      <c r="C752" s="123"/>
      <c r="D752" s="123"/>
      <c r="E752" s="123"/>
      <c r="F752" s="123"/>
      <c r="G752" s="123"/>
      <c r="H752" s="123"/>
      <c r="I752" s="169"/>
      <c r="J752" s="123"/>
      <c r="K752" s="123"/>
      <c r="L752" s="127"/>
      <c r="M752" s="127"/>
      <c r="N752" s="127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 spans="1:27" ht="13.5" customHeight="1">
      <c r="A753" s="123"/>
      <c r="B753" s="127"/>
      <c r="C753" s="123"/>
      <c r="D753" s="123"/>
      <c r="E753" s="123"/>
      <c r="F753" s="123"/>
      <c r="G753" s="123"/>
      <c r="H753" s="123"/>
      <c r="I753" s="169"/>
      <c r="J753" s="123"/>
      <c r="K753" s="123"/>
      <c r="L753" s="127"/>
      <c r="M753" s="127"/>
      <c r="N753" s="127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 spans="1:27" ht="13.5" customHeight="1">
      <c r="A754" s="123"/>
      <c r="B754" s="127"/>
      <c r="C754" s="123"/>
      <c r="D754" s="123"/>
      <c r="E754" s="123"/>
      <c r="F754" s="123"/>
      <c r="G754" s="123"/>
      <c r="H754" s="123"/>
      <c r="I754" s="169"/>
      <c r="J754" s="123"/>
      <c r="K754" s="123"/>
      <c r="L754" s="127"/>
      <c r="M754" s="127"/>
      <c r="N754" s="127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 spans="1:27" ht="13.5" customHeight="1">
      <c r="A755" s="123"/>
      <c r="B755" s="127"/>
      <c r="C755" s="123"/>
      <c r="D755" s="123"/>
      <c r="E755" s="123"/>
      <c r="F755" s="123"/>
      <c r="G755" s="123"/>
      <c r="H755" s="123"/>
      <c r="I755" s="169"/>
      <c r="J755" s="123"/>
      <c r="K755" s="123"/>
      <c r="L755" s="127"/>
      <c r="M755" s="127"/>
      <c r="N755" s="127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 spans="1:27" ht="13.5" customHeight="1">
      <c r="A756" s="123"/>
      <c r="B756" s="127"/>
      <c r="C756" s="123"/>
      <c r="D756" s="123"/>
      <c r="E756" s="123"/>
      <c r="F756" s="123"/>
      <c r="G756" s="123"/>
      <c r="H756" s="123"/>
      <c r="I756" s="169"/>
      <c r="J756" s="123"/>
      <c r="K756" s="123"/>
      <c r="L756" s="127"/>
      <c r="M756" s="127"/>
      <c r="N756" s="127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 spans="1:27" ht="13.5" customHeight="1">
      <c r="A757" s="123"/>
      <c r="B757" s="127"/>
      <c r="C757" s="123"/>
      <c r="D757" s="123"/>
      <c r="E757" s="123"/>
      <c r="F757" s="123"/>
      <c r="G757" s="123"/>
      <c r="H757" s="123"/>
      <c r="I757" s="169"/>
      <c r="J757" s="123"/>
      <c r="K757" s="123"/>
      <c r="L757" s="127"/>
      <c r="M757" s="127"/>
      <c r="N757" s="127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 spans="1:27" ht="13.5" customHeight="1">
      <c r="A758" s="123"/>
      <c r="B758" s="127"/>
      <c r="C758" s="123"/>
      <c r="D758" s="123"/>
      <c r="E758" s="123"/>
      <c r="F758" s="123"/>
      <c r="G758" s="123"/>
      <c r="H758" s="123"/>
      <c r="I758" s="169"/>
      <c r="J758" s="123"/>
      <c r="K758" s="123"/>
      <c r="L758" s="127"/>
      <c r="M758" s="127"/>
      <c r="N758" s="127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 spans="1:27" ht="13.5" customHeight="1">
      <c r="A759" s="123"/>
      <c r="B759" s="127"/>
      <c r="C759" s="123"/>
      <c r="D759" s="123"/>
      <c r="E759" s="123"/>
      <c r="F759" s="123"/>
      <c r="G759" s="123"/>
      <c r="H759" s="123"/>
      <c r="I759" s="169"/>
      <c r="J759" s="123"/>
      <c r="K759" s="123"/>
      <c r="L759" s="127"/>
      <c r="M759" s="127"/>
      <c r="N759" s="127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 spans="1:27" ht="13.5" customHeight="1">
      <c r="A760" s="123"/>
      <c r="B760" s="127"/>
      <c r="C760" s="123"/>
      <c r="D760" s="123"/>
      <c r="E760" s="123"/>
      <c r="F760" s="123"/>
      <c r="G760" s="123"/>
      <c r="H760" s="123"/>
      <c r="I760" s="169"/>
      <c r="J760" s="123"/>
      <c r="K760" s="123"/>
      <c r="L760" s="127"/>
      <c r="M760" s="127"/>
      <c r="N760" s="127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 spans="1:27" ht="13.5" customHeight="1">
      <c r="A761" s="123"/>
      <c r="B761" s="127"/>
      <c r="C761" s="123"/>
      <c r="D761" s="123"/>
      <c r="E761" s="123"/>
      <c r="F761" s="123"/>
      <c r="G761" s="123"/>
      <c r="H761" s="123"/>
      <c r="I761" s="169"/>
      <c r="J761" s="123"/>
      <c r="K761" s="123"/>
      <c r="L761" s="127"/>
      <c r="M761" s="127"/>
      <c r="N761" s="127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 spans="1:27" ht="13.5" customHeight="1">
      <c r="A762" s="123"/>
      <c r="B762" s="127"/>
      <c r="C762" s="123"/>
      <c r="D762" s="123"/>
      <c r="E762" s="123"/>
      <c r="F762" s="123"/>
      <c r="G762" s="123"/>
      <c r="H762" s="123"/>
      <c r="I762" s="169"/>
      <c r="J762" s="123"/>
      <c r="K762" s="123"/>
      <c r="L762" s="127"/>
      <c r="M762" s="127"/>
      <c r="N762" s="127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 spans="1:27" ht="13.5" customHeight="1">
      <c r="A763" s="123"/>
      <c r="B763" s="127"/>
      <c r="C763" s="123"/>
      <c r="D763" s="123"/>
      <c r="E763" s="123"/>
      <c r="F763" s="123"/>
      <c r="G763" s="123"/>
      <c r="H763" s="123"/>
      <c r="I763" s="169"/>
      <c r="J763" s="123"/>
      <c r="K763" s="123"/>
      <c r="L763" s="127"/>
      <c r="M763" s="127"/>
      <c r="N763" s="127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 spans="1:27" ht="13.5" customHeight="1">
      <c r="A764" s="123"/>
      <c r="B764" s="127"/>
      <c r="C764" s="123"/>
      <c r="D764" s="123"/>
      <c r="E764" s="123"/>
      <c r="F764" s="123"/>
      <c r="G764" s="123"/>
      <c r="H764" s="123"/>
      <c r="I764" s="169"/>
      <c r="J764" s="123"/>
      <c r="K764" s="123"/>
      <c r="L764" s="127"/>
      <c r="M764" s="127"/>
      <c r="N764" s="127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 spans="1:27" ht="13.5" customHeight="1">
      <c r="A765" s="123"/>
      <c r="B765" s="127"/>
      <c r="C765" s="123"/>
      <c r="D765" s="123"/>
      <c r="E765" s="123"/>
      <c r="F765" s="123"/>
      <c r="G765" s="123"/>
      <c r="H765" s="123"/>
      <c r="I765" s="169"/>
      <c r="J765" s="123"/>
      <c r="K765" s="123"/>
      <c r="L765" s="127"/>
      <c r="M765" s="127"/>
      <c r="N765" s="127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 spans="1:27" ht="13.5" customHeight="1">
      <c r="A766" s="123"/>
      <c r="B766" s="127"/>
      <c r="C766" s="123"/>
      <c r="D766" s="123"/>
      <c r="E766" s="123"/>
      <c r="F766" s="123"/>
      <c r="G766" s="123"/>
      <c r="H766" s="123"/>
      <c r="I766" s="169"/>
      <c r="J766" s="123"/>
      <c r="K766" s="123"/>
      <c r="L766" s="127"/>
      <c r="M766" s="127"/>
      <c r="N766" s="127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 spans="1:27" ht="13.5" customHeight="1">
      <c r="A767" s="123"/>
      <c r="B767" s="127"/>
      <c r="C767" s="123"/>
      <c r="D767" s="123"/>
      <c r="E767" s="123"/>
      <c r="F767" s="123"/>
      <c r="G767" s="123"/>
      <c r="H767" s="123"/>
      <c r="I767" s="169"/>
      <c r="J767" s="123"/>
      <c r="K767" s="123"/>
      <c r="L767" s="127"/>
      <c r="M767" s="127"/>
      <c r="N767" s="127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 spans="1:27" ht="13.5" customHeight="1">
      <c r="A768" s="123"/>
      <c r="B768" s="127"/>
      <c r="C768" s="123"/>
      <c r="D768" s="123"/>
      <c r="E768" s="123"/>
      <c r="F768" s="123"/>
      <c r="G768" s="123"/>
      <c r="H768" s="123"/>
      <c r="I768" s="169"/>
      <c r="J768" s="123"/>
      <c r="K768" s="123"/>
      <c r="L768" s="127"/>
      <c r="M768" s="127"/>
      <c r="N768" s="127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 spans="1:27" ht="13.5" customHeight="1">
      <c r="A769" s="123"/>
      <c r="B769" s="127"/>
      <c r="C769" s="123"/>
      <c r="D769" s="123"/>
      <c r="E769" s="123"/>
      <c r="F769" s="123"/>
      <c r="G769" s="123"/>
      <c r="H769" s="123"/>
      <c r="I769" s="169"/>
      <c r="J769" s="123"/>
      <c r="K769" s="123"/>
      <c r="L769" s="127"/>
      <c r="M769" s="127"/>
      <c r="N769" s="127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 spans="1:27" ht="13.5" customHeight="1">
      <c r="A770" s="123"/>
      <c r="B770" s="127"/>
      <c r="C770" s="123"/>
      <c r="D770" s="123"/>
      <c r="E770" s="123"/>
      <c r="F770" s="123"/>
      <c r="G770" s="123"/>
      <c r="H770" s="123"/>
      <c r="I770" s="169"/>
      <c r="J770" s="123"/>
      <c r="K770" s="123"/>
      <c r="L770" s="127"/>
      <c r="M770" s="127"/>
      <c r="N770" s="127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 spans="1:27" ht="13.5" customHeight="1">
      <c r="A771" s="123"/>
      <c r="B771" s="127"/>
      <c r="C771" s="123"/>
      <c r="D771" s="123"/>
      <c r="E771" s="123"/>
      <c r="F771" s="123"/>
      <c r="G771" s="123"/>
      <c r="H771" s="123"/>
      <c r="I771" s="169"/>
      <c r="J771" s="123"/>
      <c r="K771" s="123"/>
      <c r="L771" s="127"/>
      <c r="M771" s="127"/>
      <c r="N771" s="127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 spans="1:27" ht="13.5" customHeight="1">
      <c r="A772" s="123"/>
      <c r="B772" s="127"/>
      <c r="C772" s="123"/>
      <c r="D772" s="123"/>
      <c r="E772" s="123"/>
      <c r="F772" s="123"/>
      <c r="G772" s="123"/>
      <c r="H772" s="123"/>
      <c r="I772" s="169"/>
      <c r="J772" s="123"/>
      <c r="K772" s="123"/>
      <c r="L772" s="127"/>
      <c r="M772" s="127"/>
      <c r="N772" s="127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 spans="1:27" ht="13.5" customHeight="1">
      <c r="A773" s="123"/>
      <c r="B773" s="127"/>
      <c r="C773" s="123"/>
      <c r="D773" s="123"/>
      <c r="E773" s="123"/>
      <c r="F773" s="123"/>
      <c r="G773" s="123"/>
      <c r="H773" s="123"/>
      <c r="I773" s="169"/>
      <c r="J773" s="123"/>
      <c r="K773" s="123"/>
      <c r="L773" s="127"/>
      <c r="M773" s="127"/>
      <c r="N773" s="127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 spans="1:27" ht="13.5" customHeight="1">
      <c r="A774" s="123"/>
      <c r="B774" s="127"/>
      <c r="C774" s="123"/>
      <c r="D774" s="123"/>
      <c r="E774" s="123"/>
      <c r="F774" s="123"/>
      <c r="G774" s="123"/>
      <c r="H774" s="123"/>
      <c r="I774" s="169"/>
      <c r="J774" s="123"/>
      <c r="K774" s="123"/>
      <c r="L774" s="127"/>
      <c r="M774" s="127"/>
      <c r="N774" s="127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 spans="1:27" ht="13.5" customHeight="1">
      <c r="A775" s="123"/>
      <c r="B775" s="127"/>
      <c r="C775" s="123"/>
      <c r="D775" s="123"/>
      <c r="E775" s="123"/>
      <c r="F775" s="123"/>
      <c r="G775" s="123"/>
      <c r="H775" s="123"/>
      <c r="I775" s="169"/>
      <c r="J775" s="123"/>
      <c r="K775" s="123"/>
      <c r="L775" s="127"/>
      <c r="M775" s="127"/>
      <c r="N775" s="127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 spans="1:27" ht="13.5" customHeight="1">
      <c r="A776" s="123"/>
      <c r="B776" s="127"/>
      <c r="C776" s="123"/>
      <c r="D776" s="123"/>
      <c r="E776" s="123"/>
      <c r="F776" s="123"/>
      <c r="G776" s="123"/>
      <c r="H776" s="123"/>
      <c r="I776" s="169"/>
      <c r="J776" s="123"/>
      <c r="K776" s="123"/>
      <c r="L776" s="127"/>
      <c r="M776" s="127"/>
      <c r="N776" s="127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 spans="1:27" ht="13.5" customHeight="1">
      <c r="A777" s="123"/>
      <c r="B777" s="127"/>
      <c r="C777" s="123"/>
      <c r="D777" s="123"/>
      <c r="E777" s="123"/>
      <c r="F777" s="123"/>
      <c r="G777" s="123"/>
      <c r="H777" s="123"/>
      <c r="I777" s="169"/>
      <c r="J777" s="123"/>
      <c r="K777" s="123"/>
      <c r="L777" s="127"/>
      <c r="M777" s="127"/>
      <c r="N777" s="127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 spans="1:27" ht="13.5" customHeight="1">
      <c r="A778" s="123"/>
      <c r="B778" s="127"/>
      <c r="C778" s="123"/>
      <c r="D778" s="123"/>
      <c r="E778" s="123"/>
      <c r="F778" s="123"/>
      <c r="G778" s="123"/>
      <c r="H778" s="123"/>
      <c r="I778" s="169"/>
      <c r="J778" s="123"/>
      <c r="K778" s="123"/>
      <c r="L778" s="127"/>
      <c r="M778" s="127"/>
      <c r="N778" s="127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 spans="1:27" ht="13.5" customHeight="1">
      <c r="A779" s="123"/>
      <c r="B779" s="127"/>
      <c r="C779" s="123"/>
      <c r="D779" s="123"/>
      <c r="E779" s="123"/>
      <c r="F779" s="123"/>
      <c r="G779" s="123"/>
      <c r="H779" s="123"/>
      <c r="I779" s="169"/>
      <c r="J779" s="123"/>
      <c r="K779" s="123"/>
      <c r="L779" s="127"/>
      <c r="M779" s="127"/>
      <c r="N779" s="127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 spans="1:27" ht="13.5" customHeight="1">
      <c r="A780" s="123"/>
      <c r="B780" s="127"/>
      <c r="C780" s="123"/>
      <c r="D780" s="123"/>
      <c r="E780" s="123"/>
      <c r="F780" s="123"/>
      <c r="G780" s="123"/>
      <c r="H780" s="123"/>
      <c r="I780" s="169"/>
      <c r="J780" s="123"/>
      <c r="K780" s="123"/>
      <c r="L780" s="127"/>
      <c r="M780" s="127"/>
      <c r="N780" s="127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 spans="1:27" ht="13.5" customHeight="1">
      <c r="A781" s="123"/>
      <c r="B781" s="127"/>
      <c r="C781" s="123"/>
      <c r="D781" s="123"/>
      <c r="E781" s="123"/>
      <c r="F781" s="123"/>
      <c r="G781" s="123"/>
      <c r="H781" s="123"/>
      <c r="I781" s="169"/>
      <c r="J781" s="123"/>
      <c r="K781" s="123"/>
      <c r="L781" s="127"/>
      <c r="M781" s="127"/>
      <c r="N781" s="127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 spans="1:27" ht="13.5" customHeight="1">
      <c r="A782" s="123"/>
      <c r="B782" s="127"/>
      <c r="C782" s="123"/>
      <c r="D782" s="123"/>
      <c r="E782" s="123"/>
      <c r="F782" s="123"/>
      <c r="G782" s="123"/>
      <c r="H782" s="123"/>
      <c r="I782" s="169"/>
      <c r="J782" s="123"/>
      <c r="K782" s="123"/>
      <c r="L782" s="127"/>
      <c r="M782" s="127"/>
      <c r="N782" s="127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 spans="1:27" ht="13.5" customHeight="1">
      <c r="A783" s="123"/>
      <c r="B783" s="127"/>
      <c r="C783" s="123"/>
      <c r="D783" s="123"/>
      <c r="E783" s="123"/>
      <c r="F783" s="123"/>
      <c r="G783" s="123"/>
      <c r="H783" s="123"/>
      <c r="I783" s="169"/>
      <c r="J783" s="123"/>
      <c r="K783" s="123"/>
      <c r="L783" s="127"/>
      <c r="M783" s="127"/>
      <c r="N783" s="127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 spans="1:27" ht="13.5" customHeight="1">
      <c r="A784" s="123"/>
      <c r="B784" s="127"/>
      <c r="C784" s="123"/>
      <c r="D784" s="123"/>
      <c r="E784" s="123"/>
      <c r="F784" s="123"/>
      <c r="G784" s="123"/>
      <c r="H784" s="123"/>
      <c r="I784" s="169"/>
      <c r="J784" s="123"/>
      <c r="K784" s="123"/>
      <c r="L784" s="127"/>
      <c r="M784" s="127"/>
      <c r="N784" s="127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 spans="1:27" ht="13.5" customHeight="1">
      <c r="A785" s="123"/>
      <c r="B785" s="127"/>
      <c r="C785" s="123"/>
      <c r="D785" s="123"/>
      <c r="E785" s="123"/>
      <c r="F785" s="123"/>
      <c r="G785" s="123"/>
      <c r="H785" s="123"/>
      <c r="I785" s="169"/>
      <c r="J785" s="123"/>
      <c r="K785" s="123"/>
      <c r="L785" s="127"/>
      <c r="M785" s="127"/>
      <c r="N785" s="127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 spans="1:27" ht="13.5" customHeight="1">
      <c r="A786" s="123"/>
      <c r="B786" s="127"/>
      <c r="C786" s="123"/>
      <c r="D786" s="123"/>
      <c r="E786" s="123"/>
      <c r="F786" s="123"/>
      <c r="G786" s="123"/>
      <c r="H786" s="123"/>
      <c r="I786" s="169"/>
      <c r="J786" s="123"/>
      <c r="K786" s="123"/>
      <c r="L786" s="127"/>
      <c r="M786" s="127"/>
      <c r="N786" s="127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 spans="1:27" ht="13.5" customHeight="1">
      <c r="A787" s="123"/>
      <c r="B787" s="127"/>
      <c r="C787" s="123"/>
      <c r="D787" s="123"/>
      <c r="E787" s="123"/>
      <c r="F787" s="123"/>
      <c r="G787" s="123"/>
      <c r="H787" s="123"/>
      <c r="I787" s="169"/>
      <c r="J787" s="123"/>
      <c r="K787" s="123"/>
      <c r="L787" s="127"/>
      <c r="M787" s="127"/>
      <c r="N787" s="127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 spans="1:27" ht="13.5" customHeight="1">
      <c r="A788" s="123"/>
      <c r="B788" s="127"/>
      <c r="C788" s="123"/>
      <c r="D788" s="123"/>
      <c r="E788" s="123"/>
      <c r="F788" s="123"/>
      <c r="G788" s="123"/>
      <c r="H788" s="123"/>
      <c r="I788" s="169"/>
      <c r="J788" s="123"/>
      <c r="K788" s="123"/>
      <c r="L788" s="127"/>
      <c r="M788" s="127"/>
      <c r="N788" s="127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 spans="1:27" ht="13.5" customHeight="1">
      <c r="A789" s="123"/>
      <c r="B789" s="127"/>
      <c r="C789" s="123"/>
      <c r="D789" s="123"/>
      <c r="E789" s="123"/>
      <c r="F789" s="123"/>
      <c r="G789" s="123"/>
      <c r="H789" s="123"/>
      <c r="I789" s="169"/>
      <c r="J789" s="123"/>
      <c r="K789" s="123"/>
      <c r="L789" s="127"/>
      <c r="M789" s="127"/>
      <c r="N789" s="127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 spans="1:27" ht="13.5" customHeight="1">
      <c r="A790" s="123"/>
      <c r="B790" s="127"/>
      <c r="C790" s="123"/>
      <c r="D790" s="123"/>
      <c r="E790" s="123"/>
      <c r="F790" s="123"/>
      <c r="G790" s="123"/>
      <c r="H790" s="123"/>
      <c r="I790" s="169"/>
      <c r="J790" s="123"/>
      <c r="K790" s="123"/>
      <c r="L790" s="127"/>
      <c r="M790" s="127"/>
      <c r="N790" s="127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 spans="1:27" ht="13.5" customHeight="1">
      <c r="A791" s="123"/>
      <c r="B791" s="127"/>
      <c r="C791" s="123"/>
      <c r="D791" s="123"/>
      <c r="E791" s="123"/>
      <c r="F791" s="123"/>
      <c r="G791" s="123"/>
      <c r="H791" s="123"/>
      <c r="I791" s="169"/>
      <c r="J791" s="123"/>
      <c r="K791" s="123"/>
      <c r="L791" s="127"/>
      <c r="M791" s="127"/>
      <c r="N791" s="127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 spans="1:27" ht="13.5" customHeight="1">
      <c r="A792" s="123"/>
      <c r="B792" s="127"/>
      <c r="C792" s="123"/>
      <c r="D792" s="123"/>
      <c r="E792" s="123"/>
      <c r="F792" s="123"/>
      <c r="G792" s="123"/>
      <c r="H792" s="123"/>
      <c r="I792" s="169"/>
      <c r="J792" s="123"/>
      <c r="K792" s="123"/>
      <c r="L792" s="127"/>
      <c r="M792" s="127"/>
      <c r="N792" s="127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 spans="1:27" ht="13.5" customHeight="1">
      <c r="A793" s="123"/>
      <c r="B793" s="127"/>
      <c r="C793" s="123"/>
      <c r="D793" s="123"/>
      <c r="E793" s="123"/>
      <c r="F793" s="123"/>
      <c r="G793" s="123"/>
      <c r="H793" s="123"/>
      <c r="I793" s="169"/>
      <c r="J793" s="123"/>
      <c r="K793" s="123"/>
      <c r="L793" s="127"/>
      <c r="M793" s="127"/>
      <c r="N793" s="127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 spans="1:27" ht="13.5" customHeight="1">
      <c r="A794" s="123"/>
      <c r="B794" s="127"/>
      <c r="C794" s="123"/>
      <c r="D794" s="123"/>
      <c r="E794" s="123"/>
      <c r="F794" s="123"/>
      <c r="G794" s="123"/>
      <c r="H794" s="123"/>
      <c r="I794" s="169"/>
      <c r="J794" s="123"/>
      <c r="K794" s="123"/>
      <c r="L794" s="127"/>
      <c r="M794" s="127"/>
      <c r="N794" s="127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 spans="1:27" ht="13.5" customHeight="1">
      <c r="A795" s="123"/>
      <c r="B795" s="127"/>
      <c r="C795" s="123"/>
      <c r="D795" s="123"/>
      <c r="E795" s="123"/>
      <c r="F795" s="123"/>
      <c r="G795" s="123"/>
      <c r="H795" s="123"/>
      <c r="I795" s="169"/>
      <c r="J795" s="123"/>
      <c r="K795" s="123"/>
      <c r="L795" s="127"/>
      <c r="M795" s="127"/>
      <c r="N795" s="127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 spans="1:27" ht="13.5" customHeight="1">
      <c r="A796" s="123"/>
      <c r="B796" s="127"/>
      <c r="C796" s="123"/>
      <c r="D796" s="123"/>
      <c r="E796" s="123"/>
      <c r="F796" s="123"/>
      <c r="G796" s="123"/>
      <c r="H796" s="123"/>
      <c r="I796" s="169"/>
      <c r="J796" s="123"/>
      <c r="K796" s="123"/>
      <c r="L796" s="127"/>
      <c r="M796" s="127"/>
      <c r="N796" s="127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 spans="1:27" ht="13.5" customHeight="1">
      <c r="A797" s="123"/>
      <c r="B797" s="127"/>
      <c r="C797" s="123"/>
      <c r="D797" s="123"/>
      <c r="E797" s="123"/>
      <c r="F797" s="123"/>
      <c r="G797" s="123"/>
      <c r="H797" s="123"/>
      <c r="I797" s="169"/>
      <c r="J797" s="123"/>
      <c r="K797" s="123"/>
      <c r="L797" s="127"/>
      <c r="M797" s="127"/>
      <c r="N797" s="127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 spans="1:27" ht="13.5" customHeight="1">
      <c r="A798" s="123"/>
      <c r="B798" s="127"/>
      <c r="C798" s="123"/>
      <c r="D798" s="123"/>
      <c r="E798" s="123"/>
      <c r="F798" s="123"/>
      <c r="G798" s="123"/>
      <c r="H798" s="123"/>
      <c r="I798" s="169"/>
      <c r="J798" s="123"/>
      <c r="K798" s="123"/>
      <c r="L798" s="127"/>
      <c r="M798" s="127"/>
      <c r="N798" s="127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 spans="1:27" ht="13.5" customHeight="1">
      <c r="A799" s="123"/>
      <c r="B799" s="127"/>
      <c r="C799" s="123"/>
      <c r="D799" s="123"/>
      <c r="E799" s="123"/>
      <c r="F799" s="123"/>
      <c r="G799" s="123"/>
      <c r="H799" s="123"/>
      <c r="I799" s="169"/>
      <c r="J799" s="123"/>
      <c r="K799" s="123"/>
      <c r="L799" s="127"/>
      <c r="M799" s="127"/>
      <c r="N799" s="127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 spans="1:27" ht="13.5" customHeight="1">
      <c r="A800" s="123"/>
      <c r="B800" s="127"/>
      <c r="C800" s="123"/>
      <c r="D800" s="123"/>
      <c r="E800" s="123"/>
      <c r="F800" s="123"/>
      <c r="G800" s="123"/>
      <c r="H800" s="123"/>
      <c r="I800" s="169"/>
      <c r="J800" s="123"/>
      <c r="K800" s="123"/>
      <c r="L800" s="127"/>
      <c r="M800" s="127"/>
      <c r="N800" s="127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 spans="1:27" ht="13.5" customHeight="1">
      <c r="A801" s="123"/>
      <c r="B801" s="127"/>
      <c r="C801" s="123"/>
      <c r="D801" s="123"/>
      <c r="E801" s="123"/>
      <c r="F801" s="123"/>
      <c r="G801" s="123"/>
      <c r="H801" s="123"/>
      <c r="I801" s="169"/>
      <c r="J801" s="123"/>
      <c r="K801" s="123"/>
      <c r="L801" s="127"/>
      <c r="M801" s="127"/>
      <c r="N801" s="127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 spans="1:27" ht="13.5" customHeight="1">
      <c r="A802" s="123"/>
      <c r="B802" s="127"/>
      <c r="C802" s="123"/>
      <c r="D802" s="123"/>
      <c r="E802" s="123"/>
      <c r="F802" s="123"/>
      <c r="G802" s="123"/>
      <c r="H802" s="123"/>
      <c r="I802" s="169"/>
      <c r="J802" s="123"/>
      <c r="K802" s="123"/>
      <c r="L802" s="127"/>
      <c r="M802" s="127"/>
      <c r="N802" s="127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 spans="1:27" ht="13.5" customHeight="1">
      <c r="A803" s="123"/>
      <c r="B803" s="127"/>
      <c r="C803" s="123"/>
      <c r="D803" s="123"/>
      <c r="E803" s="123"/>
      <c r="F803" s="123"/>
      <c r="G803" s="123"/>
      <c r="H803" s="123"/>
      <c r="I803" s="169"/>
      <c r="J803" s="123"/>
      <c r="K803" s="123"/>
      <c r="L803" s="127"/>
      <c r="M803" s="127"/>
      <c r="N803" s="127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 spans="1:27" ht="13.5" customHeight="1">
      <c r="A804" s="123"/>
      <c r="B804" s="127"/>
      <c r="C804" s="123"/>
      <c r="D804" s="123"/>
      <c r="E804" s="123"/>
      <c r="F804" s="123"/>
      <c r="G804" s="123"/>
      <c r="H804" s="123"/>
      <c r="I804" s="169"/>
      <c r="J804" s="123"/>
      <c r="K804" s="123"/>
      <c r="L804" s="127"/>
      <c r="M804" s="127"/>
      <c r="N804" s="127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 spans="1:27" ht="13.5" customHeight="1">
      <c r="A805" s="123"/>
      <c r="B805" s="127"/>
      <c r="C805" s="123"/>
      <c r="D805" s="123"/>
      <c r="E805" s="123"/>
      <c r="F805" s="123"/>
      <c r="G805" s="123"/>
      <c r="H805" s="123"/>
      <c r="I805" s="169"/>
      <c r="J805" s="123"/>
      <c r="K805" s="123"/>
      <c r="L805" s="127"/>
      <c r="M805" s="127"/>
      <c r="N805" s="127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 spans="1:27" ht="13.5" customHeight="1">
      <c r="A806" s="123"/>
      <c r="B806" s="127"/>
      <c r="C806" s="123"/>
      <c r="D806" s="123"/>
      <c r="E806" s="123"/>
      <c r="F806" s="123"/>
      <c r="G806" s="123"/>
      <c r="H806" s="123"/>
      <c r="I806" s="169"/>
      <c r="J806" s="123"/>
      <c r="K806" s="123"/>
      <c r="L806" s="127"/>
      <c r="M806" s="127"/>
      <c r="N806" s="127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 spans="1:27" ht="13.5" customHeight="1">
      <c r="A807" s="123"/>
      <c r="B807" s="127"/>
      <c r="C807" s="123"/>
      <c r="D807" s="123"/>
      <c r="E807" s="123"/>
      <c r="F807" s="123"/>
      <c r="G807" s="123"/>
      <c r="H807" s="123"/>
      <c r="I807" s="169"/>
      <c r="J807" s="123"/>
      <c r="K807" s="123"/>
      <c r="L807" s="127"/>
      <c r="M807" s="127"/>
      <c r="N807" s="127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 spans="1:27" ht="13.5" customHeight="1">
      <c r="A808" s="123"/>
      <c r="B808" s="127"/>
      <c r="C808" s="123"/>
      <c r="D808" s="123"/>
      <c r="E808" s="123"/>
      <c r="F808" s="123"/>
      <c r="G808" s="123"/>
      <c r="H808" s="123"/>
      <c r="I808" s="169"/>
      <c r="J808" s="123"/>
      <c r="K808" s="123"/>
      <c r="L808" s="127"/>
      <c r="M808" s="127"/>
      <c r="N808" s="127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 spans="1:27" ht="13.5" customHeight="1">
      <c r="A809" s="123"/>
      <c r="B809" s="127"/>
      <c r="C809" s="123"/>
      <c r="D809" s="123"/>
      <c r="E809" s="123"/>
      <c r="F809" s="123"/>
      <c r="G809" s="123"/>
      <c r="H809" s="123"/>
      <c r="I809" s="169"/>
      <c r="J809" s="123"/>
      <c r="K809" s="123"/>
      <c r="L809" s="127"/>
      <c r="M809" s="127"/>
      <c r="N809" s="127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 spans="1:27" ht="13.5" customHeight="1">
      <c r="A810" s="123"/>
      <c r="B810" s="127"/>
      <c r="C810" s="123"/>
      <c r="D810" s="123"/>
      <c r="E810" s="123"/>
      <c r="F810" s="123"/>
      <c r="G810" s="123"/>
      <c r="H810" s="123"/>
      <c r="I810" s="169"/>
      <c r="J810" s="123"/>
      <c r="K810" s="123"/>
      <c r="L810" s="127"/>
      <c r="M810" s="127"/>
      <c r="N810" s="127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 spans="1:27" ht="13.5" customHeight="1">
      <c r="A811" s="123"/>
      <c r="B811" s="127"/>
      <c r="C811" s="123"/>
      <c r="D811" s="123"/>
      <c r="E811" s="123"/>
      <c r="F811" s="123"/>
      <c r="G811" s="123"/>
      <c r="H811" s="123"/>
      <c r="I811" s="169"/>
      <c r="J811" s="123"/>
      <c r="K811" s="123"/>
      <c r="L811" s="127"/>
      <c r="M811" s="127"/>
      <c r="N811" s="127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 spans="1:27" ht="13.5" customHeight="1">
      <c r="A812" s="123"/>
      <c r="B812" s="127"/>
      <c r="C812" s="123"/>
      <c r="D812" s="123"/>
      <c r="E812" s="123"/>
      <c r="F812" s="123"/>
      <c r="G812" s="123"/>
      <c r="H812" s="123"/>
      <c r="I812" s="169"/>
      <c r="J812" s="123"/>
      <c r="K812" s="123"/>
      <c r="L812" s="127"/>
      <c r="M812" s="127"/>
      <c r="N812" s="127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 spans="1:27" ht="13.5" customHeight="1">
      <c r="A813" s="123"/>
      <c r="B813" s="127"/>
      <c r="C813" s="123"/>
      <c r="D813" s="123"/>
      <c r="E813" s="123"/>
      <c r="F813" s="123"/>
      <c r="G813" s="123"/>
      <c r="H813" s="123"/>
      <c r="I813" s="169"/>
      <c r="J813" s="123"/>
      <c r="K813" s="123"/>
      <c r="L813" s="127"/>
      <c r="M813" s="127"/>
      <c r="N813" s="127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 spans="1:27" ht="13.5" customHeight="1">
      <c r="A814" s="123"/>
      <c r="B814" s="127"/>
      <c r="C814" s="123"/>
      <c r="D814" s="123"/>
      <c r="E814" s="123"/>
      <c r="F814" s="123"/>
      <c r="G814" s="123"/>
      <c r="H814" s="123"/>
      <c r="I814" s="169"/>
      <c r="J814" s="123"/>
      <c r="K814" s="123"/>
      <c r="L814" s="127"/>
      <c r="M814" s="127"/>
      <c r="N814" s="127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 spans="1:27" ht="13.5" customHeight="1">
      <c r="A815" s="123"/>
      <c r="B815" s="127"/>
      <c r="C815" s="123"/>
      <c r="D815" s="123"/>
      <c r="E815" s="123"/>
      <c r="F815" s="123"/>
      <c r="G815" s="123"/>
      <c r="H815" s="123"/>
      <c r="I815" s="169"/>
      <c r="J815" s="123"/>
      <c r="K815" s="123"/>
      <c r="L815" s="127"/>
      <c r="M815" s="127"/>
      <c r="N815" s="127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 spans="1:27" ht="13.5" customHeight="1">
      <c r="A816" s="123"/>
      <c r="B816" s="127"/>
      <c r="C816" s="123"/>
      <c r="D816" s="123"/>
      <c r="E816" s="123"/>
      <c r="F816" s="123"/>
      <c r="G816" s="123"/>
      <c r="H816" s="123"/>
      <c r="I816" s="169"/>
      <c r="J816" s="123"/>
      <c r="K816" s="123"/>
      <c r="L816" s="127"/>
      <c r="M816" s="127"/>
      <c r="N816" s="127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 spans="1:27" ht="13.5" customHeight="1">
      <c r="A817" s="123"/>
      <c r="B817" s="127"/>
      <c r="C817" s="123"/>
      <c r="D817" s="123"/>
      <c r="E817" s="123"/>
      <c r="F817" s="123"/>
      <c r="G817" s="123"/>
      <c r="H817" s="123"/>
      <c r="I817" s="169"/>
      <c r="J817" s="123"/>
      <c r="K817" s="123"/>
      <c r="L817" s="127"/>
      <c r="M817" s="127"/>
      <c r="N817" s="127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 spans="1:27" ht="13.5" customHeight="1">
      <c r="A818" s="123"/>
      <c r="B818" s="127"/>
      <c r="C818" s="123"/>
      <c r="D818" s="123"/>
      <c r="E818" s="123"/>
      <c r="F818" s="123"/>
      <c r="G818" s="123"/>
      <c r="H818" s="123"/>
      <c r="I818" s="169"/>
      <c r="J818" s="123"/>
      <c r="K818" s="123"/>
      <c r="L818" s="127"/>
      <c r="M818" s="127"/>
      <c r="N818" s="127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 spans="1:27" ht="13.5" customHeight="1">
      <c r="A819" s="123"/>
      <c r="B819" s="127"/>
      <c r="C819" s="123"/>
      <c r="D819" s="123"/>
      <c r="E819" s="123"/>
      <c r="F819" s="123"/>
      <c r="G819" s="123"/>
      <c r="H819" s="123"/>
      <c r="I819" s="169"/>
      <c r="J819" s="123"/>
      <c r="K819" s="123"/>
      <c r="L819" s="127"/>
      <c r="M819" s="127"/>
      <c r="N819" s="127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 spans="1:27" ht="13.5" customHeight="1">
      <c r="A820" s="123"/>
      <c r="B820" s="127"/>
      <c r="C820" s="123"/>
      <c r="D820" s="123"/>
      <c r="E820" s="123"/>
      <c r="F820" s="123"/>
      <c r="G820" s="123"/>
      <c r="H820" s="123"/>
      <c r="I820" s="169"/>
      <c r="J820" s="123"/>
      <c r="K820" s="123"/>
      <c r="L820" s="127"/>
      <c r="M820" s="127"/>
      <c r="N820" s="127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 spans="1:27" ht="13.5" customHeight="1">
      <c r="A821" s="123"/>
      <c r="B821" s="127"/>
      <c r="C821" s="123"/>
      <c r="D821" s="123"/>
      <c r="E821" s="123"/>
      <c r="F821" s="123"/>
      <c r="G821" s="123"/>
      <c r="H821" s="123"/>
      <c r="I821" s="169"/>
      <c r="J821" s="123"/>
      <c r="K821" s="123"/>
      <c r="L821" s="127"/>
      <c r="M821" s="127"/>
      <c r="N821" s="127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 spans="1:27" ht="13.5" customHeight="1">
      <c r="A822" s="123"/>
      <c r="B822" s="127"/>
      <c r="C822" s="123"/>
      <c r="D822" s="123"/>
      <c r="E822" s="123"/>
      <c r="F822" s="123"/>
      <c r="G822" s="123"/>
      <c r="H822" s="123"/>
      <c r="I822" s="169"/>
      <c r="J822" s="123"/>
      <c r="K822" s="123"/>
      <c r="L822" s="127"/>
      <c r="M822" s="127"/>
      <c r="N822" s="127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 spans="1:27" ht="13.5" customHeight="1">
      <c r="A823" s="123"/>
      <c r="B823" s="127"/>
      <c r="C823" s="123"/>
      <c r="D823" s="123"/>
      <c r="E823" s="123"/>
      <c r="F823" s="123"/>
      <c r="G823" s="123"/>
      <c r="H823" s="123"/>
      <c r="I823" s="169"/>
      <c r="J823" s="123"/>
      <c r="K823" s="123"/>
      <c r="L823" s="127"/>
      <c r="M823" s="127"/>
      <c r="N823" s="127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 spans="1:27" ht="13.5" customHeight="1">
      <c r="A824" s="123"/>
      <c r="B824" s="127"/>
      <c r="C824" s="123"/>
      <c r="D824" s="123"/>
      <c r="E824" s="123"/>
      <c r="F824" s="123"/>
      <c r="G824" s="123"/>
      <c r="H824" s="123"/>
      <c r="I824" s="169"/>
      <c r="J824" s="123"/>
      <c r="K824" s="123"/>
      <c r="L824" s="127"/>
      <c r="M824" s="127"/>
      <c r="N824" s="127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 spans="1:27" ht="13.5" customHeight="1">
      <c r="A825" s="123"/>
      <c r="B825" s="127"/>
      <c r="C825" s="123"/>
      <c r="D825" s="123"/>
      <c r="E825" s="123"/>
      <c r="F825" s="123"/>
      <c r="G825" s="123"/>
      <c r="H825" s="123"/>
      <c r="I825" s="169"/>
      <c r="J825" s="123"/>
      <c r="K825" s="123"/>
      <c r="L825" s="127"/>
      <c r="M825" s="127"/>
      <c r="N825" s="127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 spans="1:27" ht="13.5" customHeight="1">
      <c r="A826" s="123"/>
      <c r="B826" s="127"/>
      <c r="C826" s="123"/>
      <c r="D826" s="123"/>
      <c r="E826" s="123"/>
      <c r="F826" s="123"/>
      <c r="G826" s="123"/>
      <c r="H826" s="123"/>
      <c r="I826" s="169"/>
      <c r="J826" s="123"/>
      <c r="K826" s="123"/>
      <c r="L826" s="127"/>
      <c r="M826" s="127"/>
      <c r="N826" s="127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 spans="1:27" ht="13.5" customHeight="1">
      <c r="A827" s="123"/>
      <c r="B827" s="127"/>
      <c r="C827" s="123"/>
      <c r="D827" s="123"/>
      <c r="E827" s="123"/>
      <c r="F827" s="123"/>
      <c r="G827" s="123"/>
      <c r="H827" s="123"/>
      <c r="I827" s="169"/>
      <c r="J827" s="123"/>
      <c r="K827" s="123"/>
      <c r="L827" s="127"/>
      <c r="M827" s="127"/>
      <c r="N827" s="127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 spans="1:27" ht="13.5" customHeight="1">
      <c r="A828" s="123"/>
      <c r="B828" s="127"/>
      <c r="C828" s="123"/>
      <c r="D828" s="123"/>
      <c r="E828" s="123"/>
      <c r="F828" s="123"/>
      <c r="G828" s="123"/>
      <c r="H828" s="123"/>
      <c r="I828" s="169"/>
      <c r="J828" s="123"/>
      <c r="K828" s="123"/>
      <c r="L828" s="127"/>
      <c r="M828" s="127"/>
      <c r="N828" s="127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 spans="1:27" ht="13.5" customHeight="1">
      <c r="A829" s="123"/>
      <c r="B829" s="127"/>
      <c r="C829" s="123"/>
      <c r="D829" s="123"/>
      <c r="E829" s="123"/>
      <c r="F829" s="123"/>
      <c r="G829" s="123"/>
      <c r="H829" s="123"/>
      <c r="I829" s="169"/>
      <c r="J829" s="123"/>
      <c r="K829" s="123"/>
      <c r="L829" s="127"/>
      <c r="M829" s="127"/>
      <c r="N829" s="127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 spans="1:27" ht="13.5" customHeight="1">
      <c r="A830" s="123"/>
      <c r="B830" s="127"/>
      <c r="C830" s="123"/>
      <c r="D830" s="123"/>
      <c r="E830" s="123"/>
      <c r="F830" s="123"/>
      <c r="G830" s="123"/>
      <c r="H830" s="123"/>
      <c r="I830" s="169"/>
      <c r="J830" s="123"/>
      <c r="K830" s="123"/>
      <c r="L830" s="127"/>
      <c r="M830" s="127"/>
      <c r="N830" s="127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 spans="1:27" ht="13.5" customHeight="1">
      <c r="A831" s="123"/>
      <c r="B831" s="127"/>
      <c r="C831" s="123"/>
      <c r="D831" s="123"/>
      <c r="E831" s="123"/>
      <c r="F831" s="123"/>
      <c r="G831" s="123"/>
      <c r="H831" s="123"/>
      <c r="I831" s="169"/>
      <c r="J831" s="123"/>
      <c r="K831" s="123"/>
      <c r="L831" s="127"/>
      <c r="M831" s="127"/>
      <c r="N831" s="127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 spans="1:27" ht="13.5" customHeight="1">
      <c r="A832" s="123"/>
      <c r="B832" s="127"/>
      <c r="C832" s="123"/>
      <c r="D832" s="123"/>
      <c r="E832" s="123"/>
      <c r="F832" s="123"/>
      <c r="G832" s="123"/>
      <c r="H832" s="123"/>
      <c r="I832" s="169"/>
      <c r="J832" s="123"/>
      <c r="K832" s="123"/>
      <c r="L832" s="127"/>
      <c r="M832" s="127"/>
      <c r="N832" s="127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 spans="1:27" ht="13.5" customHeight="1">
      <c r="A833" s="123"/>
      <c r="B833" s="127"/>
      <c r="C833" s="123"/>
      <c r="D833" s="123"/>
      <c r="E833" s="123"/>
      <c r="F833" s="123"/>
      <c r="G833" s="123"/>
      <c r="H833" s="123"/>
      <c r="I833" s="169"/>
      <c r="J833" s="123"/>
      <c r="K833" s="123"/>
      <c r="L833" s="127"/>
      <c r="M833" s="127"/>
      <c r="N833" s="127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 spans="1:27" ht="13.5" customHeight="1">
      <c r="A834" s="123"/>
      <c r="B834" s="127"/>
      <c r="C834" s="123"/>
      <c r="D834" s="123"/>
      <c r="E834" s="123"/>
      <c r="F834" s="123"/>
      <c r="G834" s="123"/>
      <c r="H834" s="123"/>
      <c r="I834" s="169"/>
      <c r="J834" s="123"/>
      <c r="K834" s="123"/>
      <c r="L834" s="127"/>
      <c r="M834" s="127"/>
      <c r="N834" s="127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 spans="1:27" ht="13.5" customHeight="1">
      <c r="A835" s="123"/>
      <c r="B835" s="127"/>
      <c r="C835" s="123"/>
      <c r="D835" s="123"/>
      <c r="E835" s="123"/>
      <c r="F835" s="123"/>
      <c r="G835" s="123"/>
      <c r="H835" s="123"/>
      <c r="I835" s="169"/>
      <c r="J835" s="123"/>
      <c r="K835" s="123"/>
      <c r="L835" s="127"/>
      <c r="M835" s="127"/>
      <c r="N835" s="127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 spans="1:27" ht="13.5" customHeight="1">
      <c r="A836" s="123"/>
      <c r="B836" s="127"/>
      <c r="C836" s="123"/>
      <c r="D836" s="123"/>
      <c r="E836" s="123"/>
      <c r="F836" s="123"/>
      <c r="G836" s="123"/>
      <c r="H836" s="123"/>
      <c r="I836" s="169"/>
      <c r="J836" s="123"/>
      <c r="K836" s="123"/>
      <c r="L836" s="127"/>
      <c r="M836" s="127"/>
      <c r="N836" s="127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 spans="1:27" ht="13.5" customHeight="1">
      <c r="A837" s="123"/>
      <c r="B837" s="127"/>
      <c r="C837" s="123"/>
      <c r="D837" s="123"/>
      <c r="E837" s="123"/>
      <c r="F837" s="123"/>
      <c r="G837" s="123"/>
      <c r="H837" s="123"/>
      <c r="I837" s="169"/>
      <c r="J837" s="123"/>
      <c r="K837" s="123"/>
      <c r="L837" s="127"/>
      <c r="M837" s="127"/>
      <c r="N837" s="127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 spans="1:27" ht="13.5" customHeight="1">
      <c r="A838" s="123"/>
      <c r="B838" s="127"/>
      <c r="C838" s="123"/>
      <c r="D838" s="123"/>
      <c r="E838" s="123"/>
      <c r="F838" s="123"/>
      <c r="G838" s="123"/>
      <c r="H838" s="123"/>
      <c r="I838" s="169"/>
      <c r="J838" s="123"/>
      <c r="K838" s="123"/>
      <c r="L838" s="127"/>
      <c r="M838" s="127"/>
      <c r="N838" s="127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 spans="1:27" ht="13.5" customHeight="1">
      <c r="A839" s="123"/>
      <c r="B839" s="127"/>
      <c r="C839" s="123"/>
      <c r="D839" s="123"/>
      <c r="E839" s="123"/>
      <c r="F839" s="123"/>
      <c r="G839" s="123"/>
      <c r="H839" s="123"/>
      <c r="I839" s="169"/>
      <c r="J839" s="123"/>
      <c r="K839" s="123"/>
      <c r="L839" s="127"/>
      <c r="M839" s="127"/>
      <c r="N839" s="127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 spans="1:27" ht="13.5" customHeight="1">
      <c r="A840" s="123"/>
      <c r="B840" s="127"/>
      <c r="C840" s="123"/>
      <c r="D840" s="123"/>
      <c r="E840" s="123"/>
      <c r="F840" s="123"/>
      <c r="G840" s="123"/>
      <c r="H840" s="123"/>
      <c r="I840" s="169"/>
      <c r="J840" s="123"/>
      <c r="K840" s="123"/>
      <c r="L840" s="127"/>
      <c r="M840" s="127"/>
      <c r="N840" s="127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 spans="1:27" ht="13.5" customHeight="1">
      <c r="A841" s="123"/>
      <c r="B841" s="127"/>
      <c r="C841" s="123"/>
      <c r="D841" s="123"/>
      <c r="E841" s="123"/>
      <c r="F841" s="123"/>
      <c r="G841" s="123"/>
      <c r="H841" s="123"/>
      <c r="I841" s="169"/>
      <c r="J841" s="123"/>
      <c r="K841" s="123"/>
      <c r="L841" s="127"/>
      <c r="M841" s="127"/>
      <c r="N841" s="127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 spans="1:27" ht="13.5" customHeight="1">
      <c r="A842" s="123"/>
      <c r="B842" s="127"/>
      <c r="C842" s="123"/>
      <c r="D842" s="123"/>
      <c r="E842" s="123"/>
      <c r="F842" s="123"/>
      <c r="G842" s="123"/>
      <c r="H842" s="123"/>
      <c r="I842" s="169"/>
      <c r="J842" s="123"/>
      <c r="K842" s="123"/>
      <c r="L842" s="127"/>
      <c r="M842" s="127"/>
      <c r="N842" s="127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 spans="1:27" ht="13.5" customHeight="1">
      <c r="A843" s="123"/>
      <c r="B843" s="127"/>
      <c r="C843" s="123"/>
      <c r="D843" s="123"/>
      <c r="E843" s="123"/>
      <c r="F843" s="123"/>
      <c r="G843" s="123"/>
      <c r="H843" s="123"/>
      <c r="I843" s="169"/>
      <c r="J843" s="123"/>
      <c r="K843" s="123"/>
      <c r="L843" s="127"/>
      <c r="M843" s="127"/>
      <c r="N843" s="127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 spans="1:27" ht="13.5" customHeight="1">
      <c r="A844" s="123"/>
      <c r="B844" s="127"/>
      <c r="C844" s="123"/>
      <c r="D844" s="123"/>
      <c r="E844" s="123"/>
      <c r="F844" s="123"/>
      <c r="G844" s="123"/>
      <c r="H844" s="123"/>
      <c r="I844" s="169"/>
      <c r="J844" s="123"/>
      <c r="K844" s="123"/>
      <c r="L844" s="127"/>
      <c r="M844" s="127"/>
      <c r="N844" s="127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 spans="1:27" ht="13.5" customHeight="1">
      <c r="A845" s="123"/>
      <c r="B845" s="127"/>
      <c r="C845" s="123"/>
      <c r="D845" s="123"/>
      <c r="E845" s="123"/>
      <c r="F845" s="123"/>
      <c r="G845" s="123"/>
      <c r="H845" s="123"/>
      <c r="I845" s="169"/>
      <c r="J845" s="123"/>
      <c r="K845" s="123"/>
      <c r="L845" s="127"/>
      <c r="M845" s="127"/>
      <c r="N845" s="127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 spans="1:27" ht="13.5" customHeight="1">
      <c r="A846" s="123"/>
      <c r="B846" s="127"/>
      <c r="C846" s="123"/>
      <c r="D846" s="123"/>
      <c r="E846" s="123"/>
      <c r="F846" s="123"/>
      <c r="G846" s="123"/>
      <c r="H846" s="123"/>
      <c r="I846" s="169"/>
      <c r="J846" s="123"/>
      <c r="K846" s="123"/>
      <c r="L846" s="127"/>
      <c r="M846" s="127"/>
      <c r="N846" s="127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 spans="1:27" ht="13.5" customHeight="1">
      <c r="A847" s="123"/>
      <c r="B847" s="127"/>
      <c r="C847" s="123"/>
      <c r="D847" s="123"/>
      <c r="E847" s="123"/>
      <c r="F847" s="123"/>
      <c r="G847" s="123"/>
      <c r="H847" s="123"/>
      <c r="I847" s="169"/>
      <c r="J847" s="123"/>
      <c r="K847" s="123"/>
      <c r="L847" s="127"/>
      <c r="M847" s="127"/>
      <c r="N847" s="127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 spans="1:27" ht="13.5" customHeight="1">
      <c r="A848" s="123"/>
      <c r="B848" s="127"/>
      <c r="C848" s="123"/>
      <c r="D848" s="123"/>
      <c r="E848" s="123"/>
      <c r="F848" s="123"/>
      <c r="G848" s="123"/>
      <c r="H848" s="123"/>
      <c r="I848" s="169"/>
      <c r="J848" s="123"/>
      <c r="K848" s="123"/>
      <c r="L848" s="127"/>
      <c r="M848" s="127"/>
      <c r="N848" s="127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 spans="1:27" ht="13.5" customHeight="1">
      <c r="A849" s="123"/>
      <c r="B849" s="127"/>
      <c r="C849" s="123"/>
      <c r="D849" s="123"/>
      <c r="E849" s="123"/>
      <c r="F849" s="123"/>
      <c r="G849" s="123"/>
      <c r="H849" s="123"/>
      <c r="I849" s="169"/>
      <c r="J849" s="123"/>
      <c r="K849" s="123"/>
      <c r="L849" s="127"/>
      <c r="M849" s="127"/>
      <c r="N849" s="127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 spans="1:27" ht="13.5" customHeight="1">
      <c r="A850" s="123"/>
      <c r="B850" s="127"/>
      <c r="C850" s="123"/>
      <c r="D850" s="123"/>
      <c r="E850" s="123"/>
      <c r="F850" s="123"/>
      <c r="G850" s="123"/>
      <c r="H850" s="123"/>
      <c r="I850" s="169"/>
      <c r="J850" s="123"/>
      <c r="K850" s="123"/>
      <c r="L850" s="127"/>
      <c r="M850" s="127"/>
      <c r="N850" s="127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 spans="1:27" ht="13.5" customHeight="1">
      <c r="A851" s="123"/>
      <c r="B851" s="127"/>
      <c r="C851" s="123"/>
      <c r="D851" s="123"/>
      <c r="E851" s="123"/>
      <c r="F851" s="123"/>
      <c r="G851" s="123"/>
      <c r="H851" s="123"/>
      <c r="I851" s="169"/>
      <c r="J851" s="123"/>
      <c r="K851" s="123"/>
      <c r="L851" s="127"/>
      <c r="M851" s="127"/>
      <c r="N851" s="127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 spans="1:27" ht="13.5" customHeight="1">
      <c r="A852" s="123"/>
      <c r="B852" s="127"/>
      <c r="C852" s="123"/>
      <c r="D852" s="123"/>
      <c r="E852" s="123"/>
      <c r="F852" s="123"/>
      <c r="G852" s="123"/>
      <c r="H852" s="123"/>
      <c r="I852" s="169"/>
      <c r="J852" s="123"/>
      <c r="K852" s="123"/>
      <c r="L852" s="127"/>
      <c r="M852" s="127"/>
      <c r="N852" s="127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 spans="1:27" ht="13.5" customHeight="1">
      <c r="A853" s="123"/>
      <c r="B853" s="127"/>
      <c r="C853" s="123"/>
      <c r="D853" s="123"/>
      <c r="E853" s="123"/>
      <c r="F853" s="123"/>
      <c r="G853" s="123"/>
      <c r="H853" s="123"/>
      <c r="I853" s="169"/>
      <c r="J853" s="123"/>
      <c r="K853" s="123"/>
      <c r="L853" s="127"/>
      <c r="M853" s="127"/>
      <c r="N853" s="127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 spans="1:27" ht="13.5" customHeight="1">
      <c r="A854" s="123"/>
      <c r="B854" s="127"/>
      <c r="C854" s="123"/>
      <c r="D854" s="123"/>
      <c r="E854" s="123"/>
      <c r="F854" s="123"/>
      <c r="G854" s="123"/>
      <c r="H854" s="123"/>
      <c r="I854" s="169"/>
      <c r="J854" s="123"/>
      <c r="K854" s="123"/>
      <c r="L854" s="127"/>
      <c r="M854" s="127"/>
      <c r="N854" s="127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 spans="1:27" ht="13.5" customHeight="1">
      <c r="A855" s="123"/>
      <c r="B855" s="127"/>
      <c r="C855" s="123"/>
      <c r="D855" s="123"/>
      <c r="E855" s="123"/>
      <c r="F855" s="123"/>
      <c r="G855" s="123"/>
      <c r="H855" s="123"/>
      <c r="I855" s="169"/>
      <c r="J855" s="123"/>
      <c r="K855" s="123"/>
      <c r="L855" s="127"/>
      <c r="M855" s="127"/>
      <c r="N855" s="127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 spans="1:27" ht="13.5" customHeight="1">
      <c r="A856" s="123"/>
      <c r="B856" s="127"/>
      <c r="C856" s="123"/>
      <c r="D856" s="123"/>
      <c r="E856" s="123"/>
      <c r="F856" s="123"/>
      <c r="G856" s="123"/>
      <c r="H856" s="123"/>
      <c r="I856" s="169"/>
      <c r="J856" s="123"/>
      <c r="K856" s="123"/>
      <c r="L856" s="127"/>
      <c r="M856" s="127"/>
      <c r="N856" s="127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 spans="1:27" ht="13.5" customHeight="1">
      <c r="A857" s="123"/>
      <c r="B857" s="127"/>
      <c r="C857" s="123"/>
      <c r="D857" s="123"/>
      <c r="E857" s="123"/>
      <c r="F857" s="123"/>
      <c r="G857" s="123"/>
      <c r="H857" s="123"/>
      <c r="I857" s="169"/>
      <c r="J857" s="123"/>
      <c r="K857" s="123"/>
      <c r="L857" s="127"/>
      <c r="M857" s="127"/>
      <c r="N857" s="127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 spans="1:27" ht="13.5" customHeight="1">
      <c r="A858" s="123"/>
      <c r="B858" s="127"/>
      <c r="C858" s="123"/>
      <c r="D858" s="123"/>
      <c r="E858" s="123"/>
      <c r="F858" s="123"/>
      <c r="G858" s="123"/>
      <c r="H858" s="123"/>
      <c r="I858" s="169"/>
      <c r="J858" s="123"/>
      <c r="K858" s="123"/>
      <c r="L858" s="127"/>
      <c r="M858" s="127"/>
      <c r="N858" s="127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 spans="1:27" ht="13.5" customHeight="1">
      <c r="A859" s="123"/>
      <c r="B859" s="127"/>
      <c r="C859" s="123"/>
      <c r="D859" s="123"/>
      <c r="E859" s="123"/>
      <c r="F859" s="123"/>
      <c r="G859" s="123"/>
      <c r="H859" s="123"/>
      <c r="I859" s="169"/>
      <c r="J859" s="123"/>
      <c r="K859" s="123"/>
      <c r="L859" s="127"/>
      <c r="M859" s="127"/>
      <c r="N859" s="127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 spans="1:27" ht="13.5" customHeight="1">
      <c r="A860" s="123"/>
      <c r="B860" s="127"/>
      <c r="C860" s="123"/>
      <c r="D860" s="123"/>
      <c r="E860" s="123"/>
      <c r="F860" s="123"/>
      <c r="G860" s="123"/>
      <c r="H860" s="123"/>
      <c r="I860" s="169"/>
      <c r="J860" s="123"/>
      <c r="K860" s="123"/>
      <c r="L860" s="127"/>
      <c r="M860" s="127"/>
      <c r="N860" s="127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 spans="1:27" ht="13.5" customHeight="1">
      <c r="A861" s="123"/>
      <c r="B861" s="127"/>
      <c r="C861" s="123"/>
      <c r="D861" s="123"/>
      <c r="E861" s="123"/>
      <c r="F861" s="123"/>
      <c r="G861" s="123"/>
      <c r="H861" s="123"/>
      <c r="I861" s="169"/>
      <c r="J861" s="123"/>
      <c r="K861" s="123"/>
      <c r="L861" s="127"/>
      <c r="M861" s="127"/>
      <c r="N861" s="127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 spans="1:27" ht="13.5" customHeight="1">
      <c r="A862" s="123"/>
      <c r="B862" s="127"/>
      <c r="C862" s="123"/>
      <c r="D862" s="123"/>
      <c r="E862" s="123"/>
      <c r="F862" s="123"/>
      <c r="G862" s="123"/>
      <c r="H862" s="123"/>
      <c r="I862" s="169"/>
      <c r="J862" s="123"/>
      <c r="K862" s="123"/>
      <c r="L862" s="127"/>
      <c r="M862" s="127"/>
      <c r="N862" s="127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 spans="1:27" ht="13.5" customHeight="1">
      <c r="A863" s="123"/>
      <c r="B863" s="127"/>
      <c r="C863" s="123"/>
      <c r="D863" s="123"/>
      <c r="E863" s="123"/>
      <c r="F863" s="123"/>
      <c r="G863" s="123"/>
      <c r="H863" s="123"/>
      <c r="I863" s="169"/>
      <c r="J863" s="123"/>
      <c r="K863" s="123"/>
      <c r="L863" s="127"/>
      <c r="M863" s="127"/>
      <c r="N863" s="127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 spans="1:27" ht="13.5" customHeight="1">
      <c r="A864" s="123"/>
      <c r="B864" s="127"/>
      <c r="C864" s="123"/>
      <c r="D864" s="123"/>
      <c r="E864" s="123"/>
      <c r="F864" s="123"/>
      <c r="G864" s="123"/>
      <c r="H864" s="123"/>
      <c r="I864" s="169"/>
      <c r="J864" s="123"/>
      <c r="K864" s="123"/>
      <c r="L864" s="127"/>
      <c r="M864" s="127"/>
      <c r="N864" s="127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 spans="1:27" ht="13.5" customHeight="1">
      <c r="A865" s="123"/>
      <c r="B865" s="127"/>
      <c r="C865" s="123"/>
      <c r="D865" s="123"/>
      <c r="E865" s="123"/>
      <c r="F865" s="123"/>
      <c r="G865" s="123"/>
      <c r="H865" s="123"/>
      <c r="I865" s="169"/>
      <c r="J865" s="123"/>
      <c r="K865" s="123"/>
      <c r="L865" s="127"/>
      <c r="M865" s="127"/>
      <c r="N865" s="127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 spans="1:27" ht="13.5" customHeight="1">
      <c r="A866" s="123"/>
      <c r="B866" s="127"/>
      <c r="C866" s="123"/>
      <c r="D866" s="123"/>
      <c r="E866" s="123"/>
      <c r="F866" s="123"/>
      <c r="G866" s="123"/>
      <c r="H866" s="123"/>
      <c r="I866" s="169"/>
      <c r="J866" s="123"/>
      <c r="K866" s="123"/>
      <c r="L866" s="127"/>
      <c r="M866" s="127"/>
      <c r="N866" s="127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 spans="1:27" ht="13.5" customHeight="1">
      <c r="A867" s="123"/>
      <c r="B867" s="127"/>
      <c r="C867" s="123"/>
      <c r="D867" s="123"/>
      <c r="E867" s="123"/>
      <c r="F867" s="123"/>
      <c r="G867" s="123"/>
      <c r="H867" s="123"/>
      <c r="I867" s="169"/>
      <c r="J867" s="123"/>
      <c r="K867" s="123"/>
      <c r="L867" s="127"/>
      <c r="M867" s="127"/>
      <c r="N867" s="127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 spans="1:27" ht="13.5" customHeight="1">
      <c r="A868" s="123"/>
      <c r="B868" s="127"/>
      <c r="C868" s="123"/>
      <c r="D868" s="123"/>
      <c r="E868" s="123"/>
      <c r="F868" s="123"/>
      <c r="G868" s="123"/>
      <c r="H868" s="123"/>
      <c r="I868" s="169"/>
      <c r="J868" s="123"/>
      <c r="K868" s="123"/>
      <c r="L868" s="127"/>
      <c r="M868" s="127"/>
      <c r="N868" s="127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 spans="1:27" ht="13.5" customHeight="1">
      <c r="A869" s="123"/>
      <c r="B869" s="127"/>
      <c r="C869" s="123"/>
      <c r="D869" s="123"/>
      <c r="E869" s="123"/>
      <c r="F869" s="123"/>
      <c r="G869" s="123"/>
      <c r="H869" s="123"/>
      <c r="I869" s="169"/>
      <c r="J869" s="123"/>
      <c r="K869" s="123"/>
      <c r="L869" s="127"/>
      <c r="M869" s="127"/>
      <c r="N869" s="127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 spans="1:27" ht="13.5" customHeight="1">
      <c r="A870" s="123"/>
      <c r="B870" s="127"/>
      <c r="C870" s="123"/>
      <c r="D870" s="123"/>
      <c r="E870" s="123"/>
      <c r="F870" s="123"/>
      <c r="G870" s="123"/>
      <c r="H870" s="123"/>
      <c r="I870" s="169"/>
      <c r="J870" s="123"/>
      <c r="K870" s="123"/>
      <c r="L870" s="127"/>
      <c r="M870" s="127"/>
      <c r="N870" s="127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 spans="1:27" ht="13.5" customHeight="1">
      <c r="A871" s="123"/>
      <c r="B871" s="127"/>
      <c r="C871" s="123"/>
      <c r="D871" s="123"/>
      <c r="E871" s="123"/>
      <c r="F871" s="123"/>
      <c r="G871" s="123"/>
      <c r="H871" s="123"/>
      <c r="I871" s="169"/>
      <c r="J871" s="123"/>
      <c r="K871" s="123"/>
      <c r="L871" s="127"/>
      <c r="M871" s="127"/>
      <c r="N871" s="127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 spans="1:27" ht="13.5" customHeight="1">
      <c r="A872" s="123"/>
      <c r="B872" s="127"/>
      <c r="C872" s="123"/>
      <c r="D872" s="123"/>
      <c r="E872" s="123"/>
      <c r="F872" s="123"/>
      <c r="G872" s="123"/>
      <c r="H872" s="123"/>
      <c r="I872" s="169"/>
      <c r="J872" s="123"/>
      <c r="K872" s="123"/>
      <c r="L872" s="127"/>
      <c r="M872" s="127"/>
      <c r="N872" s="127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 spans="1:27" ht="13.5" customHeight="1">
      <c r="A873" s="123"/>
      <c r="B873" s="127"/>
      <c r="C873" s="123"/>
      <c r="D873" s="123"/>
      <c r="E873" s="123"/>
      <c r="F873" s="123"/>
      <c r="G873" s="123"/>
      <c r="H873" s="123"/>
      <c r="I873" s="169"/>
      <c r="J873" s="123"/>
      <c r="K873" s="123"/>
      <c r="L873" s="127"/>
      <c r="M873" s="127"/>
      <c r="N873" s="127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 spans="1:27" ht="13.5" customHeight="1">
      <c r="A874" s="123"/>
      <c r="B874" s="127"/>
      <c r="C874" s="123"/>
      <c r="D874" s="123"/>
      <c r="E874" s="123"/>
      <c r="F874" s="123"/>
      <c r="G874" s="123"/>
      <c r="H874" s="123"/>
      <c r="I874" s="169"/>
      <c r="J874" s="123"/>
      <c r="K874" s="123"/>
      <c r="L874" s="127"/>
      <c r="M874" s="127"/>
      <c r="N874" s="127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 spans="1:27" ht="13.5" customHeight="1">
      <c r="A875" s="123"/>
      <c r="B875" s="127"/>
      <c r="C875" s="123"/>
      <c r="D875" s="123"/>
      <c r="E875" s="123"/>
      <c r="F875" s="123"/>
      <c r="G875" s="123"/>
      <c r="H875" s="123"/>
      <c r="I875" s="169"/>
      <c r="J875" s="123"/>
      <c r="K875" s="123"/>
      <c r="L875" s="127"/>
      <c r="M875" s="127"/>
      <c r="N875" s="127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 spans="1:27" ht="13.5" customHeight="1">
      <c r="A876" s="123"/>
      <c r="B876" s="127"/>
      <c r="C876" s="123"/>
      <c r="D876" s="123"/>
      <c r="E876" s="123"/>
      <c r="F876" s="123"/>
      <c r="G876" s="123"/>
      <c r="H876" s="123"/>
      <c r="I876" s="169"/>
      <c r="J876" s="123"/>
      <c r="K876" s="123"/>
      <c r="L876" s="127"/>
      <c r="M876" s="127"/>
      <c r="N876" s="127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 spans="1:27" ht="13.5" customHeight="1">
      <c r="A877" s="123"/>
      <c r="B877" s="127"/>
      <c r="C877" s="123"/>
      <c r="D877" s="123"/>
      <c r="E877" s="123"/>
      <c r="F877" s="123"/>
      <c r="G877" s="123"/>
      <c r="H877" s="123"/>
      <c r="I877" s="169"/>
      <c r="J877" s="123"/>
      <c r="K877" s="123"/>
      <c r="L877" s="127"/>
      <c r="M877" s="127"/>
      <c r="N877" s="127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 spans="1:27" ht="13.5" customHeight="1">
      <c r="A878" s="123"/>
      <c r="B878" s="127"/>
      <c r="C878" s="123"/>
      <c r="D878" s="123"/>
      <c r="E878" s="123"/>
      <c r="F878" s="123"/>
      <c r="G878" s="123"/>
      <c r="H878" s="123"/>
      <c r="I878" s="169"/>
      <c r="J878" s="123"/>
      <c r="K878" s="123"/>
      <c r="L878" s="127"/>
      <c r="M878" s="127"/>
      <c r="N878" s="127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 spans="1:27" ht="13.5" customHeight="1">
      <c r="A879" s="123"/>
      <c r="B879" s="127"/>
      <c r="C879" s="123"/>
      <c r="D879" s="123"/>
      <c r="E879" s="123"/>
      <c r="F879" s="123"/>
      <c r="G879" s="123"/>
      <c r="H879" s="123"/>
      <c r="I879" s="169"/>
      <c r="J879" s="123"/>
      <c r="K879" s="123"/>
      <c r="L879" s="127"/>
      <c r="M879" s="127"/>
      <c r="N879" s="127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 spans="1:27" ht="13.5" customHeight="1">
      <c r="A880" s="123"/>
      <c r="B880" s="127"/>
      <c r="C880" s="123"/>
      <c r="D880" s="123"/>
      <c r="E880" s="123"/>
      <c r="F880" s="123"/>
      <c r="G880" s="123"/>
      <c r="H880" s="123"/>
      <c r="I880" s="169"/>
      <c r="J880" s="123"/>
      <c r="K880" s="123"/>
      <c r="L880" s="127"/>
      <c r="M880" s="127"/>
      <c r="N880" s="127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 spans="1:27" ht="13.5" customHeight="1">
      <c r="A881" s="123"/>
      <c r="B881" s="127"/>
      <c r="C881" s="123"/>
      <c r="D881" s="123"/>
      <c r="E881" s="123"/>
      <c r="F881" s="123"/>
      <c r="G881" s="123"/>
      <c r="H881" s="123"/>
      <c r="I881" s="169"/>
      <c r="J881" s="123"/>
      <c r="K881" s="123"/>
      <c r="L881" s="127"/>
      <c r="M881" s="127"/>
      <c r="N881" s="127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 spans="1:27" ht="13.5" customHeight="1">
      <c r="A882" s="123"/>
      <c r="B882" s="127"/>
      <c r="C882" s="123"/>
      <c r="D882" s="123"/>
      <c r="E882" s="123"/>
      <c r="F882" s="123"/>
      <c r="G882" s="123"/>
      <c r="H882" s="123"/>
      <c r="I882" s="169"/>
      <c r="J882" s="123"/>
      <c r="K882" s="123"/>
      <c r="L882" s="127"/>
      <c r="M882" s="127"/>
      <c r="N882" s="127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 spans="1:27" ht="13.5" customHeight="1">
      <c r="A883" s="123"/>
      <c r="B883" s="127"/>
      <c r="C883" s="123"/>
      <c r="D883" s="123"/>
      <c r="E883" s="123"/>
      <c r="F883" s="123"/>
      <c r="G883" s="123"/>
      <c r="H883" s="123"/>
      <c r="I883" s="169"/>
      <c r="J883" s="123"/>
      <c r="K883" s="123"/>
      <c r="L883" s="127"/>
      <c r="M883" s="127"/>
      <c r="N883" s="127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 spans="1:27" ht="13.5" customHeight="1">
      <c r="A884" s="123"/>
      <c r="B884" s="127"/>
      <c r="C884" s="123"/>
      <c r="D884" s="123"/>
      <c r="E884" s="123"/>
      <c r="F884" s="123"/>
      <c r="G884" s="123"/>
      <c r="H884" s="123"/>
      <c r="I884" s="169"/>
      <c r="J884" s="123"/>
      <c r="K884" s="123"/>
      <c r="L884" s="127"/>
      <c r="M884" s="127"/>
      <c r="N884" s="127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 spans="1:27" ht="13.5" customHeight="1">
      <c r="A885" s="123"/>
      <c r="B885" s="127"/>
      <c r="C885" s="123"/>
      <c r="D885" s="123"/>
      <c r="E885" s="123"/>
      <c r="F885" s="123"/>
      <c r="G885" s="123"/>
      <c r="H885" s="123"/>
      <c r="I885" s="169"/>
      <c r="J885" s="123"/>
      <c r="K885" s="123"/>
      <c r="L885" s="127"/>
      <c r="M885" s="127"/>
      <c r="N885" s="127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 spans="1:27" ht="13.5" customHeight="1">
      <c r="A886" s="123"/>
      <c r="B886" s="127"/>
      <c r="C886" s="123"/>
      <c r="D886" s="123"/>
      <c r="E886" s="123"/>
      <c r="F886" s="123"/>
      <c r="G886" s="123"/>
      <c r="H886" s="123"/>
      <c r="I886" s="169"/>
      <c r="J886" s="123"/>
      <c r="K886" s="123"/>
      <c r="L886" s="127"/>
      <c r="M886" s="127"/>
      <c r="N886" s="127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 spans="1:27" ht="13.5" customHeight="1">
      <c r="A887" s="123"/>
      <c r="B887" s="127"/>
      <c r="C887" s="123"/>
      <c r="D887" s="123"/>
      <c r="E887" s="123"/>
      <c r="F887" s="123"/>
      <c r="G887" s="123"/>
      <c r="H887" s="123"/>
      <c r="I887" s="169"/>
      <c r="J887" s="123"/>
      <c r="K887" s="123"/>
      <c r="L887" s="127"/>
      <c r="M887" s="127"/>
      <c r="N887" s="127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 spans="1:27" ht="13.5" customHeight="1">
      <c r="A888" s="123"/>
      <c r="B888" s="127"/>
      <c r="C888" s="123"/>
      <c r="D888" s="123"/>
      <c r="E888" s="123"/>
      <c r="F888" s="123"/>
      <c r="G888" s="123"/>
      <c r="H888" s="123"/>
      <c r="I888" s="169"/>
      <c r="J888" s="123"/>
      <c r="K888" s="123"/>
      <c r="L888" s="127"/>
      <c r="M888" s="127"/>
      <c r="N888" s="127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 spans="1:27" ht="13.5" customHeight="1">
      <c r="A889" s="123"/>
      <c r="B889" s="127"/>
      <c r="C889" s="123"/>
      <c r="D889" s="123"/>
      <c r="E889" s="123"/>
      <c r="F889" s="123"/>
      <c r="G889" s="123"/>
      <c r="H889" s="123"/>
      <c r="I889" s="169"/>
      <c r="J889" s="123"/>
      <c r="K889" s="123"/>
      <c r="L889" s="127"/>
      <c r="M889" s="127"/>
      <c r="N889" s="127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 spans="1:27" ht="13.5" customHeight="1">
      <c r="A890" s="123"/>
      <c r="B890" s="127"/>
      <c r="C890" s="123"/>
      <c r="D890" s="123"/>
      <c r="E890" s="123"/>
      <c r="F890" s="123"/>
      <c r="G890" s="123"/>
      <c r="H890" s="123"/>
      <c r="I890" s="169"/>
      <c r="J890" s="123"/>
      <c r="K890" s="123"/>
      <c r="L890" s="127"/>
      <c r="M890" s="127"/>
      <c r="N890" s="127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 spans="1:27" ht="13.5" customHeight="1">
      <c r="A891" s="123"/>
      <c r="B891" s="127"/>
      <c r="C891" s="123"/>
      <c r="D891" s="123"/>
      <c r="E891" s="123"/>
      <c r="F891" s="123"/>
      <c r="G891" s="123"/>
      <c r="H891" s="123"/>
      <c r="I891" s="169"/>
      <c r="J891" s="123"/>
      <c r="K891" s="123"/>
      <c r="L891" s="127"/>
      <c r="M891" s="127"/>
      <c r="N891" s="127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 spans="1:27" ht="13.5" customHeight="1">
      <c r="A892" s="123"/>
      <c r="B892" s="127"/>
      <c r="C892" s="123"/>
      <c r="D892" s="123"/>
      <c r="E892" s="123"/>
      <c r="F892" s="123"/>
      <c r="G892" s="123"/>
      <c r="H892" s="123"/>
      <c r="I892" s="169"/>
      <c r="J892" s="123"/>
      <c r="K892" s="123"/>
      <c r="L892" s="127"/>
      <c r="M892" s="127"/>
      <c r="N892" s="127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 spans="1:27" ht="13.5" customHeight="1">
      <c r="A893" s="123"/>
      <c r="B893" s="127"/>
      <c r="C893" s="123"/>
      <c r="D893" s="123"/>
      <c r="E893" s="123"/>
      <c r="F893" s="123"/>
      <c r="G893" s="123"/>
      <c r="H893" s="123"/>
      <c r="I893" s="169"/>
      <c r="J893" s="123"/>
      <c r="K893" s="123"/>
      <c r="L893" s="127"/>
      <c r="M893" s="127"/>
      <c r="N893" s="127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 spans="1:27" ht="13.5" customHeight="1">
      <c r="A894" s="123"/>
      <c r="B894" s="127"/>
      <c r="C894" s="123"/>
      <c r="D894" s="123"/>
      <c r="E894" s="123"/>
      <c r="F894" s="123"/>
      <c r="G894" s="123"/>
      <c r="H894" s="123"/>
      <c r="I894" s="169"/>
      <c r="J894" s="123"/>
      <c r="K894" s="123"/>
      <c r="L894" s="127"/>
      <c r="M894" s="127"/>
      <c r="N894" s="127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 spans="1:27" ht="13.5" customHeight="1">
      <c r="A895" s="123"/>
      <c r="B895" s="127"/>
      <c r="C895" s="123"/>
      <c r="D895" s="123"/>
      <c r="E895" s="123"/>
      <c r="F895" s="123"/>
      <c r="G895" s="123"/>
      <c r="H895" s="123"/>
      <c r="I895" s="169"/>
      <c r="J895" s="123"/>
      <c r="K895" s="123"/>
      <c r="L895" s="127"/>
      <c r="M895" s="127"/>
      <c r="N895" s="127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 spans="1:27" ht="13.5" customHeight="1">
      <c r="A896" s="123"/>
      <c r="B896" s="127"/>
      <c r="C896" s="123"/>
      <c r="D896" s="123"/>
      <c r="E896" s="123"/>
      <c r="F896" s="123"/>
      <c r="G896" s="123"/>
      <c r="H896" s="123"/>
      <c r="I896" s="169"/>
      <c r="J896" s="123"/>
      <c r="K896" s="123"/>
      <c r="L896" s="127"/>
      <c r="M896" s="127"/>
      <c r="N896" s="127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 spans="1:27" ht="13.5" customHeight="1">
      <c r="A897" s="123"/>
      <c r="B897" s="127"/>
      <c r="C897" s="123"/>
      <c r="D897" s="123"/>
      <c r="E897" s="123"/>
      <c r="F897" s="123"/>
      <c r="G897" s="123"/>
      <c r="H897" s="123"/>
      <c r="I897" s="169"/>
      <c r="J897" s="123"/>
      <c r="K897" s="123"/>
      <c r="L897" s="127"/>
      <c r="M897" s="127"/>
      <c r="N897" s="127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 spans="1:27" ht="13.5" customHeight="1">
      <c r="A898" s="123"/>
      <c r="B898" s="127"/>
      <c r="C898" s="123"/>
      <c r="D898" s="123"/>
      <c r="E898" s="123"/>
      <c r="F898" s="123"/>
      <c r="G898" s="123"/>
      <c r="H898" s="123"/>
      <c r="I898" s="169"/>
      <c r="J898" s="123"/>
      <c r="K898" s="123"/>
      <c r="L898" s="127"/>
      <c r="M898" s="127"/>
      <c r="N898" s="127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 spans="1:27" ht="13.5" customHeight="1">
      <c r="A899" s="123"/>
      <c r="B899" s="127"/>
      <c r="C899" s="123"/>
      <c r="D899" s="123"/>
      <c r="E899" s="123"/>
      <c r="F899" s="123"/>
      <c r="G899" s="123"/>
      <c r="H899" s="123"/>
      <c r="I899" s="169"/>
      <c r="J899" s="123"/>
      <c r="K899" s="123"/>
      <c r="L899" s="127"/>
      <c r="M899" s="127"/>
      <c r="N899" s="127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 spans="1:27" ht="13.5" customHeight="1">
      <c r="A900" s="123"/>
      <c r="B900" s="127"/>
      <c r="C900" s="123"/>
      <c r="D900" s="123"/>
      <c r="E900" s="123"/>
      <c r="F900" s="123"/>
      <c r="G900" s="123"/>
      <c r="H900" s="123"/>
      <c r="I900" s="169"/>
      <c r="J900" s="123"/>
      <c r="K900" s="123"/>
      <c r="L900" s="127"/>
      <c r="M900" s="127"/>
      <c r="N900" s="127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 spans="1:27" ht="13.5" customHeight="1">
      <c r="A901" s="123"/>
      <c r="B901" s="127"/>
      <c r="C901" s="123"/>
      <c r="D901" s="123"/>
      <c r="E901" s="123"/>
      <c r="F901" s="123"/>
      <c r="G901" s="123"/>
      <c r="H901" s="123"/>
      <c r="I901" s="169"/>
      <c r="J901" s="123"/>
      <c r="K901" s="123"/>
      <c r="L901" s="127"/>
      <c r="M901" s="127"/>
      <c r="N901" s="127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 spans="1:27" ht="13.5" customHeight="1">
      <c r="A902" s="123"/>
      <c r="B902" s="127"/>
      <c r="C902" s="123"/>
      <c r="D902" s="123"/>
      <c r="E902" s="123"/>
      <c r="F902" s="123"/>
      <c r="G902" s="123"/>
      <c r="H902" s="123"/>
      <c r="I902" s="169"/>
      <c r="J902" s="123"/>
      <c r="K902" s="123"/>
      <c r="L902" s="127"/>
      <c r="M902" s="127"/>
      <c r="N902" s="127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 spans="1:27" ht="13.5" customHeight="1">
      <c r="A903" s="123"/>
      <c r="B903" s="127"/>
      <c r="C903" s="123"/>
      <c r="D903" s="123"/>
      <c r="E903" s="123"/>
      <c r="F903" s="123"/>
      <c r="G903" s="123"/>
      <c r="H903" s="123"/>
      <c r="I903" s="169"/>
      <c r="J903" s="123"/>
      <c r="K903" s="123"/>
      <c r="L903" s="127"/>
      <c r="M903" s="127"/>
      <c r="N903" s="127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 spans="1:27" ht="13.5" customHeight="1">
      <c r="A904" s="123"/>
      <c r="B904" s="127"/>
      <c r="C904" s="123"/>
      <c r="D904" s="123"/>
      <c r="E904" s="123"/>
      <c r="F904" s="123"/>
      <c r="G904" s="123"/>
      <c r="H904" s="123"/>
      <c r="I904" s="169"/>
      <c r="J904" s="123"/>
      <c r="K904" s="123"/>
      <c r="L904" s="127"/>
      <c r="M904" s="127"/>
      <c r="N904" s="127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 spans="1:27" ht="13.5" customHeight="1">
      <c r="A905" s="123"/>
      <c r="B905" s="127"/>
      <c r="C905" s="123"/>
      <c r="D905" s="123"/>
      <c r="E905" s="123"/>
      <c r="F905" s="123"/>
      <c r="G905" s="123"/>
      <c r="H905" s="123"/>
      <c r="I905" s="169"/>
      <c r="J905" s="123"/>
      <c r="K905" s="123"/>
      <c r="L905" s="127"/>
      <c r="M905" s="127"/>
      <c r="N905" s="127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 spans="1:27" ht="13.5" customHeight="1">
      <c r="A906" s="123"/>
      <c r="B906" s="127"/>
      <c r="C906" s="123"/>
      <c r="D906" s="123"/>
      <c r="E906" s="123"/>
      <c r="F906" s="123"/>
      <c r="G906" s="123"/>
      <c r="H906" s="123"/>
      <c r="I906" s="169"/>
      <c r="J906" s="123"/>
      <c r="K906" s="123"/>
      <c r="L906" s="127"/>
      <c r="M906" s="127"/>
      <c r="N906" s="127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 spans="1:27" ht="13.5" customHeight="1">
      <c r="A907" s="123"/>
      <c r="B907" s="127"/>
      <c r="C907" s="123"/>
      <c r="D907" s="123"/>
      <c r="E907" s="123"/>
      <c r="F907" s="123"/>
      <c r="G907" s="123"/>
      <c r="H907" s="123"/>
      <c r="I907" s="169"/>
      <c r="J907" s="123"/>
      <c r="K907" s="123"/>
      <c r="L907" s="127"/>
      <c r="M907" s="127"/>
      <c r="N907" s="127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 spans="1:27" ht="13.5" customHeight="1">
      <c r="A908" s="123"/>
      <c r="B908" s="127"/>
      <c r="C908" s="123"/>
      <c r="D908" s="123"/>
      <c r="E908" s="123"/>
      <c r="F908" s="123"/>
      <c r="G908" s="123"/>
      <c r="H908" s="123"/>
      <c r="I908" s="169"/>
      <c r="J908" s="123"/>
      <c r="K908" s="123"/>
      <c r="L908" s="127"/>
      <c r="M908" s="127"/>
      <c r="N908" s="127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 spans="1:27" ht="13.5" customHeight="1">
      <c r="A909" s="123"/>
      <c r="B909" s="127"/>
      <c r="C909" s="123"/>
      <c r="D909" s="123"/>
      <c r="E909" s="123"/>
      <c r="F909" s="123"/>
      <c r="G909" s="123"/>
      <c r="H909" s="123"/>
      <c r="I909" s="169"/>
      <c r="J909" s="123"/>
      <c r="K909" s="123"/>
      <c r="L909" s="127"/>
      <c r="M909" s="127"/>
      <c r="N909" s="127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 spans="1:27" ht="13.5" customHeight="1">
      <c r="A910" s="123"/>
      <c r="B910" s="127"/>
      <c r="C910" s="123"/>
      <c r="D910" s="123"/>
      <c r="E910" s="123"/>
      <c r="F910" s="123"/>
      <c r="G910" s="123"/>
      <c r="H910" s="123"/>
      <c r="I910" s="169"/>
      <c r="J910" s="123"/>
      <c r="K910" s="123"/>
      <c r="L910" s="127"/>
      <c r="M910" s="127"/>
      <c r="N910" s="127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 spans="1:27" ht="13.5" customHeight="1">
      <c r="A911" s="123"/>
      <c r="B911" s="127"/>
      <c r="C911" s="123"/>
      <c r="D911" s="123"/>
      <c r="E911" s="123"/>
      <c r="F911" s="123"/>
      <c r="G911" s="123"/>
      <c r="H911" s="123"/>
      <c r="I911" s="169"/>
      <c r="J911" s="123"/>
      <c r="K911" s="123"/>
      <c r="L911" s="127"/>
      <c r="M911" s="127"/>
      <c r="N911" s="127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 spans="1:27" ht="13.5" customHeight="1">
      <c r="A912" s="123"/>
      <c r="B912" s="127"/>
      <c r="C912" s="123"/>
      <c r="D912" s="123"/>
      <c r="E912" s="123"/>
      <c r="F912" s="123"/>
      <c r="G912" s="123"/>
      <c r="H912" s="123"/>
      <c r="I912" s="169"/>
      <c r="J912" s="123"/>
      <c r="K912" s="123"/>
      <c r="L912" s="127"/>
      <c r="M912" s="127"/>
      <c r="N912" s="127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 spans="1:27" ht="13.5" customHeight="1">
      <c r="A913" s="123"/>
      <c r="B913" s="127"/>
      <c r="C913" s="123"/>
      <c r="D913" s="123"/>
      <c r="E913" s="123"/>
      <c r="F913" s="123"/>
      <c r="G913" s="123"/>
      <c r="H913" s="123"/>
      <c r="I913" s="169"/>
      <c r="J913" s="123"/>
      <c r="K913" s="123"/>
      <c r="L913" s="127"/>
      <c r="M913" s="127"/>
      <c r="N913" s="127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 spans="1:27" ht="13.5" customHeight="1">
      <c r="A914" s="123"/>
      <c r="B914" s="127"/>
      <c r="C914" s="123"/>
      <c r="D914" s="123"/>
      <c r="E914" s="123"/>
      <c r="F914" s="123"/>
      <c r="G914" s="123"/>
      <c r="H914" s="123"/>
      <c r="I914" s="169"/>
      <c r="J914" s="123"/>
      <c r="K914" s="123"/>
      <c r="L914" s="127"/>
      <c r="M914" s="127"/>
      <c r="N914" s="127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 spans="1:27" ht="13.5" customHeight="1">
      <c r="A915" s="123"/>
      <c r="B915" s="127"/>
      <c r="C915" s="123"/>
      <c r="D915" s="123"/>
      <c r="E915" s="123"/>
      <c r="F915" s="123"/>
      <c r="G915" s="123"/>
      <c r="H915" s="123"/>
      <c r="I915" s="169"/>
      <c r="J915" s="123"/>
      <c r="K915" s="123"/>
      <c r="L915" s="127"/>
      <c r="M915" s="127"/>
      <c r="N915" s="127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 spans="1:27" ht="13.5" customHeight="1">
      <c r="A916" s="123"/>
      <c r="B916" s="127"/>
      <c r="C916" s="123"/>
      <c r="D916" s="123"/>
      <c r="E916" s="123"/>
      <c r="F916" s="123"/>
      <c r="G916" s="123"/>
      <c r="H916" s="123"/>
      <c r="I916" s="169"/>
      <c r="J916" s="123"/>
      <c r="K916" s="123"/>
      <c r="L916" s="127"/>
      <c r="M916" s="127"/>
      <c r="N916" s="127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 spans="1:27" ht="13.5" customHeight="1">
      <c r="A917" s="123"/>
      <c r="B917" s="127"/>
      <c r="C917" s="123"/>
      <c r="D917" s="123"/>
      <c r="E917" s="123"/>
      <c r="F917" s="123"/>
      <c r="G917" s="123"/>
      <c r="H917" s="123"/>
      <c r="I917" s="169"/>
      <c r="J917" s="123"/>
      <c r="K917" s="123"/>
      <c r="L917" s="127"/>
      <c r="M917" s="127"/>
      <c r="N917" s="127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 spans="1:27" ht="13.5" customHeight="1">
      <c r="A918" s="123"/>
      <c r="B918" s="127"/>
      <c r="C918" s="123"/>
      <c r="D918" s="123"/>
      <c r="E918" s="123"/>
      <c r="F918" s="123"/>
      <c r="G918" s="123"/>
      <c r="H918" s="123"/>
      <c r="I918" s="169"/>
      <c r="J918" s="123"/>
      <c r="K918" s="123"/>
      <c r="L918" s="127"/>
      <c r="M918" s="127"/>
      <c r="N918" s="127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 spans="1:27" ht="13.5" customHeight="1">
      <c r="A919" s="123"/>
      <c r="B919" s="127"/>
      <c r="C919" s="123"/>
      <c r="D919" s="123"/>
      <c r="E919" s="123"/>
      <c r="F919" s="123"/>
      <c r="G919" s="123"/>
      <c r="H919" s="123"/>
      <c r="I919" s="169"/>
      <c r="J919" s="123"/>
      <c r="K919" s="123"/>
      <c r="L919" s="127"/>
      <c r="M919" s="127"/>
      <c r="N919" s="127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 spans="1:27" ht="13.5" customHeight="1">
      <c r="A920" s="123"/>
      <c r="B920" s="127"/>
      <c r="C920" s="123"/>
      <c r="D920" s="123"/>
      <c r="E920" s="123"/>
      <c r="F920" s="123"/>
      <c r="G920" s="123"/>
      <c r="H920" s="123"/>
      <c r="I920" s="169"/>
      <c r="J920" s="123"/>
      <c r="K920" s="123"/>
      <c r="L920" s="127"/>
      <c r="M920" s="127"/>
      <c r="N920" s="127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 spans="1:27" ht="13.5" customHeight="1">
      <c r="A921" s="123"/>
      <c r="B921" s="127"/>
      <c r="C921" s="123"/>
      <c r="D921" s="123"/>
      <c r="E921" s="123"/>
      <c r="F921" s="123"/>
      <c r="G921" s="123"/>
      <c r="H921" s="123"/>
      <c r="I921" s="169"/>
      <c r="J921" s="123"/>
      <c r="K921" s="123"/>
      <c r="L921" s="127"/>
      <c r="M921" s="127"/>
      <c r="N921" s="127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 spans="1:27" ht="13.5" customHeight="1">
      <c r="A922" s="123"/>
      <c r="B922" s="127"/>
      <c r="C922" s="123"/>
      <c r="D922" s="123"/>
      <c r="E922" s="123"/>
      <c r="F922" s="123"/>
      <c r="G922" s="123"/>
      <c r="H922" s="123"/>
      <c r="I922" s="169"/>
      <c r="J922" s="123"/>
      <c r="K922" s="123"/>
      <c r="L922" s="127"/>
      <c r="M922" s="127"/>
      <c r="N922" s="127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 spans="1:27" ht="13.5" customHeight="1">
      <c r="A923" s="123"/>
      <c r="B923" s="127"/>
      <c r="C923" s="123"/>
      <c r="D923" s="123"/>
      <c r="E923" s="123"/>
      <c r="F923" s="123"/>
      <c r="G923" s="123"/>
      <c r="H923" s="123"/>
      <c r="I923" s="169"/>
      <c r="J923" s="123"/>
      <c r="K923" s="123"/>
      <c r="L923" s="127"/>
      <c r="M923" s="127"/>
      <c r="N923" s="127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 spans="1:27" ht="13.5" customHeight="1">
      <c r="A924" s="123"/>
      <c r="B924" s="127"/>
      <c r="C924" s="123"/>
      <c r="D924" s="123"/>
      <c r="E924" s="123"/>
      <c r="F924" s="123"/>
      <c r="G924" s="123"/>
      <c r="H924" s="123"/>
      <c r="I924" s="169"/>
      <c r="J924" s="123"/>
      <c r="K924" s="123"/>
      <c r="L924" s="127"/>
      <c r="M924" s="127"/>
      <c r="N924" s="127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 spans="1:27" ht="13.5" customHeight="1">
      <c r="A925" s="123"/>
      <c r="B925" s="127"/>
      <c r="C925" s="123"/>
      <c r="D925" s="123"/>
      <c r="E925" s="123"/>
      <c r="F925" s="123"/>
      <c r="G925" s="123"/>
      <c r="H925" s="123"/>
      <c r="I925" s="169"/>
      <c r="J925" s="123"/>
      <c r="K925" s="123"/>
      <c r="L925" s="127"/>
      <c r="M925" s="127"/>
      <c r="N925" s="127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 spans="1:27" ht="13.5" customHeight="1">
      <c r="A926" s="123"/>
      <c r="B926" s="127"/>
      <c r="C926" s="123"/>
      <c r="D926" s="123"/>
      <c r="E926" s="123"/>
      <c r="F926" s="123"/>
      <c r="G926" s="123"/>
      <c r="H926" s="123"/>
      <c r="I926" s="169"/>
      <c r="J926" s="123"/>
      <c r="K926" s="123"/>
      <c r="L926" s="127"/>
      <c r="M926" s="127"/>
      <c r="N926" s="127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 spans="1:27" ht="13.5" customHeight="1">
      <c r="A927" s="123"/>
      <c r="B927" s="127"/>
      <c r="C927" s="123"/>
      <c r="D927" s="123"/>
      <c r="E927" s="123"/>
      <c r="F927" s="123"/>
      <c r="G927" s="123"/>
      <c r="H927" s="123"/>
      <c r="I927" s="169"/>
      <c r="J927" s="123"/>
      <c r="K927" s="123"/>
      <c r="L927" s="127"/>
      <c r="M927" s="127"/>
      <c r="N927" s="127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 spans="1:27" ht="13.5" customHeight="1">
      <c r="A928" s="123"/>
      <c r="B928" s="127"/>
      <c r="C928" s="123"/>
      <c r="D928" s="123"/>
      <c r="E928" s="123"/>
      <c r="F928" s="123"/>
      <c r="G928" s="123"/>
      <c r="H928" s="123"/>
      <c r="I928" s="169"/>
      <c r="J928" s="123"/>
      <c r="K928" s="123"/>
      <c r="L928" s="127"/>
      <c r="M928" s="127"/>
      <c r="N928" s="127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 spans="1:27" ht="13.5" customHeight="1">
      <c r="A929" s="123"/>
      <c r="B929" s="127"/>
      <c r="C929" s="123"/>
      <c r="D929" s="123"/>
      <c r="E929" s="123"/>
      <c r="F929" s="123"/>
      <c r="G929" s="123"/>
      <c r="H929" s="123"/>
      <c r="I929" s="169"/>
      <c r="J929" s="123"/>
      <c r="K929" s="123"/>
      <c r="L929" s="127"/>
      <c r="M929" s="127"/>
      <c r="N929" s="127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 spans="1:27" ht="13.5" customHeight="1">
      <c r="A930" s="123"/>
      <c r="B930" s="127"/>
      <c r="C930" s="123"/>
      <c r="D930" s="123"/>
      <c r="E930" s="123"/>
      <c r="F930" s="123"/>
      <c r="G930" s="123"/>
      <c r="H930" s="123"/>
      <c r="I930" s="169"/>
      <c r="J930" s="123"/>
      <c r="K930" s="123"/>
      <c r="L930" s="127"/>
      <c r="M930" s="127"/>
      <c r="N930" s="127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 spans="1:27" ht="13.5" customHeight="1">
      <c r="A931" s="123"/>
      <c r="B931" s="127"/>
      <c r="C931" s="123"/>
      <c r="D931" s="123"/>
      <c r="E931" s="123"/>
      <c r="F931" s="123"/>
      <c r="G931" s="123"/>
      <c r="H931" s="123"/>
      <c r="I931" s="169"/>
      <c r="J931" s="123"/>
      <c r="K931" s="123"/>
      <c r="L931" s="127"/>
      <c r="M931" s="127"/>
      <c r="N931" s="127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 spans="1:27" ht="13.5" customHeight="1">
      <c r="A932" s="123"/>
      <c r="B932" s="127"/>
      <c r="C932" s="123"/>
      <c r="D932" s="123"/>
      <c r="E932" s="123"/>
      <c r="F932" s="123"/>
      <c r="G932" s="123"/>
      <c r="H932" s="123"/>
      <c r="I932" s="169"/>
      <c r="J932" s="123"/>
      <c r="K932" s="123"/>
      <c r="L932" s="127"/>
      <c r="M932" s="127"/>
      <c r="N932" s="127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 spans="1:27" ht="13.5" customHeight="1">
      <c r="A933" s="123"/>
      <c r="B933" s="127"/>
      <c r="C933" s="123"/>
      <c r="D933" s="123"/>
      <c r="E933" s="123"/>
      <c r="F933" s="123"/>
      <c r="G933" s="123"/>
      <c r="H933" s="123"/>
      <c r="I933" s="169"/>
      <c r="J933" s="123"/>
      <c r="K933" s="123"/>
      <c r="L933" s="127"/>
      <c r="M933" s="127"/>
      <c r="N933" s="127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 spans="1:27" ht="13.5" customHeight="1">
      <c r="A934" s="123"/>
      <c r="B934" s="127"/>
      <c r="C934" s="123"/>
      <c r="D934" s="123"/>
      <c r="E934" s="123"/>
      <c r="F934" s="123"/>
      <c r="G934" s="123"/>
      <c r="H934" s="123"/>
      <c r="I934" s="169"/>
      <c r="J934" s="123"/>
      <c r="K934" s="123"/>
      <c r="L934" s="127"/>
      <c r="M934" s="127"/>
      <c r="N934" s="127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 spans="1:27" ht="13.5" customHeight="1">
      <c r="A935" s="123"/>
      <c r="B935" s="127"/>
      <c r="C935" s="123"/>
      <c r="D935" s="123"/>
      <c r="E935" s="123"/>
      <c r="F935" s="123"/>
      <c r="G935" s="123"/>
      <c r="H935" s="123"/>
      <c r="I935" s="169"/>
      <c r="J935" s="123"/>
      <c r="K935" s="123"/>
      <c r="L935" s="127"/>
      <c r="M935" s="127"/>
      <c r="N935" s="127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 spans="1:27" ht="13.5" customHeight="1">
      <c r="A936" s="123"/>
      <c r="B936" s="127"/>
      <c r="C936" s="123"/>
      <c r="D936" s="123"/>
      <c r="E936" s="123"/>
      <c r="F936" s="123"/>
      <c r="G936" s="123"/>
      <c r="H936" s="123"/>
      <c r="I936" s="169"/>
      <c r="J936" s="123"/>
      <c r="K936" s="123"/>
      <c r="L936" s="127"/>
      <c r="M936" s="127"/>
      <c r="N936" s="127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 spans="1:27" ht="13.5" customHeight="1">
      <c r="A937" s="123"/>
      <c r="B937" s="127"/>
      <c r="C937" s="123"/>
      <c r="D937" s="123"/>
      <c r="E937" s="123"/>
      <c r="F937" s="123"/>
      <c r="G937" s="123"/>
      <c r="H937" s="123"/>
      <c r="I937" s="169"/>
      <c r="J937" s="123"/>
      <c r="K937" s="123"/>
      <c r="L937" s="127"/>
      <c r="M937" s="127"/>
      <c r="N937" s="127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 spans="1:27" ht="13.5" customHeight="1">
      <c r="A938" s="123"/>
      <c r="B938" s="127"/>
      <c r="C938" s="123"/>
      <c r="D938" s="123"/>
      <c r="E938" s="123"/>
      <c r="F938" s="123"/>
      <c r="G938" s="123"/>
      <c r="H938" s="123"/>
      <c r="I938" s="169"/>
      <c r="J938" s="123"/>
      <c r="K938" s="123"/>
      <c r="L938" s="127"/>
      <c r="M938" s="127"/>
      <c r="N938" s="127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 spans="1:27" ht="13.5" customHeight="1">
      <c r="A939" s="123"/>
      <c r="B939" s="127"/>
      <c r="C939" s="123"/>
      <c r="D939" s="123"/>
      <c r="E939" s="123"/>
      <c r="F939" s="123"/>
      <c r="G939" s="123"/>
      <c r="H939" s="123"/>
      <c r="I939" s="169"/>
      <c r="J939" s="123"/>
      <c r="K939" s="123"/>
      <c r="L939" s="127"/>
      <c r="M939" s="127"/>
      <c r="N939" s="127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 spans="1:27" ht="13.5" customHeight="1">
      <c r="A940" s="123"/>
      <c r="B940" s="127"/>
      <c r="C940" s="123"/>
      <c r="D940" s="123"/>
      <c r="E940" s="123"/>
      <c r="F940" s="123"/>
      <c r="G940" s="123"/>
      <c r="H940" s="123"/>
      <c r="I940" s="169"/>
      <c r="J940" s="123"/>
      <c r="K940" s="123"/>
      <c r="L940" s="127"/>
      <c r="M940" s="127"/>
      <c r="N940" s="127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 spans="1:27" ht="13.5" customHeight="1">
      <c r="A941" s="123"/>
      <c r="B941" s="127"/>
      <c r="C941" s="123"/>
      <c r="D941" s="123"/>
      <c r="E941" s="123"/>
      <c r="F941" s="123"/>
      <c r="G941" s="123"/>
      <c r="H941" s="123"/>
      <c r="I941" s="169"/>
      <c r="J941" s="123"/>
      <c r="K941" s="123"/>
      <c r="L941" s="127"/>
      <c r="M941" s="127"/>
      <c r="N941" s="127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 spans="1:27" ht="13.5" customHeight="1">
      <c r="A942" s="123"/>
      <c r="B942" s="127"/>
      <c r="C942" s="123"/>
      <c r="D942" s="123"/>
      <c r="E942" s="123"/>
      <c r="F942" s="123"/>
      <c r="G942" s="123"/>
      <c r="H942" s="123"/>
      <c r="I942" s="169"/>
      <c r="J942" s="123"/>
      <c r="K942" s="123"/>
      <c r="L942" s="127"/>
      <c r="M942" s="127"/>
      <c r="N942" s="127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 spans="1:27" ht="13.5" customHeight="1">
      <c r="A943" s="123"/>
      <c r="B943" s="127"/>
      <c r="C943" s="123"/>
      <c r="D943" s="123"/>
      <c r="E943" s="123"/>
      <c r="F943" s="123"/>
      <c r="G943" s="123"/>
      <c r="H943" s="123"/>
      <c r="I943" s="169"/>
      <c r="J943" s="123"/>
      <c r="K943" s="123"/>
      <c r="L943" s="127"/>
      <c r="M943" s="127"/>
      <c r="N943" s="127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 spans="1:27" ht="13.5" customHeight="1">
      <c r="A944" s="123"/>
      <c r="B944" s="127"/>
      <c r="C944" s="123"/>
      <c r="D944" s="123"/>
      <c r="E944" s="123"/>
      <c r="F944" s="123"/>
      <c r="G944" s="123"/>
      <c r="H944" s="123"/>
      <c r="I944" s="169"/>
      <c r="J944" s="123"/>
      <c r="K944" s="123"/>
      <c r="L944" s="127"/>
      <c r="M944" s="127"/>
      <c r="N944" s="127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 spans="1:27" ht="13.5" customHeight="1">
      <c r="A945" s="123"/>
      <c r="B945" s="127"/>
      <c r="C945" s="123"/>
      <c r="D945" s="123"/>
      <c r="E945" s="123"/>
      <c r="F945" s="123"/>
      <c r="G945" s="123"/>
      <c r="H945" s="123"/>
      <c r="I945" s="169"/>
      <c r="J945" s="123"/>
      <c r="K945" s="123"/>
      <c r="L945" s="127"/>
      <c r="M945" s="127"/>
      <c r="N945" s="127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 spans="1:27" ht="13.5" customHeight="1">
      <c r="A946" s="123"/>
      <c r="B946" s="127"/>
      <c r="C946" s="123"/>
      <c r="D946" s="123"/>
      <c r="E946" s="123"/>
      <c r="F946" s="123"/>
      <c r="G946" s="123"/>
      <c r="H946" s="123"/>
      <c r="I946" s="169"/>
      <c r="J946" s="123"/>
      <c r="K946" s="123"/>
      <c r="L946" s="127"/>
      <c r="M946" s="127"/>
      <c r="N946" s="127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 spans="1:27" ht="13.5" customHeight="1">
      <c r="A947" s="123"/>
      <c r="B947" s="127"/>
      <c r="C947" s="123"/>
      <c r="D947" s="123"/>
      <c r="E947" s="123"/>
      <c r="F947" s="123"/>
      <c r="G947" s="123"/>
      <c r="H947" s="123"/>
      <c r="I947" s="169"/>
      <c r="J947" s="123"/>
      <c r="K947" s="123"/>
      <c r="L947" s="127"/>
      <c r="M947" s="127"/>
      <c r="N947" s="127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 spans="1:27" ht="13.5" customHeight="1">
      <c r="A948" s="123"/>
      <c r="B948" s="127"/>
      <c r="C948" s="123"/>
      <c r="D948" s="123"/>
      <c r="E948" s="123"/>
      <c r="F948" s="123"/>
      <c r="G948" s="123"/>
      <c r="H948" s="123"/>
      <c r="I948" s="169"/>
      <c r="J948" s="123"/>
      <c r="K948" s="123"/>
      <c r="L948" s="127"/>
      <c r="M948" s="127"/>
      <c r="N948" s="127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 spans="1:27" ht="13.5" customHeight="1">
      <c r="A949" s="123"/>
      <c r="B949" s="127"/>
      <c r="C949" s="123"/>
      <c r="D949" s="123"/>
      <c r="E949" s="123"/>
      <c r="F949" s="123"/>
      <c r="G949" s="123"/>
      <c r="H949" s="123"/>
      <c r="I949" s="169"/>
      <c r="J949" s="123"/>
      <c r="K949" s="123"/>
      <c r="L949" s="127"/>
      <c r="M949" s="127"/>
      <c r="N949" s="127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 spans="1:27" ht="13.5" customHeight="1">
      <c r="A950" s="123"/>
      <c r="B950" s="127"/>
      <c r="C950" s="123"/>
      <c r="D950" s="123"/>
      <c r="E950" s="123"/>
      <c r="F950" s="123"/>
      <c r="G950" s="123"/>
      <c r="H950" s="123"/>
      <c r="I950" s="169"/>
      <c r="J950" s="123"/>
      <c r="K950" s="123"/>
      <c r="L950" s="127"/>
      <c r="M950" s="127"/>
      <c r="N950" s="127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 spans="1:27" ht="13.5" customHeight="1">
      <c r="A951" s="123"/>
      <c r="B951" s="127"/>
      <c r="C951" s="123"/>
      <c r="D951" s="123"/>
      <c r="E951" s="123"/>
      <c r="F951" s="123"/>
      <c r="G951" s="123"/>
      <c r="H951" s="123"/>
      <c r="I951" s="169"/>
      <c r="J951" s="123"/>
      <c r="K951" s="123"/>
      <c r="L951" s="127"/>
      <c r="M951" s="127"/>
      <c r="N951" s="127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 spans="1:27" ht="13.5" customHeight="1">
      <c r="A952" s="123"/>
      <c r="B952" s="127"/>
      <c r="C952" s="123"/>
      <c r="D952" s="123"/>
      <c r="E952" s="123"/>
      <c r="F952" s="123"/>
      <c r="G952" s="123"/>
      <c r="H952" s="123"/>
      <c r="I952" s="169"/>
      <c r="J952" s="123"/>
      <c r="K952" s="123"/>
      <c r="L952" s="127"/>
      <c r="M952" s="127"/>
      <c r="N952" s="127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 spans="1:27" ht="13.5" customHeight="1">
      <c r="A953" s="123"/>
      <c r="B953" s="127"/>
      <c r="C953" s="123"/>
      <c r="D953" s="123"/>
      <c r="E953" s="123"/>
      <c r="F953" s="123"/>
      <c r="G953" s="123"/>
      <c r="H953" s="123"/>
      <c r="I953" s="169"/>
      <c r="J953" s="123"/>
      <c r="K953" s="123"/>
      <c r="L953" s="127"/>
      <c r="M953" s="127"/>
      <c r="N953" s="127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 spans="1:27" ht="13.5" customHeight="1">
      <c r="A954" s="123"/>
      <c r="B954" s="127"/>
      <c r="C954" s="123"/>
      <c r="D954" s="123"/>
      <c r="E954" s="123"/>
      <c r="F954" s="123"/>
      <c r="G954" s="123"/>
      <c r="H954" s="123"/>
      <c r="I954" s="169"/>
      <c r="J954" s="123"/>
      <c r="K954" s="123"/>
      <c r="L954" s="127"/>
      <c r="M954" s="127"/>
      <c r="N954" s="127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 spans="1:27" ht="13.5" customHeight="1">
      <c r="A955" s="123"/>
      <c r="B955" s="127"/>
      <c r="C955" s="123"/>
      <c r="D955" s="123"/>
      <c r="E955" s="123"/>
      <c r="F955" s="123"/>
      <c r="G955" s="123"/>
      <c r="H955" s="123"/>
      <c r="I955" s="169"/>
      <c r="J955" s="123"/>
      <c r="K955" s="123"/>
      <c r="L955" s="127"/>
      <c r="M955" s="127"/>
      <c r="N955" s="127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 spans="1:27" ht="13.5" customHeight="1">
      <c r="A956" s="123"/>
      <c r="B956" s="127"/>
      <c r="C956" s="123"/>
      <c r="D956" s="123"/>
      <c r="E956" s="123"/>
      <c r="F956" s="123"/>
      <c r="G956" s="123"/>
      <c r="H956" s="123"/>
      <c r="I956" s="169"/>
      <c r="J956" s="123"/>
      <c r="K956" s="123"/>
      <c r="L956" s="127"/>
      <c r="M956" s="127"/>
      <c r="N956" s="127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 spans="1:27" ht="13.5" customHeight="1">
      <c r="A957" s="123"/>
      <c r="B957" s="127"/>
      <c r="C957" s="123"/>
      <c r="D957" s="123"/>
      <c r="E957" s="123"/>
      <c r="F957" s="123"/>
      <c r="G957" s="123"/>
      <c r="H957" s="123"/>
      <c r="I957" s="169"/>
      <c r="J957" s="123"/>
      <c r="K957" s="123"/>
      <c r="L957" s="127"/>
      <c r="M957" s="127"/>
      <c r="N957" s="127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 spans="1:27" ht="13.5" customHeight="1">
      <c r="A958" s="123"/>
      <c r="B958" s="127"/>
      <c r="C958" s="123"/>
      <c r="D958" s="123"/>
      <c r="E958" s="123"/>
      <c r="F958" s="123"/>
      <c r="G958" s="123"/>
      <c r="H958" s="123"/>
      <c r="I958" s="169"/>
      <c r="J958" s="123"/>
      <c r="K958" s="123"/>
      <c r="L958" s="127"/>
      <c r="M958" s="127"/>
      <c r="N958" s="127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 spans="1:27" ht="13.5" customHeight="1">
      <c r="A959" s="123"/>
      <c r="B959" s="127"/>
      <c r="C959" s="123"/>
      <c r="D959" s="123"/>
      <c r="E959" s="123"/>
      <c r="F959" s="123"/>
      <c r="G959" s="123"/>
      <c r="H959" s="123"/>
      <c r="I959" s="169"/>
      <c r="J959" s="123"/>
      <c r="K959" s="123"/>
      <c r="L959" s="127"/>
      <c r="M959" s="127"/>
      <c r="N959" s="127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 spans="1:27" ht="13.5" customHeight="1">
      <c r="A960" s="123"/>
      <c r="B960" s="127"/>
      <c r="C960" s="123"/>
      <c r="D960" s="123"/>
      <c r="E960" s="123"/>
      <c r="F960" s="123"/>
      <c r="G960" s="123"/>
      <c r="H960" s="123"/>
      <c r="I960" s="169"/>
      <c r="J960" s="123"/>
      <c r="K960" s="123"/>
      <c r="L960" s="127"/>
      <c r="M960" s="127"/>
      <c r="N960" s="127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 spans="1:27" ht="13.5" customHeight="1">
      <c r="A961" s="123"/>
      <c r="B961" s="127"/>
      <c r="C961" s="123"/>
      <c r="D961" s="123"/>
      <c r="E961" s="123"/>
      <c r="F961" s="123"/>
      <c r="G961" s="123"/>
      <c r="H961" s="123"/>
      <c r="I961" s="169"/>
      <c r="J961" s="123"/>
      <c r="K961" s="123"/>
      <c r="L961" s="127"/>
      <c r="M961" s="127"/>
      <c r="N961" s="127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 spans="1:27" ht="13.5" customHeight="1">
      <c r="A962" s="123"/>
      <c r="B962" s="127"/>
      <c r="C962" s="123"/>
      <c r="D962" s="123"/>
      <c r="E962" s="123"/>
      <c r="F962" s="123"/>
      <c r="G962" s="123"/>
      <c r="H962" s="123"/>
      <c r="I962" s="169"/>
      <c r="J962" s="123"/>
      <c r="K962" s="123"/>
      <c r="L962" s="127"/>
      <c r="M962" s="127"/>
      <c r="N962" s="127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 spans="1:27" ht="13.5" customHeight="1">
      <c r="A963" s="123"/>
      <c r="B963" s="127"/>
      <c r="C963" s="123"/>
      <c r="D963" s="123"/>
      <c r="E963" s="123"/>
      <c r="F963" s="123"/>
      <c r="G963" s="123"/>
      <c r="H963" s="123"/>
      <c r="I963" s="169"/>
      <c r="J963" s="123"/>
      <c r="K963" s="123"/>
      <c r="L963" s="127"/>
      <c r="M963" s="127"/>
      <c r="N963" s="127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 spans="1:27" ht="13.5" customHeight="1">
      <c r="A964" s="123"/>
      <c r="B964" s="127"/>
      <c r="C964" s="123"/>
      <c r="D964" s="123"/>
      <c r="E964" s="123"/>
      <c r="F964" s="123"/>
      <c r="G964" s="123"/>
      <c r="H964" s="123"/>
      <c r="I964" s="169"/>
      <c r="J964" s="123"/>
      <c r="K964" s="123"/>
      <c r="L964" s="127"/>
      <c r="M964" s="127"/>
      <c r="N964" s="127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 spans="1:27" ht="13.5" customHeight="1">
      <c r="A965" s="123"/>
      <c r="B965" s="127"/>
      <c r="C965" s="123"/>
      <c r="D965" s="123"/>
      <c r="E965" s="123"/>
      <c r="F965" s="123"/>
      <c r="G965" s="123"/>
      <c r="H965" s="123"/>
      <c r="I965" s="169"/>
      <c r="J965" s="123"/>
      <c r="K965" s="123"/>
      <c r="L965" s="127"/>
      <c r="M965" s="127"/>
      <c r="N965" s="127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 spans="1:27" ht="13.5" customHeight="1">
      <c r="A966" s="123"/>
      <c r="B966" s="127"/>
      <c r="C966" s="123"/>
      <c r="D966" s="123"/>
      <c r="E966" s="123"/>
      <c r="F966" s="123"/>
      <c r="G966" s="123"/>
      <c r="H966" s="123"/>
      <c r="I966" s="169"/>
      <c r="J966" s="123"/>
      <c r="K966" s="123"/>
      <c r="L966" s="127"/>
      <c r="M966" s="127"/>
      <c r="N966" s="127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 spans="1:27" ht="13.5" customHeight="1">
      <c r="A967" s="123"/>
      <c r="B967" s="127"/>
      <c r="C967" s="123"/>
      <c r="D967" s="123"/>
      <c r="E967" s="123"/>
      <c r="F967" s="123"/>
      <c r="G967" s="123"/>
      <c r="H967" s="123"/>
      <c r="I967" s="169"/>
      <c r="J967" s="123"/>
      <c r="K967" s="123"/>
      <c r="L967" s="127"/>
      <c r="M967" s="127"/>
      <c r="N967" s="127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 spans="1:27" ht="13.5" customHeight="1">
      <c r="A968" s="123"/>
      <c r="B968" s="127"/>
      <c r="C968" s="123"/>
      <c r="D968" s="123"/>
      <c r="E968" s="123"/>
      <c r="F968" s="123"/>
      <c r="G968" s="123"/>
      <c r="H968" s="123"/>
      <c r="I968" s="169"/>
      <c r="J968" s="123"/>
      <c r="K968" s="123"/>
      <c r="L968" s="127"/>
      <c r="M968" s="127"/>
      <c r="N968" s="127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 spans="1:27" ht="13.5" customHeight="1">
      <c r="A969" s="123"/>
      <c r="B969" s="127"/>
      <c r="C969" s="123"/>
      <c r="D969" s="123"/>
      <c r="E969" s="123"/>
      <c r="F969" s="123"/>
      <c r="G969" s="123"/>
      <c r="H969" s="123"/>
      <c r="I969" s="169"/>
      <c r="J969" s="123"/>
      <c r="K969" s="123"/>
      <c r="L969" s="127"/>
      <c r="M969" s="127"/>
      <c r="N969" s="127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 spans="1:27" ht="13.5" customHeight="1">
      <c r="A970" s="123"/>
      <c r="B970" s="127"/>
      <c r="C970" s="123"/>
      <c r="D970" s="123"/>
      <c r="E970" s="123"/>
      <c r="F970" s="123"/>
      <c r="G970" s="123"/>
      <c r="H970" s="123"/>
      <c r="I970" s="169"/>
      <c r="J970" s="123"/>
      <c r="K970" s="123"/>
      <c r="L970" s="127"/>
      <c r="M970" s="127"/>
      <c r="N970" s="127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 spans="1:27" ht="13.5" customHeight="1">
      <c r="A971" s="123"/>
      <c r="B971" s="127"/>
      <c r="C971" s="123"/>
      <c r="D971" s="123"/>
      <c r="E971" s="123"/>
      <c r="F971" s="123"/>
      <c r="G971" s="123"/>
      <c r="H971" s="123"/>
      <c r="I971" s="169"/>
      <c r="J971" s="123"/>
      <c r="K971" s="123"/>
      <c r="L971" s="127"/>
      <c r="M971" s="127"/>
      <c r="N971" s="127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 spans="1:27" ht="13.5" customHeight="1">
      <c r="A972" s="123"/>
      <c r="B972" s="127"/>
      <c r="C972" s="123"/>
      <c r="D972" s="123"/>
      <c r="E972" s="123"/>
      <c r="F972" s="123"/>
      <c r="G972" s="123"/>
      <c r="H972" s="123"/>
      <c r="I972" s="169"/>
      <c r="J972" s="123"/>
      <c r="K972" s="123"/>
      <c r="L972" s="127"/>
      <c r="M972" s="127"/>
      <c r="N972" s="127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 spans="1:27" ht="13.5" customHeight="1">
      <c r="A973" s="123"/>
      <c r="B973" s="127"/>
      <c r="C973" s="123"/>
      <c r="D973" s="123"/>
      <c r="E973" s="123"/>
      <c r="F973" s="123"/>
      <c r="G973" s="123"/>
      <c r="H973" s="123"/>
      <c r="I973" s="169"/>
      <c r="J973" s="123"/>
      <c r="K973" s="123"/>
      <c r="L973" s="127"/>
      <c r="M973" s="127"/>
      <c r="N973" s="127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 spans="1:27" ht="13.5" customHeight="1">
      <c r="A974" s="123"/>
      <c r="B974" s="127"/>
      <c r="C974" s="123"/>
      <c r="D974" s="123"/>
      <c r="E974" s="123"/>
      <c r="F974" s="123"/>
      <c r="G974" s="123"/>
      <c r="H974" s="123"/>
      <c r="I974" s="169"/>
      <c r="J974" s="123"/>
      <c r="K974" s="123"/>
      <c r="L974" s="127"/>
      <c r="M974" s="127"/>
      <c r="N974" s="127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 spans="1:27" ht="13.5" customHeight="1">
      <c r="A975" s="123"/>
      <c r="B975" s="127"/>
      <c r="C975" s="123"/>
      <c r="D975" s="123"/>
      <c r="E975" s="123"/>
      <c r="F975" s="123"/>
      <c r="G975" s="123"/>
      <c r="H975" s="123"/>
      <c r="I975" s="169"/>
      <c r="J975" s="123"/>
      <c r="K975" s="123"/>
      <c r="L975" s="127"/>
      <c r="M975" s="127"/>
      <c r="N975" s="127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 spans="1:27" ht="13.5" customHeight="1">
      <c r="A976" s="123"/>
      <c r="B976" s="127"/>
      <c r="C976" s="123"/>
      <c r="D976" s="123"/>
      <c r="E976" s="123"/>
      <c r="F976" s="123"/>
      <c r="G976" s="123"/>
      <c r="H976" s="123"/>
      <c r="I976" s="169"/>
      <c r="J976" s="123"/>
      <c r="K976" s="123"/>
      <c r="L976" s="127"/>
      <c r="M976" s="127"/>
      <c r="N976" s="127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 spans="1:27" ht="13.5" customHeight="1">
      <c r="A977" s="123"/>
      <c r="B977" s="127"/>
      <c r="C977" s="123"/>
      <c r="D977" s="123"/>
      <c r="E977" s="123"/>
      <c r="F977" s="123"/>
      <c r="G977" s="123"/>
      <c r="H977" s="123"/>
      <c r="I977" s="169"/>
      <c r="J977" s="123"/>
      <c r="K977" s="123"/>
      <c r="L977" s="127"/>
      <c r="M977" s="127"/>
      <c r="N977" s="127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 spans="1:27" ht="13.5" customHeight="1">
      <c r="A978" s="123"/>
      <c r="B978" s="127"/>
      <c r="C978" s="123"/>
      <c r="D978" s="123"/>
      <c r="E978" s="123"/>
      <c r="F978" s="123"/>
      <c r="G978" s="123"/>
      <c r="H978" s="123"/>
      <c r="I978" s="169"/>
      <c r="J978" s="123"/>
      <c r="K978" s="123"/>
      <c r="L978" s="127"/>
      <c r="M978" s="127"/>
      <c r="N978" s="127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 spans="1:27" ht="13.5" customHeight="1">
      <c r="A979" s="123"/>
      <c r="B979" s="127"/>
      <c r="C979" s="123"/>
      <c r="D979" s="123"/>
      <c r="E979" s="123"/>
      <c r="F979" s="123"/>
      <c r="G979" s="123"/>
      <c r="H979" s="123"/>
      <c r="I979" s="169"/>
      <c r="J979" s="123"/>
      <c r="K979" s="123"/>
      <c r="L979" s="127"/>
      <c r="M979" s="127"/>
      <c r="N979" s="127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 spans="1:27" ht="13.5" customHeight="1">
      <c r="A980" s="123"/>
      <c r="B980" s="127"/>
      <c r="C980" s="123"/>
      <c r="D980" s="123"/>
      <c r="E980" s="123"/>
      <c r="F980" s="123"/>
      <c r="G980" s="123"/>
      <c r="H980" s="123"/>
      <c r="I980" s="169"/>
      <c r="J980" s="123"/>
      <c r="K980" s="123"/>
      <c r="L980" s="127"/>
      <c r="M980" s="127"/>
      <c r="N980" s="127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 spans="1:27" ht="13.5" customHeight="1">
      <c r="A981" s="123"/>
      <c r="B981" s="127"/>
      <c r="C981" s="123"/>
      <c r="D981" s="123"/>
      <c r="E981" s="123"/>
      <c r="F981" s="123"/>
      <c r="G981" s="123"/>
      <c r="H981" s="123"/>
      <c r="I981" s="169"/>
      <c r="J981" s="123"/>
      <c r="K981" s="123"/>
      <c r="L981" s="127"/>
      <c r="M981" s="127"/>
      <c r="N981" s="127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 spans="1:27" ht="13.5" customHeight="1">
      <c r="A982" s="123"/>
      <c r="B982" s="127"/>
      <c r="C982" s="123"/>
      <c r="D982" s="123"/>
      <c r="E982" s="123"/>
      <c r="F982" s="123"/>
      <c r="G982" s="123"/>
      <c r="H982" s="123"/>
      <c r="I982" s="169"/>
      <c r="J982" s="123"/>
      <c r="K982" s="123"/>
      <c r="L982" s="127"/>
      <c r="M982" s="127"/>
      <c r="N982" s="127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 spans="1:27" ht="13.5" customHeight="1">
      <c r="A983" s="123"/>
      <c r="B983" s="127"/>
      <c r="C983" s="123"/>
      <c r="D983" s="123"/>
      <c r="E983" s="123"/>
      <c r="F983" s="123"/>
      <c r="G983" s="123"/>
      <c r="H983" s="123"/>
      <c r="I983" s="169"/>
      <c r="J983" s="123"/>
      <c r="K983" s="123"/>
      <c r="L983" s="127"/>
      <c r="M983" s="127"/>
      <c r="N983" s="127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 spans="1:27" ht="13.5" customHeight="1">
      <c r="A984" s="123"/>
      <c r="B984" s="127"/>
      <c r="C984" s="123"/>
      <c r="D984" s="123"/>
      <c r="E984" s="123"/>
      <c r="F984" s="123"/>
      <c r="G984" s="123"/>
      <c r="H984" s="123"/>
      <c r="I984" s="169"/>
      <c r="J984" s="123"/>
      <c r="K984" s="123"/>
      <c r="L984" s="127"/>
      <c r="M984" s="127"/>
      <c r="N984" s="127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 spans="1:27" ht="13.5" customHeight="1">
      <c r="A985" s="123"/>
      <c r="B985" s="127"/>
      <c r="C985" s="123"/>
      <c r="D985" s="123"/>
      <c r="E985" s="123"/>
      <c r="F985" s="123"/>
      <c r="G985" s="123"/>
      <c r="H985" s="123"/>
      <c r="I985" s="169"/>
      <c r="J985" s="123"/>
      <c r="K985" s="123"/>
      <c r="L985" s="127"/>
      <c r="M985" s="127"/>
      <c r="N985" s="127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 spans="1:27" ht="13.5" customHeight="1">
      <c r="A986" s="123"/>
      <c r="B986" s="127"/>
      <c r="C986" s="123"/>
      <c r="D986" s="123"/>
      <c r="E986" s="123"/>
      <c r="F986" s="123"/>
      <c r="G986" s="123"/>
      <c r="H986" s="123"/>
      <c r="I986" s="169"/>
      <c r="J986" s="123"/>
      <c r="K986" s="123"/>
      <c r="L986" s="127"/>
      <c r="M986" s="127"/>
      <c r="N986" s="127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 spans="1:27" ht="13.5" customHeight="1">
      <c r="A987" s="123"/>
      <c r="B987" s="127"/>
      <c r="C987" s="123"/>
      <c r="D987" s="123"/>
      <c r="E987" s="123"/>
      <c r="F987" s="123"/>
      <c r="G987" s="123"/>
      <c r="H987" s="123"/>
      <c r="I987" s="169"/>
      <c r="J987" s="123"/>
      <c r="K987" s="123"/>
      <c r="L987" s="127"/>
      <c r="M987" s="127"/>
      <c r="N987" s="127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 spans="1:27" ht="13.5" customHeight="1">
      <c r="A988" s="123"/>
      <c r="B988" s="127"/>
      <c r="C988" s="123"/>
      <c r="D988" s="123"/>
      <c r="E988" s="123"/>
      <c r="F988" s="123"/>
      <c r="G988" s="123"/>
      <c r="H988" s="123"/>
      <c r="I988" s="169"/>
      <c r="J988" s="123"/>
      <c r="K988" s="123"/>
      <c r="L988" s="127"/>
      <c r="M988" s="127"/>
      <c r="N988" s="127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 spans="1:27" ht="13.5" customHeight="1">
      <c r="A989" s="123"/>
      <c r="B989" s="127"/>
      <c r="C989" s="123"/>
      <c r="D989" s="123"/>
      <c r="E989" s="123"/>
      <c r="F989" s="123"/>
      <c r="G989" s="123"/>
      <c r="H989" s="123"/>
      <c r="I989" s="169"/>
      <c r="J989" s="123"/>
      <c r="K989" s="123"/>
      <c r="L989" s="127"/>
      <c r="M989" s="127"/>
      <c r="N989" s="127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 spans="1:27" ht="13.5" customHeight="1">
      <c r="A990" s="123"/>
      <c r="B990" s="127"/>
      <c r="C990" s="123"/>
      <c r="D990" s="123"/>
      <c r="E990" s="123"/>
      <c r="F990" s="123"/>
      <c r="G990" s="123"/>
      <c r="H990" s="123"/>
      <c r="I990" s="169"/>
      <c r="J990" s="123"/>
      <c r="K990" s="123"/>
      <c r="L990" s="127"/>
      <c r="M990" s="127"/>
      <c r="N990" s="127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 spans="1:27" ht="13.5" customHeight="1">
      <c r="A991" s="123"/>
      <c r="B991" s="127"/>
      <c r="C991" s="123"/>
      <c r="D991" s="123"/>
      <c r="E991" s="123"/>
      <c r="F991" s="123"/>
      <c r="G991" s="123"/>
      <c r="H991" s="123"/>
      <c r="I991" s="169"/>
      <c r="J991" s="123"/>
      <c r="K991" s="123"/>
      <c r="L991" s="127"/>
      <c r="M991" s="127"/>
      <c r="N991" s="127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</sheetData>
  <mergeCells count="6">
    <mergeCell ref="B2:C2"/>
    <mergeCell ref="D42:K42"/>
    <mergeCell ref="D44:K44"/>
    <mergeCell ref="D45:K45"/>
    <mergeCell ref="D46:K46"/>
    <mergeCell ref="D43:K43"/>
  </mergeCells>
  <phoneticPr fontId="24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baseColWidth="10" defaultColWidth="12.6640625" defaultRowHeight="15" customHeight="1"/>
  <cols>
    <col min="1" max="1" width="4" customWidth="1"/>
    <col min="2" max="2" width="11" customWidth="1"/>
    <col min="3" max="3" width="76" customWidth="1"/>
    <col min="4" max="10" width="9.5" customWidth="1"/>
    <col min="11" max="11" width="10" customWidth="1"/>
    <col min="12" max="12" width="9.5" customWidth="1"/>
    <col min="13" max="13" width="10.5" customWidth="1"/>
    <col min="14" max="14" width="11.5" customWidth="1"/>
    <col min="15" max="27" width="9.5" customWidth="1"/>
  </cols>
  <sheetData>
    <row r="1" spans="1:27" ht="13.5" customHeight="1">
      <c r="A1" s="31"/>
      <c r="B1" s="32"/>
      <c r="C1" s="31"/>
      <c r="D1" s="31"/>
      <c r="E1" s="31"/>
      <c r="F1" s="31"/>
      <c r="G1" s="31"/>
      <c r="H1" s="31"/>
      <c r="I1" s="33"/>
      <c r="J1" s="31"/>
      <c r="K1" s="31"/>
      <c r="L1" s="32"/>
      <c r="M1" s="32"/>
      <c r="N1" s="32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34.5" customHeight="1">
      <c r="A2" s="31"/>
      <c r="B2" s="298" t="s">
        <v>49</v>
      </c>
      <c r="C2" s="299"/>
      <c r="D2" s="31"/>
      <c r="E2" s="31"/>
      <c r="F2" s="31"/>
      <c r="G2" s="31"/>
      <c r="H2" s="31"/>
      <c r="I2" s="33"/>
      <c r="J2" s="31"/>
      <c r="K2" s="31"/>
      <c r="L2" s="32"/>
      <c r="M2" s="32"/>
      <c r="N2" s="32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t="13.5" customHeight="1">
      <c r="A3" s="31"/>
      <c r="B3" s="32"/>
      <c r="C3" s="31"/>
      <c r="D3" s="34"/>
      <c r="E3" s="31"/>
      <c r="F3" s="31"/>
      <c r="G3" s="31"/>
      <c r="H3" s="31"/>
      <c r="I3" s="33"/>
      <c r="J3" s="31"/>
      <c r="K3" s="31"/>
      <c r="L3" s="32"/>
      <c r="M3" s="32"/>
      <c r="N3" s="32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13.5" customHeight="1">
      <c r="A4" s="31"/>
      <c r="B4" s="35"/>
      <c r="C4" s="36"/>
      <c r="D4" s="34"/>
      <c r="E4" s="36"/>
      <c r="F4" s="36"/>
      <c r="G4" s="36"/>
      <c r="H4" s="36"/>
      <c r="I4" s="34"/>
      <c r="J4" s="36"/>
      <c r="K4" s="36"/>
      <c r="L4" s="35"/>
      <c r="M4" s="35"/>
      <c r="N4" s="35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t="13.5" customHeight="1">
      <c r="A5" s="31"/>
      <c r="B5" s="47" t="s">
        <v>85</v>
      </c>
      <c r="C5" s="48" t="s">
        <v>86</v>
      </c>
      <c r="D5" s="34"/>
      <c r="E5" s="36"/>
      <c r="F5" s="36"/>
      <c r="G5" s="36"/>
      <c r="H5" s="36"/>
      <c r="I5" s="34"/>
      <c r="J5" s="36"/>
      <c r="K5" s="36"/>
      <c r="L5" s="35"/>
      <c r="M5" s="35"/>
      <c r="N5" s="35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5" customHeight="1">
      <c r="A6" s="31"/>
      <c r="B6" s="49" t="s">
        <v>87</v>
      </c>
      <c r="C6" s="50" t="s">
        <v>88</v>
      </c>
      <c r="D6" s="51" t="s">
        <v>89</v>
      </c>
      <c r="E6" s="52" t="s">
        <v>90</v>
      </c>
      <c r="F6" s="52" t="s">
        <v>91</v>
      </c>
      <c r="G6" s="52" t="s">
        <v>92</v>
      </c>
      <c r="H6" s="53" t="s">
        <v>93</v>
      </c>
      <c r="I6" s="54" t="s">
        <v>55</v>
      </c>
      <c r="J6" s="55" t="s">
        <v>94</v>
      </c>
      <c r="K6" s="51" t="s">
        <v>95</v>
      </c>
      <c r="L6" s="56" t="s">
        <v>6</v>
      </c>
      <c r="M6" s="57" t="s">
        <v>58</v>
      </c>
      <c r="N6" s="58" t="s">
        <v>13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5" customHeight="1">
      <c r="A7" s="31"/>
      <c r="B7" s="59">
        <v>2</v>
      </c>
      <c r="C7" s="60" t="s">
        <v>96</v>
      </c>
      <c r="D7" s="40">
        <v>2</v>
      </c>
      <c r="E7" s="40">
        <v>6800</v>
      </c>
      <c r="F7" s="40">
        <v>3000</v>
      </c>
      <c r="G7" s="40">
        <v>0</v>
      </c>
      <c r="H7" s="40">
        <f>D7*E7*G7%</f>
        <v>0</v>
      </c>
      <c r="I7" s="40">
        <f>D7*E7+F7-H7</f>
        <v>16600</v>
      </c>
      <c r="J7" s="41">
        <v>0.1</v>
      </c>
      <c r="K7" s="40">
        <f>I7*J7</f>
        <v>1660</v>
      </c>
      <c r="L7" s="61">
        <f>I7-K7</f>
        <v>14940</v>
      </c>
      <c r="M7" s="297" t="s">
        <v>60</v>
      </c>
      <c r="N7" s="62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5" customHeight="1">
      <c r="A8" s="31"/>
      <c r="B8" s="63">
        <v>3</v>
      </c>
      <c r="C8" s="64" t="s">
        <v>97</v>
      </c>
      <c r="D8" s="40">
        <v>0</v>
      </c>
      <c r="E8" s="40">
        <v>26900</v>
      </c>
      <c r="F8" s="40"/>
      <c r="G8" s="40">
        <v>0</v>
      </c>
      <c r="H8" s="40"/>
      <c r="I8" s="40"/>
      <c r="J8" s="40"/>
      <c r="K8" s="40"/>
      <c r="L8" s="61"/>
      <c r="M8" s="286"/>
      <c r="N8" s="62" t="s">
        <v>98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3.5" customHeight="1">
      <c r="A9" s="31"/>
      <c r="B9" s="65">
        <v>4</v>
      </c>
      <c r="C9" s="64" t="s">
        <v>99</v>
      </c>
      <c r="D9" s="40">
        <v>0</v>
      </c>
      <c r="E9" s="40">
        <v>34000</v>
      </c>
      <c r="F9" s="40"/>
      <c r="G9" s="40">
        <v>0</v>
      </c>
      <c r="H9" s="40"/>
      <c r="I9" s="40"/>
      <c r="J9" s="40"/>
      <c r="K9" s="40"/>
      <c r="L9" s="61"/>
      <c r="M9" s="281"/>
      <c r="N9" s="62" t="s">
        <v>98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7.25" customHeight="1">
      <c r="A10" s="31"/>
      <c r="B10" s="300" t="s">
        <v>59</v>
      </c>
      <c r="C10" s="301"/>
      <c r="D10" s="66">
        <f>SUM(D7:D9)</f>
        <v>2</v>
      </c>
      <c r="E10" s="66">
        <f>D7*E7+D8*E8+D9*E9</f>
        <v>13600</v>
      </c>
      <c r="F10" s="66">
        <f>SUM(F7:F9)</f>
        <v>3000</v>
      </c>
      <c r="G10" s="66"/>
      <c r="H10" s="66">
        <f>SUM(H7:H9)</f>
        <v>0</v>
      </c>
      <c r="I10" s="67">
        <f>E10+F10-H10</f>
        <v>16600</v>
      </c>
      <c r="J10" s="68">
        <v>0.1</v>
      </c>
      <c r="K10" s="66">
        <f>I10*J10</f>
        <v>1660</v>
      </c>
      <c r="L10" s="69">
        <f>I10-K10</f>
        <v>14940</v>
      </c>
      <c r="M10" s="70"/>
      <c r="N10" s="7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3.5" customHeight="1">
      <c r="A11" s="31"/>
      <c r="B11" s="32"/>
      <c r="C11" s="31"/>
      <c r="D11" s="31"/>
      <c r="E11" s="31"/>
      <c r="F11" s="31"/>
      <c r="G11" s="31"/>
      <c r="H11" s="31"/>
      <c r="I11" s="33"/>
      <c r="J11" s="31"/>
      <c r="K11" s="31"/>
      <c r="L11" s="32"/>
      <c r="M11" s="32"/>
      <c r="N11" s="32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3.5" customHeight="1">
      <c r="A12" s="31"/>
      <c r="B12" s="32"/>
      <c r="C12" s="31"/>
      <c r="D12" s="31"/>
      <c r="E12" s="31"/>
      <c r="F12" s="31"/>
      <c r="G12" s="31"/>
      <c r="H12" s="31"/>
      <c r="I12" s="33"/>
      <c r="J12" s="31"/>
      <c r="K12" s="31"/>
      <c r="L12" s="32"/>
      <c r="M12" s="32"/>
      <c r="N12" s="32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3.5" customHeight="1">
      <c r="A13" s="31"/>
      <c r="B13" s="47" t="s">
        <v>100</v>
      </c>
      <c r="C13" s="72" t="s">
        <v>86</v>
      </c>
      <c r="D13" s="31"/>
      <c r="E13" s="31"/>
      <c r="F13" s="31"/>
      <c r="G13" s="31"/>
      <c r="H13" s="31"/>
      <c r="I13" s="33"/>
      <c r="J13" s="31"/>
      <c r="K13" s="31"/>
      <c r="L13" s="32"/>
      <c r="M13" s="32"/>
      <c r="N13" s="32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3.5" customHeight="1">
      <c r="A14" s="31"/>
      <c r="B14" s="73" t="s">
        <v>87</v>
      </c>
      <c r="C14" s="51" t="s">
        <v>101</v>
      </c>
      <c r="D14" s="51" t="s">
        <v>89</v>
      </c>
      <c r="E14" s="52" t="s">
        <v>90</v>
      </c>
      <c r="F14" s="52" t="s">
        <v>91</v>
      </c>
      <c r="G14" s="52" t="s">
        <v>92</v>
      </c>
      <c r="H14" s="53" t="s">
        <v>93</v>
      </c>
      <c r="I14" s="54" t="s">
        <v>55</v>
      </c>
      <c r="J14" s="55" t="s">
        <v>94</v>
      </c>
      <c r="K14" s="50" t="s">
        <v>95</v>
      </c>
      <c r="L14" s="56" t="s">
        <v>6</v>
      </c>
      <c r="M14" s="57" t="s">
        <v>58</v>
      </c>
      <c r="N14" s="58" t="s">
        <v>13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13.5" customHeight="1">
      <c r="A15" s="31"/>
      <c r="B15" s="74">
        <v>1</v>
      </c>
      <c r="C15" s="39" t="s">
        <v>102</v>
      </c>
      <c r="D15" s="43">
        <v>6</v>
      </c>
      <c r="E15" s="43">
        <v>6800</v>
      </c>
      <c r="F15" s="75"/>
      <c r="G15" s="75">
        <v>35</v>
      </c>
      <c r="H15" s="40">
        <f t="shared" ref="H15:H16" si="0">D15*E15*G15%</f>
        <v>14280</v>
      </c>
      <c r="I15" s="40">
        <f t="shared" ref="I15:I16" si="1">D15*E15-H15</f>
        <v>26520</v>
      </c>
      <c r="J15" s="76">
        <v>0</v>
      </c>
      <c r="K15" s="77">
        <f t="shared" ref="K15:K16" si="2">I15*J15%</f>
        <v>0</v>
      </c>
      <c r="L15" s="61">
        <f t="shared" ref="L15:L17" si="3">I15-K15</f>
        <v>26520</v>
      </c>
      <c r="M15" s="297" t="s">
        <v>60</v>
      </c>
      <c r="N15" s="78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13.5" customHeight="1">
      <c r="A16" s="31"/>
      <c r="B16" s="74">
        <v>2</v>
      </c>
      <c r="C16" s="39" t="s">
        <v>103</v>
      </c>
      <c r="D16" s="43">
        <v>3</v>
      </c>
      <c r="E16" s="43">
        <v>26900</v>
      </c>
      <c r="F16" s="75"/>
      <c r="G16" s="75">
        <v>35</v>
      </c>
      <c r="H16" s="40">
        <f t="shared" si="0"/>
        <v>28245</v>
      </c>
      <c r="I16" s="40">
        <f t="shared" si="1"/>
        <v>52455</v>
      </c>
      <c r="J16" s="76">
        <v>0</v>
      </c>
      <c r="K16" s="77">
        <f t="shared" si="2"/>
        <v>0</v>
      </c>
      <c r="L16" s="61">
        <f t="shared" si="3"/>
        <v>52455</v>
      </c>
      <c r="M16" s="287"/>
      <c r="N16" s="78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3.5" customHeight="1">
      <c r="A17" s="31"/>
      <c r="B17" s="79"/>
      <c r="C17" s="80" t="s">
        <v>59</v>
      </c>
      <c r="D17" s="66">
        <f>SUM(D14:D16)</f>
        <v>9</v>
      </c>
      <c r="E17" s="66">
        <f>D15*E15+D16*E16</f>
        <v>121500</v>
      </c>
      <c r="F17" s="66">
        <v>4000</v>
      </c>
      <c r="G17" s="66"/>
      <c r="H17" s="66">
        <f>SUM(H14:H16)</f>
        <v>42525</v>
      </c>
      <c r="I17" s="67">
        <f>E17+F17-H17</f>
        <v>82975</v>
      </c>
      <c r="J17" s="68">
        <v>0.05</v>
      </c>
      <c r="K17" s="66">
        <f>I17*J17</f>
        <v>4148.75</v>
      </c>
      <c r="L17" s="69">
        <f t="shared" si="3"/>
        <v>78826.25</v>
      </c>
      <c r="M17" s="81"/>
      <c r="N17" s="82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3.5" customHeight="1">
      <c r="A18" s="31"/>
      <c r="B18" s="32"/>
      <c r="C18" s="31"/>
      <c r="D18" s="31"/>
      <c r="E18" s="31"/>
      <c r="F18" s="31"/>
      <c r="G18" s="31"/>
      <c r="H18" s="31"/>
      <c r="I18" s="33"/>
      <c r="J18" s="31"/>
      <c r="K18" s="31"/>
      <c r="L18" s="32"/>
      <c r="M18" s="32"/>
      <c r="N18" s="32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3.5" customHeight="1">
      <c r="A19" s="31"/>
      <c r="B19" s="32"/>
      <c r="C19" s="31"/>
      <c r="D19" s="31"/>
      <c r="E19" s="31"/>
      <c r="F19" s="31"/>
      <c r="G19" s="31"/>
      <c r="H19" s="31"/>
      <c r="I19" s="33"/>
      <c r="J19" s="31"/>
      <c r="K19" s="31"/>
      <c r="L19" s="32"/>
      <c r="M19" s="32"/>
      <c r="N19" s="32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t="13.5" customHeight="1">
      <c r="A20" s="31"/>
      <c r="B20" s="47" t="s">
        <v>104</v>
      </c>
      <c r="C20" s="72" t="s">
        <v>105</v>
      </c>
      <c r="D20" s="31"/>
      <c r="E20" s="31"/>
      <c r="F20" s="31"/>
      <c r="G20" s="31"/>
      <c r="H20" s="31"/>
      <c r="I20" s="33"/>
      <c r="J20" s="31"/>
      <c r="K20" s="31"/>
      <c r="L20" s="32"/>
      <c r="M20" s="32"/>
      <c r="N20" s="32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3.5" customHeight="1">
      <c r="A21" s="31"/>
      <c r="B21" s="73" t="s">
        <v>87</v>
      </c>
      <c r="C21" s="51" t="s">
        <v>101</v>
      </c>
      <c r="D21" s="51" t="s">
        <v>106</v>
      </c>
      <c r="E21" s="51" t="s">
        <v>90</v>
      </c>
      <c r="F21" s="52" t="s">
        <v>91</v>
      </c>
      <c r="G21" s="51" t="s">
        <v>107</v>
      </c>
      <c r="H21" s="53" t="s">
        <v>93</v>
      </c>
      <c r="I21" s="54" t="s">
        <v>108</v>
      </c>
      <c r="J21" s="55" t="s">
        <v>94</v>
      </c>
      <c r="K21" s="50" t="s">
        <v>95</v>
      </c>
      <c r="L21" s="56" t="s">
        <v>6</v>
      </c>
      <c r="M21" s="57" t="s">
        <v>58</v>
      </c>
      <c r="N21" s="58" t="s">
        <v>13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t="13.5" customHeight="1">
      <c r="A22" s="31"/>
      <c r="B22" s="74">
        <v>1</v>
      </c>
      <c r="C22" s="60" t="s">
        <v>109</v>
      </c>
      <c r="D22" s="43">
        <v>143</v>
      </c>
      <c r="E22" s="43">
        <v>6800</v>
      </c>
      <c r="F22" s="40"/>
      <c r="G22" s="40">
        <f t="shared" ref="G22:G24" si="4">D22*E22</f>
        <v>972400</v>
      </c>
      <c r="H22" s="41"/>
      <c r="I22" s="40">
        <f t="shared" ref="I22:I24" si="5">D22*E22-H22</f>
        <v>972400</v>
      </c>
      <c r="J22" s="46">
        <v>40</v>
      </c>
      <c r="K22" s="77">
        <f t="shared" ref="K22:K24" si="6">I22*J22%</f>
        <v>388960</v>
      </c>
      <c r="L22" s="61">
        <f t="shared" ref="L22:L24" si="7">I22-K22</f>
        <v>583440</v>
      </c>
      <c r="M22" s="297" t="s">
        <v>60</v>
      </c>
      <c r="N22" s="8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13.5" customHeight="1">
      <c r="A23" s="31"/>
      <c r="B23" s="74">
        <v>2</v>
      </c>
      <c r="C23" s="60" t="s">
        <v>110</v>
      </c>
      <c r="D23" s="43">
        <v>2</v>
      </c>
      <c r="E23" s="43">
        <v>20400</v>
      </c>
      <c r="F23" s="40"/>
      <c r="G23" s="40">
        <f t="shared" si="4"/>
        <v>40800</v>
      </c>
      <c r="H23" s="41"/>
      <c r="I23" s="40">
        <f t="shared" si="5"/>
        <v>40800</v>
      </c>
      <c r="J23" s="46">
        <v>37</v>
      </c>
      <c r="K23" s="77">
        <f t="shared" si="6"/>
        <v>15096</v>
      </c>
      <c r="L23" s="61">
        <f t="shared" si="7"/>
        <v>25704</v>
      </c>
      <c r="M23" s="286"/>
      <c r="N23" s="83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13.5" customHeight="1">
      <c r="A24" s="31"/>
      <c r="B24" s="84">
        <v>3</v>
      </c>
      <c r="C24" s="64" t="s">
        <v>111</v>
      </c>
      <c r="D24" s="85">
        <v>5</v>
      </c>
      <c r="E24" s="85">
        <v>34000</v>
      </c>
      <c r="F24" s="86"/>
      <c r="G24" s="40">
        <f t="shared" si="4"/>
        <v>170000</v>
      </c>
      <c r="H24" s="87"/>
      <c r="I24" s="40">
        <f t="shared" si="5"/>
        <v>170000</v>
      </c>
      <c r="J24" s="46">
        <v>37</v>
      </c>
      <c r="K24" s="77">
        <f t="shared" si="6"/>
        <v>62900</v>
      </c>
      <c r="L24" s="61">
        <f t="shared" si="7"/>
        <v>107100</v>
      </c>
      <c r="M24" s="281"/>
      <c r="N24" s="88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13.5" customHeight="1">
      <c r="A25" s="31"/>
      <c r="B25" s="79"/>
      <c r="C25" s="80" t="s">
        <v>59</v>
      </c>
      <c r="D25" s="89">
        <f>D22+D23*3+D24*5</f>
        <v>174</v>
      </c>
      <c r="E25" s="89">
        <f>E22*D22+E23*D23+E24*D24</f>
        <v>1183200</v>
      </c>
      <c r="F25" s="89" t="s">
        <v>112</v>
      </c>
      <c r="G25" s="89">
        <f t="shared" ref="G25:I25" si="8">SUM(G22:G24)</f>
        <v>1183200</v>
      </c>
      <c r="H25" s="89">
        <f t="shared" si="8"/>
        <v>0</v>
      </c>
      <c r="I25" s="90">
        <f t="shared" si="8"/>
        <v>1183200</v>
      </c>
      <c r="J25" s="89"/>
      <c r="K25" s="89">
        <f t="shared" ref="K25:L25" si="9">SUM(K22:K24)</f>
        <v>466956</v>
      </c>
      <c r="L25" s="69">
        <f t="shared" si="9"/>
        <v>716244</v>
      </c>
      <c r="M25" s="70"/>
      <c r="N25" s="9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3.5" customHeight="1">
      <c r="A26" s="31"/>
      <c r="B26" s="32"/>
      <c r="C26" s="31"/>
      <c r="D26" s="31"/>
      <c r="E26" s="31"/>
      <c r="F26" s="31"/>
      <c r="G26" s="31"/>
      <c r="H26" s="31"/>
      <c r="I26" s="33"/>
      <c r="J26" s="31"/>
      <c r="K26" s="31"/>
      <c r="L26" s="32"/>
      <c r="M26" s="32"/>
      <c r="N26" s="32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13.5" customHeight="1">
      <c r="A27" s="31"/>
      <c r="B27" s="32"/>
      <c r="C27" s="31"/>
      <c r="D27" s="31"/>
      <c r="E27" s="31"/>
      <c r="F27" s="31"/>
      <c r="G27" s="31"/>
      <c r="H27" s="31"/>
      <c r="I27" s="33"/>
      <c r="J27" s="92"/>
      <c r="K27" s="31"/>
      <c r="L27" s="32"/>
      <c r="M27" s="32"/>
      <c r="N27" s="32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3.5" customHeight="1">
      <c r="A28" s="31"/>
      <c r="B28" s="47" t="s">
        <v>113</v>
      </c>
      <c r="C28" s="72" t="s">
        <v>114</v>
      </c>
      <c r="D28" s="31"/>
      <c r="E28" s="31"/>
      <c r="F28" s="31"/>
      <c r="G28" s="31"/>
      <c r="H28" s="31"/>
      <c r="I28" s="33"/>
      <c r="J28" s="31"/>
      <c r="K28" s="31"/>
      <c r="L28" s="32"/>
      <c r="M28" s="32"/>
      <c r="N28" s="32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13.5" customHeight="1">
      <c r="A29" s="31"/>
      <c r="B29" s="73" t="s">
        <v>87</v>
      </c>
      <c r="C29" s="51" t="s">
        <v>101</v>
      </c>
      <c r="D29" s="51" t="s">
        <v>89</v>
      </c>
      <c r="E29" s="52" t="s">
        <v>90</v>
      </c>
      <c r="F29" s="52" t="s">
        <v>91</v>
      </c>
      <c r="G29" s="52" t="s">
        <v>92</v>
      </c>
      <c r="H29" s="53" t="s">
        <v>93</v>
      </c>
      <c r="I29" s="54" t="s">
        <v>108</v>
      </c>
      <c r="J29" s="55" t="s">
        <v>94</v>
      </c>
      <c r="K29" s="50" t="s">
        <v>95</v>
      </c>
      <c r="L29" s="56" t="s">
        <v>6</v>
      </c>
      <c r="M29" s="57" t="s">
        <v>58</v>
      </c>
      <c r="N29" s="58" t="s">
        <v>13</v>
      </c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13.5" customHeight="1">
      <c r="A30" s="31"/>
      <c r="B30" s="74">
        <v>1</v>
      </c>
      <c r="C30" s="60" t="s">
        <v>97</v>
      </c>
      <c r="D30" s="43">
        <v>2</v>
      </c>
      <c r="E30" s="43">
        <v>26900</v>
      </c>
      <c r="F30" s="40"/>
      <c r="G30" s="40">
        <v>0</v>
      </c>
      <c r="H30" s="40">
        <v>0</v>
      </c>
      <c r="I30" s="40">
        <f t="shared" ref="I30:I33" si="10">D30*E30-H30</f>
        <v>53800</v>
      </c>
      <c r="J30" s="76">
        <v>0</v>
      </c>
      <c r="K30" s="77">
        <f t="shared" ref="K30:K33" si="11">I30*J30%</f>
        <v>0</v>
      </c>
      <c r="L30" s="61">
        <f t="shared" ref="L30:L34" si="12">I30-K30</f>
        <v>53800</v>
      </c>
      <c r="M30" s="297" t="s">
        <v>60</v>
      </c>
      <c r="N30" s="78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3.5" customHeight="1">
      <c r="A31" s="31"/>
      <c r="B31" s="84">
        <v>2</v>
      </c>
      <c r="C31" s="64" t="s">
        <v>115</v>
      </c>
      <c r="D31" s="85">
        <v>1</v>
      </c>
      <c r="E31" s="85">
        <v>20400</v>
      </c>
      <c r="F31" s="40"/>
      <c r="G31" s="40">
        <v>0</v>
      </c>
      <c r="H31" s="40">
        <f>100*D31</f>
        <v>100</v>
      </c>
      <c r="I31" s="40">
        <f t="shared" si="10"/>
        <v>20300</v>
      </c>
      <c r="J31" s="76">
        <v>0</v>
      </c>
      <c r="K31" s="77">
        <f t="shared" si="11"/>
        <v>0</v>
      </c>
      <c r="L31" s="61">
        <f t="shared" si="12"/>
        <v>20300</v>
      </c>
      <c r="M31" s="286"/>
      <c r="N31" s="93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3.5" customHeight="1">
      <c r="A32" s="31"/>
      <c r="B32" s="84">
        <v>3</v>
      </c>
      <c r="C32" s="64" t="s">
        <v>96</v>
      </c>
      <c r="D32" s="85">
        <v>6</v>
      </c>
      <c r="E32" s="85">
        <v>6800</v>
      </c>
      <c r="F32" s="40"/>
      <c r="G32" s="40">
        <v>0</v>
      </c>
      <c r="H32" s="40">
        <v>0</v>
      </c>
      <c r="I32" s="40">
        <f t="shared" si="10"/>
        <v>40800</v>
      </c>
      <c r="J32" s="76">
        <v>0</v>
      </c>
      <c r="K32" s="77">
        <f t="shared" si="11"/>
        <v>0</v>
      </c>
      <c r="L32" s="61">
        <f t="shared" si="12"/>
        <v>40800</v>
      </c>
      <c r="M32" s="286"/>
      <c r="N32" s="93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3.5" customHeight="1">
      <c r="A33" s="31"/>
      <c r="B33" s="84">
        <v>4</v>
      </c>
      <c r="C33" s="64" t="s">
        <v>99</v>
      </c>
      <c r="D33" s="85">
        <v>2</v>
      </c>
      <c r="E33" s="85">
        <v>34000</v>
      </c>
      <c r="F33" s="40"/>
      <c r="G33" s="40">
        <v>0</v>
      </c>
      <c r="H33" s="40">
        <f>200*D33</f>
        <v>400</v>
      </c>
      <c r="I33" s="40">
        <f t="shared" si="10"/>
        <v>67600</v>
      </c>
      <c r="J33" s="76">
        <v>0</v>
      </c>
      <c r="K33" s="77">
        <f t="shared" si="11"/>
        <v>0</v>
      </c>
      <c r="L33" s="61">
        <f t="shared" si="12"/>
        <v>67600</v>
      </c>
      <c r="M33" s="281"/>
      <c r="N33" s="93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3.5" customHeight="1">
      <c r="A34" s="31"/>
      <c r="B34" s="79"/>
      <c r="C34" s="80" t="s">
        <v>59</v>
      </c>
      <c r="D34" s="89">
        <f>SUM(D30:D33)</f>
        <v>11</v>
      </c>
      <c r="E34" s="89">
        <f>E30*D30+E31*D31+E32*D32+E33*D33</f>
        <v>183000</v>
      </c>
      <c r="F34" s="40">
        <v>30000</v>
      </c>
      <c r="G34" s="89">
        <f t="shared" ref="G34:H34" si="13">SUM(G30:G33)</f>
        <v>0</v>
      </c>
      <c r="H34" s="89">
        <f t="shared" si="13"/>
        <v>500</v>
      </c>
      <c r="I34" s="90">
        <f>E34+F34-H34</f>
        <v>212500</v>
      </c>
      <c r="J34" s="89"/>
      <c r="K34" s="89">
        <v>10837</v>
      </c>
      <c r="L34" s="94">
        <f t="shared" si="12"/>
        <v>201663</v>
      </c>
      <c r="M34" s="95"/>
      <c r="N34" s="96" t="s">
        <v>116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3.5" customHeight="1">
      <c r="A35" s="31"/>
      <c r="B35" s="32"/>
      <c r="C35" s="31"/>
      <c r="D35" s="31"/>
      <c r="E35" s="31"/>
      <c r="F35" s="31"/>
      <c r="G35" s="31"/>
      <c r="H35" s="31"/>
      <c r="I35" s="33"/>
      <c r="J35" s="31"/>
      <c r="K35" s="31"/>
      <c r="L35" s="32"/>
      <c r="M35" s="32"/>
      <c r="N35" s="32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3.5" customHeight="1">
      <c r="A36" s="31"/>
      <c r="B36" s="32"/>
      <c r="C36" s="31"/>
      <c r="D36" s="31"/>
      <c r="E36" s="31"/>
      <c r="F36" s="31"/>
      <c r="G36" s="31"/>
      <c r="H36" s="31"/>
      <c r="I36" s="33"/>
      <c r="J36" s="31"/>
      <c r="K36" s="31"/>
      <c r="L36" s="32"/>
      <c r="M36" s="32"/>
      <c r="N36" s="32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3.5" customHeight="1">
      <c r="A37" s="31"/>
      <c r="B37" s="47" t="s">
        <v>117</v>
      </c>
      <c r="C37" s="72" t="s">
        <v>114</v>
      </c>
      <c r="D37" s="31"/>
      <c r="E37" s="31"/>
      <c r="F37" s="31"/>
      <c r="G37" s="31"/>
      <c r="H37" s="31"/>
      <c r="I37" s="33"/>
      <c r="J37" s="31"/>
      <c r="K37" s="31"/>
      <c r="L37" s="32"/>
      <c r="M37" s="32"/>
      <c r="N37" s="35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ht="13.5" customHeight="1">
      <c r="A38" s="31"/>
      <c r="B38" s="73" t="s">
        <v>87</v>
      </c>
      <c r="C38" s="51" t="s">
        <v>101</v>
      </c>
      <c r="D38" s="51" t="s">
        <v>89</v>
      </c>
      <c r="E38" s="52" t="s">
        <v>90</v>
      </c>
      <c r="F38" s="52" t="s">
        <v>91</v>
      </c>
      <c r="G38" s="52" t="s">
        <v>92</v>
      </c>
      <c r="H38" s="53" t="s">
        <v>93</v>
      </c>
      <c r="I38" s="54" t="s">
        <v>108</v>
      </c>
      <c r="J38" s="55" t="s">
        <v>94</v>
      </c>
      <c r="K38" s="50" t="s">
        <v>95</v>
      </c>
      <c r="L38" s="56" t="s">
        <v>6</v>
      </c>
      <c r="M38" s="57" t="s">
        <v>58</v>
      </c>
      <c r="N38" s="58" t="s">
        <v>13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3.5" customHeight="1">
      <c r="A39" s="31"/>
      <c r="B39" s="63">
        <v>1</v>
      </c>
      <c r="C39" s="39" t="s">
        <v>118</v>
      </c>
      <c r="D39" s="40">
        <v>22</v>
      </c>
      <c r="E39" s="40">
        <v>6800</v>
      </c>
      <c r="F39" s="40"/>
      <c r="G39" s="40">
        <v>0</v>
      </c>
      <c r="H39" s="40">
        <f>D39*E39*G39%</f>
        <v>0</v>
      </c>
      <c r="I39" s="40">
        <f>D39*E39-H39</f>
        <v>149600</v>
      </c>
      <c r="J39" s="40">
        <v>35</v>
      </c>
      <c r="K39" s="40">
        <f>I39*J39%</f>
        <v>52360</v>
      </c>
      <c r="L39" s="61">
        <f>I39-K39</f>
        <v>97240</v>
      </c>
      <c r="M39" s="97" t="s">
        <v>60</v>
      </c>
      <c r="N39" s="83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3.5" customHeight="1">
      <c r="A40" s="31"/>
      <c r="B40" s="98"/>
      <c r="C40" s="80" t="s">
        <v>59</v>
      </c>
      <c r="D40" s="89">
        <f>SUM(D36:D39)</f>
        <v>22</v>
      </c>
      <c r="E40" s="89">
        <f>E39*D39</f>
        <v>149600</v>
      </c>
      <c r="F40" s="89" t="s">
        <v>112</v>
      </c>
      <c r="G40" s="89">
        <f t="shared" ref="G40:I40" si="14">SUM(G36:G39)</f>
        <v>0</v>
      </c>
      <c r="H40" s="89">
        <f t="shared" si="14"/>
        <v>0</v>
      </c>
      <c r="I40" s="89">
        <f t="shared" si="14"/>
        <v>149600</v>
      </c>
      <c r="J40" s="89"/>
      <c r="K40" s="89">
        <f t="shared" ref="K40:L40" si="15">SUM(K36:K39)</f>
        <v>52360</v>
      </c>
      <c r="L40" s="99">
        <f t="shared" si="15"/>
        <v>97240</v>
      </c>
      <c r="M40" s="95"/>
      <c r="N40" s="100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3.5" customHeight="1">
      <c r="A41" s="31"/>
      <c r="B41" s="32"/>
      <c r="C41" s="31"/>
      <c r="D41" s="31"/>
      <c r="E41" s="31"/>
      <c r="F41" s="31"/>
      <c r="G41" s="31"/>
      <c r="H41" s="31"/>
      <c r="I41" s="33"/>
      <c r="J41" s="31"/>
      <c r="K41" s="31"/>
      <c r="L41" s="32"/>
      <c r="M41" s="32"/>
      <c r="N41" s="32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3.5" customHeight="1">
      <c r="A42" s="31"/>
      <c r="B42" s="32"/>
      <c r="C42" s="31"/>
      <c r="D42" s="31"/>
      <c r="E42" s="31"/>
      <c r="F42" s="31"/>
      <c r="G42" s="31"/>
      <c r="H42" s="31"/>
      <c r="I42" s="33"/>
      <c r="J42" s="31"/>
      <c r="K42" s="31"/>
      <c r="L42" s="32"/>
      <c r="M42" s="32"/>
      <c r="N42" s="32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3.5" customHeight="1">
      <c r="A43" s="31"/>
      <c r="B43" s="47" t="s">
        <v>119</v>
      </c>
      <c r="C43" s="72" t="s">
        <v>120</v>
      </c>
      <c r="D43" s="31"/>
      <c r="E43" s="31"/>
      <c r="F43" s="31"/>
      <c r="G43" s="31"/>
      <c r="H43" s="31"/>
      <c r="I43" s="33"/>
      <c r="J43" s="31"/>
      <c r="K43" s="31"/>
      <c r="L43" s="32"/>
      <c r="M43" s="32"/>
      <c r="N43" s="35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13.5" customHeight="1">
      <c r="A44" s="31"/>
      <c r="B44" s="73" t="s">
        <v>87</v>
      </c>
      <c r="C44" s="51" t="s">
        <v>101</v>
      </c>
      <c r="D44" s="51" t="s">
        <v>89</v>
      </c>
      <c r="E44" s="52" t="s">
        <v>90</v>
      </c>
      <c r="F44" s="52" t="s">
        <v>91</v>
      </c>
      <c r="G44" s="52" t="s">
        <v>92</v>
      </c>
      <c r="H44" s="53" t="s">
        <v>93</v>
      </c>
      <c r="I44" s="54" t="s">
        <v>108</v>
      </c>
      <c r="J44" s="55" t="s">
        <v>94</v>
      </c>
      <c r="K44" s="50" t="s">
        <v>95</v>
      </c>
      <c r="L44" s="56" t="s">
        <v>6</v>
      </c>
      <c r="M44" s="57" t="s">
        <v>58</v>
      </c>
      <c r="N44" s="58" t="s">
        <v>13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13.5" customHeight="1">
      <c r="A45" s="31"/>
      <c r="B45" s="59">
        <v>1</v>
      </c>
      <c r="C45" s="60" t="s">
        <v>121</v>
      </c>
      <c r="D45" s="40">
        <v>125</v>
      </c>
      <c r="E45" s="40">
        <v>6800</v>
      </c>
      <c r="F45" s="40"/>
      <c r="G45" s="40">
        <v>0</v>
      </c>
      <c r="H45" s="40">
        <f>D45*E45*G45%</f>
        <v>0</v>
      </c>
      <c r="I45" s="40">
        <f>D45*E45-H45</f>
        <v>850000</v>
      </c>
      <c r="J45" s="40">
        <v>35</v>
      </c>
      <c r="K45" s="40">
        <f>I45*J45%</f>
        <v>297500</v>
      </c>
      <c r="L45" s="61">
        <f>I45-K45</f>
        <v>552500</v>
      </c>
      <c r="M45" s="97" t="s">
        <v>74</v>
      </c>
      <c r="N45" s="83" t="s">
        <v>122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3.5" customHeight="1">
      <c r="A46" s="31"/>
      <c r="B46" s="101"/>
      <c r="C46" s="102" t="s">
        <v>59</v>
      </c>
      <c r="D46" s="89">
        <f>SUM(D42:D45)</f>
        <v>125</v>
      </c>
      <c r="E46" s="89">
        <f>E45*D45</f>
        <v>850000</v>
      </c>
      <c r="F46" s="89" t="s">
        <v>112</v>
      </c>
      <c r="G46" s="89">
        <f t="shared" ref="G46:I46" si="16">SUM(G42:G45)</f>
        <v>0</v>
      </c>
      <c r="H46" s="89">
        <f t="shared" si="16"/>
        <v>0</v>
      </c>
      <c r="I46" s="89">
        <f t="shared" si="16"/>
        <v>850000</v>
      </c>
      <c r="J46" s="89"/>
      <c r="K46" s="89">
        <f t="shared" ref="K46:L46" si="17">SUM(K42:K45)</f>
        <v>297500</v>
      </c>
      <c r="L46" s="99">
        <f t="shared" si="17"/>
        <v>552500</v>
      </c>
      <c r="M46" s="95"/>
      <c r="N46" s="1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3.5" customHeight="1">
      <c r="A47" s="31"/>
      <c r="B47" s="32"/>
      <c r="C47" s="31"/>
      <c r="D47" s="31"/>
      <c r="E47" s="31"/>
      <c r="F47" s="31"/>
      <c r="G47" s="31"/>
      <c r="H47" s="31"/>
      <c r="I47" s="33"/>
      <c r="J47" s="31"/>
      <c r="K47" s="31"/>
      <c r="L47" s="32"/>
      <c r="M47" s="32"/>
      <c r="N47" s="32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3.5" customHeight="1">
      <c r="A48" s="31"/>
      <c r="B48" s="32"/>
      <c r="C48" s="31"/>
      <c r="D48" s="31"/>
      <c r="E48" s="31"/>
      <c r="F48" s="31"/>
      <c r="G48" s="31"/>
      <c r="H48" s="31"/>
      <c r="I48" s="33"/>
      <c r="J48" s="31"/>
      <c r="K48" s="31"/>
      <c r="L48" s="32"/>
      <c r="M48" s="32"/>
      <c r="N48" s="32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ht="13.5" customHeight="1">
      <c r="A49" s="31"/>
      <c r="B49" s="47" t="s">
        <v>75</v>
      </c>
      <c r="C49" s="72" t="s">
        <v>120</v>
      </c>
      <c r="D49" s="31"/>
      <c r="E49" s="31"/>
      <c r="F49" s="31"/>
      <c r="G49" s="31"/>
      <c r="H49" s="31"/>
      <c r="I49" s="33"/>
      <c r="J49" s="31"/>
      <c r="K49" s="31"/>
      <c r="L49" s="32"/>
      <c r="M49" s="32"/>
      <c r="N49" s="32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3.5" customHeight="1">
      <c r="A50" s="31"/>
      <c r="B50" s="73" t="s">
        <v>87</v>
      </c>
      <c r="C50" s="51" t="s">
        <v>101</v>
      </c>
      <c r="D50" s="51" t="s">
        <v>89</v>
      </c>
      <c r="E50" s="52" t="s">
        <v>90</v>
      </c>
      <c r="F50" s="52" t="s">
        <v>91</v>
      </c>
      <c r="G50" s="52" t="s">
        <v>92</v>
      </c>
      <c r="H50" s="53" t="s">
        <v>93</v>
      </c>
      <c r="I50" s="54" t="s">
        <v>108</v>
      </c>
      <c r="J50" s="55" t="s">
        <v>94</v>
      </c>
      <c r="K50" s="50" t="s">
        <v>95</v>
      </c>
      <c r="L50" s="56" t="s">
        <v>6</v>
      </c>
      <c r="M50" s="57" t="s">
        <v>58</v>
      </c>
      <c r="N50" s="58" t="s">
        <v>13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3.5" customHeight="1">
      <c r="A51" s="31"/>
      <c r="B51" s="63">
        <v>1</v>
      </c>
      <c r="C51" s="39" t="s">
        <v>123</v>
      </c>
      <c r="D51" s="40">
        <v>0</v>
      </c>
      <c r="E51" s="40">
        <v>0</v>
      </c>
      <c r="F51" s="40"/>
      <c r="G51" s="40">
        <v>0</v>
      </c>
      <c r="H51" s="40">
        <f>D51*E51*G51%</f>
        <v>0</v>
      </c>
      <c r="I51" s="40">
        <f>D51*E51-H51</f>
        <v>0</v>
      </c>
      <c r="J51" s="40">
        <v>0</v>
      </c>
      <c r="K51" s="40">
        <f>I51*J51%</f>
        <v>0</v>
      </c>
      <c r="L51" s="61">
        <f>I51-K51</f>
        <v>0</v>
      </c>
      <c r="M51" s="97" t="s">
        <v>60</v>
      </c>
      <c r="N51" s="83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ht="13.5" customHeight="1">
      <c r="A52" s="31"/>
      <c r="B52" s="98"/>
      <c r="C52" s="80" t="s">
        <v>59</v>
      </c>
      <c r="D52" s="89">
        <f t="shared" ref="D52:E52" si="18">SUM(D48:D51)</f>
        <v>0</v>
      </c>
      <c r="E52" s="89">
        <f t="shared" si="18"/>
        <v>0</v>
      </c>
      <c r="F52" s="89" t="s">
        <v>112</v>
      </c>
      <c r="G52" s="89">
        <f t="shared" ref="G52:I52" si="19">SUM(G48:G51)</f>
        <v>0</v>
      </c>
      <c r="H52" s="89">
        <f t="shared" si="19"/>
        <v>0</v>
      </c>
      <c r="I52" s="89">
        <f t="shared" si="19"/>
        <v>0</v>
      </c>
      <c r="J52" s="89"/>
      <c r="K52" s="89">
        <f t="shared" ref="K52:L52" si="20">SUM(K48:K51)</f>
        <v>0</v>
      </c>
      <c r="L52" s="99">
        <f t="shared" si="20"/>
        <v>0</v>
      </c>
      <c r="M52" s="95"/>
      <c r="N52" s="100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ht="13.5" customHeight="1">
      <c r="A53" s="31"/>
      <c r="B53" s="32"/>
      <c r="C53" s="31"/>
      <c r="D53" s="31"/>
      <c r="E53" s="31"/>
      <c r="F53" s="31"/>
      <c r="G53" s="31"/>
      <c r="H53" s="31"/>
      <c r="I53" s="33"/>
      <c r="J53" s="31"/>
      <c r="K53" s="31"/>
      <c r="L53" s="32"/>
      <c r="M53" s="32"/>
      <c r="N53" s="32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ht="13.5" customHeight="1">
      <c r="A54" s="31"/>
      <c r="B54" s="32"/>
      <c r="C54" s="31"/>
      <c r="D54" s="31"/>
      <c r="E54" s="31"/>
      <c r="F54" s="31"/>
      <c r="G54" s="31"/>
      <c r="H54" s="31"/>
      <c r="I54" s="33"/>
      <c r="J54" s="31"/>
      <c r="K54" s="31"/>
      <c r="L54" s="32"/>
      <c r="M54" s="32"/>
      <c r="N54" s="32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ht="13.5" customHeight="1">
      <c r="A55" s="31"/>
      <c r="B55" s="32"/>
      <c r="C55" s="31"/>
      <c r="D55" s="31"/>
      <c r="E55" s="31"/>
      <c r="F55" s="31"/>
      <c r="G55" s="31"/>
      <c r="H55" s="31"/>
      <c r="I55" s="33"/>
      <c r="J55" s="31"/>
      <c r="K55" s="31"/>
      <c r="L55" s="32"/>
      <c r="M55" s="32"/>
      <c r="N55" s="32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ht="13.5" customHeight="1">
      <c r="A56" s="31"/>
      <c r="B56" s="32"/>
      <c r="C56" s="31"/>
      <c r="D56" s="31"/>
      <c r="E56" s="31"/>
      <c r="F56" s="31"/>
      <c r="G56" s="31"/>
      <c r="H56" s="31"/>
      <c r="I56" s="33"/>
      <c r="J56" s="31"/>
      <c r="K56" s="31"/>
      <c r="L56" s="32"/>
      <c r="M56" s="32"/>
      <c r="N56" s="32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ht="13.5" customHeight="1">
      <c r="A57" s="31"/>
      <c r="B57" s="32"/>
      <c r="C57" s="31"/>
      <c r="D57" s="31"/>
      <c r="E57" s="31"/>
      <c r="F57" s="31"/>
      <c r="G57" s="31"/>
      <c r="H57" s="31"/>
      <c r="I57" s="33"/>
      <c r="J57" s="31"/>
      <c r="K57" s="31"/>
      <c r="L57" s="103"/>
      <c r="M57" s="104" t="s">
        <v>124</v>
      </c>
      <c r="N57" s="45">
        <f>D10+D17+D25+D34+D40+D46+D52</f>
        <v>343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ht="13.5" customHeight="1">
      <c r="A58" s="31"/>
      <c r="B58" s="32"/>
      <c r="C58" s="31"/>
      <c r="D58" s="31"/>
      <c r="E58" s="31"/>
      <c r="F58" s="31"/>
      <c r="G58" s="31"/>
      <c r="H58" s="31"/>
      <c r="I58" s="33"/>
      <c r="J58" s="31"/>
      <c r="K58" s="31"/>
      <c r="L58" s="103"/>
      <c r="M58" s="104" t="s">
        <v>78</v>
      </c>
      <c r="N58" s="105">
        <f>E10+E17+E25+E34+E40+E46+E52</f>
        <v>2500900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ht="13.5" customHeight="1">
      <c r="A59" s="31"/>
      <c r="B59" s="32"/>
      <c r="C59" s="31"/>
      <c r="D59" s="31"/>
      <c r="E59" s="31"/>
      <c r="F59" s="31"/>
      <c r="G59" s="31"/>
      <c r="H59" s="31"/>
      <c r="I59" s="33"/>
      <c r="J59" s="31"/>
      <c r="K59" s="31"/>
      <c r="L59" s="103"/>
      <c r="M59" s="104" t="s">
        <v>125</v>
      </c>
      <c r="N59" s="105">
        <f>I10+I17+I25+I34+I40+I46+I52</f>
        <v>2494875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ht="13.5" customHeight="1">
      <c r="A60" s="31"/>
      <c r="B60" s="32"/>
      <c r="C60" s="31"/>
      <c r="D60" s="31"/>
      <c r="E60" s="31"/>
      <c r="F60" s="31"/>
      <c r="G60" s="31"/>
      <c r="H60" s="31"/>
      <c r="I60" s="33"/>
      <c r="J60" s="31"/>
      <c r="K60" s="31"/>
      <c r="L60" s="103"/>
      <c r="M60" s="104" t="s">
        <v>82</v>
      </c>
      <c r="N60" s="45">
        <f>K10+K17+K25+K34+K40+K46+K52</f>
        <v>833461.75</v>
      </c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ht="13.5" customHeight="1">
      <c r="A61" s="31"/>
      <c r="B61" s="32"/>
      <c r="C61" s="31"/>
      <c r="D61" s="31"/>
      <c r="E61" s="31"/>
      <c r="F61" s="31"/>
      <c r="G61" s="31"/>
      <c r="H61" s="31"/>
      <c r="I61" s="33"/>
      <c r="J61" s="31"/>
      <c r="K61" s="31"/>
      <c r="L61" s="106"/>
      <c r="M61" s="107" t="s">
        <v>6</v>
      </c>
      <c r="N61" s="76">
        <f>L10+L17+L25+L34+L40+L46+L52</f>
        <v>1661413.25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ht="13.5" customHeight="1">
      <c r="A62" s="31"/>
      <c r="B62" s="32"/>
      <c r="C62" s="31"/>
      <c r="D62" s="31"/>
      <c r="E62" s="31"/>
      <c r="F62" s="31"/>
      <c r="G62" s="31"/>
      <c r="H62" s="31"/>
      <c r="I62" s="33"/>
      <c r="J62" s="31"/>
      <c r="K62" s="31"/>
      <c r="L62" s="32"/>
      <c r="M62" s="32"/>
      <c r="N62" s="32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ht="13.5" customHeight="1">
      <c r="A63" s="31"/>
      <c r="B63" s="32"/>
      <c r="C63" s="31"/>
      <c r="D63" s="31"/>
      <c r="E63" s="31"/>
      <c r="F63" s="31"/>
      <c r="G63" s="31"/>
      <c r="H63" s="31"/>
      <c r="I63" s="33"/>
      <c r="J63" s="31"/>
      <c r="K63" s="31"/>
      <c r="L63" s="32"/>
      <c r="M63" s="32"/>
      <c r="N63" s="32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13.5" customHeight="1">
      <c r="A64" s="31"/>
      <c r="B64" s="32"/>
      <c r="C64" s="31"/>
      <c r="D64" s="31"/>
      <c r="E64" s="31"/>
      <c r="F64" s="31"/>
      <c r="G64" s="31"/>
      <c r="H64" s="31"/>
      <c r="I64" s="33"/>
      <c r="J64" s="31"/>
      <c r="K64" s="31"/>
      <c r="L64" s="32"/>
      <c r="M64" s="32"/>
      <c r="N64" s="32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ht="13.5" customHeight="1">
      <c r="A65" s="31"/>
      <c r="B65" s="32"/>
      <c r="C65" s="31"/>
      <c r="D65" s="31"/>
      <c r="E65" s="31"/>
      <c r="F65" s="31"/>
      <c r="G65" s="31"/>
      <c r="H65" s="31"/>
      <c r="I65" s="33"/>
      <c r="J65" s="31"/>
      <c r="K65" s="31"/>
      <c r="L65" s="32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ht="13.5" customHeight="1">
      <c r="A66" s="31"/>
      <c r="B66" s="32"/>
      <c r="C66" s="31"/>
      <c r="D66" s="31"/>
      <c r="E66" s="31"/>
      <c r="F66" s="31"/>
      <c r="G66" s="31"/>
      <c r="H66" s="31"/>
      <c r="I66" s="33"/>
      <c r="J66" s="31"/>
      <c r="K66" s="31"/>
      <c r="L66" s="32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ht="13.5" customHeight="1">
      <c r="A67" s="31"/>
      <c r="B67" s="32"/>
      <c r="C67" s="31"/>
      <c r="D67" s="31"/>
      <c r="E67" s="31"/>
      <c r="F67" s="31"/>
      <c r="G67" s="31"/>
      <c r="H67" s="31"/>
      <c r="I67" s="33"/>
      <c r="J67" s="31"/>
      <c r="K67" s="31"/>
      <c r="L67" s="32"/>
      <c r="M67" s="32"/>
      <c r="N67" s="32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ht="13.5" customHeight="1">
      <c r="A68" s="31"/>
      <c r="B68" s="32"/>
      <c r="C68" s="31"/>
      <c r="D68" s="31"/>
      <c r="E68" s="31"/>
      <c r="F68" s="31"/>
      <c r="G68" s="31"/>
      <c r="H68" s="31"/>
      <c r="I68" s="33"/>
      <c r="J68" s="31"/>
      <c r="K68" s="31"/>
      <c r="L68" s="32"/>
      <c r="M68" s="32"/>
      <c r="N68" s="32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ht="13.5" customHeight="1">
      <c r="A69" s="31"/>
      <c r="B69" s="32"/>
      <c r="C69" s="31"/>
      <c r="D69" s="31"/>
      <c r="E69" s="31"/>
      <c r="F69" s="31"/>
      <c r="G69" s="31"/>
      <c r="H69" s="31"/>
      <c r="I69" s="33"/>
      <c r="J69" s="31"/>
      <c r="K69" s="31"/>
      <c r="L69" s="32"/>
      <c r="M69" s="32"/>
      <c r="N69" s="32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ht="13.5" customHeight="1">
      <c r="A70" s="31"/>
      <c r="B70" s="32"/>
      <c r="C70" s="31"/>
      <c r="D70" s="31"/>
      <c r="E70" s="31"/>
      <c r="F70" s="31"/>
      <c r="G70" s="31"/>
      <c r="H70" s="31"/>
      <c r="I70" s="33"/>
      <c r="J70" s="31"/>
      <c r="K70" s="31"/>
      <c r="L70" s="32"/>
      <c r="M70" s="32"/>
      <c r="N70" s="32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ht="13.5" customHeight="1">
      <c r="A71" s="31"/>
      <c r="B71" s="32"/>
      <c r="C71" s="31"/>
      <c r="D71" s="31"/>
      <c r="E71" s="31"/>
      <c r="F71" s="31"/>
      <c r="G71" s="31"/>
      <c r="H71" s="31"/>
      <c r="I71" s="33"/>
      <c r="J71" s="31"/>
      <c r="K71" s="31"/>
      <c r="L71" s="32"/>
      <c r="M71" s="32"/>
      <c r="N71" s="32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ht="13.5" customHeight="1">
      <c r="A72" s="31"/>
      <c r="B72" s="32"/>
      <c r="C72" s="31"/>
      <c r="D72" s="31"/>
      <c r="E72" s="31"/>
      <c r="F72" s="31"/>
      <c r="G72" s="31"/>
      <c r="H72" s="31"/>
      <c r="I72" s="33"/>
      <c r="J72" s="31"/>
      <c r="K72" s="31"/>
      <c r="L72" s="32"/>
      <c r="M72" s="32"/>
      <c r="N72" s="32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ht="13.5" customHeight="1">
      <c r="A73" s="31"/>
      <c r="B73" s="32"/>
      <c r="C73" s="31"/>
      <c r="D73" s="31"/>
      <c r="E73" s="31"/>
      <c r="F73" s="31"/>
      <c r="G73" s="31"/>
      <c r="H73" s="31"/>
      <c r="I73" s="33"/>
      <c r="J73" s="31"/>
      <c r="K73" s="31"/>
      <c r="L73" s="32"/>
      <c r="M73" s="32"/>
      <c r="N73" s="32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ht="13.5" customHeight="1">
      <c r="A74" s="31"/>
      <c r="B74" s="32"/>
      <c r="C74" s="31"/>
      <c r="D74" s="31"/>
      <c r="E74" s="31"/>
      <c r="F74" s="31"/>
      <c r="G74" s="31"/>
      <c r="H74" s="31"/>
      <c r="I74" s="33"/>
      <c r="J74" s="31"/>
      <c r="K74" s="31"/>
      <c r="L74" s="32"/>
      <c r="M74" s="32"/>
      <c r="N74" s="32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ht="13.5" customHeight="1">
      <c r="A75" s="31"/>
      <c r="B75" s="32"/>
      <c r="C75" s="31"/>
      <c r="D75" s="31"/>
      <c r="E75" s="31"/>
      <c r="F75" s="31"/>
      <c r="G75" s="31"/>
      <c r="H75" s="31"/>
      <c r="I75" s="33"/>
      <c r="J75" s="31"/>
      <c r="K75" s="31"/>
      <c r="L75" s="32"/>
      <c r="M75" s="32"/>
      <c r="N75" s="32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ht="13.5" customHeight="1">
      <c r="A76" s="31"/>
      <c r="B76" s="32"/>
      <c r="C76" s="31"/>
      <c r="D76" s="31"/>
      <c r="E76" s="31"/>
      <c r="F76" s="31"/>
      <c r="G76" s="31"/>
      <c r="H76" s="31"/>
      <c r="I76" s="33"/>
      <c r="J76" s="31"/>
      <c r="K76" s="31"/>
      <c r="L76" s="32"/>
      <c r="M76" s="32"/>
      <c r="N76" s="32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ht="13.5" customHeight="1">
      <c r="A77" s="31"/>
      <c r="B77" s="32"/>
      <c r="C77" s="31"/>
      <c r="D77" s="31"/>
      <c r="E77" s="31"/>
      <c r="F77" s="31"/>
      <c r="G77" s="31"/>
      <c r="H77" s="31"/>
      <c r="I77" s="33"/>
      <c r="J77" s="31"/>
      <c r="K77" s="31"/>
      <c r="L77" s="32"/>
      <c r="M77" s="32"/>
      <c r="N77" s="32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ht="13.5" customHeight="1">
      <c r="A78" s="31"/>
      <c r="B78" s="32"/>
      <c r="C78" s="31"/>
      <c r="D78" s="31"/>
      <c r="E78" s="31"/>
      <c r="F78" s="31"/>
      <c r="G78" s="31"/>
      <c r="H78" s="31"/>
      <c r="I78" s="33"/>
      <c r="J78" s="31"/>
      <c r="K78" s="31"/>
      <c r="L78" s="32"/>
      <c r="M78" s="32"/>
      <c r="N78" s="32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ht="13.5" customHeight="1">
      <c r="A79" s="31"/>
      <c r="B79" s="32"/>
      <c r="C79" s="31"/>
      <c r="D79" s="31"/>
      <c r="E79" s="31"/>
      <c r="F79" s="31"/>
      <c r="G79" s="31"/>
      <c r="H79" s="31"/>
      <c r="I79" s="33"/>
      <c r="J79" s="31"/>
      <c r="K79" s="31"/>
      <c r="L79" s="32"/>
      <c r="M79" s="32"/>
      <c r="N79" s="32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ht="13.5" customHeight="1">
      <c r="A80" s="31"/>
      <c r="B80" s="32"/>
      <c r="C80" s="31"/>
      <c r="D80" s="31"/>
      <c r="E80" s="31"/>
      <c r="F80" s="31"/>
      <c r="G80" s="31"/>
      <c r="H80" s="31"/>
      <c r="I80" s="33"/>
      <c r="J80" s="31"/>
      <c r="K80" s="31"/>
      <c r="L80" s="32"/>
      <c r="M80" s="32"/>
      <c r="N80" s="32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ht="13.5" customHeight="1">
      <c r="A81" s="31"/>
      <c r="B81" s="32"/>
      <c r="C81" s="31"/>
      <c r="D81" s="31"/>
      <c r="E81" s="31"/>
      <c r="F81" s="31"/>
      <c r="G81" s="31"/>
      <c r="H81" s="31"/>
      <c r="I81" s="33"/>
      <c r="J81" s="31"/>
      <c r="K81" s="31"/>
      <c r="L81" s="32"/>
      <c r="M81" s="32"/>
      <c r="N81" s="32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ht="13.5" customHeight="1">
      <c r="A82" s="31"/>
      <c r="B82" s="32"/>
      <c r="C82" s="31"/>
      <c r="D82" s="31"/>
      <c r="E82" s="31"/>
      <c r="F82" s="31"/>
      <c r="G82" s="31"/>
      <c r="H82" s="31"/>
      <c r="I82" s="33"/>
      <c r="J82" s="31"/>
      <c r="K82" s="31"/>
      <c r="L82" s="32"/>
      <c r="M82" s="32"/>
      <c r="N82" s="32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ht="13.5" customHeight="1">
      <c r="A83" s="31"/>
      <c r="B83" s="32"/>
      <c r="C83" s="31"/>
      <c r="D83" s="31"/>
      <c r="E83" s="31"/>
      <c r="F83" s="31"/>
      <c r="G83" s="31"/>
      <c r="H83" s="31"/>
      <c r="I83" s="33"/>
      <c r="J83" s="31"/>
      <c r="K83" s="31"/>
      <c r="L83" s="32"/>
      <c r="M83" s="32"/>
      <c r="N83" s="32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ht="13.5" customHeight="1">
      <c r="A84" s="31"/>
      <c r="B84" s="32"/>
      <c r="C84" s="31"/>
      <c r="D84" s="31"/>
      <c r="E84" s="31"/>
      <c r="F84" s="31"/>
      <c r="G84" s="31"/>
      <c r="H84" s="31"/>
      <c r="I84" s="33"/>
      <c r="J84" s="31"/>
      <c r="K84" s="31"/>
      <c r="L84" s="32"/>
      <c r="M84" s="32"/>
      <c r="N84" s="32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ht="13.5" customHeight="1">
      <c r="A85" s="31"/>
      <c r="B85" s="32"/>
      <c r="C85" s="31"/>
      <c r="D85" s="31"/>
      <c r="E85" s="31"/>
      <c r="F85" s="31"/>
      <c r="G85" s="31"/>
      <c r="H85" s="31"/>
      <c r="I85" s="33"/>
      <c r="J85" s="31"/>
      <c r="K85" s="31"/>
      <c r="L85" s="32"/>
      <c r="M85" s="32"/>
      <c r="N85" s="32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ht="13.5" customHeight="1">
      <c r="A86" s="31"/>
      <c r="B86" s="32"/>
      <c r="C86" s="31"/>
      <c r="D86" s="31"/>
      <c r="E86" s="31"/>
      <c r="F86" s="31"/>
      <c r="G86" s="31"/>
      <c r="H86" s="31"/>
      <c r="I86" s="33"/>
      <c r="J86" s="31"/>
      <c r="K86" s="31"/>
      <c r="L86" s="32"/>
      <c r="M86" s="32"/>
      <c r="N86" s="32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ht="13.5" customHeight="1">
      <c r="A87" s="31"/>
      <c r="B87" s="32"/>
      <c r="C87" s="31"/>
      <c r="D87" s="31"/>
      <c r="E87" s="31"/>
      <c r="F87" s="31"/>
      <c r="G87" s="31"/>
      <c r="H87" s="31"/>
      <c r="I87" s="33"/>
      <c r="J87" s="31"/>
      <c r="K87" s="31"/>
      <c r="L87" s="32"/>
      <c r="M87" s="32"/>
      <c r="N87" s="32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ht="13.5" customHeight="1">
      <c r="A88" s="31"/>
      <c r="B88" s="32"/>
      <c r="C88" s="31"/>
      <c r="D88" s="31"/>
      <c r="E88" s="31"/>
      <c r="F88" s="31"/>
      <c r="G88" s="31"/>
      <c r="H88" s="31"/>
      <c r="I88" s="33"/>
      <c r="J88" s="31"/>
      <c r="K88" s="31"/>
      <c r="L88" s="32"/>
      <c r="M88" s="32"/>
      <c r="N88" s="32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ht="13.5" customHeight="1">
      <c r="A89" s="31"/>
      <c r="B89" s="32"/>
      <c r="C89" s="31"/>
      <c r="D89" s="31"/>
      <c r="E89" s="31"/>
      <c r="F89" s="31"/>
      <c r="G89" s="31"/>
      <c r="H89" s="31"/>
      <c r="I89" s="33"/>
      <c r="J89" s="31"/>
      <c r="K89" s="31"/>
      <c r="L89" s="32"/>
      <c r="M89" s="32"/>
      <c r="N89" s="32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ht="13.5" customHeight="1">
      <c r="A90" s="31"/>
      <c r="B90" s="32"/>
      <c r="C90" s="31"/>
      <c r="D90" s="31"/>
      <c r="E90" s="31"/>
      <c r="F90" s="31"/>
      <c r="G90" s="31"/>
      <c r="H90" s="31"/>
      <c r="I90" s="33"/>
      <c r="J90" s="31"/>
      <c r="K90" s="31"/>
      <c r="L90" s="32"/>
      <c r="M90" s="32"/>
      <c r="N90" s="32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ht="13.5" customHeight="1">
      <c r="A91" s="31"/>
      <c r="B91" s="32"/>
      <c r="C91" s="31"/>
      <c r="D91" s="31"/>
      <c r="E91" s="31"/>
      <c r="F91" s="31"/>
      <c r="G91" s="31"/>
      <c r="H91" s="31"/>
      <c r="I91" s="33"/>
      <c r="J91" s="31"/>
      <c r="K91" s="31"/>
      <c r="L91" s="32"/>
      <c r="M91" s="32"/>
      <c r="N91" s="32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ht="13.5" customHeight="1">
      <c r="A92" s="31"/>
      <c r="B92" s="32"/>
      <c r="C92" s="31"/>
      <c r="D92" s="31"/>
      <c r="E92" s="31"/>
      <c r="F92" s="31"/>
      <c r="G92" s="31"/>
      <c r="H92" s="31"/>
      <c r="I92" s="33"/>
      <c r="J92" s="31"/>
      <c r="K92" s="31"/>
      <c r="L92" s="32"/>
      <c r="M92" s="32"/>
      <c r="N92" s="32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ht="13.5" customHeight="1">
      <c r="A93" s="31"/>
      <c r="B93" s="32"/>
      <c r="C93" s="31"/>
      <c r="D93" s="31"/>
      <c r="E93" s="31"/>
      <c r="F93" s="31"/>
      <c r="G93" s="31"/>
      <c r="H93" s="31"/>
      <c r="I93" s="33"/>
      <c r="J93" s="31"/>
      <c r="K93" s="31"/>
      <c r="L93" s="32"/>
      <c r="M93" s="32"/>
      <c r="N93" s="32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ht="13.5" customHeight="1">
      <c r="A94" s="31"/>
      <c r="B94" s="32"/>
      <c r="C94" s="31"/>
      <c r="D94" s="31"/>
      <c r="E94" s="31"/>
      <c r="F94" s="31"/>
      <c r="G94" s="31"/>
      <c r="H94" s="31"/>
      <c r="I94" s="33"/>
      <c r="J94" s="31"/>
      <c r="K94" s="31"/>
      <c r="L94" s="32"/>
      <c r="M94" s="32"/>
      <c r="N94" s="32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ht="13.5" customHeight="1">
      <c r="A95" s="31"/>
      <c r="B95" s="32"/>
      <c r="C95" s="31"/>
      <c r="D95" s="31"/>
      <c r="E95" s="31"/>
      <c r="F95" s="31"/>
      <c r="G95" s="31"/>
      <c r="H95" s="31"/>
      <c r="I95" s="33"/>
      <c r="J95" s="31"/>
      <c r="K95" s="31"/>
      <c r="L95" s="32"/>
      <c r="M95" s="32"/>
      <c r="N95" s="32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ht="13.5" customHeight="1">
      <c r="A96" s="31"/>
      <c r="B96" s="32"/>
      <c r="C96" s="31"/>
      <c r="D96" s="31"/>
      <c r="E96" s="31"/>
      <c r="F96" s="31"/>
      <c r="G96" s="31"/>
      <c r="H96" s="31"/>
      <c r="I96" s="33"/>
      <c r="J96" s="31"/>
      <c r="K96" s="31"/>
      <c r="L96" s="32"/>
      <c r="M96" s="32"/>
      <c r="N96" s="32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1:27" ht="13.5" customHeight="1">
      <c r="A97" s="31"/>
      <c r="B97" s="32"/>
      <c r="C97" s="31"/>
      <c r="D97" s="31"/>
      <c r="E97" s="31"/>
      <c r="F97" s="31"/>
      <c r="G97" s="31"/>
      <c r="H97" s="31"/>
      <c r="I97" s="33"/>
      <c r="J97" s="31"/>
      <c r="K97" s="31"/>
      <c r="L97" s="32"/>
      <c r="M97" s="32"/>
      <c r="N97" s="32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ht="13.5" customHeight="1">
      <c r="A98" s="31"/>
      <c r="B98" s="32"/>
      <c r="C98" s="31"/>
      <c r="D98" s="31"/>
      <c r="E98" s="31"/>
      <c r="F98" s="31"/>
      <c r="G98" s="31"/>
      <c r="H98" s="31"/>
      <c r="I98" s="33"/>
      <c r="J98" s="31"/>
      <c r="K98" s="31"/>
      <c r="L98" s="32"/>
      <c r="M98" s="32"/>
      <c r="N98" s="32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ht="13.5" customHeight="1">
      <c r="A99" s="31"/>
      <c r="B99" s="32"/>
      <c r="C99" s="31"/>
      <c r="D99" s="31"/>
      <c r="E99" s="31"/>
      <c r="F99" s="31"/>
      <c r="G99" s="31"/>
      <c r="H99" s="31"/>
      <c r="I99" s="33"/>
      <c r="J99" s="31"/>
      <c r="K99" s="31"/>
      <c r="L99" s="32"/>
      <c r="M99" s="32"/>
      <c r="N99" s="32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ht="13.5" customHeight="1">
      <c r="A100" s="31"/>
      <c r="B100" s="32"/>
      <c r="C100" s="31"/>
      <c r="D100" s="31"/>
      <c r="E100" s="31"/>
      <c r="F100" s="31"/>
      <c r="G100" s="31"/>
      <c r="H100" s="31"/>
      <c r="I100" s="33"/>
      <c r="J100" s="31"/>
      <c r="K100" s="31"/>
      <c r="L100" s="32"/>
      <c r="M100" s="32"/>
      <c r="N100" s="32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ht="13.5" customHeight="1">
      <c r="A101" s="31"/>
      <c r="B101" s="32"/>
      <c r="C101" s="31"/>
      <c r="D101" s="31"/>
      <c r="E101" s="31"/>
      <c r="F101" s="31"/>
      <c r="G101" s="31"/>
      <c r="H101" s="31"/>
      <c r="I101" s="33"/>
      <c r="J101" s="31"/>
      <c r="K101" s="31"/>
      <c r="L101" s="32"/>
      <c r="M101" s="32"/>
      <c r="N101" s="32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ht="13.5" customHeight="1">
      <c r="A102" s="31"/>
      <c r="B102" s="32"/>
      <c r="C102" s="31"/>
      <c r="D102" s="31"/>
      <c r="E102" s="31"/>
      <c r="F102" s="31"/>
      <c r="G102" s="31"/>
      <c r="H102" s="31"/>
      <c r="I102" s="33"/>
      <c r="J102" s="31"/>
      <c r="K102" s="31"/>
      <c r="L102" s="32"/>
      <c r="M102" s="32"/>
      <c r="N102" s="32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ht="13.5" customHeight="1">
      <c r="A103" s="31"/>
      <c r="B103" s="32"/>
      <c r="C103" s="31"/>
      <c r="D103" s="31"/>
      <c r="E103" s="31"/>
      <c r="F103" s="31"/>
      <c r="G103" s="31"/>
      <c r="H103" s="31"/>
      <c r="I103" s="33"/>
      <c r="J103" s="31"/>
      <c r="K103" s="31"/>
      <c r="L103" s="32"/>
      <c r="M103" s="32"/>
      <c r="N103" s="32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ht="13.5" customHeight="1">
      <c r="A104" s="31"/>
      <c r="B104" s="32"/>
      <c r="C104" s="31"/>
      <c r="D104" s="31"/>
      <c r="E104" s="31"/>
      <c r="F104" s="31"/>
      <c r="G104" s="31"/>
      <c r="H104" s="31"/>
      <c r="I104" s="33"/>
      <c r="J104" s="31"/>
      <c r="K104" s="31"/>
      <c r="L104" s="32"/>
      <c r="M104" s="32"/>
      <c r="N104" s="32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ht="13.5" customHeight="1">
      <c r="A105" s="31"/>
      <c r="B105" s="32"/>
      <c r="C105" s="31"/>
      <c r="D105" s="31"/>
      <c r="E105" s="31"/>
      <c r="F105" s="31"/>
      <c r="G105" s="31"/>
      <c r="H105" s="31"/>
      <c r="I105" s="33"/>
      <c r="J105" s="31"/>
      <c r="K105" s="31"/>
      <c r="L105" s="32"/>
      <c r="M105" s="32"/>
      <c r="N105" s="32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ht="13.5" customHeight="1">
      <c r="A106" s="31"/>
      <c r="B106" s="32"/>
      <c r="C106" s="31"/>
      <c r="D106" s="31"/>
      <c r="E106" s="31"/>
      <c r="F106" s="31"/>
      <c r="G106" s="31"/>
      <c r="H106" s="31"/>
      <c r="I106" s="33"/>
      <c r="J106" s="31"/>
      <c r="K106" s="31"/>
      <c r="L106" s="32"/>
      <c r="M106" s="32"/>
      <c r="N106" s="32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ht="13.5" customHeight="1">
      <c r="A107" s="31"/>
      <c r="B107" s="32"/>
      <c r="C107" s="31"/>
      <c r="D107" s="31"/>
      <c r="E107" s="31"/>
      <c r="F107" s="31"/>
      <c r="G107" s="31"/>
      <c r="H107" s="31"/>
      <c r="I107" s="33"/>
      <c r="J107" s="31"/>
      <c r="K107" s="31"/>
      <c r="L107" s="32"/>
      <c r="M107" s="32"/>
      <c r="N107" s="32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ht="13.5" customHeight="1">
      <c r="A108" s="31"/>
      <c r="B108" s="32"/>
      <c r="C108" s="31"/>
      <c r="D108" s="31"/>
      <c r="E108" s="31"/>
      <c r="F108" s="31"/>
      <c r="G108" s="31"/>
      <c r="H108" s="31"/>
      <c r="I108" s="33"/>
      <c r="J108" s="31"/>
      <c r="K108" s="31"/>
      <c r="L108" s="32"/>
      <c r="M108" s="32"/>
      <c r="N108" s="32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ht="13.5" customHeight="1">
      <c r="A109" s="31"/>
      <c r="B109" s="32"/>
      <c r="C109" s="31"/>
      <c r="D109" s="31"/>
      <c r="E109" s="31"/>
      <c r="F109" s="31"/>
      <c r="G109" s="31"/>
      <c r="H109" s="31"/>
      <c r="I109" s="33"/>
      <c r="J109" s="31"/>
      <c r="K109" s="31"/>
      <c r="L109" s="32"/>
      <c r="M109" s="32"/>
      <c r="N109" s="32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ht="13.5" customHeight="1">
      <c r="A110" s="31"/>
      <c r="B110" s="32"/>
      <c r="C110" s="31"/>
      <c r="D110" s="31"/>
      <c r="E110" s="31"/>
      <c r="F110" s="31"/>
      <c r="G110" s="31"/>
      <c r="H110" s="31"/>
      <c r="I110" s="33"/>
      <c r="J110" s="31"/>
      <c r="K110" s="31"/>
      <c r="L110" s="32"/>
      <c r="M110" s="32"/>
      <c r="N110" s="32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ht="13.5" customHeight="1">
      <c r="A111" s="31"/>
      <c r="B111" s="32"/>
      <c r="C111" s="31"/>
      <c r="D111" s="31"/>
      <c r="E111" s="31"/>
      <c r="F111" s="31"/>
      <c r="G111" s="31"/>
      <c r="H111" s="31"/>
      <c r="I111" s="33"/>
      <c r="J111" s="31"/>
      <c r="K111" s="31"/>
      <c r="L111" s="32"/>
      <c r="M111" s="32"/>
      <c r="N111" s="32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ht="13.5" customHeight="1">
      <c r="A112" s="31"/>
      <c r="B112" s="32"/>
      <c r="C112" s="31"/>
      <c r="D112" s="31"/>
      <c r="E112" s="31"/>
      <c r="F112" s="31"/>
      <c r="G112" s="31"/>
      <c r="H112" s="31"/>
      <c r="I112" s="33"/>
      <c r="J112" s="31"/>
      <c r="K112" s="31"/>
      <c r="L112" s="32"/>
      <c r="M112" s="32"/>
      <c r="N112" s="32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ht="13.5" customHeight="1">
      <c r="A113" s="31"/>
      <c r="B113" s="32"/>
      <c r="C113" s="31"/>
      <c r="D113" s="31"/>
      <c r="E113" s="31"/>
      <c r="F113" s="31"/>
      <c r="G113" s="31"/>
      <c r="H113" s="31"/>
      <c r="I113" s="33"/>
      <c r="J113" s="31"/>
      <c r="K113" s="31"/>
      <c r="L113" s="32"/>
      <c r="M113" s="32"/>
      <c r="N113" s="32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ht="13.5" customHeight="1">
      <c r="A114" s="31"/>
      <c r="B114" s="32"/>
      <c r="C114" s="31"/>
      <c r="D114" s="31"/>
      <c r="E114" s="31"/>
      <c r="F114" s="31"/>
      <c r="G114" s="31"/>
      <c r="H114" s="31"/>
      <c r="I114" s="33"/>
      <c r="J114" s="31"/>
      <c r="K114" s="31"/>
      <c r="L114" s="32"/>
      <c r="M114" s="32"/>
      <c r="N114" s="32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ht="13.5" customHeight="1">
      <c r="A115" s="31"/>
      <c r="B115" s="32"/>
      <c r="C115" s="31"/>
      <c r="D115" s="31"/>
      <c r="E115" s="31"/>
      <c r="F115" s="31"/>
      <c r="G115" s="31"/>
      <c r="H115" s="31"/>
      <c r="I115" s="33"/>
      <c r="J115" s="31"/>
      <c r="K115" s="31"/>
      <c r="L115" s="32"/>
      <c r="M115" s="32"/>
      <c r="N115" s="32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ht="13.5" customHeight="1">
      <c r="A116" s="31"/>
      <c r="B116" s="32"/>
      <c r="C116" s="31"/>
      <c r="D116" s="31"/>
      <c r="E116" s="31"/>
      <c r="F116" s="31"/>
      <c r="G116" s="31"/>
      <c r="H116" s="31"/>
      <c r="I116" s="33"/>
      <c r="J116" s="31"/>
      <c r="K116" s="31"/>
      <c r="L116" s="32"/>
      <c r="M116" s="32"/>
      <c r="N116" s="32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ht="13.5" customHeight="1">
      <c r="A117" s="31"/>
      <c r="B117" s="32"/>
      <c r="C117" s="31"/>
      <c r="D117" s="31"/>
      <c r="E117" s="31"/>
      <c r="F117" s="31"/>
      <c r="G117" s="31"/>
      <c r="H117" s="31"/>
      <c r="I117" s="33"/>
      <c r="J117" s="31"/>
      <c r="K117" s="31"/>
      <c r="L117" s="32"/>
      <c r="M117" s="32"/>
      <c r="N117" s="32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ht="13.5" customHeight="1">
      <c r="A118" s="31"/>
      <c r="B118" s="32"/>
      <c r="C118" s="31"/>
      <c r="D118" s="31"/>
      <c r="E118" s="31"/>
      <c r="F118" s="31"/>
      <c r="G118" s="31"/>
      <c r="H118" s="31"/>
      <c r="I118" s="33"/>
      <c r="J118" s="31"/>
      <c r="K118" s="31"/>
      <c r="L118" s="32"/>
      <c r="M118" s="32"/>
      <c r="N118" s="32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ht="13.5" customHeight="1">
      <c r="A119" s="31"/>
      <c r="B119" s="32"/>
      <c r="C119" s="31"/>
      <c r="D119" s="31"/>
      <c r="E119" s="31"/>
      <c r="F119" s="31"/>
      <c r="G119" s="31"/>
      <c r="H119" s="31"/>
      <c r="I119" s="33"/>
      <c r="J119" s="31"/>
      <c r="K119" s="31"/>
      <c r="L119" s="32"/>
      <c r="M119" s="32"/>
      <c r="N119" s="32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ht="13.5" customHeight="1">
      <c r="A120" s="31"/>
      <c r="B120" s="32"/>
      <c r="C120" s="31"/>
      <c r="D120" s="31"/>
      <c r="E120" s="31"/>
      <c r="F120" s="31"/>
      <c r="G120" s="31"/>
      <c r="H120" s="31"/>
      <c r="I120" s="33"/>
      <c r="J120" s="31"/>
      <c r="K120" s="31"/>
      <c r="L120" s="32"/>
      <c r="M120" s="32"/>
      <c r="N120" s="32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ht="13.5" customHeight="1">
      <c r="A121" s="31"/>
      <c r="B121" s="32"/>
      <c r="C121" s="31"/>
      <c r="D121" s="31"/>
      <c r="E121" s="31"/>
      <c r="F121" s="31"/>
      <c r="G121" s="31"/>
      <c r="H121" s="31"/>
      <c r="I121" s="33"/>
      <c r="J121" s="31"/>
      <c r="K121" s="31"/>
      <c r="L121" s="32"/>
      <c r="M121" s="32"/>
      <c r="N121" s="32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ht="13.5" customHeight="1">
      <c r="A122" s="31"/>
      <c r="B122" s="32"/>
      <c r="C122" s="31"/>
      <c r="D122" s="31"/>
      <c r="E122" s="31"/>
      <c r="F122" s="31"/>
      <c r="G122" s="31"/>
      <c r="H122" s="31"/>
      <c r="I122" s="33"/>
      <c r="J122" s="31"/>
      <c r="K122" s="31"/>
      <c r="L122" s="32"/>
      <c r="M122" s="32"/>
      <c r="N122" s="32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ht="13.5" customHeight="1">
      <c r="A123" s="31"/>
      <c r="B123" s="32"/>
      <c r="C123" s="31"/>
      <c r="D123" s="31"/>
      <c r="E123" s="31"/>
      <c r="F123" s="31"/>
      <c r="G123" s="31"/>
      <c r="H123" s="31"/>
      <c r="I123" s="33"/>
      <c r="J123" s="31"/>
      <c r="K123" s="31"/>
      <c r="L123" s="32"/>
      <c r="M123" s="32"/>
      <c r="N123" s="32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ht="13.5" customHeight="1">
      <c r="A124" s="31"/>
      <c r="B124" s="32"/>
      <c r="C124" s="31"/>
      <c r="D124" s="31"/>
      <c r="E124" s="31"/>
      <c r="F124" s="31"/>
      <c r="G124" s="31"/>
      <c r="H124" s="31"/>
      <c r="I124" s="33"/>
      <c r="J124" s="31"/>
      <c r="K124" s="31"/>
      <c r="L124" s="32"/>
      <c r="M124" s="32"/>
      <c r="N124" s="32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ht="13.5" customHeight="1">
      <c r="A125" s="31"/>
      <c r="B125" s="32"/>
      <c r="C125" s="31"/>
      <c r="D125" s="31"/>
      <c r="E125" s="31"/>
      <c r="F125" s="31"/>
      <c r="G125" s="31"/>
      <c r="H125" s="31"/>
      <c r="I125" s="33"/>
      <c r="J125" s="31"/>
      <c r="K125" s="31"/>
      <c r="L125" s="32"/>
      <c r="M125" s="32"/>
      <c r="N125" s="32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ht="13.5" customHeight="1">
      <c r="A126" s="31"/>
      <c r="B126" s="32"/>
      <c r="C126" s="31"/>
      <c r="D126" s="31"/>
      <c r="E126" s="31"/>
      <c r="F126" s="31"/>
      <c r="G126" s="31"/>
      <c r="H126" s="31"/>
      <c r="I126" s="33"/>
      <c r="J126" s="31"/>
      <c r="K126" s="31"/>
      <c r="L126" s="32"/>
      <c r="M126" s="32"/>
      <c r="N126" s="32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ht="13.5" customHeight="1">
      <c r="A127" s="31"/>
      <c r="B127" s="32"/>
      <c r="C127" s="31"/>
      <c r="D127" s="31"/>
      <c r="E127" s="31"/>
      <c r="F127" s="31"/>
      <c r="G127" s="31"/>
      <c r="H127" s="31"/>
      <c r="I127" s="33"/>
      <c r="J127" s="31"/>
      <c r="K127" s="31"/>
      <c r="L127" s="32"/>
      <c r="M127" s="32"/>
      <c r="N127" s="32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ht="13.5" customHeight="1">
      <c r="A128" s="31"/>
      <c r="B128" s="32"/>
      <c r="C128" s="31"/>
      <c r="D128" s="31"/>
      <c r="E128" s="31"/>
      <c r="F128" s="31"/>
      <c r="G128" s="31"/>
      <c r="H128" s="31"/>
      <c r="I128" s="33"/>
      <c r="J128" s="31"/>
      <c r="K128" s="31"/>
      <c r="L128" s="32"/>
      <c r="M128" s="32"/>
      <c r="N128" s="32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ht="13.5" customHeight="1">
      <c r="A129" s="31"/>
      <c r="B129" s="32"/>
      <c r="C129" s="31"/>
      <c r="D129" s="31"/>
      <c r="E129" s="31"/>
      <c r="F129" s="31"/>
      <c r="G129" s="31"/>
      <c r="H129" s="31"/>
      <c r="I129" s="33"/>
      <c r="J129" s="31"/>
      <c r="K129" s="31"/>
      <c r="L129" s="32"/>
      <c r="M129" s="32"/>
      <c r="N129" s="32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ht="13.5" customHeight="1">
      <c r="A130" s="31"/>
      <c r="B130" s="32"/>
      <c r="C130" s="31"/>
      <c r="D130" s="31"/>
      <c r="E130" s="31"/>
      <c r="F130" s="31"/>
      <c r="G130" s="31"/>
      <c r="H130" s="31"/>
      <c r="I130" s="33"/>
      <c r="J130" s="31"/>
      <c r="K130" s="31"/>
      <c r="L130" s="32"/>
      <c r="M130" s="32"/>
      <c r="N130" s="32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ht="13.5" customHeight="1">
      <c r="A131" s="31"/>
      <c r="B131" s="32"/>
      <c r="C131" s="31"/>
      <c r="D131" s="31"/>
      <c r="E131" s="31"/>
      <c r="F131" s="31"/>
      <c r="G131" s="31"/>
      <c r="H131" s="31"/>
      <c r="I131" s="33"/>
      <c r="J131" s="31"/>
      <c r="K131" s="31"/>
      <c r="L131" s="32"/>
      <c r="M131" s="32"/>
      <c r="N131" s="32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ht="13.5" customHeight="1">
      <c r="A132" s="31"/>
      <c r="B132" s="32"/>
      <c r="C132" s="31"/>
      <c r="D132" s="31"/>
      <c r="E132" s="31"/>
      <c r="F132" s="31"/>
      <c r="G132" s="31"/>
      <c r="H132" s="31"/>
      <c r="I132" s="33"/>
      <c r="J132" s="31"/>
      <c r="K132" s="31"/>
      <c r="L132" s="32"/>
      <c r="M132" s="32"/>
      <c r="N132" s="32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ht="13.5" customHeight="1">
      <c r="A133" s="31"/>
      <c r="B133" s="32"/>
      <c r="C133" s="31"/>
      <c r="D133" s="31"/>
      <c r="E133" s="31"/>
      <c r="F133" s="31"/>
      <c r="G133" s="31"/>
      <c r="H133" s="31"/>
      <c r="I133" s="33"/>
      <c r="J133" s="31"/>
      <c r="K133" s="31"/>
      <c r="L133" s="32"/>
      <c r="M133" s="32"/>
      <c r="N133" s="32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ht="13.5" customHeight="1">
      <c r="A134" s="31"/>
      <c r="B134" s="32"/>
      <c r="C134" s="31"/>
      <c r="D134" s="31"/>
      <c r="E134" s="31"/>
      <c r="F134" s="31"/>
      <c r="G134" s="31"/>
      <c r="H134" s="31"/>
      <c r="I134" s="33"/>
      <c r="J134" s="31"/>
      <c r="K134" s="31"/>
      <c r="L134" s="32"/>
      <c r="M134" s="32"/>
      <c r="N134" s="32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ht="13.5" customHeight="1">
      <c r="A135" s="31"/>
      <c r="B135" s="32"/>
      <c r="C135" s="31"/>
      <c r="D135" s="31"/>
      <c r="E135" s="31"/>
      <c r="F135" s="31"/>
      <c r="G135" s="31"/>
      <c r="H135" s="31"/>
      <c r="I135" s="33"/>
      <c r="J135" s="31"/>
      <c r="K135" s="31"/>
      <c r="L135" s="32"/>
      <c r="M135" s="32"/>
      <c r="N135" s="32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ht="13.5" customHeight="1">
      <c r="A136" s="31"/>
      <c r="B136" s="32"/>
      <c r="C136" s="31"/>
      <c r="D136" s="31"/>
      <c r="E136" s="31"/>
      <c r="F136" s="31"/>
      <c r="G136" s="31"/>
      <c r="H136" s="31"/>
      <c r="I136" s="33"/>
      <c r="J136" s="31"/>
      <c r="K136" s="31"/>
      <c r="L136" s="32"/>
      <c r="M136" s="32"/>
      <c r="N136" s="32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ht="13.5" customHeight="1">
      <c r="A137" s="31"/>
      <c r="B137" s="32"/>
      <c r="C137" s="31"/>
      <c r="D137" s="31"/>
      <c r="E137" s="31"/>
      <c r="F137" s="31"/>
      <c r="G137" s="31"/>
      <c r="H137" s="31"/>
      <c r="I137" s="33"/>
      <c r="J137" s="31"/>
      <c r="K137" s="31"/>
      <c r="L137" s="32"/>
      <c r="M137" s="32"/>
      <c r="N137" s="32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ht="13.5" customHeight="1">
      <c r="A138" s="31"/>
      <c r="B138" s="32"/>
      <c r="C138" s="31"/>
      <c r="D138" s="31"/>
      <c r="E138" s="31"/>
      <c r="F138" s="31"/>
      <c r="G138" s="31"/>
      <c r="H138" s="31"/>
      <c r="I138" s="33"/>
      <c r="J138" s="31"/>
      <c r="K138" s="31"/>
      <c r="L138" s="32"/>
      <c r="M138" s="32"/>
      <c r="N138" s="32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ht="13.5" customHeight="1">
      <c r="A139" s="31"/>
      <c r="B139" s="32"/>
      <c r="C139" s="31"/>
      <c r="D139" s="31"/>
      <c r="E139" s="31"/>
      <c r="F139" s="31"/>
      <c r="G139" s="31"/>
      <c r="H139" s="31"/>
      <c r="I139" s="33"/>
      <c r="J139" s="31"/>
      <c r="K139" s="31"/>
      <c r="L139" s="32"/>
      <c r="M139" s="32"/>
      <c r="N139" s="32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ht="13.5" customHeight="1">
      <c r="A140" s="31"/>
      <c r="B140" s="32"/>
      <c r="C140" s="31"/>
      <c r="D140" s="31"/>
      <c r="E140" s="31"/>
      <c r="F140" s="31"/>
      <c r="G140" s="31"/>
      <c r="H140" s="31"/>
      <c r="I140" s="33"/>
      <c r="J140" s="31"/>
      <c r="K140" s="31"/>
      <c r="L140" s="32"/>
      <c r="M140" s="32"/>
      <c r="N140" s="32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ht="13.5" customHeight="1">
      <c r="A141" s="31"/>
      <c r="B141" s="32"/>
      <c r="C141" s="31"/>
      <c r="D141" s="31"/>
      <c r="E141" s="31"/>
      <c r="F141" s="31"/>
      <c r="G141" s="31"/>
      <c r="H141" s="31"/>
      <c r="I141" s="33"/>
      <c r="J141" s="31"/>
      <c r="K141" s="31"/>
      <c r="L141" s="32"/>
      <c r="M141" s="32"/>
      <c r="N141" s="32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ht="13.5" customHeight="1">
      <c r="A142" s="31"/>
      <c r="B142" s="32"/>
      <c r="C142" s="31"/>
      <c r="D142" s="31"/>
      <c r="E142" s="31"/>
      <c r="F142" s="31"/>
      <c r="G142" s="31"/>
      <c r="H142" s="31"/>
      <c r="I142" s="33"/>
      <c r="J142" s="31"/>
      <c r="K142" s="31"/>
      <c r="L142" s="32"/>
      <c r="M142" s="32"/>
      <c r="N142" s="32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ht="13.5" customHeight="1">
      <c r="A143" s="31"/>
      <c r="B143" s="32"/>
      <c r="C143" s="31"/>
      <c r="D143" s="31"/>
      <c r="E143" s="31"/>
      <c r="F143" s="31"/>
      <c r="G143" s="31"/>
      <c r="H143" s="31"/>
      <c r="I143" s="33"/>
      <c r="J143" s="31"/>
      <c r="K143" s="31"/>
      <c r="L143" s="32"/>
      <c r="M143" s="32"/>
      <c r="N143" s="32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ht="13.5" customHeight="1">
      <c r="A144" s="31"/>
      <c r="B144" s="32"/>
      <c r="C144" s="31"/>
      <c r="D144" s="31"/>
      <c r="E144" s="31"/>
      <c r="F144" s="31"/>
      <c r="G144" s="31"/>
      <c r="H144" s="31"/>
      <c r="I144" s="33"/>
      <c r="J144" s="31"/>
      <c r="K144" s="31"/>
      <c r="L144" s="32"/>
      <c r="M144" s="32"/>
      <c r="N144" s="32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ht="13.5" customHeight="1">
      <c r="A145" s="31"/>
      <c r="B145" s="32"/>
      <c r="C145" s="31"/>
      <c r="D145" s="31"/>
      <c r="E145" s="31"/>
      <c r="F145" s="31"/>
      <c r="G145" s="31"/>
      <c r="H145" s="31"/>
      <c r="I145" s="33"/>
      <c r="J145" s="31"/>
      <c r="K145" s="31"/>
      <c r="L145" s="32"/>
      <c r="M145" s="32"/>
      <c r="N145" s="32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ht="13.5" customHeight="1">
      <c r="A146" s="31"/>
      <c r="B146" s="32"/>
      <c r="C146" s="31"/>
      <c r="D146" s="31"/>
      <c r="E146" s="31"/>
      <c r="F146" s="31"/>
      <c r="G146" s="31"/>
      <c r="H146" s="31"/>
      <c r="I146" s="33"/>
      <c r="J146" s="31"/>
      <c r="K146" s="31"/>
      <c r="L146" s="32"/>
      <c r="M146" s="32"/>
      <c r="N146" s="32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ht="13.5" customHeight="1">
      <c r="A147" s="31"/>
      <c r="B147" s="32"/>
      <c r="C147" s="31"/>
      <c r="D147" s="31"/>
      <c r="E147" s="31"/>
      <c r="F147" s="31"/>
      <c r="G147" s="31"/>
      <c r="H147" s="31"/>
      <c r="I147" s="33"/>
      <c r="J147" s="31"/>
      <c r="K147" s="31"/>
      <c r="L147" s="32"/>
      <c r="M147" s="32"/>
      <c r="N147" s="32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ht="13.5" customHeight="1">
      <c r="A148" s="31"/>
      <c r="B148" s="32"/>
      <c r="C148" s="31"/>
      <c r="D148" s="31"/>
      <c r="E148" s="31"/>
      <c r="F148" s="31"/>
      <c r="G148" s="31"/>
      <c r="H148" s="31"/>
      <c r="I148" s="33"/>
      <c r="J148" s="31"/>
      <c r="K148" s="31"/>
      <c r="L148" s="32"/>
      <c r="M148" s="32"/>
      <c r="N148" s="32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ht="13.5" customHeight="1">
      <c r="A149" s="31"/>
      <c r="B149" s="32"/>
      <c r="C149" s="31"/>
      <c r="D149" s="31"/>
      <c r="E149" s="31"/>
      <c r="F149" s="31"/>
      <c r="G149" s="31"/>
      <c r="H149" s="31"/>
      <c r="I149" s="33"/>
      <c r="J149" s="31"/>
      <c r="K149" s="31"/>
      <c r="L149" s="32"/>
      <c r="M149" s="32"/>
      <c r="N149" s="32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ht="13.5" customHeight="1">
      <c r="A150" s="31"/>
      <c r="B150" s="32"/>
      <c r="C150" s="31"/>
      <c r="D150" s="31"/>
      <c r="E150" s="31"/>
      <c r="F150" s="31"/>
      <c r="G150" s="31"/>
      <c r="H150" s="31"/>
      <c r="I150" s="33"/>
      <c r="J150" s="31"/>
      <c r="K150" s="31"/>
      <c r="L150" s="32"/>
      <c r="M150" s="32"/>
      <c r="N150" s="32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ht="13.5" customHeight="1">
      <c r="A151" s="31"/>
      <c r="B151" s="32"/>
      <c r="C151" s="31"/>
      <c r="D151" s="31"/>
      <c r="E151" s="31"/>
      <c r="F151" s="31"/>
      <c r="G151" s="31"/>
      <c r="H151" s="31"/>
      <c r="I151" s="33"/>
      <c r="J151" s="31"/>
      <c r="K151" s="31"/>
      <c r="L151" s="32"/>
      <c r="M151" s="32"/>
      <c r="N151" s="32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ht="13.5" customHeight="1">
      <c r="A152" s="31"/>
      <c r="B152" s="32"/>
      <c r="C152" s="31"/>
      <c r="D152" s="31"/>
      <c r="E152" s="31"/>
      <c r="F152" s="31"/>
      <c r="G152" s="31"/>
      <c r="H152" s="31"/>
      <c r="I152" s="33"/>
      <c r="J152" s="31"/>
      <c r="K152" s="31"/>
      <c r="L152" s="32"/>
      <c r="M152" s="32"/>
      <c r="N152" s="32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ht="13.5" customHeight="1">
      <c r="A153" s="31"/>
      <c r="B153" s="32"/>
      <c r="C153" s="31"/>
      <c r="D153" s="31"/>
      <c r="E153" s="31"/>
      <c r="F153" s="31"/>
      <c r="G153" s="31"/>
      <c r="H153" s="31"/>
      <c r="I153" s="33"/>
      <c r="J153" s="31"/>
      <c r="K153" s="31"/>
      <c r="L153" s="32"/>
      <c r="M153" s="32"/>
      <c r="N153" s="32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ht="13.5" customHeight="1">
      <c r="A154" s="31"/>
      <c r="B154" s="32"/>
      <c r="C154" s="31"/>
      <c r="D154" s="31"/>
      <c r="E154" s="31"/>
      <c r="F154" s="31"/>
      <c r="G154" s="31"/>
      <c r="H154" s="31"/>
      <c r="I154" s="33"/>
      <c r="J154" s="31"/>
      <c r="K154" s="31"/>
      <c r="L154" s="32"/>
      <c r="M154" s="32"/>
      <c r="N154" s="32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ht="13.5" customHeight="1">
      <c r="A155" s="31"/>
      <c r="B155" s="32"/>
      <c r="C155" s="31"/>
      <c r="D155" s="31"/>
      <c r="E155" s="31"/>
      <c r="F155" s="31"/>
      <c r="G155" s="31"/>
      <c r="H155" s="31"/>
      <c r="I155" s="33"/>
      <c r="J155" s="31"/>
      <c r="K155" s="31"/>
      <c r="L155" s="32"/>
      <c r="M155" s="32"/>
      <c r="N155" s="32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ht="13.5" customHeight="1">
      <c r="A156" s="31"/>
      <c r="B156" s="32"/>
      <c r="C156" s="31"/>
      <c r="D156" s="31"/>
      <c r="E156" s="31"/>
      <c r="F156" s="31"/>
      <c r="G156" s="31"/>
      <c r="H156" s="31"/>
      <c r="I156" s="33"/>
      <c r="J156" s="31"/>
      <c r="K156" s="31"/>
      <c r="L156" s="32"/>
      <c r="M156" s="32"/>
      <c r="N156" s="32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ht="13.5" customHeight="1">
      <c r="A157" s="31"/>
      <c r="B157" s="32"/>
      <c r="C157" s="31"/>
      <c r="D157" s="31"/>
      <c r="E157" s="31"/>
      <c r="F157" s="31"/>
      <c r="G157" s="31"/>
      <c r="H157" s="31"/>
      <c r="I157" s="33"/>
      <c r="J157" s="31"/>
      <c r="K157" s="31"/>
      <c r="L157" s="32"/>
      <c r="M157" s="32"/>
      <c r="N157" s="32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ht="13.5" customHeight="1">
      <c r="A158" s="31"/>
      <c r="B158" s="32"/>
      <c r="C158" s="31"/>
      <c r="D158" s="31"/>
      <c r="E158" s="31"/>
      <c r="F158" s="31"/>
      <c r="G158" s="31"/>
      <c r="H158" s="31"/>
      <c r="I158" s="33"/>
      <c r="J158" s="31"/>
      <c r="K158" s="31"/>
      <c r="L158" s="32"/>
      <c r="M158" s="32"/>
      <c r="N158" s="32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ht="13.5" customHeight="1">
      <c r="A159" s="31"/>
      <c r="B159" s="32"/>
      <c r="C159" s="31"/>
      <c r="D159" s="31"/>
      <c r="E159" s="31"/>
      <c r="F159" s="31"/>
      <c r="G159" s="31"/>
      <c r="H159" s="31"/>
      <c r="I159" s="33"/>
      <c r="J159" s="31"/>
      <c r="K159" s="31"/>
      <c r="L159" s="32"/>
      <c r="M159" s="32"/>
      <c r="N159" s="32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ht="13.5" customHeight="1">
      <c r="A160" s="31"/>
      <c r="B160" s="32"/>
      <c r="C160" s="31"/>
      <c r="D160" s="31"/>
      <c r="E160" s="31"/>
      <c r="F160" s="31"/>
      <c r="G160" s="31"/>
      <c r="H160" s="31"/>
      <c r="I160" s="33"/>
      <c r="J160" s="31"/>
      <c r="K160" s="31"/>
      <c r="L160" s="32"/>
      <c r="M160" s="32"/>
      <c r="N160" s="32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ht="13.5" customHeight="1">
      <c r="A161" s="31"/>
      <c r="B161" s="32"/>
      <c r="C161" s="31"/>
      <c r="D161" s="31"/>
      <c r="E161" s="31"/>
      <c r="F161" s="31"/>
      <c r="G161" s="31"/>
      <c r="H161" s="31"/>
      <c r="I161" s="33"/>
      <c r="J161" s="31"/>
      <c r="K161" s="31"/>
      <c r="L161" s="32"/>
      <c r="M161" s="32"/>
      <c r="N161" s="32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ht="13.5" customHeight="1">
      <c r="A162" s="31"/>
      <c r="B162" s="32"/>
      <c r="C162" s="31"/>
      <c r="D162" s="31"/>
      <c r="E162" s="31"/>
      <c r="F162" s="31"/>
      <c r="G162" s="31"/>
      <c r="H162" s="31"/>
      <c r="I162" s="33"/>
      <c r="J162" s="31"/>
      <c r="K162" s="31"/>
      <c r="L162" s="32"/>
      <c r="M162" s="32"/>
      <c r="N162" s="32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ht="13.5" customHeight="1">
      <c r="A163" s="31"/>
      <c r="B163" s="32"/>
      <c r="C163" s="31"/>
      <c r="D163" s="31"/>
      <c r="E163" s="31"/>
      <c r="F163" s="31"/>
      <c r="G163" s="31"/>
      <c r="H163" s="31"/>
      <c r="I163" s="33"/>
      <c r="J163" s="31"/>
      <c r="K163" s="31"/>
      <c r="L163" s="32"/>
      <c r="M163" s="32"/>
      <c r="N163" s="32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ht="13.5" customHeight="1">
      <c r="A164" s="31"/>
      <c r="B164" s="32"/>
      <c r="C164" s="31"/>
      <c r="D164" s="31"/>
      <c r="E164" s="31"/>
      <c r="F164" s="31"/>
      <c r="G164" s="31"/>
      <c r="H164" s="31"/>
      <c r="I164" s="33"/>
      <c r="J164" s="31"/>
      <c r="K164" s="31"/>
      <c r="L164" s="32"/>
      <c r="M164" s="32"/>
      <c r="N164" s="32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ht="13.5" customHeight="1">
      <c r="A165" s="31"/>
      <c r="B165" s="32"/>
      <c r="C165" s="31"/>
      <c r="D165" s="31"/>
      <c r="E165" s="31"/>
      <c r="F165" s="31"/>
      <c r="G165" s="31"/>
      <c r="H165" s="31"/>
      <c r="I165" s="33"/>
      <c r="J165" s="31"/>
      <c r="K165" s="31"/>
      <c r="L165" s="32"/>
      <c r="M165" s="32"/>
      <c r="N165" s="32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ht="13.5" customHeight="1">
      <c r="A166" s="31"/>
      <c r="B166" s="32"/>
      <c r="C166" s="31"/>
      <c r="D166" s="31"/>
      <c r="E166" s="31"/>
      <c r="F166" s="31"/>
      <c r="G166" s="31"/>
      <c r="H166" s="31"/>
      <c r="I166" s="33"/>
      <c r="J166" s="31"/>
      <c r="K166" s="31"/>
      <c r="L166" s="32"/>
      <c r="M166" s="32"/>
      <c r="N166" s="32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ht="13.5" customHeight="1">
      <c r="A167" s="31"/>
      <c r="B167" s="32"/>
      <c r="C167" s="31"/>
      <c r="D167" s="31"/>
      <c r="E167" s="31"/>
      <c r="F167" s="31"/>
      <c r="G167" s="31"/>
      <c r="H167" s="31"/>
      <c r="I167" s="33"/>
      <c r="J167" s="31"/>
      <c r="K167" s="31"/>
      <c r="L167" s="32"/>
      <c r="M167" s="32"/>
      <c r="N167" s="32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ht="13.5" customHeight="1">
      <c r="A168" s="31"/>
      <c r="B168" s="32"/>
      <c r="C168" s="31"/>
      <c r="D168" s="31"/>
      <c r="E168" s="31"/>
      <c r="F168" s="31"/>
      <c r="G168" s="31"/>
      <c r="H168" s="31"/>
      <c r="I168" s="33"/>
      <c r="J168" s="31"/>
      <c r="K168" s="31"/>
      <c r="L168" s="32"/>
      <c r="M168" s="32"/>
      <c r="N168" s="32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ht="13.5" customHeight="1">
      <c r="A169" s="31"/>
      <c r="B169" s="32"/>
      <c r="C169" s="31"/>
      <c r="D169" s="31"/>
      <c r="E169" s="31"/>
      <c r="F169" s="31"/>
      <c r="G169" s="31"/>
      <c r="H169" s="31"/>
      <c r="I169" s="33"/>
      <c r="J169" s="31"/>
      <c r="K169" s="31"/>
      <c r="L169" s="32"/>
      <c r="M169" s="32"/>
      <c r="N169" s="32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ht="13.5" customHeight="1">
      <c r="A170" s="31"/>
      <c r="B170" s="32"/>
      <c r="C170" s="31"/>
      <c r="D170" s="31"/>
      <c r="E170" s="31"/>
      <c r="F170" s="31"/>
      <c r="G170" s="31"/>
      <c r="H170" s="31"/>
      <c r="I170" s="33"/>
      <c r="J170" s="31"/>
      <c r="K170" s="31"/>
      <c r="L170" s="32"/>
      <c r="M170" s="32"/>
      <c r="N170" s="32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ht="13.5" customHeight="1">
      <c r="A171" s="31"/>
      <c r="B171" s="32"/>
      <c r="C171" s="31"/>
      <c r="D171" s="31"/>
      <c r="E171" s="31"/>
      <c r="F171" s="31"/>
      <c r="G171" s="31"/>
      <c r="H171" s="31"/>
      <c r="I171" s="33"/>
      <c r="J171" s="31"/>
      <c r="K171" s="31"/>
      <c r="L171" s="32"/>
      <c r="M171" s="32"/>
      <c r="N171" s="32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ht="13.5" customHeight="1">
      <c r="A172" s="31"/>
      <c r="B172" s="32"/>
      <c r="C172" s="31"/>
      <c r="D172" s="31"/>
      <c r="E172" s="31"/>
      <c r="F172" s="31"/>
      <c r="G172" s="31"/>
      <c r="H172" s="31"/>
      <c r="I172" s="33"/>
      <c r="J172" s="31"/>
      <c r="K172" s="31"/>
      <c r="L172" s="32"/>
      <c r="M172" s="32"/>
      <c r="N172" s="32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ht="13.5" customHeight="1">
      <c r="A173" s="31"/>
      <c r="B173" s="32"/>
      <c r="C173" s="31"/>
      <c r="D173" s="31"/>
      <c r="E173" s="31"/>
      <c r="F173" s="31"/>
      <c r="G173" s="31"/>
      <c r="H173" s="31"/>
      <c r="I173" s="33"/>
      <c r="J173" s="31"/>
      <c r="K173" s="31"/>
      <c r="L173" s="32"/>
      <c r="M173" s="32"/>
      <c r="N173" s="32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ht="13.5" customHeight="1">
      <c r="A174" s="31"/>
      <c r="B174" s="32"/>
      <c r="C174" s="31"/>
      <c r="D174" s="31"/>
      <c r="E174" s="31"/>
      <c r="F174" s="31"/>
      <c r="G174" s="31"/>
      <c r="H174" s="31"/>
      <c r="I174" s="33"/>
      <c r="J174" s="31"/>
      <c r="K174" s="31"/>
      <c r="L174" s="32"/>
      <c r="M174" s="32"/>
      <c r="N174" s="32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ht="13.5" customHeight="1">
      <c r="A175" s="31"/>
      <c r="B175" s="32"/>
      <c r="C175" s="31"/>
      <c r="D175" s="31"/>
      <c r="E175" s="31"/>
      <c r="F175" s="31"/>
      <c r="G175" s="31"/>
      <c r="H175" s="31"/>
      <c r="I175" s="33"/>
      <c r="J175" s="31"/>
      <c r="K175" s="31"/>
      <c r="L175" s="32"/>
      <c r="M175" s="32"/>
      <c r="N175" s="32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ht="13.5" customHeight="1">
      <c r="A176" s="31"/>
      <c r="B176" s="32"/>
      <c r="C176" s="31"/>
      <c r="D176" s="31"/>
      <c r="E176" s="31"/>
      <c r="F176" s="31"/>
      <c r="G176" s="31"/>
      <c r="H176" s="31"/>
      <c r="I176" s="33"/>
      <c r="J176" s="31"/>
      <c r="K176" s="31"/>
      <c r="L176" s="32"/>
      <c r="M176" s="32"/>
      <c r="N176" s="32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ht="13.5" customHeight="1">
      <c r="A177" s="31"/>
      <c r="B177" s="32"/>
      <c r="C177" s="31"/>
      <c r="D177" s="31"/>
      <c r="E177" s="31"/>
      <c r="F177" s="31"/>
      <c r="G177" s="31"/>
      <c r="H177" s="31"/>
      <c r="I177" s="33"/>
      <c r="J177" s="31"/>
      <c r="K177" s="31"/>
      <c r="L177" s="32"/>
      <c r="M177" s="32"/>
      <c r="N177" s="32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ht="13.5" customHeight="1">
      <c r="A178" s="31"/>
      <c r="B178" s="32"/>
      <c r="C178" s="31"/>
      <c r="D178" s="31"/>
      <c r="E178" s="31"/>
      <c r="F178" s="31"/>
      <c r="G178" s="31"/>
      <c r="H178" s="31"/>
      <c r="I178" s="33"/>
      <c r="J178" s="31"/>
      <c r="K178" s="31"/>
      <c r="L178" s="32"/>
      <c r="M178" s="32"/>
      <c r="N178" s="32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ht="13.5" customHeight="1">
      <c r="A179" s="31"/>
      <c r="B179" s="32"/>
      <c r="C179" s="31"/>
      <c r="D179" s="31"/>
      <c r="E179" s="31"/>
      <c r="F179" s="31"/>
      <c r="G179" s="31"/>
      <c r="H179" s="31"/>
      <c r="I179" s="33"/>
      <c r="J179" s="31"/>
      <c r="K179" s="31"/>
      <c r="L179" s="32"/>
      <c r="M179" s="32"/>
      <c r="N179" s="32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ht="13.5" customHeight="1">
      <c r="A180" s="31"/>
      <c r="B180" s="32"/>
      <c r="C180" s="31"/>
      <c r="D180" s="31"/>
      <c r="E180" s="31"/>
      <c r="F180" s="31"/>
      <c r="G180" s="31"/>
      <c r="H180" s="31"/>
      <c r="I180" s="33"/>
      <c r="J180" s="31"/>
      <c r="K180" s="31"/>
      <c r="L180" s="32"/>
      <c r="M180" s="32"/>
      <c r="N180" s="32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ht="13.5" customHeight="1">
      <c r="A181" s="31"/>
      <c r="B181" s="32"/>
      <c r="C181" s="31"/>
      <c r="D181" s="31"/>
      <c r="E181" s="31"/>
      <c r="F181" s="31"/>
      <c r="G181" s="31"/>
      <c r="H181" s="31"/>
      <c r="I181" s="33"/>
      <c r="J181" s="31"/>
      <c r="K181" s="31"/>
      <c r="L181" s="32"/>
      <c r="M181" s="32"/>
      <c r="N181" s="32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ht="13.5" customHeight="1">
      <c r="A182" s="31"/>
      <c r="B182" s="32"/>
      <c r="C182" s="31"/>
      <c r="D182" s="31"/>
      <c r="E182" s="31"/>
      <c r="F182" s="31"/>
      <c r="G182" s="31"/>
      <c r="H182" s="31"/>
      <c r="I182" s="33"/>
      <c r="J182" s="31"/>
      <c r="K182" s="31"/>
      <c r="L182" s="32"/>
      <c r="M182" s="32"/>
      <c r="N182" s="32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ht="13.5" customHeight="1">
      <c r="A183" s="31"/>
      <c r="B183" s="32"/>
      <c r="C183" s="31"/>
      <c r="D183" s="31"/>
      <c r="E183" s="31"/>
      <c r="F183" s="31"/>
      <c r="G183" s="31"/>
      <c r="H183" s="31"/>
      <c r="I183" s="33"/>
      <c r="J183" s="31"/>
      <c r="K183" s="31"/>
      <c r="L183" s="32"/>
      <c r="M183" s="32"/>
      <c r="N183" s="32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ht="13.5" customHeight="1">
      <c r="A184" s="31"/>
      <c r="B184" s="32"/>
      <c r="C184" s="31"/>
      <c r="D184" s="31"/>
      <c r="E184" s="31"/>
      <c r="F184" s="31"/>
      <c r="G184" s="31"/>
      <c r="H184" s="31"/>
      <c r="I184" s="33"/>
      <c r="J184" s="31"/>
      <c r="K184" s="31"/>
      <c r="L184" s="32"/>
      <c r="M184" s="32"/>
      <c r="N184" s="32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ht="13.5" customHeight="1">
      <c r="A185" s="31"/>
      <c r="B185" s="32"/>
      <c r="C185" s="31"/>
      <c r="D185" s="31"/>
      <c r="E185" s="31"/>
      <c r="F185" s="31"/>
      <c r="G185" s="31"/>
      <c r="H185" s="31"/>
      <c r="I185" s="33"/>
      <c r="J185" s="31"/>
      <c r="K185" s="31"/>
      <c r="L185" s="32"/>
      <c r="M185" s="32"/>
      <c r="N185" s="32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ht="13.5" customHeight="1">
      <c r="A186" s="31"/>
      <c r="B186" s="32"/>
      <c r="C186" s="31"/>
      <c r="D186" s="31"/>
      <c r="E186" s="31"/>
      <c r="F186" s="31"/>
      <c r="G186" s="31"/>
      <c r="H186" s="31"/>
      <c r="I186" s="33"/>
      <c r="J186" s="31"/>
      <c r="K186" s="31"/>
      <c r="L186" s="32"/>
      <c r="M186" s="32"/>
      <c r="N186" s="32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ht="13.5" customHeight="1">
      <c r="A187" s="31"/>
      <c r="B187" s="32"/>
      <c r="C187" s="31"/>
      <c r="D187" s="31"/>
      <c r="E187" s="31"/>
      <c r="F187" s="31"/>
      <c r="G187" s="31"/>
      <c r="H187" s="31"/>
      <c r="I187" s="33"/>
      <c r="J187" s="31"/>
      <c r="K187" s="31"/>
      <c r="L187" s="32"/>
      <c r="M187" s="32"/>
      <c r="N187" s="32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ht="13.5" customHeight="1">
      <c r="A188" s="31"/>
      <c r="B188" s="32"/>
      <c r="C188" s="31"/>
      <c r="D188" s="31"/>
      <c r="E188" s="31"/>
      <c r="F188" s="31"/>
      <c r="G188" s="31"/>
      <c r="H188" s="31"/>
      <c r="I188" s="33"/>
      <c r="J188" s="31"/>
      <c r="K188" s="31"/>
      <c r="L188" s="32"/>
      <c r="M188" s="32"/>
      <c r="N188" s="32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ht="13.5" customHeight="1">
      <c r="A189" s="31"/>
      <c r="B189" s="32"/>
      <c r="C189" s="31"/>
      <c r="D189" s="31"/>
      <c r="E189" s="31"/>
      <c r="F189" s="31"/>
      <c r="G189" s="31"/>
      <c r="H189" s="31"/>
      <c r="I189" s="33"/>
      <c r="J189" s="31"/>
      <c r="K189" s="31"/>
      <c r="L189" s="32"/>
      <c r="M189" s="32"/>
      <c r="N189" s="32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ht="13.5" customHeight="1">
      <c r="A190" s="31"/>
      <c r="B190" s="32"/>
      <c r="C190" s="31"/>
      <c r="D190" s="31"/>
      <c r="E190" s="31"/>
      <c r="F190" s="31"/>
      <c r="G190" s="31"/>
      <c r="H190" s="31"/>
      <c r="I190" s="33"/>
      <c r="J190" s="31"/>
      <c r="K190" s="31"/>
      <c r="L190" s="32"/>
      <c r="M190" s="32"/>
      <c r="N190" s="32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ht="13.5" customHeight="1">
      <c r="A191" s="31"/>
      <c r="B191" s="32"/>
      <c r="C191" s="31"/>
      <c r="D191" s="31"/>
      <c r="E191" s="31"/>
      <c r="F191" s="31"/>
      <c r="G191" s="31"/>
      <c r="H191" s="31"/>
      <c r="I191" s="33"/>
      <c r="J191" s="31"/>
      <c r="K191" s="31"/>
      <c r="L191" s="32"/>
      <c r="M191" s="32"/>
      <c r="N191" s="32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ht="13.5" customHeight="1">
      <c r="A192" s="31"/>
      <c r="B192" s="32"/>
      <c r="C192" s="31"/>
      <c r="D192" s="31"/>
      <c r="E192" s="31"/>
      <c r="F192" s="31"/>
      <c r="G192" s="31"/>
      <c r="H192" s="31"/>
      <c r="I192" s="33"/>
      <c r="J192" s="31"/>
      <c r="K192" s="31"/>
      <c r="L192" s="32"/>
      <c r="M192" s="32"/>
      <c r="N192" s="32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ht="13.5" customHeight="1">
      <c r="A193" s="31"/>
      <c r="B193" s="32"/>
      <c r="C193" s="31"/>
      <c r="D193" s="31"/>
      <c r="E193" s="31"/>
      <c r="F193" s="31"/>
      <c r="G193" s="31"/>
      <c r="H193" s="31"/>
      <c r="I193" s="33"/>
      <c r="J193" s="31"/>
      <c r="K193" s="31"/>
      <c r="L193" s="32"/>
      <c r="M193" s="32"/>
      <c r="N193" s="32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ht="13.5" customHeight="1">
      <c r="A194" s="31"/>
      <c r="B194" s="32"/>
      <c r="C194" s="31"/>
      <c r="D194" s="31"/>
      <c r="E194" s="31"/>
      <c r="F194" s="31"/>
      <c r="G194" s="31"/>
      <c r="H194" s="31"/>
      <c r="I194" s="33"/>
      <c r="J194" s="31"/>
      <c r="K194" s="31"/>
      <c r="L194" s="32"/>
      <c r="M194" s="32"/>
      <c r="N194" s="32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ht="13.5" customHeight="1">
      <c r="A195" s="31"/>
      <c r="B195" s="32"/>
      <c r="C195" s="31"/>
      <c r="D195" s="31"/>
      <c r="E195" s="31"/>
      <c r="F195" s="31"/>
      <c r="G195" s="31"/>
      <c r="H195" s="31"/>
      <c r="I195" s="33"/>
      <c r="J195" s="31"/>
      <c r="K195" s="31"/>
      <c r="L195" s="32"/>
      <c r="M195" s="32"/>
      <c r="N195" s="32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ht="13.5" customHeight="1">
      <c r="A196" s="31"/>
      <c r="B196" s="32"/>
      <c r="C196" s="31"/>
      <c r="D196" s="31"/>
      <c r="E196" s="31"/>
      <c r="F196" s="31"/>
      <c r="G196" s="31"/>
      <c r="H196" s="31"/>
      <c r="I196" s="33"/>
      <c r="J196" s="31"/>
      <c r="K196" s="31"/>
      <c r="L196" s="32"/>
      <c r="M196" s="32"/>
      <c r="N196" s="32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ht="13.5" customHeight="1">
      <c r="A197" s="31"/>
      <c r="B197" s="32"/>
      <c r="C197" s="31"/>
      <c r="D197" s="31"/>
      <c r="E197" s="31"/>
      <c r="F197" s="31"/>
      <c r="G197" s="31"/>
      <c r="H197" s="31"/>
      <c r="I197" s="33"/>
      <c r="J197" s="31"/>
      <c r="K197" s="31"/>
      <c r="L197" s="32"/>
      <c r="M197" s="32"/>
      <c r="N197" s="32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ht="13.5" customHeight="1">
      <c r="A198" s="31"/>
      <c r="B198" s="32"/>
      <c r="C198" s="31"/>
      <c r="D198" s="31"/>
      <c r="E198" s="31"/>
      <c r="F198" s="31"/>
      <c r="G198" s="31"/>
      <c r="H198" s="31"/>
      <c r="I198" s="33"/>
      <c r="J198" s="31"/>
      <c r="K198" s="31"/>
      <c r="L198" s="32"/>
      <c r="M198" s="32"/>
      <c r="N198" s="32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ht="13.5" customHeight="1">
      <c r="A199" s="31"/>
      <c r="B199" s="32"/>
      <c r="C199" s="31"/>
      <c r="D199" s="31"/>
      <c r="E199" s="31"/>
      <c r="F199" s="31"/>
      <c r="G199" s="31"/>
      <c r="H199" s="31"/>
      <c r="I199" s="33"/>
      <c r="J199" s="31"/>
      <c r="K199" s="31"/>
      <c r="L199" s="32"/>
      <c r="M199" s="32"/>
      <c r="N199" s="32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ht="13.5" customHeight="1">
      <c r="A200" s="31"/>
      <c r="B200" s="32"/>
      <c r="C200" s="31"/>
      <c r="D200" s="31"/>
      <c r="E200" s="31"/>
      <c r="F200" s="31"/>
      <c r="G200" s="31"/>
      <c r="H200" s="31"/>
      <c r="I200" s="33"/>
      <c r="J200" s="31"/>
      <c r="K200" s="31"/>
      <c r="L200" s="32"/>
      <c r="M200" s="32"/>
      <c r="N200" s="32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ht="13.5" customHeight="1">
      <c r="A201" s="31"/>
      <c r="B201" s="32"/>
      <c r="C201" s="31"/>
      <c r="D201" s="31"/>
      <c r="E201" s="31"/>
      <c r="F201" s="31"/>
      <c r="G201" s="31"/>
      <c r="H201" s="31"/>
      <c r="I201" s="33"/>
      <c r="J201" s="31"/>
      <c r="K201" s="31"/>
      <c r="L201" s="32"/>
      <c r="M201" s="32"/>
      <c r="N201" s="32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ht="13.5" customHeight="1">
      <c r="A202" s="31"/>
      <c r="B202" s="32"/>
      <c r="C202" s="31"/>
      <c r="D202" s="31"/>
      <c r="E202" s="31"/>
      <c r="F202" s="31"/>
      <c r="G202" s="31"/>
      <c r="H202" s="31"/>
      <c r="I202" s="33"/>
      <c r="J202" s="31"/>
      <c r="K202" s="31"/>
      <c r="L202" s="32"/>
      <c r="M202" s="32"/>
      <c r="N202" s="32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ht="13.5" customHeight="1">
      <c r="A203" s="31"/>
      <c r="B203" s="32"/>
      <c r="C203" s="31"/>
      <c r="D203" s="31"/>
      <c r="E203" s="31"/>
      <c r="F203" s="31"/>
      <c r="G203" s="31"/>
      <c r="H203" s="31"/>
      <c r="I203" s="33"/>
      <c r="J203" s="31"/>
      <c r="K203" s="31"/>
      <c r="L203" s="32"/>
      <c r="M203" s="32"/>
      <c r="N203" s="32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ht="13.5" customHeight="1">
      <c r="A204" s="31"/>
      <c r="B204" s="32"/>
      <c r="C204" s="31"/>
      <c r="D204" s="31"/>
      <c r="E204" s="31"/>
      <c r="F204" s="31"/>
      <c r="G204" s="31"/>
      <c r="H204" s="31"/>
      <c r="I204" s="33"/>
      <c r="J204" s="31"/>
      <c r="K204" s="31"/>
      <c r="L204" s="32"/>
      <c r="M204" s="32"/>
      <c r="N204" s="32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ht="13.5" customHeight="1">
      <c r="A205" s="31"/>
      <c r="B205" s="32"/>
      <c r="C205" s="31"/>
      <c r="D205" s="31"/>
      <c r="E205" s="31"/>
      <c r="F205" s="31"/>
      <c r="G205" s="31"/>
      <c r="H205" s="31"/>
      <c r="I205" s="33"/>
      <c r="J205" s="31"/>
      <c r="K205" s="31"/>
      <c r="L205" s="32"/>
      <c r="M205" s="32"/>
      <c r="N205" s="32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ht="13.5" customHeight="1">
      <c r="A206" s="31"/>
      <c r="B206" s="32"/>
      <c r="C206" s="31"/>
      <c r="D206" s="31"/>
      <c r="E206" s="31"/>
      <c r="F206" s="31"/>
      <c r="G206" s="31"/>
      <c r="H206" s="31"/>
      <c r="I206" s="33"/>
      <c r="J206" s="31"/>
      <c r="K206" s="31"/>
      <c r="L206" s="32"/>
      <c r="M206" s="32"/>
      <c r="N206" s="32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ht="13.5" customHeight="1">
      <c r="A207" s="31"/>
      <c r="B207" s="32"/>
      <c r="C207" s="31"/>
      <c r="D207" s="31"/>
      <c r="E207" s="31"/>
      <c r="F207" s="31"/>
      <c r="G207" s="31"/>
      <c r="H207" s="31"/>
      <c r="I207" s="33"/>
      <c r="J207" s="31"/>
      <c r="K207" s="31"/>
      <c r="L207" s="32"/>
      <c r="M207" s="32"/>
      <c r="N207" s="32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ht="13.5" customHeight="1">
      <c r="A208" s="31"/>
      <c r="B208" s="32"/>
      <c r="C208" s="31"/>
      <c r="D208" s="31"/>
      <c r="E208" s="31"/>
      <c r="F208" s="31"/>
      <c r="G208" s="31"/>
      <c r="H208" s="31"/>
      <c r="I208" s="33"/>
      <c r="J208" s="31"/>
      <c r="K208" s="31"/>
      <c r="L208" s="32"/>
      <c r="M208" s="32"/>
      <c r="N208" s="32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ht="13.5" customHeight="1">
      <c r="A209" s="31"/>
      <c r="B209" s="32"/>
      <c r="C209" s="31"/>
      <c r="D209" s="31"/>
      <c r="E209" s="31"/>
      <c r="F209" s="31"/>
      <c r="G209" s="31"/>
      <c r="H209" s="31"/>
      <c r="I209" s="33"/>
      <c r="J209" s="31"/>
      <c r="K209" s="31"/>
      <c r="L209" s="32"/>
      <c r="M209" s="32"/>
      <c r="N209" s="32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ht="13.5" customHeight="1">
      <c r="A210" s="31"/>
      <c r="B210" s="32"/>
      <c r="C210" s="31"/>
      <c r="D210" s="31"/>
      <c r="E210" s="31"/>
      <c r="F210" s="31"/>
      <c r="G210" s="31"/>
      <c r="H210" s="31"/>
      <c r="I210" s="33"/>
      <c r="J210" s="31"/>
      <c r="K210" s="31"/>
      <c r="L210" s="32"/>
      <c r="M210" s="32"/>
      <c r="N210" s="32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ht="13.5" customHeight="1">
      <c r="A211" s="31"/>
      <c r="B211" s="32"/>
      <c r="C211" s="31"/>
      <c r="D211" s="31"/>
      <c r="E211" s="31"/>
      <c r="F211" s="31"/>
      <c r="G211" s="31"/>
      <c r="H211" s="31"/>
      <c r="I211" s="33"/>
      <c r="J211" s="31"/>
      <c r="K211" s="31"/>
      <c r="L211" s="32"/>
      <c r="M211" s="32"/>
      <c r="N211" s="32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ht="13.5" customHeight="1">
      <c r="A212" s="31"/>
      <c r="B212" s="32"/>
      <c r="C212" s="31"/>
      <c r="D212" s="31"/>
      <c r="E212" s="31"/>
      <c r="F212" s="31"/>
      <c r="G212" s="31"/>
      <c r="H212" s="31"/>
      <c r="I212" s="33"/>
      <c r="J212" s="31"/>
      <c r="K212" s="31"/>
      <c r="L212" s="32"/>
      <c r="M212" s="32"/>
      <c r="N212" s="32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ht="13.5" customHeight="1">
      <c r="A213" s="31"/>
      <c r="B213" s="32"/>
      <c r="C213" s="31"/>
      <c r="D213" s="31"/>
      <c r="E213" s="31"/>
      <c r="F213" s="31"/>
      <c r="G213" s="31"/>
      <c r="H213" s="31"/>
      <c r="I213" s="33"/>
      <c r="J213" s="31"/>
      <c r="K213" s="31"/>
      <c r="L213" s="32"/>
      <c r="M213" s="32"/>
      <c r="N213" s="32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ht="13.5" customHeight="1">
      <c r="A214" s="31"/>
      <c r="B214" s="32"/>
      <c r="C214" s="31"/>
      <c r="D214" s="31"/>
      <c r="E214" s="31"/>
      <c r="F214" s="31"/>
      <c r="G214" s="31"/>
      <c r="H214" s="31"/>
      <c r="I214" s="33"/>
      <c r="J214" s="31"/>
      <c r="K214" s="31"/>
      <c r="L214" s="32"/>
      <c r="M214" s="32"/>
      <c r="N214" s="32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ht="13.5" customHeight="1">
      <c r="A215" s="31"/>
      <c r="B215" s="32"/>
      <c r="C215" s="31"/>
      <c r="D215" s="31"/>
      <c r="E215" s="31"/>
      <c r="F215" s="31"/>
      <c r="G215" s="31"/>
      <c r="H215" s="31"/>
      <c r="I215" s="33"/>
      <c r="J215" s="31"/>
      <c r="K215" s="31"/>
      <c r="L215" s="32"/>
      <c r="M215" s="32"/>
      <c r="N215" s="32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ht="13.5" customHeight="1">
      <c r="A216" s="31"/>
      <c r="B216" s="32"/>
      <c r="C216" s="31"/>
      <c r="D216" s="31"/>
      <c r="E216" s="31"/>
      <c r="F216" s="31"/>
      <c r="G216" s="31"/>
      <c r="H216" s="31"/>
      <c r="I216" s="33"/>
      <c r="J216" s="31"/>
      <c r="K216" s="31"/>
      <c r="L216" s="32"/>
      <c r="M216" s="32"/>
      <c r="N216" s="32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ht="13.5" customHeight="1">
      <c r="A217" s="31"/>
      <c r="B217" s="32"/>
      <c r="C217" s="31"/>
      <c r="D217" s="31"/>
      <c r="E217" s="31"/>
      <c r="F217" s="31"/>
      <c r="G217" s="31"/>
      <c r="H217" s="31"/>
      <c r="I217" s="33"/>
      <c r="J217" s="31"/>
      <c r="K217" s="31"/>
      <c r="L217" s="32"/>
      <c r="M217" s="32"/>
      <c r="N217" s="32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ht="13.5" customHeight="1">
      <c r="A218" s="31"/>
      <c r="B218" s="32"/>
      <c r="C218" s="31"/>
      <c r="D218" s="31"/>
      <c r="E218" s="31"/>
      <c r="F218" s="31"/>
      <c r="G218" s="31"/>
      <c r="H218" s="31"/>
      <c r="I218" s="33"/>
      <c r="J218" s="31"/>
      <c r="K218" s="31"/>
      <c r="L218" s="32"/>
      <c r="M218" s="32"/>
      <c r="N218" s="32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ht="13.5" customHeight="1">
      <c r="A219" s="31"/>
      <c r="B219" s="32"/>
      <c r="C219" s="31"/>
      <c r="D219" s="31"/>
      <c r="E219" s="31"/>
      <c r="F219" s="31"/>
      <c r="G219" s="31"/>
      <c r="H219" s="31"/>
      <c r="I219" s="33"/>
      <c r="J219" s="31"/>
      <c r="K219" s="31"/>
      <c r="L219" s="32"/>
      <c r="M219" s="32"/>
      <c r="N219" s="32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ht="13.5" customHeight="1">
      <c r="A220" s="31"/>
      <c r="B220" s="32"/>
      <c r="C220" s="31"/>
      <c r="D220" s="31"/>
      <c r="E220" s="31"/>
      <c r="F220" s="31"/>
      <c r="G220" s="31"/>
      <c r="H220" s="31"/>
      <c r="I220" s="33"/>
      <c r="J220" s="31"/>
      <c r="K220" s="31"/>
      <c r="L220" s="32"/>
      <c r="M220" s="32"/>
      <c r="N220" s="32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ht="13.5" customHeight="1">
      <c r="A221" s="31"/>
      <c r="B221" s="32"/>
      <c r="C221" s="31"/>
      <c r="D221" s="31"/>
      <c r="E221" s="31"/>
      <c r="F221" s="31"/>
      <c r="G221" s="31"/>
      <c r="H221" s="31"/>
      <c r="I221" s="33"/>
      <c r="J221" s="31"/>
      <c r="K221" s="31"/>
      <c r="L221" s="32"/>
      <c r="M221" s="32"/>
      <c r="N221" s="32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ht="13.5" customHeight="1">
      <c r="A222" s="31"/>
      <c r="B222" s="32"/>
      <c r="C222" s="31"/>
      <c r="D222" s="31"/>
      <c r="E222" s="31"/>
      <c r="F222" s="31"/>
      <c r="G222" s="31"/>
      <c r="H222" s="31"/>
      <c r="I222" s="33"/>
      <c r="J222" s="31"/>
      <c r="K222" s="31"/>
      <c r="L222" s="32"/>
      <c r="M222" s="32"/>
      <c r="N222" s="32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ht="13.5" customHeight="1">
      <c r="A223" s="31"/>
      <c r="B223" s="32"/>
      <c r="C223" s="31"/>
      <c r="D223" s="31"/>
      <c r="E223" s="31"/>
      <c r="F223" s="31"/>
      <c r="G223" s="31"/>
      <c r="H223" s="31"/>
      <c r="I223" s="33"/>
      <c r="J223" s="31"/>
      <c r="K223" s="31"/>
      <c r="L223" s="32"/>
      <c r="M223" s="32"/>
      <c r="N223" s="32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ht="13.5" customHeight="1">
      <c r="A224" s="31"/>
      <c r="B224" s="32"/>
      <c r="C224" s="31"/>
      <c r="D224" s="31"/>
      <c r="E224" s="31"/>
      <c r="F224" s="31"/>
      <c r="G224" s="31"/>
      <c r="H224" s="31"/>
      <c r="I224" s="33"/>
      <c r="J224" s="31"/>
      <c r="K224" s="31"/>
      <c r="L224" s="32"/>
      <c r="M224" s="32"/>
      <c r="N224" s="32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ht="13.5" customHeight="1">
      <c r="A225" s="31"/>
      <c r="B225" s="32"/>
      <c r="C225" s="31"/>
      <c r="D225" s="31"/>
      <c r="E225" s="31"/>
      <c r="F225" s="31"/>
      <c r="G225" s="31"/>
      <c r="H225" s="31"/>
      <c r="I225" s="33"/>
      <c r="J225" s="31"/>
      <c r="K225" s="31"/>
      <c r="L225" s="32"/>
      <c r="M225" s="32"/>
      <c r="N225" s="32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ht="13.5" customHeight="1">
      <c r="A226" s="31"/>
      <c r="B226" s="32"/>
      <c r="C226" s="31"/>
      <c r="D226" s="31"/>
      <c r="E226" s="31"/>
      <c r="F226" s="31"/>
      <c r="G226" s="31"/>
      <c r="H226" s="31"/>
      <c r="I226" s="33"/>
      <c r="J226" s="31"/>
      <c r="K226" s="31"/>
      <c r="L226" s="32"/>
      <c r="M226" s="32"/>
      <c r="N226" s="32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ht="13.5" customHeight="1">
      <c r="A227" s="31"/>
      <c r="B227" s="32"/>
      <c r="C227" s="31"/>
      <c r="D227" s="31"/>
      <c r="E227" s="31"/>
      <c r="F227" s="31"/>
      <c r="G227" s="31"/>
      <c r="H227" s="31"/>
      <c r="I227" s="33"/>
      <c r="J227" s="31"/>
      <c r="K227" s="31"/>
      <c r="L227" s="32"/>
      <c r="M227" s="32"/>
      <c r="N227" s="32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ht="13.5" customHeight="1">
      <c r="A228" s="31"/>
      <c r="B228" s="32"/>
      <c r="C228" s="31"/>
      <c r="D228" s="31"/>
      <c r="E228" s="31"/>
      <c r="F228" s="31"/>
      <c r="G228" s="31"/>
      <c r="H228" s="31"/>
      <c r="I228" s="33"/>
      <c r="J228" s="31"/>
      <c r="K228" s="31"/>
      <c r="L228" s="32"/>
      <c r="M228" s="32"/>
      <c r="N228" s="32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ht="13.5" customHeight="1">
      <c r="A229" s="31"/>
      <c r="B229" s="32"/>
      <c r="C229" s="31"/>
      <c r="D229" s="31"/>
      <c r="E229" s="31"/>
      <c r="F229" s="31"/>
      <c r="G229" s="31"/>
      <c r="H229" s="31"/>
      <c r="I229" s="33"/>
      <c r="J229" s="31"/>
      <c r="K229" s="31"/>
      <c r="L229" s="32"/>
      <c r="M229" s="32"/>
      <c r="N229" s="32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ht="13.5" customHeight="1">
      <c r="A230" s="31"/>
      <c r="B230" s="32"/>
      <c r="C230" s="31"/>
      <c r="D230" s="31"/>
      <c r="E230" s="31"/>
      <c r="F230" s="31"/>
      <c r="G230" s="31"/>
      <c r="H230" s="31"/>
      <c r="I230" s="33"/>
      <c r="J230" s="31"/>
      <c r="K230" s="31"/>
      <c r="L230" s="32"/>
      <c r="M230" s="32"/>
      <c r="N230" s="32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ht="13.5" customHeight="1">
      <c r="A231" s="31"/>
      <c r="B231" s="32"/>
      <c r="C231" s="31"/>
      <c r="D231" s="31"/>
      <c r="E231" s="31"/>
      <c r="F231" s="31"/>
      <c r="G231" s="31"/>
      <c r="H231" s="31"/>
      <c r="I231" s="33"/>
      <c r="J231" s="31"/>
      <c r="K231" s="31"/>
      <c r="L231" s="32"/>
      <c r="M231" s="32"/>
      <c r="N231" s="32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ht="13.5" customHeight="1">
      <c r="A232" s="31"/>
      <c r="B232" s="32"/>
      <c r="C232" s="31"/>
      <c r="D232" s="31"/>
      <c r="E232" s="31"/>
      <c r="F232" s="31"/>
      <c r="G232" s="31"/>
      <c r="H232" s="31"/>
      <c r="I232" s="33"/>
      <c r="J232" s="31"/>
      <c r="K232" s="31"/>
      <c r="L232" s="32"/>
      <c r="M232" s="32"/>
      <c r="N232" s="32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ht="13.5" customHeight="1">
      <c r="A233" s="31"/>
      <c r="B233" s="32"/>
      <c r="C233" s="31"/>
      <c r="D233" s="31"/>
      <c r="E233" s="31"/>
      <c r="F233" s="31"/>
      <c r="G233" s="31"/>
      <c r="H233" s="31"/>
      <c r="I233" s="33"/>
      <c r="J233" s="31"/>
      <c r="K233" s="31"/>
      <c r="L233" s="32"/>
      <c r="M233" s="32"/>
      <c r="N233" s="32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ht="13.5" customHeight="1">
      <c r="A234" s="31"/>
      <c r="B234" s="32"/>
      <c r="C234" s="31"/>
      <c r="D234" s="31"/>
      <c r="E234" s="31"/>
      <c r="F234" s="31"/>
      <c r="G234" s="31"/>
      <c r="H234" s="31"/>
      <c r="I234" s="33"/>
      <c r="J234" s="31"/>
      <c r="K234" s="31"/>
      <c r="L234" s="32"/>
      <c r="M234" s="32"/>
      <c r="N234" s="32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ht="13.5" customHeight="1">
      <c r="A235" s="31"/>
      <c r="B235" s="32"/>
      <c r="C235" s="31"/>
      <c r="D235" s="31"/>
      <c r="E235" s="31"/>
      <c r="F235" s="31"/>
      <c r="G235" s="31"/>
      <c r="H235" s="31"/>
      <c r="I235" s="33"/>
      <c r="J235" s="31"/>
      <c r="K235" s="31"/>
      <c r="L235" s="32"/>
      <c r="M235" s="32"/>
      <c r="N235" s="32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ht="13.5" customHeight="1">
      <c r="A236" s="31"/>
      <c r="B236" s="32"/>
      <c r="C236" s="31"/>
      <c r="D236" s="31"/>
      <c r="E236" s="31"/>
      <c r="F236" s="31"/>
      <c r="G236" s="31"/>
      <c r="H236" s="31"/>
      <c r="I236" s="33"/>
      <c r="J236" s="31"/>
      <c r="K236" s="31"/>
      <c r="L236" s="32"/>
      <c r="M236" s="32"/>
      <c r="N236" s="32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ht="13.5" customHeight="1">
      <c r="A237" s="31"/>
      <c r="B237" s="32"/>
      <c r="C237" s="31"/>
      <c r="D237" s="31"/>
      <c r="E237" s="31"/>
      <c r="F237" s="31"/>
      <c r="G237" s="31"/>
      <c r="H237" s="31"/>
      <c r="I237" s="33"/>
      <c r="J237" s="31"/>
      <c r="K237" s="31"/>
      <c r="L237" s="32"/>
      <c r="M237" s="32"/>
      <c r="N237" s="32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ht="13.5" customHeight="1">
      <c r="A238" s="31"/>
      <c r="B238" s="32"/>
      <c r="C238" s="31"/>
      <c r="D238" s="31"/>
      <c r="E238" s="31"/>
      <c r="F238" s="31"/>
      <c r="G238" s="31"/>
      <c r="H238" s="31"/>
      <c r="I238" s="33"/>
      <c r="J238" s="31"/>
      <c r="K238" s="31"/>
      <c r="L238" s="32"/>
      <c r="M238" s="32"/>
      <c r="N238" s="32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ht="13.5" customHeight="1">
      <c r="A239" s="31"/>
      <c r="B239" s="32"/>
      <c r="C239" s="31"/>
      <c r="D239" s="31"/>
      <c r="E239" s="31"/>
      <c r="F239" s="31"/>
      <c r="G239" s="31"/>
      <c r="H239" s="31"/>
      <c r="I239" s="33"/>
      <c r="J239" s="31"/>
      <c r="K239" s="31"/>
      <c r="L239" s="32"/>
      <c r="M239" s="32"/>
      <c r="N239" s="32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ht="13.5" customHeight="1">
      <c r="A240" s="31"/>
      <c r="B240" s="32"/>
      <c r="C240" s="31"/>
      <c r="D240" s="31"/>
      <c r="E240" s="31"/>
      <c r="F240" s="31"/>
      <c r="G240" s="31"/>
      <c r="H240" s="31"/>
      <c r="I240" s="33"/>
      <c r="J240" s="31"/>
      <c r="K240" s="31"/>
      <c r="L240" s="32"/>
      <c r="M240" s="32"/>
      <c r="N240" s="32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ht="13.5" customHeight="1">
      <c r="A241" s="31"/>
      <c r="B241" s="32"/>
      <c r="C241" s="31"/>
      <c r="D241" s="31"/>
      <c r="E241" s="31"/>
      <c r="F241" s="31"/>
      <c r="G241" s="31"/>
      <c r="H241" s="31"/>
      <c r="I241" s="33"/>
      <c r="J241" s="31"/>
      <c r="K241" s="31"/>
      <c r="L241" s="32"/>
      <c r="M241" s="32"/>
      <c r="N241" s="32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ht="13.5" customHeight="1">
      <c r="A242" s="31"/>
      <c r="B242" s="32"/>
      <c r="C242" s="31"/>
      <c r="D242" s="31"/>
      <c r="E242" s="31"/>
      <c r="F242" s="31"/>
      <c r="G242" s="31"/>
      <c r="H242" s="31"/>
      <c r="I242" s="33"/>
      <c r="J242" s="31"/>
      <c r="K242" s="31"/>
      <c r="L242" s="32"/>
      <c r="M242" s="32"/>
      <c r="N242" s="32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ht="13.5" customHeight="1">
      <c r="A243" s="31"/>
      <c r="B243" s="32"/>
      <c r="C243" s="31"/>
      <c r="D243" s="31"/>
      <c r="E243" s="31"/>
      <c r="F243" s="31"/>
      <c r="G243" s="31"/>
      <c r="H243" s="31"/>
      <c r="I243" s="33"/>
      <c r="J243" s="31"/>
      <c r="K243" s="31"/>
      <c r="L243" s="32"/>
      <c r="M243" s="32"/>
      <c r="N243" s="32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ht="13.5" customHeight="1">
      <c r="A244" s="31"/>
      <c r="B244" s="32"/>
      <c r="C244" s="31"/>
      <c r="D244" s="31"/>
      <c r="E244" s="31"/>
      <c r="F244" s="31"/>
      <c r="G244" s="31"/>
      <c r="H244" s="31"/>
      <c r="I244" s="33"/>
      <c r="J244" s="31"/>
      <c r="K244" s="31"/>
      <c r="L244" s="32"/>
      <c r="M244" s="32"/>
      <c r="N244" s="32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ht="13.5" customHeight="1">
      <c r="A245" s="31"/>
      <c r="B245" s="32"/>
      <c r="C245" s="31"/>
      <c r="D245" s="31"/>
      <c r="E245" s="31"/>
      <c r="F245" s="31"/>
      <c r="G245" s="31"/>
      <c r="H245" s="31"/>
      <c r="I245" s="33"/>
      <c r="J245" s="31"/>
      <c r="K245" s="31"/>
      <c r="L245" s="32"/>
      <c r="M245" s="32"/>
      <c r="N245" s="32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ht="13.5" customHeight="1">
      <c r="A246" s="31"/>
      <c r="B246" s="32"/>
      <c r="C246" s="31"/>
      <c r="D246" s="31"/>
      <c r="E246" s="31"/>
      <c r="F246" s="31"/>
      <c r="G246" s="31"/>
      <c r="H246" s="31"/>
      <c r="I246" s="33"/>
      <c r="J246" s="31"/>
      <c r="K246" s="31"/>
      <c r="L246" s="32"/>
      <c r="M246" s="32"/>
      <c r="N246" s="32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ht="13.5" customHeight="1">
      <c r="A247" s="31"/>
      <c r="B247" s="32"/>
      <c r="C247" s="31"/>
      <c r="D247" s="31"/>
      <c r="E247" s="31"/>
      <c r="F247" s="31"/>
      <c r="G247" s="31"/>
      <c r="H247" s="31"/>
      <c r="I247" s="33"/>
      <c r="J247" s="31"/>
      <c r="K247" s="31"/>
      <c r="L247" s="32"/>
      <c r="M247" s="32"/>
      <c r="N247" s="32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ht="13.5" customHeight="1">
      <c r="A248" s="31"/>
      <c r="B248" s="32"/>
      <c r="C248" s="31"/>
      <c r="D248" s="31"/>
      <c r="E248" s="31"/>
      <c r="F248" s="31"/>
      <c r="G248" s="31"/>
      <c r="H248" s="31"/>
      <c r="I248" s="33"/>
      <c r="J248" s="31"/>
      <c r="K248" s="31"/>
      <c r="L248" s="32"/>
      <c r="M248" s="32"/>
      <c r="N248" s="32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ht="13.5" customHeight="1">
      <c r="A249" s="31"/>
      <c r="B249" s="32"/>
      <c r="C249" s="31"/>
      <c r="D249" s="31"/>
      <c r="E249" s="31"/>
      <c r="F249" s="31"/>
      <c r="G249" s="31"/>
      <c r="H249" s="31"/>
      <c r="I249" s="33"/>
      <c r="J249" s="31"/>
      <c r="K249" s="31"/>
      <c r="L249" s="32"/>
      <c r="M249" s="32"/>
      <c r="N249" s="32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ht="13.5" customHeight="1">
      <c r="A250" s="31"/>
      <c r="B250" s="32"/>
      <c r="C250" s="31"/>
      <c r="D250" s="31"/>
      <c r="E250" s="31"/>
      <c r="F250" s="31"/>
      <c r="G250" s="31"/>
      <c r="H250" s="31"/>
      <c r="I250" s="33"/>
      <c r="J250" s="31"/>
      <c r="K250" s="31"/>
      <c r="L250" s="32"/>
      <c r="M250" s="32"/>
      <c r="N250" s="32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ht="13.5" customHeight="1">
      <c r="A251" s="31"/>
      <c r="B251" s="32"/>
      <c r="C251" s="31"/>
      <c r="D251" s="31"/>
      <c r="E251" s="31"/>
      <c r="F251" s="31"/>
      <c r="G251" s="31"/>
      <c r="H251" s="31"/>
      <c r="I251" s="33"/>
      <c r="J251" s="31"/>
      <c r="K251" s="31"/>
      <c r="L251" s="32"/>
      <c r="M251" s="32"/>
      <c r="N251" s="32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ht="13.5" customHeight="1">
      <c r="A252" s="31"/>
      <c r="B252" s="32"/>
      <c r="C252" s="31"/>
      <c r="D252" s="31"/>
      <c r="E252" s="31"/>
      <c r="F252" s="31"/>
      <c r="G252" s="31"/>
      <c r="H252" s="31"/>
      <c r="I252" s="33"/>
      <c r="J252" s="31"/>
      <c r="K252" s="31"/>
      <c r="L252" s="32"/>
      <c r="M252" s="32"/>
      <c r="N252" s="32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ht="13.5" customHeight="1">
      <c r="A253" s="31"/>
      <c r="B253" s="32"/>
      <c r="C253" s="31"/>
      <c r="D253" s="31"/>
      <c r="E253" s="31"/>
      <c r="F253" s="31"/>
      <c r="G253" s="31"/>
      <c r="H253" s="31"/>
      <c r="I253" s="33"/>
      <c r="J253" s="31"/>
      <c r="K253" s="31"/>
      <c r="L253" s="32"/>
      <c r="M253" s="32"/>
      <c r="N253" s="32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ht="13.5" customHeight="1">
      <c r="A254" s="31"/>
      <c r="B254" s="32"/>
      <c r="C254" s="31"/>
      <c r="D254" s="31"/>
      <c r="E254" s="31"/>
      <c r="F254" s="31"/>
      <c r="G254" s="31"/>
      <c r="H254" s="31"/>
      <c r="I254" s="33"/>
      <c r="J254" s="31"/>
      <c r="K254" s="31"/>
      <c r="L254" s="32"/>
      <c r="M254" s="32"/>
      <c r="N254" s="32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ht="13.5" customHeight="1">
      <c r="A255" s="31"/>
      <c r="B255" s="32"/>
      <c r="C255" s="31"/>
      <c r="D255" s="31"/>
      <c r="E255" s="31"/>
      <c r="F255" s="31"/>
      <c r="G255" s="31"/>
      <c r="H255" s="31"/>
      <c r="I255" s="33"/>
      <c r="J255" s="31"/>
      <c r="K255" s="31"/>
      <c r="L255" s="32"/>
      <c r="M255" s="32"/>
      <c r="N255" s="32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ht="13.5" customHeight="1">
      <c r="A256" s="31"/>
      <c r="B256" s="32"/>
      <c r="C256" s="31"/>
      <c r="D256" s="31"/>
      <c r="E256" s="31"/>
      <c r="F256" s="31"/>
      <c r="G256" s="31"/>
      <c r="H256" s="31"/>
      <c r="I256" s="33"/>
      <c r="J256" s="31"/>
      <c r="K256" s="31"/>
      <c r="L256" s="32"/>
      <c r="M256" s="32"/>
      <c r="N256" s="32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ht="13.5" customHeight="1">
      <c r="A257" s="31"/>
      <c r="B257" s="32"/>
      <c r="C257" s="31"/>
      <c r="D257" s="31"/>
      <c r="E257" s="31"/>
      <c r="F257" s="31"/>
      <c r="G257" s="31"/>
      <c r="H257" s="31"/>
      <c r="I257" s="33"/>
      <c r="J257" s="31"/>
      <c r="K257" s="31"/>
      <c r="L257" s="32"/>
      <c r="M257" s="32"/>
      <c r="N257" s="32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ht="13.5" customHeight="1">
      <c r="A258" s="31"/>
      <c r="B258" s="32"/>
      <c r="C258" s="31"/>
      <c r="D258" s="31"/>
      <c r="E258" s="31"/>
      <c r="F258" s="31"/>
      <c r="G258" s="31"/>
      <c r="H258" s="31"/>
      <c r="I258" s="33"/>
      <c r="J258" s="31"/>
      <c r="K258" s="31"/>
      <c r="L258" s="32"/>
      <c r="M258" s="32"/>
      <c r="N258" s="32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ht="13.5" customHeight="1">
      <c r="A259" s="31"/>
      <c r="B259" s="32"/>
      <c r="C259" s="31"/>
      <c r="D259" s="31"/>
      <c r="E259" s="31"/>
      <c r="F259" s="31"/>
      <c r="G259" s="31"/>
      <c r="H259" s="31"/>
      <c r="I259" s="33"/>
      <c r="J259" s="31"/>
      <c r="K259" s="31"/>
      <c r="L259" s="32"/>
      <c r="M259" s="32"/>
      <c r="N259" s="32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ht="13.5" customHeight="1">
      <c r="A260" s="31"/>
      <c r="B260" s="32"/>
      <c r="C260" s="31"/>
      <c r="D260" s="31"/>
      <c r="E260" s="31"/>
      <c r="F260" s="31"/>
      <c r="G260" s="31"/>
      <c r="H260" s="31"/>
      <c r="I260" s="33"/>
      <c r="J260" s="31"/>
      <c r="K260" s="31"/>
      <c r="L260" s="32"/>
      <c r="M260" s="32"/>
      <c r="N260" s="32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ht="13.5" customHeight="1">
      <c r="A261" s="31"/>
      <c r="B261" s="32"/>
      <c r="C261" s="31"/>
      <c r="D261" s="31"/>
      <c r="E261" s="31"/>
      <c r="F261" s="31"/>
      <c r="G261" s="31"/>
      <c r="H261" s="31"/>
      <c r="I261" s="33"/>
      <c r="J261" s="31"/>
      <c r="K261" s="31"/>
      <c r="L261" s="32"/>
      <c r="M261" s="32"/>
      <c r="N261" s="32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ht="13.5" customHeight="1">
      <c r="A262" s="31"/>
      <c r="B262" s="32"/>
      <c r="C262" s="31"/>
      <c r="D262" s="31"/>
      <c r="E262" s="31"/>
      <c r="F262" s="31"/>
      <c r="G262" s="31"/>
      <c r="H262" s="31"/>
      <c r="I262" s="33"/>
      <c r="J262" s="31"/>
      <c r="K262" s="31"/>
      <c r="L262" s="32"/>
      <c r="M262" s="32"/>
      <c r="N262" s="32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ht="13.5" customHeight="1">
      <c r="A263" s="31"/>
      <c r="B263" s="32"/>
      <c r="C263" s="31"/>
      <c r="D263" s="31"/>
      <c r="E263" s="31"/>
      <c r="F263" s="31"/>
      <c r="G263" s="31"/>
      <c r="H263" s="31"/>
      <c r="I263" s="33"/>
      <c r="J263" s="31"/>
      <c r="K263" s="31"/>
      <c r="L263" s="32"/>
      <c r="M263" s="32"/>
      <c r="N263" s="32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ht="13.5" customHeight="1">
      <c r="A264" s="31"/>
      <c r="B264" s="32"/>
      <c r="C264" s="31"/>
      <c r="D264" s="31"/>
      <c r="E264" s="31"/>
      <c r="F264" s="31"/>
      <c r="G264" s="31"/>
      <c r="H264" s="31"/>
      <c r="I264" s="33"/>
      <c r="J264" s="31"/>
      <c r="K264" s="31"/>
      <c r="L264" s="32"/>
      <c r="M264" s="32"/>
      <c r="N264" s="32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ht="13.5" customHeight="1">
      <c r="A265" s="31"/>
      <c r="B265" s="32"/>
      <c r="C265" s="31"/>
      <c r="D265" s="31"/>
      <c r="E265" s="31"/>
      <c r="F265" s="31"/>
      <c r="G265" s="31"/>
      <c r="H265" s="31"/>
      <c r="I265" s="33"/>
      <c r="J265" s="31"/>
      <c r="K265" s="31"/>
      <c r="L265" s="32"/>
      <c r="M265" s="32"/>
      <c r="N265" s="32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ht="13.5" customHeight="1">
      <c r="A266" s="31"/>
      <c r="B266" s="32"/>
      <c r="C266" s="31"/>
      <c r="D266" s="31"/>
      <c r="E266" s="31"/>
      <c r="F266" s="31"/>
      <c r="G266" s="31"/>
      <c r="H266" s="31"/>
      <c r="I266" s="33"/>
      <c r="J266" s="31"/>
      <c r="K266" s="31"/>
      <c r="L266" s="32"/>
      <c r="M266" s="32"/>
      <c r="N266" s="32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ht="13.5" customHeight="1">
      <c r="A267" s="31"/>
      <c r="B267" s="32"/>
      <c r="C267" s="31"/>
      <c r="D267" s="31"/>
      <c r="E267" s="31"/>
      <c r="F267" s="31"/>
      <c r="G267" s="31"/>
      <c r="H267" s="31"/>
      <c r="I267" s="33"/>
      <c r="J267" s="31"/>
      <c r="K267" s="31"/>
      <c r="L267" s="32"/>
      <c r="M267" s="32"/>
      <c r="N267" s="32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ht="13.5" customHeight="1">
      <c r="A268" s="31"/>
      <c r="B268" s="32"/>
      <c r="C268" s="31"/>
      <c r="D268" s="31"/>
      <c r="E268" s="31"/>
      <c r="F268" s="31"/>
      <c r="G268" s="31"/>
      <c r="H268" s="31"/>
      <c r="I268" s="33"/>
      <c r="J268" s="31"/>
      <c r="K268" s="31"/>
      <c r="L268" s="32"/>
      <c r="M268" s="32"/>
      <c r="N268" s="32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ht="13.5" customHeight="1">
      <c r="A269" s="31"/>
      <c r="B269" s="32"/>
      <c r="C269" s="31"/>
      <c r="D269" s="31"/>
      <c r="E269" s="31"/>
      <c r="F269" s="31"/>
      <c r="G269" s="31"/>
      <c r="H269" s="31"/>
      <c r="I269" s="33"/>
      <c r="J269" s="31"/>
      <c r="K269" s="31"/>
      <c r="L269" s="32"/>
      <c r="M269" s="32"/>
      <c r="N269" s="32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ht="13.5" customHeight="1">
      <c r="A270" s="31"/>
      <c r="B270" s="32"/>
      <c r="C270" s="31"/>
      <c r="D270" s="31"/>
      <c r="E270" s="31"/>
      <c r="F270" s="31"/>
      <c r="G270" s="31"/>
      <c r="H270" s="31"/>
      <c r="I270" s="33"/>
      <c r="J270" s="31"/>
      <c r="K270" s="31"/>
      <c r="L270" s="32"/>
      <c r="M270" s="32"/>
      <c r="N270" s="32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ht="13.5" customHeight="1">
      <c r="A271" s="31"/>
      <c r="B271" s="32"/>
      <c r="C271" s="31"/>
      <c r="D271" s="31"/>
      <c r="E271" s="31"/>
      <c r="F271" s="31"/>
      <c r="G271" s="31"/>
      <c r="H271" s="31"/>
      <c r="I271" s="33"/>
      <c r="J271" s="31"/>
      <c r="K271" s="31"/>
      <c r="L271" s="32"/>
      <c r="M271" s="32"/>
      <c r="N271" s="32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ht="13.5" customHeight="1">
      <c r="A272" s="31"/>
      <c r="B272" s="32"/>
      <c r="C272" s="31"/>
      <c r="D272" s="31"/>
      <c r="E272" s="31"/>
      <c r="F272" s="31"/>
      <c r="G272" s="31"/>
      <c r="H272" s="31"/>
      <c r="I272" s="33"/>
      <c r="J272" s="31"/>
      <c r="K272" s="31"/>
      <c r="L272" s="32"/>
      <c r="M272" s="32"/>
      <c r="N272" s="32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ht="13.5" customHeight="1">
      <c r="A273" s="31"/>
      <c r="B273" s="32"/>
      <c r="C273" s="31"/>
      <c r="D273" s="31"/>
      <c r="E273" s="31"/>
      <c r="F273" s="31"/>
      <c r="G273" s="31"/>
      <c r="H273" s="31"/>
      <c r="I273" s="33"/>
      <c r="J273" s="31"/>
      <c r="K273" s="31"/>
      <c r="L273" s="32"/>
      <c r="M273" s="32"/>
      <c r="N273" s="32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ht="13.5" customHeight="1">
      <c r="A274" s="31"/>
      <c r="B274" s="32"/>
      <c r="C274" s="31"/>
      <c r="D274" s="31"/>
      <c r="E274" s="31"/>
      <c r="F274" s="31"/>
      <c r="G274" s="31"/>
      <c r="H274" s="31"/>
      <c r="I274" s="33"/>
      <c r="J274" s="31"/>
      <c r="K274" s="31"/>
      <c r="L274" s="32"/>
      <c r="M274" s="32"/>
      <c r="N274" s="32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ht="13.5" customHeight="1">
      <c r="A275" s="31"/>
      <c r="B275" s="32"/>
      <c r="C275" s="31"/>
      <c r="D275" s="31"/>
      <c r="E275" s="31"/>
      <c r="F275" s="31"/>
      <c r="G275" s="31"/>
      <c r="H275" s="31"/>
      <c r="I275" s="33"/>
      <c r="J275" s="31"/>
      <c r="K275" s="31"/>
      <c r="L275" s="32"/>
      <c r="M275" s="32"/>
      <c r="N275" s="32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ht="13.5" customHeight="1">
      <c r="A276" s="31"/>
      <c r="B276" s="32"/>
      <c r="C276" s="31"/>
      <c r="D276" s="31"/>
      <c r="E276" s="31"/>
      <c r="F276" s="31"/>
      <c r="G276" s="31"/>
      <c r="H276" s="31"/>
      <c r="I276" s="33"/>
      <c r="J276" s="31"/>
      <c r="K276" s="31"/>
      <c r="L276" s="32"/>
      <c r="M276" s="32"/>
      <c r="N276" s="32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ht="13.5" customHeight="1">
      <c r="A277" s="31"/>
      <c r="B277" s="32"/>
      <c r="C277" s="31"/>
      <c r="D277" s="31"/>
      <c r="E277" s="31"/>
      <c r="F277" s="31"/>
      <c r="G277" s="31"/>
      <c r="H277" s="31"/>
      <c r="I277" s="33"/>
      <c r="J277" s="31"/>
      <c r="K277" s="31"/>
      <c r="L277" s="32"/>
      <c r="M277" s="32"/>
      <c r="N277" s="32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ht="13.5" customHeight="1">
      <c r="A278" s="31"/>
      <c r="B278" s="32"/>
      <c r="C278" s="31"/>
      <c r="D278" s="31"/>
      <c r="E278" s="31"/>
      <c r="F278" s="31"/>
      <c r="G278" s="31"/>
      <c r="H278" s="31"/>
      <c r="I278" s="33"/>
      <c r="J278" s="31"/>
      <c r="K278" s="31"/>
      <c r="L278" s="32"/>
      <c r="M278" s="32"/>
      <c r="N278" s="32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ht="13.5" customHeight="1">
      <c r="A279" s="31"/>
      <c r="B279" s="32"/>
      <c r="C279" s="31"/>
      <c r="D279" s="31"/>
      <c r="E279" s="31"/>
      <c r="F279" s="31"/>
      <c r="G279" s="31"/>
      <c r="H279" s="31"/>
      <c r="I279" s="33"/>
      <c r="J279" s="31"/>
      <c r="K279" s="31"/>
      <c r="L279" s="32"/>
      <c r="M279" s="32"/>
      <c r="N279" s="32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ht="13.5" customHeight="1">
      <c r="A280" s="31"/>
      <c r="B280" s="32"/>
      <c r="C280" s="31"/>
      <c r="D280" s="31"/>
      <c r="E280" s="31"/>
      <c r="F280" s="31"/>
      <c r="G280" s="31"/>
      <c r="H280" s="31"/>
      <c r="I280" s="33"/>
      <c r="J280" s="31"/>
      <c r="K280" s="31"/>
      <c r="L280" s="32"/>
      <c r="M280" s="32"/>
      <c r="N280" s="32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ht="13.5" customHeight="1">
      <c r="A281" s="31"/>
      <c r="B281" s="32"/>
      <c r="C281" s="31"/>
      <c r="D281" s="31"/>
      <c r="E281" s="31"/>
      <c r="F281" s="31"/>
      <c r="G281" s="31"/>
      <c r="H281" s="31"/>
      <c r="I281" s="33"/>
      <c r="J281" s="31"/>
      <c r="K281" s="31"/>
      <c r="L281" s="32"/>
      <c r="M281" s="32"/>
      <c r="N281" s="32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ht="13.5" customHeight="1">
      <c r="A282" s="31"/>
      <c r="B282" s="32"/>
      <c r="C282" s="31"/>
      <c r="D282" s="31"/>
      <c r="E282" s="31"/>
      <c r="F282" s="31"/>
      <c r="G282" s="31"/>
      <c r="H282" s="31"/>
      <c r="I282" s="33"/>
      <c r="J282" s="31"/>
      <c r="K282" s="31"/>
      <c r="L282" s="32"/>
      <c r="M282" s="32"/>
      <c r="N282" s="32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ht="13.5" customHeight="1">
      <c r="A283" s="31"/>
      <c r="B283" s="32"/>
      <c r="C283" s="31"/>
      <c r="D283" s="31"/>
      <c r="E283" s="31"/>
      <c r="F283" s="31"/>
      <c r="G283" s="31"/>
      <c r="H283" s="31"/>
      <c r="I283" s="33"/>
      <c r="J283" s="31"/>
      <c r="K283" s="31"/>
      <c r="L283" s="32"/>
      <c r="M283" s="32"/>
      <c r="N283" s="32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ht="13.5" customHeight="1">
      <c r="A284" s="31"/>
      <c r="B284" s="32"/>
      <c r="C284" s="31"/>
      <c r="D284" s="31"/>
      <c r="E284" s="31"/>
      <c r="F284" s="31"/>
      <c r="G284" s="31"/>
      <c r="H284" s="31"/>
      <c r="I284" s="33"/>
      <c r="J284" s="31"/>
      <c r="K284" s="31"/>
      <c r="L284" s="32"/>
      <c r="M284" s="32"/>
      <c r="N284" s="32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ht="13.5" customHeight="1">
      <c r="A285" s="31"/>
      <c r="B285" s="32"/>
      <c r="C285" s="31"/>
      <c r="D285" s="31"/>
      <c r="E285" s="31"/>
      <c r="F285" s="31"/>
      <c r="G285" s="31"/>
      <c r="H285" s="31"/>
      <c r="I285" s="33"/>
      <c r="J285" s="31"/>
      <c r="K285" s="31"/>
      <c r="L285" s="32"/>
      <c r="M285" s="32"/>
      <c r="N285" s="32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ht="13.5" customHeight="1">
      <c r="A286" s="31"/>
      <c r="B286" s="32"/>
      <c r="C286" s="31"/>
      <c r="D286" s="31"/>
      <c r="E286" s="31"/>
      <c r="F286" s="31"/>
      <c r="G286" s="31"/>
      <c r="H286" s="31"/>
      <c r="I286" s="33"/>
      <c r="J286" s="31"/>
      <c r="K286" s="31"/>
      <c r="L286" s="32"/>
      <c r="M286" s="32"/>
      <c r="N286" s="32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ht="13.5" customHeight="1">
      <c r="A287" s="31"/>
      <c r="B287" s="32"/>
      <c r="C287" s="31"/>
      <c r="D287" s="31"/>
      <c r="E287" s="31"/>
      <c r="F287" s="31"/>
      <c r="G287" s="31"/>
      <c r="H287" s="31"/>
      <c r="I287" s="33"/>
      <c r="J287" s="31"/>
      <c r="K287" s="31"/>
      <c r="L287" s="32"/>
      <c r="M287" s="32"/>
      <c r="N287" s="32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ht="13.5" customHeight="1">
      <c r="A288" s="31"/>
      <c r="B288" s="32"/>
      <c r="C288" s="31"/>
      <c r="D288" s="31"/>
      <c r="E288" s="31"/>
      <c r="F288" s="31"/>
      <c r="G288" s="31"/>
      <c r="H288" s="31"/>
      <c r="I288" s="33"/>
      <c r="J288" s="31"/>
      <c r="K288" s="31"/>
      <c r="L288" s="32"/>
      <c r="M288" s="32"/>
      <c r="N288" s="32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ht="13.5" customHeight="1">
      <c r="A289" s="31"/>
      <c r="B289" s="32"/>
      <c r="C289" s="31"/>
      <c r="D289" s="31"/>
      <c r="E289" s="31"/>
      <c r="F289" s="31"/>
      <c r="G289" s="31"/>
      <c r="H289" s="31"/>
      <c r="I289" s="33"/>
      <c r="J289" s="31"/>
      <c r="K289" s="31"/>
      <c r="L289" s="32"/>
      <c r="M289" s="32"/>
      <c r="N289" s="32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ht="13.5" customHeight="1">
      <c r="A290" s="31"/>
      <c r="B290" s="32"/>
      <c r="C290" s="31"/>
      <c r="D290" s="31"/>
      <c r="E290" s="31"/>
      <c r="F290" s="31"/>
      <c r="G290" s="31"/>
      <c r="H290" s="31"/>
      <c r="I290" s="33"/>
      <c r="J290" s="31"/>
      <c r="K290" s="31"/>
      <c r="L290" s="32"/>
      <c r="M290" s="32"/>
      <c r="N290" s="32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ht="13.5" customHeight="1">
      <c r="A291" s="31"/>
      <c r="B291" s="32"/>
      <c r="C291" s="31"/>
      <c r="D291" s="31"/>
      <c r="E291" s="31"/>
      <c r="F291" s="31"/>
      <c r="G291" s="31"/>
      <c r="H291" s="31"/>
      <c r="I291" s="33"/>
      <c r="J291" s="31"/>
      <c r="K291" s="31"/>
      <c r="L291" s="32"/>
      <c r="M291" s="32"/>
      <c r="N291" s="32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ht="13.5" customHeight="1">
      <c r="A292" s="31"/>
      <c r="B292" s="32"/>
      <c r="C292" s="31"/>
      <c r="D292" s="31"/>
      <c r="E292" s="31"/>
      <c r="F292" s="31"/>
      <c r="G292" s="31"/>
      <c r="H292" s="31"/>
      <c r="I292" s="33"/>
      <c r="J292" s="31"/>
      <c r="K292" s="31"/>
      <c r="L292" s="32"/>
      <c r="M292" s="32"/>
      <c r="N292" s="32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ht="13.5" customHeight="1">
      <c r="A293" s="31"/>
      <c r="B293" s="32"/>
      <c r="C293" s="31"/>
      <c r="D293" s="31"/>
      <c r="E293" s="31"/>
      <c r="F293" s="31"/>
      <c r="G293" s="31"/>
      <c r="H293" s="31"/>
      <c r="I293" s="33"/>
      <c r="J293" s="31"/>
      <c r="K293" s="31"/>
      <c r="L293" s="32"/>
      <c r="M293" s="32"/>
      <c r="N293" s="32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ht="13.5" customHeight="1">
      <c r="A294" s="31"/>
      <c r="B294" s="32"/>
      <c r="C294" s="31"/>
      <c r="D294" s="31"/>
      <c r="E294" s="31"/>
      <c r="F294" s="31"/>
      <c r="G294" s="31"/>
      <c r="H294" s="31"/>
      <c r="I294" s="33"/>
      <c r="J294" s="31"/>
      <c r="K294" s="31"/>
      <c r="L294" s="32"/>
      <c r="M294" s="32"/>
      <c r="N294" s="32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ht="13.5" customHeight="1">
      <c r="A295" s="31"/>
      <c r="B295" s="32"/>
      <c r="C295" s="31"/>
      <c r="D295" s="31"/>
      <c r="E295" s="31"/>
      <c r="F295" s="31"/>
      <c r="G295" s="31"/>
      <c r="H295" s="31"/>
      <c r="I295" s="33"/>
      <c r="J295" s="31"/>
      <c r="K295" s="31"/>
      <c r="L295" s="32"/>
      <c r="M295" s="32"/>
      <c r="N295" s="32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ht="13.5" customHeight="1">
      <c r="A296" s="31"/>
      <c r="B296" s="32"/>
      <c r="C296" s="31"/>
      <c r="D296" s="31"/>
      <c r="E296" s="31"/>
      <c r="F296" s="31"/>
      <c r="G296" s="31"/>
      <c r="H296" s="31"/>
      <c r="I296" s="33"/>
      <c r="J296" s="31"/>
      <c r="K296" s="31"/>
      <c r="L296" s="32"/>
      <c r="M296" s="32"/>
      <c r="N296" s="32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ht="13.5" customHeight="1">
      <c r="A297" s="31"/>
      <c r="B297" s="32"/>
      <c r="C297" s="31"/>
      <c r="D297" s="31"/>
      <c r="E297" s="31"/>
      <c r="F297" s="31"/>
      <c r="G297" s="31"/>
      <c r="H297" s="31"/>
      <c r="I297" s="33"/>
      <c r="J297" s="31"/>
      <c r="K297" s="31"/>
      <c r="L297" s="32"/>
      <c r="M297" s="32"/>
      <c r="N297" s="32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ht="13.5" customHeight="1">
      <c r="A298" s="31"/>
      <c r="B298" s="32"/>
      <c r="C298" s="31"/>
      <c r="D298" s="31"/>
      <c r="E298" s="31"/>
      <c r="F298" s="31"/>
      <c r="G298" s="31"/>
      <c r="H298" s="31"/>
      <c r="I298" s="33"/>
      <c r="J298" s="31"/>
      <c r="K298" s="31"/>
      <c r="L298" s="32"/>
      <c r="M298" s="32"/>
      <c r="N298" s="32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ht="13.5" customHeight="1">
      <c r="A299" s="31"/>
      <c r="B299" s="32"/>
      <c r="C299" s="31"/>
      <c r="D299" s="31"/>
      <c r="E299" s="31"/>
      <c r="F299" s="31"/>
      <c r="G299" s="31"/>
      <c r="H299" s="31"/>
      <c r="I299" s="33"/>
      <c r="J299" s="31"/>
      <c r="K299" s="31"/>
      <c r="L299" s="32"/>
      <c r="M299" s="32"/>
      <c r="N299" s="32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ht="13.5" customHeight="1">
      <c r="A300" s="31"/>
      <c r="B300" s="32"/>
      <c r="C300" s="31"/>
      <c r="D300" s="31"/>
      <c r="E300" s="31"/>
      <c r="F300" s="31"/>
      <c r="G300" s="31"/>
      <c r="H300" s="31"/>
      <c r="I300" s="33"/>
      <c r="J300" s="31"/>
      <c r="K300" s="31"/>
      <c r="L300" s="32"/>
      <c r="M300" s="32"/>
      <c r="N300" s="32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ht="13.5" customHeight="1">
      <c r="A301" s="31"/>
      <c r="B301" s="32"/>
      <c r="C301" s="31"/>
      <c r="D301" s="31"/>
      <c r="E301" s="31"/>
      <c r="F301" s="31"/>
      <c r="G301" s="31"/>
      <c r="H301" s="31"/>
      <c r="I301" s="33"/>
      <c r="J301" s="31"/>
      <c r="K301" s="31"/>
      <c r="L301" s="32"/>
      <c r="M301" s="32"/>
      <c r="N301" s="32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ht="13.5" customHeight="1">
      <c r="A302" s="31"/>
      <c r="B302" s="32"/>
      <c r="C302" s="31"/>
      <c r="D302" s="31"/>
      <c r="E302" s="31"/>
      <c r="F302" s="31"/>
      <c r="G302" s="31"/>
      <c r="H302" s="31"/>
      <c r="I302" s="33"/>
      <c r="J302" s="31"/>
      <c r="K302" s="31"/>
      <c r="L302" s="32"/>
      <c r="M302" s="32"/>
      <c r="N302" s="32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ht="13.5" customHeight="1">
      <c r="A303" s="31"/>
      <c r="B303" s="32"/>
      <c r="C303" s="31"/>
      <c r="D303" s="31"/>
      <c r="E303" s="31"/>
      <c r="F303" s="31"/>
      <c r="G303" s="31"/>
      <c r="H303" s="31"/>
      <c r="I303" s="33"/>
      <c r="J303" s="31"/>
      <c r="K303" s="31"/>
      <c r="L303" s="32"/>
      <c r="M303" s="32"/>
      <c r="N303" s="32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ht="13.5" customHeight="1">
      <c r="A304" s="31"/>
      <c r="B304" s="32"/>
      <c r="C304" s="31"/>
      <c r="D304" s="31"/>
      <c r="E304" s="31"/>
      <c r="F304" s="31"/>
      <c r="G304" s="31"/>
      <c r="H304" s="31"/>
      <c r="I304" s="33"/>
      <c r="J304" s="31"/>
      <c r="K304" s="31"/>
      <c r="L304" s="32"/>
      <c r="M304" s="32"/>
      <c r="N304" s="32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ht="13.5" customHeight="1">
      <c r="A305" s="31"/>
      <c r="B305" s="32"/>
      <c r="C305" s="31"/>
      <c r="D305" s="31"/>
      <c r="E305" s="31"/>
      <c r="F305" s="31"/>
      <c r="G305" s="31"/>
      <c r="H305" s="31"/>
      <c r="I305" s="33"/>
      <c r="J305" s="31"/>
      <c r="K305" s="31"/>
      <c r="L305" s="32"/>
      <c r="M305" s="32"/>
      <c r="N305" s="32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ht="13.5" customHeight="1">
      <c r="A306" s="31"/>
      <c r="B306" s="32"/>
      <c r="C306" s="31"/>
      <c r="D306" s="31"/>
      <c r="E306" s="31"/>
      <c r="F306" s="31"/>
      <c r="G306" s="31"/>
      <c r="H306" s="31"/>
      <c r="I306" s="33"/>
      <c r="J306" s="31"/>
      <c r="K306" s="31"/>
      <c r="L306" s="32"/>
      <c r="M306" s="32"/>
      <c r="N306" s="32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ht="13.5" customHeight="1">
      <c r="A307" s="31"/>
      <c r="B307" s="32"/>
      <c r="C307" s="31"/>
      <c r="D307" s="31"/>
      <c r="E307" s="31"/>
      <c r="F307" s="31"/>
      <c r="G307" s="31"/>
      <c r="H307" s="31"/>
      <c r="I307" s="33"/>
      <c r="J307" s="31"/>
      <c r="K307" s="31"/>
      <c r="L307" s="32"/>
      <c r="M307" s="32"/>
      <c r="N307" s="32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ht="13.5" customHeight="1">
      <c r="A308" s="31"/>
      <c r="B308" s="32"/>
      <c r="C308" s="31"/>
      <c r="D308" s="31"/>
      <c r="E308" s="31"/>
      <c r="F308" s="31"/>
      <c r="G308" s="31"/>
      <c r="H308" s="31"/>
      <c r="I308" s="33"/>
      <c r="J308" s="31"/>
      <c r="K308" s="31"/>
      <c r="L308" s="32"/>
      <c r="M308" s="32"/>
      <c r="N308" s="32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ht="13.5" customHeight="1">
      <c r="A309" s="31"/>
      <c r="B309" s="32"/>
      <c r="C309" s="31"/>
      <c r="D309" s="31"/>
      <c r="E309" s="31"/>
      <c r="F309" s="31"/>
      <c r="G309" s="31"/>
      <c r="H309" s="31"/>
      <c r="I309" s="33"/>
      <c r="J309" s="31"/>
      <c r="K309" s="31"/>
      <c r="L309" s="32"/>
      <c r="M309" s="32"/>
      <c r="N309" s="32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ht="13.5" customHeight="1">
      <c r="A310" s="31"/>
      <c r="B310" s="32"/>
      <c r="C310" s="31"/>
      <c r="D310" s="31"/>
      <c r="E310" s="31"/>
      <c r="F310" s="31"/>
      <c r="G310" s="31"/>
      <c r="H310" s="31"/>
      <c r="I310" s="33"/>
      <c r="J310" s="31"/>
      <c r="K310" s="31"/>
      <c r="L310" s="32"/>
      <c r="M310" s="32"/>
      <c r="N310" s="32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ht="13.5" customHeight="1">
      <c r="A311" s="31"/>
      <c r="B311" s="32"/>
      <c r="C311" s="31"/>
      <c r="D311" s="31"/>
      <c r="E311" s="31"/>
      <c r="F311" s="31"/>
      <c r="G311" s="31"/>
      <c r="H311" s="31"/>
      <c r="I311" s="33"/>
      <c r="J311" s="31"/>
      <c r="K311" s="31"/>
      <c r="L311" s="32"/>
      <c r="M311" s="32"/>
      <c r="N311" s="32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ht="13.5" customHeight="1">
      <c r="A312" s="31"/>
      <c r="B312" s="32"/>
      <c r="C312" s="31"/>
      <c r="D312" s="31"/>
      <c r="E312" s="31"/>
      <c r="F312" s="31"/>
      <c r="G312" s="31"/>
      <c r="H312" s="31"/>
      <c r="I312" s="33"/>
      <c r="J312" s="31"/>
      <c r="K312" s="31"/>
      <c r="L312" s="32"/>
      <c r="M312" s="32"/>
      <c r="N312" s="32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ht="13.5" customHeight="1">
      <c r="A313" s="31"/>
      <c r="B313" s="32"/>
      <c r="C313" s="31"/>
      <c r="D313" s="31"/>
      <c r="E313" s="31"/>
      <c r="F313" s="31"/>
      <c r="G313" s="31"/>
      <c r="H313" s="31"/>
      <c r="I313" s="33"/>
      <c r="J313" s="31"/>
      <c r="K313" s="31"/>
      <c r="L313" s="32"/>
      <c r="M313" s="32"/>
      <c r="N313" s="32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ht="13.5" customHeight="1">
      <c r="A314" s="31"/>
      <c r="B314" s="32"/>
      <c r="C314" s="31"/>
      <c r="D314" s="31"/>
      <c r="E314" s="31"/>
      <c r="F314" s="31"/>
      <c r="G314" s="31"/>
      <c r="H314" s="31"/>
      <c r="I314" s="33"/>
      <c r="J314" s="31"/>
      <c r="K314" s="31"/>
      <c r="L314" s="32"/>
      <c r="M314" s="32"/>
      <c r="N314" s="32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ht="13.5" customHeight="1">
      <c r="A315" s="31"/>
      <c r="B315" s="32"/>
      <c r="C315" s="31"/>
      <c r="D315" s="31"/>
      <c r="E315" s="31"/>
      <c r="F315" s="31"/>
      <c r="G315" s="31"/>
      <c r="H315" s="31"/>
      <c r="I315" s="33"/>
      <c r="J315" s="31"/>
      <c r="K315" s="31"/>
      <c r="L315" s="32"/>
      <c r="M315" s="32"/>
      <c r="N315" s="32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ht="13.5" customHeight="1">
      <c r="A316" s="31"/>
      <c r="B316" s="32"/>
      <c r="C316" s="31"/>
      <c r="D316" s="31"/>
      <c r="E316" s="31"/>
      <c r="F316" s="31"/>
      <c r="G316" s="31"/>
      <c r="H316" s="31"/>
      <c r="I316" s="33"/>
      <c r="J316" s="31"/>
      <c r="K316" s="31"/>
      <c r="L316" s="32"/>
      <c r="M316" s="32"/>
      <c r="N316" s="32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ht="13.5" customHeight="1">
      <c r="A317" s="31"/>
      <c r="B317" s="32"/>
      <c r="C317" s="31"/>
      <c r="D317" s="31"/>
      <c r="E317" s="31"/>
      <c r="F317" s="31"/>
      <c r="G317" s="31"/>
      <c r="H317" s="31"/>
      <c r="I317" s="33"/>
      <c r="J317" s="31"/>
      <c r="K317" s="31"/>
      <c r="L317" s="32"/>
      <c r="M317" s="32"/>
      <c r="N317" s="32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ht="13.5" customHeight="1">
      <c r="A318" s="31"/>
      <c r="B318" s="32"/>
      <c r="C318" s="31"/>
      <c r="D318" s="31"/>
      <c r="E318" s="31"/>
      <c r="F318" s="31"/>
      <c r="G318" s="31"/>
      <c r="H318" s="31"/>
      <c r="I318" s="33"/>
      <c r="J318" s="31"/>
      <c r="K318" s="31"/>
      <c r="L318" s="32"/>
      <c r="M318" s="32"/>
      <c r="N318" s="32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ht="13.5" customHeight="1">
      <c r="A319" s="31"/>
      <c r="B319" s="32"/>
      <c r="C319" s="31"/>
      <c r="D319" s="31"/>
      <c r="E319" s="31"/>
      <c r="F319" s="31"/>
      <c r="G319" s="31"/>
      <c r="H319" s="31"/>
      <c r="I319" s="33"/>
      <c r="J319" s="31"/>
      <c r="K319" s="31"/>
      <c r="L319" s="32"/>
      <c r="M319" s="32"/>
      <c r="N319" s="32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ht="13.5" customHeight="1">
      <c r="A320" s="31"/>
      <c r="B320" s="32"/>
      <c r="C320" s="31"/>
      <c r="D320" s="31"/>
      <c r="E320" s="31"/>
      <c r="F320" s="31"/>
      <c r="G320" s="31"/>
      <c r="H320" s="31"/>
      <c r="I320" s="33"/>
      <c r="J320" s="31"/>
      <c r="K320" s="31"/>
      <c r="L320" s="32"/>
      <c r="M320" s="32"/>
      <c r="N320" s="32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ht="13.5" customHeight="1">
      <c r="A321" s="31"/>
      <c r="B321" s="32"/>
      <c r="C321" s="31"/>
      <c r="D321" s="31"/>
      <c r="E321" s="31"/>
      <c r="F321" s="31"/>
      <c r="G321" s="31"/>
      <c r="H321" s="31"/>
      <c r="I321" s="33"/>
      <c r="J321" s="31"/>
      <c r="K321" s="31"/>
      <c r="L321" s="32"/>
      <c r="M321" s="32"/>
      <c r="N321" s="32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ht="13.5" customHeight="1">
      <c r="A322" s="31"/>
      <c r="B322" s="32"/>
      <c r="C322" s="31"/>
      <c r="D322" s="31"/>
      <c r="E322" s="31"/>
      <c r="F322" s="31"/>
      <c r="G322" s="31"/>
      <c r="H322" s="31"/>
      <c r="I322" s="33"/>
      <c r="J322" s="31"/>
      <c r="K322" s="31"/>
      <c r="L322" s="32"/>
      <c r="M322" s="32"/>
      <c r="N322" s="32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ht="13.5" customHeight="1">
      <c r="A323" s="31"/>
      <c r="B323" s="32"/>
      <c r="C323" s="31"/>
      <c r="D323" s="31"/>
      <c r="E323" s="31"/>
      <c r="F323" s="31"/>
      <c r="G323" s="31"/>
      <c r="H323" s="31"/>
      <c r="I323" s="33"/>
      <c r="J323" s="31"/>
      <c r="K323" s="31"/>
      <c r="L323" s="32"/>
      <c r="M323" s="32"/>
      <c r="N323" s="32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ht="13.5" customHeight="1">
      <c r="A324" s="31"/>
      <c r="B324" s="32"/>
      <c r="C324" s="31"/>
      <c r="D324" s="31"/>
      <c r="E324" s="31"/>
      <c r="F324" s="31"/>
      <c r="G324" s="31"/>
      <c r="H324" s="31"/>
      <c r="I324" s="33"/>
      <c r="J324" s="31"/>
      <c r="K324" s="31"/>
      <c r="L324" s="32"/>
      <c r="M324" s="32"/>
      <c r="N324" s="32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ht="13.5" customHeight="1">
      <c r="A325" s="31"/>
      <c r="B325" s="32"/>
      <c r="C325" s="31"/>
      <c r="D325" s="31"/>
      <c r="E325" s="31"/>
      <c r="F325" s="31"/>
      <c r="G325" s="31"/>
      <c r="H325" s="31"/>
      <c r="I325" s="33"/>
      <c r="J325" s="31"/>
      <c r="K325" s="31"/>
      <c r="L325" s="32"/>
      <c r="M325" s="32"/>
      <c r="N325" s="32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ht="13.5" customHeight="1">
      <c r="A326" s="31"/>
      <c r="B326" s="32"/>
      <c r="C326" s="31"/>
      <c r="D326" s="31"/>
      <c r="E326" s="31"/>
      <c r="F326" s="31"/>
      <c r="G326" s="31"/>
      <c r="H326" s="31"/>
      <c r="I326" s="33"/>
      <c r="J326" s="31"/>
      <c r="K326" s="31"/>
      <c r="L326" s="32"/>
      <c r="M326" s="32"/>
      <c r="N326" s="32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ht="13.5" customHeight="1">
      <c r="A327" s="31"/>
      <c r="B327" s="32"/>
      <c r="C327" s="31"/>
      <c r="D327" s="31"/>
      <c r="E327" s="31"/>
      <c r="F327" s="31"/>
      <c r="G327" s="31"/>
      <c r="H327" s="31"/>
      <c r="I327" s="33"/>
      <c r="J327" s="31"/>
      <c r="K327" s="31"/>
      <c r="L327" s="32"/>
      <c r="M327" s="32"/>
      <c r="N327" s="32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ht="13.5" customHeight="1">
      <c r="A328" s="31"/>
      <c r="B328" s="32"/>
      <c r="C328" s="31"/>
      <c r="D328" s="31"/>
      <c r="E328" s="31"/>
      <c r="F328" s="31"/>
      <c r="G328" s="31"/>
      <c r="H328" s="31"/>
      <c r="I328" s="33"/>
      <c r="J328" s="31"/>
      <c r="K328" s="31"/>
      <c r="L328" s="32"/>
      <c r="M328" s="32"/>
      <c r="N328" s="32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ht="13.5" customHeight="1">
      <c r="A329" s="31"/>
      <c r="B329" s="32"/>
      <c r="C329" s="31"/>
      <c r="D329" s="31"/>
      <c r="E329" s="31"/>
      <c r="F329" s="31"/>
      <c r="G329" s="31"/>
      <c r="H329" s="31"/>
      <c r="I329" s="33"/>
      <c r="J329" s="31"/>
      <c r="K329" s="31"/>
      <c r="L329" s="32"/>
      <c r="M329" s="32"/>
      <c r="N329" s="32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ht="13.5" customHeight="1">
      <c r="A330" s="31"/>
      <c r="B330" s="32"/>
      <c r="C330" s="31"/>
      <c r="D330" s="31"/>
      <c r="E330" s="31"/>
      <c r="F330" s="31"/>
      <c r="G330" s="31"/>
      <c r="H330" s="31"/>
      <c r="I330" s="33"/>
      <c r="J330" s="31"/>
      <c r="K330" s="31"/>
      <c r="L330" s="32"/>
      <c r="M330" s="32"/>
      <c r="N330" s="32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ht="13.5" customHeight="1">
      <c r="A331" s="31"/>
      <c r="B331" s="32"/>
      <c r="C331" s="31"/>
      <c r="D331" s="31"/>
      <c r="E331" s="31"/>
      <c r="F331" s="31"/>
      <c r="G331" s="31"/>
      <c r="H331" s="31"/>
      <c r="I331" s="33"/>
      <c r="J331" s="31"/>
      <c r="K331" s="31"/>
      <c r="L331" s="32"/>
      <c r="M331" s="32"/>
      <c r="N331" s="32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ht="13.5" customHeight="1">
      <c r="A332" s="31"/>
      <c r="B332" s="32"/>
      <c r="C332" s="31"/>
      <c r="D332" s="31"/>
      <c r="E332" s="31"/>
      <c r="F332" s="31"/>
      <c r="G332" s="31"/>
      <c r="H332" s="31"/>
      <c r="I332" s="33"/>
      <c r="J332" s="31"/>
      <c r="K332" s="31"/>
      <c r="L332" s="32"/>
      <c r="M332" s="32"/>
      <c r="N332" s="32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ht="13.5" customHeight="1">
      <c r="A333" s="31"/>
      <c r="B333" s="32"/>
      <c r="C333" s="31"/>
      <c r="D333" s="31"/>
      <c r="E333" s="31"/>
      <c r="F333" s="31"/>
      <c r="G333" s="31"/>
      <c r="H333" s="31"/>
      <c r="I333" s="33"/>
      <c r="J333" s="31"/>
      <c r="K333" s="31"/>
      <c r="L333" s="32"/>
      <c r="M333" s="32"/>
      <c r="N333" s="32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ht="13.5" customHeight="1">
      <c r="A334" s="31"/>
      <c r="B334" s="32"/>
      <c r="C334" s="31"/>
      <c r="D334" s="31"/>
      <c r="E334" s="31"/>
      <c r="F334" s="31"/>
      <c r="G334" s="31"/>
      <c r="H334" s="31"/>
      <c r="I334" s="33"/>
      <c r="J334" s="31"/>
      <c r="K334" s="31"/>
      <c r="L334" s="32"/>
      <c r="M334" s="32"/>
      <c r="N334" s="32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ht="13.5" customHeight="1">
      <c r="A335" s="31"/>
      <c r="B335" s="32"/>
      <c r="C335" s="31"/>
      <c r="D335" s="31"/>
      <c r="E335" s="31"/>
      <c r="F335" s="31"/>
      <c r="G335" s="31"/>
      <c r="H335" s="31"/>
      <c r="I335" s="33"/>
      <c r="J335" s="31"/>
      <c r="K335" s="31"/>
      <c r="L335" s="32"/>
      <c r="M335" s="32"/>
      <c r="N335" s="32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ht="13.5" customHeight="1">
      <c r="A336" s="31"/>
      <c r="B336" s="32"/>
      <c r="C336" s="31"/>
      <c r="D336" s="31"/>
      <c r="E336" s="31"/>
      <c r="F336" s="31"/>
      <c r="G336" s="31"/>
      <c r="H336" s="31"/>
      <c r="I336" s="33"/>
      <c r="J336" s="31"/>
      <c r="K336" s="31"/>
      <c r="L336" s="32"/>
      <c r="M336" s="32"/>
      <c r="N336" s="32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ht="13.5" customHeight="1">
      <c r="A337" s="31"/>
      <c r="B337" s="32"/>
      <c r="C337" s="31"/>
      <c r="D337" s="31"/>
      <c r="E337" s="31"/>
      <c r="F337" s="31"/>
      <c r="G337" s="31"/>
      <c r="H337" s="31"/>
      <c r="I337" s="33"/>
      <c r="J337" s="31"/>
      <c r="K337" s="31"/>
      <c r="L337" s="32"/>
      <c r="M337" s="32"/>
      <c r="N337" s="32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ht="13.5" customHeight="1">
      <c r="A338" s="31"/>
      <c r="B338" s="32"/>
      <c r="C338" s="31"/>
      <c r="D338" s="31"/>
      <c r="E338" s="31"/>
      <c r="F338" s="31"/>
      <c r="G338" s="31"/>
      <c r="H338" s="31"/>
      <c r="I338" s="33"/>
      <c r="J338" s="31"/>
      <c r="K338" s="31"/>
      <c r="L338" s="32"/>
      <c r="M338" s="32"/>
      <c r="N338" s="32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ht="13.5" customHeight="1">
      <c r="A339" s="31"/>
      <c r="B339" s="32"/>
      <c r="C339" s="31"/>
      <c r="D339" s="31"/>
      <c r="E339" s="31"/>
      <c r="F339" s="31"/>
      <c r="G339" s="31"/>
      <c r="H339" s="31"/>
      <c r="I339" s="33"/>
      <c r="J339" s="31"/>
      <c r="K339" s="31"/>
      <c r="L339" s="32"/>
      <c r="M339" s="32"/>
      <c r="N339" s="32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ht="13.5" customHeight="1">
      <c r="A340" s="31"/>
      <c r="B340" s="32"/>
      <c r="C340" s="31"/>
      <c r="D340" s="31"/>
      <c r="E340" s="31"/>
      <c r="F340" s="31"/>
      <c r="G340" s="31"/>
      <c r="H340" s="31"/>
      <c r="I340" s="33"/>
      <c r="J340" s="31"/>
      <c r="K340" s="31"/>
      <c r="L340" s="32"/>
      <c r="M340" s="32"/>
      <c r="N340" s="32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ht="13.5" customHeight="1">
      <c r="A341" s="31"/>
      <c r="B341" s="32"/>
      <c r="C341" s="31"/>
      <c r="D341" s="31"/>
      <c r="E341" s="31"/>
      <c r="F341" s="31"/>
      <c r="G341" s="31"/>
      <c r="H341" s="31"/>
      <c r="I341" s="33"/>
      <c r="J341" s="31"/>
      <c r="K341" s="31"/>
      <c r="L341" s="32"/>
      <c r="M341" s="32"/>
      <c r="N341" s="32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ht="13.5" customHeight="1">
      <c r="A342" s="31"/>
      <c r="B342" s="32"/>
      <c r="C342" s="31"/>
      <c r="D342" s="31"/>
      <c r="E342" s="31"/>
      <c r="F342" s="31"/>
      <c r="G342" s="31"/>
      <c r="H342" s="31"/>
      <c r="I342" s="33"/>
      <c r="J342" s="31"/>
      <c r="K342" s="31"/>
      <c r="L342" s="32"/>
      <c r="M342" s="32"/>
      <c r="N342" s="32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ht="13.5" customHeight="1">
      <c r="A343" s="31"/>
      <c r="B343" s="32"/>
      <c r="C343" s="31"/>
      <c r="D343" s="31"/>
      <c r="E343" s="31"/>
      <c r="F343" s="31"/>
      <c r="G343" s="31"/>
      <c r="H343" s="31"/>
      <c r="I343" s="33"/>
      <c r="J343" s="31"/>
      <c r="K343" s="31"/>
      <c r="L343" s="32"/>
      <c r="M343" s="32"/>
      <c r="N343" s="32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ht="13.5" customHeight="1">
      <c r="A344" s="31"/>
      <c r="B344" s="32"/>
      <c r="C344" s="31"/>
      <c r="D344" s="31"/>
      <c r="E344" s="31"/>
      <c r="F344" s="31"/>
      <c r="G344" s="31"/>
      <c r="H344" s="31"/>
      <c r="I344" s="33"/>
      <c r="J344" s="31"/>
      <c r="K344" s="31"/>
      <c r="L344" s="32"/>
      <c r="M344" s="32"/>
      <c r="N344" s="32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ht="13.5" customHeight="1">
      <c r="A345" s="31"/>
      <c r="B345" s="32"/>
      <c r="C345" s="31"/>
      <c r="D345" s="31"/>
      <c r="E345" s="31"/>
      <c r="F345" s="31"/>
      <c r="G345" s="31"/>
      <c r="H345" s="31"/>
      <c r="I345" s="33"/>
      <c r="J345" s="31"/>
      <c r="K345" s="31"/>
      <c r="L345" s="32"/>
      <c r="M345" s="32"/>
      <c r="N345" s="32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ht="13.5" customHeight="1">
      <c r="A346" s="31"/>
      <c r="B346" s="32"/>
      <c r="C346" s="31"/>
      <c r="D346" s="31"/>
      <c r="E346" s="31"/>
      <c r="F346" s="31"/>
      <c r="G346" s="31"/>
      <c r="H346" s="31"/>
      <c r="I346" s="33"/>
      <c r="J346" s="31"/>
      <c r="K346" s="31"/>
      <c r="L346" s="32"/>
      <c r="M346" s="32"/>
      <c r="N346" s="32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ht="13.5" customHeight="1">
      <c r="A347" s="31"/>
      <c r="B347" s="32"/>
      <c r="C347" s="31"/>
      <c r="D347" s="31"/>
      <c r="E347" s="31"/>
      <c r="F347" s="31"/>
      <c r="G347" s="31"/>
      <c r="H347" s="31"/>
      <c r="I347" s="33"/>
      <c r="J347" s="31"/>
      <c r="K347" s="31"/>
      <c r="L347" s="32"/>
      <c r="M347" s="32"/>
      <c r="N347" s="32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ht="13.5" customHeight="1">
      <c r="A348" s="31"/>
      <c r="B348" s="32"/>
      <c r="C348" s="31"/>
      <c r="D348" s="31"/>
      <c r="E348" s="31"/>
      <c r="F348" s="31"/>
      <c r="G348" s="31"/>
      <c r="H348" s="31"/>
      <c r="I348" s="33"/>
      <c r="J348" s="31"/>
      <c r="K348" s="31"/>
      <c r="L348" s="32"/>
      <c r="M348" s="32"/>
      <c r="N348" s="32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ht="13.5" customHeight="1">
      <c r="A349" s="31"/>
      <c r="B349" s="32"/>
      <c r="C349" s="31"/>
      <c r="D349" s="31"/>
      <c r="E349" s="31"/>
      <c r="F349" s="31"/>
      <c r="G349" s="31"/>
      <c r="H349" s="31"/>
      <c r="I349" s="33"/>
      <c r="J349" s="31"/>
      <c r="K349" s="31"/>
      <c r="L349" s="32"/>
      <c r="M349" s="32"/>
      <c r="N349" s="32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ht="13.5" customHeight="1">
      <c r="A350" s="31"/>
      <c r="B350" s="32"/>
      <c r="C350" s="31"/>
      <c r="D350" s="31"/>
      <c r="E350" s="31"/>
      <c r="F350" s="31"/>
      <c r="G350" s="31"/>
      <c r="H350" s="31"/>
      <c r="I350" s="33"/>
      <c r="J350" s="31"/>
      <c r="K350" s="31"/>
      <c r="L350" s="32"/>
      <c r="M350" s="32"/>
      <c r="N350" s="32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ht="13.5" customHeight="1">
      <c r="A351" s="31"/>
      <c r="B351" s="32"/>
      <c r="C351" s="31"/>
      <c r="D351" s="31"/>
      <c r="E351" s="31"/>
      <c r="F351" s="31"/>
      <c r="G351" s="31"/>
      <c r="H351" s="31"/>
      <c r="I351" s="33"/>
      <c r="J351" s="31"/>
      <c r="K351" s="31"/>
      <c r="L351" s="32"/>
      <c r="M351" s="32"/>
      <c r="N351" s="32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ht="13.5" customHeight="1">
      <c r="A352" s="31"/>
      <c r="B352" s="32"/>
      <c r="C352" s="31"/>
      <c r="D352" s="31"/>
      <c r="E352" s="31"/>
      <c r="F352" s="31"/>
      <c r="G352" s="31"/>
      <c r="H352" s="31"/>
      <c r="I352" s="33"/>
      <c r="J352" s="31"/>
      <c r="K352" s="31"/>
      <c r="L352" s="32"/>
      <c r="M352" s="32"/>
      <c r="N352" s="32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ht="13.5" customHeight="1">
      <c r="A353" s="31"/>
      <c r="B353" s="32"/>
      <c r="C353" s="31"/>
      <c r="D353" s="31"/>
      <c r="E353" s="31"/>
      <c r="F353" s="31"/>
      <c r="G353" s="31"/>
      <c r="H353" s="31"/>
      <c r="I353" s="33"/>
      <c r="J353" s="31"/>
      <c r="K353" s="31"/>
      <c r="L353" s="32"/>
      <c r="M353" s="32"/>
      <c r="N353" s="32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ht="13.5" customHeight="1">
      <c r="A354" s="31"/>
      <c r="B354" s="32"/>
      <c r="C354" s="31"/>
      <c r="D354" s="31"/>
      <c r="E354" s="31"/>
      <c r="F354" s="31"/>
      <c r="G354" s="31"/>
      <c r="H354" s="31"/>
      <c r="I354" s="33"/>
      <c r="J354" s="31"/>
      <c r="K354" s="31"/>
      <c r="L354" s="32"/>
      <c r="M354" s="32"/>
      <c r="N354" s="32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ht="13.5" customHeight="1">
      <c r="A355" s="31"/>
      <c r="B355" s="32"/>
      <c r="C355" s="31"/>
      <c r="D355" s="31"/>
      <c r="E355" s="31"/>
      <c r="F355" s="31"/>
      <c r="G355" s="31"/>
      <c r="H355" s="31"/>
      <c r="I355" s="33"/>
      <c r="J355" s="31"/>
      <c r="K355" s="31"/>
      <c r="L355" s="32"/>
      <c r="M355" s="32"/>
      <c r="N355" s="32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ht="13.5" customHeight="1">
      <c r="A356" s="31"/>
      <c r="B356" s="32"/>
      <c r="C356" s="31"/>
      <c r="D356" s="31"/>
      <c r="E356" s="31"/>
      <c r="F356" s="31"/>
      <c r="G356" s="31"/>
      <c r="H356" s="31"/>
      <c r="I356" s="33"/>
      <c r="J356" s="31"/>
      <c r="K356" s="31"/>
      <c r="L356" s="32"/>
      <c r="M356" s="32"/>
      <c r="N356" s="32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ht="13.5" customHeight="1">
      <c r="A357" s="31"/>
      <c r="B357" s="32"/>
      <c r="C357" s="31"/>
      <c r="D357" s="31"/>
      <c r="E357" s="31"/>
      <c r="F357" s="31"/>
      <c r="G357" s="31"/>
      <c r="H357" s="31"/>
      <c r="I357" s="33"/>
      <c r="J357" s="31"/>
      <c r="K357" s="31"/>
      <c r="L357" s="32"/>
      <c r="M357" s="32"/>
      <c r="N357" s="32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ht="13.5" customHeight="1">
      <c r="A358" s="31"/>
      <c r="B358" s="32"/>
      <c r="C358" s="31"/>
      <c r="D358" s="31"/>
      <c r="E358" s="31"/>
      <c r="F358" s="31"/>
      <c r="G358" s="31"/>
      <c r="H358" s="31"/>
      <c r="I358" s="33"/>
      <c r="J358" s="31"/>
      <c r="K358" s="31"/>
      <c r="L358" s="32"/>
      <c r="M358" s="32"/>
      <c r="N358" s="32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ht="13.5" customHeight="1">
      <c r="A359" s="31"/>
      <c r="B359" s="32"/>
      <c r="C359" s="31"/>
      <c r="D359" s="31"/>
      <c r="E359" s="31"/>
      <c r="F359" s="31"/>
      <c r="G359" s="31"/>
      <c r="H359" s="31"/>
      <c r="I359" s="33"/>
      <c r="J359" s="31"/>
      <c r="K359" s="31"/>
      <c r="L359" s="32"/>
      <c r="M359" s="32"/>
      <c r="N359" s="32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ht="13.5" customHeight="1">
      <c r="A360" s="31"/>
      <c r="B360" s="32"/>
      <c r="C360" s="31"/>
      <c r="D360" s="31"/>
      <c r="E360" s="31"/>
      <c r="F360" s="31"/>
      <c r="G360" s="31"/>
      <c r="H360" s="31"/>
      <c r="I360" s="33"/>
      <c r="J360" s="31"/>
      <c r="K360" s="31"/>
      <c r="L360" s="32"/>
      <c r="M360" s="32"/>
      <c r="N360" s="32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ht="13.5" customHeight="1">
      <c r="A361" s="31"/>
      <c r="B361" s="32"/>
      <c r="C361" s="31"/>
      <c r="D361" s="31"/>
      <c r="E361" s="31"/>
      <c r="F361" s="31"/>
      <c r="G361" s="31"/>
      <c r="H361" s="31"/>
      <c r="I361" s="33"/>
      <c r="J361" s="31"/>
      <c r="K361" s="31"/>
      <c r="L361" s="32"/>
      <c r="M361" s="32"/>
      <c r="N361" s="32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ht="13.5" customHeight="1">
      <c r="A362" s="31"/>
      <c r="B362" s="32"/>
      <c r="C362" s="31"/>
      <c r="D362" s="31"/>
      <c r="E362" s="31"/>
      <c r="F362" s="31"/>
      <c r="G362" s="31"/>
      <c r="H362" s="31"/>
      <c r="I362" s="33"/>
      <c r="J362" s="31"/>
      <c r="K362" s="31"/>
      <c r="L362" s="32"/>
      <c r="M362" s="32"/>
      <c r="N362" s="32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ht="13.5" customHeight="1">
      <c r="A363" s="31"/>
      <c r="B363" s="32"/>
      <c r="C363" s="31"/>
      <c r="D363" s="31"/>
      <c r="E363" s="31"/>
      <c r="F363" s="31"/>
      <c r="G363" s="31"/>
      <c r="H363" s="31"/>
      <c r="I363" s="33"/>
      <c r="J363" s="31"/>
      <c r="K363" s="31"/>
      <c r="L363" s="32"/>
      <c r="M363" s="32"/>
      <c r="N363" s="32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ht="13.5" customHeight="1">
      <c r="A364" s="31"/>
      <c r="B364" s="32"/>
      <c r="C364" s="31"/>
      <c r="D364" s="31"/>
      <c r="E364" s="31"/>
      <c r="F364" s="31"/>
      <c r="G364" s="31"/>
      <c r="H364" s="31"/>
      <c r="I364" s="33"/>
      <c r="J364" s="31"/>
      <c r="K364" s="31"/>
      <c r="L364" s="32"/>
      <c r="M364" s="32"/>
      <c r="N364" s="32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ht="13.5" customHeight="1">
      <c r="A365" s="31"/>
      <c r="B365" s="32"/>
      <c r="C365" s="31"/>
      <c r="D365" s="31"/>
      <c r="E365" s="31"/>
      <c r="F365" s="31"/>
      <c r="G365" s="31"/>
      <c r="H365" s="31"/>
      <c r="I365" s="33"/>
      <c r="J365" s="31"/>
      <c r="K365" s="31"/>
      <c r="L365" s="32"/>
      <c r="M365" s="32"/>
      <c r="N365" s="32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ht="13.5" customHeight="1">
      <c r="A366" s="31"/>
      <c r="B366" s="32"/>
      <c r="C366" s="31"/>
      <c r="D366" s="31"/>
      <c r="E366" s="31"/>
      <c r="F366" s="31"/>
      <c r="G366" s="31"/>
      <c r="H366" s="31"/>
      <c r="I366" s="33"/>
      <c r="J366" s="31"/>
      <c r="K366" s="31"/>
      <c r="L366" s="32"/>
      <c r="M366" s="32"/>
      <c r="N366" s="32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ht="13.5" customHeight="1">
      <c r="A367" s="31"/>
      <c r="B367" s="32"/>
      <c r="C367" s="31"/>
      <c r="D367" s="31"/>
      <c r="E367" s="31"/>
      <c r="F367" s="31"/>
      <c r="G367" s="31"/>
      <c r="H367" s="31"/>
      <c r="I367" s="33"/>
      <c r="J367" s="31"/>
      <c r="K367" s="31"/>
      <c r="L367" s="32"/>
      <c r="M367" s="32"/>
      <c r="N367" s="32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ht="13.5" customHeight="1">
      <c r="A368" s="31"/>
      <c r="B368" s="32"/>
      <c r="C368" s="31"/>
      <c r="D368" s="31"/>
      <c r="E368" s="31"/>
      <c r="F368" s="31"/>
      <c r="G368" s="31"/>
      <c r="H368" s="31"/>
      <c r="I368" s="33"/>
      <c r="J368" s="31"/>
      <c r="K368" s="31"/>
      <c r="L368" s="32"/>
      <c r="M368" s="32"/>
      <c r="N368" s="32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ht="13.5" customHeight="1">
      <c r="A369" s="31"/>
      <c r="B369" s="32"/>
      <c r="C369" s="31"/>
      <c r="D369" s="31"/>
      <c r="E369" s="31"/>
      <c r="F369" s="31"/>
      <c r="G369" s="31"/>
      <c r="H369" s="31"/>
      <c r="I369" s="33"/>
      <c r="J369" s="31"/>
      <c r="K369" s="31"/>
      <c r="L369" s="32"/>
      <c r="M369" s="32"/>
      <c r="N369" s="32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ht="13.5" customHeight="1">
      <c r="A370" s="31"/>
      <c r="B370" s="32"/>
      <c r="C370" s="31"/>
      <c r="D370" s="31"/>
      <c r="E370" s="31"/>
      <c r="F370" s="31"/>
      <c r="G370" s="31"/>
      <c r="H370" s="31"/>
      <c r="I370" s="33"/>
      <c r="J370" s="31"/>
      <c r="K370" s="31"/>
      <c r="L370" s="32"/>
      <c r="M370" s="32"/>
      <c r="N370" s="32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ht="13.5" customHeight="1">
      <c r="A371" s="31"/>
      <c r="B371" s="32"/>
      <c r="C371" s="31"/>
      <c r="D371" s="31"/>
      <c r="E371" s="31"/>
      <c r="F371" s="31"/>
      <c r="G371" s="31"/>
      <c r="H371" s="31"/>
      <c r="I371" s="33"/>
      <c r="J371" s="31"/>
      <c r="K371" s="31"/>
      <c r="L371" s="32"/>
      <c r="M371" s="32"/>
      <c r="N371" s="32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ht="13.5" customHeight="1">
      <c r="A372" s="31"/>
      <c r="B372" s="32"/>
      <c r="C372" s="31"/>
      <c r="D372" s="31"/>
      <c r="E372" s="31"/>
      <c r="F372" s="31"/>
      <c r="G372" s="31"/>
      <c r="H372" s="31"/>
      <c r="I372" s="33"/>
      <c r="J372" s="31"/>
      <c r="K372" s="31"/>
      <c r="L372" s="32"/>
      <c r="M372" s="32"/>
      <c r="N372" s="32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ht="13.5" customHeight="1">
      <c r="A373" s="31"/>
      <c r="B373" s="32"/>
      <c r="C373" s="31"/>
      <c r="D373" s="31"/>
      <c r="E373" s="31"/>
      <c r="F373" s="31"/>
      <c r="G373" s="31"/>
      <c r="H373" s="31"/>
      <c r="I373" s="33"/>
      <c r="J373" s="31"/>
      <c r="K373" s="31"/>
      <c r="L373" s="32"/>
      <c r="M373" s="32"/>
      <c r="N373" s="32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ht="13.5" customHeight="1">
      <c r="A374" s="31"/>
      <c r="B374" s="32"/>
      <c r="C374" s="31"/>
      <c r="D374" s="31"/>
      <c r="E374" s="31"/>
      <c r="F374" s="31"/>
      <c r="G374" s="31"/>
      <c r="H374" s="31"/>
      <c r="I374" s="33"/>
      <c r="J374" s="31"/>
      <c r="K374" s="31"/>
      <c r="L374" s="32"/>
      <c r="M374" s="32"/>
      <c r="N374" s="32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ht="13.5" customHeight="1">
      <c r="A375" s="31"/>
      <c r="B375" s="32"/>
      <c r="C375" s="31"/>
      <c r="D375" s="31"/>
      <c r="E375" s="31"/>
      <c r="F375" s="31"/>
      <c r="G375" s="31"/>
      <c r="H375" s="31"/>
      <c r="I375" s="33"/>
      <c r="J375" s="31"/>
      <c r="K375" s="31"/>
      <c r="L375" s="32"/>
      <c r="M375" s="32"/>
      <c r="N375" s="32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ht="13.5" customHeight="1">
      <c r="A376" s="31"/>
      <c r="B376" s="32"/>
      <c r="C376" s="31"/>
      <c r="D376" s="31"/>
      <c r="E376" s="31"/>
      <c r="F376" s="31"/>
      <c r="G376" s="31"/>
      <c r="H376" s="31"/>
      <c r="I376" s="33"/>
      <c r="J376" s="31"/>
      <c r="K376" s="31"/>
      <c r="L376" s="32"/>
      <c r="M376" s="32"/>
      <c r="N376" s="32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ht="13.5" customHeight="1">
      <c r="A377" s="31"/>
      <c r="B377" s="32"/>
      <c r="C377" s="31"/>
      <c r="D377" s="31"/>
      <c r="E377" s="31"/>
      <c r="F377" s="31"/>
      <c r="G377" s="31"/>
      <c r="H377" s="31"/>
      <c r="I377" s="33"/>
      <c r="J377" s="31"/>
      <c r="K377" s="31"/>
      <c r="L377" s="32"/>
      <c r="M377" s="32"/>
      <c r="N377" s="32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ht="13.5" customHeight="1">
      <c r="A378" s="31"/>
      <c r="B378" s="32"/>
      <c r="C378" s="31"/>
      <c r="D378" s="31"/>
      <c r="E378" s="31"/>
      <c r="F378" s="31"/>
      <c r="G378" s="31"/>
      <c r="H378" s="31"/>
      <c r="I378" s="33"/>
      <c r="J378" s="31"/>
      <c r="K378" s="31"/>
      <c r="L378" s="32"/>
      <c r="M378" s="32"/>
      <c r="N378" s="32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ht="13.5" customHeight="1">
      <c r="A379" s="31"/>
      <c r="B379" s="32"/>
      <c r="C379" s="31"/>
      <c r="D379" s="31"/>
      <c r="E379" s="31"/>
      <c r="F379" s="31"/>
      <c r="G379" s="31"/>
      <c r="H379" s="31"/>
      <c r="I379" s="33"/>
      <c r="J379" s="31"/>
      <c r="K379" s="31"/>
      <c r="L379" s="32"/>
      <c r="M379" s="32"/>
      <c r="N379" s="32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ht="13.5" customHeight="1">
      <c r="A380" s="31"/>
      <c r="B380" s="32"/>
      <c r="C380" s="31"/>
      <c r="D380" s="31"/>
      <c r="E380" s="31"/>
      <c r="F380" s="31"/>
      <c r="G380" s="31"/>
      <c r="H380" s="31"/>
      <c r="I380" s="33"/>
      <c r="J380" s="31"/>
      <c r="K380" s="31"/>
      <c r="L380" s="32"/>
      <c r="M380" s="32"/>
      <c r="N380" s="32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ht="13.5" customHeight="1">
      <c r="A381" s="31"/>
      <c r="B381" s="32"/>
      <c r="C381" s="31"/>
      <c r="D381" s="31"/>
      <c r="E381" s="31"/>
      <c r="F381" s="31"/>
      <c r="G381" s="31"/>
      <c r="H381" s="31"/>
      <c r="I381" s="33"/>
      <c r="J381" s="31"/>
      <c r="K381" s="31"/>
      <c r="L381" s="32"/>
      <c r="M381" s="32"/>
      <c r="N381" s="32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ht="13.5" customHeight="1">
      <c r="A382" s="31"/>
      <c r="B382" s="32"/>
      <c r="C382" s="31"/>
      <c r="D382" s="31"/>
      <c r="E382" s="31"/>
      <c r="F382" s="31"/>
      <c r="G382" s="31"/>
      <c r="H382" s="31"/>
      <c r="I382" s="33"/>
      <c r="J382" s="31"/>
      <c r="K382" s="31"/>
      <c r="L382" s="32"/>
      <c r="M382" s="32"/>
      <c r="N382" s="32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ht="13.5" customHeight="1">
      <c r="A383" s="31"/>
      <c r="B383" s="32"/>
      <c r="C383" s="31"/>
      <c r="D383" s="31"/>
      <c r="E383" s="31"/>
      <c r="F383" s="31"/>
      <c r="G383" s="31"/>
      <c r="H383" s="31"/>
      <c r="I383" s="33"/>
      <c r="J383" s="31"/>
      <c r="K383" s="31"/>
      <c r="L383" s="32"/>
      <c r="M383" s="32"/>
      <c r="N383" s="32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ht="13.5" customHeight="1">
      <c r="A384" s="31"/>
      <c r="B384" s="32"/>
      <c r="C384" s="31"/>
      <c r="D384" s="31"/>
      <c r="E384" s="31"/>
      <c r="F384" s="31"/>
      <c r="G384" s="31"/>
      <c r="H384" s="31"/>
      <c r="I384" s="33"/>
      <c r="J384" s="31"/>
      <c r="K384" s="31"/>
      <c r="L384" s="32"/>
      <c r="M384" s="32"/>
      <c r="N384" s="32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ht="13.5" customHeight="1">
      <c r="A385" s="31"/>
      <c r="B385" s="32"/>
      <c r="C385" s="31"/>
      <c r="D385" s="31"/>
      <c r="E385" s="31"/>
      <c r="F385" s="31"/>
      <c r="G385" s="31"/>
      <c r="H385" s="31"/>
      <c r="I385" s="33"/>
      <c r="J385" s="31"/>
      <c r="K385" s="31"/>
      <c r="L385" s="32"/>
      <c r="M385" s="32"/>
      <c r="N385" s="32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ht="13.5" customHeight="1">
      <c r="A386" s="31"/>
      <c r="B386" s="32"/>
      <c r="C386" s="31"/>
      <c r="D386" s="31"/>
      <c r="E386" s="31"/>
      <c r="F386" s="31"/>
      <c r="G386" s="31"/>
      <c r="H386" s="31"/>
      <c r="I386" s="33"/>
      <c r="J386" s="31"/>
      <c r="K386" s="31"/>
      <c r="L386" s="32"/>
      <c r="M386" s="32"/>
      <c r="N386" s="32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ht="13.5" customHeight="1">
      <c r="A387" s="31"/>
      <c r="B387" s="32"/>
      <c r="C387" s="31"/>
      <c r="D387" s="31"/>
      <c r="E387" s="31"/>
      <c r="F387" s="31"/>
      <c r="G387" s="31"/>
      <c r="H387" s="31"/>
      <c r="I387" s="33"/>
      <c r="J387" s="31"/>
      <c r="K387" s="31"/>
      <c r="L387" s="32"/>
      <c r="M387" s="32"/>
      <c r="N387" s="32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ht="13.5" customHeight="1">
      <c r="A388" s="31"/>
      <c r="B388" s="32"/>
      <c r="C388" s="31"/>
      <c r="D388" s="31"/>
      <c r="E388" s="31"/>
      <c r="F388" s="31"/>
      <c r="G388" s="31"/>
      <c r="H388" s="31"/>
      <c r="I388" s="33"/>
      <c r="J388" s="31"/>
      <c r="K388" s="31"/>
      <c r="L388" s="32"/>
      <c r="M388" s="32"/>
      <c r="N388" s="32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ht="13.5" customHeight="1">
      <c r="A389" s="31"/>
      <c r="B389" s="32"/>
      <c r="C389" s="31"/>
      <c r="D389" s="31"/>
      <c r="E389" s="31"/>
      <c r="F389" s="31"/>
      <c r="G389" s="31"/>
      <c r="H389" s="31"/>
      <c r="I389" s="33"/>
      <c r="J389" s="31"/>
      <c r="K389" s="31"/>
      <c r="L389" s="32"/>
      <c r="M389" s="32"/>
      <c r="N389" s="32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ht="13.5" customHeight="1">
      <c r="A390" s="31"/>
      <c r="B390" s="32"/>
      <c r="C390" s="31"/>
      <c r="D390" s="31"/>
      <c r="E390" s="31"/>
      <c r="F390" s="31"/>
      <c r="G390" s="31"/>
      <c r="H390" s="31"/>
      <c r="I390" s="33"/>
      <c r="J390" s="31"/>
      <c r="K390" s="31"/>
      <c r="L390" s="32"/>
      <c r="M390" s="32"/>
      <c r="N390" s="32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ht="13.5" customHeight="1">
      <c r="A391" s="31"/>
      <c r="B391" s="32"/>
      <c r="C391" s="31"/>
      <c r="D391" s="31"/>
      <c r="E391" s="31"/>
      <c r="F391" s="31"/>
      <c r="G391" s="31"/>
      <c r="H391" s="31"/>
      <c r="I391" s="33"/>
      <c r="J391" s="31"/>
      <c r="K391" s="31"/>
      <c r="L391" s="32"/>
      <c r="M391" s="32"/>
      <c r="N391" s="32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ht="13.5" customHeight="1">
      <c r="A392" s="31"/>
      <c r="B392" s="32"/>
      <c r="C392" s="31"/>
      <c r="D392" s="31"/>
      <c r="E392" s="31"/>
      <c r="F392" s="31"/>
      <c r="G392" s="31"/>
      <c r="H392" s="31"/>
      <c r="I392" s="33"/>
      <c r="J392" s="31"/>
      <c r="K392" s="31"/>
      <c r="L392" s="32"/>
      <c r="M392" s="32"/>
      <c r="N392" s="32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ht="13.5" customHeight="1">
      <c r="A393" s="31"/>
      <c r="B393" s="32"/>
      <c r="C393" s="31"/>
      <c r="D393" s="31"/>
      <c r="E393" s="31"/>
      <c r="F393" s="31"/>
      <c r="G393" s="31"/>
      <c r="H393" s="31"/>
      <c r="I393" s="33"/>
      <c r="J393" s="31"/>
      <c r="K393" s="31"/>
      <c r="L393" s="32"/>
      <c r="M393" s="32"/>
      <c r="N393" s="32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ht="13.5" customHeight="1">
      <c r="A394" s="31"/>
      <c r="B394" s="32"/>
      <c r="C394" s="31"/>
      <c r="D394" s="31"/>
      <c r="E394" s="31"/>
      <c r="F394" s="31"/>
      <c r="G394" s="31"/>
      <c r="H394" s="31"/>
      <c r="I394" s="33"/>
      <c r="J394" s="31"/>
      <c r="K394" s="31"/>
      <c r="L394" s="32"/>
      <c r="M394" s="32"/>
      <c r="N394" s="32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ht="13.5" customHeight="1">
      <c r="A395" s="31"/>
      <c r="B395" s="32"/>
      <c r="C395" s="31"/>
      <c r="D395" s="31"/>
      <c r="E395" s="31"/>
      <c r="F395" s="31"/>
      <c r="G395" s="31"/>
      <c r="H395" s="31"/>
      <c r="I395" s="33"/>
      <c r="J395" s="31"/>
      <c r="K395" s="31"/>
      <c r="L395" s="32"/>
      <c r="M395" s="32"/>
      <c r="N395" s="32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ht="13.5" customHeight="1">
      <c r="A396" s="31"/>
      <c r="B396" s="32"/>
      <c r="C396" s="31"/>
      <c r="D396" s="31"/>
      <c r="E396" s="31"/>
      <c r="F396" s="31"/>
      <c r="G396" s="31"/>
      <c r="H396" s="31"/>
      <c r="I396" s="33"/>
      <c r="J396" s="31"/>
      <c r="K396" s="31"/>
      <c r="L396" s="32"/>
      <c r="M396" s="32"/>
      <c r="N396" s="32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ht="13.5" customHeight="1">
      <c r="A397" s="31"/>
      <c r="B397" s="32"/>
      <c r="C397" s="31"/>
      <c r="D397" s="31"/>
      <c r="E397" s="31"/>
      <c r="F397" s="31"/>
      <c r="G397" s="31"/>
      <c r="H397" s="31"/>
      <c r="I397" s="33"/>
      <c r="J397" s="31"/>
      <c r="K397" s="31"/>
      <c r="L397" s="32"/>
      <c r="M397" s="32"/>
      <c r="N397" s="32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ht="13.5" customHeight="1">
      <c r="A398" s="31"/>
      <c r="B398" s="32"/>
      <c r="C398" s="31"/>
      <c r="D398" s="31"/>
      <c r="E398" s="31"/>
      <c r="F398" s="31"/>
      <c r="G398" s="31"/>
      <c r="H398" s="31"/>
      <c r="I398" s="33"/>
      <c r="J398" s="31"/>
      <c r="K398" s="31"/>
      <c r="L398" s="32"/>
      <c r="M398" s="32"/>
      <c r="N398" s="32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ht="13.5" customHeight="1">
      <c r="A399" s="31"/>
      <c r="B399" s="32"/>
      <c r="C399" s="31"/>
      <c r="D399" s="31"/>
      <c r="E399" s="31"/>
      <c r="F399" s="31"/>
      <c r="G399" s="31"/>
      <c r="H399" s="31"/>
      <c r="I399" s="33"/>
      <c r="J399" s="31"/>
      <c r="K399" s="31"/>
      <c r="L399" s="32"/>
      <c r="M399" s="32"/>
      <c r="N399" s="32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ht="13.5" customHeight="1">
      <c r="A400" s="31"/>
      <c r="B400" s="32"/>
      <c r="C400" s="31"/>
      <c r="D400" s="31"/>
      <c r="E400" s="31"/>
      <c r="F400" s="31"/>
      <c r="G400" s="31"/>
      <c r="H400" s="31"/>
      <c r="I400" s="33"/>
      <c r="J400" s="31"/>
      <c r="K400" s="31"/>
      <c r="L400" s="32"/>
      <c r="M400" s="32"/>
      <c r="N400" s="32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ht="13.5" customHeight="1">
      <c r="A401" s="31"/>
      <c r="B401" s="32"/>
      <c r="C401" s="31"/>
      <c r="D401" s="31"/>
      <c r="E401" s="31"/>
      <c r="F401" s="31"/>
      <c r="G401" s="31"/>
      <c r="H401" s="31"/>
      <c r="I401" s="33"/>
      <c r="J401" s="31"/>
      <c r="K401" s="31"/>
      <c r="L401" s="32"/>
      <c r="M401" s="32"/>
      <c r="N401" s="32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ht="13.5" customHeight="1">
      <c r="A402" s="31"/>
      <c r="B402" s="32"/>
      <c r="C402" s="31"/>
      <c r="D402" s="31"/>
      <c r="E402" s="31"/>
      <c r="F402" s="31"/>
      <c r="G402" s="31"/>
      <c r="H402" s="31"/>
      <c r="I402" s="33"/>
      <c r="J402" s="31"/>
      <c r="K402" s="31"/>
      <c r="L402" s="32"/>
      <c r="M402" s="32"/>
      <c r="N402" s="32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ht="13.5" customHeight="1">
      <c r="A403" s="31"/>
      <c r="B403" s="32"/>
      <c r="C403" s="31"/>
      <c r="D403" s="31"/>
      <c r="E403" s="31"/>
      <c r="F403" s="31"/>
      <c r="G403" s="31"/>
      <c r="H403" s="31"/>
      <c r="I403" s="33"/>
      <c r="J403" s="31"/>
      <c r="K403" s="31"/>
      <c r="L403" s="32"/>
      <c r="M403" s="32"/>
      <c r="N403" s="32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ht="13.5" customHeight="1">
      <c r="A404" s="31"/>
      <c r="B404" s="32"/>
      <c r="C404" s="31"/>
      <c r="D404" s="31"/>
      <c r="E404" s="31"/>
      <c r="F404" s="31"/>
      <c r="G404" s="31"/>
      <c r="H404" s="31"/>
      <c r="I404" s="33"/>
      <c r="J404" s="31"/>
      <c r="K404" s="31"/>
      <c r="L404" s="32"/>
      <c r="M404" s="32"/>
      <c r="N404" s="32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ht="13.5" customHeight="1">
      <c r="A405" s="31"/>
      <c r="B405" s="32"/>
      <c r="C405" s="31"/>
      <c r="D405" s="31"/>
      <c r="E405" s="31"/>
      <c r="F405" s="31"/>
      <c r="G405" s="31"/>
      <c r="H405" s="31"/>
      <c r="I405" s="33"/>
      <c r="J405" s="31"/>
      <c r="K405" s="31"/>
      <c r="L405" s="32"/>
      <c r="M405" s="32"/>
      <c r="N405" s="32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ht="13.5" customHeight="1">
      <c r="A406" s="31"/>
      <c r="B406" s="32"/>
      <c r="C406" s="31"/>
      <c r="D406" s="31"/>
      <c r="E406" s="31"/>
      <c r="F406" s="31"/>
      <c r="G406" s="31"/>
      <c r="H406" s="31"/>
      <c r="I406" s="33"/>
      <c r="J406" s="31"/>
      <c r="K406" s="31"/>
      <c r="L406" s="32"/>
      <c r="M406" s="32"/>
      <c r="N406" s="32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ht="13.5" customHeight="1">
      <c r="A407" s="31"/>
      <c r="B407" s="32"/>
      <c r="C407" s="31"/>
      <c r="D407" s="31"/>
      <c r="E407" s="31"/>
      <c r="F407" s="31"/>
      <c r="G407" s="31"/>
      <c r="H407" s="31"/>
      <c r="I407" s="33"/>
      <c r="J407" s="31"/>
      <c r="K407" s="31"/>
      <c r="L407" s="32"/>
      <c r="M407" s="32"/>
      <c r="N407" s="32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ht="13.5" customHeight="1">
      <c r="A408" s="31"/>
      <c r="B408" s="32"/>
      <c r="C408" s="31"/>
      <c r="D408" s="31"/>
      <c r="E408" s="31"/>
      <c r="F408" s="31"/>
      <c r="G408" s="31"/>
      <c r="H408" s="31"/>
      <c r="I408" s="33"/>
      <c r="J408" s="31"/>
      <c r="K408" s="31"/>
      <c r="L408" s="32"/>
      <c r="M408" s="32"/>
      <c r="N408" s="32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ht="13.5" customHeight="1">
      <c r="A409" s="31"/>
      <c r="B409" s="32"/>
      <c r="C409" s="31"/>
      <c r="D409" s="31"/>
      <c r="E409" s="31"/>
      <c r="F409" s="31"/>
      <c r="G409" s="31"/>
      <c r="H409" s="31"/>
      <c r="I409" s="33"/>
      <c r="J409" s="31"/>
      <c r="K409" s="31"/>
      <c r="L409" s="32"/>
      <c r="M409" s="32"/>
      <c r="N409" s="32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ht="13.5" customHeight="1">
      <c r="A410" s="31"/>
      <c r="B410" s="32"/>
      <c r="C410" s="31"/>
      <c r="D410" s="31"/>
      <c r="E410" s="31"/>
      <c r="F410" s="31"/>
      <c r="G410" s="31"/>
      <c r="H410" s="31"/>
      <c r="I410" s="33"/>
      <c r="J410" s="31"/>
      <c r="K410" s="31"/>
      <c r="L410" s="32"/>
      <c r="M410" s="32"/>
      <c r="N410" s="32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ht="13.5" customHeight="1">
      <c r="A411" s="31"/>
      <c r="B411" s="32"/>
      <c r="C411" s="31"/>
      <c r="D411" s="31"/>
      <c r="E411" s="31"/>
      <c r="F411" s="31"/>
      <c r="G411" s="31"/>
      <c r="H411" s="31"/>
      <c r="I411" s="33"/>
      <c r="J411" s="31"/>
      <c r="K411" s="31"/>
      <c r="L411" s="32"/>
      <c r="M411" s="32"/>
      <c r="N411" s="32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ht="13.5" customHeight="1">
      <c r="A412" s="31"/>
      <c r="B412" s="32"/>
      <c r="C412" s="31"/>
      <c r="D412" s="31"/>
      <c r="E412" s="31"/>
      <c r="F412" s="31"/>
      <c r="G412" s="31"/>
      <c r="H412" s="31"/>
      <c r="I412" s="33"/>
      <c r="J412" s="31"/>
      <c r="K412" s="31"/>
      <c r="L412" s="32"/>
      <c r="M412" s="32"/>
      <c r="N412" s="32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ht="13.5" customHeight="1">
      <c r="A413" s="31"/>
      <c r="B413" s="32"/>
      <c r="C413" s="31"/>
      <c r="D413" s="31"/>
      <c r="E413" s="31"/>
      <c r="F413" s="31"/>
      <c r="G413" s="31"/>
      <c r="H413" s="31"/>
      <c r="I413" s="33"/>
      <c r="J413" s="31"/>
      <c r="K413" s="31"/>
      <c r="L413" s="32"/>
      <c r="M413" s="32"/>
      <c r="N413" s="32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ht="13.5" customHeight="1">
      <c r="A414" s="31"/>
      <c r="B414" s="32"/>
      <c r="C414" s="31"/>
      <c r="D414" s="31"/>
      <c r="E414" s="31"/>
      <c r="F414" s="31"/>
      <c r="G414" s="31"/>
      <c r="H414" s="31"/>
      <c r="I414" s="33"/>
      <c r="J414" s="31"/>
      <c r="K414" s="31"/>
      <c r="L414" s="32"/>
      <c r="M414" s="32"/>
      <c r="N414" s="32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ht="13.5" customHeight="1">
      <c r="A415" s="31"/>
      <c r="B415" s="32"/>
      <c r="C415" s="31"/>
      <c r="D415" s="31"/>
      <c r="E415" s="31"/>
      <c r="F415" s="31"/>
      <c r="G415" s="31"/>
      <c r="H415" s="31"/>
      <c r="I415" s="33"/>
      <c r="J415" s="31"/>
      <c r="K415" s="31"/>
      <c r="L415" s="32"/>
      <c r="M415" s="32"/>
      <c r="N415" s="32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ht="13.5" customHeight="1">
      <c r="A416" s="31"/>
      <c r="B416" s="32"/>
      <c r="C416" s="31"/>
      <c r="D416" s="31"/>
      <c r="E416" s="31"/>
      <c r="F416" s="31"/>
      <c r="G416" s="31"/>
      <c r="H416" s="31"/>
      <c r="I416" s="33"/>
      <c r="J416" s="31"/>
      <c r="K416" s="31"/>
      <c r="L416" s="32"/>
      <c r="M416" s="32"/>
      <c r="N416" s="32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ht="13.5" customHeight="1">
      <c r="A417" s="31"/>
      <c r="B417" s="32"/>
      <c r="C417" s="31"/>
      <c r="D417" s="31"/>
      <c r="E417" s="31"/>
      <c r="F417" s="31"/>
      <c r="G417" s="31"/>
      <c r="H417" s="31"/>
      <c r="I417" s="33"/>
      <c r="J417" s="31"/>
      <c r="K417" s="31"/>
      <c r="L417" s="32"/>
      <c r="M417" s="32"/>
      <c r="N417" s="32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ht="13.5" customHeight="1">
      <c r="A418" s="31"/>
      <c r="B418" s="32"/>
      <c r="C418" s="31"/>
      <c r="D418" s="31"/>
      <c r="E418" s="31"/>
      <c r="F418" s="31"/>
      <c r="G418" s="31"/>
      <c r="H418" s="31"/>
      <c r="I418" s="33"/>
      <c r="J418" s="31"/>
      <c r="K418" s="31"/>
      <c r="L418" s="32"/>
      <c r="M418" s="32"/>
      <c r="N418" s="32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ht="13.5" customHeight="1">
      <c r="A419" s="31"/>
      <c r="B419" s="32"/>
      <c r="C419" s="31"/>
      <c r="D419" s="31"/>
      <c r="E419" s="31"/>
      <c r="F419" s="31"/>
      <c r="G419" s="31"/>
      <c r="H419" s="31"/>
      <c r="I419" s="33"/>
      <c r="J419" s="31"/>
      <c r="K419" s="31"/>
      <c r="L419" s="32"/>
      <c r="M419" s="32"/>
      <c r="N419" s="32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ht="13.5" customHeight="1">
      <c r="A420" s="31"/>
      <c r="B420" s="32"/>
      <c r="C420" s="31"/>
      <c r="D420" s="31"/>
      <c r="E420" s="31"/>
      <c r="F420" s="31"/>
      <c r="G420" s="31"/>
      <c r="H420" s="31"/>
      <c r="I420" s="33"/>
      <c r="J420" s="31"/>
      <c r="K420" s="31"/>
      <c r="L420" s="32"/>
      <c r="M420" s="32"/>
      <c r="N420" s="32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ht="13.5" customHeight="1">
      <c r="A421" s="31"/>
      <c r="B421" s="32"/>
      <c r="C421" s="31"/>
      <c r="D421" s="31"/>
      <c r="E421" s="31"/>
      <c r="F421" s="31"/>
      <c r="G421" s="31"/>
      <c r="H421" s="31"/>
      <c r="I421" s="33"/>
      <c r="J421" s="31"/>
      <c r="K421" s="31"/>
      <c r="L421" s="32"/>
      <c r="M421" s="32"/>
      <c r="N421" s="32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ht="13.5" customHeight="1">
      <c r="A422" s="31"/>
      <c r="B422" s="32"/>
      <c r="C422" s="31"/>
      <c r="D422" s="31"/>
      <c r="E422" s="31"/>
      <c r="F422" s="31"/>
      <c r="G422" s="31"/>
      <c r="H422" s="31"/>
      <c r="I422" s="33"/>
      <c r="J422" s="31"/>
      <c r="K422" s="31"/>
      <c r="L422" s="32"/>
      <c r="M422" s="32"/>
      <c r="N422" s="32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ht="13.5" customHeight="1">
      <c r="A423" s="31"/>
      <c r="B423" s="32"/>
      <c r="C423" s="31"/>
      <c r="D423" s="31"/>
      <c r="E423" s="31"/>
      <c r="F423" s="31"/>
      <c r="G423" s="31"/>
      <c r="H423" s="31"/>
      <c r="I423" s="33"/>
      <c r="J423" s="31"/>
      <c r="K423" s="31"/>
      <c r="L423" s="32"/>
      <c r="M423" s="32"/>
      <c r="N423" s="32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ht="13.5" customHeight="1">
      <c r="A424" s="31"/>
      <c r="B424" s="32"/>
      <c r="C424" s="31"/>
      <c r="D424" s="31"/>
      <c r="E424" s="31"/>
      <c r="F424" s="31"/>
      <c r="G424" s="31"/>
      <c r="H424" s="31"/>
      <c r="I424" s="33"/>
      <c r="J424" s="31"/>
      <c r="K424" s="31"/>
      <c r="L424" s="32"/>
      <c r="M424" s="32"/>
      <c r="N424" s="32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ht="13.5" customHeight="1">
      <c r="A425" s="31"/>
      <c r="B425" s="32"/>
      <c r="C425" s="31"/>
      <c r="D425" s="31"/>
      <c r="E425" s="31"/>
      <c r="F425" s="31"/>
      <c r="G425" s="31"/>
      <c r="H425" s="31"/>
      <c r="I425" s="33"/>
      <c r="J425" s="31"/>
      <c r="K425" s="31"/>
      <c r="L425" s="32"/>
      <c r="M425" s="32"/>
      <c r="N425" s="32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ht="13.5" customHeight="1">
      <c r="A426" s="31"/>
      <c r="B426" s="32"/>
      <c r="C426" s="31"/>
      <c r="D426" s="31"/>
      <c r="E426" s="31"/>
      <c r="F426" s="31"/>
      <c r="G426" s="31"/>
      <c r="H426" s="31"/>
      <c r="I426" s="33"/>
      <c r="J426" s="31"/>
      <c r="K426" s="31"/>
      <c r="L426" s="32"/>
      <c r="M426" s="32"/>
      <c r="N426" s="32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ht="13.5" customHeight="1">
      <c r="A427" s="31"/>
      <c r="B427" s="32"/>
      <c r="C427" s="31"/>
      <c r="D427" s="31"/>
      <c r="E427" s="31"/>
      <c r="F427" s="31"/>
      <c r="G427" s="31"/>
      <c r="H427" s="31"/>
      <c r="I427" s="33"/>
      <c r="J427" s="31"/>
      <c r="K427" s="31"/>
      <c r="L427" s="32"/>
      <c r="M427" s="32"/>
      <c r="N427" s="32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ht="13.5" customHeight="1">
      <c r="A428" s="31"/>
      <c r="B428" s="32"/>
      <c r="C428" s="31"/>
      <c r="D428" s="31"/>
      <c r="E428" s="31"/>
      <c r="F428" s="31"/>
      <c r="G428" s="31"/>
      <c r="H428" s="31"/>
      <c r="I428" s="33"/>
      <c r="J428" s="31"/>
      <c r="K428" s="31"/>
      <c r="L428" s="32"/>
      <c r="M428" s="32"/>
      <c r="N428" s="32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ht="13.5" customHeight="1">
      <c r="A429" s="31"/>
      <c r="B429" s="32"/>
      <c r="C429" s="31"/>
      <c r="D429" s="31"/>
      <c r="E429" s="31"/>
      <c r="F429" s="31"/>
      <c r="G429" s="31"/>
      <c r="H429" s="31"/>
      <c r="I429" s="33"/>
      <c r="J429" s="31"/>
      <c r="K429" s="31"/>
      <c r="L429" s="32"/>
      <c r="M429" s="32"/>
      <c r="N429" s="32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ht="13.5" customHeight="1">
      <c r="A430" s="31"/>
      <c r="B430" s="32"/>
      <c r="C430" s="31"/>
      <c r="D430" s="31"/>
      <c r="E430" s="31"/>
      <c r="F430" s="31"/>
      <c r="G430" s="31"/>
      <c r="H430" s="31"/>
      <c r="I430" s="33"/>
      <c r="J430" s="31"/>
      <c r="K430" s="31"/>
      <c r="L430" s="32"/>
      <c r="M430" s="32"/>
      <c r="N430" s="32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ht="13.5" customHeight="1">
      <c r="A431" s="31"/>
      <c r="B431" s="32"/>
      <c r="C431" s="31"/>
      <c r="D431" s="31"/>
      <c r="E431" s="31"/>
      <c r="F431" s="31"/>
      <c r="G431" s="31"/>
      <c r="H431" s="31"/>
      <c r="I431" s="33"/>
      <c r="J431" s="31"/>
      <c r="K431" s="31"/>
      <c r="L431" s="32"/>
      <c r="M431" s="32"/>
      <c r="N431" s="32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ht="13.5" customHeight="1">
      <c r="A432" s="31"/>
      <c r="B432" s="32"/>
      <c r="C432" s="31"/>
      <c r="D432" s="31"/>
      <c r="E432" s="31"/>
      <c r="F432" s="31"/>
      <c r="G432" s="31"/>
      <c r="H432" s="31"/>
      <c r="I432" s="33"/>
      <c r="J432" s="31"/>
      <c r="K432" s="31"/>
      <c r="L432" s="32"/>
      <c r="M432" s="32"/>
      <c r="N432" s="32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ht="13.5" customHeight="1">
      <c r="A433" s="31"/>
      <c r="B433" s="32"/>
      <c r="C433" s="31"/>
      <c r="D433" s="31"/>
      <c r="E433" s="31"/>
      <c r="F433" s="31"/>
      <c r="G433" s="31"/>
      <c r="H433" s="31"/>
      <c r="I433" s="33"/>
      <c r="J433" s="31"/>
      <c r="K433" s="31"/>
      <c r="L433" s="32"/>
      <c r="M433" s="32"/>
      <c r="N433" s="32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ht="13.5" customHeight="1">
      <c r="A434" s="31"/>
      <c r="B434" s="32"/>
      <c r="C434" s="31"/>
      <c r="D434" s="31"/>
      <c r="E434" s="31"/>
      <c r="F434" s="31"/>
      <c r="G434" s="31"/>
      <c r="H434" s="31"/>
      <c r="I434" s="33"/>
      <c r="J434" s="31"/>
      <c r="K434" s="31"/>
      <c r="L434" s="32"/>
      <c r="M434" s="32"/>
      <c r="N434" s="32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ht="13.5" customHeight="1">
      <c r="A435" s="31"/>
      <c r="B435" s="32"/>
      <c r="C435" s="31"/>
      <c r="D435" s="31"/>
      <c r="E435" s="31"/>
      <c r="F435" s="31"/>
      <c r="G435" s="31"/>
      <c r="H435" s="31"/>
      <c r="I435" s="33"/>
      <c r="J435" s="31"/>
      <c r="K435" s="31"/>
      <c r="L435" s="32"/>
      <c r="M435" s="32"/>
      <c r="N435" s="32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ht="13.5" customHeight="1">
      <c r="A436" s="31"/>
      <c r="B436" s="32"/>
      <c r="C436" s="31"/>
      <c r="D436" s="31"/>
      <c r="E436" s="31"/>
      <c r="F436" s="31"/>
      <c r="G436" s="31"/>
      <c r="H436" s="31"/>
      <c r="I436" s="33"/>
      <c r="J436" s="31"/>
      <c r="K436" s="31"/>
      <c r="L436" s="32"/>
      <c r="M436" s="32"/>
      <c r="N436" s="32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ht="13.5" customHeight="1">
      <c r="A437" s="31"/>
      <c r="B437" s="32"/>
      <c r="C437" s="31"/>
      <c r="D437" s="31"/>
      <c r="E437" s="31"/>
      <c r="F437" s="31"/>
      <c r="G437" s="31"/>
      <c r="H437" s="31"/>
      <c r="I437" s="33"/>
      <c r="J437" s="31"/>
      <c r="K437" s="31"/>
      <c r="L437" s="32"/>
      <c r="M437" s="32"/>
      <c r="N437" s="32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ht="13.5" customHeight="1">
      <c r="A438" s="31"/>
      <c r="B438" s="32"/>
      <c r="C438" s="31"/>
      <c r="D438" s="31"/>
      <c r="E438" s="31"/>
      <c r="F438" s="31"/>
      <c r="G438" s="31"/>
      <c r="H438" s="31"/>
      <c r="I438" s="33"/>
      <c r="J438" s="31"/>
      <c r="K438" s="31"/>
      <c r="L438" s="32"/>
      <c r="M438" s="32"/>
      <c r="N438" s="32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ht="13.5" customHeight="1">
      <c r="A439" s="31"/>
      <c r="B439" s="32"/>
      <c r="C439" s="31"/>
      <c r="D439" s="31"/>
      <c r="E439" s="31"/>
      <c r="F439" s="31"/>
      <c r="G439" s="31"/>
      <c r="H439" s="31"/>
      <c r="I439" s="33"/>
      <c r="J439" s="31"/>
      <c r="K439" s="31"/>
      <c r="L439" s="32"/>
      <c r="M439" s="32"/>
      <c r="N439" s="32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ht="13.5" customHeight="1">
      <c r="A440" s="31"/>
      <c r="B440" s="32"/>
      <c r="C440" s="31"/>
      <c r="D440" s="31"/>
      <c r="E440" s="31"/>
      <c r="F440" s="31"/>
      <c r="G440" s="31"/>
      <c r="H440" s="31"/>
      <c r="I440" s="33"/>
      <c r="J440" s="31"/>
      <c r="K440" s="31"/>
      <c r="L440" s="32"/>
      <c r="M440" s="32"/>
      <c r="N440" s="32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ht="13.5" customHeight="1">
      <c r="A441" s="31"/>
      <c r="B441" s="32"/>
      <c r="C441" s="31"/>
      <c r="D441" s="31"/>
      <c r="E441" s="31"/>
      <c r="F441" s="31"/>
      <c r="G441" s="31"/>
      <c r="H441" s="31"/>
      <c r="I441" s="33"/>
      <c r="J441" s="31"/>
      <c r="K441" s="31"/>
      <c r="L441" s="32"/>
      <c r="M441" s="32"/>
      <c r="N441" s="32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ht="13.5" customHeight="1">
      <c r="A442" s="31"/>
      <c r="B442" s="32"/>
      <c r="C442" s="31"/>
      <c r="D442" s="31"/>
      <c r="E442" s="31"/>
      <c r="F442" s="31"/>
      <c r="G442" s="31"/>
      <c r="H442" s="31"/>
      <c r="I442" s="33"/>
      <c r="J442" s="31"/>
      <c r="K442" s="31"/>
      <c r="L442" s="32"/>
      <c r="M442" s="32"/>
      <c r="N442" s="32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ht="13.5" customHeight="1">
      <c r="A443" s="31"/>
      <c r="B443" s="32"/>
      <c r="C443" s="31"/>
      <c r="D443" s="31"/>
      <c r="E443" s="31"/>
      <c r="F443" s="31"/>
      <c r="G443" s="31"/>
      <c r="H443" s="31"/>
      <c r="I443" s="33"/>
      <c r="J443" s="31"/>
      <c r="K443" s="31"/>
      <c r="L443" s="32"/>
      <c r="M443" s="32"/>
      <c r="N443" s="32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ht="13.5" customHeight="1">
      <c r="A444" s="31"/>
      <c r="B444" s="32"/>
      <c r="C444" s="31"/>
      <c r="D444" s="31"/>
      <c r="E444" s="31"/>
      <c r="F444" s="31"/>
      <c r="G444" s="31"/>
      <c r="H444" s="31"/>
      <c r="I444" s="33"/>
      <c r="J444" s="31"/>
      <c r="K444" s="31"/>
      <c r="L444" s="32"/>
      <c r="M444" s="32"/>
      <c r="N444" s="32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ht="13.5" customHeight="1">
      <c r="A445" s="31"/>
      <c r="B445" s="32"/>
      <c r="C445" s="31"/>
      <c r="D445" s="31"/>
      <c r="E445" s="31"/>
      <c r="F445" s="31"/>
      <c r="G445" s="31"/>
      <c r="H445" s="31"/>
      <c r="I445" s="33"/>
      <c r="J445" s="31"/>
      <c r="K445" s="31"/>
      <c r="L445" s="32"/>
      <c r="M445" s="32"/>
      <c r="N445" s="32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ht="13.5" customHeight="1">
      <c r="A446" s="31"/>
      <c r="B446" s="32"/>
      <c r="C446" s="31"/>
      <c r="D446" s="31"/>
      <c r="E446" s="31"/>
      <c r="F446" s="31"/>
      <c r="G446" s="31"/>
      <c r="H446" s="31"/>
      <c r="I446" s="33"/>
      <c r="J446" s="31"/>
      <c r="K446" s="31"/>
      <c r="L446" s="32"/>
      <c r="M446" s="32"/>
      <c r="N446" s="32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ht="13.5" customHeight="1">
      <c r="A447" s="31"/>
      <c r="B447" s="32"/>
      <c r="C447" s="31"/>
      <c r="D447" s="31"/>
      <c r="E447" s="31"/>
      <c r="F447" s="31"/>
      <c r="G447" s="31"/>
      <c r="H447" s="31"/>
      <c r="I447" s="33"/>
      <c r="J447" s="31"/>
      <c r="K447" s="31"/>
      <c r="L447" s="32"/>
      <c r="M447" s="32"/>
      <c r="N447" s="32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ht="13.5" customHeight="1">
      <c r="A448" s="31"/>
      <c r="B448" s="32"/>
      <c r="C448" s="31"/>
      <c r="D448" s="31"/>
      <c r="E448" s="31"/>
      <c r="F448" s="31"/>
      <c r="G448" s="31"/>
      <c r="H448" s="31"/>
      <c r="I448" s="33"/>
      <c r="J448" s="31"/>
      <c r="K448" s="31"/>
      <c r="L448" s="32"/>
      <c r="M448" s="32"/>
      <c r="N448" s="32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ht="13.5" customHeight="1">
      <c r="A449" s="31"/>
      <c r="B449" s="32"/>
      <c r="C449" s="31"/>
      <c r="D449" s="31"/>
      <c r="E449" s="31"/>
      <c r="F449" s="31"/>
      <c r="G449" s="31"/>
      <c r="H449" s="31"/>
      <c r="I449" s="33"/>
      <c r="J449" s="31"/>
      <c r="K449" s="31"/>
      <c r="L449" s="32"/>
      <c r="M449" s="32"/>
      <c r="N449" s="32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ht="13.5" customHeight="1">
      <c r="A450" s="31"/>
      <c r="B450" s="32"/>
      <c r="C450" s="31"/>
      <c r="D450" s="31"/>
      <c r="E450" s="31"/>
      <c r="F450" s="31"/>
      <c r="G450" s="31"/>
      <c r="H450" s="31"/>
      <c r="I450" s="33"/>
      <c r="J450" s="31"/>
      <c r="K450" s="31"/>
      <c r="L450" s="32"/>
      <c r="M450" s="32"/>
      <c r="N450" s="32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ht="13.5" customHeight="1">
      <c r="A451" s="31"/>
      <c r="B451" s="32"/>
      <c r="C451" s="31"/>
      <c r="D451" s="31"/>
      <c r="E451" s="31"/>
      <c r="F451" s="31"/>
      <c r="G451" s="31"/>
      <c r="H451" s="31"/>
      <c r="I451" s="33"/>
      <c r="J451" s="31"/>
      <c r="K451" s="31"/>
      <c r="L451" s="32"/>
      <c r="M451" s="32"/>
      <c r="N451" s="32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ht="13.5" customHeight="1">
      <c r="A452" s="31"/>
      <c r="B452" s="32"/>
      <c r="C452" s="31"/>
      <c r="D452" s="31"/>
      <c r="E452" s="31"/>
      <c r="F452" s="31"/>
      <c r="G452" s="31"/>
      <c r="H452" s="31"/>
      <c r="I452" s="33"/>
      <c r="J452" s="31"/>
      <c r="K452" s="31"/>
      <c r="L452" s="32"/>
      <c r="M452" s="32"/>
      <c r="N452" s="32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ht="13.5" customHeight="1">
      <c r="A453" s="31"/>
      <c r="B453" s="32"/>
      <c r="C453" s="31"/>
      <c r="D453" s="31"/>
      <c r="E453" s="31"/>
      <c r="F453" s="31"/>
      <c r="G453" s="31"/>
      <c r="H453" s="31"/>
      <c r="I453" s="33"/>
      <c r="J453" s="31"/>
      <c r="K453" s="31"/>
      <c r="L453" s="32"/>
      <c r="M453" s="32"/>
      <c r="N453" s="32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ht="13.5" customHeight="1">
      <c r="A454" s="31"/>
      <c r="B454" s="32"/>
      <c r="C454" s="31"/>
      <c r="D454" s="31"/>
      <c r="E454" s="31"/>
      <c r="F454" s="31"/>
      <c r="G454" s="31"/>
      <c r="H454" s="31"/>
      <c r="I454" s="33"/>
      <c r="J454" s="31"/>
      <c r="K454" s="31"/>
      <c r="L454" s="32"/>
      <c r="M454" s="32"/>
      <c r="N454" s="32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ht="13.5" customHeight="1">
      <c r="A455" s="31"/>
      <c r="B455" s="32"/>
      <c r="C455" s="31"/>
      <c r="D455" s="31"/>
      <c r="E455" s="31"/>
      <c r="F455" s="31"/>
      <c r="G455" s="31"/>
      <c r="H455" s="31"/>
      <c r="I455" s="33"/>
      <c r="J455" s="31"/>
      <c r="K455" s="31"/>
      <c r="L455" s="32"/>
      <c r="M455" s="32"/>
      <c r="N455" s="32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ht="13.5" customHeight="1">
      <c r="A456" s="31"/>
      <c r="B456" s="32"/>
      <c r="C456" s="31"/>
      <c r="D456" s="31"/>
      <c r="E456" s="31"/>
      <c r="F456" s="31"/>
      <c r="G456" s="31"/>
      <c r="H456" s="31"/>
      <c r="I456" s="33"/>
      <c r="J456" s="31"/>
      <c r="K456" s="31"/>
      <c r="L456" s="32"/>
      <c r="M456" s="32"/>
      <c r="N456" s="32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ht="13.5" customHeight="1">
      <c r="A457" s="31"/>
      <c r="B457" s="32"/>
      <c r="C457" s="31"/>
      <c r="D457" s="31"/>
      <c r="E457" s="31"/>
      <c r="F457" s="31"/>
      <c r="G457" s="31"/>
      <c r="H457" s="31"/>
      <c r="I457" s="33"/>
      <c r="J457" s="31"/>
      <c r="K457" s="31"/>
      <c r="L457" s="32"/>
      <c r="M457" s="32"/>
      <c r="N457" s="32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ht="13.5" customHeight="1">
      <c r="A458" s="31"/>
      <c r="B458" s="32"/>
      <c r="C458" s="31"/>
      <c r="D458" s="31"/>
      <c r="E458" s="31"/>
      <c r="F458" s="31"/>
      <c r="G458" s="31"/>
      <c r="H458" s="31"/>
      <c r="I458" s="33"/>
      <c r="J458" s="31"/>
      <c r="K458" s="31"/>
      <c r="L458" s="32"/>
      <c r="M458" s="32"/>
      <c r="N458" s="32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ht="13.5" customHeight="1">
      <c r="A459" s="31"/>
      <c r="B459" s="32"/>
      <c r="C459" s="31"/>
      <c r="D459" s="31"/>
      <c r="E459" s="31"/>
      <c r="F459" s="31"/>
      <c r="G459" s="31"/>
      <c r="H459" s="31"/>
      <c r="I459" s="33"/>
      <c r="J459" s="31"/>
      <c r="K459" s="31"/>
      <c r="L459" s="32"/>
      <c r="M459" s="32"/>
      <c r="N459" s="32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ht="13.5" customHeight="1">
      <c r="A460" s="31"/>
      <c r="B460" s="32"/>
      <c r="C460" s="31"/>
      <c r="D460" s="31"/>
      <c r="E460" s="31"/>
      <c r="F460" s="31"/>
      <c r="G460" s="31"/>
      <c r="H460" s="31"/>
      <c r="I460" s="33"/>
      <c r="J460" s="31"/>
      <c r="K460" s="31"/>
      <c r="L460" s="32"/>
      <c r="M460" s="32"/>
      <c r="N460" s="32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ht="13.5" customHeight="1">
      <c r="A461" s="31"/>
      <c r="B461" s="32"/>
      <c r="C461" s="31"/>
      <c r="D461" s="31"/>
      <c r="E461" s="31"/>
      <c r="F461" s="31"/>
      <c r="G461" s="31"/>
      <c r="H461" s="31"/>
      <c r="I461" s="33"/>
      <c r="J461" s="31"/>
      <c r="K461" s="31"/>
      <c r="L461" s="32"/>
      <c r="M461" s="32"/>
      <c r="N461" s="32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ht="13.5" customHeight="1">
      <c r="A462" s="31"/>
      <c r="B462" s="32"/>
      <c r="C462" s="31"/>
      <c r="D462" s="31"/>
      <c r="E462" s="31"/>
      <c r="F462" s="31"/>
      <c r="G462" s="31"/>
      <c r="H462" s="31"/>
      <c r="I462" s="33"/>
      <c r="J462" s="31"/>
      <c r="K462" s="31"/>
      <c r="L462" s="32"/>
      <c r="M462" s="32"/>
      <c r="N462" s="32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ht="13.5" customHeight="1">
      <c r="A463" s="31"/>
      <c r="B463" s="32"/>
      <c r="C463" s="31"/>
      <c r="D463" s="31"/>
      <c r="E463" s="31"/>
      <c r="F463" s="31"/>
      <c r="G463" s="31"/>
      <c r="H463" s="31"/>
      <c r="I463" s="33"/>
      <c r="J463" s="31"/>
      <c r="K463" s="31"/>
      <c r="L463" s="32"/>
      <c r="M463" s="32"/>
      <c r="N463" s="32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ht="13.5" customHeight="1">
      <c r="A464" s="31"/>
      <c r="B464" s="32"/>
      <c r="C464" s="31"/>
      <c r="D464" s="31"/>
      <c r="E464" s="31"/>
      <c r="F464" s="31"/>
      <c r="G464" s="31"/>
      <c r="H464" s="31"/>
      <c r="I464" s="33"/>
      <c r="J464" s="31"/>
      <c r="K464" s="31"/>
      <c r="L464" s="32"/>
      <c r="M464" s="32"/>
      <c r="N464" s="32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ht="13.5" customHeight="1">
      <c r="A465" s="31"/>
      <c r="B465" s="32"/>
      <c r="C465" s="31"/>
      <c r="D465" s="31"/>
      <c r="E465" s="31"/>
      <c r="F465" s="31"/>
      <c r="G465" s="31"/>
      <c r="H465" s="31"/>
      <c r="I465" s="33"/>
      <c r="J465" s="31"/>
      <c r="K465" s="31"/>
      <c r="L465" s="32"/>
      <c r="M465" s="32"/>
      <c r="N465" s="32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ht="13.5" customHeight="1">
      <c r="A466" s="31"/>
      <c r="B466" s="32"/>
      <c r="C466" s="31"/>
      <c r="D466" s="31"/>
      <c r="E466" s="31"/>
      <c r="F466" s="31"/>
      <c r="G466" s="31"/>
      <c r="H466" s="31"/>
      <c r="I466" s="33"/>
      <c r="J466" s="31"/>
      <c r="K466" s="31"/>
      <c r="L466" s="32"/>
      <c r="M466" s="32"/>
      <c r="N466" s="32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ht="13.5" customHeight="1">
      <c r="A467" s="31"/>
      <c r="B467" s="32"/>
      <c r="C467" s="31"/>
      <c r="D467" s="31"/>
      <c r="E467" s="31"/>
      <c r="F467" s="31"/>
      <c r="G467" s="31"/>
      <c r="H467" s="31"/>
      <c r="I467" s="33"/>
      <c r="J467" s="31"/>
      <c r="K467" s="31"/>
      <c r="L467" s="32"/>
      <c r="M467" s="32"/>
      <c r="N467" s="32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ht="13.5" customHeight="1">
      <c r="A468" s="31"/>
      <c r="B468" s="32"/>
      <c r="C468" s="31"/>
      <c r="D468" s="31"/>
      <c r="E468" s="31"/>
      <c r="F468" s="31"/>
      <c r="G468" s="31"/>
      <c r="H468" s="31"/>
      <c r="I468" s="33"/>
      <c r="J468" s="31"/>
      <c r="K468" s="31"/>
      <c r="L468" s="32"/>
      <c r="M468" s="32"/>
      <c r="N468" s="32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ht="13.5" customHeight="1">
      <c r="A469" s="31"/>
      <c r="B469" s="32"/>
      <c r="C469" s="31"/>
      <c r="D469" s="31"/>
      <c r="E469" s="31"/>
      <c r="F469" s="31"/>
      <c r="G469" s="31"/>
      <c r="H469" s="31"/>
      <c r="I469" s="33"/>
      <c r="J469" s="31"/>
      <c r="K469" s="31"/>
      <c r="L469" s="32"/>
      <c r="M469" s="32"/>
      <c r="N469" s="32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ht="13.5" customHeight="1">
      <c r="A470" s="31"/>
      <c r="B470" s="32"/>
      <c r="C470" s="31"/>
      <c r="D470" s="31"/>
      <c r="E470" s="31"/>
      <c r="F470" s="31"/>
      <c r="G470" s="31"/>
      <c r="H470" s="31"/>
      <c r="I470" s="33"/>
      <c r="J470" s="31"/>
      <c r="K470" s="31"/>
      <c r="L470" s="32"/>
      <c r="M470" s="32"/>
      <c r="N470" s="32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ht="13.5" customHeight="1">
      <c r="A471" s="31"/>
      <c r="B471" s="32"/>
      <c r="C471" s="31"/>
      <c r="D471" s="31"/>
      <c r="E471" s="31"/>
      <c r="F471" s="31"/>
      <c r="G471" s="31"/>
      <c r="H471" s="31"/>
      <c r="I471" s="33"/>
      <c r="J471" s="31"/>
      <c r="K471" s="31"/>
      <c r="L471" s="32"/>
      <c r="M471" s="32"/>
      <c r="N471" s="32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ht="13.5" customHeight="1">
      <c r="A472" s="31"/>
      <c r="B472" s="32"/>
      <c r="C472" s="31"/>
      <c r="D472" s="31"/>
      <c r="E472" s="31"/>
      <c r="F472" s="31"/>
      <c r="G472" s="31"/>
      <c r="H472" s="31"/>
      <c r="I472" s="33"/>
      <c r="J472" s="31"/>
      <c r="K472" s="31"/>
      <c r="L472" s="32"/>
      <c r="M472" s="32"/>
      <c r="N472" s="32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ht="13.5" customHeight="1">
      <c r="A473" s="31"/>
      <c r="B473" s="32"/>
      <c r="C473" s="31"/>
      <c r="D473" s="31"/>
      <c r="E473" s="31"/>
      <c r="F473" s="31"/>
      <c r="G473" s="31"/>
      <c r="H473" s="31"/>
      <c r="I473" s="33"/>
      <c r="J473" s="31"/>
      <c r="K473" s="31"/>
      <c r="L473" s="32"/>
      <c r="M473" s="32"/>
      <c r="N473" s="32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ht="13.5" customHeight="1">
      <c r="A474" s="31"/>
      <c r="B474" s="32"/>
      <c r="C474" s="31"/>
      <c r="D474" s="31"/>
      <c r="E474" s="31"/>
      <c r="F474" s="31"/>
      <c r="G474" s="31"/>
      <c r="H474" s="31"/>
      <c r="I474" s="33"/>
      <c r="J474" s="31"/>
      <c r="K474" s="31"/>
      <c r="L474" s="32"/>
      <c r="M474" s="32"/>
      <c r="N474" s="32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ht="13.5" customHeight="1">
      <c r="A475" s="31"/>
      <c r="B475" s="32"/>
      <c r="C475" s="31"/>
      <c r="D475" s="31"/>
      <c r="E475" s="31"/>
      <c r="F475" s="31"/>
      <c r="G475" s="31"/>
      <c r="H475" s="31"/>
      <c r="I475" s="33"/>
      <c r="J475" s="31"/>
      <c r="K475" s="31"/>
      <c r="L475" s="32"/>
      <c r="M475" s="32"/>
      <c r="N475" s="32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ht="13.5" customHeight="1">
      <c r="A476" s="31"/>
      <c r="B476" s="32"/>
      <c r="C476" s="31"/>
      <c r="D476" s="31"/>
      <c r="E476" s="31"/>
      <c r="F476" s="31"/>
      <c r="G476" s="31"/>
      <c r="H476" s="31"/>
      <c r="I476" s="33"/>
      <c r="J476" s="31"/>
      <c r="K476" s="31"/>
      <c r="L476" s="32"/>
      <c r="M476" s="32"/>
      <c r="N476" s="32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ht="13.5" customHeight="1">
      <c r="A477" s="31"/>
      <c r="B477" s="32"/>
      <c r="C477" s="31"/>
      <c r="D477" s="31"/>
      <c r="E477" s="31"/>
      <c r="F477" s="31"/>
      <c r="G477" s="31"/>
      <c r="H477" s="31"/>
      <c r="I477" s="33"/>
      <c r="J477" s="31"/>
      <c r="K477" s="31"/>
      <c r="L477" s="32"/>
      <c r="M477" s="32"/>
      <c r="N477" s="32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ht="13.5" customHeight="1">
      <c r="A478" s="31"/>
      <c r="B478" s="32"/>
      <c r="C478" s="31"/>
      <c r="D478" s="31"/>
      <c r="E478" s="31"/>
      <c r="F478" s="31"/>
      <c r="G478" s="31"/>
      <c r="H478" s="31"/>
      <c r="I478" s="33"/>
      <c r="J478" s="31"/>
      <c r="K478" s="31"/>
      <c r="L478" s="32"/>
      <c r="M478" s="32"/>
      <c r="N478" s="32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ht="13.5" customHeight="1">
      <c r="A479" s="31"/>
      <c r="B479" s="32"/>
      <c r="C479" s="31"/>
      <c r="D479" s="31"/>
      <c r="E479" s="31"/>
      <c r="F479" s="31"/>
      <c r="G479" s="31"/>
      <c r="H479" s="31"/>
      <c r="I479" s="33"/>
      <c r="J479" s="31"/>
      <c r="K479" s="31"/>
      <c r="L479" s="32"/>
      <c r="M479" s="32"/>
      <c r="N479" s="32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ht="13.5" customHeight="1">
      <c r="A480" s="31"/>
      <c r="B480" s="32"/>
      <c r="C480" s="31"/>
      <c r="D480" s="31"/>
      <c r="E480" s="31"/>
      <c r="F480" s="31"/>
      <c r="G480" s="31"/>
      <c r="H480" s="31"/>
      <c r="I480" s="33"/>
      <c r="J480" s="31"/>
      <c r="K480" s="31"/>
      <c r="L480" s="32"/>
      <c r="M480" s="32"/>
      <c r="N480" s="32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ht="13.5" customHeight="1">
      <c r="A481" s="31"/>
      <c r="B481" s="32"/>
      <c r="C481" s="31"/>
      <c r="D481" s="31"/>
      <c r="E481" s="31"/>
      <c r="F481" s="31"/>
      <c r="G481" s="31"/>
      <c r="H481" s="31"/>
      <c r="I481" s="33"/>
      <c r="J481" s="31"/>
      <c r="K481" s="31"/>
      <c r="L481" s="32"/>
      <c r="M481" s="32"/>
      <c r="N481" s="32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ht="13.5" customHeight="1">
      <c r="A482" s="31"/>
      <c r="B482" s="32"/>
      <c r="C482" s="31"/>
      <c r="D482" s="31"/>
      <c r="E482" s="31"/>
      <c r="F482" s="31"/>
      <c r="G482" s="31"/>
      <c r="H482" s="31"/>
      <c r="I482" s="33"/>
      <c r="J482" s="31"/>
      <c r="K482" s="31"/>
      <c r="L482" s="32"/>
      <c r="M482" s="32"/>
      <c r="N482" s="32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ht="13.5" customHeight="1">
      <c r="A483" s="31"/>
      <c r="B483" s="32"/>
      <c r="C483" s="31"/>
      <c r="D483" s="31"/>
      <c r="E483" s="31"/>
      <c r="F483" s="31"/>
      <c r="G483" s="31"/>
      <c r="H483" s="31"/>
      <c r="I483" s="33"/>
      <c r="J483" s="31"/>
      <c r="K483" s="31"/>
      <c r="L483" s="32"/>
      <c r="M483" s="32"/>
      <c r="N483" s="32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ht="13.5" customHeight="1">
      <c r="A484" s="31"/>
      <c r="B484" s="32"/>
      <c r="C484" s="31"/>
      <c r="D484" s="31"/>
      <c r="E484" s="31"/>
      <c r="F484" s="31"/>
      <c r="G484" s="31"/>
      <c r="H484" s="31"/>
      <c r="I484" s="33"/>
      <c r="J484" s="31"/>
      <c r="K484" s="31"/>
      <c r="L484" s="32"/>
      <c r="M484" s="32"/>
      <c r="N484" s="32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ht="13.5" customHeight="1">
      <c r="A485" s="31"/>
      <c r="B485" s="32"/>
      <c r="C485" s="31"/>
      <c r="D485" s="31"/>
      <c r="E485" s="31"/>
      <c r="F485" s="31"/>
      <c r="G485" s="31"/>
      <c r="H485" s="31"/>
      <c r="I485" s="33"/>
      <c r="J485" s="31"/>
      <c r="K485" s="31"/>
      <c r="L485" s="32"/>
      <c r="M485" s="32"/>
      <c r="N485" s="32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ht="13.5" customHeight="1">
      <c r="A486" s="31"/>
      <c r="B486" s="32"/>
      <c r="C486" s="31"/>
      <c r="D486" s="31"/>
      <c r="E486" s="31"/>
      <c r="F486" s="31"/>
      <c r="G486" s="31"/>
      <c r="H486" s="31"/>
      <c r="I486" s="33"/>
      <c r="J486" s="31"/>
      <c r="K486" s="31"/>
      <c r="L486" s="32"/>
      <c r="M486" s="32"/>
      <c r="N486" s="32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ht="13.5" customHeight="1">
      <c r="A487" s="31"/>
      <c r="B487" s="32"/>
      <c r="C487" s="31"/>
      <c r="D487" s="31"/>
      <c r="E487" s="31"/>
      <c r="F487" s="31"/>
      <c r="G487" s="31"/>
      <c r="H487" s="31"/>
      <c r="I487" s="33"/>
      <c r="J487" s="31"/>
      <c r="K487" s="31"/>
      <c r="L487" s="32"/>
      <c r="M487" s="32"/>
      <c r="N487" s="32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ht="13.5" customHeight="1">
      <c r="A488" s="31"/>
      <c r="B488" s="32"/>
      <c r="C488" s="31"/>
      <c r="D488" s="31"/>
      <c r="E488" s="31"/>
      <c r="F488" s="31"/>
      <c r="G488" s="31"/>
      <c r="H488" s="31"/>
      <c r="I488" s="33"/>
      <c r="J488" s="31"/>
      <c r="K488" s="31"/>
      <c r="L488" s="32"/>
      <c r="M488" s="32"/>
      <c r="N488" s="32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ht="13.5" customHeight="1">
      <c r="A489" s="31"/>
      <c r="B489" s="32"/>
      <c r="C489" s="31"/>
      <c r="D489" s="31"/>
      <c r="E489" s="31"/>
      <c r="F489" s="31"/>
      <c r="G489" s="31"/>
      <c r="H489" s="31"/>
      <c r="I489" s="33"/>
      <c r="J489" s="31"/>
      <c r="K489" s="31"/>
      <c r="L489" s="32"/>
      <c r="M489" s="32"/>
      <c r="N489" s="32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ht="13.5" customHeight="1">
      <c r="A490" s="31"/>
      <c r="B490" s="32"/>
      <c r="C490" s="31"/>
      <c r="D490" s="31"/>
      <c r="E490" s="31"/>
      <c r="F490" s="31"/>
      <c r="G490" s="31"/>
      <c r="H490" s="31"/>
      <c r="I490" s="33"/>
      <c r="J490" s="31"/>
      <c r="K490" s="31"/>
      <c r="L490" s="32"/>
      <c r="M490" s="32"/>
      <c r="N490" s="32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ht="13.5" customHeight="1">
      <c r="A491" s="31"/>
      <c r="B491" s="32"/>
      <c r="C491" s="31"/>
      <c r="D491" s="31"/>
      <c r="E491" s="31"/>
      <c r="F491" s="31"/>
      <c r="G491" s="31"/>
      <c r="H491" s="31"/>
      <c r="I491" s="33"/>
      <c r="J491" s="31"/>
      <c r="K491" s="31"/>
      <c r="L491" s="32"/>
      <c r="M491" s="32"/>
      <c r="N491" s="32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ht="13.5" customHeight="1">
      <c r="A492" s="31"/>
      <c r="B492" s="32"/>
      <c r="C492" s="31"/>
      <c r="D492" s="31"/>
      <c r="E492" s="31"/>
      <c r="F492" s="31"/>
      <c r="G492" s="31"/>
      <c r="H492" s="31"/>
      <c r="I492" s="33"/>
      <c r="J492" s="31"/>
      <c r="K492" s="31"/>
      <c r="L492" s="32"/>
      <c r="M492" s="32"/>
      <c r="N492" s="32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ht="13.5" customHeight="1">
      <c r="A493" s="31"/>
      <c r="B493" s="32"/>
      <c r="C493" s="31"/>
      <c r="D493" s="31"/>
      <c r="E493" s="31"/>
      <c r="F493" s="31"/>
      <c r="G493" s="31"/>
      <c r="H493" s="31"/>
      <c r="I493" s="33"/>
      <c r="J493" s="31"/>
      <c r="K493" s="31"/>
      <c r="L493" s="32"/>
      <c r="M493" s="32"/>
      <c r="N493" s="32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ht="13.5" customHeight="1">
      <c r="A494" s="31"/>
      <c r="B494" s="32"/>
      <c r="C494" s="31"/>
      <c r="D494" s="31"/>
      <c r="E494" s="31"/>
      <c r="F494" s="31"/>
      <c r="G494" s="31"/>
      <c r="H494" s="31"/>
      <c r="I494" s="33"/>
      <c r="J494" s="31"/>
      <c r="K494" s="31"/>
      <c r="L494" s="32"/>
      <c r="M494" s="32"/>
      <c r="N494" s="32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ht="13.5" customHeight="1">
      <c r="A495" s="31"/>
      <c r="B495" s="32"/>
      <c r="C495" s="31"/>
      <c r="D495" s="31"/>
      <c r="E495" s="31"/>
      <c r="F495" s="31"/>
      <c r="G495" s="31"/>
      <c r="H495" s="31"/>
      <c r="I495" s="33"/>
      <c r="J495" s="31"/>
      <c r="K495" s="31"/>
      <c r="L495" s="32"/>
      <c r="M495" s="32"/>
      <c r="N495" s="32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ht="13.5" customHeight="1">
      <c r="A496" s="31"/>
      <c r="B496" s="32"/>
      <c r="C496" s="31"/>
      <c r="D496" s="31"/>
      <c r="E496" s="31"/>
      <c r="F496" s="31"/>
      <c r="G496" s="31"/>
      <c r="H496" s="31"/>
      <c r="I496" s="33"/>
      <c r="J496" s="31"/>
      <c r="K496" s="31"/>
      <c r="L496" s="32"/>
      <c r="M496" s="32"/>
      <c r="N496" s="32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ht="13.5" customHeight="1">
      <c r="A497" s="31"/>
      <c r="B497" s="32"/>
      <c r="C497" s="31"/>
      <c r="D497" s="31"/>
      <c r="E497" s="31"/>
      <c r="F497" s="31"/>
      <c r="G497" s="31"/>
      <c r="H497" s="31"/>
      <c r="I497" s="33"/>
      <c r="J497" s="31"/>
      <c r="K497" s="31"/>
      <c r="L497" s="32"/>
      <c r="M497" s="32"/>
      <c r="N497" s="32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ht="13.5" customHeight="1">
      <c r="A498" s="31"/>
      <c r="B498" s="32"/>
      <c r="C498" s="31"/>
      <c r="D498" s="31"/>
      <c r="E498" s="31"/>
      <c r="F498" s="31"/>
      <c r="G498" s="31"/>
      <c r="H498" s="31"/>
      <c r="I498" s="33"/>
      <c r="J498" s="31"/>
      <c r="K498" s="31"/>
      <c r="L498" s="32"/>
      <c r="M498" s="32"/>
      <c r="N498" s="32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ht="13.5" customHeight="1">
      <c r="A499" s="31"/>
      <c r="B499" s="32"/>
      <c r="C499" s="31"/>
      <c r="D499" s="31"/>
      <c r="E499" s="31"/>
      <c r="F499" s="31"/>
      <c r="G499" s="31"/>
      <c r="H499" s="31"/>
      <c r="I499" s="33"/>
      <c r="J499" s="31"/>
      <c r="K499" s="31"/>
      <c r="L499" s="32"/>
      <c r="M499" s="32"/>
      <c r="N499" s="32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ht="13.5" customHeight="1">
      <c r="A500" s="31"/>
      <c r="B500" s="32"/>
      <c r="C500" s="31"/>
      <c r="D500" s="31"/>
      <c r="E500" s="31"/>
      <c r="F500" s="31"/>
      <c r="G500" s="31"/>
      <c r="H500" s="31"/>
      <c r="I500" s="33"/>
      <c r="J500" s="31"/>
      <c r="K500" s="31"/>
      <c r="L500" s="32"/>
      <c r="M500" s="32"/>
      <c r="N500" s="32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ht="13.5" customHeight="1">
      <c r="A501" s="31"/>
      <c r="B501" s="32"/>
      <c r="C501" s="31"/>
      <c r="D501" s="31"/>
      <c r="E501" s="31"/>
      <c r="F501" s="31"/>
      <c r="G501" s="31"/>
      <c r="H501" s="31"/>
      <c r="I501" s="33"/>
      <c r="J501" s="31"/>
      <c r="K501" s="31"/>
      <c r="L501" s="32"/>
      <c r="M501" s="32"/>
      <c r="N501" s="32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ht="13.5" customHeight="1">
      <c r="A502" s="31"/>
      <c r="B502" s="32"/>
      <c r="C502" s="31"/>
      <c r="D502" s="31"/>
      <c r="E502" s="31"/>
      <c r="F502" s="31"/>
      <c r="G502" s="31"/>
      <c r="H502" s="31"/>
      <c r="I502" s="33"/>
      <c r="J502" s="31"/>
      <c r="K502" s="31"/>
      <c r="L502" s="32"/>
      <c r="M502" s="32"/>
      <c r="N502" s="32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ht="13.5" customHeight="1">
      <c r="A503" s="31"/>
      <c r="B503" s="32"/>
      <c r="C503" s="31"/>
      <c r="D503" s="31"/>
      <c r="E503" s="31"/>
      <c r="F503" s="31"/>
      <c r="G503" s="31"/>
      <c r="H503" s="31"/>
      <c r="I503" s="33"/>
      <c r="J503" s="31"/>
      <c r="K503" s="31"/>
      <c r="L503" s="32"/>
      <c r="M503" s="32"/>
      <c r="N503" s="32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ht="13.5" customHeight="1">
      <c r="A504" s="31"/>
      <c r="B504" s="32"/>
      <c r="C504" s="31"/>
      <c r="D504" s="31"/>
      <c r="E504" s="31"/>
      <c r="F504" s="31"/>
      <c r="G504" s="31"/>
      <c r="H504" s="31"/>
      <c r="I504" s="33"/>
      <c r="J504" s="31"/>
      <c r="K504" s="31"/>
      <c r="L504" s="32"/>
      <c r="M504" s="32"/>
      <c r="N504" s="32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ht="13.5" customHeight="1">
      <c r="A505" s="31"/>
      <c r="B505" s="32"/>
      <c r="C505" s="31"/>
      <c r="D505" s="31"/>
      <c r="E505" s="31"/>
      <c r="F505" s="31"/>
      <c r="G505" s="31"/>
      <c r="H505" s="31"/>
      <c r="I505" s="33"/>
      <c r="J505" s="31"/>
      <c r="K505" s="31"/>
      <c r="L505" s="32"/>
      <c r="M505" s="32"/>
      <c r="N505" s="32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ht="13.5" customHeight="1">
      <c r="A506" s="31"/>
      <c r="B506" s="32"/>
      <c r="C506" s="31"/>
      <c r="D506" s="31"/>
      <c r="E506" s="31"/>
      <c r="F506" s="31"/>
      <c r="G506" s="31"/>
      <c r="H506" s="31"/>
      <c r="I506" s="33"/>
      <c r="J506" s="31"/>
      <c r="K506" s="31"/>
      <c r="L506" s="32"/>
      <c r="M506" s="32"/>
      <c r="N506" s="32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ht="13.5" customHeight="1">
      <c r="A507" s="31"/>
      <c r="B507" s="32"/>
      <c r="C507" s="31"/>
      <c r="D507" s="31"/>
      <c r="E507" s="31"/>
      <c r="F507" s="31"/>
      <c r="G507" s="31"/>
      <c r="H507" s="31"/>
      <c r="I507" s="33"/>
      <c r="J507" s="31"/>
      <c r="K507" s="31"/>
      <c r="L507" s="32"/>
      <c r="M507" s="32"/>
      <c r="N507" s="32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ht="13.5" customHeight="1">
      <c r="A508" s="31"/>
      <c r="B508" s="32"/>
      <c r="C508" s="31"/>
      <c r="D508" s="31"/>
      <c r="E508" s="31"/>
      <c r="F508" s="31"/>
      <c r="G508" s="31"/>
      <c r="H508" s="31"/>
      <c r="I508" s="33"/>
      <c r="J508" s="31"/>
      <c r="K508" s="31"/>
      <c r="L508" s="32"/>
      <c r="M508" s="32"/>
      <c r="N508" s="32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ht="13.5" customHeight="1">
      <c r="A509" s="31"/>
      <c r="B509" s="32"/>
      <c r="C509" s="31"/>
      <c r="D509" s="31"/>
      <c r="E509" s="31"/>
      <c r="F509" s="31"/>
      <c r="G509" s="31"/>
      <c r="H509" s="31"/>
      <c r="I509" s="33"/>
      <c r="J509" s="31"/>
      <c r="K509" s="31"/>
      <c r="L509" s="32"/>
      <c r="M509" s="32"/>
      <c r="N509" s="32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ht="13.5" customHeight="1">
      <c r="A510" s="31"/>
      <c r="B510" s="32"/>
      <c r="C510" s="31"/>
      <c r="D510" s="31"/>
      <c r="E510" s="31"/>
      <c r="F510" s="31"/>
      <c r="G510" s="31"/>
      <c r="H510" s="31"/>
      <c r="I510" s="33"/>
      <c r="J510" s="31"/>
      <c r="K510" s="31"/>
      <c r="L510" s="32"/>
      <c r="M510" s="32"/>
      <c r="N510" s="32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ht="13.5" customHeight="1">
      <c r="A511" s="31"/>
      <c r="B511" s="32"/>
      <c r="C511" s="31"/>
      <c r="D511" s="31"/>
      <c r="E511" s="31"/>
      <c r="F511" s="31"/>
      <c r="G511" s="31"/>
      <c r="H511" s="31"/>
      <c r="I511" s="33"/>
      <c r="J511" s="31"/>
      <c r="K511" s="31"/>
      <c r="L511" s="32"/>
      <c r="M511" s="32"/>
      <c r="N511" s="32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ht="13.5" customHeight="1">
      <c r="A512" s="31"/>
      <c r="B512" s="32"/>
      <c r="C512" s="31"/>
      <c r="D512" s="31"/>
      <c r="E512" s="31"/>
      <c r="F512" s="31"/>
      <c r="G512" s="31"/>
      <c r="H512" s="31"/>
      <c r="I512" s="33"/>
      <c r="J512" s="31"/>
      <c r="K512" s="31"/>
      <c r="L512" s="32"/>
      <c r="M512" s="32"/>
      <c r="N512" s="32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ht="13.5" customHeight="1">
      <c r="A513" s="31"/>
      <c r="B513" s="32"/>
      <c r="C513" s="31"/>
      <c r="D513" s="31"/>
      <c r="E513" s="31"/>
      <c r="F513" s="31"/>
      <c r="G513" s="31"/>
      <c r="H513" s="31"/>
      <c r="I513" s="33"/>
      <c r="J513" s="31"/>
      <c r="K513" s="31"/>
      <c r="L513" s="32"/>
      <c r="M513" s="32"/>
      <c r="N513" s="32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ht="13.5" customHeight="1">
      <c r="A514" s="31"/>
      <c r="B514" s="32"/>
      <c r="C514" s="31"/>
      <c r="D514" s="31"/>
      <c r="E514" s="31"/>
      <c r="F514" s="31"/>
      <c r="G514" s="31"/>
      <c r="H514" s="31"/>
      <c r="I514" s="33"/>
      <c r="J514" s="31"/>
      <c r="K514" s="31"/>
      <c r="L514" s="32"/>
      <c r="M514" s="32"/>
      <c r="N514" s="32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ht="13.5" customHeight="1">
      <c r="A515" s="31"/>
      <c r="B515" s="32"/>
      <c r="C515" s="31"/>
      <c r="D515" s="31"/>
      <c r="E515" s="31"/>
      <c r="F515" s="31"/>
      <c r="G515" s="31"/>
      <c r="H515" s="31"/>
      <c r="I515" s="33"/>
      <c r="J515" s="31"/>
      <c r="K515" s="31"/>
      <c r="L515" s="32"/>
      <c r="M515" s="32"/>
      <c r="N515" s="32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ht="13.5" customHeight="1">
      <c r="A516" s="31"/>
      <c r="B516" s="32"/>
      <c r="C516" s="31"/>
      <c r="D516" s="31"/>
      <c r="E516" s="31"/>
      <c r="F516" s="31"/>
      <c r="G516" s="31"/>
      <c r="H516" s="31"/>
      <c r="I516" s="33"/>
      <c r="J516" s="31"/>
      <c r="K516" s="31"/>
      <c r="L516" s="32"/>
      <c r="M516" s="32"/>
      <c r="N516" s="32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ht="13.5" customHeight="1">
      <c r="A517" s="31"/>
      <c r="B517" s="32"/>
      <c r="C517" s="31"/>
      <c r="D517" s="31"/>
      <c r="E517" s="31"/>
      <c r="F517" s="31"/>
      <c r="G517" s="31"/>
      <c r="H517" s="31"/>
      <c r="I517" s="33"/>
      <c r="J517" s="31"/>
      <c r="K517" s="31"/>
      <c r="L517" s="32"/>
      <c r="M517" s="32"/>
      <c r="N517" s="32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ht="13.5" customHeight="1">
      <c r="A518" s="31"/>
      <c r="B518" s="32"/>
      <c r="C518" s="31"/>
      <c r="D518" s="31"/>
      <c r="E518" s="31"/>
      <c r="F518" s="31"/>
      <c r="G518" s="31"/>
      <c r="H518" s="31"/>
      <c r="I518" s="33"/>
      <c r="J518" s="31"/>
      <c r="K518" s="31"/>
      <c r="L518" s="32"/>
      <c r="M518" s="32"/>
      <c r="N518" s="32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ht="13.5" customHeight="1">
      <c r="A519" s="31"/>
      <c r="B519" s="32"/>
      <c r="C519" s="31"/>
      <c r="D519" s="31"/>
      <c r="E519" s="31"/>
      <c r="F519" s="31"/>
      <c r="G519" s="31"/>
      <c r="H519" s="31"/>
      <c r="I519" s="33"/>
      <c r="J519" s="31"/>
      <c r="K519" s="31"/>
      <c r="L519" s="32"/>
      <c r="M519" s="32"/>
      <c r="N519" s="32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ht="13.5" customHeight="1">
      <c r="A520" s="31"/>
      <c r="B520" s="32"/>
      <c r="C520" s="31"/>
      <c r="D520" s="31"/>
      <c r="E520" s="31"/>
      <c r="F520" s="31"/>
      <c r="G520" s="31"/>
      <c r="H520" s="31"/>
      <c r="I520" s="33"/>
      <c r="J520" s="31"/>
      <c r="K520" s="31"/>
      <c r="L520" s="32"/>
      <c r="M520" s="32"/>
      <c r="N520" s="32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ht="13.5" customHeight="1">
      <c r="A521" s="31"/>
      <c r="B521" s="32"/>
      <c r="C521" s="31"/>
      <c r="D521" s="31"/>
      <c r="E521" s="31"/>
      <c r="F521" s="31"/>
      <c r="G521" s="31"/>
      <c r="H521" s="31"/>
      <c r="I521" s="33"/>
      <c r="J521" s="31"/>
      <c r="K521" s="31"/>
      <c r="L521" s="32"/>
      <c r="M521" s="32"/>
      <c r="N521" s="32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ht="13.5" customHeight="1">
      <c r="A522" s="31"/>
      <c r="B522" s="32"/>
      <c r="C522" s="31"/>
      <c r="D522" s="31"/>
      <c r="E522" s="31"/>
      <c r="F522" s="31"/>
      <c r="G522" s="31"/>
      <c r="H522" s="31"/>
      <c r="I522" s="33"/>
      <c r="J522" s="31"/>
      <c r="K522" s="31"/>
      <c r="L522" s="32"/>
      <c r="M522" s="32"/>
      <c r="N522" s="32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ht="13.5" customHeight="1">
      <c r="A523" s="31"/>
      <c r="B523" s="32"/>
      <c r="C523" s="31"/>
      <c r="D523" s="31"/>
      <c r="E523" s="31"/>
      <c r="F523" s="31"/>
      <c r="G523" s="31"/>
      <c r="H523" s="31"/>
      <c r="I523" s="33"/>
      <c r="J523" s="31"/>
      <c r="K523" s="31"/>
      <c r="L523" s="32"/>
      <c r="M523" s="32"/>
      <c r="N523" s="32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ht="13.5" customHeight="1">
      <c r="A524" s="31"/>
      <c r="B524" s="32"/>
      <c r="C524" s="31"/>
      <c r="D524" s="31"/>
      <c r="E524" s="31"/>
      <c r="F524" s="31"/>
      <c r="G524" s="31"/>
      <c r="H524" s="31"/>
      <c r="I524" s="33"/>
      <c r="J524" s="31"/>
      <c r="K524" s="31"/>
      <c r="L524" s="32"/>
      <c r="M524" s="32"/>
      <c r="N524" s="32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ht="13.5" customHeight="1">
      <c r="A525" s="31"/>
      <c r="B525" s="32"/>
      <c r="C525" s="31"/>
      <c r="D525" s="31"/>
      <c r="E525" s="31"/>
      <c r="F525" s="31"/>
      <c r="G525" s="31"/>
      <c r="H525" s="31"/>
      <c r="I525" s="33"/>
      <c r="J525" s="31"/>
      <c r="K525" s="31"/>
      <c r="L525" s="32"/>
      <c r="M525" s="32"/>
      <c r="N525" s="32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ht="13.5" customHeight="1">
      <c r="A526" s="31"/>
      <c r="B526" s="32"/>
      <c r="C526" s="31"/>
      <c r="D526" s="31"/>
      <c r="E526" s="31"/>
      <c r="F526" s="31"/>
      <c r="G526" s="31"/>
      <c r="H526" s="31"/>
      <c r="I526" s="33"/>
      <c r="J526" s="31"/>
      <c r="K526" s="31"/>
      <c r="L526" s="32"/>
      <c r="M526" s="32"/>
      <c r="N526" s="32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ht="13.5" customHeight="1">
      <c r="A527" s="31"/>
      <c r="B527" s="32"/>
      <c r="C527" s="31"/>
      <c r="D527" s="31"/>
      <c r="E527" s="31"/>
      <c r="F527" s="31"/>
      <c r="G527" s="31"/>
      <c r="H527" s="31"/>
      <c r="I527" s="33"/>
      <c r="J527" s="31"/>
      <c r="K527" s="31"/>
      <c r="L527" s="32"/>
      <c r="M527" s="32"/>
      <c r="N527" s="32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ht="13.5" customHeight="1">
      <c r="A528" s="31"/>
      <c r="B528" s="32"/>
      <c r="C528" s="31"/>
      <c r="D528" s="31"/>
      <c r="E528" s="31"/>
      <c r="F528" s="31"/>
      <c r="G528" s="31"/>
      <c r="H528" s="31"/>
      <c r="I528" s="33"/>
      <c r="J528" s="31"/>
      <c r="K528" s="31"/>
      <c r="L528" s="32"/>
      <c r="M528" s="32"/>
      <c r="N528" s="32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ht="13.5" customHeight="1">
      <c r="A529" s="31"/>
      <c r="B529" s="32"/>
      <c r="C529" s="31"/>
      <c r="D529" s="31"/>
      <c r="E529" s="31"/>
      <c r="F529" s="31"/>
      <c r="G529" s="31"/>
      <c r="H529" s="31"/>
      <c r="I529" s="33"/>
      <c r="J529" s="31"/>
      <c r="K529" s="31"/>
      <c r="L529" s="32"/>
      <c r="M529" s="32"/>
      <c r="N529" s="32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ht="13.5" customHeight="1">
      <c r="A530" s="31"/>
      <c r="B530" s="32"/>
      <c r="C530" s="31"/>
      <c r="D530" s="31"/>
      <c r="E530" s="31"/>
      <c r="F530" s="31"/>
      <c r="G530" s="31"/>
      <c r="H530" s="31"/>
      <c r="I530" s="33"/>
      <c r="J530" s="31"/>
      <c r="K530" s="31"/>
      <c r="L530" s="32"/>
      <c r="M530" s="32"/>
      <c r="N530" s="32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ht="13.5" customHeight="1">
      <c r="A531" s="31"/>
      <c r="B531" s="32"/>
      <c r="C531" s="31"/>
      <c r="D531" s="31"/>
      <c r="E531" s="31"/>
      <c r="F531" s="31"/>
      <c r="G531" s="31"/>
      <c r="H531" s="31"/>
      <c r="I531" s="33"/>
      <c r="J531" s="31"/>
      <c r="K531" s="31"/>
      <c r="L531" s="32"/>
      <c r="M531" s="32"/>
      <c r="N531" s="32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ht="13.5" customHeight="1">
      <c r="A532" s="31"/>
      <c r="B532" s="32"/>
      <c r="C532" s="31"/>
      <c r="D532" s="31"/>
      <c r="E532" s="31"/>
      <c r="F532" s="31"/>
      <c r="G532" s="31"/>
      <c r="H532" s="31"/>
      <c r="I532" s="33"/>
      <c r="J532" s="31"/>
      <c r="K532" s="31"/>
      <c r="L532" s="32"/>
      <c r="M532" s="32"/>
      <c r="N532" s="32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ht="13.5" customHeight="1">
      <c r="A533" s="31"/>
      <c r="B533" s="32"/>
      <c r="C533" s="31"/>
      <c r="D533" s="31"/>
      <c r="E533" s="31"/>
      <c r="F533" s="31"/>
      <c r="G533" s="31"/>
      <c r="H533" s="31"/>
      <c r="I533" s="33"/>
      <c r="J533" s="31"/>
      <c r="K533" s="31"/>
      <c r="L533" s="32"/>
      <c r="M533" s="32"/>
      <c r="N533" s="32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ht="13.5" customHeight="1">
      <c r="A534" s="31"/>
      <c r="B534" s="32"/>
      <c r="C534" s="31"/>
      <c r="D534" s="31"/>
      <c r="E534" s="31"/>
      <c r="F534" s="31"/>
      <c r="G534" s="31"/>
      <c r="H534" s="31"/>
      <c r="I534" s="33"/>
      <c r="J534" s="31"/>
      <c r="K534" s="31"/>
      <c r="L534" s="32"/>
      <c r="M534" s="32"/>
      <c r="N534" s="32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ht="13.5" customHeight="1">
      <c r="A535" s="31"/>
      <c r="B535" s="32"/>
      <c r="C535" s="31"/>
      <c r="D535" s="31"/>
      <c r="E535" s="31"/>
      <c r="F535" s="31"/>
      <c r="G535" s="31"/>
      <c r="H535" s="31"/>
      <c r="I535" s="33"/>
      <c r="J535" s="31"/>
      <c r="K535" s="31"/>
      <c r="L535" s="32"/>
      <c r="M535" s="32"/>
      <c r="N535" s="32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ht="13.5" customHeight="1">
      <c r="A536" s="31"/>
      <c r="B536" s="32"/>
      <c r="C536" s="31"/>
      <c r="D536" s="31"/>
      <c r="E536" s="31"/>
      <c r="F536" s="31"/>
      <c r="G536" s="31"/>
      <c r="H536" s="31"/>
      <c r="I536" s="33"/>
      <c r="J536" s="31"/>
      <c r="K536" s="31"/>
      <c r="L536" s="32"/>
      <c r="M536" s="32"/>
      <c r="N536" s="32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ht="13.5" customHeight="1">
      <c r="A537" s="31"/>
      <c r="B537" s="32"/>
      <c r="C537" s="31"/>
      <c r="D537" s="31"/>
      <c r="E537" s="31"/>
      <c r="F537" s="31"/>
      <c r="G537" s="31"/>
      <c r="H537" s="31"/>
      <c r="I537" s="33"/>
      <c r="J537" s="31"/>
      <c r="K537" s="31"/>
      <c r="L537" s="32"/>
      <c r="M537" s="32"/>
      <c r="N537" s="32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ht="13.5" customHeight="1">
      <c r="A538" s="31"/>
      <c r="B538" s="32"/>
      <c r="C538" s="31"/>
      <c r="D538" s="31"/>
      <c r="E538" s="31"/>
      <c r="F538" s="31"/>
      <c r="G538" s="31"/>
      <c r="H538" s="31"/>
      <c r="I538" s="33"/>
      <c r="J538" s="31"/>
      <c r="K538" s="31"/>
      <c r="L538" s="32"/>
      <c r="M538" s="32"/>
      <c r="N538" s="32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ht="13.5" customHeight="1">
      <c r="A539" s="31"/>
      <c r="B539" s="32"/>
      <c r="C539" s="31"/>
      <c r="D539" s="31"/>
      <c r="E539" s="31"/>
      <c r="F539" s="31"/>
      <c r="G539" s="31"/>
      <c r="H539" s="31"/>
      <c r="I539" s="33"/>
      <c r="J539" s="31"/>
      <c r="K539" s="31"/>
      <c r="L539" s="32"/>
      <c r="M539" s="32"/>
      <c r="N539" s="32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ht="13.5" customHeight="1">
      <c r="A540" s="31"/>
      <c r="B540" s="32"/>
      <c r="C540" s="31"/>
      <c r="D540" s="31"/>
      <c r="E540" s="31"/>
      <c r="F540" s="31"/>
      <c r="G540" s="31"/>
      <c r="H540" s="31"/>
      <c r="I540" s="33"/>
      <c r="J540" s="31"/>
      <c r="K540" s="31"/>
      <c r="L540" s="32"/>
      <c r="M540" s="32"/>
      <c r="N540" s="32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ht="13.5" customHeight="1">
      <c r="A541" s="31"/>
      <c r="B541" s="32"/>
      <c r="C541" s="31"/>
      <c r="D541" s="31"/>
      <c r="E541" s="31"/>
      <c r="F541" s="31"/>
      <c r="G541" s="31"/>
      <c r="H541" s="31"/>
      <c r="I541" s="33"/>
      <c r="J541" s="31"/>
      <c r="K541" s="31"/>
      <c r="L541" s="32"/>
      <c r="M541" s="32"/>
      <c r="N541" s="32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ht="13.5" customHeight="1">
      <c r="A542" s="31"/>
      <c r="B542" s="32"/>
      <c r="C542" s="31"/>
      <c r="D542" s="31"/>
      <c r="E542" s="31"/>
      <c r="F542" s="31"/>
      <c r="G542" s="31"/>
      <c r="H542" s="31"/>
      <c r="I542" s="33"/>
      <c r="J542" s="31"/>
      <c r="K542" s="31"/>
      <c r="L542" s="32"/>
      <c r="M542" s="32"/>
      <c r="N542" s="32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ht="13.5" customHeight="1">
      <c r="A543" s="31"/>
      <c r="B543" s="32"/>
      <c r="C543" s="31"/>
      <c r="D543" s="31"/>
      <c r="E543" s="31"/>
      <c r="F543" s="31"/>
      <c r="G543" s="31"/>
      <c r="H543" s="31"/>
      <c r="I543" s="33"/>
      <c r="J543" s="31"/>
      <c r="K543" s="31"/>
      <c r="L543" s="32"/>
      <c r="M543" s="32"/>
      <c r="N543" s="32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ht="13.5" customHeight="1">
      <c r="A544" s="31"/>
      <c r="B544" s="32"/>
      <c r="C544" s="31"/>
      <c r="D544" s="31"/>
      <c r="E544" s="31"/>
      <c r="F544" s="31"/>
      <c r="G544" s="31"/>
      <c r="H544" s="31"/>
      <c r="I544" s="33"/>
      <c r="J544" s="31"/>
      <c r="K544" s="31"/>
      <c r="L544" s="32"/>
      <c r="M544" s="32"/>
      <c r="N544" s="32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ht="13.5" customHeight="1">
      <c r="A545" s="31"/>
      <c r="B545" s="32"/>
      <c r="C545" s="31"/>
      <c r="D545" s="31"/>
      <c r="E545" s="31"/>
      <c r="F545" s="31"/>
      <c r="G545" s="31"/>
      <c r="H545" s="31"/>
      <c r="I545" s="33"/>
      <c r="J545" s="31"/>
      <c r="K545" s="31"/>
      <c r="L545" s="32"/>
      <c r="M545" s="32"/>
      <c r="N545" s="32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ht="13.5" customHeight="1">
      <c r="A546" s="31"/>
      <c r="B546" s="32"/>
      <c r="C546" s="31"/>
      <c r="D546" s="31"/>
      <c r="E546" s="31"/>
      <c r="F546" s="31"/>
      <c r="G546" s="31"/>
      <c r="H546" s="31"/>
      <c r="I546" s="33"/>
      <c r="J546" s="31"/>
      <c r="K546" s="31"/>
      <c r="L546" s="32"/>
      <c r="M546" s="32"/>
      <c r="N546" s="32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ht="13.5" customHeight="1">
      <c r="A547" s="31"/>
      <c r="B547" s="32"/>
      <c r="C547" s="31"/>
      <c r="D547" s="31"/>
      <c r="E547" s="31"/>
      <c r="F547" s="31"/>
      <c r="G547" s="31"/>
      <c r="H547" s="31"/>
      <c r="I547" s="33"/>
      <c r="J547" s="31"/>
      <c r="K547" s="31"/>
      <c r="L547" s="32"/>
      <c r="M547" s="32"/>
      <c r="N547" s="32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ht="13.5" customHeight="1">
      <c r="A548" s="31"/>
      <c r="B548" s="32"/>
      <c r="C548" s="31"/>
      <c r="D548" s="31"/>
      <c r="E548" s="31"/>
      <c r="F548" s="31"/>
      <c r="G548" s="31"/>
      <c r="H548" s="31"/>
      <c r="I548" s="33"/>
      <c r="J548" s="31"/>
      <c r="K548" s="31"/>
      <c r="L548" s="32"/>
      <c r="M548" s="32"/>
      <c r="N548" s="32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ht="13.5" customHeight="1">
      <c r="A549" s="31"/>
      <c r="B549" s="32"/>
      <c r="C549" s="31"/>
      <c r="D549" s="31"/>
      <c r="E549" s="31"/>
      <c r="F549" s="31"/>
      <c r="G549" s="31"/>
      <c r="H549" s="31"/>
      <c r="I549" s="33"/>
      <c r="J549" s="31"/>
      <c r="K549" s="31"/>
      <c r="L549" s="32"/>
      <c r="M549" s="32"/>
      <c r="N549" s="32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ht="13.5" customHeight="1">
      <c r="A550" s="31"/>
      <c r="B550" s="32"/>
      <c r="C550" s="31"/>
      <c r="D550" s="31"/>
      <c r="E550" s="31"/>
      <c r="F550" s="31"/>
      <c r="G550" s="31"/>
      <c r="H550" s="31"/>
      <c r="I550" s="33"/>
      <c r="J550" s="31"/>
      <c r="K550" s="31"/>
      <c r="L550" s="32"/>
      <c r="M550" s="32"/>
      <c r="N550" s="32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ht="13.5" customHeight="1">
      <c r="A551" s="31"/>
      <c r="B551" s="32"/>
      <c r="C551" s="31"/>
      <c r="D551" s="31"/>
      <c r="E551" s="31"/>
      <c r="F551" s="31"/>
      <c r="G551" s="31"/>
      <c r="H551" s="31"/>
      <c r="I551" s="33"/>
      <c r="J551" s="31"/>
      <c r="K551" s="31"/>
      <c r="L551" s="32"/>
      <c r="M551" s="32"/>
      <c r="N551" s="32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ht="13.5" customHeight="1">
      <c r="A552" s="31"/>
      <c r="B552" s="32"/>
      <c r="C552" s="31"/>
      <c r="D552" s="31"/>
      <c r="E552" s="31"/>
      <c r="F552" s="31"/>
      <c r="G552" s="31"/>
      <c r="H552" s="31"/>
      <c r="I552" s="33"/>
      <c r="J552" s="31"/>
      <c r="K552" s="31"/>
      <c r="L552" s="32"/>
      <c r="M552" s="32"/>
      <c r="N552" s="32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ht="13.5" customHeight="1">
      <c r="A553" s="31"/>
      <c r="B553" s="32"/>
      <c r="C553" s="31"/>
      <c r="D553" s="31"/>
      <c r="E553" s="31"/>
      <c r="F553" s="31"/>
      <c r="G553" s="31"/>
      <c r="H553" s="31"/>
      <c r="I553" s="33"/>
      <c r="J553" s="31"/>
      <c r="K553" s="31"/>
      <c r="L553" s="32"/>
      <c r="M553" s="32"/>
      <c r="N553" s="32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ht="13.5" customHeight="1">
      <c r="A554" s="31"/>
      <c r="B554" s="32"/>
      <c r="C554" s="31"/>
      <c r="D554" s="31"/>
      <c r="E554" s="31"/>
      <c r="F554" s="31"/>
      <c r="G554" s="31"/>
      <c r="H554" s="31"/>
      <c r="I554" s="33"/>
      <c r="J554" s="31"/>
      <c r="K554" s="31"/>
      <c r="L554" s="32"/>
      <c r="M554" s="32"/>
      <c r="N554" s="32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ht="13.5" customHeight="1">
      <c r="A555" s="31"/>
      <c r="B555" s="32"/>
      <c r="C555" s="31"/>
      <c r="D555" s="31"/>
      <c r="E555" s="31"/>
      <c r="F555" s="31"/>
      <c r="G555" s="31"/>
      <c r="H555" s="31"/>
      <c r="I555" s="33"/>
      <c r="J555" s="31"/>
      <c r="K555" s="31"/>
      <c r="L555" s="32"/>
      <c r="M555" s="32"/>
      <c r="N555" s="32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ht="13.5" customHeight="1">
      <c r="A556" s="31"/>
      <c r="B556" s="32"/>
      <c r="C556" s="31"/>
      <c r="D556" s="31"/>
      <c r="E556" s="31"/>
      <c r="F556" s="31"/>
      <c r="G556" s="31"/>
      <c r="H556" s="31"/>
      <c r="I556" s="33"/>
      <c r="J556" s="31"/>
      <c r="K556" s="31"/>
      <c r="L556" s="32"/>
      <c r="M556" s="32"/>
      <c r="N556" s="32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ht="13.5" customHeight="1">
      <c r="A557" s="31"/>
      <c r="B557" s="32"/>
      <c r="C557" s="31"/>
      <c r="D557" s="31"/>
      <c r="E557" s="31"/>
      <c r="F557" s="31"/>
      <c r="G557" s="31"/>
      <c r="H557" s="31"/>
      <c r="I557" s="33"/>
      <c r="J557" s="31"/>
      <c r="K557" s="31"/>
      <c r="L557" s="32"/>
      <c r="M557" s="32"/>
      <c r="N557" s="32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ht="13.5" customHeight="1">
      <c r="A558" s="31"/>
      <c r="B558" s="32"/>
      <c r="C558" s="31"/>
      <c r="D558" s="31"/>
      <c r="E558" s="31"/>
      <c r="F558" s="31"/>
      <c r="G558" s="31"/>
      <c r="H558" s="31"/>
      <c r="I558" s="33"/>
      <c r="J558" s="31"/>
      <c r="K558" s="31"/>
      <c r="L558" s="32"/>
      <c r="M558" s="32"/>
      <c r="N558" s="32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ht="13.5" customHeight="1">
      <c r="A559" s="31"/>
      <c r="B559" s="32"/>
      <c r="C559" s="31"/>
      <c r="D559" s="31"/>
      <c r="E559" s="31"/>
      <c r="F559" s="31"/>
      <c r="G559" s="31"/>
      <c r="H559" s="31"/>
      <c r="I559" s="33"/>
      <c r="J559" s="31"/>
      <c r="K559" s="31"/>
      <c r="L559" s="32"/>
      <c r="M559" s="32"/>
      <c r="N559" s="32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ht="13.5" customHeight="1">
      <c r="A560" s="31"/>
      <c r="B560" s="32"/>
      <c r="C560" s="31"/>
      <c r="D560" s="31"/>
      <c r="E560" s="31"/>
      <c r="F560" s="31"/>
      <c r="G560" s="31"/>
      <c r="H560" s="31"/>
      <c r="I560" s="33"/>
      <c r="J560" s="31"/>
      <c r="K560" s="31"/>
      <c r="L560" s="32"/>
      <c r="M560" s="32"/>
      <c r="N560" s="32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ht="13.5" customHeight="1">
      <c r="A561" s="31"/>
      <c r="B561" s="32"/>
      <c r="C561" s="31"/>
      <c r="D561" s="31"/>
      <c r="E561" s="31"/>
      <c r="F561" s="31"/>
      <c r="G561" s="31"/>
      <c r="H561" s="31"/>
      <c r="I561" s="33"/>
      <c r="J561" s="31"/>
      <c r="K561" s="31"/>
      <c r="L561" s="32"/>
      <c r="M561" s="32"/>
      <c r="N561" s="32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ht="13.5" customHeight="1">
      <c r="A562" s="31"/>
      <c r="B562" s="32"/>
      <c r="C562" s="31"/>
      <c r="D562" s="31"/>
      <c r="E562" s="31"/>
      <c r="F562" s="31"/>
      <c r="G562" s="31"/>
      <c r="H562" s="31"/>
      <c r="I562" s="33"/>
      <c r="J562" s="31"/>
      <c r="K562" s="31"/>
      <c r="L562" s="32"/>
      <c r="M562" s="32"/>
      <c r="N562" s="32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ht="13.5" customHeight="1">
      <c r="A563" s="31"/>
      <c r="B563" s="32"/>
      <c r="C563" s="31"/>
      <c r="D563" s="31"/>
      <c r="E563" s="31"/>
      <c r="F563" s="31"/>
      <c r="G563" s="31"/>
      <c r="H563" s="31"/>
      <c r="I563" s="33"/>
      <c r="J563" s="31"/>
      <c r="K563" s="31"/>
      <c r="L563" s="32"/>
      <c r="M563" s="32"/>
      <c r="N563" s="32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ht="13.5" customHeight="1">
      <c r="A564" s="31"/>
      <c r="B564" s="32"/>
      <c r="C564" s="31"/>
      <c r="D564" s="31"/>
      <c r="E564" s="31"/>
      <c r="F564" s="31"/>
      <c r="G564" s="31"/>
      <c r="H564" s="31"/>
      <c r="I564" s="33"/>
      <c r="J564" s="31"/>
      <c r="K564" s="31"/>
      <c r="L564" s="32"/>
      <c r="M564" s="32"/>
      <c r="N564" s="32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ht="13.5" customHeight="1">
      <c r="A565" s="31"/>
      <c r="B565" s="32"/>
      <c r="C565" s="31"/>
      <c r="D565" s="31"/>
      <c r="E565" s="31"/>
      <c r="F565" s="31"/>
      <c r="G565" s="31"/>
      <c r="H565" s="31"/>
      <c r="I565" s="33"/>
      <c r="J565" s="31"/>
      <c r="K565" s="31"/>
      <c r="L565" s="32"/>
      <c r="M565" s="32"/>
      <c r="N565" s="32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ht="13.5" customHeight="1">
      <c r="A566" s="31"/>
      <c r="B566" s="32"/>
      <c r="C566" s="31"/>
      <c r="D566" s="31"/>
      <c r="E566" s="31"/>
      <c r="F566" s="31"/>
      <c r="G566" s="31"/>
      <c r="H566" s="31"/>
      <c r="I566" s="33"/>
      <c r="J566" s="31"/>
      <c r="K566" s="31"/>
      <c r="L566" s="32"/>
      <c r="M566" s="32"/>
      <c r="N566" s="32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ht="13.5" customHeight="1">
      <c r="A567" s="31"/>
      <c r="B567" s="32"/>
      <c r="C567" s="31"/>
      <c r="D567" s="31"/>
      <c r="E567" s="31"/>
      <c r="F567" s="31"/>
      <c r="G567" s="31"/>
      <c r="H567" s="31"/>
      <c r="I567" s="33"/>
      <c r="J567" s="31"/>
      <c r="K567" s="31"/>
      <c r="L567" s="32"/>
      <c r="M567" s="32"/>
      <c r="N567" s="32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ht="13.5" customHeight="1">
      <c r="A568" s="31"/>
      <c r="B568" s="32"/>
      <c r="C568" s="31"/>
      <c r="D568" s="31"/>
      <c r="E568" s="31"/>
      <c r="F568" s="31"/>
      <c r="G568" s="31"/>
      <c r="H568" s="31"/>
      <c r="I568" s="33"/>
      <c r="J568" s="31"/>
      <c r="K568" s="31"/>
      <c r="L568" s="32"/>
      <c r="M568" s="32"/>
      <c r="N568" s="32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ht="13.5" customHeight="1">
      <c r="A569" s="31"/>
      <c r="B569" s="32"/>
      <c r="C569" s="31"/>
      <c r="D569" s="31"/>
      <c r="E569" s="31"/>
      <c r="F569" s="31"/>
      <c r="G569" s="31"/>
      <c r="H569" s="31"/>
      <c r="I569" s="33"/>
      <c r="J569" s="31"/>
      <c r="K569" s="31"/>
      <c r="L569" s="32"/>
      <c r="M569" s="32"/>
      <c r="N569" s="32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ht="13.5" customHeight="1">
      <c r="A570" s="31"/>
      <c r="B570" s="32"/>
      <c r="C570" s="31"/>
      <c r="D570" s="31"/>
      <c r="E570" s="31"/>
      <c r="F570" s="31"/>
      <c r="G570" s="31"/>
      <c r="H570" s="31"/>
      <c r="I570" s="33"/>
      <c r="J570" s="31"/>
      <c r="K570" s="31"/>
      <c r="L570" s="32"/>
      <c r="M570" s="32"/>
      <c r="N570" s="32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ht="13.5" customHeight="1">
      <c r="A571" s="31"/>
      <c r="B571" s="32"/>
      <c r="C571" s="31"/>
      <c r="D571" s="31"/>
      <c r="E571" s="31"/>
      <c r="F571" s="31"/>
      <c r="G571" s="31"/>
      <c r="H571" s="31"/>
      <c r="I571" s="33"/>
      <c r="J571" s="31"/>
      <c r="K571" s="31"/>
      <c r="L571" s="32"/>
      <c r="M571" s="32"/>
      <c r="N571" s="32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ht="13.5" customHeight="1">
      <c r="A572" s="31"/>
      <c r="B572" s="32"/>
      <c r="C572" s="31"/>
      <c r="D572" s="31"/>
      <c r="E572" s="31"/>
      <c r="F572" s="31"/>
      <c r="G572" s="31"/>
      <c r="H572" s="31"/>
      <c r="I572" s="33"/>
      <c r="J572" s="31"/>
      <c r="K572" s="31"/>
      <c r="L572" s="32"/>
      <c r="M572" s="32"/>
      <c r="N572" s="32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ht="13.5" customHeight="1">
      <c r="A573" s="31"/>
      <c r="B573" s="32"/>
      <c r="C573" s="31"/>
      <c r="D573" s="31"/>
      <c r="E573" s="31"/>
      <c r="F573" s="31"/>
      <c r="G573" s="31"/>
      <c r="H573" s="31"/>
      <c r="I573" s="33"/>
      <c r="J573" s="31"/>
      <c r="K573" s="31"/>
      <c r="L573" s="32"/>
      <c r="M573" s="32"/>
      <c r="N573" s="32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ht="13.5" customHeight="1">
      <c r="A574" s="31"/>
      <c r="B574" s="32"/>
      <c r="C574" s="31"/>
      <c r="D574" s="31"/>
      <c r="E574" s="31"/>
      <c r="F574" s="31"/>
      <c r="G574" s="31"/>
      <c r="H574" s="31"/>
      <c r="I574" s="33"/>
      <c r="J574" s="31"/>
      <c r="K574" s="31"/>
      <c r="L574" s="32"/>
      <c r="M574" s="32"/>
      <c r="N574" s="32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ht="13.5" customHeight="1">
      <c r="A575" s="31"/>
      <c r="B575" s="32"/>
      <c r="C575" s="31"/>
      <c r="D575" s="31"/>
      <c r="E575" s="31"/>
      <c r="F575" s="31"/>
      <c r="G575" s="31"/>
      <c r="H575" s="31"/>
      <c r="I575" s="33"/>
      <c r="J575" s="31"/>
      <c r="K575" s="31"/>
      <c r="L575" s="32"/>
      <c r="M575" s="32"/>
      <c r="N575" s="32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ht="13.5" customHeight="1">
      <c r="A576" s="31"/>
      <c r="B576" s="32"/>
      <c r="C576" s="31"/>
      <c r="D576" s="31"/>
      <c r="E576" s="31"/>
      <c r="F576" s="31"/>
      <c r="G576" s="31"/>
      <c r="H576" s="31"/>
      <c r="I576" s="33"/>
      <c r="J576" s="31"/>
      <c r="K576" s="31"/>
      <c r="L576" s="32"/>
      <c r="M576" s="32"/>
      <c r="N576" s="32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ht="13.5" customHeight="1">
      <c r="A577" s="31"/>
      <c r="B577" s="32"/>
      <c r="C577" s="31"/>
      <c r="D577" s="31"/>
      <c r="E577" s="31"/>
      <c r="F577" s="31"/>
      <c r="G577" s="31"/>
      <c r="H577" s="31"/>
      <c r="I577" s="33"/>
      <c r="J577" s="31"/>
      <c r="K577" s="31"/>
      <c r="L577" s="32"/>
      <c r="M577" s="32"/>
      <c r="N577" s="32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ht="13.5" customHeight="1">
      <c r="A578" s="31"/>
      <c r="B578" s="32"/>
      <c r="C578" s="31"/>
      <c r="D578" s="31"/>
      <c r="E578" s="31"/>
      <c r="F578" s="31"/>
      <c r="G578" s="31"/>
      <c r="H578" s="31"/>
      <c r="I578" s="33"/>
      <c r="J578" s="31"/>
      <c r="K578" s="31"/>
      <c r="L578" s="32"/>
      <c r="M578" s="32"/>
      <c r="N578" s="32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ht="13.5" customHeight="1">
      <c r="A579" s="31"/>
      <c r="B579" s="32"/>
      <c r="C579" s="31"/>
      <c r="D579" s="31"/>
      <c r="E579" s="31"/>
      <c r="F579" s="31"/>
      <c r="G579" s="31"/>
      <c r="H579" s="31"/>
      <c r="I579" s="33"/>
      <c r="J579" s="31"/>
      <c r="K579" s="31"/>
      <c r="L579" s="32"/>
      <c r="M579" s="32"/>
      <c r="N579" s="32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ht="13.5" customHeight="1">
      <c r="A580" s="31"/>
      <c r="B580" s="32"/>
      <c r="C580" s="31"/>
      <c r="D580" s="31"/>
      <c r="E580" s="31"/>
      <c r="F580" s="31"/>
      <c r="G580" s="31"/>
      <c r="H580" s="31"/>
      <c r="I580" s="33"/>
      <c r="J580" s="31"/>
      <c r="K580" s="31"/>
      <c r="L580" s="32"/>
      <c r="M580" s="32"/>
      <c r="N580" s="32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ht="13.5" customHeight="1">
      <c r="A581" s="31"/>
      <c r="B581" s="32"/>
      <c r="C581" s="31"/>
      <c r="D581" s="31"/>
      <c r="E581" s="31"/>
      <c r="F581" s="31"/>
      <c r="G581" s="31"/>
      <c r="H581" s="31"/>
      <c r="I581" s="33"/>
      <c r="J581" s="31"/>
      <c r="K581" s="31"/>
      <c r="L581" s="32"/>
      <c r="M581" s="32"/>
      <c r="N581" s="32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ht="13.5" customHeight="1">
      <c r="A582" s="31"/>
      <c r="B582" s="32"/>
      <c r="C582" s="31"/>
      <c r="D582" s="31"/>
      <c r="E582" s="31"/>
      <c r="F582" s="31"/>
      <c r="G582" s="31"/>
      <c r="H582" s="31"/>
      <c r="I582" s="33"/>
      <c r="J582" s="31"/>
      <c r="K582" s="31"/>
      <c r="L582" s="32"/>
      <c r="M582" s="32"/>
      <c r="N582" s="32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ht="13.5" customHeight="1">
      <c r="A583" s="31"/>
      <c r="B583" s="32"/>
      <c r="C583" s="31"/>
      <c r="D583" s="31"/>
      <c r="E583" s="31"/>
      <c r="F583" s="31"/>
      <c r="G583" s="31"/>
      <c r="H583" s="31"/>
      <c r="I583" s="33"/>
      <c r="J583" s="31"/>
      <c r="K583" s="31"/>
      <c r="L583" s="32"/>
      <c r="M583" s="32"/>
      <c r="N583" s="32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ht="13.5" customHeight="1">
      <c r="A584" s="31"/>
      <c r="B584" s="32"/>
      <c r="C584" s="31"/>
      <c r="D584" s="31"/>
      <c r="E584" s="31"/>
      <c r="F584" s="31"/>
      <c r="G584" s="31"/>
      <c r="H584" s="31"/>
      <c r="I584" s="33"/>
      <c r="J584" s="31"/>
      <c r="K584" s="31"/>
      <c r="L584" s="32"/>
      <c r="M584" s="32"/>
      <c r="N584" s="32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ht="13.5" customHeight="1">
      <c r="A585" s="31"/>
      <c r="B585" s="32"/>
      <c r="C585" s="31"/>
      <c r="D585" s="31"/>
      <c r="E585" s="31"/>
      <c r="F585" s="31"/>
      <c r="G585" s="31"/>
      <c r="H585" s="31"/>
      <c r="I585" s="33"/>
      <c r="J585" s="31"/>
      <c r="K585" s="31"/>
      <c r="L585" s="32"/>
      <c r="M585" s="32"/>
      <c r="N585" s="32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ht="13.5" customHeight="1">
      <c r="A586" s="31"/>
      <c r="B586" s="32"/>
      <c r="C586" s="31"/>
      <c r="D586" s="31"/>
      <c r="E586" s="31"/>
      <c r="F586" s="31"/>
      <c r="G586" s="31"/>
      <c r="H586" s="31"/>
      <c r="I586" s="33"/>
      <c r="J586" s="31"/>
      <c r="K586" s="31"/>
      <c r="L586" s="32"/>
      <c r="M586" s="32"/>
      <c r="N586" s="32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ht="13.5" customHeight="1">
      <c r="A587" s="31"/>
      <c r="B587" s="32"/>
      <c r="C587" s="31"/>
      <c r="D587" s="31"/>
      <c r="E587" s="31"/>
      <c r="F587" s="31"/>
      <c r="G587" s="31"/>
      <c r="H587" s="31"/>
      <c r="I587" s="33"/>
      <c r="J587" s="31"/>
      <c r="K587" s="31"/>
      <c r="L587" s="32"/>
      <c r="M587" s="32"/>
      <c r="N587" s="32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ht="13.5" customHeight="1">
      <c r="A588" s="31"/>
      <c r="B588" s="32"/>
      <c r="C588" s="31"/>
      <c r="D588" s="31"/>
      <c r="E588" s="31"/>
      <c r="F588" s="31"/>
      <c r="G588" s="31"/>
      <c r="H588" s="31"/>
      <c r="I588" s="33"/>
      <c r="J588" s="31"/>
      <c r="K588" s="31"/>
      <c r="L588" s="32"/>
      <c r="M588" s="32"/>
      <c r="N588" s="32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ht="13.5" customHeight="1">
      <c r="A589" s="31"/>
      <c r="B589" s="32"/>
      <c r="C589" s="31"/>
      <c r="D589" s="31"/>
      <c r="E589" s="31"/>
      <c r="F589" s="31"/>
      <c r="G589" s="31"/>
      <c r="H589" s="31"/>
      <c r="I589" s="33"/>
      <c r="J589" s="31"/>
      <c r="K589" s="31"/>
      <c r="L589" s="32"/>
      <c r="M589" s="32"/>
      <c r="N589" s="32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ht="13.5" customHeight="1">
      <c r="A590" s="31"/>
      <c r="B590" s="32"/>
      <c r="C590" s="31"/>
      <c r="D590" s="31"/>
      <c r="E590" s="31"/>
      <c r="F590" s="31"/>
      <c r="G590" s="31"/>
      <c r="H590" s="31"/>
      <c r="I590" s="33"/>
      <c r="J590" s="31"/>
      <c r="K590" s="31"/>
      <c r="L590" s="32"/>
      <c r="M590" s="32"/>
      <c r="N590" s="32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ht="13.5" customHeight="1">
      <c r="A591" s="31"/>
      <c r="B591" s="32"/>
      <c r="C591" s="31"/>
      <c r="D591" s="31"/>
      <c r="E591" s="31"/>
      <c r="F591" s="31"/>
      <c r="G591" s="31"/>
      <c r="H591" s="31"/>
      <c r="I591" s="33"/>
      <c r="J591" s="31"/>
      <c r="K591" s="31"/>
      <c r="L591" s="32"/>
      <c r="M591" s="32"/>
      <c r="N591" s="32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ht="13.5" customHeight="1">
      <c r="A592" s="31"/>
      <c r="B592" s="32"/>
      <c r="C592" s="31"/>
      <c r="D592" s="31"/>
      <c r="E592" s="31"/>
      <c r="F592" s="31"/>
      <c r="G592" s="31"/>
      <c r="H592" s="31"/>
      <c r="I592" s="33"/>
      <c r="J592" s="31"/>
      <c r="K592" s="31"/>
      <c r="L592" s="32"/>
      <c r="M592" s="32"/>
      <c r="N592" s="32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ht="13.5" customHeight="1">
      <c r="A593" s="31"/>
      <c r="B593" s="32"/>
      <c r="C593" s="31"/>
      <c r="D593" s="31"/>
      <c r="E593" s="31"/>
      <c r="F593" s="31"/>
      <c r="G593" s="31"/>
      <c r="H593" s="31"/>
      <c r="I593" s="33"/>
      <c r="J593" s="31"/>
      <c r="K593" s="31"/>
      <c r="L593" s="32"/>
      <c r="M593" s="32"/>
      <c r="N593" s="32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ht="13.5" customHeight="1">
      <c r="A594" s="31"/>
      <c r="B594" s="32"/>
      <c r="C594" s="31"/>
      <c r="D594" s="31"/>
      <c r="E594" s="31"/>
      <c r="F594" s="31"/>
      <c r="G594" s="31"/>
      <c r="H594" s="31"/>
      <c r="I594" s="33"/>
      <c r="J594" s="31"/>
      <c r="K594" s="31"/>
      <c r="L594" s="32"/>
      <c r="M594" s="32"/>
      <c r="N594" s="32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ht="13.5" customHeight="1">
      <c r="A595" s="31"/>
      <c r="B595" s="32"/>
      <c r="C595" s="31"/>
      <c r="D595" s="31"/>
      <c r="E595" s="31"/>
      <c r="F595" s="31"/>
      <c r="G595" s="31"/>
      <c r="H595" s="31"/>
      <c r="I595" s="33"/>
      <c r="J595" s="31"/>
      <c r="K595" s="31"/>
      <c r="L595" s="32"/>
      <c r="M595" s="32"/>
      <c r="N595" s="32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ht="13.5" customHeight="1">
      <c r="A596" s="31"/>
      <c r="B596" s="32"/>
      <c r="C596" s="31"/>
      <c r="D596" s="31"/>
      <c r="E596" s="31"/>
      <c r="F596" s="31"/>
      <c r="G596" s="31"/>
      <c r="H596" s="31"/>
      <c r="I596" s="33"/>
      <c r="J596" s="31"/>
      <c r="K596" s="31"/>
      <c r="L596" s="32"/>
      <c r="M596" s="32"/>
      <c r="N596" s="32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ht="13.5" customHeight="1">
      <c r="A597" s="31"/>
      <c r="B597" s="32"/>
      <c r="C597" s="31"/>
      <c r="D597" s="31"/>
      <c r="E597" s="31"/>
      <c r="F597" s="31"/>
      <c r="G597" s="31"/>
      <c r="H597" s="31"/>
      <c r="I597" s="33"/>
      <c r="J597" s="31"/>
      <c r="K597" s="31"/>
      <c r="L597" s="32"/>
      <c r="M597" s="32"/>
      <c r="N597" s="32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ht="13.5" customHeight="1">
      <c r="A598" s="31"/>
      <c r="B598" s="32"/>
      <c r="C598" s="31"/>
      <c r="D598" s="31"/>
      <c r="E598" s="31"/>
      <c r="F598" s="31"/>
      <c r="G598" s="31"/>
      <c r="H598" s="31"/>
      <c r="I598" s="33"/>
      <c r="J598" s="31"/>
      <c r="K598" s="31"/>
      <c r="L598" s="32"/>
      <c r="M598" s="32"/>
      <c r="N598" s="32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ht="13.5" customHeight="1">
      <c r="A599" s="31"/>
      <c r="B599" s="32"/>
      <c r="C599" s="31"/>
      <c r="D599" s="31"/>
      <c r="E599" s="31"/>
      <c r="F599" s="31"/>
      <c r="G599" s="31"/>
      <c r="H599" s="31"/>
      <c r="I599" s="33"/>
      <c r="J599" s="31"/>
      <c r="K599" s="31"/>
      <c r="L599" s="32"/>
      <c r="M599" s="32"/>
      <c r="N599" s="32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ht="13.5" customHeight="1">
      <c r="A600" s="31"/>
      <c r="B600" s="32"/>
      <c r="C600" s="31"/>
      <c r="D600" s="31"/>
      <c r="E600" s="31"/>
      <c r="F600" s="31"/>
      <c r="G600" s="31"/>
      <c r="H600" s="31"/>
      <c r="I600" s="33"/>
      <c r="J600" s="31"/>
      <c r="K600" s="31"/>
      <c r="L600" s="32"/>
      <c r="M600" s="32"/>
      <c r="N600" s="32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ht="13.5" customHeight="1">
      <c r="A601" s="31"/>
      <c r="B601" s="32"/>
      <c r="C601" s="31"/>
      <c r="D601" s="31"/>
      <c r="E601" s="31"/>
      <c r="F601" s="31"/>
      <c r="G601" s="31"/>
      <c r="H601" s="31"/>
      <c r="I601" s="33"/>
      <c r="J601" s="31"/>
      <c r="K601" s="31"/>
      <c r="L601" s="32"/>
      <c r="M601" s="32"/>
      <c r="N601" s="32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ht="13.5" customHeight="1">
      <c r="A602" s="31"/>
      <c r="B602" s="32"/>
      <c r="C602" s="31"/>
      <c r="D602" s="31"/>
      <c r="E602" s="31"/>
      <c r="F602" s="31"/>
      <c r="G602" s="31"/>
      <c r="H602" s="31"/>
      <c r="I602" s="33"/>
      <c r="J602" s="31"/>
      <c r="K602" s="31"/>
      <c r="L602" s="32"/>
      <c r="M602" s="32"/>
      <c r="N602" s="32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ht="13.5" customHeight="1">
      <c r="A603" s="31"/>
      <c r="B603" s="32"/>
      <c r="C603" s="31"/>
      <c r="D603" s="31"/>
      <c r="E603" s="31"/>
      <c r="F603" s="31"/>
      <c r="G603" s="31"/>
      <c r="H603" s="31"/>
      <c r="I603" s="33"/>
      <c r="J603" s="31"/>
      <c r="K603" s="31"/>
      <c r="L603" s="32"/>
      <c r="M603" s="32"/>
      <c r="N603" s="32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ht="13.5" customHeight="1">
      <c r="A604" s="31"/>
      <c r="B604" s="32"/>
      <c r="C604" s="31"/>
      <c r="D604" s="31"/>
      <c r="E604" s="31"/>
      <c r="F604" s="31"/>
      <c r="G604" s="31"/>
      <c r="H604" s="31"/>
      <c r="I604" s="33"/>
      <c r="J604" s="31"/>
      <c r="K604" s="31"/>
      <c r="L604" s="32"/>
      <c r="M604" s="32"/>
      <c r="N604" s="32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ht="13.5" customHeight="1">
      <c r="A605" s="31"/>
      <c r="B605" s="32"/>
      <c r="C605" s="31"/>
      <c r="D605" s="31"/>
      <c r="E605" s="31"/>
      <c r="F605" s="31"/>
      <c r="G605" s="31"/>
      <c r="H605" s="31"/>
      <c r="I605" s="33"/>
      <c r="J605" s="31"/>
      <c r="K605" s="31"/>
      <c r="L605" s="32"/>
      <c r="M605" s="32"/>
      <c r="N605" s="32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ht="13.5" customHeight="1">
      <c r="A606" s="31"/>
      <c r="B606" s="32"/>
      <c r="C606" s="31"/>
      <c r="D606" s="31"/>
      <c r="E606" s="31"/>
      <c r="F606" s="31"/>
      <c r="G606" s="31"/>
      <c r="H606" s="31"/>
      <c r="I606" s="33"/>
      <c r="J606" s="31"/>
      <c r="K606" s="31"/>
      <c r="L606" s="32"/>
      <c r="M606" s="32"/>
      <c r="N606" s="32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ht="13.5" customHeight="1">
      <c r="A607" s="31"/>
      <c r="B607" s="32"/>
      <c r="C607" s="31"/>
      <c r="D607" s="31"/>
      <c r="E607" s="31"/>
      <c r="F607" s="31"/>
      <c r="G607" s="31"/>
      <c r="H607" s="31"/>
      <c r="I607" s="33"/>
      <c r="J607" s="31"/>
      <c r="K607" s="31"/>
      <c r="L607" s="32"/>
      <c r="M607" s="32"/>
      <c r="N607" s="32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ht="13.5" customHeight="1">
      <c r="A608" s="31"/>
      <c r="B608" s="32"/>
      <c r="C608" s="31"/>
      <c r="D608" s="31"/>
      <c r="E608" s="31"/>
      <c r="F608" s="31"/>
      <c r="G608" s="31"/>
      <c r="H608" s="31"/>
      <c r="I608" s="33"/>
      <c r="J608" s="31"/>
      <c r="K608" s="31"/>
      <c r="L608" s="32"/>
      <c r="M608" s="32"/>
      <c r="N608" s="32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ht="13.5" customHeight="1">
      <c r="A609" s="31"/>
      <c r="B609" s="32"/>
      <c r="C609" s="31"/>
      <c r="D609" s="31"/>
      <c r="E609" s="31"/>
      <c r="F609" s="31"/>
      <c r="G609" s="31"/>
      <c r="H609" s="31"/>
      <c r="I609" s="33"/>
      <c r="J609" s="31"/>
      <c r="K609" s="31"/>
      <c r="L609" s="32"/>
      <c r="M609" s="32"/>
      <c r="N609" s="32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ht="13.5" customHeight="1">
      <c r="A610" s="31"/>
      <c r="B610" s="32"/>
      <c r="C610" s="31"/>
      <c r="D610" s="31"/>
      <c r="E610" s="31"/>
      <c r="F610" s="31"/>
      <c r="G610" s="31"/>
      <c r="H610" s="31"/>
      <c r="I610" s="33"/>
      <c r="J610" s="31"/>
      <c r="K610" s="31"/>
      <c r="L610" s="32"/>
      <c r="M610" s="32"/>
      <c r="N610" s="32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ht="13.5" customHeight="1">
      <c r="A611" s="31"/>
      <c r="B611" s="32"/>
      <c r="C611" s="31"/>
      <c r="D611" s="31"/>
      <c r="E611" s="31"/>
      <c r="F611" s="31"/>
      <c r="G611" s="31"/>
      <c r="H611" s="31"/>
      <c r="I611" s="33"/>
      <c r="J611" s="31"/>
      <c r="K611" s="31"/>
      <c r="L611" s="32"/>
      <c r="M611" s="32"/>
      <c r="N611" s="32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ht="13.5" customHeight="1">
      <c r="A612" s="31"/>
      <c r="B612" s="32"/>
      <c r="C612" s="31"/>
      <c r="D612" s="31"/>
      <c r="E612" s="31"/>
      <c r="F612" s="31"/>
      <c r="G612" s="31"/>
      <c r="H612" s="31"/>
      <c r="I612" s="33"/>
      <c r="J612" s="31"/>
      <c r="K612" s="31"/>
      <c r="L612" s="32"/>
      <c r="M612" s="32"/>
      <c r="N612" s="32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ht="13.5" customHeight="1">
      <c r="A613" s="31"/>
      <c r="B613" s="32"/>
      <c r="C613" s="31"/>
      <c r="D613" s="31"/>
      <c r="E613" s="31"/>
      <c r="F613" s="31"/>
      <c r="G613" s="31"/>
      <c r="H613" s="31"/>
      <c r="I613" s="33"/>
      <c r="J613" s="31"/>
      <c r="K613" s="31"/>
      <c r="L613" s="32"/>
      <c r="M613" s="32"/>
      <c r="N613" s="32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ht="13.5" customHeight="1">
      <c r="A614" s="31"/>
      <c r="B614" s="32"/>
      <c r="C614" s="31"/>
      <c r="D614" s="31"/>
      <c r="E614" s="31"/>
      <c r="F614" s="31"/>
      <c r="G614" s="31"/>
      <c r="H614" s="31"/>
      <c r="I614" s="33"/>
      <c r="J614" s="31"/>
      <c r="K614" s="31"/>
      <c r="L614" s="32"/>
      <c r="M614" s="32"/>
      <c r="N614" s="32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ht="13.5" customHeight="1">
      <c r="A615" s="31"/>
      <c r="B615" s="32"/>
      <c r="C615" s="31"/>
      <c r="D615" s="31"/>
      <c r="E615" s="31"/>
      <c r="F615" s="31"/>
      <c r="G615" s="31"/>
      <c r="H615" s="31"/>
      <c r="I615" s="33"/>
      <c r="J615" s="31"/>
      <c r="K615" s="31"/>
      <c r="L615" s="32"/>
      <c r="M615" s="32"/>
      <c r="N615" s="32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ht="13.5" customHeight="1">
      <c r="A616" s="31"/>
      <c r="B616" s="32"/>
      <c r="C616" s="31"/>
      <c r="D616" s="31"/>
      <c r="E616" s="31"/>
      <c r="F616" s="31"/>
      <c r="G616" s="31"/>
      <c r="H616" s="31"/>
      <c r="I616" s="33"/>
      <c r="J616" s="31"/>
      <c r="K616" s="31"/>
      <c r="L616" s="32"/>
      <c r="M616" s="32"/>
      <c r="N616" s="32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ht="13.5" customHeight="1">
      <c r="A617" s="31"/>
      <c r="B617" s="32"/>
      <c r="C617" s="31"/>
      <c r="D617" s="31"/>
      <c r="E617" s="31"/>
      <c r="F617" s="31"/>
      <c r="G617" s="31"/>
      <c r="H617" s="31"/>
      <c r="I617" s="33"/>
      <c r="J617" s="31"/>
      <c r="K617" s="31"/>
      <c r="L617" s="32"/>
      <c r="M617" s="32"/>
      <c r="N617" s="32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ht="13.5" customHeight="1">
      <c r="A618" s="31"/>
      <c r="B618" s="32"/>
      <c r="C618" s="31"/>
      <c r="D618" s="31"/>
      <c r="E618" s="31"/>
      <c r="F618" s="31"/>
      <c r="G618" s="31"/>
      <c r="H618" s="31"/>
      <c r="I618" s="33"/>
      <c r="J618" s="31"/>
      <c r="K618" s="31"/>
      <c r="L618" s="32"/>
      <c r="M618" s="32"/>
      <c r="N618" s="32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ht="13.5" customHeight="1">
      <c r="A619" s="31"/>
      <c r="B619" s="32"/>
      <c r="C619" s="31"/>
      <c r="D619" s="31"/>
      <c r="E619" s="31"/>
      <c r="F619" s="31"/>
      <c r="G619" s="31"/>
      <c r="H619" s="31"/>
      <c r="I619" s="33"/>
      <c r="J619" s="31"/>
      <c r="K619" s="31"/>
      <c r="L619" s="32"/>
      <c r="M619" s="32"/>
      <c r="N619" s="32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ht="13.5" customHeight="1">
      <c r="A620" s="31"/>
      <c r="B620" s="32"/>
      <c r="C620" s="31"/>
      <c r="D620" s="31"/>
      <c r="E620" s="31"/>
      <c r="F620" s="31"/>
      <c r="G620" s="31"/>
      <c r="H620" s="31"/>
      <c r="I620" s="33"/>
      <c r="J620" s="31"/>
      <c r="K620" s="31"/>
      <c r="L620" s="32"/>
      <c r="M620" s="32"/>
      <c r="N620" s="32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ht="13.5" customHeight="1">
      <c r="A621" s="31"/>
      <c r="B621" s="32"/>
      <c r="C621" s="31"/>
      <c r="D621" s="31"/>
      <c r="E621" s="31"/>
      <c r="F621" s="31"/>
      <c r="G621" s="31"/>
      <c r="H621" s="31"/>
      <c r="I621" s="33"/>
      <c r="J621" s="31"/>
      <c r="K621" s="31"/>
      <c r="L621" s="32"/>
      <c r="M621" s="32"/>
      <c r="N621" s="32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ht="13.5" customHeight="1">
      <c r="A622" s="31"/>
      <c r="B622" s="32"/>
      <c r="C622" s="31"/>
      <c r="D622" s="31"/>
      <c r="E622" s="31"/>
      <c r="F622" s="31"/>
      <c r="G622" s="31"/>
      <c r="H622" s="31"/>
      <c r="I622" s="33"/>
      <c r="J622" s="31"/>
      <c r="K622" s="31"/>
      <c r="L622" s="32"/>
      <c r="M622" s="32"/>
      <c r="N622" s="32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ht="13.5" customHeight="1">
      <c r="A623" s="31"/>
      <c r="B623" s="32"/>
      <c r="C623" s="31"/>
      <c r="D623" s="31"/>
      <c r="E623" s="31"/>
      <c r="F623" s="31"/>
      <c r="G623" s="31"/>
      <c r="H623" s="31"/>
      <c r="I623" s="33"/>
      <c r="J623" s="31"/>
      <c r="K623" s="31"/>
      <c r="L623" s="32"/>
      <c r="M623" s="32"/>
      <c r="N623" s="32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ht="13.5" customHeight="1">
      <c r="A624" s="31"/>
      <c r="B624" s="32"/>
      <c r="C624" s="31"/>
      <c r="D624" s="31"/>
      <c r="E624" s="31"/>
      <c r="F624" s="31"/>
      <c r="G624" s="31"/>
      <c r="H624" s="31"/>
      <c r="I624" s="33"/>
      <c r="J624" s="31"/>
      <c r="K624" s="31"/>
      <c r="L624" s="32"/>
      <c r="M624" s="32"/>
      <c r="N624" s="32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ht="13.5" customHeight="1">
      <c r="A625" s="31"/>
      <c r="B625" s="32"/>
      <c r="C625" s="31"/>
      <c r="D625" s="31"/>
      <c r="E625" s="31"/>
      <c r="F625" s="31"/>
      <c r="G625" s="31"/>
      <c r="H625" s="31"/>
      <c r="I625" s="33"/>
      <c r="J625" s="31"/>
      <c r="K625" s="31"/>
      <c r="L625" s="32"/>
      <c r="M625" s="32"/>
      <c r="N625" s="32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ht="13.5" customHeight="1">
      <c r="A626" s="31"/>
      <c r="B626" s="32"/>
      <c r="C626" s="31"/>
      <c r="D626" s="31"/>
      <c r="E626" s="31"/>
      <c r="F626" s="31"/>
      <c r="G626" s="31"/>
      <c r="H626" s="31"/>
      <c r="I626" s="33"/>
      <c r="J626" s="31"/>
      <c r="K626" s="31"/>
      <c r="L626" s="32"/>
      <c r="M626" s="32"/>
      <c r="N626" s="32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ht="13.5" customHeight="1">
      <c r="A627" s="31"/>
      <c r="B627" s="32"/>
      <c r="C627" s="31"/>
      <c r="D627" s="31"/>
      <c r="E627" s="31"/>
      <c r="F627" s="31"/>
      <c r="G627" s="31"/>
      <c r="H627" s="31"/>
      <c r="I627" s="33"/>
      <c r="J627" s="31"/>
      <c r="K627" s="31"/>
      <c r="L627" s="32"/>
      <c r="M627" s="32"/>
      <c r="N627" s="32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ht="13.5" customHeight="1">
      <c r="A628" s="31"/>
      <c r="B628" s="32"/>
      <c r="C628" s="31"/>
      <c r="D628" s="31"/>
      <c r="E628" s="31"/>
      <c r="F628" s="31"/>
      <c r="G628" s="31"/>
      <c r="H628" s="31"/>
      <c r="I628" s="33"/>
      <c r="J628" s="31"/>
      <c r="K628" s="31"/>
      <c r="L628" s="32"/>
      <c r="M628" s="32"/>
      <c r="N628" s="32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ht="13.5" customHeight="1">
      <c r="A629" s="31"/>
      <c r="B629" s="32"/>
      <c r="C629" s="31"/>
      <c r="D629" s="31"/>
      <c r="E629" s="31"/>
      <c r="F629" s="31"/>
      <c r="G629" s="31"/>
      <c r="H629" s="31"/>
      <c r="I629" s="33"/>
      <c r="J629" s="31"/>
      <c r="K629" s="31"/>
      <c r="L629" s="32"/>
      <c r="M629" s="32"/>
      <c r="N629" s="32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ht="13.5" customHeight="1">
      <c r="A630" s="31"/>
      <c r="B630" s="32"/>
      <c r="C630" s="31"/>
      <c r="D630" s="31"/>
      <c r="E630" s="31"/>
      <c r="F630" s="31"/>
      <c r="G630" s="31"/>
      <c r="H630" s="31"/>
      <c r="I630" s="33"/>
      <c r="J630" s="31"/>
      <c r="K630" s="31"/>
      <c r="L630" s="32"/>
      <c r="M630" s="32"/>
      <c r="N630" s="32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ht="13.5" customHeight="1">
      <c r="A631" s="31"/>
      <c r="B631" s="32"/>
      <c r="C631" s="31"/>
      <c r="D631" s="31"/>
      <c r="E631" s="31"/>
      <c r="F631" s="31"/>
      <c r="G631" s="31"/>
      <c r="H631" s="31"/>
      <c r="I631" s="33"/>
      <c r="J631" s="31"/>
      <c r="K631" s="31"/>
      <c r="L631" s="32"/>
      <c r="M631" s="32"/>
      <c r="N631" s="32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ht="13.5" customHeight="1">
      <c r="A632" s="31"/>
      <c r="B632" s="32"/>
      <c r="C632" s="31"/>
      <c r="D632" s="31"/>
      <c r="E632" s="31"/>
      <c r="F632" s="31"/>
      <c r="G632" s="31"/>
      <c r="H632" s="31"/>
      <c r="I632" s="33"/>
      <c r="J632" s="31"/>
      <c r="K632" s="31"/>
      <c r="L632" s="32"/>
      <c r="M632" s="32"/>
      <c r="N632" s="32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ht="13.5" customHeight="1">
      <c r="A633" s="31"/>
      <c r="B633" s="32"/>
      <c r="C633" s="31"/>
      <c r="D633" s="31"/>
      <c r="E633" s="31"/>
      <c r="F633" s="31"/>
      <c r="G633" s="31"/>
      <c r="H633" s="31"/>
      <c r="I633" s="33"/>
      <c r="J633" s="31"/>
      <c r="K633" s="31"/>
      <c r="L633" s="32"/>
      <c r="M633" s="32"/>
      <c r="N633" s="32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ht="13.5" customHeight="1">
      <c r="A634" s="31"/>
      <c r="B634" s="32"/>
      <c r="C634" s="31"/>
      <c r="D634" s="31"/>
      <c r="E634" s="31"/>
      <c r="F634" s="31"/>
      <c r="G634" s="31"/>
      <c r="H634" s="31"/>
      <c r="I634" s="33"/>
      <c r="J634" s="31"/>
      <c r="K634" s="31"/>
      <c r="L634" s="32"/>
      <c r="M634" s="32"/>
      <c r="N634" s="32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ht="13.5" customHeight="1">
      <c r="A635" s="31"/>
      <c r="B635" s="32"/>
      <c r="C635" s="31"/>
      <c r="D635" s="31"/>
      <c r="E635" s="31"/>
      <c r="F635" s="31"/>
      <c r="G635" s="31"/>
      <c r="H635" s="31"/>
      <c r="I635" s="33"/>
      <c r="J635" s="31"/>
      <c r="K635" s="31"/>
      <c r="L635" s="32"/>
      <c r="M635" s="32"/>
      <c r="N635" s="32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ht="13.5" customHeight="1">
      <c r="A636" s="31"/>
      <c r="B636" s="32"/>
      <c r="C636" s="31"/>
      <c r="D636" s="31"/>
      <c r="E636" s="31"/>
      <c r="F636" s="31"/>
      <c r="G636" s="31"/>
      <c r="H636" s="31"/>
      <c r="I636" s="33"/>
      <c r="J636" s="31"/>
      <c r="K636" s="31"/>
      <c r="L636" s="32"/>
      <c r="M636" s="32"/>
      <c r="N636" s="32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ht="13.5" customHeight="1">
      <c r="A637" s="31"/>
      <c r="B637" s="32"/>
      <c r="C637" s="31"/>
      <c r="D637" s="31"/>
      <c r="E637" s="31"/>
      <c r="F637" s="31"/>
      <c r="G637" s="31"/>
      <c r="H637" s="31"/>
      <c r="I637" s="33"/>
      <c r="J637" s="31"/>
      <c r="K637" s="31"/>
      <c r="L637" s="32"/>
      <c r="M637" s="32"/>
      <c r="N637" s="32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ht="13.5" customHeight="1">
      <c r="A638" s="31"/>
      <c r="B638" s="32"/>
      <c r="C638" s="31"/>
      <c r="D638" s="31"/>
      <c r="E638" s="31"/>
      <c r="F638" s="31"/>
      <c r="G638" s="31"/>
      <c r="H638" s="31"/>
      <c r="I638" s="33"/>
      <c r="J638" s="31"/>
      <c r="K638" s="31"/>
      <c r="L638" s="32"/>
      <c r="M638" s="32"/>
      <c r="N638" s="32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ht="13.5" customHeight="1">
      <c r="A639" s="31"/>
      <c r="B639" s="32"/>
      <c r="C639" s="31"/>
      <c r="D639" s="31"/>
      <c r="E639" s="31"/>
      <c r="F639" s="31"/>
      <c r="G639" s="31"/>
      <c r="H639" s="31"/>
      <c r="I639" s="33"/>
      <c r="J639" s="31"/>
      <c r="K639" s="31"/>
      <c r="L639" s="32"/>
      <c r="M639" s="32"/>
      <c r="N639" s="32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ht="13.5" customHeight="1">
      <c r="A640" s="31"/>
      <c r="B640" s="32"/>
      <c r="C640" s="31"/>
      <c r="D640" s="31"/>
      <c r="E640" s="31"/>
      <c r="F640" s="31"/>
      <c r="G640" s="31"/>
      <c r="H640" s="31"/>
      <c r="I640" s="33"/>
      <c r="J640" s="31"/>
      <c r="K640" s="31"/>
      <c r="L640" s="32"/>
      <c r="M640" s="32"/>
      <c r="N640" s="32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ht="13.5" customHeight="1">
      <c r="A641" s="31"/>
      <c r="B641" s="32"/>
      <c r="C641" s="31"/>
      <c r="D641" s="31"/>
      <c r="E641" s="31"/>
      <c r="F641" s="31"/>
      <c r="G641" s="31"/>
      <c r="H641" s="31"/>
      <c r="I641" s="33"/>
      <c r="J641" s="31"/>
      <c r="K641" s="31"/>
      <c r="L641" s="32"/>
      <c r="M641" s="32"/>
      <c r="N641" s="32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ht="13.5" customHeight="1">
      <c r="A642" s="31"/>
      <c r="B642" s="32"/>
      <c r="C642" s="31"/>
      <c r="D642" s="31"/>
      <c r="E642" s="31"/>
      <c r="F642" s="31"/>
      <c r="G642" s="31"/>
      <c r="H642" s="31"/>
      <c r="I642" s="33"/>
      <c r="J642" s="31"/>
      <c r="K642" s="31"/>
      <c r="L642" s="32"/>
      <c r="M642" s="32"/>
      <c r="N642" s="32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ht="13.5" customHeight="1">
      <c r="A643" s="31"/>
      <c r="B643" s="32"/>
      <c r="C643" s="31"/>
      <c r="D643" s="31"/>
      <c r="E643" s="31"/>
      <c r="F643" s="31"/>
      <c r="G643" s="31"/>
      <c r="H643" s="31"/>
      <c r="I643" s="33"/>
      <c r="J643" s="31"/>
      <c r="K643" s="31"/>
      <c r="L643" s="32"/>
      <c r="M643" s="32"/>
      <c r="N643" s="32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ht="13.5" customHeight="1">
      <c r="A644" s="31"/>
      <c r="B644" s="32"/>
      <c r="C644" s="31"/>
      <c r="D644" s="31"/>
      <c r="E644" s="31"/>
      <c r="F644" s="31"/>
      <c r="G644" s="31"/>
      <c r="H644" s="31"/>
      <c r="I644" s="33"/>
      <c r="J644" s="31"/>
      <c r="K644" s="31"/>
      <c r="L644" s="32"/>
      <c r="M644" s="32"/>
      <c r="N644" s="32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ht="13.5" customHeight="1">
      <c r="A645" s="31"/>
      <c r="B645" s="32"/>
      <c r="C645" s="31"/>
      <c r="D645" s="31"/>
      <c r="E645" s="31"/>
      <c r="F645" s="31"/>
      <c r="G645" s="31"/>
      <c r="H645" s="31"/>
      <c r="I645" s="33"/>
      <c r="J645" s="31"/>
      <c r="K645" s="31"/>
      <c r="L645" s="32"/>
      <c r="M645" s="32"/>
      <c r="N645" s="32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ht="13.5" customHeight="1">
      <c r="A646" s="31"/>
      <c r="B646" s="32"/>
      <c r="C646" s="31"/>
      <c r="D646" s="31"/>
      <c r="E646" s="31"/>
      <c r="F646" s="31"/>
      <c r="G646" s="31"/>
      <c r="H646" s="31"/>
      <c r="I646" s="33"/>
      <c r="J646" s="31"/>
      <c r="K646" s="31"/>
      <c r="L646" s="32"/>
      <c r="M646" s="32"/>
      <c r="N646" s="32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ht="13.5" customHeight="1">
      <c r="A647" s="31"/>
      <c r="B647" s="32"/>
      <c r="C647" s="31"/>
      <c r="D647" s="31"/>
      <c r="E647" s="31"/>
      <c r="F647" s="31"/>
      <c r="G647" s="31"/>
      <c r="H647" s="31"/>
      <c r="I647" s="33"/>
      <c r="J647" s="31"/>
      <c r="K647" s="31"/>
      <c r="L647" s="32"/>
      <c r="M647" s="32"/>
      <c r="N647" s="32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ht="13.5" customHeight="1">
      <c r="A648" s="31"/>
      <c r="B648" s="32"/>
      <c r="C648" s="31"/>
      <c r="D648" s="31"/>
      <c r="E648" s="31"/>
      <c r="F648" s="31"/>
      <c r="G648" s="31"/>
      <c r="H648" s="31"/>
      <c r="I648" s="33"/>
      <c r="J648" s="31"/>
      <c r="K648" s="31"/>
      <c r="L648" s="32"/>
      <c r="M648" s="32"/>
      <c r="N648" s="32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ht="13.5" customHeight="1">
      <c r="A649" s="31"/>
      <c r="B649" s="32"/>
      <c r="C649" s="31"/>
      <c r="D649" s="31"/>
      <c r="E649" s="31"/>
      <c r="F649" s="31"/>
      <c r="G649" s="31"/>
      <c r="H649" s="31"/>
      <c r="I649" s="33"/>
      <c r="J649" s="31"/>
      <c r="K649" s="31"/>
      <c r="L649" s="32"/>
      <c r="M649" s="32"/>
      <c r="N649" s="32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ht="13.5" customHeight="1">
      <c r="A650" s="31"/>
      <c r="B650" s="32"/>
      <c r="C650" s="31"/>
      <c r="D650" s="31"/>
      <c r="E650" s="31"/>
      <c r="F650" s="31"/>
      <c r="G650" s="31"/>
      <c r="H650" s="31"/>
      <c r="I650" s="33"/>
      <c r="J650" s="31"/>
      <c r="K650" s="31"/>
      <c r="L650" s="32"/>
      <c r="M650" s="32"/>
      <c r="N650" s="32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ht="13.5" customHeight="1">
      <c r="A651" s="31"/>
      <c r="B651" s="32"/>
      <c r="C651" s="31"/>
      <c r="D651" s="31"/>
      <c r="E651" s="31"/>
      <c r="F651" s="31"/>
      <c r="G651" s="31"/>
      <c r="H651" s="31"/>
      <c r="I651" s="33"/>
      <c r="J651" s="31"/>
      <c r="K651" s="31"/>
      <c r="L651" s="32"/>
      <c r="M651" s="32"/>
      <c r="N651" s="32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ht="13.5" customHeight="1">
      <c r="A652" s="31"/>
      <c r="B652" s="32"/>
      <c r="C652" s="31"/>
      <c r="D652" s="31"/>
      <c r="E652" s="31"/>
      <c r="F652" s="31"/>
      <c r="G652" s="31"/>
      <c r="H652" s="31"/>
      <c r="I652" s="33"/>
      <c r="J652" s="31"/>
      <c r="K652" s="31"/>
      <c r="L652" s="32"/>
      <c r="M652" s="32"/>
      <c r="N652" s="32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ht="13.5" customHeight="1">
      <c r="A653" s="31"/>
      <c r="B653" s="32"/>
      <c r="C653" s="31"/>
      <c r="D653" s="31"/>
      <c r="E653" s="31"/>
      <c r="F653" s="31"/>
      <c r="G653" s="31"/>
      <c r="H653" s="31"/>
      <c r="I653" s="33"/>
      <c r="J653" s="31"/>
      <c r="K653" s="31"/>
      <c r="L653" s="32"/>
      <c r="M653" s="32"/>
      <c r="N653" s="32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ht="13.5" customHeight="1">
      <c r="A654" s="31"/>
      <c r="B654" s="32"/>
      <c r="C654" s="31"/>
      <c r="D654" s="31"/>
      <c r="E654" s="31"/>
      <c r="F654" s="31"/>
      <c r="G654" s="31"/>
      <c r="H654" s="31"/>
      <c r="I654" s="33"/>
      <c r="J654" s="31"/>
      <c r="K654" s="31"/>
      <c r="L654" s="32"/>
      <c r="M654" s="32"/>
      <c r="N654" s="32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ht="13.5" customHeight="1">
      <c r="A655" s="31"/>
      <c r="B655" s="32"/>
      <c r="C655" s="31"/>
      <c r="D655" s="31"/>
      <c r="E655" s="31"/>
      <c r="F655" s="31"/>
      <c r="G655" s="31"/>
      <c r="H655" s="31"/>
      <c r="I655" s="33"/>
      <c r="J655" s="31"/>
      <c r="K655" s="31"/>
      <c r="L655" s="32"/>
      <c r="M655" s="32"/>
      <c r="N655" s="32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spans="1:27" ht="13.5" customHeight="1">
      <c r="A656" s="31"/>
      <c r="B656" s="32"/>
      <c r="C656" s="31"/>
      <c r="D656" s="31"/>
      <c r="E656" s="31"/>
      <c r="F656" s="31"/>
      <c r="G656" s="31"/>
      <c r="H656" s="31"/>
      <c r="I656" s="33"/>
      <c r="J656" s="31"/>
      <c r="K656" s="31"/>
      <c r="L656" s="32"/>
      <c r="M656" s="32"/>
      <c r="N656" s="32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ht="13.5" customHeight="1">
      <c r="A657" s="31"/>
      <c r="B657" s="32"/>
      <c r="C657" s="31"/>
      <c r="D657" s="31"/>
      <c r="E657" s="31"/>
      <c r="F657" s="31"/>
      <c r="G657" s="31"/>
      <c r="H657" s="31"/>
      <c r="I657" s="33"/>
      <c r="J657" s="31"/>
      <c r="K657" s="31"/>
      <c r="L657" s="32"/>
      <c r="M657" s="32"/>
      <c r="N657" s="32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spans="1:27" ht="13.5" customHeight="1">
      <c r="A658" s="31"/>
      <c r="B658" s="32"/>
      <c r="C658" s="31"/>
      <c r="D658" s="31"/>
      <c r="E658" s="31"/>
      <c r="F658" s="31"/>
      <c r="G658" s="31"/>
      <c r="H658" s="31"/>
      <c r="I658" s="33"/>
      <c r="J658" s="31"/>
      <c r="K658" s="31"/>
      <c r="L658" s="32"/>
      <c r="M658" s="32"/>
      <c r="N658" s="32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ht="13.5" customHeight="1">
      <c r="A659" s="31"/>
      <c r="B659" s="32"/>
      <c r="C659" s="31"/>
      <c r="D659" s="31"/>
      <c r="E659" s="31"/>
      <c r="F659" s="31"/>
      <c r="G659" s="31"/>
      <c r="H659" s="31"/>
      <c r="I659" s="33"/>
      <c r="J659" s="31"/>
      <c r="K659" s="31"/>
      <c r="L659" s="32"/>
      <c r="M659" s="32"/>
      <c r="N659" s="32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spans="1:27" ht="13.5" customHeight="1">
      <c r="A660" s="31"/>
      <c r="B660" s="32"/>
      <c r="C660" s="31"/>
      <c r="D660" s="31"/>
      <c r="E660" s="31"/>
      <c r="F660" s="31"/>
      <c r="G660" s="31"/>
      <c r="H660" s="31"/>
      <c r="I660" s="33"/>
      <c r="J660" s="31"/>
      <c r="K660" s="31"/>
      <c r="L660" s="32"/>
      <c r="M660" s="32"/>
      <c r="N660" s="32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ht="13.5" customHeight="1">
      <c r="A661" s="31"/>
      <c r="B661" s="32"/>
      <c r="C661" s="31"/>
      <c r="D661" s="31"/>
      <c r="E661" s="31"/>
      <c r="F661" s="31"/>
      <c r="G661" s="31"/>
      <c r="H661" s="31"/>
      <c r="I661" s="33"/>
      <c r="J661" s="31"/>
      <c r="K661" s="31"/>
      <c r="L661" s="32"/>
      <c r="M661" s="32"/>
      <c r="N661" s="32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ht="13.5" customHeight="1">
      <c r="A662" s="31"/>
      <c r="B662" s="32"/>
      <c r="C662" s="31"/>
      <c r="D662" s="31"/>
      <c r="E662" s="31"/>
      <c r="F662" s="31"/>
      <c r="G662" s="31"/>
      <c r="H662" s="31"/>
      <c r="I662" s="33"/>
      <c r="J662" s="31"/>
      <c r="K662" s="31"/>
      <c r="L662" s="32"/>
      <c r="M662" s="32"/>
      <c r="N662" s="32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ht="13.5" customHeight="1">
      <c r="A663" s="31"/>
      <c r="B663" s="32"/>
      <c r="C663" s="31"/>
      <c r="D663" s="31"/>
      <c r="E663" s="31"/>
      <c r="F663" s="31"/>
      <c r="G663" s="31"/>
      <c r="H663" s="31"/>
      <c r="I663" s="33"/>
      <c r="J663" s="31"/>
      <c r="K663" s="31"/>
      <c r="L663" s="32"/>
      <c r="M663" s="32"/>
      <c r="N663" s="32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ht="13.5" customHeight="1">
      <c r="A664" s="31"/>
      <c r="B664" s="32"/>
      <c r="C664" s="31"/>
      <c r="D664" s="31"/>
      <c r="E664" s="31"/>
      <c r="F664" s="31"/>
      <c r="G664" s="31"/>
      <c r="H664" s="31"/>
      <c r="I664" s="33"/>
      <c r="J664" s="31"/>
      <c r="K664" s="31"/>
      <c r="L664" s="32"/>
      <c r="M664" s="32"/>
      <c r="N664" s="32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ht="13.5" customHeight="1">
      <c r="A665" s="31"/>
      <c r="B665" s="32"/>
      <c r="C665" s="31"/>
      <c r="D665" s="31"/>
      <c r="E665" s="31"/>
      <c r="F665" s="31"/>
      <c r="G665" s="31"/>
      <c r="H665" s="31"/>
      <c r="I665" s="33"/>
      <c r="J665" s="31"/>
      <c r="K665" s="31"/>
      <c r="L665" s="32"/>
      <c r="M665" s="32"/>
      <c r="N665" s="32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ht="13.5" customHeight="1">
      <c r="A666" s="31"/>
      <c r="B666" s="32"/>
      <c r="C666" s="31"/>
      <c r="D666" s="31"/>
      <c r="E666" s="31"/>
      <c r="F666" s="31"/>
      <c r="G666" s="31"/>
      <c r="H666" s="31"/>
      <c r="I666" s="33"/>
      <c r="J666" s="31"/>
      <c r="K666" s="31"/>
      <c r="L666" s="32"/>
      <c r="M666" s="32"/>
      <c r="N666" s="32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ht="13.5" customHeight="1">
      <c r="A667" s="31"/>
      <c r="B667" s="32"/>
      <c r="C667" s="31"/>
      <c r="D667" s="31"/>
      <c r="E667" s="31"/>
      <c r="F667" s="31"/>
      <c r="G667" s="31"/>
      <c r="H667" s="31"/>
      <c r="I667" s="33"/>
      <c r="J667" s="31"/>
      <c r="K667" s="31"/>
      <c r="L667" s="32"/>
      <c r="M667" s="32"/>
      <c r="N667" s="32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spans="1:27" ht="13.5" customHeight="1">
      <c r="A668" s="31"/>
      <c r="B668" s="32"/>
      <c r="C668" s="31"/>
      <c r="D668" s="31"/>
      <c r="E668" s="31"/>
      <c r="F668" s="31"/>
      <c r="G668" s="31"/>
      <c r="H668" s="31"/>
      <c r="I668" s="33"/>
      <c r="J668" s="31"/>
      <c r="K668" s="31"/>
      <c r="L668" s="32"/>
      <c r="M668" s="32"/>
      <c r="N668" s="32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ht="13.5" customHeight="1">
      <c r="A669" s="31"/>
      <c r="B669" s="32"/>
      <c r="C669" s="31"/>
      <c r="D669" s="31"/>
      <c r="E669" s="31"/>
      <c r="F669" s="31"/>
      <c r="G669" s="31"/>
      <c r="H669" s="31"/>
      <c r="I669" s="33"/>
      <c r="J669" s="31"/>
      <c r="K669" s="31"/>
      <c r="L669" s="32"/>
      <c r="M669" s="32"/>
      <c r="N669" s="32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ht="13.5" customHeight="1">
      <c r="A670" s="31"/>
      <c r="B670" s="32"/>
      <c r="C670" s="31"/>
      <c r="D670" s="31"/>
      <c r="E670" s="31"/>
      <c r="F670" s="31"/>
      <c r="G670" s="31"/>
      <c r="H670" s="31"/>
      <c r="I670" s="33"/>
      <c r="J670" s="31"/>
      <c r="K670" s="31"/>
      <c r="L670" s="32"/>
      <c r="M670" s="32"/>
      <c r="N670" s="32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ht="13.5" customHeight="1">
      <c r="A671" s="31"/>
      <c r="B671" s="32"/>
      <c r="C671" s="31"/>
      <c r="D671" s="31"/>
      <c r="E671" s="31"/>
      <c r="F671" s="31"/>
      <c r="G671" s="31"/>
      <c r="H671" s="31"/>
      <c r="I671" s="33"/>
      <c r="J671" s="31"/>
      <c r="K671" s="31"/>
      <c r="L671" s="32"/>
      <c r="M671" s="32"/>
      <c r="N671" s="32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ht="13.5" customHeight="1">
      <c r="A672" s="31"/>
      <c r="B672" s="32"/>
      <c r="C672" s="31"/>
      <c r="D672" s="31"/>
      <c r="E672" s="31"/>
      <c r="F672" s="31"/>
      <c r="G672" s="31"/>
      <c r="H672" s="31"/>
      <c r="I672" s="33"/>
      <c r="J672" s="31"/>
      <c r="K672" s="31"/>
      <c r="L672" s="32"/>
      <c r="M672" s="32"/>
      <c r="N672" s="32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ht="13.5" customHeight="1">
      <c r="A673" s="31"/>
      <c r="B673" s="32"/>
      <c r="C673" s="31"/>
      <c r="D673" s="31"/>
      <c r="E673" s="31"/>
      <c r="F673" s="31"/>
      <c r="G673" s="31"/>
      <c r="H673" s="31"/>
      <c r="I673" s="33"/>
      <c r="J673" s="31"/>
      <c r="K673" s="31"/>
      <c r="L673" s="32"/>
      <c r="M673" s="32"/>
      <c r="N673" s="32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ht="13.5" customHeight="1">
      <c r="A674" s="31"/>
      <c r="B674" s="32"/>
      <c r="C674" s="31"/>
      <c r="D674" s="31"/>
      <c r="E674" s="31"/>
      <c r="F674" s="31"/>
      <c r="G674" s="31"/>
      <c r="H674" s="31"/>
      <c r="I674" s="33"/>
      <c r="J674" s="31"/>
      <c r="K674" s="31"/>
      <c r="L674" s="32"/>
      <c r="M674" s="32"/>
      <c r="N674" s="32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ht="13.5" customHeight="1">
      <c r="A675" s="31"/>
      <c r="B675" s="32"/>
      <c r="C675" s="31"/>
      <c r="D675" s="31"/>
      <c r="E675" s="31"/>
      <c r="F675" s="31"/>
      <c r="G675" s="31"/>
      <c r="H675" s="31"/>
      <c r="I675" s="33"/>
      <c r="J675" s="31"/>
      <c r="K675" s="31"/>
      <c r="L675" s="32"/>
      <c r="M675" s="32"/>
      <c r="N675" s="32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ht="13.5" customHeight="1">
      <c r="A676" s="31"/>
      <c r="B676" s="32"/>
      <c r="C676" s="31"/>
      <c r="D676" s="31"/>
      <c r="E676" s="31"/>
      <c r="F676" s="31"/>
      <c r="G676" s="31"/>
      <c r="H676" s="31"/>
      <c r="I676" s="33"/>
      <c r="J676" s="31"/>
      <c r="K676" s="31"/>
      <c r="L676" s="32"/>
      <c r="M676" s="32"/>
      <c r="N676" s="32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spans="1:27" ht="13.5" customHeight="1">
      <c r="A677" s="31"/>
      <c r="B677" s="32"/>
      <c r="C677" s="31"/>
      <c r="D677" s="31"/>
      <c r="E677" s="31"/>
      <c r="F677" s="31"/>
      <c r="G677" s="31"/>
      <c r="H677" s="31"/>
      <c r="I677" s="33"/>
      <c r="J677" s="31"/>
      <c r="K677" s="31"/>
      <c r="L677" s="32"/>
      <c r="M677" s="32"/>
      <c r="N677" s="32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spans="1:27" ht="13.5" customHeight="1">
      <c r="A678" s="31"/>
      <c r="B678" s="32"/>
      <c r="C678" s="31"/>
      <c r="D678" s="31"/>
      <c r="E678" s="31"/>
      <c r="F678" s="31"/>
      <c r="G678" s="31"/>
      <c r="H678" s="31"/>
      <c r="I678" s="33"/>
      <c r="J678" s="31"/>
      <c r="K678" s="31"/>
      <c r="L678" s="32"/>
      <c r="M678" s="32"/>
      <c r="N678" s="32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ht="13.5" customHeight="1">
      <c r="A679" s="31"/>
      <c r="B679" s="32"/>
      <c r="C679" s="31"/>
      <c r="D679" s="31"/>
      <c r="E679" s="31"/>
      <c r="F679" s="31"/>
      <c r="G679" s="31"/>
      <c r="H679" s="31"/>
      <c r="I679" s="33"/>
      <c r="J679" s="31"/>
      <c r="K679" s="31"/>
      <c r="L679" s="32"/>
      <c r="M679" s="32"/>
      <c r="N679" s="32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ht="13.5" customHeight="1">
      <c r="A680" s="31"/>
      <c r="B680" s="32"/>
      <c r="C680" s="31"/>
      <c r="D680" s="31"/>
      <c r="E680" s="31"/>
      <c r="F680" s="31"/>
      <c r="G680" s="31"/>
      <c r="H680" s="31"/>
      <c r="I680" s="33"/>
      <c r="J680" s="31"/>
      <c r="K680" s="31"/>
      <c r="L680" s="32"/>
      <c r="M680" s="32"/>
      <c r="N680" s="32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ht="13.5" customHeight="1">
      <c r="A681" s="31"/>
      <c r="B681" s="32"/>
      <c r="C681" s="31"/>
      <c r="D681" s="31"/>
      <c r="E681" s="31"/>
      <c r="F681" s="31"/>
      <c r="G681" s="31"/>
      <c r="H681" s="31"/>
      <c r="I681" s="33"/>
      <c r="J681" s="31"/>
      <c r="K681" s="31"/>
      <c r="L681" s="32"/>
      <c r="M681" s="32"/>
      <c r="N681" s="32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ht="13.5" customHeight="1">
      <c r="A682" s="31"/>
      <c r="B682" s="32"/>
      <c r="C682" s="31"/>
      <c r="D682" s="31"/>
      <c r="E682" s="31"/>
      <c r="F682" s="31"/>
      <c r="G682" s="31"/>
      <c r="H682" s="31"/>
      <c r="I682" s="33"/>
      <c r="J682" s="31"/>
      <c r="K682" s="31"/>
      <c r="L682" s="32"/>
      <c r="M682" s="32"/>
      <c r="N682" s="32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ht="13.5" customHeight="1">
      <c r="A683" s="31"/>
      <c r="B683" s="32"/>
      <c r="C683" s="31"/>
      <c r="D683" s="31"/>
      <c r="E683" s="31"/>
      <c r="F683" s="31"/>
      <c r="G683" s="31"/>
      <c r="H683" s="31"/>
      <c r="I683" s="33"/>
      <c r="J683" s="31"/>
      <c r="K683" s="31"/>
      <c r="L683" s="32"/>
      <c r="M683" s="32"/>
      <c r="N683" s="32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ht="13.5" customHeight="1">
      <c r="A684" s="31"/>
      <c r="B684" s="32"/>
      <c r="C684" s="31"/>
      <c r="D684" s="31"/>
      <c r="E684" s="31"/>
      <c r="F684" s="31"/>
      <c r="G684" s="31"/>
      <c r="H684" s="31"/>
      <c r="I684" s="33"/>
      <c r="J684" s="31"/>
      <c r="K684" s="31"/>
      <c r="L684" s="32"/>
      <c r="M684" s="32"/>
      <c r="N684" s="32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ht="13.5" customHeight="1">
      <c r="A685" s="31"/>
      <c r="B685" s="32"/>
      <c r="C685" s="31"/>
      <c r="D685" s="31"/>
      <c r="E685" s="31"/>
      <c r="F685" s="31"/>
      <c r="G685" s="31"/>
      <c r="H685" s="31"/>
      <c r="I685" s="33"/>
      <c r="J685" s="31"/>
      <c r="K685" s="31"/>
      <c r="L685" s="32"/>
      <c r="M685" s="32"/>
      <c r="N685" s="32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ht="13.5" customHeight="1">
      <c r="A686" s="31"/>
      <c r="B686" s="32"/>
      <c r="C686" s="31"/>
      <c r="D686" s="31"/>
      <c r="E686" s="31"/>
      <c r="F686" s="31"/>
      <c r="G686" s="31"/>
      <c r="H686" s="31"/>
      <c r="I686" s="33"/>
      <c r="J686" s="31"/>
      <c r="K686" s="31"/>
      <c r="L686" s="32"/>
      <c r="M686" s="32"/>
      <c r="N686" s="32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ht="13.5" customHeight="1">
      <c r="A687" s="31"/>
      <c r="B687" s="32"/>
      <c r="C687" s="31"/>
      <c r="D687" s="31"/>
      <c r="E687" s="31"/>
      <c r="F687" s="31"/>
      <c r="G687" s="31"/>
      <c r="H687" s="31"/>
      <c r="I687" s="33"/>
      <c r="J687" s="31"/>
      <c r="K687" s="31"/>
      <c r="L687" s="32"/>
      <c r="M687" s="32"/>
      <c r="N687" s="32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spans="1:27" ht="13.5" customHeight="1">
      <c r="A688" s="31"/>
      <c r="B688" s="32"/>
      <c r="C688" s="31"/>
      <c r="D688" s="31"/>
      <c r="E688" s="31"/>
      <c r="F688" s="31"/>
      <c r="G688" s="31"/>
      <c r="H688" s="31"/>
      <c r="I688" s="33"/>
      <c r="J688" s="31"/>
      <c r="K688" s="31"/>
      <c r="L688" s="32"/>
      <c r="M688" s="32"/>
      <c r="N688" s="32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ht="13.5" customHeight="1">
      <c r="A689" s="31"/>
      <c r="B689" s="32"/>
      <c r="C689" s="31"/>
      <c r="D689" s="31"/>
      <c r="E689" s="31"/>
      <c r="F689" s="31"/>
      <c r="G689" s="31"/>
      <c r="H689" s="31"/>
      <c r="I689" s="33"/>
      <c r="J689" s="31"/>
      <c r="K689" s="31"/>
      <c r="L689" s="32"/>
      <c r="M689" s="32"/>
      <c r="N689" s="32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ht="13.5" customHeight="1">
      <c r="A690" s="31"/>
      <c r="B690" s="32"/>
      <c r="C690" s="31"/>
      <c r="D690" s="31"/>
      <c r="E690" s="31"/>
      <c r="F690" s="31"/>
      <c r="G690" s="31"/>
      <c r="H690" s="31"/>
      <c r="I690" s="33"/>
      <c r="J690" s="31"/>
      <c r="K690" s="31"/>
      <c r="L690" s="32"/>
      <c r="M690" s="32"/>
      <c r="N690" s="32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ht="13.5" customHeight="1">
      <c r="A691" s="31"/>
      <c r="B691" s="32"/>
      <c r="C691" s="31"/>
      <c r="D691" s="31"/>
      <c r="E691" s="31"/>
      <c r="F691" s="31"/>
      <c r="G691" s="31"/>
      <c r="H691" s="31"/>
      <c r="I691" s="33"/>
      <c r="J691" s="31"/>
      <c r="K691" s="31"/>
      <c r="L691" s="32"/>
      <c r="M691" s="32"/>
      <c r="N691" s="32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ht="13.5" customHeight="1">
      <c r="A692" s="31"/>
      <c r="B692" s="32"/>
      <c r="C692" s="31"/>
      <c r="D692" s="31"/>
      <c r="E692" s="31"/>
      <c r="F692" s="31"/>
      <c r="G692" s="31"/>
      <c r="H692" s="31"/>
      <c r="I692" s="33"/>
      <c r="J692" s="31"/>
      <c r="K692" s="31"/>
      <c r="L692" s="32"/>
      <c r="M692" s="32"/>
      <c r="N692" s="32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ht="13.5" customHeight="1">
      <c r="A693" s="31"/>
      <c r="B693" s="32"/>
      <c r="C693" s="31"/>
      <c r="D693" s="31"/>
      <c r="E693" s="31"/>
      <c r="F693" s="31"/>
      <c r="G693" s="31"/>
      <c r="H693" s="31"/>
      <c r="I693" s="33"/>
      <c r="J693" s="31"/>
      <c r="K693" s="31"/>
      <c r="L693" s="32"/>
      <c r="M693" s="32"/>
      <c r="N693" s="32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spans="1:27" ht="13.5" customHeight="1">
      <c r="A694" s="31"/>
      <c r="B694" s="32"/>
      <c r="C694" s="31"/>
      <c r="D694" s="31"/>
      <c r="E694" s="31"/>
      <c r="F694" s="31"/>
      <c r="G694" s="31"/>
      <c r="H694" s="31"/>
      <c r="I694" s="33"/>
      <c r="J694" s="31"/>
      <c r="K694" s="31"/>
      <c r="L694" s="32"/>
      <c r="M694" s="32"/>
      <c r="N694" s="32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ht="13.5" customHeight="1">
      <c r="A695" s="31"/>
      <c r="B695" s="32"/>
      <c r="C695" s="31"/>
      <c r="D695" s="31"/>
      <c r="E695" s="31"/>
      <c r="F695" s="31"/>
      <c r="G695" s="31"/>
      <c r="H695" s="31"/>
      <c r="I695" s="33"/>
      <c r="J695" s="31"/>
      <c r="K695" s="31"/>
      <c r="L695" s="32"/>
      <c r="M695" s="32"/>
      <c r="N695" s="32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ht="13.5" customHeight="1">
      <c r="A696" s="31"/>
      <c r="B696" s="32"/>
      <c r="C696" s="31"/>
      <c r="D696" s="31"/>
      <c r="E696" s="31"/>
      <c r="F696" s="31"/>
      <c r="G696" s="31"/>
      <c r="H696" s="31"/>
      <c r="I696" s="33"/>
      <c r="J696" s="31"/>
      <c r="K696" s="31"/>
      <c r="L696" s="32"/>
      <c r="M696" s="32"/>
      <c r="N696" s="32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spans="1:27" ht="13.5" customHeight="1">
      <c r="A697" s="31"/>
      <c r="B697" s="32"/>
      <c r="C697" s="31"/>
      <c r="D697" s="31"/>
      <c r="E697" s="31"/>
      <c r="F697" s="31"/>
      <c r="G697" s="31"/>
      <c r="H697" s="31"/>
      <c r="I697" s="33"/>
      <c r="J697" s="31"/>
      <c r="K697" s="31"/>
      <c r="L697" s="32"/>
      <c r="M697" s="32"/>
      <c r="N697" s="32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ht="13.5" customHeight="1">
      <c r="A698" s="31"/>
      <c r="B698" s="32"/>
      <c r="C698" s="31"/>
      <c r="D698" s="31"/>
      <c r="E698" s="31"/>
      <c r="F698" s="31"/>
      <c r="G698" s="31"/>
      <c r="H698" s="31"/>
      <c r="I698" s="33"/>
      <c r="J698" s="31"/>
      <c r="K698" s="31"/>
      <c r="L698" s="32"/>
      <c r="M698" s="32"/>
      <c r="N698" s="32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ht="13.5" customHeight="1">
      <c r="A699" s="31"/>
      <c r="B699" s="32"/>
      <c r="C699" s="31"/>
      <c r="D699" s="31"/>
      <c r="E699" s="31"/>
      <c r="F699" s="31"/>
      <c r="G699" s="31"/>
      <c r="H699" s="31"/>
      <c r="I699" s="33"/>
      <c r="J699" s="31"/>
      <c r="K699" s="31"/>
      <c r="L699" s="32"/>
      <c r="M699" s="32"/>
      <c r="N699" s="32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ht="13.5" customHeight="1">
      <c r="A700" s="31"/>
      <c r="B700" s="32"/>
      <c r="C700" s="31"/>
      <c r="D700" s="31"/>
      <c r="E700" s="31"/>
      <c r="F700" s="31"/>
      <c r="G700" s="31"/>
      <c r="H700" s="31"/>
      <c r="I700" s="33"/>
      <c r="J700" s="31"/>
      <c r="K700" s="31"/>
      <c r="L700" s="32"/>
      <c r="M700" s="32"/>
      <c r="N700" s="32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spans="1:27" ht="13.5" customHeight="1">
      <c r="A701" s="31"/>
      <c r="B701" s="32"/>
      <c r="C701" s="31"/>
      <c r="D701" s="31"/>
      <c r="E701" s="31"/>
      <c r="F701" s="31"/>
      <c r="G701" s="31"/>
      <c r="H701" s="31"/>
      <c r="I701" s="33"/>
      <c r="J701" s="31"/>
      <c r="K701" s="31"/>
      <c r="L701" s="32"/>
      <c r="M701" s="32"/>
      <c r="N701" s="32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ht="13.5" customHeight="1">
      <c r="A702" s="31"/>
      <c r="B702" s="32"/>
      <c r="C702" s="31"/>
      <c r="D702" s="31"/>
      <c r="E702" s="31"/>
      <c r="F702" s="31"/>
      <c r="G702" s="31"/>
      <c r="H702" s="31"/>
      <c r="I702" s="33"/>
      <c r="J702" s="31"/>
      <c r="K702" s="31"/>
      <c r="L702" s="32"/>
      <c r="M702" s="32"/>
      <c r="N702" s="32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ht="13.5" customHeight="1">
      <c r="A703" s="31"/>
      <c r="B703" s="32"/>
      <c r="C703" s="31"/>
      <c r="D703" s="31"/>
      <c r="E703" s="31"/>
      <c r="F703" s="31"/>
      <c r="G703" s="31"/>
      <c r="H703" s="31"/>
      <c r="I703" s="33"/>
      <c r="J703" s="31"/>
      <c r="K703" s="31"/>
      <c r="L703" s="32"/>
      <c r="M703" s="32"/>
      <c r="N703" s="32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ht="13.5" customHeight="1">
      <c r="A704" s="31"/>
      <c r="B704" s="32"/>
      <c r="C704" s="31"/>
      <c r="D704" s="31"/>
      <c r="E704" s="31"/>
      <c r="F704" s="31"/>
      <c r="G704" s="31"/>
      <c r="H704" s="31"/>
      <c r="I704" s="33"/>
      <c r="J704" s="31"/>
      <c r="K704" s="31"/>
      <c r="L704" s="32"/>
      <c r="M704" s="32"/>
      <c r="N704" s="32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ht="13.5" customHeight="1">
      <c r="A705" s="31"/>
      <c r="B705" s="32"/>
      <c r="C705" s="31"/>
      <c r="D705" s="31"/>
      <c r="E705" s="31"/>
      <c r="F705" s="31"/>
      <c r="G705" s="31"/>
      <c r="H705" s="31"/>
      <c r="I705" s="33"/>
      <c r="J705" s="31"/>
      <c r="K705" s="31"/>
      <c r="L705" s="32"/>
      <c r="M705" s="32"/>
      <c r="N705" s="32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ht="13.5" customHeight="1">
      <c r="A706" s="31"/>
      <c r="B706" s="32"/>
      <c r="C706" s="31"/>
      <c r="D706" s="31"/>
      <c r="E706" s="31"/>
      <c r="F706" s="31"/>
      <c r="G706" s="31"/>
      <c r="H706" s="31"/>
      <c r="I706" s="33"/>
      <c r="J706" s="31"/>
      <c r="K706" s="31"/>
      <c r="L706" s="32"/>
      <c r="M706" s="32"/>
      <c r="N706" s="32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ht="13.5" customHeight="1">
      <c r="A707" s="31"/>
      <c r="B707" s="32"/>
      <c r="C707" s="31"/>
      <c r="D707" s="31"/>
      <c r="E707" s="31"/>
      <c r="F707" s="31"/>
      <c r="G707" s="31"/>
      <c r="H707" s="31"/>
      <c r="I707" s="33"/>
      <c r="J707" s="31"/>
      <c r="K707" s="31"/>
      <c r="L707" s="32"/>
      <c r="M707" s="32"/>
      <c r="N707" s="32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ht="13.5" customHeight="1">
      <c r="A708" s="31"/>
      <c r="B708" s="32"/>
      <c r="C708" s="31"/>
      <c r="D708" s="31"/>
      <c r="E708" s="31"/>
      <c r="F708" s="31"/>
      <c r="G708" s="31"/>
      <c r="H708" s="31"/>
      <c r="I708" s="33"/>
      <c r="J708" s="31"/>
      <c r="K708" s="31"/>
      <c r="L708" s="32"/>
      <c r="M708" s="32"/>
      <c r="N708" s="32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spans="1:27" ht="13.5" customHeight="1">
      <c r="A709" s="31"/>
      <c r="B709" s="32"/>
      <c r="C709" s="31"/>
      <c r="D709" s="31"/>
      <c r="E709" s="31"/>
      <c r="F709" s="31"/>
      <c r="G709" s="31"/>
      <c r="H709" s="31"/>
      <c r="I709" s="33"/>
      <c r="J709" s="31"/>
      <c r="K709" s="31"/>
      <c r="L709" s="32"/>
      <c r="M709" s="32"/>
      <c r="N709" s="32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ht="13.5" customHeight="1">
      <c r="A710" s="31"/>
      <c r="B710" s="32"/>
      <c r="C710" s="31"/>
      <c r="D710" s="31"/>
      <c r="E710" s="31"/>
      <c r="F710" s="31"/>
      <c r="G710" s="31"/>
      <c r="H710" s="31"/>
      <c r="I710" s="33"/>
      <c r="J710" s="31"/>
      <c r="K710" s="31"/>
      <c r="L710" s="32"/>
      <c r="M710" s="32"/>
      <c r="N710" s="32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spans="1:27" ht="13.5" customHeight="1">
      <c r="A711" s="31"/>
      <c r="B711" s="32"/>
      <c r="C711" s="31"/>
      <c r="D711" s="31"/>
      <c r="E711" s="31"/>
      <c r="F711" s="31"/>
      <c r="G711" s="31"/>
      <c r="H711" s="31"/>
      <c r="I711" s="33"/>
      <c r="J711" s="31"/>
      <c r="K711" s="31"/>
      <c r="L711" s="32"/>
      <c r="M711" s="32"/>
      <c r="N711" s="32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ht="13.5" customHeight="1">
      <c r="A712" s="31"/>
      <c r="B712" s="32"/>
      <c r="C712" s="31"/>
      <c r="D712" s="31"/>
      <c r="E712" s="31"/>
      <c r="F712" s="31"/>
      <c r="G712" s="31"/>
      <c r="H712" s="31"/>
      <c r="I712" s="33"/>
      <c r="J712" s="31"/>
      <c r="K712" s="31"/>
      <c r="L712" s="32"/>
      <c r="M712" s="32"/>
      <c r="N712" s="32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ht="13.5" customHeight="1">
      <c r="A713" s="31"/>
      <c r="B713" s="32"/>
      <c r="C713" s="31"/>
      <c r="D713" s="31"/>
      <c r="E713" s="31"/>
      <c r="F713" s="31"/>
      <c r="G713" s="31"/>
      <c r="H713" s="31"/>
      <c r="I713" s="33"/>
      <c r="J713" s="31"/>
      <c r="K713" s="31"/>
      <c r="L713" s="32"/>
      <c r="M713" s="32"/>
      <c r="N713" s="32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ht="13.5" customHeight="1">
      <c r="A714" s="31"/>
      <c r="B714" s="32"/>
      <c r="C714" s="31"/>
      <c r="D714" s="31"/>
      <c r="E714" s="31"/>
      <c r="F714" s="31"/>
      <c r="G714" s="31"/>
      <c r="H714" s="31"/>
      <c r="I714" s="33"/>
      <c r="J714" s="31"/>
      <c r="K714" s="31"/>
      <c r="L714" s="32"/>
      <c r="M714" s="32"/>
      <c r="N714" s="32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ht="13.5" customHeight="1">
      <c r="A715" s="31"/>
      <c r="B715" s="32"/>
      <c r="C715" s="31"/>
      <c r="D715" s="31"/>
      <c r="E715" s="31"/>
      <c r="F715" s="31"/>
      <c r="G715" s="31"/>
      <c r="H715" s="31"/>
      <c r="I715" s="33"/>
      <c r="J715" s="31"/>
      <c r="K715" s="31"/>
      <c r="L715" s="32"/>
      <c r="M715" s="32"/>
      <c r="N715" s="32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ht="13.5" customHeight="1">
      <c r="A716" s="31"/>
      <c r="B716" s="32"/>
      <c r="C716" s="31"/>
      <c r="D716" s="31"/>
      <c r="E716" s="31"/>
      <c r="F716" s="31"/>
      <c r="G716" s="31"/>
      <c r="H716" s="31"/>
      <c r="I716" s="33"/>
      <c r="J716" s="31"/>
      <c r="K716" s="31"/>
      <c r="L716" s="32"/>
      <c r="M716" s="32"/>
      <c r="N716" s="32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ht="13.5" customHeight="1">
      <c r="A717" s="31"/>
      <c r="B717" s="32"/>
      <c r="C717" s="31"/>
      <c r="D717" s="31"/>
      <c r="E717" s="31"/>
      <c r="F717" s="31"/>
      <c r="G717" s="31"/>
      <c r="H717" s="31"/>
      <c r="I717" s="33"/>
      <c r="J717" s="31"/>
      <c r="K717" s="31"/>
      <c r="L717" s="32"/>
      <c r="M717" s="32"/>
      <c r="N717" s="32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ht="13.5" customHeight="1">
      <c r="A718" s="31"/>
      <c r="B718" s="32"/>
      <c r="C718" s="31"/>
      <c r="D718" s="31"/>
      <c r="E718" s="31"/>
      <c r="F718" s="31"/>
      <c r="G718" s="31"/>
      <c r="H718" s="31"/>
      <c r="I718" s="33"/>
      <c r="J718" s="31"/>
      <c r="K718" s="31"/>
      <c r="L718" s="32"/>
      <c r="M718" s="32"/>
      <c r="N718" s="32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ht="13.5" customHeight="1">
      <c r="A719" s="31"/>
      <c r="B719" s="32"/>
      <c r="C719" s="31"/>
      <c r="D719" s="31"/>
      <c r="E719" s="31"/>
      <c r="F719" s="31"/>
      <c r="G719" s="31"/>
      <c r="H719" s="31"/>
      <c r="I719" s="33"/>
      <c r="J719" s="31"/>
      <c r="K719" s="31"/>
      <c r="L719" s="32"/>
      <c r="M719" s="32"/>
      <c r="N719" s="32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ht="13.5" customHeight="1">
      <c r="A720" s="31"/>
      <c r="B720" s="32"/>
      <c r="C720" s="31"/>
      <c r="D720" s="31"/>
      <c r="E720" s="31"/>
      <c r="F720" s="31"/>
      <c r="G720" s="31"/>
      <c r="H720" s="31"/>
      <c r="I720" s="33"/>
      <c r="J720" s="31"/>
      <c r="K720" s="31"/>
      <c r="L720" s="32"/>
      <c r="M720" s="32"/>
      <c r="N720" s="32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ht="13.5" customHeight="1">
      <c r="A721" s="31"/>
      <c r="B721" s="32"/>
      <c r="C721" s="31"/>
      <c r="D721" s="31"/>
      <c r="E721" s="31"/>
      <c r="F721" s="31"/>
      <c r="G721" s="31"/>
      <c r="H721" s="31"/>
      <c r="I721" s="33"/>
      <c r="J721" s="31"/>
      <c r="K721" s="31"/>
      <c r="L721" s="32"/>
      <c r="M721" s="32"/>
      <c r="N721" s="32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ht="13.5" customHeight="1">
      <c r="A722" s="31"/>
      <c r="B722" s="32"/>
      <c r="C722" s="31"/>
      <c r="D722" s="31"/>
      <c r="E722" s="31"/>
      <c r="F722" s="31"/>
      <c r="G722" s="31"/>
      <c r="H722" s="31"/>
      <c r="I722" s="33"/>
      <c r="J722" s="31"/>
      <c r="K722" s="31"/>
      <c r="L722" s="32"/>
      <c r="M722" s="32"/>
      <c r="N722" s="32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ht="13.5" customHeight="1">
      <c r="A723" s="31"/>
      <c r="B723" s="32"/>
      <c r="C723" s="31"/>
      <c r="D723" s="31"/>
      <c r="E723" s="31"/>
      <c r="F723" s="31"/>
      <c r="G723" s="31"/>
      <c r="H723" s="31"/>
      <c r="I723" s="33"/>
      <c r="J723" s="31"/>
      <c r="K723" s="31"/>
      <c r="L723" s="32"/>
      <c r="M723" s="32"/>
      <c r="N723" s="32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ht="13.5" customHeight="1">
      <c r="A724" s="31"/>
      <c r="B724" s="32"/>
      <c r="C724" s="31"/>
      <c r="D724" s="31"/>
      <c r="E724" s="31"/>
      <c r="F724" s="31"/>
      <c r="G724" s="31"/>
      <c r="H724" s="31"/>
      <c r="I724" s="33"/>
      <c r="J724" s="31"/>
      <c r="K724" s="31"/>
      <c r="L724" s="32"/>
      <c r="M724" s="32"/>
      <c r="N724" s="32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ht="13.5" customHeight="1">
      <c r="A725" s="31"/>
      <c r="B725" s="32"/>
      <c r="C725" s="31"/>
      <c r="D725" s="31"/>
      <c r="E725" s="31"/>
      <c r="F725" s="31"/>
      <c r="G725" s="31"/>
      <c r="H725" s="31"/>
      <c r="I725" s="33"/>
      <c r="J725" s="31"/>
      <c r="K725" s="31"/>
      <c r="L725" s="32"/>
      <c r="M725" s="32"/>
      <c r="N725" s="32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ht="13.5" customHeight="1">
      <c r="A726" s="31"/>
      <c r="B726" s="32"/>
      <c r="C726" s="31"/>
      <c r="D726" s="31"/>
      <c r="E726" s="31"/>
      <c r="F726" s="31"/>
      <c r="G726" s="31"/>
      <c r="H726" s="31"/>
      <c r="I726" s="33"/>
      <c r="J726" s="31"/>
      <c r="K726" s="31"/>
      <c r="L726" s="32"/>
      <c r="M726" s="32"/>
      <c r="N726" s="32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ht="13.5" customHeight="1">
      <c r="A727" s="31"/>
      <c r="B727" s="32"/>
      <c r="C727" s="31"/>
      <c r="D727" s="31"/>
      <c r="E727" s="31"/>
      <c r="F727" s="31"/>
      <c r="G727" s="31"/>
      <c r="H727" s="31"/>
      <c r="I727" s="33"/>
      <c r="J727" s="31"/>
      <c r="K727" s="31"/>
      <c r="L727" s="32"/>
      <c r="M727" s="32"/>
      <c r="N727" s="32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ht="13.5" customHeight="1">
      <c r="A728" s="31"/>
      <c r="B728" s="32"/>
      <c r="C728" s="31"/>
      <c r="D728" s="31"/>
      <c r="E728" s="31"/>
      <c r="F728" s="31"/>
      <c r="G728" s="31"/>
      <c r="H728" s="31"/>
      <c r="I728" s="33"/>
      <c r="J728" s="31"/>
      <c r="K728" s="31"/>
      <c r="L728" s="32"/>
      <c r="M728" s="32"/>
      <c r="N728" s="32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ht="13.5" customHeight="1">
      <c r="A729" s="31"/>
      <c r="B729" s="32"/>
      <c r="C729" s="31"/>
      <c r="D729" s="31"/>
      <c r="E729" s="31"/>
      <c r="F729" s="31"/>
      <c r="G729" s="31"/>
      <c r="H729" s="31"/>
      <c r="I729" s="33"/>
      <c r="J729" s="31"/>
      <c r="K729" s="31"/>
      <c r="L729" s="32"/>
      <c r="M729" s="32"/>
      <c r="N729" s="32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ht="13.5" customHeight="1">
      <c r="A730" s="31"/>
      <c r="B730" s="32"/>
      <c r="C730" s="31"/>
      <c r="D730" s="31"/>
      <c r="E730" s="31"/>
      <c r="F730" s="31"/>
      <c r="G730" s="31"/>
      <c r="H730" s="31"/>
      <c r="I730" s="33"/>
      <c r="J730" s="31"/>
      <c r="K730" s="31"/>
      <c r="L730" s="32"/>
      <c r="M730" s="32"/>
      <c r="N730" s="32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ht="13.5" customHeight="1">
      <c r="A731" s="31"/>
      <c r="B731" s="32"/>
      <c r="C731" s="31"/>
      <c r="D731" s="31"/>
      <c r="E731" s="31"/>
      <c r="F731" s="31"/>
      <c r="G731" s="31"/>
      <c r="H731" s="31"/>
      <c r="I731" s="33"/>
      <c r="J731" s="31"/>
      <c r="K731" s="31"/>
      <c r="L731" s="32"/>
      <c r="M731" s="32"/>
      <c r="N731" s="32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ht="13.5" customHeight="1">
      <c r="A732" s="31"/>
      <c r="B732" s="32"/>
      <c r="C732" s="31"/>
      <c r="D732" s="31"/>
      <c r="E732" s="31"/>
      <c r="F732" s="31"/>
      <c r="G732" s="31"/>
      <c r="H732" s="31"/>
      <c r="I732" s="33"/>
      <c r="J732" s="31"/>
      <c r="K732" s="31"/>
      <c r="L732" s="32"/>
      <c r="M732" s="32"/>
      <c r="N732" s="32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ht="13.5" customHeight="1">
      <c r="A733" s="31"/>
      <c r="B733" s="32"/>
      <c r="C733" s="31"/>
      <c r="D733" s="31"/>
      <c r="E733" s="31"/>
      <c r="F733" s="31"/>
      <c r="G733" s="31"/>
      <c r="H733" s="31"/>
      <c r="I733" s="33"/>
      <c r="J733" s="31"/>
      <c r="K733" s="31"/>
      <c r="L733" s="32"/>
      <c r="M733" s="32"/>
      <c r="N733" s="32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spans="1:27" ht="13.5" customHeight="1">
      <c r="A734" s="31"/>
      <c r="B734" s="32"/>
      <c r="C734" s="31"/>
      <c r="D734" s="31"/>
      <c r="E734" s="31"/>
      <c r="F734" s="31"/>
      <c r="G734" s="31"/>
      <c r="H734" s="31"/>
      <c r="I734" s="33"/>
      <c r="J734" s="31"/>
      <c r="K734" s="31"/>
      <c r="L734" s="32"/>
      <c r="M734" s="32"/>
      <c r="N734" s="32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ht="13.5" customHeight="1">
      <c r="A735" s="31"/>
      <c r="B735" s="32"/>
      <c r="C735" s="31"/>
      <c r="D735" s="31"/>
      <c r="E735" s="31"/>
      <c r="F735" s="31"/>
      <c r="G735" s="31"/>
      <c r="H735" s="31"/>
      <c r="I735" s="33"/>
      <c r="J735" s="31"/>
      <c r="K735" s="31"/>
      <c r="L735" s="32"/>
      <c r="M735" s="32"/>
      <c r="N735" s="32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ht="13.5" customHeight="1">
      <c r="A736" s="31"/>
      <c r="B736" s="32"/>
      <c r="C736" s="31"/>
      <c r="D736" s="31"/>
      <c r="E736" s="31"/>
      <c r="F736" s="31"/>
      <c r="G736" s="31"/>
      <c r="H736" s="31"/>
      <c r="I736" s="33"/>
      <c r="J736" s="31"/>
      <c r="K736" s="31"/>
      <c r="L736" s="32"/>
      <c r="M736" s="32"/>
      <c r="N736" s="32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ht="13.5" customHeight="1">
      <c r="A737" s="31"/>
      <c r="B737" s="32"/>
      <c r="C737" s="31"/>
      <c r="D737" s="31"/>
      <c r="E737" s="31"/>
      <c r="F737" s="31"/>
      <c r="G737" s="31"/>
      <c r="H737" s="31"/>
      <c r="I737" s="33"/>
      <c r="J737" s="31"/>
      <c r="K737" s="31"/>
      <c r="L737" s="32"/>
      <c r="M737" s="32"/>
      <c r="N737" s="32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ht="13.5" customHeight="1">
      <c r="A738" s="31"/>
      <c r="B738" s="32"/>
      <c r="C738" s="31"/>
      <c r="D738" s="31"/>
      <c r="E738" s="31"/>
      <c r="F738" s="31"/>
      <c r="G738" s="31"/>
      <c r="H738" s="31"/>
      <c r="I738" s="33"/>
      <c r="J738" s="31"/>
      <c r="K738" s="31"/>
      <c r="L738" s="32"/>
      <c r="M738" s="32"/>
      <c r="N738" s="32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ht="13.5" customHeight="1">
      <c r="A739" s="31"/>
      <c r="B739" s="32"/>
      <c r="C739" s="31"/>
      <c r="D739" s="31"/>
      <c r="E739" s="31"/>
      <c r="F739" s="31"/>
      <c r="G739" s="31"/>
      <c r="H739" s="31"/>
      <c r="I739" s="33"/>
      <c r="J739" s="31"/>
      <c r="K739" s="31"/>
      <c r="L739" s="32"/>
      <c r="M739" s="32"/>
      <c r="N739" s="32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ht="13.5" customHeight="1">
      <c r="A740" s="31"/>
      <c r="B740" s="32"/>
      <c r="C740" s="31"/>
      <c r="D740" s="31"/>
      <c r="E740" s="31"/>
      <c r="F740" s="31"/>
      <c r="G740" s="31"/>
      <c r="H740" s="31"/>
      <c r="I740" s="33"/>
      <c r="J740" s="31"/>
      <c r="K740" s="31"/>
      <c r="L740" s="32"/>
      <c r="M740" s="32"/>
      <c r="N740" s="32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spans="1:27" ht="13.5" customHeight="1">
      <c r="A741" s="31"/>
      <c r="B741" s="32"/>
      <c r="C741" s="31"/>
      <c r="D741" s="31"/>
      <c r="E741" s="31"/>
      <c r="F741" s="31"/>
      <c r="G741" s="31"/>
      <c r="H741" s="31"/>
      <c r="I741" s="33"/>
      <c r="J741" s="31"/>
      <c r="K741" s="31"/>
      <c r="L741" s="32"/>
      <c r="M741" s="32"/>
      <c r="N741" s="32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ht="13.5" customHeight="1">
      <c r="A742" s="31"/>
      <c r="B742" s="32"/>
      <c r="C742" s="31"/>
      <c r="D742" s="31"/>
      <c r="E742" s="31"/>
      <c r="F742" s="31"/>
      <c r="G742" s="31"/>
      <c r="H742" s="31"/>
      <c r="I742" s="33"/>
      <c r="J742" s="31"/>
      <c r="K742" s="31"/>
      <c r="L742" s="32"/>
      <c r="M742" s="32"/>
      <c r="N742" s="32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ht="13.5" customHeight="1">
      <c r="A743" s="31"/>
      <c r="B743" s="32"/>
      <c r="C743" s="31"/>
      <c r="D743" s="31"/>
      <c r="E743" s="31"/>
      <c r="F743" s="31"/>
      <c r="G743" s="31"/>
      <c r="H743" s="31"/>
      <c r="I743" s="33"/>
      <c r="J743" s="31"/>
      <c r="K743" s="31"/>
      <c r="L743" s="32"/>
      <c r="M743" s="32"/>
      <c r="N743" s="32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ht="13.5" customHeight="1">
      <c r="A744" s="31"/>
      <c r="B744" s="32"/>
      <c r="C744" s="31"/>
      <c r="D744" s="31"/>
      <c r="E744" s="31"/>
      <c r="F744" s="31"/>
      <c r="G744" s="31"/>
      <c r="H744" s="31"/>
      <c r="I744" s="33"/>
      <c r="J744" s="31"/>
      <c r="K744" s="31"/>
      <c r="L744" s="32"/>
      <c r="M744" s="32"/>
      <c r="N744" s="32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ht="13.5" customHeight="1">
      <c r="A745" s="31"/>
      <c r="B745" s="32"/>
      <c r="C745" s="31"/>
      <c r="D745" s="31"/>
      <c r="E745" s="31"/>
      <c r="F745" s="31"/>
      <c r="G745" s="31"/>
      <c r="H745" s="31"/>
      <c r="I745" s="33"/>
      <c r="J745" s="31"/>
      <c r="K745" s="31"/>
      <c r="L745" s="32"/>
      <c r="M745" s="32"/>
      <c r="N745" s="32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ht="13.5" customHeight="1">
      <c r="A746" s="31"/>
      <c r="B746" s="32"/>
      <c r="C746" s="31"/>
      <c r="D746" s="31"/>
      <c r="E746" s="31"/>
      <c r="F746" s="31"/>
      <c r="G746" s="31"/>
      <c r="H746" s="31"/>
      <c r="I746" s="33"/>
      <c r="J746" s="31"/>
      <c r="K746" s="31"/>
      <c r="L746" s="32"/>
      <c r="M746" s="32"/>
      <c r="N746" s="32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ht="13.5" customHeight="1">
      <c r="A747" s="31"/>
      <c r="B747" s="32"/>
      <c r="C747" s="31"/>
      <c r="D747" s="31"/>
      <c r="E747" s="31"/>
      <c r="F747" s="31"/>
      <c r="G747" s="31"/>
      <c r="H747" s="31"/>
      <c r="I747" s="33"/>
      <c r="J747" s="31"/>
      <c r="K747" s="31"/>
      <c r="L747" s="32"/>
      <c r="M747" s="32"/>
      <c r="N747" s="32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spans="1:27" ht="13.5" customHeight="1">
      <c r="A748" s="31"/>
      <c r="B748" s="32"/>
      <c r="C748" s="31"/>
      <c r="D748" s="31"/>
      <c r="E748" s="31"/>
      <c r="F748" s="31"/>
      <c r="G748" s="31"/>
      <c r="H748" s="31"/>
      <c r="I748" s="33"/>
      <c r="J748" s="31"/>
      <c r="K748" s="31"/>
      <c r="L748" s="32"/>
      <c r="M748" s="32"/>
      <c r="N748" s="32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ht="13.5" customHeight="1">
      <c r="A749" s="31"/>
      <c r="B749" s="32"/>
      <c r="C749" s="31"/>
      <c r="D749" s="31"/>
      <c r="E749" s="31"/>
      <c r="F749" s="31"/>
      <c r="G749" s="31"/>
      <c r="H749" s="31"/>
      <c r="I749" s="33"/>
      <c r="J749" s="31"/>
      <c r="K749" s="31"/>
      <c r="L749" s="32"/>
      <c r="M749" s="32"/>
      <c r="N749" s="32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ht="13.5" customHeight="1">
      <c r="A750" s="31"/>
      <c r="B750" s="32"/>
      <c r="C750" s="31"/>
      <c r="D750" s="31"/>
      <c r="E750" s="31"/>
      <c r="F750" s="31"/>
      <c r="G750" s="31"/>
      <c r="H750" s="31"/>
      <c r="I750" s="33"/>
      <c r="J750" s="31"/>
      <c r="K750" s="31"/>
      <c r="L750" s="32"/>
      <c r="M750" s="32"/>
      <c r="N750" s="32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ht="13.5" customHeight="1">
      <c r="A751" s="31"/>
      <c r="B751" s="32"/>
      <c r="C751" s="31"/>
      <c r="D751" s="31"/>
      <c r="E751" s="31"/>
      <c r="F751" s="31"/>
      <c r="G751" s="31"/>
      <c r="H751" s="31"/>
      <c r="I751" s="33"/>
      <c r="J751" s="31"/>
      <c r="K751" s="31"/>
      <c r="L751" s="32"/>
      <c r="M751" s="32"/>
      <c r="N751" s="32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ht="13.5" customHeight="1">
      <c r="A752" s="31"/>
      <c r="B752" s="32"/>
      <c r="C752" s="31"/>
      <c r="D752" s="31"/>
      <c r="E752" s="31"/>
      <c r="F752" s="31"/>
      <c r="G752" s="31"/>
      <c r="H752" s="31"/>
      <c r="I752" s="33"/>
      <c r="J752" s="31"/>
      <c r="K752" s="31"/>
      <c r="L752" s="32"/>
      <c r="M752" s="32"/>
      <c r="N752" s="32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ht="13.5" customHeight="1">
      <c r="A753" s="31"/>
      <c r="B753" s="32"/>
      <c r="C753" s="31"/>
      <c r="D753" s="31"/>
      <c r="E753" s="31"/>
      <c r="F753" s="31"/>
      <c r="G753" s="31"/>
      <c r="H753" s="31"/>
      <c r="I753" s="33"/>
      <c r="J753" s="31"/>
      <c r="K753" s="31"/>
      <c r="L753" s="32"/>
      <c r="M753" s="32"/>
      <c r="N753" s="32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ht="13.5" customHeight="1">
      <c r="A754" s="31"/>
      <c r="B754" s="32"/>
      <c r="C754" s="31"/>
      <c r="D754" s="31"/>
      <c r="E754" s="31"/>
      <c r="F754" s="31"/>
      <c r="G754" s="31"/>
      <c r="H754" s="31"/>
      <c r="I754" s="33"/>
      <c r="J754" s="31"/>
      <c r="K754" s="31"/>
      <c r="L754" s="32"/>
      <c r="M754" s="32"/>
      <c r="N754" s="32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ht="13.5" customHeight="1">
      <c r="A755" s="31"/>
      <c r="B755" s="32"/>
      <c r="C755" s="31"/>
      <c r="D755" s="31"/>
      <c r="E755" s="31"/>
      <c r="F755" s="31"/>
      <c r="G755" s="31"/>
      <c r="H755" s="31"/>
      <c r="I755" s="33"/>
      <c r="J755" s="31"/>
      <c r="K755" s="31"/>
      <c r="L755" s="32"/>
      <c r="M755" s="32"/>
      <c r="N755" s="32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ht="13.5" customHeight="1">
      <c r="A756" s="31"/>
      <c r="B756" s="32"/>
      <c r="C756" s="31"/>
      <c r="D756" s="31"/>
      <c r="E756" s="31"/>
      <c r="F756" s="31"/>
      <c r="G756" s="31"/>
      <c r="H756" s="31"/>
      <c r="I756" s="33"/>
      <c r="J756" s="31"/>
      <c r="K756" s="31"/>
      <c r="L756" s="32"/>
      <c r="M756" s="32"/>
      <c r="N756" s="32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ht="13.5" customHeight="1">
      <c r="A757" s="31"/>
      <c r="B757" s="32"/>
      <c r="C757" s="31"/>
      <c r="D757" s="31"/>
      <c r="E757" s="31"/>
      <c r="F757" s="31"/>
      <c r="G757" s="31"/>
      <c r="H757" s="31"/>
      <c r="I757" s="33"/>
      <c r="J757" s="31"/>
      <c r="K757" s="31"/>
      <c r="L757" s="32"/>
      <c r="M757" s="32"/>
      <c r="N757" s="32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ht="13.5" customHeight="1">
      <c r="A758" s="31"/>
      <c r="B758" s="32"/>
      <c r="C758" s="31"/>
      <c r="D758" s="31"/>
      <c r="E758" s="31"/>
      <c r="F758" s="31"/>
      <c r="G758" s="31"/>
      <c r="H758" s="31"/>
      <c r="I758" s="33"/>
      <c r="J758" s="31"/>
      <c r="K758" s="31"/>
      <c r="L758" s="32"/>
      <c r="M758" s="32"/>
      <c r="N758" s="32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spans="1:27" ht="13.5" customHeight="1">
      <c r="A759" s="31"/>
      <c r="B759" s="32"/>
      <c r="C759" s="31"/>
      <c r="D759" s="31"/>
      <c r="E759" s="31"/>
      <c r="F759" s="31"/>
      <c r="G759" s="31"/>
      <c r="H759" s="31"/>
      <c r="I759" s="33"/>
      <c r="J759" s="31"/>
      <c r="K759" s="31"/>
      <c r="L759" s="32"/>
      <c r="M759" s="32"/>
      <c r="N759" s="32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spans="1:27" ht="13.5" customHeight="1">
      <c r="A760" s="31"/>
      <c r="B760" s="32"/>
      <c r="C760" s="31"/>
      <c r="D760" s="31"/>
      <c r="E760" s="31"/>
      <c r="F760" s="31"/>
      <c r="G760" s="31"/>
      <c r="H760" s="31"/>
      <c r="I760" s="33"/>
      <c r="J760" s="31"/>
      <c r="K760" s="31"/>
      <c r="L760" s="32"/>
      <c r="M760" s="32"/>
      <c r="N760" s="32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spans="1:27" ht="13.5" customHeight="1">
      <c r="A761" s="31"/>
      <c r="B761" s="32"/>
      <c r="C761" s="31"/>
      <c r="D761" s="31"/>
      <c r="E761" s="31"/>
      <c r="F761" s="31"/>
      <c r="G761" s="31"/>
      <c r="H761" s="31"/>
      <c r="I761" s="33"/>
      <c r="J761" s="31"/>
      <c r="K761" s="31"/>
      <c r="L761" s="32"/>
      <c r="M761" s="32"/>
      <c r="N761" s="32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spans="1:27" ht="13.5" customHeight="1">
      <c r="A762" s="31"/>
      <c r="B762" s="32"/>
      <c r="C762" s="31"/>
      <c r="D762" s="31"/>
      <c r="E762" s="31"/>
      <c r="F762" s="31"/>
      <c r="G762" s="31"/>
      <c r="H762" s="31"/>
      <c r="I762" s="33"/>
      <c r="J762" s="31"/>
      <c r="K762" s="31"/>
      <c r="L762" s="32"/>
      <c r="M762" s="32"/>
      <c r="N762" s="32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spans="1:27" ht="13.5" customHeight="1">
      <c r="A763" s="31"/>
      <c r="B763" s="32"/>
      <c r="C763" s="31"/>
      <c r="D763" s="31"/>
      <c r="E763" s="31"/>
      <c r="F763" s="31"/>
      <c r="G763" s="31"/>
      <c r="H763" s="31"/>
      <c r="I763" s="33"/>
      <c r="J763" s="31"/>
      <c r="K763" s="31"/>
      <c r="L763" s="32"/>
      <c r="M763" s="32"/>
      <c r="N763" s="32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spans="1:27" ht="13.5" customHeight="1">
      <c r="A764" s="31"/>
      <c r="B764" s="32"/>
      <c r="C764" s="31"/>
      <c r="D764" s="31"/>
      <c r="E764" s="31"/>
      <c r="F764" s="31"/>
      <c r="G764" s="31"/>
      <c r="H764" s="31"/>
      <c r="I764" s="33"/>
      <c r="J764" s="31"/>
      <c r="K764" s="31"/>
      <c r="L764" s="32"/>
      <c r="M764" s="32"/>
      <c r="N764" s="32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spans="1:27" ht="13.5" customHeight="1">
      <c r="A765" s="31"/>
      <c r="B765" s="32"/>
      <c r="C765" s="31"/>
      <c r="D765" s="31"/>
      <c r="E765" s="31"/>
      <c r="F765" s="31"/>
      <c r="G765" s="31"/>
      <c r="H765" s="31"/>
      <c r="I765" s="33"/>
      <c r="J765" s="31"/>
      <c r="K765" s="31"/>
      <c r="L765" s="32"/>
      <c r="M765" s="32"/>
      <c r="N765" s="32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spans="1:27" ht="13.5" customHeight="1">
      <c r="A766" s="31"/>
      <c r="B766" s="32"/>
      <c r="C766" s="31"/>
      <c r="D766" s="31"/>
      <c r="E766" s="31"/>
      <c r="F766" s="31"/>
      <c r="G766" s="31"/>
      <c r="H766" s="31"/>
      <c r="I766" s="33"/>
      <c r="J766" s="31"/>
      <c r="K766" s="31"/>
      <c r="L766" s="32"/>
      <c r="M766" s="32"/>
      <c r="N766" s="32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spans="1:27" ht="13.5" customHeight="1">
      <c r="A767" s="31"/>
      <c r="B767" s="32"/>
      <c r="C767" s="31"/>
      <c r="D767" s="31"/>
      <c r="E767" s="31"/>
      <c r="F767" s="31"/>
      <c r="G767" s="31"/>
      <c r="H767" s="31"/>
      <c r="I767" s="33"/>
      <c r="J767" s="31"/>
      <c r="K767" s="31"/>
      <c r="L767" s="32"/>
      <c r="M767" s="32"/>
      <c r="N767" s="32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spans="1:27" ht="13.5" customHeight="1">
      <c r="A768" s="31"/>
      <c r="B768" s="32"/>
      <c r="C768" s="31"/>
      <c r="D768" s="31"/>
      <c r="E768" s="31"/>
      <c r="F768" s="31"/>
      <c r="G768" s="31"/>
      <c r="H768" s="31"/>
      <c r="I768" s="33"/>
      <c r="J768" s="31"/>
      <c r="K768" s="31"/>
      <c r="L768" s="32"/>
      <c r="M768" s="32"/>
      <c r="N768" s="32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spans="1:27" ht="13.5" customHeight="1">
      <c r="A769" s="31"/>
      <c r="B769" s="32"/>
      <c r="C769" s="31"/>
      <c r="D769" s="31"/>
      <c r="E769" s="31"/>
      <c r="F769" s="31"/>
      <c r="G769" s="31"/>
      <c r="H769" s="31"/>
      <c r="I769" s="33"/>
      <c r="J769" s="31"/>
      <c r="K769" s="31"/>
      <c r="L769" s="32"/>
      <c r="M769" s="32"/>
      <c r="N769" s="32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spans="1:27" ht="13.5" customHeight="1">
      <c r="A770" s="31"/>
      <c r="B770" s="32"/>
      <c r="C770" s="31"/>
      <c r="D770" s="31"/>
      <c r="E770" s="31"/>
      <c r="F770" s="31"/>
      <c r="G770" s="31"/>
      <c r="H770" s="31"/>
      <c r="I770" s="33"/>
      <c r="J770" s="31"/>
      <c r="K770" s="31"/>
      <c r="L770" s="32"/>
      <c r="M770" s="32"/>
      <c r="N770" s="32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spans="1:27" ht="13.5" customHeight="1">
      <c r="A771" s="31"/>
      <c r="B771" s="32"/>
      <c r="C771" s="31"/>
      <c r="D771" s="31"/>
      <c r="E771" s="31"/>
      <c r="F771" s="31"/>
      <c r="G771" s="31"/>
      <c r="H771" s="31"/>
      <c r="I771" s="33"/>
      <c r="J771" s="31"/>
      <c r="K771" s="31"/>
      <c r="L771" s="32"/>
      <c r="M771" s="32"/>
      <c r="N771" s="32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spans="1:27" ht="13.5" customHeight="1">
      <c r="A772" s="31"/>
      <c r="B772" s="32"/>
      <c r="C772" s="31"/>
      <c r="D772" s="31"/>
      <c r="E772" s="31"/>
      <c r="F772" s="31"/>
      <c r="G772" s="31"/>
      <c r="H772" s="31"/>
      <c r="I772" s="33"/>
      <c r="J772" s="31"/>
      <c r="K772" s="31"/>
      <c r="L772" s="32"/>
      <c r="M772" s="32"/>
      <c r="N772" s="32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spans="1:27" ht="13.5" customHeight="1">
      <c r="A773" s="31"/>
      <c r="B773" s="32"/>
      <c r="C773" s="31"/>
      <c r="D773" s="31"/>
      <c r="E773" s="31"/>
      <c r="F773" s="31"/>
      <c r="G773" s="31"/>
      <c r="H773" s="31"/>
      <c r="I773" s="33"/>
      <c r="J773" s="31"/>
      <c r="K773" s="31"/>
      <c r="L773" s="32"/>
      <c r="M773" s="32"/>
      <c r="N773" s="32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spans="1:27" ht="13.5" customHeight="1">
      <c r="A774" s="31"/>
      <c r="B774" s="32"/>
      <c r="C774" s="31"/>
      <c r="D774" s="31"/>
      <c r="E774" s="31"/>
      <c r="F774" s="31"/>
      <c r="G774" s="31"/>
      <c r="H774" s="31"/>
      <c r="I774" s="33"/>
      <c r="J774" s="31"/>
      <c r="K774" s="31"/>
      <c r="L774" s="32"/>
      <c r="M774" s="32"/>
      <c r="N774" s="32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spans="1:27" ht="13.5" customHeight="1">
      <c r="A775" s="31"/>
      <c r="B775" s="32"/>
      <c r="C775" s="31"/>
      <c r="D775" s="31"/>
      <c r="E775" s="31"/>
      <c r="F775" s="31"/>
      <c r="G775" s="31"/>
      <c r="H775" s="31"/>
      <c r="I775" s="33"/>
      <c r="J775" s="31"/>
      <c r="K775" s="31"/>
      <c r="L775" s="32"/>
      <c r="M775" s="32"/>
      <c r="N775" s="32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spans="1:27" ht="13.5" customHeight="1">
      <c r="A776" s="31"/>
      <c r="B776" s="32"/>
      <c r="C776" s="31"/>
      <c r="D776" s="31"/>
      <c r="E776" s="31"/>
      <c r="F776" s="31"/>
      <c r="G776" s="31"/>
      <c r="H776" s="31"/>
      <c r="I776" s="33"/>
      <c r="J776" s="31"/>
      <c r="K776" s="31"/>
      <c r="L776" s="32"/>
      <c r="M776" s="32"/>
      <c r="N776" s="32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spans="1:27" ht="13.5" customHeight="1">
      <c r="A777" s="31"/>
      <c r="B777" s="32"/>
      <c r="C777" s="31"/>
      <c r="D777" s="31"/>
      <c r="E777" s="31"/>
      <c r="F777" s="31"/>
      <c r="G777" s="31"/>
      <c r="H777" s="31"/>
      <c r="I777" s="33"/>
      <c r="J777" s="31"/>
      <c r="K777" s="31"/>
      <c r="L777" s="32"/>
      <c r="M777" s="32"/>
      <c r="N777" s="32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spans="1:27" ht="13.5" customHeight="1">
      <c r="A778" s="31"/>
      <c r="B778" s="32"/>
      <c r="C778" s="31"/>
      <c r="D778" s="31"/>
      <c r="E778" s="31"/>
      <c r="F778" s="31"/>
      <c r="G778" s="31"/>
      <c r="H778" s="31"/>
      <c r="I778" s="33"/>
      <c r="J778" s="31"/>
      <c r="K778" s="31"/>
      <c r="L778" s="32"/>
      <c r="M778" s="32"/>
      <c r="N778" s="32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spans="1:27" ht="13.5" customHeight="1">
      <c r="A779" s="31"/>
      <c r="B779" s="32"/>
      <c r="C779" s="31"/>
      <c r="D779" s="31"/>
      <c r="E779" s="31"/>
      <c r="F779" s="31"/>
      <c r="G779" s="31"/>
      <c r="H779" s="31"/>
      <c r="I779" s="33"/>
      <c r="J779" s="31"/>
      <c r="K779" s="31"/>
      <c r="L779" s="32"/>
      <c r="M779" s="32"/>
      <c r="N779" s="32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spans="1:27" ht="13.5" customHeight="1">
      <c r="A780" s="31"/>
      <c r="B780" s="32"/>
      <c r="C780" s="31"/>
      <c r="D780" s="31"/>
      <c r="E780" s="31"/>
      <c r="F780" s="31"/>
      <c r="G780" s="31"/>
      <c r="H780" s="31"/>
      <c r="I780" s="33"/>
      <c r="J780" s="31"/>
      <c r="K780" s="31"/>
      <c r="L780" s="32"/>
      <c r="M780" s="32"/>
      <c r="N780" s="32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spans="1:27" ht="13.5" customHeight="1">
      <c r="A781" s="31"/>
      <c r="B781" s="32"/>
      <c r="C781" s="31"/>
      <c r="D781" s="31"/>
      <c r="E781" s="31"/>
      <c r="F781" s="31"/>
      <c r="G781" s="31"/>
      <c r="H781" s="31"/>
      <c r="I781" s="33"/>
      <c r="J781" s="31"/>
      <c r="K781" s="31"/>
      <c r="L781" s="32"/>
      <c r="M781" s="32"/>
      <c r="N781" s="32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spans="1:27" ht="13.5" customHeight="1">
      <c r="A782" s="31"/>
      <c r="B782" s="32"/>
      <c r="C782" s="31"/>
      <c r="D782" s="31"/>
      <c r="E782" s="31"/>
      <c r="F782" s="31"/>
      <c r="G782" s="31"/>
      <c r="H782" s="31"/>
      <c r="I782" s="33"/>
      <c r="J782" s="31"/>
      <c r="K782" s="31"/>
      <c r="L782" s="32"/>
      <c r="M782" s="32"/>
      <c r="N782" s="32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spans="1:27" ht="13.5" customHeight="1">
      <c r="A783" s="31"/>
      <c r="B783" s="32"/>
      <c r="C783" s="31"/>
      <c r="D783" s="31"/>
      <c r="E783" s="31"/>
      <c r="F783" s="31"/>
      <c r="G783" s="31"/>
      <c r="H783" s="31"/>
      <c r="I783" s="33"/>
      <c r="J783" s="31"/>
      <c r="K783" s="31"/>
      <c r="L783" s="32"/>
      <c r="M783" s="32"/>
      <c r="N783" s="32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spans="1:27" ht="13.5" customHeight="1">
      <c r="A784" s="31"/>
      <c r="B784" s="32"/>
      <c r="C784" s="31"/>
      <c r="D784" s="31"/>
      <c r="E784" s="31"/>
      <c r="F784" s="31"/>
      <c r="G784" s="31"/>
      <c r="H784" s="31"/>
      <c r="I784" s="33"/>
      <c r="J784" s="31"/>
      <c r="K784" s="31"/>
      <c r="L784" s="32"/>
      <c r="M784" s="32"/>
      <c r="N784" s="32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spans="1:27" ht="13.5" customHeight="1">
      <c r="A785" s="31"/>
      <c r="B785" s="32"/>
      <c r="C785" s="31"/>
      <c r="D785" s="31"/>
      <c r="E785" s="31"/>
      <c r="F785" s="31"/>
      <c r="G785" s="31"/>
      <c r="H785" s="31"/>
      <c r="I785" s="33"/>
      <c r="J785" s="31"/>
      <c r="K785" s="31"/>
      <c r="L785" s="32"/>
      <c r="M785" s="32"/>
      <c r="N785" s="32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spans="1:27" ht="13.5" customHeight="1">
      <c r="A786" s="31"/>
      <c r="B786" s="32"/>
      <c r="C786" s="31"/>
      <c r="D786" s="31"/>
      <c r="E786" s="31"/>
      <c r="F786" s="31"/>
      <c r="G786" s="31"/>
      <c r="H786" s="31"/>
      <c r="I786" s="33"/>
      <c r="J786" s="31"/>
      <c r="K786" s="31"/>
      <c r="L786" s="32"/>
      <c r="M786" s="32"/>
      <c r="N786" s="32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spans="1:27" ht="13.5" customHeight="1">
      <c r="A787" s="31"/>
      <c r="B787" s="32"/>
      <c r="C787" s="31"/>
      <c r="D787" s="31"/>
      <c r="E787" s="31"/>
      <c r="F787" s="31"/>
      <c r="G787" s="31"/>
      <c r="H787" s="31"/>
      <c r="I787" s="33"/>
      <c r="J787" s="31"/>
      <c r="K787" s="31"/>
      <c r="L787" s="32"/>
      <c r="M787" s="32"/>
      <c r="N787" s="32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spans="1:27" ht="13.5" customHeight="1">
      <c r="A788" s="31"/>
      <c r="B788" s="32"/>
      <c r="C788" s="31"/>
      <c r="D788" s="31"/>
      <c r="E788" s="31"/>
      <c r="F788" s="31"/>
      <c r="G788" s="31"/>
      <c r="H788" s="31"/>
      <c r="I788" s="33"/>
      <c r="J788" s="31"/>
      <c r="K788" s="31"/>
      <c r="L788" s="32"/>
      <c r="M788" s="32"/>
      <c r="N788" s="32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spans="1:27" ht="13.5" customHeight="1">
      <c r="A789" s="31"/>
      <c r="B789" s="32"/>
      <c r="C789" s="31"/>
      <c r="D789" s="31"/>
      <c r="E789" s="31"/>
      <c r="F789" s="31"/>
      <c r="G789" s="31"/>
      <c r="H789" s="31"/>
      <c r="I789" s="33"/>
      <c r="J789" s="31"/>
      <c r="K789" s="31"/>
      <c r="L789" s="32"/>
      <c r="M789" s="32"/>
      <c r="N789" s="32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spans="1:27" ht="13.5" customHeight="1">
      <c r="A790" s="31"/>
      <c r="B790" s="32"/>
      <c r="C790" s="31"/>
      <c r="D790" s="31"/>
      <c r="E790" s="31"/>
      <c r="F790" s="31"/>
      <c r="G790" s="31"/>
      <c r="H790" s="31"/>
      <c r="I790" s="33"/>
      <c r="J790" s="31"/>
      <c r="K790" s="31"/>
      <c r="L790" s="32"/>
      <c r="M790" s="32"/>
      <c r="N790" s="32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spans="1:27" ht="13.5" customHeight="1">
      <c r="A791" s="31"/>
      <c r="B791" s="32"/>
      <c r="C791" s="31"/>
      <c r="D791" s="31"/>
      <c r="E791" s="31"/>
      <c r="F791" s="31"/>
      <c r="G791" s="31"/>
      <c r="H791" s="31"/>
      <c r="I791" s="33"/>
      <c r="J791" s="31"/>
      <c r="K791" s="31"/>
      <c r="L791" s="32"/>
      <c r="M791" s="32"/>
      <c r="N791" s="32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spans="1:27" ht="13.5" customHeight="1">
      <c r="A792" s="31"/>
      <c r="B792" s="32"/>
      <c r="C792" s="31"/>
      <c r="D792" s="31"/>
      <c r="E792" s="31"/>
      <c r="F792" s="31"/>
      <c r="G792" s="31"/>
      <c r="H792" s="31"/>
      <c r="I792" s="33"/>
      <c r="J792" s="31"/>
      <c r="K792" s="31"/>
      <c r="L792" s="32"/>
      <c r="M792" s="32"/>
      <c r="N792" s="32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spans="1:27" ht="13.5" customHeight="1">
      <c r="A793" s="31"/>
      <c r="B793" s="32"/>
      <c r="C793" s="31"/>
      <c r="D793" s="31"/>
      <c r="E793" s="31"/>
      <c r="F793" s="31"/>
      <c r="G793" s="31"/>
      <c r="H793" s="31"/>
      <c r="I793" s="33"/>
      <c r="J793" s="31"/>
      <c r="K793" s="31"/>
      <c r="L793" s="32"/>
      <c r="M793" s="32"/>
      <c r="N793" s="32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spans="1:27" ht="13.5" customHeight="1">
      <c r="A794" s="31"/>
      <c r="B794" s="32"/>
      <c r="C794" s="31"/>
      <c r="D794" s="31"/>
      <c r="E794" s="31"/>
      <c r="F794" s="31"/>
      <c r="G794" s="31"/>
      <c r="H794" s="31"/>
      <c r="I794" s="33"/>
      <c r="J794" s="31"/>
      <c r="K794" s="31"/>
      <c r="L794" s="32"/>
      <c r="M794" s="32"/>
      <c r="N794" s="32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spans="1:27" ht="13.5" customHeight="1">
      <c r="A795" s="31"/>
      <c r="B795" s="32"/>
      <c r="C795" s="31"/>
      <c r="D795" s="31"/>
      <c r="E795" s="31"/>
      <c r="F795" s="31"/>
      <c r="G795" s="31"/>
      <c r="H795" s="31"/>
      <c r="I795" s="33"/>
      <c r="J795" s="31"/>
      <c r="K795" s="31"/>
      <c r="L795" s="32"/>
      <c r="M795" s="32"/>
      <c r="N795" s="32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spans="1:27" ht="13.5" customHeight="1">
      <c r="A796" s="31"/>
      <c r="B796" s="32"/>
      <c r="C796" s="31"/>
      <c r="D796" s="31"/>
      <c r="E796" s="31"/>
      <c r="F796" s="31"/>
      <c r="G796" s="31"/>
      <c r="H796" s="31"/>
      <c r="I796" s="33"/>
      <c r="J796" s="31"/>
      <c r="K796" s="31"/>
      <c r="L796" s="32"/>
      <c r="M796" s="32"/>
      <c r="N796" s="32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spans="1:27" ht="13.5" customHeight="1">
      <c r="A797" s="31"/>
      <c r="B797" s="32"/>
      <c r="C797" s="31"/>
      <c r="D797" s="31"/>
      <c r="E797" s="31"/>
      <c r="F797" s="31"/>
      <c r="G797" s="31"/>
      <c r="H797" s="31"/>
      <c r="I797" s="33"/>
      <c r="J797" s="31"/>
      <c r="K797" s="31"/>
      <c r="L797" s="32"/>
      <c r="M797" s="32"/>
      <c r="N797" s="32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spans="1:27" ht="13.5" customHeight="1">
      <c r="A798" s="31"/>
      <c r="B798" s="32"/>
      <c r="C798" s="31"/>
      <c r="D798" s="31"/>
      <c r="E798" s="31"/>
      <c r="F798" s="31"/>
      <c r="G798" s="31"/>
      <c r="H798" s="31"/>
      <c r="I798" s="33"/>
      <c r="J798" s="31"/>
      <c r="K798" s="31"/>
      <c r="L798" s="32"/>
      <c r="M798" s="32"/>
      <c r="N798" s="32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spans="1:27" ht="13.5" customHeight="1">
      <c r="A799" s="31"/>
      <c r="B799" s="32"/>
      <c r="C799" s="31"/>
      <c r="D799" s="31"/>
      <c r="E799" s="31"/>
      <c r="F799" s="31"/>
      <c r="G799" s="31"/>
      <c r="H799" s="31"/>
      <c r="I799" s="33"/>
      <c r="J799" s="31"/>
      <c r="K799" s="31"/>
      <c r="L799" s="32"/>
      <c r="M799" s="32"/>
      <c r="N799" s="32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spans="1:27" ht="13.5" customHeight="1">
      <c r="A800" s="31"/>
      <c r="B800" s="32"/>
      <c r="C800" s="31"/>
      <c r="D800" s="31"/>
      <c r="E800" s="31"/>
      <c r="F800" s="31"/>
      <c r="G800" s="31"/>
      <c r="H800" s="31"/>
      <c r="I800" s="33"/>
      <c r="J800" s="31"/>
      <c r="K800" s="31"/>
      <c r="L800" s="32"/>
      <c r="M800" s="32"/>
      <c r="N800" s="32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spans="1:27" ht="13.5" customHeight="1">
      <c r="A801" s="31"/>
      <c r="B801" s="32"/>
      <c r="C801" s="31"/>
      <c r="D801" s="31"/>
      <c r="E801" s="31"/>
      <c r="F801" s="31"/>
      <c r="G801" s="31"/>
      <c r="H801" s="31"/>
      <c r="I801" s="33"/>
      <c r="J801" s="31"/>
      <c r="K801" s="31"/>
      <c r="L801" s="32"/>
      <c r="M801" s="32"/>
      <c r="N801" s="32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spans="1:27" ht="13.5" customHeight="1">
      <c r="A802" s="31"/>
      <c r="B802" s="32"/>
      <c r="C802" s="31"/>
      <c r="D802" s="31"/>
      <c r="E802" s="31"/>
      <c r="F802" s="31"/>
      <c r="G802" s="31"/>
      <c r="H802" s="31"/>
      <c r="I802" s="33"/>
      <c r="J802" s="31"/>
      <c r="K802" s="31"/>
      <c r="L802" s="32"/>
      <c r="M802" s="32"/>
      <c r="N802" s="32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spans="1:27" ht="13.5" customHeight="1">
      <c r="A803" s="31"/>
      <c r="B803" s="32"/>
      <c r="C803" s="31"/>
      <c r="D803" s="31"/>
      <c r="E803" s="31"/>
      <c r="F803" s="31"/>
      <c r="G803" s="31"/>
      <c r="H803" s="31"/>
      <c r="I803" s="33"/>
      <c r="J803" s="31"/>
      <c r="K803" s="31"/>
      <c r="L803" s="32"/>
      <c r="M803" s="32"/>
      <c r="N803" s="32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spans="1:27" ht="13.5" customHeight="1">
      <c r="A804" s="31"/>
      <c r="B804" s="32"/>
      <c r="C804" s="31"/>
      <c r="D804" s="31"/>
      <c r="E804" s="31"/>
      <c r="F804" s="31"/>
      <c r="G804" s="31"/>
      <c r="H804" s="31"/>
      <c r="I804" s="33"/>
      <c r="J804" s="31"/>
      <c r="K804" s="31"/>
      <c r="L804" s="32"/>
      <c r="M804" s="32"/>
      <c r="N804" s="32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spans="1:27" ht="13.5" customHeight="1">
      <c r="A805" s="31"/>
      <c r="B805" s="32"/>
      <c r="C805" s="31"/>
      <c r="D805" s="31"/>
      <c r="E805" s="31"/>
      <c r="F805" s="31"/>
      <c r="G805" s="31"/>
      <c r="H805" s="31"/>
      <c r="I805" s="33"/>
      <c r="J805" s="31"/>
      <c r="K805" s="31"/>
      <c r="L805" s="32"/>
      <c r="M805" s="32"/>
      <c r="N805" s="32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spans="1:27" ht="13.5" customHeight="1">
      <c r="A806" s="31"/>
      <c r="B806" s="32"/>
      <c r="C806" s="31"/>
      <c r="D806" s="31"/>
      <c r="E806" s="31"/>
      <c r="F806" s="31"/>
      <c r="G806" s="31"/>
      <c r="H806" s="31"/>
      <c r="I806" s="33"/>
      <c r="J806" s="31"/>
      <c r="K806" s="31"/>
      <c r="L806" s="32"/>
      <c r="M806" s="32"/>
      <c r="N806" s="32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spans="1:27" ht="13.5" customHeight="1">
      <c r="A807" s="31"/>
      <c r="B807" s="32"/>
      <c r="C807" s="31"/>
      <c r="D807" s="31"/>
      <c r="E807" s="31"/>
      <c r="F807" s="31"/>
      <c r="G807" s="31"/>
      <c r="H807" s="31"/>
      <c r="I807" s="33"/>
      <c r="J807" s="31"/>
      <c r="K807" s="31"/>
      <c r="L807" s="32"/>
      <c r="M807" s="32"/>
      <c r="N807" s="32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spans="1:27" ht="13.5" customHeight="1">
      <c r="A808" s="31"/>
      <c r="B808" s="32"/>
      <c r="C808" s="31"/>
      <c r="D808" s="31"/>
      <c r="E808" s="31"/>
      <c r="F808" s="31"/>
      <c r="G808" s="31"/>
      <c r="H808" s="31"/>
      <c r="I808" s="33"/>
      <c r="J808" s="31"/>
      <c r="K808" s="31"/>
      <c r="L808" s="32"/>
      <c r="M808" s="32"/>
      <c r="N808" s="32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spans="1:27" ht="13.5" customHeight="1">
      <c r="A809" s="31"/>
      <c r="B809" s="32"/>
      <c r="C809" s="31"/>
      <c r="D809" s="31"/>
      <c r="E809" s="31"/>
      <c r="F809" s="31"/>
      <c r="G809" s="31"/>
      <c r="H809" s="31"/>
      <c r="I809" s="33"/>
      <c r="J809" s="31"/>
      <c r="K809" s="31"/>
      <c r="L809" s="32"/>
      <c r="M809" s="32"/>
      <c r="N809" s="32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spans="1:27" ht="13.5" customHeight="1">
      <c r="A810" s="31"/>
      <c r="B810" s="32"/>
      <c r="C810" s="31"/>
      <c r="D810" s="31"/>
      <c r="E810" s="31"/>
      <c r="F810" s="31"/>
      <c r="G810" s="31"/>
      <c r="H810" s="31"/>
      <c r="I810" s="33"/>
      <c r="J810" s="31"/>
      <c r="K810" s="31"/>
      <c r="L810" s="32"/>
      <c r="M810" s="32"/>
      <c r="N810" s="32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spans="1:27" ht="13.5" customHeight="1">
      <c r="A811" s="31"/>
      <c r="B811" s="32"/>
      <c r="C811" s="31"/>
      <c r="D811" s="31"/>
      <c r="E811" s="31"/>
      <c r="F811" s="31"/>
      <c r="G811" s="31"/>
      <c r="H811" s="31"/>
      <c r="I811" s="33"/>
      <c r="J811" s="31"/>
      <c r="K811" s="31"/>
      <c r="L811" s="32"/>
      <c r="M811" s="32"/>
      <c r="N811" s="32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spans="1:27" ht="13.5" customHeight="1">
      <c r="A812" s="31"/>
      <c r="B812" s="32"/>
      <c r="C812" s="31"/>
      <c r="D812" s="31"/>
      <c r="E812" s="31"/>
      <c r="F812" s="31"/>
      <c r="G812" s="31"/>
      <c r="H812" s="31"/>
      <c r="I812" s="33"/>
      <c r="J812" s="31"/>
      <c r="K812" s="31"/>
      <c r="L812" s="32"/>
      <c r="M812" s="32"/>
      <c r="N812" s="32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spans="1:27" ht="13.5" customHeight="1">
      <c r="A813" s="31"/>
      <c r="B813" s="32"/>
      <c r="C813" s="31"/>
      <c r="D813" s="31"/>
      <c r="E813" s="31"/>
      <c r="F813" s="31"/>
      <c r="G813" s="31"/>
      <c r="H813" s="31"/>
      <c r="I813" s="33"/>
      <c r="J813" s="31"/>
      <c r="K813" s="31"/>
      <c r="L813" s="32"/>
      <c r="M813" s="32"/>
      <c r="N813" s="32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spans="1:27" ht="13.5" customHeight="1">
      <c r="A814" s="31"/>
      <c r="B814" s="32"/>
      <c r="C814" s="31"/>
      <c r="D814" s="31"/>
      <c r="E814" s="31"/>
      <c r="F814" s="31"/>
      <c r="G814" s="31"/>
      <c r="H814" s="31"/>
      <c r="I814" s="33"/>
      <c r="J814" s="31"/>
      <c r="K814" s="31"/>
      <c r="L814" s="32"/>
      <c r="M814" s="32"/>
      <c r="N814" s="32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spans="1:27" ht="13.5" customHeight="1">
      <c r="A815" s="31"/>
      <c r="B815" s="32"/>
      <c r="C815" s="31"/>
      <c r="D815" s="31"/>
      <c r="E815" s="31"/>
      <c r="F815" s="31"/>
      <c r="G815" s="31"/>
      <c r="H815" s="31"/>
      <c r="I815" s="33"/>
      <c r="J815" s="31"/>
      <c r="K815" s="31"/>
      <c r="L815" s="32"/>
      <c r="M815" s="32"/>
      <c r="N815" s="32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spans="1:27" ht="13.5" customHeight="1">
      <c r="A816" s="31"/>
      <c r="B816" s="32"/>
      <c r="C816" s="31"/>
      <c r="D816" s="31"/>
      <c r="E816" s="31"/>
      <c r="F816" s="31"/>
      <c r="G816" s="31"/>
      <c r="H816" s="31"/>
      <c r="I816" s="33"/>
      <c r="J816" s="31"/>
      <c r="K816" s="31"/>
      <c r="L816" s="32"/>
      <c r="M816" s="32"/>
      <c r="N816" s="32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spans="1:27" ht="13.5" customHeight="1">
      <c r="A817" s="31"/>
      <c r="B817" s="32"/>
      <c r="C817" s="31"/>
      <c r="D817" s="31"/>
      <c r="E817" s="31"/>
      <c r="F817" s="31"/>
      <c r="G817" s="31"/>
      <c r="H817" s="31"/>
      <c r="I817" s="33"/>
      <c r="J817" s="31"/>
      <c r="K817" s="31"/>
      <c r="L817" s="32"/>
      <c r="M817" s="32"/>
      <c r="N817" s="32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spans="1:27" ht="13.5" customHeight="1">
      <c r="A818" s="31"/>
      <c r="B818" s="32"/>
      <c r="C818" s="31"/>
      <c r="D818" s="31"/>
      <c r="E818" s="31"/>
      <c r="F818" s="31"/>
      <c r="G818" s="31"/>
      <c r="H818" s="31"/>
      <c r="I818" s="33"/>
      <c r="J818" s="31"/>
      <c r="K818" s="31"/>
      <c r="L818" s="32"/>
      <c r="M818" s="32"/>
      <c r="N818" s="32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spans="1:27" ht="13.5" customHeight="1">
      <c r="A819" s="31"/>
      <c r="B819" s="32"/>
      <c r="C819" s="31"/>
      <c r="D819" s="31"/>
      <c r="E819" s="31"/>
      <c r="F819" s="31"/>
      <c r="G819" s="31"/>
      <c r="H819" s="31"/>
      <c r="I819" s="33"/>
      <c r="J819" s="31"/>
      <c r="K819" s="31"/>
      <c r="L819" s="32"/>
      <c r="M819" s="32"/>
      <c r="N819" s="32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spans="1:27" ht="13.5" customHeight="1">
      <c r="A820" s="31"/>
      <c r="B820" s="32"/>
      <c r="C820" s="31"/>
      <c r="D820" s="31"/>
      <c r="E820" s="31"/>
      <c r="F820" s="31"/>
      <c r="G820" s="31"/>
      <c r="H820" s="31"/>
      <c r="I820" s="33"/>
      <c r="J820" s="31"/>
      <c r="K820" s="31"/>
      <c r="L820" s="32"/>
      <c r="M820" s="32"/>
      <c r="N820" s="32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spans="1:27" ht="13.5" customHeight="1">
      <c r="A821" s="31"/>
      <c r="B821" s="32"/>
      <c r="C821" s="31"/>
      <c r="D821" s="31"/>
      <c r="E821" s="31"/>
      <c r="F821" s="31"/>
      <c r="G821" s="31"/>
      <c r="H821" s="31"/>
      <c r="I821" s="33"/>
      <c r="J821" s="31"/>
      <c r="K821" s="31"/>
      <c r="L821" s="32"/>
      <c r="M821" s="32"/>
      <c r="N821" s="32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spans="1:27" ht="13.5" customHeight="1">
      <c r="A822" s="31"/>
      <c r="B822" s="32"/>
      <c r="C822" s="31"/>
      <c r="D822" s="31"/>
      <c r="E822" s="31"/>
      <c r="F822" s="31"/>
      <c r="G822" s="31"/>
      <c r="H822" s="31"/>
      <c r="I822" s="33"/>
      <c r="J822" s="31"/>
      <c r="K822" s="31"/>
      <c r="L822" s="32"/>
      <c r="M822" s="32"/>
      <c r="N822" s="32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spans="1:27" ht="13.5" customHeight="1">
      <c r="A823" s="31"/>
      <c r="B823" s="32"/>
      <c r="C823" s="31"/>
      <c r="D823" s="31"/>
      <c r="E823" s="31"/>
      <c r="F823" s="31"/>
      <c r="G823" s="31"/>
      <c r="H823" s="31"/>
      <c r="I823" s="33"/>
      <c r="J823" s="31"/>
      <c r="K823" s="31"/>
      <c r="L823" s="32"/>
      <c r="M823" s="32"/>
      <c r="N823" s="32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spans="1:27" ht="13.5" customHeight="1">
      <c r="A824" s="31"/>
      <c r="B824" s="32"/>
      <c r="C824" s="31"/>
      <c r="D824" s="31"/>
      <c r="E824" s="31"/>
      <c r="F824" s="31"/>
      <c r="G824" s="31"/>
      <c r="H824" s="31"/>
      <c r="I824" s="33"/>
      <c r="J824" s="31"/>
      <c r="K824" s="31"/>
      <c r="L824" s="32"/>
      <c r="M824" s="32"/>
      <c r="N824" s="32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spans="1:27" ht="13.5" customHeight="1">
      <c r="A825" s="31"/>
      <c r="B825" s="32"/>
      <c r="C825" s="31"/>
      <c r="D825" s="31"/>
      <c r="E825" s="31"/>
      <c r="F825" s="31"/>
      <c r="G825" s="31"/>
      <c r="H825" s="31"/>
      <c r="I825" s="33"/>
      <c r="J825" s="31"/>
      <c r="K825" s="31"/>
      <c r="L825" s="32"/>
      <c r="M825" s="32"/>
      <c r="N825" s="32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spans="1:27" ht="13.5" customHeight="1">
      <c r="A826" s="31"/>
      <c r="B826" s="32"/>
      <c r="C826" s="31"/>
      <c r="D826" s="31"/>
      <c r="E826" s="31"/>
      <c r="F826" s="31"/>
      <c r="G826" s="31"/>
      <c r="H826" s="31"/>
      <c r="I826" s="33"/>
      <c r="J826" s="31"/>
      <c r="K826" s="31"/>
      <c r="L826" s="32"/>
      <c r="M826" s="32"/>
      <c r="N826" s="32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spans="1:27" ht="13.5" customHeight="1">
      <c r="A827" s="31"/>
      <c r="B827" s="32"/>
      <c r="C827" s="31"/>
      <c r="D827" s="31"/>
      <c r="E827" s="31"/>
      <c r="F827" s="31"/>
      <c r="G827" s="31"/>
      <c r="H827" s="31"/>
      <c r="I827" s="33"/>
      <c r="J827" s="31"/>
      <c r="K827" s="31"/>
      <c r="L827" s="32"/>
      <c r="M827" s="32"/>
      <c r="N827" s="32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spans="1:27" ht="13.5" customHeight="1">
      <c r="A828" s="31"/>
      <c r="B828" s="32"/>
      <c r="C828" s="31"/>
      <c r="D828" s="31"/>
      <c r="E828" s="31"/>
      <c r="F828" s="31"/>
      <c r="G828" s="31"/>
      <c r="H828" s="31"/>
      <c r="I828" s="33"/>
      <c r="J828" s="31"/>
      <c r="K828" s="31"/>
      <c r="L828" s="32"/>
      <c r="M828" s="32"/>
      <c r="N828" s="32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spans="1:27" ht="13.5" customHeight="1">
      <c r="A829" s="31"/>
      <c r="B829" s="32"/>
      <c r="C829" s="31"/>
      <c r="D829" s="31"/>
      <c r="E829" s="31"/>
      <c r="F829" s="31"/>
      <c r="G829" s="31"/>
      <c r="H829" s="31"/>
      <c r="I829" s="33"/>
      <c r="J829" s="31"/>
      <c r="K829" s="31"/>
      <c r="L829" s="32"/>
      <c r="M829" s="32"/>
      <c r="N829" s="32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spans="1:27" ht="13.5" customHeight="1">
      <c r="A830" s="31"/>
      <c r="B830" s="32"/>
      <c r="C830" s="31"/>
      <c r="D830" s="31"/>
      <c r="E830" s="31"/>
      <c r="F830" s="31"/>
      <c r="G830" s="31"/>
      <c r="H830" s="31"/>
      <c r="I830" s="33"/>
      <c r="J830" s="31"/>
      <c r="K830" s="31"/>
      <c r="L830" s="32"/>
      <c r="M830" s="32"/>
      <c r="N830" s="32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spans="1:27" ht="13.5" customHeight="1">
      <c r="A831" s="31"/>
      <c r="B831" s="32"/>
      <c r="C831" s="31"/>
      <c r="D831" s="31"/>
      <c r="E831" s="31"/>
      <c r="F831" s="31"/>
      <c r="G831" s="31"/>
      <c r="H831" s="31"/>
      <c r="I831" s="33"/>
      <c r="J831" s="31"/>
      <c r="K831" s="31"/>
      <c r="L831" s="32"/>
      <c r="M831" s="32"/>
      <c r="N831" s="32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spans="1:27" ht="13.5" customHeight="1">
      <c r="A832" s="31"/>
      <c r="B832" s="32"/>
      <c r="C832" s="31"/>
      <c r="D832" s="31"/>
      <c r="E832" s="31"/>
      <c r="F832" s="31"/>
      <c r="G832" s="31"/>
      <c r="H832" s="31"/>
      <c r="I832" s="33"/>
      <c r="J832" s="31"/>
      <c r="K832" s="31"/>
      <c r="L832" s="32"/>
      <c r="M832" s="32"/>
      <c r="N832" s="32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spans="1:27" ht="13.5" customHeight="1">
      <c r="A833" s="31"/>
      <c r="B833" s="32"/>
      <c r="C833" s="31"/>
      <c r="D833" s="31"/>
      <c r="E833" s="31"/>
      <c r="F833" s="31"/>
      <c r="G833" s="31"/>
      <c r="H833" s="31"/>
      <c r="I833" s="33"/>
      <c r="J833" s="31"/>
      <c r="K833" s="31"/>
      <c r="L833" s="32"/>
      <c r="M833" s="32"/>
      <c r="N833" s="32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spans="1:27" ht="13.5" customHeight="1">
      <c r="A834" s="31"/>
      <c r="B834" s="32"/>
      <c r="C834" s="31"/>
      <c r="D834" s="31"/>
      <c r="E834" s="31"/>
      <c r="F834" s="31"/>
      <c r="G834" s="31"/>
      <c r="H834" s="31"/>
      <c r="I834" s="33"/>
      <c r="J834" s="31"/>
      <c r="K834" s="31"/>
      <c r="L834" s="32"/>
      <c r="M834" s="32"/>
      <c r="N834" s="32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spans="1:27" ht="13.5" customHeight="1">
      <c r="A835" s="31"/>
      <c r="B835" s="32"/>
      <c r="C835" s="31"/>
      <c r="D835" s="31"/>
      <c r="E835" s="31"/>
      <c r="F835" s="31"/>
      <c r="G835" s="31"/>
      <c r="H835" s="31"/>
      <c r="I835" s="33"/>
      <c r="J835" s="31"/>
      <c r="K835" s="31"/>
      <c r="L835" s="32"/>
      <c r="M835" s="32"/>
      <c r="N835" s="32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spans="1:27" ht="13.5" customHeight="1">
      <c r="A836" s="31"/>
      <c r="B836" s="32"/>
      <c r="C836" s="31"/>
      <c r="D836" s="31"/>
      <c r="E836" s="31"/>
      <c r="F836" s="31"/>
      <c r="G836" s="31"/>
      <c r="H836" s="31"/>
      <c r="I836" s="33"/>
      <c r="J836" s="31"/>
      <c r="K836" s="31"/>
      <c r="L836" s="32"/>
      <c r="M836" s="32"/>
      <c r="N836" s="32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spans="1:27" ht="13.5" customHeight="1">
      <c r="A837" s="31"/>
      <c r="B837" s="32"/>
      <c r="C837" s="31"/>
      <c r="D837" s="31"/>
      <c r="E837" s="31"/>
      <c r="F837" s="31"/>
      <c r="G837" s="31"/>
      <c r="H837" s="31"/>
      <c r="I837" s="33"/>
      <c r="J837" s="31"/>
      <c r="K837" s="31"/>
      <c r="L837" s="32"/>
      <c r="M837" s="32"/>
      <c r="N837" s="32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spans="1:27" ht="13.5" customHeight="1">
      <c r="A838" s="31"/>
      <c r="B838" s="32"/>
      <c r="C838" s="31"/>
      <c r="D838" s="31"/>
      <c r="E838" s="31"/>
      <c r="F838" s="31"/>
      <c r="G838" s="31"/>
      <c r="H838" s="31"/>
      <c r="I838" s="33"/>
      <c r="J838" s="31"/>
      <c r="K838" s="31"/>
      <c r="L838" s="32"/>
      <c r="M838" s="32"/>
      <c r="N838" s="32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spans="1:27" ht="13.5" customHeight="1">
      <c r="A839" s="31"/>
      <c r="B839" s="32"/>
      <c r="C839" s="31"/>
      <c r="D839" s="31"/>
      <c r="E839" s="31"/>
      <c r="F839" s="31"/>
      <c r="G839" s="31"/>
      <c r="H839" s="31"/>
      <c r="I839" s="33"/>
      <c r="J839" s="31"/>
      <c r="K839" s="31"/>
      <c r="L839" s="32"/>
      <c r="M839" s="32"/>
      <c r="N839" s="32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spans="1:27" ht="13.5" customHeight="1">
      <c r="A840" s="31"/>
      <c r="B840" s="32"/>
      <c r="C840" s="31"/>
      <c r="D840" s="31"/>
      <c r="E840" s="31"/>
      <c r="F840" s="31"/>
      <c r="G840" s="31"/>
      <c r="H840" s="31"/>
      <c r="I840" s="33"/>
      <c r="J840" s="31"/>
      <c r="K840" s="31"/>
      <c r="L840" s="32"/>
      <c r="M840" s="32"/>
      <c r="N840" s="32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spans="1:27" ht="13.5" customHeight="1">
      <c r="A841" s="31"/>
      <c r="B841" s="32"/>
      <c r="C841" s="31"/>
      <c r="D841" s="31"/>
      <c r="E841" s="31"/>
      <c r="F841" s="31"/>
      <c r="G841" s="31"/>
      <c r="H841" s="31"/>
      <c r="I841" s="33"/>
      <c r="J841" s="31"/>
      <c r="K841" s="31"/>
      <c r="L841" s="32"/>
      <c r="M841" s="32"/>
      <c r="N841" s="32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spans="1:27" ht="13.5" customHeight="1">
      <c r="A842" s="31"/>
      <c r="B842" s="32"/>
      <c r="C842" s="31"/>
      <c r="D842" s="31"/>
      <c r="E842" s="31"/>
      <c r="F842" s="31"/>
      <c r="G842" s="31"/>
      <c r="H842" s="31"/>
      <c r="I842" s="33"/>
      <c r="J842" s="31"/>
      <c r="K842" s="31"/>
      <c r="L842" s="32"/>
      <c r="M842" s="32"/>
      <c r="N842" s="32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spans="1:27" ht="13.5" customHeight="1">
      <c r="A843" s="31"/>
      <c r="B843" s="32"/>
      <c r="C843" s="31"/>
      <c r="D843" s="31"/>
      <c r="E843" s="31"/>
      <c r="F843" s="31"/>
      <c r="G843" s="31"/>
      <c r="H843" s="31"/>
      <c r="I843" s="33"/>
      <c r="J843" s="31"/>
      <c r="K843" s="31"/>
      <c r="L843" s="32"/>
      <c r="M843" s="32"/>
      <c r="N843" s="32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spans="1:27" ht="13.5" customHeight="1">
      <c r="A844" s="31"/>
      <c r="B844" s="32"/>
      <c r="C844" s="31"/>
      <c r="D844" s="31"/>
      <c r="E844" s="31"/>
      <c r="F844" s="31"/>
      <c r="G844" s="31"/>
      <c r="H844" s="31"/>
      <c r="I844" s="33"/>
      <c r="J844" s="31"/>
      <c r="K844" s="31"/>
      <c r="L844" s="32"/>
      <c r="M844" s="32"/>
      <c r="N844" s="32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spans="1:27" ht="13.5" customHeight="1">
      <c r="A845" s="31"/>
      <c r="B845" s="32"/>
      <c r="C845" s="31"/>
      <c r="D845" s="31"/>
      <c r="E845" s="31"/>
      <c r="F845" s="31"/>
      <c r="G845" s="31"/>
      <c r="H845" s="31"/>
      <c r="I845" s="33"/>
      <c r="J845" s="31"/>
      <c r="K845" s="31"/>
      <c r="L845" s="32"/>
      <c r="M845" s="32"/>
      <c r="N845" s="32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spans="1:27" ht="13.5" customHeight="1">
      <c r="A846" s="31"/>
      <c r="B846" s="32"/>
      <c r="C846" s="31"/>
      <c r="D846" s="31"/>
      <c r="E846" s="31"/>
      <c r="F846" s="31"/>
      <c r="G846" s="31"/>
      <c r="H846" s="31"/>
      <c r="I846" s="33"/>
      <c r="J846" s="31"/>
      <c r="K846" s="31"/>
      <c r="L846" s="32"/>
      <c r="M846" s="32"/>
      <c r="N846" s="32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spans="1:27" ht="13.5" customHeight="1">
      <c r="A847" s="31"/>
      <c r="B847" s="32"/>
      <c r="C847" s="31"/>
      <c r="D847" s="31"/>
      <c r="E847" s="31"/>
      <c r="F847" s="31"/>
      <c r="G847" s="31"/>
      <c r="H847" s="31"/>
      <c r="I847" s="33"/>
      <c r="J847" s="31"/>
      <c r="K847" s="31"/>
      <c r="L847" s="32"/>
      <c r="M847" s="32"/>
      <c r="N847" s="32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spans="1:27" ht="13.5" customHeight="1">
      <c r="A848" s="31"/>
      <c r="B848" s="32"/>
      <c r="C848" s="31"/>
      <c r="D848" s="31"/>
      <c r="E848" s="31"/>
      <c r="F848" s="31"/>
      <c r="G848" s="31"/>
      <c r="H848" s="31"/>
      <c r="I848" s="33"/>
      <c r="J848" s="31"/>
      <c r="K848" s="31"/>
      <c r="L848" s="32"/>
      <c r="M848" s="32"/>
      <c r="N848" s="32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spans="1:27" ht="13.5" customHeight="1">
      <c r="A849" s="31"/>
      <c r="B849" s="32"/>
      <c r="C849" s="31"/>
      <c r="D849" s="31"/>
      <c r="E849" s="31"/>
      <c r="F849" s="31"/>
      <c r="G849" s="31"/>
      <c r="H849" s="31"/>
      <c r="I849" s="33"/>
      <c r="J849" s="31"/>
      <c r="K849" s="31"/>
      <c r="L849" s="32"/>
      <c r="M849" s="32"/>
      <c r="N849" s="32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spans="1:27" ht="13.5" customHeight="1">
      <c r="A850" s="31"/>
      <c r="B850" s="32"/>
      <c r="C850" s="31"/>
      <c r="D850" s="31"/>
      <c r="E850" s="31"/>
      <c r="F850" s="31"/>
      <c r="G850" s="31"/>
      <c r="H850" s="31"/>
      <c r="I850" s="33"/>
      <c r="J850" s="31"/>
      <c r="K850" s="31"/>
      <c r="L850" s="32"/>
      <c r="M850" s="32"/>
      <c r="N850" s="32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spans="1:27" ht="13.5" customHeight="1">
      <c r="A851" s="31"/>
      <c r="B851" s="32"/>
      <c r="C851" s="31"/>
      <c r="D851" s="31"/>
      <c r="E851" s="31"/>
      <c r="F851" s="31"/>
      <c r="G851" s="31"/>
      <c r="H851" s="31"/>
      <c r="I851" s="33"/>
      <c r="J851" s="31"/>
      <c r="K851" s="31"/>
      <c r="L851" s="32"/>
      <c r="M851" s="32"/>
      <c r="N851" s="32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spans="1:27" ht="13.5" customHeight="1">
      <c r="A852" s="31"/>
      <c r="B852" s="32"/>
      <c r="C852" s="31"/>
      <c r="D852" s="31"/>
      <c r="E852" s="31"/>
      <c r="F852" s="31"/>
      <c r="G852" s="31"/>
      <c r="H852" s="31"/>
      <c r="I852" s="33"/>
      <c r="J852" s="31"/>
      <c r="K852" s="31"/>
      <c r="L852" s="32"/>
      <c r="M852" s="32"/>
      <c r="N852" s="32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spans="1:27" ht="13.5" customHeight="1">
      <c r="A853" s="31"/>
      <c r="B853" s="32"/>
      <c r="C853" s="31"/>
      <c r="D853" s="31"/>
      <c r="E853" s="31"/>
      <c r="F853" s="31"/>
      <c r="G853" s="31"/>
      <c r="H853" s="31"/>
      <c r="I853" s="33"/>
      <c r="J853" s="31"/>
      <c r="K853" s="31"/>
      <c r="L853" s="32"/>
      <c r="M853" s="32"/>
      <c r="N853" s="32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spans="1:27" ht="13.5" customHeight="1">
      <c r="A854" s="31"/>
      <c r="B854" s="32"/>
      <c r="C854" s="31"/>
      <c r="D854" s="31"/>
      <c r="E854" s="31"/>
      <c r="F854" s="31"/>
      <c r="G854" s="31"/>
      <c r="H854" s="31"/>
      <c r="I854" s="33"/>
      <c r="J854" s="31"/>
      <c r="K854" s="31"/>
      <c r="L854" s="32"/>
      <c r="M854" s="32"/>
      <c r="N854" s="32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spans="1:27" ht="13.5" customHeight="1">
      <c r="A855" s="31"/>
      <c r="B855" s="32"/>
      <c r="C855" s="31"/>
      <c r="D855" s="31"/>
      <c r="E855" s="31"/>
      <c r="F855" s="31"/>
      <c r="G855" s="31"/>
      <c r="H855" s="31"/>
      <c r="I855" s="33"/>
      <c r="J855" s="31"/>
      <c r="K855" s="31"/>
      <c r="L855" s="32"/>
      <c r="M855" s="32"/>
      <c r="N855" s="32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spans="1:27" ht="13.5" customHeight="1">
      <c r="A856" s="31"/>
      <c r="B856" s="32"/>
      <c r="C856" s="31"/>
      <c r="D856" s="31"/>
      <c r="E856" s="31"/>
      <c r="F856" s="31"/>
      <c r="G856" s="31"/>
      <c r="H856" s="31"/>
      <c r="I856" s="33"/>
      <c r="J856" s="31"/>
      <c r="K856" s="31"/>
      <c r="L856" s="32"/>
      <c r="M856" s="32"/>
      <c r="N856" s="32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spans="1:27" ht="13.5" customHeight="1">
      <c r="A857" s="31"/>
      <c r="B857" s="32"/>
      <c r="C857" s="31"/>
      <c r="D857" s="31"/>
      <c r="E857" s="31"/>
      <c r="F857" s="31"/>
      <c r="G857" s="31"/>
      <c r="H857" s="31"/>
      <c r="I857" s="33"/>
      <c r="J857" s="31"/>
      <c r="K857" s="31"/>
      <c r="L857" s="32"/>
      <c r="M857" s="32"/>
      <c r="N857" s="32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spans="1:27" ht="13.5" customHeight="1">
      <c r="A858" s="31"/>
      <c r="B858" s="32"/>
      <c r="C858" s="31"/>
      <c r="D858" s="31"/>
      <c r="E858" s="31"/>
      <c r="F858" s="31"/>
      <c r="G858" s="31"/>
      <c r="H858" s="31"/>
      <c r="I858" s="33"/>
      <c r="J858" s="31"/>
      <c r="K858" s="31"/>
      <c r="L858" s="32"/>
      <c r="M858" s="32"/>
      <c r="N858" s="32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spans="1:27" ht="13.5" customHeight="1">
      <c r="A859" s="31"/>
      <c r="B859" s="32"/>
      <c r="C859" s="31"/>
      <c r="D859" s="31"/>
      <c r="E859" s="31"/>
      <c r="F859" s="31"/>
      <c r="G859" s="31"/>
      <c r="H859" s="31"/>
      <c r="I859" s="33"/>
      <c r="J859" s="31"/>
      <c r="K859" s="31"/>
      <c r="L859" s="32"/>
      <c r="M859" s="32"/>
      <c r="N859" s="32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spans="1:27" ht="13.5" customHeight="1">
      <c r="A860" s="31"/>
      <c r="B860" s="32"/>
      <c r="C860" s="31"/>
      <c r="D860" s="31"/>
      <c r="E860" s="31"/>
      <c r="F860" s="31"/>
      <c r="G860" s="31"/>
      <c r="H860" s="31"/>
      <c r="I860" s="33"/>
      <c r="J860" s="31"/>
      <c r="K860" s="31"/>
      <c r="L860" s="32"/>
      <c r="M860" s="32"/>
      <c r="N860" s="32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spans="1:27" ht="13.5" customHeight="1">
      <c r="A861" s="31"/>
      <c r="B861" s="32"/>
      <c r="C861" s="31"/>
      <c r="D861" s="31"/>
      <c r="E861" s="31"/>
      <c r="F861" s="31"/>
      <c r="G861" s="31"/>
      <c r="H861" s="31"/>
      <c r="I861" s="33"/>
      <c r="J861" s="31"/>
      <c r="K861" s="31"/>
      <c r="L861" s="32"/>
      <c r="M861" s="32"/>
      <c r="N861" s="32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spans="1:27" ht="13.5" customHeight="1">
      <c r="A862" s="31"/>
      <c r="B862" s="32"/>
      <c r="C862" s="31"/>
      <c r="D862" s="31"/>
      <c r="E862" s="31"/>
      <c r="F862" s="31"/>
      <c r="G862" s="31"/>
      <c r="H862" s="31"/>
      <c r="I862" s="33"/>
      <c r="J862" s="31"/>
      <c r="K862" s="31"/>
      <c r="L862" s="32"/>
      <c r="M862" s="32"/>
      <c r="N862" s="32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spans="1:27" ht="13.5" customHeight="1">
      <c r="A863" s="31"/>
      <c r="B863" s="32"/>
      <c r="C863" s="31"/>
      <c r="D863" s="31"/>
      <c r="E863" s="31"/>
      <c r="F863" s="31"/>
      <c r="G863" s="31"/>
      <c r="H863" s="31"/>
      <c r="I863" s="33"/>
      <c r="J863" s="31"/>
      <c r="K863" s="31"/>
      <c r="L863" s="32"/>
      <c r="M863" s="32"/>
      <c r="N863" s="32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spans="1:27" ht="13.5" customHeight="1">
      <c r="A864" s="31"/>
      <c r="B864" s="32"/>
      <c r="C864" s="31"/>
      <c r="D864" s="31"/>
      <c r="E864" s="31"/>
      <c r="F864" s="31"/>
      <c r="G864" s="31"/>
      <c r="H864" s="31"/>
      <c r="I864" s="33"/>
      <c r="J864" s="31"/>
      <c r="K864" s="31"/>
      <c r="L864" s="32"/>
      <c r="M864" s="32"/>
      <c r="N864" s="32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spans="1:27" ht="13.5" customHeight="1">
      <c r="A865" s="31"/>
      <c r="B865" s="32"/>
      <c r="C865" s="31"/>
      <c r="D865" s="31"/>
      <c r="E865" s="31"/>
      <c r="F865" s="31"/>
      <c r="G865" s="31"/>
      <c r="H865" s="31"/>
      <c r="I865" s="33"/>
      <c r="J865" s="31"/>
      <c r="K865" s="31"/>
      <c r="L865" s="32"/>
      <c r="M865" s="32"/>
      <c r="N865" s="32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spans="1:27" ht="13.5" customHeight="1">
      <c r="A866" s="31"/>
      <c r="B866" s="32"/>
      <c r="C866" s="31"/>
      <c r="D866" s="31"/>
      <c r="E866" s="31"/>
      <c r="F866" s="31"/>
      <c r="G866" s="31"/>
      <c r="H866" s="31"/>
      <c r="I866" s="33"/>
      <c r="J866" s="31"/>
      <c r="K866" s="31"/>
      <c r="L866" s="32"/>
      <c r="M866" s="32"/>
      <c r="N866" s="32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spans="1:27" ht="13.5" customHeight="1">
      <c r="A867" s="31"/>
      <c r="B867" s="32"/>
      <c r="C867" s="31"/>
      <c r="D867" s="31"/>
      <c r="E867" s="31"/>
      <c r="F867" s="31"/>
      <c r="G867" s="31"/>
      <c r="H867" s="31"/>
      <c r="I867" s="33"/>
      <c r="J867" s="31"/>
      <c r="K867" s="31"/>
      <c r="L867" s="32"/>
      <c r="M867" s="32"/>
      <c r="N867" s="32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spans="1:27" ht="13.5" customHeight="1">
      <c r="A868" s="31"/>
      <c r="B868" s="32"/>
      <c r="C868" s="31"/>
      <c r="D868" s="31"/>
      <c r="E868" s="31"/>
      <c r="F868" s="31"/>
      <c r="G868" s="31"/>
      <c r="H868" s="31"/>
      <c r="I868" s="33"/>
      <c r="J868" s="31"/>
      <c r="K868" s="31"/>
      <c r="L868" s="32"/>
      <c r="M868" s="32"/>
      <c r="N868" s="32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spans="1:27" ht="13.5" customHeight="1">
      <c r="A869" s="31"/>
      <c r="B869" s="32"/>
      <c r="C869" s="31"/>
      <c r="D869" s="31"/>
      <c r="E869" s="31"/>
      <c r="F869" s="31"/>
      <c r="G869" s="31"/>
      <c r="H869" s="31"/>
      <c r="I869" s="33"/>
      <c r="J869" s="31"/>
      <c r="K869" s="31"/>
      <c r="L869" s="32"/>
      <c r="M869" s="32"/>
      <c r="N869" s="32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spans="1:27" ht="13.5" customHeight="1">
      <c r="A870" s="31"/>
      <c r="B870" s="32"/>
      <c r="C870" s="31"/>
      <c r="D870" s="31"/>
      <c r="E870" s="31"/>
      <c r="F870" s="31"/>
      <c r="G870" s="31"/>
      <c r="H870" s="31"/>
      <c r="I870" s="33"/>
      <c r="J870" s="31"/>
      <c r="K870" s="31"/>
      <c r="L870" s="32"/>
      <c r="M870" s="32"/>
      <c r="N870" s="32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spans="1:27" ht="13.5" customHeight="1">
      <c r="A871" s="31"/>
      <c r="B871" s="32"/>
      <c r="C871" s="31"/>
      <c r="D871" s="31"/>
      <c r="E871" s="31"/>
      <c r="F871" s="31"/>
      <c r="G871" s="31"/>
      <c r="H871" s="31"/>
      <c r="I871" s="33"/>
      <c r="J871" s="31"/>
      <c r="K871" s="31"/>
      <c r="L871" s="32"/>
      <c r="M871" s="32"/>
      <c r="N871" s="32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spans="1:27" ht="13.5" customHeight="1">
      <c r="A872" s="31"/>
      <c r="B872" s="32"/>
      <c r="C872" s="31"/>
      <c r="D872" s="31"/>
      <c r="E872" s="31"/>
      <c r="F872" s="31"/>
      <c r="G872" s="31"/>
      <c r="H872" s="31"/>
      <c r="I872" s="33"/>
      <c r="J872" s="31"/>
      <c r="K872" s="31"/>
      <c r="L872" s="32"/>
      <c r="M872" s="32"/>
      <c r="N872" s="32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spans="1:27" ht="13.5" customHeight="1">
      <c r="A873" s="31"/>
      <c r="B873" s="32"/>
      <c r="C873" s="31"/>
      <c r="D873" s="31"/>
      <c r="E873" s="31"/>
      <c r="F873" s="31"/>
      <c r="G873" s="31"/>
      <c r="H873" s="31"/>
      <c r="I873" s="33"/>
      <c r="J873" s="31"/>
      <c r="K873" s="31"/>
      <c r="L873" s="32"/>
      <c r="M873" s="32"/>
      <c r="N873" s="32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spans="1:27" ht="13.5" customHeight="1">
      <c r="A874" s="31"/>
      <c r="B874" s="32"/>
      <c r="C874" s="31"/>
      <c r="D874" s="31"/>
      <c r="E874" s="31"/>
      <c r="F874" s="31"/>
      <c r="G874" s="31"/>
      <c r="H874" s="31"/>
      <c r="I874" s="33"/>
      <c r="J874" s="31"/>
      <c r="K874" s="31"/>
      <c r="L874" s="32"/>
      <c r="M874" s="32"/>
      <c r="N874" s="32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spans="1:27" ht="13.5" customHeight="1">
      <c r="A875" s="31"/>
      <c r="B875" s="32"/>
      <c r="C875" s="31"/>
      <c r="D875" s="31"/>
      <c r="E875" s="31"/>
      <c r="F875" s="31"/>
      <c r="G875" s="31"/>
      <c r="H875" s="31"/>
      <c r="I875" s="33"/>
      <c r="J875" s="31"/>
      <c r="K875" s="31"/>
      <c r="L875" s="32"/>
      <c r="M875" s="32"/>
      <c r="N875" s="32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spans="1:27" ht="13.5" customHeight="1">
      <c r="A876" s="31"/>
      <c r="B876" s="32"/>
      <c r="C876" s="31"/>
      <c r="D876" s="31"/>
      <c r="E876" s="31"/>
      <c r="F876" s="31"/>
      <c r="G876" s="31"/>
      <c r="H876" s="31"/>
      <c r="I876" s="33"/>
      <c r="J876" s="31"/>
      <c r="K876" s="31"/>
      <c r="L876" s="32"/>
      <c r="M876" s="32"/>
      <c r="N876" s="32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spans="1:27" ht="13.5" customHeight="1">
      <c r="A877" s="31"/>
      <c r="B877" s="32"/>
      <c r="C877" s="31"/>
      <c r="D877" s="31"/>
      <c r="E877" s="31"/>
      <c r="F877" s="31"/>
      <c r="G877" s="31"/>
      <c r="H877" s="31"/>
      <c r="I877" s="33"/>
      <c r="J877" s="31"/>
      <c r="K877" s="31"/>
      <c r="L877" s="32"/>
      <c r="M877" s="32"/>
      <c r="N877" s="32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spans="1:27" ht="13.5" customHeight="1">
      <c r="A878" s="31"/>
      <c r="B878" s="32"/>
      <c r="C878" s="31"/>
      <c r="D878" s="31"/>
      <c r="E878" s="31"/>
      <c r="F878" s="31"/>
      <c r="G878" s="31"/>
      <c r="H878" s="31"/>
      <c r="I878" s="33"/>
      <c r="J878" s="31"/>
      <c r="K878" s="31"/>
      <c r="L878" s="32"/>
      <c r="M878" s="32"/>
      <c r="N878" s="32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spans="1:27" ht="13.5" customHeight="1">
      <c r="A879" s="31"/>
      <c r="B879" s="32"/>
      <c r="C879" s="31"/>
      <c r="D879" s="31"/>
      <c r="E879" s="31"/>
      <c r="F879" s="31"/>
      <c r="G879" s="31"/>
      <c r="H879" s="31"/>
      <c r="I879" s="33"/>
      <c r="J879" s="31"/>
      <c r="K879" s="31"/>
      <c r="L879" s="32"/>
      <c r="M879" s="32"/>
      <c r="N879" s="32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spans="1:27" ht="13.5" customHeight="1">
      <c r="A880" s="31"/>
      <c r="B880" s="32"/>
      <c r="C880" s="31"/>
      <c r="D880" s="31"/>
      <c r="E880" s="31"/>
      <c r="F880" s="31"/>
      <c r="G880" s="31"/>
      <c r="H880" s="31"/>
      <c r="I880" s="33"/>
      <c r="J880" s="31"/>
      <c r="K880" s="31"/>
      <c r="L880" s="32"/>
      <c r="M880" s="32"/>
      <c r="N880" s="32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spans="1:27" ht="13.5" customHeight="1">
      <c r="A881" s="31"/>
      <c r="B881" s="32"/>
      <c r="C881" s="31"/>
      <c r="D881" s="31"/>
      <c r="E881" s="31"/>
      <c r="F881" s="31"/>
      <c r="G881" s="31"/>
      <c r="H881" s="31"/>
      <c r="I881" s="33"/>
      <c r="J881" s="31"/>
      <c r="K881" s="31"/>
      <c r="L881" s="32"/>
      <c r="M881" s="32"/>
      <c r="N881" s="32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spans="1:27" ht="13.5" customHeight="1">
      <c r="A882" s="31"/>
      <c r="B882" s="32"/>
      <c r="C882" s="31"/>
      <c r="D882" s="31"/>
      <c r="E882" s="31"/>
      <c r="F882" s="31"/>
      <c r="G882" s="31"/>
      <c r="H882" s="31"/>
      <c r="I882" s="33"/>
      <c r="J882" s="31"/>
      <c r="K882" s="31"/>
      <c r="L882" s="32"/>
      <c r="M882" s="32"/>
      <c r="N882" s="32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spans="1:27" ht="13.5" customHeight="1">
      <c r="A883" s="31"/>
      <c r="B883" s="32"/>
      <c r="C883" s="31"/>
      <c r="D883" s="31"/>
      <c r="E883" s="31"/>
      <c r="F883" s="31"/>
      <c r="G883" s="31"/>
      <c r="H883" s="31"/>
      <c r="I883" s="33"/>
      <c r="J883" s="31"/>
      <c r="K883" s="31"/>
      <c r="L883" s="32"/>
      <c r="M883" s="32"/>
      <c r="N883" s="32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spans="1:27" ht="13.5" customHeight="1">
      <c r="A884" s="31"/>
      <c r="B884" s="32"/>
      <c r="C884" s="31"/>
      <c r="D884" s="31"/>
      <c r="E884" s="31"/>
      <c r="F884" s="31"/>
      <c r="G884" s="31"/>
      <c r="H884" s="31"/>
      <c r="I884" s="33"/>
      <c r="J884" s="31"/>
      <c r="K884" s="31"/>
      <c r="L884" s="32"/>
      <c r="M884" s="32"/>
      <c r="N884" s="32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spans="1:27" ht="13.5" customHeight="1">
      <c r="A885" s="31"/>
      <c r="B885" s="32"/>
      <c r="C885" s="31"/>
      <c r="D885" s="31"/>
      <c r="E885" s="31"/>
      <c r="F885" s="31"/>
      <c r="G885" s="31"/>
      <c r="H885" s="31"/>
      <c r="I885" s="33"/>
      <c r="J885" s="31"/>
      <c r="K885" s="31"/>
      <c r="L885" s="32"/>
      <c r="M885" s="32"/>
      <c r="N885" s="32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spans="1:27" ht="13.5" customHeight="1">
      <c r="A886" s="31"/>
      <c r="B886" s="32"/>
      <c r="C886" s="31"/>
      <c r="D886" s="31"/>
      <c r="E886" s="31"/>
      <c r="F886" s="31"/>
      <c r="G886" s="31"/>
      <c r="H886" s="31"/>
      <c r="I886" s="33"/>
      <c r="J886" s="31"/>
      <c r="K886" s="31"/>
      <c r="L886" s="32"/>
      <c r="M886" s="32"/>
      <c r="N886" s="32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spans="1:27" ht="13.5" customHeight="1">
      <c r="A887" s="31"/>
      <c r="B887" s="32"/>
      <c r="C887" s="31"/>
      <c r="D887" s="31"/>
      <c r="E887" s="31"/>
      <c r="F887" s="31"/>
      <c r="G887" s="31"/>
      <c r="H887" s="31"/>
      <c r="I887" s="33"/>
      <c r="J887" s="31"/>
      <c r="K887" s="31"/>
      <c r="L887" s="32"/>
      <c r="M887" s="32"/>
      <c r="N887" s="32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spans="1:27" ht="13.5" customHeight="1">
      <c r="A888" s="31"/>
      <c r="B888" s="32"/>
      <c r="C888" s="31"/>
      <c r="D888" s="31"/>
      <c r="E888" s="31"/>
      <c r="F888" s="31"/>
      <c r="G888" s="31"/>
      <c r="H888" s="31"/>
      <c r="I888" s="33"/>
      <c r="J888" s="31"/>
      <c r="K888" s="31"/>
      <c r="L888" s="32"/>
      <c r="M888" s="32"/>
      <c r="N888" s="32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spans="1:27" ht="13.5" customHeight="1">
      <c r="A889" s="31"/>
      <c r="B889" s="32"/>
      <c r="C889" s="31"/>
      <c r="D889" s="31"/>
      <c r="E889" s="31"/>
      <c r="F889" s="31"/>
      <c r="G889" s="31"/>
      <c r="H889" s="31"/>
      <c r="I889" s="33"/>
      <c r="J889" s="31"/>
      <c r="K889" s="31"/>
      <c r="L889" s="32"/>
      <c r="M889" s="32"/>
      <c r="N889" s="32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spans="1:27" ht="13.5" customHeight="1">
      <c r="A890" s="31"/>
      <c r="B890" s="32"/>
      <c r="C890" s="31"/>
      <c r="D890" s="31"/>
      <c r="E890" s="31"/>
      <c r="F890" s="31"/>
      <c r="G890" s="31"/>
      <c r="H890" s="31"/>
      <c r="I890" s="33"/>
      <c r="J890" s="31"/>
      <c r="K890" s="31"/>
      <c r="L890" s="32"/>
      <c r="M890" s="32"/>
      <c r="N890" s="32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spans="1:27" ht="13.5" customHeight="1">
      <c r="A891" s="31"/>
      <c r="B891" s="32"/>
      <c r="C891" s="31"/>
      <c r="D891" s="31"/>
      <c r="E891" s="31"/>
      <c r="F891" s="31"/>
      <c r="G891" s="31"/>
      <c r="H891" s="31"/>
      <c r="I891" s="33"/>
      <c r="J891" s="31"/>
      <c r="K891" s="31"/>
      <c r="L891" s="32"/>
      <c r="M891" s="32"/>
      <c r="N891" s="32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spans="1:27" ht="13.5" customHeight="1">
      <c r="A892" s="31"/>
      <c r="B892" s="32"/>
      <c r="C892" s="31"/>
      <c r="D892" s="31"/>
      <c r="E892" s="31"/>
      <c r="F892" s="31"/>
      <c r="G892" s="31"/>
      <c r="H892" s="31"/>
      <c r="I892" s="33"/>
      <c r="J892" s="31"/>
      <c r="K892" s="31"/>
      <c r="L892" s="32"/>
      <c r="M892" s="32"/>
      <c r="N892" s="32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spans="1:27" ht="13.5" customHeight="1">
      <c r="A893" s="31"/>
      <c r="B893" s="32"/>
      <c r="C893" s="31"/>
      <c r="D893" s="31"/>
      <c r="E893" s="31"/>
      <c r="F893" s="31"/>
      <c r="G893" s="31"/>
      <c r="H893" s="31"/>
      <c r="I893" s="33"/>
      <c r="J893" s="31"/>
      <c r="K893" s="31"/>
      <c r="L893" s="32"/>
      <c r="M893" s="32"/>
      <c r="N893" s="32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spans="1:27" ht="13.5" customHeight="1">
      <c r="A894" s="31"/>
      <c r="B894" s="32"/>
      <c r="C894" s="31"/>
      <c r="D894" s="31"/>
      <c r="E894" s="31"/>
      <c r="F894" s="31"/>
      <c r="G894" s="31"/>
      <c r="H894" s="31"/>
      <c r="I894" s="33"/>
      <c r="J894" s="31"/>
      <c r="K894" s="31"/>
      <c r="L894" s="32"/>
      <c r="M894" s="32"/>
      <c r="N894" s="32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spans="1:27" ht="13.5" customHeight="1">
      <c r="A895" s="31"/>
      <c r="B895" s="32"/>
      <c r="C895" s="31"/>
      <c r="D895" s="31"/>
      <c r="E895" s="31"/>
      <c r="F895" s="31"/>
      <c r="G895" s="31"/>
      <c r="H895" s="31"/>
      <c r="I895" s="33"/>
      <c r="J895" s="31"/>
      <c r="K895" s="31"/>
      <c r="L895" s="32"/>
      <c r="M895" s="32"/>
      <c r="N895" s="32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spans="1:27" ht="13.5" customHeight="1">
      <c r="A896" s="31"/>
      <c r="B896" s="32"/>
      <c r="C896" s="31"/>
      <c r="D896" s="31"/>
      <c r="E896" s="31"/>
      <c r="F896" s="31"/>
      <c r="G896" s="31"/>
      <c r="H896" s="31"/>
      <c r="I896" s="33"/>
      <c r="J896" s="31"/>
      <c r="K896" s="31"/>
      <c r="L896" s="32"/>
      <c r="M896" s="32"/>
      <c r="N896" s="32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spans="1:27" ht="13.5" customHeight="1">
      <c r="A897" s="31"/>
      <c r="B897" s="32"/>
      <c r="C897" s="31"/>
      <c r="D897" s="31"/>
      <c r="E897" s="31"/>
      <c r="F897" s="31"/>
      <c r="G897" s="31"/>
      <c r="H897" s="31"/>
      <c r="I897" s="33"/>
      <c r="J897" s="31"/>
      <c r="K897" s="31"/>
      <c r="L897" s="32"/>
      <c r="M897" s="32"/>
      <c r="N897" s="32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spans="1:27" ht="13.5" customHeight="1">
      <c r="A898" s="31"/>
      <c r="B898" s="32"/>
      <c r="C898" s="31"/>
      <c r="D898" s="31"/>
      <c r="E898" s="31"/>
      <c r="F898" s="31"/>
      <c r="G898" s="31"/>
      <c r="H898" s="31"/>
      <c r="I898" s="33"/>
      <c r="J898" s="31"/>
      <c r="K898" s="31"/>
      <c r="L898" s="32"/>
      <c r="M898" s="32"/>
      <c r="N898" s="32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spans="1:27" ht="13.5" customHeight="1">
      <c r="A899" s="31"/>
      <c r="B899" s="32"/>
      <c r="C899" s="31"/>
      <c r="D899" s="31"/>
      <c r="E899" s="31"/>
      <c r="F899" s="31"/>
      <c r="G899" s="31"/>
      <c r="H899" s="31"/>
      <c r="I899" s="33"/>
      <c r="J899" s="31"/>
      <c r="K899" s="31"/>
      <c r="L899" s="32"/>
      <c r="M899" s="32"/>
      <c r="N899" s="32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spans="1:27" ht="13.5" customHeight="1">
      <c r="A900" s="31"/>
      <c r="B900" s="32"/>
      <c r="C900" s="31"/>
      <c r="D900" s="31"/>
      <c r="E900" s="31"/>
      <c r="F900" s="31"/>
      <c r="G900" s="31"/>
      <c r="H900" s="31"/>
      <c r="I900" s="33"/>
      <c r="J900" s="31"/>
      <c r="K900" s="31"/>
      <c r="L900" s="32"/>
      <c r="M900" s="32"/>
      <c r="N900" s="32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spans="1:27" ht="13.5" customHeight="1">
      <c r="A901" s="31"/>
      <c r="B901" s="32"/>
      <c r="C901" s="31"/>
      <c r="D901" s="31"/>
      <c r="E901" s="31"/>
      <c r="F901" s="31"/>
      <c r="G901" s="31"/>
      <c r="H901" s="31"/>
      <c r="I901" s="33"/>
      <c r="J901" s="31"/>
      <c r="K901" s="31"/>
      <c r="L901" s="32"/>
      <c r="M901" s="32"/>
      <c r="N901" s="32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spans="1:27" ht="13.5" customHeight="1">
      <c r="A902" s="31"/>
      <c r="B902" s="32"/>
      <c r="C902" s="31"/>
      <c r="D902" s="31"/>
      <c r="E902" s="31"/>
      <c r="F902" s="31"/>
      <c r="G902" s="31"/>
      <c r="H902" s="31"/>
      <c r="I902" s="33"/>
      <c r="J902" s="31"/>
      <c r="K902" s="31"/>
      <c r="L902" s="32"/>
      <c r="M902" s="32"/>
      <c r="N902" s="32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spans="1:27" ht="13.5" customHeight="1">
      <c r="A903" s="31"/>
      <c r="B903" s="32"/>
      <c r="C903" s="31"/>
      <c r="D903" s="31"/>
      <c r="E903" s="31"/>
      <c r="F903" s="31"/>
      <c r="G903" s="31"/>
      <c r="H903" s="31"/>
      <c r="I903" s="33"/>
      <c r="J903" s="31"/>
      <c r="K903" s="31"/>
      <c r="L903" s="32"/>
      <c r="M903" s="32"/>
      <c r="N903" s="32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spans="1:27" ht="13.5" customHeight="1">
      <c r="A904" s="31"/>
      <c r="B904" s="32"/>
      <c r="C904" s="31"/>
      <c r="D904" s="31"/>
      <c r="E904" s="31"/>
      <c r="F904" s="31"/>
      <c r="G904" s="31"/>
      <c r="H904" s="31"/>
      <c r="I904" s="33"/>
      <c r="J904" s="31"/>
      <c r="K904" s="31"/>
      <c r="L904" s="32"/>
      <c r="M904" s="32"/>
      <c r="N904" s="32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spans="1:27" ht="13.5" customHeight="1">
      <c r="A905" s="31"/>
      <c r="B905" s="32"/>
      <c r="C905" s="31"/>
      <c r="D905" s="31"/>
      <c r="E905" s="31"/>
      <c r="F905" s="31"/>
      <c r="G905" s="31"/>
      <c r="H905" s="31"/>
      <c r="I905" s="33"/>
      <c r="J905" s="31"/>
      <c r="K905" s="31"/>
      <c r="L905" s="32"/>
      <c r="M905" s="32"/>
      <c r="N905" s="32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spans="1:27" ht="13.5" customHeight="1">
      <c r="A906" s="31"/>
      <c r="B906" s="32"/>
      <c r="C906" s="31"/>
      <c r="D906" s="31"/>
      <c r="E906" s="31"/>
      <c r="F906" s="31"/>
      <c r="G906" s="31"/>
      <c r="H906" s="31"/>
      <c r="I906" s="33"/>
      <c r="J906" s="31"/>
      <c r="K906" s="31"/>
      <c r="L906" s="32"/>
      <c r="M906" s="32"/>
      <c r="N906" s="32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spans="1:27" ht="13.5" customHeight="1">
      <c r="A907" s="31"/>
      <c r="B907" s="32"/>
      <c r="C907" s="31"/>
      <c r="D907" s="31"/>
      <c r="E907" s="31"/>
      <c r="F907" s="31"/>
      <c r="G907" s="31"/>
      <c r="H907" s="31"/>
      <c r="I907" s="33"/>
      <c r="J907" s="31"/>
      <c r="K907" s="31"/>
      <c r="L907" s="32"/>
      <c r="M907" s="32"/>
      <c r="N907" s="32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spans="1:27" ht="13.5" customHeight="1">
      <c r="A908" s="31"/>
      <c r="B908" s="32"/>
      <c r="C908" s="31"/>
      <c r="D908" s="31"/>
      <c r="E908" s="31"/>
      <c r="F908" s="31"/>
      <c r="G908" s="31"/>
      <c r="H908" s="31"/>
      <c r="I908" s="33"/>
      <c r="J908" s="31"/>
      <c r="K908" s="31"/>
      <c r="L908" s="32"/>
      <c r="M908" s="32"/>
      <c r="N908" s="32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spans="1:27" ht="13.5" customHeight="1">
      <c r="A909" s="31"/>
      <c r="B909" s="32"/>
      <c r="C909" s="31"/>
      <c r="D909" s="31"/>
      <c r="E909" s="31"/>
      <c r="F909" s="31"/>
      <c r="G909" s="31"/>
      <c r="H909" s="31"/>
      <c r="I909" s="33"/>
      <c r="J909" s="31"/>
      <c r="K909" s="31"/>
      <c r="L909" s="32"/>
      <c r="M909" s="32"/>
      <c r="N909" s="32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spans="1:27" ht="13.5" customHeight="1">
      <c r="A910" s="31"/>
      <c r="B910" s="32"/>
      <c r="C910" s="31"/>
      <c r="D910" s="31"/>
      <c r="E910" s="31"/>
      <c r="F910" s="31"/>
      <c r="G910" s="31"/>
      <c r="H910" s="31"/>
      <c r="I910" s="33"/>
      <c r="J910" s="31"/>
      <c r="K910" s="31"/>
      <c r="L910" s="32"/>
      <c r="M910" s="32"/>
      <c r="N910" s="32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spans="1:27" ht="13.5" customHeight="1">
      <c r="A911" s="31"/>
      <c r="B911" s="32"/>
      <c r="C911" s="31"/>
      <c r="D911" s="31"/>
      <c r="E911" s="31"/>
      <c r="F911" s="31"/>
      <c r="G911" s="31"/>
      <c r="H911" s="31"/>
      <c r="I911" s="33"/>
      <c r="J911" s="31"/>
      <c r="K911" s="31"/>
      <c r="L911" s="32"/>
      <c r="M911" s="32"/>
      <c r="N911" s="32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spans="1:27" ht="13.5" customHeight="1">
      <c r="A912" s="31"/>
      <c r="B912" s="32"/>
      <c r="C912" s="31"/>
      <c r="D912" s="31"/>
      <c r="E912" s="31"/>
      <c r="F912" s="31"/>
      <c r="G912" s="31"/>
      <c r="H912" s="31"/>
      <c r="I912" s="33"/>
      <c r="J912" s="31"/>
      <c r="K912" s="31"/>
      <c r="L912" s="32"/>
      <c r="M912" s="32"/>
      <c r="N912" s="32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spans="1:27" ht="13.5" customHeight="1">
      <c r="A913" s="31"/>
      <c r="B913" s="32"/>
      <c r="C913" s="31"/>
      <c r="D913" s="31"/>
      <c r="E913" s="31"/>
      <c r="F913" s="31"/>
      <c r="G913" s="31"/>
      <c r="H913" s="31"/>
      <c r="I913" s="33"/>
      <c r="J913" s="31"/>
      <c r="K913" s="31"/>
      <c r="L913" s="32"/>
      <c r="M913" s="32"/>
      <c r="N913" s="32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spans="1:27" ht="13.5" customHeight="1">
      <c r="A914" s="31"/>
      <c r="B914" s="32"/>
      <c r="C914" s="31"/>
      <c r="D914" s="31"/>
      <c r="E914" s="31"/>
      <c r="F914" s="31"/>
      <c r="G914" s="31"/>
      <c r="H914" s="31"/>
      <c r="I914" s="33"/>
      <c r="J914" s="31"/>
      <c r="K914" s="31"/>
      <c r="L914" s="32"/>
      <c r="M914" s="32"/>
      <c r="N914" s="32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spans="1:27" ht="13.5" customHeight="1">
      <c r="A915" s="31"/>
      <c r="B915" s="32"/>
      <c r="C915" s="31"/>
      <c r="D915" s="31"/>
      <c r="E915" s="31"/>
      <c r="F915" s="31"/>
      <c r="G915" s="31"/>
      <c r="H915" s="31"/>
      <c r="I915" s="33"/>
      <c r="J915" s="31"/>
      <c r="K915" s="31"/>
      <c r="L915" s="32"/>
      <c r="M915" s="32"/>
      <c r="N915" s="32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spans="1:27" ht="13.5" customHeight="1">
      <c r="A916" s="31"/>
      <c r="B916" s="32"/>
      <c r="C916" s="31"/>
      <c r="D916" s="31"/>
      <c r="E916" s="31"/>
      <c r="F916" s="31"/>
      <c r="G916" s="31"/>
      <c r="H916" s="31"/>
      <c r="I916" s="33"/>
      <c r="J916" s="31"/>
      <c r="K916" s="31"/>
      <c r="L916" s="32"/>
      <c r="M916" s="32"/>
      <c r="N916" s="32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spans="1:27" ht="13.5" customHeight="1">
      <c r="A917" s="31"/>
      <c r="B917" s="32"/>
      <c r="C917" s="31"/>
      <c r="D917" s="31"/>
      <c r="E917" s="31"/>
      <c r="F917" s="31"/>
      <c r="G917" s="31"/>
      <c r="H917" s="31"/>
      <c r="I917" s="33"/>
      <c r="J917" s="31"/>
      <c r="K917" s="31"/>
      <c r="L917" s="32"/>
      <c r="M917" s="32"/>
      <c r="N917" s="32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spans="1:27" ht="13.5" customHeight="1">
      <c r="A918" s="31"/>
      <c r="B918" s="32"/>
      <c r="C918" s="31"/>
      <c r="D918" s="31"/>
      <c r="E918" s="31"/>
      <c r="F918" s="31"/>
      <c r="G918" s="31"/>
      <c r="H918" s="31"/>
      <c r="I918" s="33"/>
      <c r="J918" s="31"/>
      <c r="K918" s="31"/>
      <c r="L918" s="32"/>
      <c r="M918" s="32"/>
      <c r="N918" s="32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spans="1:27" ht="13.5" customHeight="1">
      <c r="A919" s="31"/>
      <c r="B919" s="32"/>
      <c r="C919" s="31"/>
      <c r="D919" s="31"/>
      <c r="E919" s="31"/>
      <c r="F919" s="31"/>
      <c r="G919" s="31"/>
      <c r="H919" s="31"/>
      <c r="I919" s="33"/>
      <c r="J919" s="31"/>
      <c r="K919" s="31"/>
      <c r="L919" s="32"/>
      <c r="M919" s="32"/>
      <c r="N919" s="32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spans="1:27" ht="13.5" customHeight="1">
      <c r="A920" s="31"/>
      <c r="B920" s="32"/>
      <c r="C920" s="31"/>
      <c r="D920" s="31"/>
      <c r="E920" s="31"/>
      <c r="F920" s="31"/>
      <c r="G920" s="31"/>
      <c r="H920" s="31"/>
      <c r="I920" s="33"/>
      <c r="J920" s="31"/>
      <c r="K920" s="31"/>
      <c r="L920" s="32"/>
      <c r="M920" s="32"/>
      <c r="N920" s="32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spans="1:27" ht="13.5" customHeight="1">
      <c r="A921" s="31"/>
      <c r="B921" s="32"/>
      <c r="C921" s="31"/>
      <c r="D921" s="31"/>
      <c r="E921" s="31"/>
      <c r="F921" s="31"/>
      <c r="G921" s="31"/>
      <c r="H921" s="31"/>
      <c r="I921" s="33"/>
      <c r="J921" s="31"/>
      <c r="K921" s="31"/>
      <c r="L921" s="32"/>
      <c r="M921" s="32"/>
      <c r="N921" s="32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spans="1:27" ht="13.5" customHeight="1">
      <c r="A922" s="31"/>
      <c r="B922" s="32"/>
      <c r="C922" s="31"/>
      <c r="D922" s="31"/>
      <c r="E922" s="31"/>
      <c r="F922" s="31"/>
      <c r="G922" s="31"/>
      <c r="H922" s="31"/>
      <c r="I922" s="33"/>
      <c r="J922" s="31"/>
      <c r="K922" s="31"/>
      <c r="L922" s="32"/>
      <c r="M922" s="32"/>
      <c r="N922" s="32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spans="1:27" ht="13.5" customHeight="1">
      <c r="A923" s="31"/>
      <c r="B923" s="32"/>
      <c r="C923" s="31"/>
      <c r="D923" s="31"/>
      <c r="E923" s="31"/>
      <c r="F923" s="31"/>
      <c r="G923" s="31"/>
      <c r="H923" s="31"/>
      <c r="I923" s="33"/>
      <c r="J923" s="31"/>
      <c r="K923" s="31"/>
      <c r="L923" s="32"/>
      <c r="M923" s="32"/>
      <c r="N923" s="32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spans="1:27" ht="13.5" customHeight="1">
      <c r="A924" s="31"/>
      <c r="B924" s="32"/>
      <c r="C924" s="31"/>
      <c r="D924" s="31"/>
      <c r="E924" s="31"/>
      <c r="F924" s="31"/>
      <c r="G924" s="31"/>
      <c r="H924" s="31"/>
      <c r="I924" s="33"/>
      <c r="J924" s="31"/>
      <c r="K924" s="31"/>
      <c r="L924" s="32"/>
      <c r="M924" s="32"/>
      <c r="N924" s="32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spans="1:27" ht="13.5" customHeight="1">
      <c r="A925" s="31"/>
      <c r="B925" s="32"/>
      <c r="C925" s="31"/>
      <c r="D925" s="31"/>
      <c r="E925" s="31"/>
      <c r="F925" s="31"/>
      <c r="G925" s="31"/>
      <c r="H925" s="31"/>
      <c r="I925" s="33"/>
      <c r="J925" s="31"/>
      <c r="K925" s="31"/>
      <c r="L925" s="32"/>
      <c r="M925" s="32"/>
      <c r="N925" s="32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spans="1:27" ht="13.5" customHeight="1">
      <c r="A926" s="31"/>
      <c r="B926" s="32"/>
      <c r="C926" s="31"/>
      <c r="D926" s="31"/>
      <c r="E926" s="31"/>
      <c r="F926" s="31"/>
      <c r="G926" s="31"/>
      <c r="H926" s="31"/>
      <c r="I926" s="33"/>
      <c r="J926" s="31"/>
      <c r="K926" s="31"/>
      <c r="L926" s="32"/>
      <c r="M926" s="32"/>
      <c r="N926" s="32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spans="1:27" ht="13.5" customHeight="1">
      <c r="A927" s="31"/>
      <c r="B927" s="32"/>
      <c r="C927" s="31"/>
      <c r="D927" s="31"/>
      <c r="E927" s="31"/>
      <c r="F927" s="31"/>
      <c r="G927" s="31"/>
      <c r="H927" s="31"/>
      <c r="I927" s="33"/>
      <c r="J927" s="31"/>
      <c r="K927" s="31"/>
      <c r="L927" s="32"/>
      <c r="M927" s="32"/>
      <c r="N927" s="32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spans="1:27" ht="13.5" customHeight="1">
      <c r="A928" s="31"/>
      <c r="B928" s="32"/>
      <c r="C928" s="31"/>
      <c r="D928" s="31"/>
      <c r="E928" s="31"/>
      <c r="F928" s="31"/>
      <c r="G928" s="31"/>
      <c r="H928" s="31"/>
      <c r="I928" s="33"/>
      <c r="J928" s="31"/>
      <c r="K928" s="31"/>
      <c r="L928" s="32"/>
      <c r="M928" s="32"/>
      <c r="N928" s="32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spans="1:27" ht="13.5" customHeight="1">
      <c r="A929" s="31"/>
      <c r="B929" s="32"/>
      <c r="C929" s="31"/>
      <c r="D929" s="31"/>
      <c r="E929" s="31"/>
      <c r="F929" s="31"/>
      <c r="G929" s="31"/>
      <c r="H929" s="31"/>
      <c r="I929" s="33"/>
      <c r="J929" s="31"/>
      <c r="K929" s="31"/>
      <c r="L929" s="32"/>
      <c r="M929" s="32"/>
      <c r="N929" s="32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spans="1:27" ht="13.5" customHeight="1">
      <c r="A930" s="31"/>
      <c r="B930" s="32"/>
      <c r="C930" s="31"/>
      <c r="D930" s="31"/>
      <c r="E930" s="31"/>
      <c r="F930" s="31"/>
      <c r="G930" s="31"/>
      <c r="H930" s="31"/>
      <c r="I930" s="33"/>
      <c r="J930" s="31"/>
      <c r="K930" s="31"/>
      <c r="L930" s="32"/>
      <c r="M930" s="32"/>
      <c r="N930" s="32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spans="1:27" ht="13.5" customHeight="1">
      <c r="A931" s="31"/>
      <c r="B931" s="32"/>
      <c r="C931" s="31"/>
      <c r="D931" s="31"/>
      <c r="E931" s="31"/>
      <c r="F931" s="31"/>
      <c r="G931" s="31"/>
      <c r="H931" s="31"/>
      <c r="I931" s="33"/>
      <c r="J931" s="31"/>
      <c r="K931" s="31"/>
      <c r="L931" s="32"/>
      <c r="M931" s="32"/>
      <c r="N931" s="32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spans="1:27" ht="13.5" customHeight="1">
      <c r="A932" s="31"/>
      <c r="B932" s="32"/>
      <c r="C932" s="31"/>
      <c r="D932" s="31"/>
      <c r="E932" s="31"/>
      <c r="F932" s="31"/>
      <c r="G932" s="31"/>
      <c r="H932" s="31"/>
      <c r="I932" s="33"/>
      <c r="J932" s="31"/>
      <c r="K932" s="31"/>
      <c r="L932" s="32"/>
      <c r="M932" s="32"/>
      <c r="N932" s="32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spans="1:27" ht="13.5" customHeight="1">
      <c r="A933" s="31"/>
      <c r="B933" s="32"/>
      <c r="C933" s="31"/>
      <c r="D933" s="31"/>
      <c r="E933" s="31"/>
      <c r="F933" s="31"/>
      <c r="G933" s="31"/>
      <c r="H933" s="31"/>
      <c r="I933" s="33"/>
      <c r="J933" s="31"/>
      <c r="K933" s="31"/>
      <c r="L933" s="32"/>
      <c r="M933" s="32"/>
      <c r="N933" s="32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spans="1:27" ht="13.5" customHeight="1">
      <c r="A934" s="31"/>
      <c r="B934" s="32"/>
      <c r="C934" s="31"/>
      <c r="D934" s="31"/>
      <c r="E934" s="31"/>
      <c r="F934" s="31"/>
      <c r="G934" s="31"/>
      <c r="H934" s="31"/>
      <c r="I934" s="33"/>
      <c r="J934" s="31"/>
      <c r="K934" s="31"/>
      <c r="L934" s="32"/>
      <c r="M934" s="32"/>
      <c r="N934" s="32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spans="1:27" ht="13.5" customHeight="1">
      <c r="A935" s="31"/>
      <c r="B935" s="32"/>
      <c r="C935" s="31"/>
      <c r="D935" s="31"/>
      <c r="E935" s="31"/>
      <c r="F935" s="31"/>
      <c r="G935" s="31"/>
      <c r="H935" s="31"/>
      <c r="I935" s="33"/>
      <c r="J935" s="31"/>
      <c r="K935" s="31"/>
      <c r="L935" s="32"/>
      <c r="M935" s="32"/>
      <c r="N935" s="32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spans="1:27" ht="13.5" customHeight="1">
      <c r="A936" s="31"/>
      <c r="B936" s="32"/>
      <c r="C936" s="31"/>
      <c r="D936" s="31"/>
      <c r="E936" s="31"/>
      <c r="F936" s="31"/>
      <c r="G936" s="31"/>
      <c r="H936" s="31"/>
      <c r="I936" s="33"/>
      <c r="J936" s="31"/>
      <c r="K936" s="31"/>
      <c r="L936" s="32"/>
      <c r="M936" s="32"/>
      <c r="N936" s="32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spans="1:27" ht="13.5" customHeight="1">
      <c r="A937" s="31"/>
      <c r="B937" s="32"/>
      <c r="C937" s="31"/>
      <c r="D937" s="31"/>
      <c r="E937" s="31"/>
      <c r="F937" s="31"/>
      <c r="G937" s="31"/>
      <c r="H937" s="31"/>
      <c r="I937" s="33"/>
      <c r="J937" s="31"/>
      <c r="K937" s="31"/>
      <c r="L937" s="32"/>
      <c r="M937" s="32"/>
      <c r="N937" s="32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spans="1:27" ht="13.5" customHeight="1">
      <c r="A938" s="31"/>
      <c r="B938" s="32"/>
      <c r="C938" s="31"/>
      <c r="D938" s="31"/>
      <c r="E938" s="31"/>
      <c r="F938" s="31"/>
      <c r="G938" s="31"/>
      <c r="H938" s="31"/>
      <c r="I938" s="33"/>
      <c r="J938" s="31"/>
      <c r="K938" s="31"/>
      <c r="L938" s="32"/>
      <c r="M938" s="32"/>
      <c r="N938" s="32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spans="1:27" ht="13.5" customHeight="1">
      <c r="A939" s="31"/>
      <c r="B939" s="32"/>
      <c r="C939" s="31"/>
      <c r="D939" s="31"/>
      <c r="E939" s="31"/>
      <c r="F939" s="31"/>
      <c r="G939" s="31"/>
      <c r="H939" s="31"/>
      <c r="I939" s="33"/>
      <c r="J939" s="31"/>
      <c r="K939" s="31"/>
      <c r="L939" s="32"/>
      <c r="M939" s="32"/>
      <c r="N939" s="32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spans="1:27" ht="13.5" customHeight="1">
      <c r="A940" s="31"/>
      <c r="B940" s="32"/>
      <c r="C940" s="31"/>
      <c r="D940" s="31"/>
      <c r="E940" s="31"/>
      <c r="F940" s="31"/>
      <c r="G940" s="31"/>
      <c r="H940" s="31"/>
      <c r="I940" s="33"/>
      <c r="J940" s="31"/>
      <c r="K940" s="31"/>
      <c r="L940" s="32"/>
      <c r="M940" s="32"/>
      <c r="N940" s="32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spans="1:27" ht="13.5" customHeight="1">
      <c r="A941" s="31"/>
      <c r="B941" s="32"/>
      <c r="C941" s="31"/>
      <c r="D941" s="31"/>
      <c r="E941" s="31"/>
      <c r="F941" s="31"/>
      <c r="G941" s="31"/>
      <c r="H941" s="31"/>
      <c r="I941" s="33"/>
      <c r="J941" s="31"/>
      <c r="K941" s="31"/>
      <c r="L941" s="32"/>
      <c r="M941" s="32"/>
      <c r="N941" s="32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spans="1:27" ht="13.5" customHeight="1">
      <c r="A942" s="31"/>
      <c r="B942" s="32"/>
      <c r="C942" s="31"/>
      <c r="D942" s="31"/>
      <c r="E942" s="31"/>
      <c r="F942" s="31"/>
      <c r="G942" s="31"/>
      <c r="H942" s="31"/>
      <c r="I942" s="33"/>
      <c r="J942" s="31"/>
      <c r="K942" s="31"/>
      <c r="L942" s="32"/>
      <c r="M942" s="32"/>
      <c r="N942" s="32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spans="1:27" ht="13.5" customHeight="1">
      <c r="A943" s="31"/>
      <c r="B943" s="32"/>
      <c r="C943" s="31"/>
      <c r="D943" s="31"/>
      <c r="E943" s="31"/>
      <c r="F943" s="31"/>
      <c r="G943" s="31"/>
      <c r="H943" s="31"/>
      <c r="I943" s="33"/>
      <c r="J943" s="31"/>
      <c r="K943" s="31"/>
      <c r="L943" s="32"/>
      <c r="M943" s="32"/>
      <c r="N943" s="32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spans="1:27" ht="13.5" customHeight="1">
      <c r="A944" s="31"/>
      <c r="B944" s="32"/>
      <c r="C944" s="31"/>
      <c r="D944" s="31"/>
      <c r="E944" s="31"/>
      <c r="F944" s="31"/>
      <c r="G944" s="31"/>
      <c r="H944" s="31"/>
      <c r="I944" s="33"/>
      <c r="J944" s="31"/>
      <c r="K944" s="31"/>
      <c r="L944" s="32"/>
      <c r="M944" s="32"/>
      <c r="N944" s="32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spans="1:27" ht="13.5" customHeight="1">
      <c r="A945" s="31"/>
      <c r="B945" s="32"/>
      <c r="C945" s="31"/>
      <c r="D945" s="31"/>
      <c r="E945" s="31"/>
      <c r="F945" s="31"/>
      <c r="G945" s="31"/>
      <c r="H945" s="31"/>
      <c r="I945" s="33"/>
      <c r="J945" s="31"/>
      <c r="K945" s="31"/>
      <c r="L945" s="32"/>
      <c r="M945" s="32"/>
      <c r="N945" s="32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spans="1:27" ht="13.5" customHeight="1">
      <c r="A946" s="31"/>
      <c r="B946" s="32"/>
      <c r="C946" s="31"/>
      <c r="D946" s="31"/>
      <c r="E946" s="31"/>
      <c r="F946" s="31"/>
      <c r="G946" s="31"/>
      <c r="H946" s="31"/>
      <c r="I946" s="33"/>
      <c r="J946" s="31"/>
      <c r="K946" s="31"/>
      <c r="L946" s="32"/>
      <c r="M946" s="32"/>
      <c r="N946" s="32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spans="1:27" ht="13.5" customHeight="1">
      <c r="A947" s="31"/>
      <c r="B947" s="32"/>
      <c r="C947" s="31"/>
      <c r="D947" s="31"/>
      <c r="E947" s="31"/>
      <c r="F947" s="31"/>
      <c r="G947" s="31"/>
      <c r="H947" s="31"/>
      <c r="I947" s="33"/>
      <c r="J947" s="31"/>
      <c r="K947" s="31"/>
      <c r="L947" s="32"/>
      <c r="M947" s="32"/>
      <c r="N947" s="32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spans="1:27" ht="13.5" customHeight="1">
      <c r="A948" s="31"/>
      <c r="B948" s="32"/>
      <c r="C948" s="31"/>
      <c r="D948" s="31"/>
      <c r="E948" s="31"/>
      <c r="F948" s="31"/>
      <c r="G948" s="31"/>
      <c r="H948" s="31"/>
      <c r="I948" s="33"/>
      <c r="J948" s="31"/>
      <c r="K948" s="31"/>
      <c r="L948" s="32"/>
      <c r="M948" s="32"/>
      <c r="N948" s="32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spans="1:27" ht="13.5" customHeight="1">
      <c r="A949" s="31"/>
      <c r="B949" s="32"/>
      <c r="C949" s="31"/>
      <c r="D949" s="31"/>
      <c r="E949" s="31"/>
      <c r="F949" s="31"/>
      <c r="G949" s="31"/>
      <c r="H949" s="31"/>
      <c r="I949" s="33"/>
      <c r="J949" s="31"/>
      <c r="K949" s="31"/>
      <c r="L949" s="32"/>
      <c r="M949" s="32"/>
      <c r="N949" s="32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spans="1:27" ht="13.5" customHeight="1">
      <c r="A950" s="31"/>
      <c r="B950" s="32"/>
      <c r="C950" s="31"/>
      <c r="D950" s="31"/>
      <c r="E950" s="31"/>
      <c r="F950" s="31"/>
      <c r="G950" s="31"/>
      <c r="H950" s="31"/>
      <c r="I950" s="33"/>
      <c r="J950" s="31"/>
      <c r="K950" s="31"/>
      <c r="L950" s="32"/>
      <c r="M950" s="32"/>
      <c r="N950" s="32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spans="1:27" ht="13.5" customHeight="1">
      <c r="A951" s="31"/>
      <c r="B951" s="32"/>
      <c r="C951" s="31"/>
      <c r="D951" s="31"/>
      <c r="E951" s="31"/>
      <c r="F951" s="31"/>
      <c r="G951" s="31"/>
      <c r="H951" s="31"/>
      <c r="I951" s="33"/>
      <c r="J951" s="31"/>
      <c r="K951" s="31"/>
      <c r="L951" s="32"/>
      <c r="M951" s="32"/>
      <c r="N951" s="32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spans="1:27" ht="13.5" customHeight="1">
      <c r="A952" s="31"/>
      <c r="B952" s="32"/>
      <c r="C952" s="31"/>
      <c r="D952" s="31"/>
      <c r="E952" s="31"/>
      <c r="F952" s="31"/>
      <c r="G952" s="31"/>
      <c r="H952" s="31"/>
      <c r="I952" s="33"/>
      <c r="J952" s="31"/>
      <c r="K952" s="31"/>
      <c r="L952" s="32"/>
      <c r="M952" s="32"/>
      <c r="N952" s="32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spans="1:27" ht="13.5" customHeight="1">
      <c r="A953" s="31"/>
      <c r="B953" s="32"/>
      <c r="C953" s="31"/>
      <c r="D953" s="31"/>
      <c r="E953" s="31"/>
      <c r="F953" s="31"/>
      <c r="G953" s="31"/>
      <c r="H953" s="31"/>
      <c r="I953" s="33"/>
      <c r="J953" s="31"/>
      <c r="K953" s="31"/>
      <c r="L953" s="32"/>
      <c r="M953" s="32"/>
      <c r="N953" s="32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spans="1:27" ht="13.5" customHeight="1">
      <c r="A954" s="31"/>
      <c r="B954" s="32"/>
      <c r="C954" s="31"/>
      <c r="D954" s="31"/>
      <c r="E954" s="31"/>
      <c r="F954" s="31"/>
      <c r="G954" s="31"/>
      <c r="H954" s="31"/>
      <c r="I954" s="33"/>
      <c r="J954" s="31"/>
      <c r="K954" s="31"/>
      <c r="L954" s="32"/>
      <c r="M954" s="32"/>
      <c r="N954" s="32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spans="1:27" ht="13.5" customHeight="1">
      <c r="A955" s="31"/>
      <c r="B955" s="32"/>
      <c r="C955" s="31"/>
      <c r="D955" s="31"/>
      <c r="E955" s="31"/>
      <c r="F955" s="31"/>
      <c r="G955" s="31"/>
      <c r="H955" s="31"/>
      <c r="I955" s="33"/>
      <c r="J955" s="31"/>
      <c r="K955" s="31"/>
      <c r="L955" s="32"/>
      <c r="M955" s="32"/>
      <c r="N955" s="32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spans="1:27" ht="13.5" customHeight="1">
      <c r="A956" s="31"/>
      <c r="B956" s="32"/>
      <c r="C956" s="31"/>
      <c r="D956" s="31"/>
      <c r="E956" s="31"/>
      <c r="F956" s="31"/>
      <c r="G956" s="31"/>
      <c r="H956" s="31"/>
      <c r="I956" s="33"/>
      <c r="J956" s="31"/>
      <c r="K956" s="31"/>
      <c r="L956" s="32"/>
      <c r="M956" s="32"/>
      <c r="N956" s="32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spans="1:27" ht="13.5" customHeight="1">
      <c r="A957" s="31"/>
      <c r="B957" s="32"/>
      <c r="C957" s="31"/>
      <c r="D957" s="31"/>
      <c r="E957" s="31"/>
      <c r="F957" s="31"/>
      <c r="G957" s="31"/>
      <c r="H957" s="31"/>
      <c r="I957" s="33"/>
      <c r="J957" s="31"/>
      <c r="K957" s="31"/>
      <c r="L957" s="32"/>
      <c r="M957" s="32"/>
      <c r="N957" s="32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spans="1:27" ht="13.5" customHeight="1">
      <c r="A958" s="31"/>
      <c r="B958" s="32"/>
      <c r="C958" s="31"/>
      <c r="D958" s="31"/>
      <c r="E958" s="31"/>
      <c r="F958" s="31"/>
      <c r="G958" s="31"/>
      <c r="H958" s="31"/>
      <c r="I958" s="33"/>
      <c r="J958" s="31"/>
      <c r="K958" s="31"/>
      <c r="L958" s="32"/>
      <c r="M958" s="32"/>
      <c r="N958" s="32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spans="1:27" ht="13.5" customHeight="1">
      <c r="A959" s="31"/>
      <c r="B959" s="32"/>
      <c r="C959" s="31"/>
      <c r="D959" s="31"/>
      <c r="E959" s="31"/>
      <c r="F959" s="31"/>
      <c r="G959" s="31"/>
      <c r="H959" s="31"/>
      <c r="I959" s="33"/>
      <c r="J959" s="31"/>
      <c r="K959" s="31"/>
      <c r="L959" s="32"/>
      <c r="M959" s="32"/>
      <c r="N959" s="32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spans="1:27" ht="13.5" customHeight="1">
      <c r="A960" s="31"/>
      <c r="B960" s="32"/>
      <c r="C960" s="31"/>
      <c r="D960" s="31"/>
      <c r="E960" s="31"/>
      <c r="F960" s="31"/>
      <c r="G960" s="31"/>
      <c r="H960" s="31"/>
      <c r="I960" s="33"/>
      <c r="J960" s="31"/>
      <c r="K960" s="31"/>
      <c r="L960" s="32"/>
      <c r="M960" s="32"/>
      <c r="N960" s="32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spans="1:27" ht="13.5" customHeight="1">
      <c r="A961" s="31"/>
      <c r="B961" s="32"/>
      <c r="C961" s="31"/>
      <c r="D961" s="31"/>
      <c r="E961" s="31"/>
      <c r="F961" s="31"/>
      <c r="G961" s="31"/>
      <c r="H961" s="31"/>
      <c r="I961" s="33"/>
      <c r="J961" s="31"/>
      <c r="K961" s="31"/>
      <c r="L961" s="32"/>
      <c r="M961" s="32"/>
      <c r="N961" s="32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spans="1:27" ht="13.5" customHeight="1">
      <c r="A962" s="31"/>
      <c r="B962" s="32"/>
      <c r="C962" s="31"/>
      <c r="D962" s="31"/>
      <c r="E962" s="31"/>
      <c r="F962" s="31"/>
      <c r="G962" s="31"/>
      <c r="H962" s="31"/>
      <c r="I962" s="33"/>
      <c r="J962" s="31"/>
      <c r="K962" s="31"/>
      <c r="L962" s="32"/>
      <c r="M962" s="32"/>
      <c r="N962" s="32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spans="1:27" ht="13.5" customHeight="1">
      <c r="A963" s="31"/>
      <c r="B963" s="32"/>
      <c r="C963" s="31"/>
      <c r="D963" s="31"/>
      <c r="E963" s="31"/>
      <c r="F963" s="31"/>
      <c r="G963" s="31"/>
      <c r="H963" s="31"/>
      <c r="I963" s="33"/>
      <c r="J963" s="31"/>
      <c r="K963" s="31"/>
      <c r="L963" s="32"/>
      <c r="M963" s="32"/>
      <c r="N963" s="32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spans="1:27" ht="13.5" customHeight="1">
      <c r="A964" s="31"/>
      <c r="B964" s="32"/>
      <c r="C964" s="31"/>
      <c r="D964" s="31"/>
      <c r="E964" s="31"/>
      <c r="F964" s="31"/>
      <c r="G964" s="31"/>
      <c r="H964" s="31"/>
      <c r="I964" s="33"/>
      <c r="J964" s="31"/>
      <c r="K964" s="31"/>
      <c r="L964" s="32"/>
      <c r="M964" s="32"/>
      <c r="N964" s="32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spans="1:27" ht="13.5" customHeight="1">
      <c r="A965" s="31"/>
      <c r="B965" s="32"/>
      <c r="C965" s="31"/>
      <c r="D965" s="31"/>
      <c r="E965" s="31"/>
      <c r="F965" s="31"/>
      <c r="G965" s="31"/>
      <c r="H965" s="31"/>
      <c r="I965" s="33"/>
      <c r="J965" s="31"/>
      <c r="K965" s="31"/>
      <c r="L965" s="32"/>
      <c r="M965" s="32"/>
      <c r="N965" s="32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spans="1:27" ht="13.5" customHeight="1">
      <c r="A966" s="31"/>
      <c r="B966" s="32"/>
      <c r="C966" s="31"/>
      <c r="D966" s="31"/>
      <c r="E966" s="31"/>
      <c r="F966" s="31"/>
      <c r="G966" s="31"/>
      <c r="H966" s="31"/>
      <c r="I966" s="33"/>
      <c r="J966" s="31"/>
      <c r="K966" s="31"/>
      <c r="L966" s="32"/>
      <c r="M966" s="32"/>
      <c r="N966" s="32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spans="1:27" ht="13.5" customHeight="1">
      <c r="A967" s="31"/>
      <c r="B967" s="32"/>
      <c r="C967" s="31"/>
      <c r="D967" s="31"/>
      <c r="E967" s="31"/>
      <c r="F967" s="31"/>
      <c r="G967" s="31"/>
      <c r="H967" s="31"/>
      <c r="I967" s="33"/>
      <c r="J967" s="31"/>
      <c r="K967" s="31"/>
      <c r="L967" s="32"/>
      <c r="M967" s="32"/>
      <c r="N967" s="32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spans="1:27" ht="13.5" customHeight="1">
      <c r="A968" s="31"/>
      <c r="B968" s="32"/>
      <c r="C968" s="31"/>
      <c r="D968" s="31"/>
      <c r="E968" s="31"/>
      <c r="F968" s="31"/>
      <c r="G968" s="31"/>
      <c r="H968" s="31"/>
      <c r="I968" s="33"/>
      <c r="J968" s="31"/>
      <c r="K968" s="31"/>
      <c r="L968" s="32"/>
      <c r="M968" s="32"/>
      <c r="N968" s="32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spans="1:27" ht="13.5" customHeight="1">
      <c r="A969" s="31"/>
      <c r="B969" s="32"/>
      <c r="C969" s="31"/>
      <c r="D969" s="31"/>
      <c r="E969" s="31"/>
      <c r="F969" s="31"/>
      <c r="G969" s="31"/>
      <c r="H969" s="31"/>
      <c r="I969" s="33"/>
      <c r="J969" s="31"/>
      <c r="K969" s="31"/>
      <c r="L969" s="32"/>
      <c r="M969" s="32"/>
      <c r="N969" s="32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spans="1:27" ht="13.5" customHeight="1">
      <c r="A970" s="31"/>
      <c r="B970" s="32"/>
      <c r="C970" s="31"/>
      <c r="D970" s="31"/>
      <c r="E970" s="31"/>
      <c r="F970" s="31"/>
      <c r="G970" s="31"/>
      <c r="H970" s="31"/>
      <c r="I970" s="33"/>
      <c r="J970" s="31"/>
      <c r="K970" s="31"/>
      <c r="L970" s="32"/>
      <c r="M970" s="32"/>
      <c r="N970" s="32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spans="1:27" ht="13.5" customHeight="1">
      <c r="A971" s="31"/>
      <c r="B971" s="32"/>
      <c r="C971" s="31"/>
      <c r="D971" s="31"/>
      <c r="E971" s="31"/>
      <c r="F971" s="31"/>
      <c r="G971" s="31"/>
      <c r="H971" s="31"/>
      <c r="I971" s="33"/>
      <c r="J971" s="31"/>
      <c r="K971" s="31"/>
      <c r="L971" s="32"/>
      <c r="M971" s="32"/>
      <c r="N971" s="32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spans="1:27" ht="13.5" customHeight="1">
      <c r="A972" s="31"/>
      <c r="B972" s="32"/>
      <c r="C972" s="31"/>
      <c r="D972" s="31"/>
      <c r="E972" s="31"/>
      <c r="F972" s="31"/>
      <c r="G972" s="31"/>
      <c r="H972" s="31"/>
      <c r="I972" s="33"/>
      <c r="J972" s="31"/>
      <c r="K972" s="31"/>
      <c r="L972" s="32"/>
      <c r="M972" s="32"/>
      <c r="N972" s="32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spans="1:27" ht="13.5" customHeight="1">
      <c r="A973" s="31"/>
      <c r="B973" s="32"/>
      <c r="C973" s="31"/>
      <c r="D973" s="31"/>
      <c r="E973" s="31"/>
      <c r="F973" s="31"/>
      <c r="G973" s="31"/>
      <c r="H973" s="31"/>
      <c r="I973" s="33"/>
      <c r="J973" s="31"/>
      <c r="K973" s="31"/>
      <c r="L973" s="32"/>
      <c r="M973" s="32"/>
      <c r="N973" s="32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spans="1:27" ht="13.5" customHeight="1">
      <c r="A974" s="31"/>
      <c r="B974" s="32"/>
      <c r="C974" s="31"/>
      <c r="D974" s="31"/>
      <c r="E974" s="31"/>
      <c r="F974" s="31"/>
      <c r="G974" s="31"/>
      <c r="H974" s="31"/>
      <c r="I974" s="33"/>
      <c r="J974" s="31"/>
      <c r="K974" s="31"/>
      <c r="L974" s="32"/>
      <c r="M974" s="32"/>
      <c r="N974" s="32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spans="1:27" ht="13.5" customHeight="1">
      <c r="A975" s="31"/>
      <c r="B975" s="32"/>
      <c r="C975" s="31"/>
      <c r="D975" s="31"/>
      <c r="E975" s="31"/>
      <c r="F975" s="31"/>
      <c r="G975" s="31"/>
      <c r="H975" s="31"/>
      <c r="I975" s="33"/>
      <c r="J975" s="31"/>
      <c r="K975" s="31"/>
      <c r="L975" s="32"/>
      <c r="M975" s="32"/>
      <c r="N975" s="32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spans="1:27" ht="13.5" customHeight="1">
      <c r="A976" s="31"/>
      <c r="B976" s="32"/>
      <c r="C976" s="31"/>
      <c r="D976" s="31"/>
      <c r="E976" s="31"/>
      <c r="F976" s="31"/>
      <c r="G976" s="31"/>
      <c r="H976" s="31"/>
      <c r="I976" s="33"/>
      <c r="J976" s="31"/>
      <c r="K976" s="31"/>
      <c r="L976" s="32"/>
      <c r="M976" s="32"/>
      <c r="N976" s="32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spans="1:27" ht="13.5" customHeight="1">
      <c r="A977" s="31"/>
      <c r="B977" s="32"/>
      <c r="C977" s="31"/>
      <c r="D977" s="31"/>
      <c r="E977" s="31"/>
      <c r="F977" s="31"/>
      <c r="G977" s="31"/>
      <c r="H977" s="31"/>
      <c r="I977" s="33"/>
      <c r="J977" s="31"/>
      <c r="K977" s="31"/>
      <c r="L977" s="32"/>
      <c r="M977" s="32"/>
      <c r="N977" s="32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spans="1:27" ht="13.5" customHeight="1">
      <c r="A978" s="31"/>
      <c r="B978" s="32"/>
      <c r="C978" s="31"/>
      <c r="D978" s="31"/>
      <c r="E978" s="31"/>
      <c r="F978" s="31"/>
      <c r="G978" s="31"/>
      <c r="H978" s="31"/>
      <c r="I978" s="33"/>
      <c r="J978" s="31"/>
      <c r="K978" s="31"/>
      <c r="L978" s="32"/>
      <c r="M978" s="32"/>
      <c r="N978" s="32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spans="1:27" ht="13.5" customHeight="1">
      <c r="A979" s="31"/>
      <c r="B979" s="32"/>
      <c r="C979" s="31"/>
      <c r="D979" s="31"/>
      <c r="E979" s="31"/>
      <c r="F979" s="31"/>
      <c r="G979" s="31"/>
      <c r="H979" s="31"/>
      <c r="I979" s="33"/>
      <c r="J979" s="31"/>
      <c r="K979" s="31"/>
      <c r="L979" s="32"/>
      <c r="M979" s="32"/>
      <c r="N979" s="32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spans="1:27" ht="13.5" customHeight="1">
      <c r="A980" s="31"/>
      <c r="B980" s="32"/>
      <c r="C980" s="31"/>
      <c r="D980" s="31"/>
      <c r="E980" s="31"/>
      <c r="F980" s="31"/>
      <c r="G980" s="31"/>
      <c r="H980" s="31"/>
      <c r="I980" s="33"/>
      <c r="J980" s="31"/>
      <c r="K980" s="31"/>
      <c r="L980" s="32"/>
      <c r="M980" s="32"/>
      <c r="N980" s="32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spans="1:27" ht="13.5" customHeight="1">
      <c r="A981" s="31"/>
      <c r="B981" s="32"/>
      <c r="C981" s="31"/>
      <c r="D981" s="31"/>
      <c r="E981" s="31"/>
      <c r="F981" s="31"/>
      <c r="G981" s="31"/>
      <c r="H981" s="31"/>
      <c r="I981" s="33"/>
      <c r="J981" s="31"/>
      <c r="K981" s="31"/>
      <c r="L981" s="32"/>
      <c r="M981" s="32"/>
      <c r="N981" s="32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spans="1:27" ht="13.5" customHeight="1">
      <c r="A982" s="31"/>
      <c r="B982" s="32"/>
      <c r="C982" s="31"/>
      <c r="D982" s="31"/>
      <c r="E982" s="31"/>
      <c r="F982" s="31"/>
      <c r="G982" s="31"/>
      <c r="H982" s="31"/>
      <c r="I982" s="33"/>
      <c r="J982" s="31"/>
      <c r="K982" s="31"/>
      <c r="L982" s="32"/>
      <c r="M982" s="32"/>
      <c r="N982" s="32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spans="1:27" ht="13.5" customHeight="1">
      <c r="A983" s="31"/>
      <c r="B983" s="32"/>
      <c r="C983" s="31"/>
      <c r="D983" s="31"/>
      <c r="E983" s="31"/>
      <c r="F983" s="31"/>
      <c r="G983" s="31"/>
      <c r="H983" s="31"/>
      <c r="I983" s="33"/>
      <c r="J983" s="31"/>
      <c r="K983" s="31"/>
      <c r="L983" s="32"/>
      <c r="M983" s="32"/>
      <c r="N983" s="32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spans="1:27" ht="13.5" customHeight="1">
      <c r="A984" s="31"/>
      <c r="B984" s="32"/>
      <c r="C984" s="31"/>
      <c r="D984" s="31"/>
      <c r="E984" s="31"/>
      <c r="F984" s="31"/>
      <c r="G984" s="31"/>
      <c r="H984" s="31"/>
      <c r="I984" s="33"/>
      <c r="J984" s="31"/>
      <c r="K984" s="31"/>
      <c r="L984" s="32"/>
      <c r="M984" s="32"/>
      <c r="N984" s="32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spans="1:27" ht="13.5" customHeight="1">
      <c r="A985" s="31"/>
      <c r="B985" s="32"/>
      <c r="C985" s="31"/>
      <c r="D985" s="31"/>
      <c r="E985" s="31"/>
      <c r="F985" s="31"/>
      <c r="G985" s="31"/>
      <c r="H985" s="31"/>
      <c r="I985" s="33"/>
      <c r="J985" s="31"/>
      <c r="K985" s="31"/>
      <c r="L985" s="32"/>
      <c r="M985" s="32"/>
      <c r="N985" s="32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spans="1:27" ht="13.5" customHeight="1">
      <c r="A986" s="31"/>
      <c r="B986" s="32"/>
      <c r="C986" s="31"/>
      <c r="D986" s="31"/>
      <c r="E986" s="31"/>
      <c r="F986" s="31"/>
      <c r="G986" s="31"/>
      <c r="H986" s="31"/>
      <c r="I986" s="33"/>
      <c r="J986" s="31"/>
      <c r="K986" s="31"/>
      <c r="L986" s="32"/>
      <c r="M986" s="32"/>
      <c r="N986" s="32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spans="1:27" ht="13.5" customHeight="1">
      <c r="A987" s="31"/>
      <c r="B987" s="32"/>
      <c r="C987" s="31"/>
      <c r="D987" s="31"/>
      <c r="E987" s="31"/>
      <c r="F987" s="31"/>
      <c r="G987" s="31"/>
      <c r="H987" s="31"/>
      <c r="I987" s="33"/>
      <c r="J987" s="31"/>
      <c r="K987" s="31"/>
      <c r="L987" s="32"/>
      <c r="M987" s="32"/>
      <c r="N987" s="32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spans="1:27" ht="13.5" customHeight="1">
      <c r="A988" s="31"/>
      <c r="B988" s="32"/>
      <c r="C988" s="31"/>
      <c r="D988" s="31"/>
      <c r="E988" s="31"/>
      <c r="F988" s="31"/>
      <c r="G988" s="31"/>
      <c r="H988" s="31"/>
      <c r="I988" s="33"/>
      <c r="J988" s="31"/>
      <c r="K988" s="31"/>
      <c r="L988" s="32"/>
      <c r="M988" s="32"/>
      <c r="N988" s="32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spans="1:27" ht="13.5" customHeight="1">
      <c r="A989" s="31"/>
      <c r="B989" s="32"/>
      <c r="C989" s="31"/>
      <c r="D989" s="31"/>
      <c r="E989" s="31"/>
      <c r="F989" s="31"/>
      <c r="G989" s="31"/>
      <c r="H989" s="31"/>
      <c r="I989" s="33"/>
      <c r="J989" s="31"/>
      <c r="K989" s="31"/>
      <c r="L989" s="32"/>
      <c r="M989" s="32"/>
      <c r="N989" s="32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spans="1:27" ht="13.5" customHeight="1">
      <c r="A990" s="31"/>
      <c r="B990" s="32"/>
      <c r="C990" s="31"/>
      <c r="D990" s="31"/>
      <c r="E990" s="31"/>
      <c r="F990" s="31"/>
      <c r="G990" s="31"/>
      <c r="H990" s="31"/>
      <c r="I990" s="33"/>
      <c r="J990" s="31"/>
      <c r="K990" s="31"/>
      <c r="L990" s="32"/>
      <c r="M990" s="32"/>
      <c r="N990" s="32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spans="1:27" ht="13.5" customHeight="1">
      <c r="A991" s="31"/>
      <c r="B991" s="32"/>
      <c r="C991" s="31"/>
      <c r="D991" s="31"/>
      <c r="E991" s="31"/>
      <c r="F991" s="31"/>
      <c r="G991" s="31"/>
      <c r="H991" s="31"/>
      <c r="I991" s="33"/>
      <c r="J991" s="31"/>
      <c r="K991" s="31"/>
      <c r="L991" s="32"/>
      <c r="M991" s="32"/>
      <c r="N991" s="32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spans="1:27" ht="13.5" customHeight="1">
      <c r="A992" s="31"/>
      <c r="B992" s="32"/>
      <c r="C992" s="31"/>
      <c r="D992" s="31"/>
      <c r="E992" s="31"/>
      <c r="F992" s="31"/>
      <c r="G992" s="31"/>
      <c r="H992" s="31"/>
      <c r="I992" s="33"/>
      <c r="J992" s="31"/>
      <c r="K992" s="31"/>
      <c r="L992" s="32"/>
      <c r="M992" s="32"/>
      <c r="N992" s="32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spans="1:27" ht="13.5" customHeight="1">
      <c r="A993" s="31"/>
      <c r="B993" s="32"/>
      <c r="C993" s="31"/>
      <c r="D993" s="31"/>
      <c r="E993" s="31"/>
      <c r="F993" s="31"/>
      <c r="G993" s="31"/>
      <c r="H993" s="31"/>
      <c r="I993" s="33"/>
      <c r="J993" s="31"/>
      <c r="K993" s="31"/>
      <c r="L993" s="32"/>
      <c r="M993" s="32"/>
      <c r="N993" s="32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spans="1:27" ht="13.5" customHeight="1">
      <c r="A994" s="31"/>
      <c r="B994" s="32"/>
      <c r="C994" s="31"/>
      <c r="D994" s="31"/>
      <c r="E994" s="31"/>
      <c r="F994" s="31"/>
      <c r="G994" s="31"/>
      <c r="H994" s="31"/>
      <c r="I994" s="33"/>
      <c r="J994" s="31"/>
      <c r="K994" s="31"/>
      <c r="L994" s="32"/>
      <c r="M994" s="32"/>
      <c r="N994" s="32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spans="1:27" ht="13.5" customHeight="1">
      <c r="A995" s="31"/>
      <c r="B995" s="32"/>
      <c r="C995" s="31"/>
      <c r="D995" s="31"/>
      <c r="E995" s="31"/>
      <c r="F995" s="31"/>
      <c r="G995" s="31"/>
      <c r="H995" s="31"/>
      <c r="I995" s="33"/>
      <c r="J995" s="31"/>
      <c r="K995" s="31"/>
      <c r="L995" s="32"/>
      <c r="M995" s="32"/>
      <c r="N995" s="32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spans="1:27" ht="13.5" customHeight="1">
      <c r="A996" s="31"/>
      <c r="B996" s="32"/>
      <c r="C996" s="31"/>
      <c r="D996" s="31"/>
      <c r="E996" s="31"/>
      <c r="F996" s="31"/>
      <c r="G996" s="31"/>
      <c r="H996" s="31"/>
      <c r="I996" s="33"/>
      <c r="J996" s="31"/>
      <c r="K996" s="31"/>
      <c r="L996" s="32"/>
      <c r="M996" s="32"/>
      <c r="N996" s="32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spans="1:27" ht="13.5" customHeight="1">
      <c r="A997" s="31"/>
      <c r="B997" s="32"/>
      <c r="C997" s="31"/>
      <c r="D997" s="31"/>
      <c r="E997" s="31"/>
      <c r="F997" s="31"/>
      <c r="G997" s="31"/>
      <c r="H997" s="31"/>
      <c r="I997" s="33"/>
      <c r="J997" s="31"/>
      <c r="K997" s="31"/>
      <c r="L997" s="32"/>
      <c r="M997" s="32"/>
      <c r="N997" s="32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spans="1:27" ht="13.5" customHeight="1">
      <c r="A998" s="31"/>
      <c r="B998" s="32"/>
      <c r="C998" s="31"/>
      <c r="D998" s="31"/>
      <c r="E998" s="31"/>
      <c r="F998" s="31"/>
      <c r="G998" s="31"/>
      <c r="H998" s="31"/>
      <c r="I998" s="33"/>
      <c r="J998" s="31"/>
      <c r="K998" s="31"/>
      <c r="L998" s="32"/>
      <c r="M998" s="32"/>
      <c r="N998" s="32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spans="1:27" ht="13.5" customHeight="1">
      <c r="A999" s="31"/>
      <c r="B999" s="32"/>
      <c r="C999" s="31"/>
      <c r="D999" s="31"/>
      <c r="E999" s="31"/>
      <c r="F999" s="31"/>
      <c r="G999" s="31"/>
      <c r="H999" s="31"/>
      <c r="I999" s="33"/>
      <c r="J999" s="31"/>
      <c r="K999" s="31"/>
      <c r="L999" s="32"/>
      <c r="M999" s="32"/>
      <c r="N999" s="32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spans="1:27" ht="13.5" customHeight="1">
      <c r="A1000" s="31"/>
      <c r="B1000" s="32"/>
      <c r="C1000" s="31"/>
      <c r="D1000" s="31"/>
      <c r="E1000" s="31"/>
      <c r="F1000" s="31"/>
      <c r="G1000" s="31"/>
      <c r="H1000" s="31"/>
      <c r="I1000" s="33"/>
      <c r="J1000" s="31"/>
      <c r="K1000" s="31"/>
      <c r="L1000" s="32"/>
      <c r="M1000" s="32"/>
      <c r="N1000" s="32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mergeCells count="6">
    <mergeCell ref="M30:M33"/>
    <mergeCell ref="B2:C2"/>
    <mergeCell ref="M7:M9"/>
    <mergeCell ref="B10:C10"/>
    <mergeCell ref="M15:M16"/>
    <mergeCell ref="M22:M24"/>
  </mergeCells>
  <phoneticPr fontId="24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selection activeCell="M17" sqref="M17"/>
    </sheetView>
  </sheetViews>
  <sheetFormatPr baseColWidth="10" defaultColWidth="12.6640625" defaultRowHeight="15" customHeight="1"/>
  <cols>
    <col min="1" max="2" width="9.6640625" customWidth="1"/>
    <col min="3" max="3" width="7.83203125" customWidth="1"/>
    <col min="4" max="6" width="14.5" customWidth="1"/>
    <col min="7" max="7" width="16.1640625" customWidth="1"/>
    <col min="8" max="8" width="7.83203125" customWidth="1"/>
    <col min="9" max="9" width="81.83203125" customWidth="1"/>
    <col min="10" max="13" width="7.83203125" customWidth="1"/>
    <col min="14" max="14" width="12.1640625" customWidth="1"/>
    <col min="15" max="30" width="7.6640625" customWidth="1"/>
  </cols>
  <sheetData>
    <row r="1" spans="1:30" ht="12" customHeight="1">
      <c r="A1" s="108" t="s">
        <v>126</v>
      </c>
      <c r="B1" s="108" t="s">
        <v>127</v>
      </c>
      <c r="C1" s="109" t="s">
        <v>128</v>
      </c>
      <c r="D1" s="109" t="s">
        <v>129</v>
      </c>
      <c r="E1" s="109" t="s">
        <v>130</v>
      </c>
      <c r="F1" s="109" t="s">
        <v>131</v>
      </c>
      <c r="G1" s="109" t="s">
        <v>132</v>
      </c>
      <c r="H1" s="109" t="s">
        <v>133</v>
      </c>
      <c r="I1" s="109" t="s">
        <v>134</v>
      </c>
      <c r="J1" s="109" t="s">
        <v>135</v>
      </c>
      <c r="K1" s="110" t="s">
        <v>136</v>
      </c>
      <c r="L1" s="110" t="s">
        <v>195</v>
      </c>
      <c r="M1" s="110" t="s">
        <v>137</v>
      </c>
      <c r="N1" s="110" t="s">
        <v>196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</row>
    <row r="2" spans="1:30" ht="12" customHeight="1">
      <c r="A2" s="108"/>
      <c r="B2" s="108"/>
      <c r="C2" s="109"/>
      <c r="D2" s="109"/>
      <c r="E2" s="109"/>
      <c r="F2" s="109"/>
      <c r="G2" s="109"/>
      <c r="H2" s="109"/>
      <c r="I2" s="111"/>
      <c r="J2" s="111"/>
      <c r="K2" s="112"/>
      <c r="L2" s="112"/>
      <c r="M2" s="112"/>
      <c r="N2" s="112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 spans="1:30" ht="12" customHeight="1">
      <c r="A3" s="108"/>
      <c r="B3" s="108"/>
      <c r="C3" s="109"/>
      <c r="D3" s="109"/>
      <c r="E3" s="109"/>
      <c r="F3" s="109"/>
      <c r="G3" s="109"/>
      <c r="H3" s="109"/>
      <c r="I3" s="111"/>
      <c r="J3" s="111"/>
      <c r="K3" s="112"/>
      <c r="L3" s="112"/>
      <c r="M3" s="112"/>
      <c r="N3" s="112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</row>
    <row r="4" spans="1:30" ht="12" customHeight="1">
      <c r="A4" s="108"/>
      <c r="B4" s="108"/>
      <c r="C4" s="109"/>
      <c r="D4" s="109"/>
      <c r="E4" s="109"/>
      <c r="F4" s="109"/>
      <c r="G4" s="109"/>
      <c r="H4" s="109"/>
      <c r="I4" s="111"/>
      <c r="J4" s="111"/>
      <c r="K4" s="112"/>
      <c r="L4" s="112"/>
      <c r="M4" s="112"/>
      <c r="N4" s="112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</row>
    <row r="5" spans="1:30" ht="12" customHeight="1">
      <c r="A5" s="108"/>
      <c r="B5" s="108"/>
      <c r="C5" s="109"/>
      <c r="D5" s="109"/>
      <c r="E5" s="109"/>
      <c r="F5" s="109"/>
      <c r="G5" s="109"/>
      <c r="H5" s="109"/>
      <c r="I5" s="111"/>
      <c r="J5" s="111"/>
      <c r="K5" s="112"/>
      <c r="L5" s="112"/>
      <c r="M5" s="112"/>
      <c r="N5" s="112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</row>
    <row r="6" spans="1:30" ht="12" customHeight="1">
      <c r="A6" s="108"/>
      <c r="B6" s="108"/>
      <c r="C6" s="109"/>
      <c r="D6" s="109"/>
      <c r="E6" s="109"/>
      <c r="F6" s="109"/>
      <c r="G6" s="109"/>
      <c r="H6" s="109"/>
      <c r="I6" s="111"/>
      <c r="J6" s="111"/>
      <c r="K6" s="112"/>
      <c r="L6" s="112"/>
      <c r="M6" s="112"/>
      <c r="N6" s="112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</row>
    <row r="7" spans="1:30" ht="12" customHeight="1">
      <c r="A7" s="108"/>
      <c r="B7" s="108"/>
      <c r="C7" s="109"/>
      <c r="D7" s="109"/>
      <c r="E7" s="109"/>
      <c r="F7" s="109"/>
      <c r="G7" s="109"/>
      <c r="H7" s="109"/>
      <c r="I7" s="111"/>
      <c r="J7" s="111"/>
      <c r="K7" s="112"/>
      <c r="L7" s="112"/>
      <c r="M7" s="112"/>
      <c r="N7" s="112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</row>
    <row r="8" spans="1:30" ht="12" customHeight="1">
      <c r="A8" s="108"/>
      <c r="B8" s="108"/>
      <c r="C8" s="109"/>
      <c r="D8" s="109"/>
      <c r="E8" s="109"/>
      <c r="F8" s="109"/>
      <c r="G8" s="109"/>
      <c r="H8" s="109"/>
      <c r="I8" s="111"/>
      <c r="J8" s="111"/>
      <c r="K8" s="112"/>
      <c r="L8" s="112"/>
      <c r="M8" s="112"/>
      <c r="N8" s="112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</row>
    <row r="9" spans="1:30" ht="12" customHeight="1">
      <c r="A9" s="108"/>
      <c r="B9" s="108"/>
      <c r="C9" s="109"/>
      <c r="D9" s="109"/>
      <c r="E9" s="109"/>
      <c r="F9" s="109"/>
      <c r="G9" s="109"/>
      <c r="H9" s="109"/>
      <c r="I9" s="111"/>
      <c r="J9" s="111"/>
      <c r="K9" s="112"/>
      <c r="L9" s="112"/>
      <c r="M9" s="112"/>
      <c r="N9" s="112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</row>
    <row r="10" spans="1:30" ht="12" customHeight="1">
      <c r="A10" s="113"/>
      <c r="B10" s="113"/>
      <c r="C10" s="114"/>
      <c r="D10" s="114"/>
      <c r="E10" s="114"/>
      <c r="F10" s="114"/>
      <c r="G10" s="114"/>
      <c r="H10" s="114"/>
      <c r="I10" s="115"/>
      <c r="J10" s="115"/>
      <c r="K10" s="116"/>
      <c r="L10" s="116"/>
      <c r="M10" s="116"/>
      <c r="N10" s="116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</row>
    <row r="11" spans="1:30" ht="12" customHeight="1">
      <c r="A11" s="108"/>
      <c r="B11" s="108"/>
      <c r="C11" s="109"/>
      <c r="D11" s="109"/>
      <c r="E11" s="109"/>
      <c r="F11" s="109"/>
      <c r="G11" s="109"/>
      <c r="H11" s="109"/>
      <c r="I11" s="111"/>
      <c r="J11" s="111"/>
      <c r="K11" s="112"/>
      <c r="L11" s="112"/>
      <c r="M11" s="117">
        <f t="shared" ref="M11:N11" si="0">SUM(M2:M10)</f>
        <v>0</v>
      </c>
      <c r="N11" s="117">
        <f t="shared" si="0"/>
        <v>0</v>
      </c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</row>
    <row r="12" spans="1:30" ht="12" customHeight="1">
      <c r="A12" s="108"/>
      <c r="B12" s="108"/>
      <c r="C12" s="109"/>
      <c r="D12" s="109"/>
      <c r="E12" s="109"/>
      <c r="F12" s="109"/>
      <c r="G12" s="109"/>
      <c r="H12" s="109"/>
      <c r="I12" s="118" t="s">
        <v>59</v>
      </c>
      <c r="J12" s="118">
        <f>SUM(J2:J10)</f>
        <v>0</v>
      </c>
      <c r="K12" s="117"/>
      <c r="L12" s="117"/>
      <c r="N12" s="119">
        <f>M11+N11</f>
        <v>0</v>
      </c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</row>
    <row r="13" spans="1:30" ht="12" customHeight="1">
      <c r="A13" s="108"/>
      <c r="B13" s="108"/>
      <c r="C13" s="109"/>
      <c r="D13" s="109"/>
      <c r="E13" s="109"/>
      <c r="F13" s="109"/>
      <c r="G13" s="109"/>
      <c r="H13" s="109"/>
      <c r="I13" s="111"/>
      <c r="J13" s="111"/>
      <c r="K13" s="112"/>
      <c r="L13" s="112"/>
      <c r="M13" s="112"/>
      <c r="N13" s="112" t="b">
        <f>'채널별 판매데이터 정리'!I10='DB)카페24-우프'!N12</f>
        <v>0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</row>
    <row r="14" spans="1:30" ht="12" customHeight="1">
      <c r="A14" s="108"/>
      <c r="B14" s="108"/>
      <c r="C14" s="109"/>
      <c r="D14" s="109"/>
      <c r="E14" s="109"/>
      <c r="F14" s="109"/>
      <c r="G14" s="109"/>
      <c r="H14" s="109"/>
      <c r="I14" s="111"/>
      <c r="J14" s="111"/>
      <c r="K14" s="112"/>
      <c r="L14" s="112"/>
      <c r="M14" s="112"/>
      <c r="N14" s="112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</row>
    <row r="15" spans="1:30" ht="12" customHeight="1">
      <c r="A15" s="108"/>
      <c r="B15" s="108"/>
      <c r="C15" s="109"/>
      <c r="D15" s="109"/>
      <c r="E15" s="109"/>
      <c r="F15" s="109"/>
      <c r="G15" s="109"/>
      <c r="H15" s="109"/>
      <c r="I15" s="111"/>
      <c r="J15" s="111"/>
      <c r="K15" s="112"/>
      <c r="L15" s="112"/>
      <c r="M15" s="112"/>
      <c r="N15" s="112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</row>
    <row r="16" spans="1:30" ht="12" customHeight="1">
      <c r="A16" s="108"/>
      <c r="B16" s="108"/>
      <c r="C16" s="109"/>
      <c r="D16" s="109"/>
      <c r="E16" s="109"/>
      <c r="F16" s="109"/>
      <c r="G16" s="109"/>
      <c r="H16" s="109"/>
      <c r="I16" s="111"/>
      <c r="J16" s="111"/>
      <c r="K16" s="112"/>
      <c r="L16" s="112"/>
      <c r="M16" s="112"/>
      <c r="N16" s="112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</row>
    <row r="17" spans="1:30" ht="12" customHeight="1">
      <c r="A17" s="108"/>
      <c r="B17" s="108"/>
      <c r="C17" s="109"/>
      <c r="D17" s="109"/>
      <c r="E17" s="109"/>
      <c r="F17" s="109"/>
      <c r="G17" s="109"/>
      <c r="H17" s="109"/>
      <c r="I17" s="111"/>
      <c r="J17" s="111"/>
      <c r="K17" s="112"/>
      <c r="L17" s="112"/>
      <c r="M17" s="112"/>
      <c r="N17" s="112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</row>
    <row r="18" spans="1:30" ht="12" customHeight="1">
      <c r="A18" s="108"/>
      <c r="B18" s="108"/>
      <c r="C18" s="109"/>
      <c r="D18" s="109"/>
      <c r="E18" s="109"/>
      <c r="F18" s="109"/>
      <c r="G18" s="109"/>
      <c r="H18" s="109"/>
      <c r="I18" s="111"/>
      <c r="J18" s="111"/>
      <c r="K18" s="112"/>
      <c r="L18" s="112"/>
      <c r="M18" s="112"/>
      <c r="N18" s="112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</row>
    <row r="19" spans="1:30" ht="12" customHeight="1">
      <c r="A19" s="108"/>
      <c r="B19" s="108"/>
      <c r="C19" s="109"/>
      <c r="D19" s="109"/>
      <c r="E19" s="109"/>
      <c r="F19" s="109"/>
      <c r="G19" s="109"/>
      <c r="H19" s="109"/>
      <c r="I19" s="112"/>
      <c r="J19" s="112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</row>
    <row r="20" spans="1:30" ht="12" customHeight="1">
      <c r="A20" s="108"/>
      <c r="B20" s="108"/>
      <c r="C20" s="109"/>
      <c r="D20" s="109"/>
      <c r="E20" s="109"/>
      <c r="F20" s="109"/>
      <c r="G20" s="109"/>
      <c r="H20" s="109"/>
      <c r="I20" s="112"/>
      <c r="J20" s="112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 spans="1:30" ht="12" customHeight="1">
      <c r="A21" s="108"/>
      <c r="B21" s="108"/>
      <c r="C21" s="109"/>
      <c r="D21" s="109"/>
      <c r="E21" s="109"/>
      <c r="F21" s="109"/>
      <c r="G21" s="109"/>
      <c r="H21" s="109"/>
      <c r="I21" s="112"/>
      <c r="J21" s="112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2" spans="1:30" ht="12" customHeight="1">
      <c r="A22" s="108"/>
      <c r="B22" s="108"/>
      <c r="C22" s="109"/>
      <c r="D22" s="109"/>
      <c r="E22" s="109"/>
      <c r="F22" s="109"/>
      <c r="G22" s="109"/>
      <c r="H22" s="109"/>
      <c r="I22" s="112"/>
      <c r="J22" s="112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</row>
    <row r="23" spans="1:30" ht="12" customHeight="1">
      <c r="A23" s="108"/>
      <c r="B23" s="108"/>
      <c r="C23" s="109"/>
      <c r="D23" s="109"/>
      <c r="E23" s="109"/>
      <c r="F23" s="109"/>
      <c r="G23" s="109"/>
      <c r="H23" s="109"/>
      <c r="I23" s="112"/>
      <c r="J23" s="112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</row>
    <row r="24" spans="1:30" ht="12" customHeight="1">
      <c r="A24" s="108"/>
      <c r="B24" s="108"/>
      <c r="C24" s="109"/>
      <c r="D24" s="109"/>
      <c r="E24" s="109"/>
      <c r="F24" s="109"/>
      <c r="G24" s="109"/>
      <c r="H24" s="109"/>
      <c r="I24" s="112"/>
      <c r="J24" s="112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</row>
    <row r="25" spans="1:30" ht="12" customHeight="1">
      <c r="A25" s="108"/>
      <c r="B25" s="108"/>
      <c r="C25" s="109"/>
      <c r="D25" s="109"/>
      <c r="E25" s="109"/>
      <c r="F25" s="109"/>
      <c r="G25" s="109"/>
      <c r="H25" s="109"/>
      <c r="I25" s="112"/>
      <c r="J25" s="112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</row>
    <row r="26" spans="1:30" ht="12" customHeight="1">
      <c r="A26" s="108"/>
      <c r="B26" s="108"/>
      <c r="C26" s="109"/>
      <c r="D26" s="109"/>
      <c r="E26" s="109"/>
      <c r="F26" s="109"/>
      <c r="G26" s="109"/>
      <c r="H26" s="109"/>
      <c r="I26" s="112"/>
      <c r="J26" s="112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</row>
    <row r="27" spans="1:30" ht="12" customHeight="1">
      <c r="A27" s="108"/>
      <c r="B27" s="108"/>
      <c r="C27" s="109"/>
      <c r="D27" s="109"/>
      <c r="E27" s="109"/>
      <c r="F27" s="109"/>
      <c r="G27" s="109"/>
      <c r="H27" s="109"/>
      <c r="I27" s="112"/>
      <c r="J27" s="112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</row>
    <row r="28" spans="1:30" ht="12" customHeight="1">
      <c r="A28" s="108"/>
      <c r="B28" s="108"/>
      <c r="C28" s="109"/>
      <c r="D28" s="109"/>
      <c r="E28" s="109"/>
      <c r="F28" s="109"/>
      <c r="G28" s="109"/>
      <c r="H28" s="109"/>
      <c r="I28" s="112"/>
      <c r="J28" s="112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</row>
    <row r="29" spans="1:30" ht="12" customHeight="1">
      <c r="A29" s="108"/>
      <c r="B29" s="108"/>
      <c r="C29" s="109"/>
      <c r="D29" s="109"/>
      <c r="E29" s="109"/>
      <c r="F29" s="109"/>
      <c r="G29" s="109"/>
      <c r="H29" s="109"/>
      <c r="I29" s="111"/>
      <c r="J29" s="111"/>
      <c r="K29" s="112"/>
      <c r="L29" s="112"/>
      <c r="M29" s="112"/>
      <c r="N29" s="112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</row>
    <row r="30" spans="1:30" ht="12" customHeight="1">
      <c r="A30" s="108"/>
      <c r="B30" s="108"/>
      <c r="C30" s="109"/>
      <c r="D30" s="109"/>
      <c r="E30" s="109"/>
      <c r="F30" s="109"/>
      <c r="G30" s="109"/>
      <c r="H30" s="109"/>
      <c r="I30" s="111"/>
      <c r="J30" s="111"/>
      <c r="K30" s="112"/>
      <c r="L30" s="112"/>
      <c r="M30" s="112"/>
      <c r="N30" s="112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</row>
    <row r="31" spans="1:30" ht="12" customHeight="1">
      <c r="A31" s="108"/>
      <c r="B31" s="108"/>
      <c r="C31" s="109"/>
      <c r="D31" s="109"/>
      <c r="E31" s="109"/>
      <c r="F31" s="109"/>
      <c r="G31" s="109"/>
      <c r="H31" s="109"/>
      <c r="I31" s="111"/>
      <c r="J31" s="111"/>
      <c r="K31" s="112"/>
      <c r="L31" s="112"/>
      <c r="M31" s="112"/>
      <c r="N31" s="112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</row>
    <row r="32" spans="1:30" ht="12" customHeight="1">
      <c r="A32" s="108"/>
      <c r="B32" s="108"/>
      <c r="C32" s="109"/>
      <c r="D32" s="109"/>
      <c r="E32" s="109"/>
      <c r="F32" s="109"/>
      <c r="G32" s="109"/>
      <c r="H32" s="109"/>
      <c r="I32" s="111"/>
      <c r="J32" s="111"/>
      <c r="K32" s="112"/>
      <c r="L32" s="112"/>
      <c r="M32" s="112"/>
      <c r="N32" s="112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</row>
    <row r="33" spans="1:30" ht="12" customHeight="1">
      <c r="A33" s="108"/>
      <c r="B33" s="108"/>
      <c r="C33" s="109"/>
      <c r="D33" s="109"/>
      <c r="E33" s="109"/>
      <c r="F33" s="109"/>
      <c r="G33" s="109"/>
      <c r="H33" s="109"/>
      <c r="I33" s="111"/>
      <c r="J33" s="111"/>
      <c r="K33" s="112"/>
      <c r="L33" s="112"/>
      <c r="M33" s="112"/>
      <c r="N33" s="112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</row>
    <row r="34" spans="1:30" ht="12" customHeight="1">
      <c r="A34" s="108"/>
      <c r="B34" s="108"/>
      <c r="C34" s="109"/>
      <c r="D34" s="109"/>
      <c r="E34" s="109"/>
      <c r="F34" s="109"/>
      <c r="G34" s="109"/>
      <c r="H34" s="109"/>
      <c r="I34" s="111"/>
      <c r="J34" s="111"/>
      <c r="K34" s="112"/>
      <c r="L34" s="112"/>
      <c r="M34" s="112"/>
      <c r="N34" s="112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</row>
    <row r="35" spans="1:30" ht="12" customHeight="1">
      <c r="A35" s="108"/>
      <c r="B35" s="108"/>
      <c r="C35" s="109"/>
      <c r="D35" s="109"/>
      <c r="E35" s="109"/>
      <c r="F35" s="109"/>
      <c r="G35" s="109"/>
      <c r="H35" s="109"/>
      <c r="I35" s="111"/>
      <c r="J35" s="111"/>
      <c r="K35" s="112"/>
      <c r="L35" s="112"/>
      <c r="M35" s="112"/>
      <c r="N35" s="112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</row>
    <row r="36" spans="1:30" ht="12" customHeight="1">
      <c r="A36" s="108"/>
      <c r="B36" s="108"/>
      <c r="C36" s="109"/>
      <c r="D36" s="109"/>
      <c r="E36" s="109"/>
      <c r="F36" s="109"/>
      <c r="G36" s="109"/>
      <c r="H36" s="109"/>
      <c r="I36" s="111"/>
      <c r="J36" s="111"/>
      <c r="K36" s="112"/>
      <c r="L36" s="112"/>
      <c r="M36" s="112"/>
      <c r="N36" s="112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 spans="1:30" ht="12" customHeight="1">
      <c r="A37" s="108"/>
      <c r="B37" s="108"/>
      <c r="C37" s="109"/>
      <c r="D37" s="109"/>
      <c r="E37" s="109"/>
      <c r="F37" s="109"/>
      <c r="G37" s="109"/>
      <c r="H37" s="109"/>
      <c r="I37" s="111"/>
      <c r="J37" s="111"/>
      <c r="K37" s="112"/>
      <c r="L37" s="112"/>
      <c r="M37" s="112"/>
      <c r="N37" s="112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</row>
    <row r="38" spans="1:30" ht="12" customHeight="1">
      <c r="A38" s="108"/>
      <c r="B38" s="108"/>
      <c r="C38" s="109"/>
      <c r="D38" s="109"/>
      <c r="E38" s="109"/>
      <c r="F38" s="109"/>
      <c r="G38" s="109"/>
      <c r="H38" s="109"/>
      <c r="I38" s="111"/>
      <c r="J38" s="111"/>
      <c r="K38" s="112"/>
      <c r="L38" s="112"/>
      <c r="M38" s="112"/>
      <c r="N38" s="112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</row>
    <row r="39" spans="1:30" ht="12" customHeight="1">
      <c r="A39" s="108"/>
      <c r="B39" s="108"/>
      <c r="C39" s="109"/>
      <c r="D39" s="109"/>
      <c r="E39" s="109"/>
      <c r="F39" s="109"/>
      <c r="G39" s="109"/>
      <c r="H39" s="109"/>
      <c r="I39" s="111"/>
      <c r="J39" s="111"/>
      <c r="K39" s="112"/>
      <c r="L39" s="112"/>
      <c r="M39" s="112"/>
      <c r="N39" s="112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 spans="1:30" ht="12" customHeight="1">
      <c r="A40" s="108"/>
      <c r="B40" s="108"/>
      <c r="C40" s="109"/>
      <c r="D40" s="109"/>
      <c r="E40" s="109"/>
      <c r="F40" s="109"/>
      <c r="G40" s="109"/>
      <c r="H40" s="109"/>
      <c r="I40" s="111"/>
      <c r="J40" s="111"/>
      <c r="K40" s="112"/>
      <c r="L40" s="112"/>
      <c r="M40" s="112"/>
      <c r="N40" s="112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</row>
    <row r="41" spans="1:30" ht="12" customHeight="1">
      <c r="A41" s="108"/>
      <c r="B41" s="108"/>
      <c r="C41" s="109"/>
      <c r="D41" s="109"/>
      <c r="E41" s="109"/>
      <c r="F41" s="109"/>
      <c r="G41" s="109"/>
      <c r="H41" s="109"/>
      <c r="I41" s="111"/>
      <c r="J41" s="111"/>
      <c r="K41" s="112"/>
      <c r="L41" s="112"/>
      <c r="M41" s="112"/>
      <c r="N41" s="112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</row>
    <row r="42" spans="1:30" ht="12" customHeight="1">
      <c r="A42" s="108"/>
      <c r="B42" s="108"/>
      <c r="C42" s="109"/>
      <c r="D42" s="109"/>
      <c r="E42" s="109"/>
      <c r="F42" s="109"/>
      <c r="G42" s="109"/>
      <c r="H42" s="109"/>
      <c r="I42" s="111"/>
      <c r="J42" s="111"/>
      <c r="K42" s="112"/>
      <c r="L42" s="112"/>
      <c r="M42" s="112"/>
      <c r="N42" s="112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</row>
    <row r="43" spans="1:30" ht="12" customHeight="1">
      <c r="A43" s="108"/>
      <c r="B43" s="108"/>
      <c r="C43" s="109"/>
      <c r="D43" s="109"/>
      <c r="E43" s="109"/>
      <c r="F43" s="109"/>
      <c r="G43" s="109"/>
      <c r="H43" s="109"/>
      <c r="I43" s="111"/>
      <c r="J43" s="111"/>
      <c r="K43" s="112"/>
      <c r="L43" s="112"/>
      <c r="M43" s="112"/>
      <c r="N43" s="112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</row>
    <row r="44" spans="1:30" ht="12" customHeight="1">
      <c r="A44" s="108"/>
      <c r="B44" s="108"/>
      <c r="C44" s="109"/>
      <c r="D44" s="109"/>
      <c r="E44" s="109"/>
      <c r="F44" s="109"/>
      <c r="G44" s="109"/>
      <c r="H44" s="109"/>
      <c r="I44" s="111"/>
      <c r="J44" s="111"/>
      <c r="K44" s="112"/>
      <c r="L44" s="112"/>
      <c r="M44" s="112"/>
      <c r="N44" s="112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ht="12" customHeight="1">
      <c r="A45" s="108"/>
      <c r="B45" s="108"/>
      <c r="C45" s="109"/>
      <c r="D45" s="109"/>
      <c r="E45" s="109"/>
      <c r="F45" s="109"/>
      <c r="G45" s="109"/>
      <c r="H45" s="109"/>
      <c r="I45" s="111"/>
      <c r="J45" s="111"/>
      <c r="K45" s="112"/>
      <c r="L45" s="112"/>
      <c r="M45" s="112"/>
      <c r="N45" s="112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</row>
    <row r="46" spans="1:30" ht="12" customHeight="1">
      <c r="A46" s="108"/>
      <c r="B46" s="108"/>
      <c r="C46" s="109"/>
      <c r="D46" s="109"/>
      <c r="E46" s="109"/>
      <c r="F46" s="109"/>
      <c r="G46" s="109"/>
      <c r="H46" s="109"/>
      <c r="I46" s="111"/>
      <c r="J46" s="111"/>
      <c r="K46" s="112"/>
      <c r="L46" s="112"/>
      <c r="M46" s="112"/>
      <c r="N46" s="112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</row>
    <row r="47" spans="1:30" ht="12" customHeight="1">
      <c r="A47" s="108"/>
      <c r="B47" s="108"/>
      <c r="C47" s="109"/>
      <c r="D47" s="109"/>
      <c r="E47" s="109"/>
      <c r="F47" s="109"/>
      <c r="G47" s="109"/>
      <c r="H47" s="109"/>
      <c r="I47" s="111"/>
      <c r="J47" s="111"/>
      <c r="K47" s="112"/>
      <c r="L47" s="112"/>
      <c r="M47" s="112"/>
      <c r="N47" s="112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</row>
    <row r="48" spans="1:30" ht="12" customHeight="1">
      <c r="A48" s="108"/>
      <c r="B48" s="108"/>
      <c r="C48" s="109"/>
      <c r="D48" s="109"/>
      <c r="E48" s="109"/>
      <c r="F48" s="109"/>
      <c r="G48" s="109"/>
      <c r="H48" s="109"/>
      <c r="I48" s="111"/>
      <c r="J48" s="111"/>
      <c r="K48" s="112"/>
      <c r="L48" s="112"/>
      <c r="M48" s="112"/>
      <c r="N48" s="112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</row>
    <row r="49" spans="1:30" ht="12" customHeight="1">
      <c r="A49" s="108"/>
      <c r="B49" s="108"/>
      <c r="C49" s="109"/>
      <c r="D49" s="109"/>
      <c r="E49" s="109"/>
      <c r="F49" s="109"/>
      <c r="G49" s="109"/>
      <c r="H49" s="109"/>
      <c r="I49" s="111"/>
      <c r="J49" s="111"/>
      <c r="K49" s="112"/>
      <c r="L49" s="112"/>
      <c r="M49" s="112"/>
      <c r="N49" s="112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</row>
    <row r="50" spans="1:30" ht="12" customHeight="1">
      <c r="A50" s="108"/>
      <c r="B50" s="108"/>
      <c r="C50" s="109"/>
      <c r="D50" s="109"/>
      <c r="E50" s="109"/>
      <c r="F50" s="109"/>
      <c r="G50" s="109"/>
      <c r="H50" s="109"/>
      <c r="I50" s="111"/>
      <c r="J50" s="111"/>
      <c r="K50" s="112"/>
      <c r="L50" s="112"/>
      <c r="M50" s="112"/>
      <c r="N50" s="112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</row>
    <row r="51" spans="1:30" ht="12" customHeight="1">
      <c r="A51" s="108"/>
      <c r="B51" s="108"/>
      <c r="C51" s="109"/>
      <c r="D51" s="109"/>
      <c r="E51" s="109"/>
      <c r="F51" s="109"/>
      <c r="G51" s="109"/>
      <c r="H51" s="109"/>
      <c r="I51" s="111"/>
      <c r="J51" s="111"/>
      <c r="K51" s="112"/>
      <c r="L51" s="112"/>
      <c r="M51" s="112"/>
      <c r="N51" s="112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</row>
    <row r="52" spans="1:30" ht="12" customHeight="1">
      <c r="A52" s="108"/>
      <c r="B52" s="108"/>
      <c r="C52" s="109"/>
      <c r="D52" s="109"/>
      <c r="E52" s="109"/>
      <c r="F52" s="109"/>
      <c r="G52" s="109"/>
      <c r="H52" s="109"/>
      <c r="I52" s="111"/>
      <c r="J52" s="111"/>
      <c r="K52" s="112"/>
      <c r="L52" s="112"/>
      <c r="M52" s="112"/>
      <c r="N52" s="112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</row>
    <row r="53" spans="1:30" ht="12" customHeight="1">
      <c r="A53" s="108"/>
      <c r="B53" s="108"/>
      <c r="C53" s="109"/>
      <c r="D53" s="109"/>
      <c r="E53" s="109"/>
      <c r="F53" s="109"/>
      <c r="G53" s="109"/>
      <c r="H53" s="109"/>
      <c r="I53" s="111"/>
      <c r="J53" s="111"/>
      <c r="K53" s="112"/>
      <c r="L53" s="112"/>
      <c r="M53" s="112"/>
      <c r="N53" s="112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</row>
    <row r="54" spans="1:30" ht="12" customHeight="1">
      <c r="A54" s="108"/>
      <c r="B54" s="108"/>
      <c r="C54" s="109"/>
      <c r="D54" s="109"/>
      <c r="E54" s="109"/>
      <c r="F54" s="109"/>
      <c r="G54" s="109"/>
      <c r="H54" s="109"/>
      <c r="I54" s="111"/>
      <c r="J54" s="111"/>
      <c r="K54" s="112"/>
      <c r="L54" s="112"/>
      <c r="M54" s="112"/>
      <c r="N54" s="112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 spans="1:30" ht="12" customHeight="1">
      <c r="A55" s="108"/>
      <c r="B55" s="108"/>
      <c r="C55" s="109"/>
      <c r="D55" s="109"/>
      <c r="E55" s="109"/>
      <c r="F55" s="109"/>
      <c r="G55" s="109"/>
      <c r="H55" s="109"/>
      <c r="I55" s="111"/>
      <c r="J55" s="111"/>
      <c r="K55" s="112"/>
      <c r="L55" s="112"/>
      <c r="M55" s="112"/>
      <c r="N55" s="112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</row>
    <row r="56" spans="1:30" ht="12" customHeight="1">
      <c r="A56" s="108"/>
      <c r="B56" s="108"/>
      <c r="C56" s="109"/>
      <c r="D56" s="109"/>
      <c r="E56" s="109"/>
      <c r="F56" s="109"/>
      <c r="G56" s="109"/>
      <c r="H56" s="109"/>
      <c r="I56" s="111"/>
      <c r="J56" s="111"/>
      <c r="K56" s="112"/>
      <c r="L56" s="112"/>
      <c r="M56" s="112"/>
      <c r="N56" s="112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</row>
    <row r="57" spans="1:30" ht="12" customHeight="1">
      <c r="A57" s="108"/>
      <c r="B57" s="108"/>
      <c r="C57" s="109"/>
      <c r="D57" s="109"/>
      <c r="E57" s="109"/>
      <c r="F57" s="109"/>
      <c r="G57" s="109"/>
      <c r="H57" s="109"/>
      <c r="I57" s="111"/>
      <c r="J57" s="111"/>
      <c r="K57" s="112"/>
      <c r="L57" s="112"/>
      <c r="M57" s="112"/>
      <c r="N57" s="112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</row>
    <row r="58" spans="1:30" ht="12" customHeight="1">
      <c r="A58" s="108"/>
      <c r="B58" s="108"/>
      <c r="C58" s="109"/>
      <c r="D58" s="109"/>
      <c r="E58" s="109"/>
      <c r="F58" s="109"/>
      <c r="G58" s="109"/>
      <c r="H58" s="109"/>
      <c r="I58" s="111"/>
      <c r="J58" s="111"/>
      <c r="K58" s="112"/>
      <c r="L58" s="112"/>
      <c r="M58" s="112"/>
      <c r="N58" s="112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</row>
    <row r="59" spans="1:30" ht="12" customHeight="1">
      <c r="A59" s="108"/>
      <c r="B59" s="108"/>
      <c r="C59" s="109"/>
      <c r="D59" s="109"/>
      <c r="E59" s="109"/>
      <c r="F59" s="109"/>
      <c r="G59" s="109"/>
      <c r="H59" s="109"/>
      <c r="I59" s="111"/>
      <c r="J59" s="111"/>
      <c r="K59" s="112"/>
      <c r="L59" s="112"/>
      <c r="M59" s="112"/>
      <c r="N59" s="112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</row>
    <row r="60" spans="1:30" ht="12" customHeight="1">
      <c r="A60" s="108"/>
      <c r="B60" s="108"/>
      <c r="C60" s="109"/>
      <c r="D60" s="109"/>
      <c r="E60" s="109"/>
      <c r="F60" s="109"/>
      <c r="G60" s="109"/>
      <c r="H60" s="109"/>
      <c r="I60" s="111"/>
      <c r="J60" s="111"/>
      <c r="K60" s="112"/>
      <c r="L60" s="112"/>
      <c r="M60" s="112"/>
      <c r="N60" s="112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</row>
    <row r="61" spans="1:30" ht="12" customHeight="1">
      <c r="A61" s="108"/>
      <c r="B61" s="108"/>
      <c r="C61" s="109"/>
      <c r="D61" s="109"/>
      <c r="E61" s="109"/>
      <c r="F61" s="109"/>
      <c r="G61" s="109"/>
      <c r="H61" s="109"/>
      <c r="I61" s="111"/>
      <c r="J61" s="111"/>
      <c r="K61" s="112"/>
      <c r="L61" s="112"/>
      <c r="M61" s="112"/>
      <c r="N61" s="112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</row>
    <row r="62" spans="1:30" ht="12" customHeight="1">
      <c r="A62" s="108"/>
      <c r="B62" s="108"/>
      <c r="C62" s="109"/>
      <c r="D62" s="109"/>
      <c r="E62" s="109"/>
      <c r="F62" s="109"/>
      <c r="G62" s="109"/>
      <c r="H62" s="109"/>
      <c r="I62" s="111"/>
      <c r="J62" s="111"/>
      <c r="K62" s="112"/>
      <c r="L62" s="112"/>
      <c r="M62" s="112"/>
      <c r="N62" s="112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</row>
    <row r="63" spans="1:30" ht="12" customHeight="1">
      <c r="A63" s="108"/>
      <c r="B63" s="108"/>
      <c r="C63" s="109"/>
      <c r="D63" s="109"/>
      <c r="E63" s="109"/>
      <c r="F63" s="109"/>
      <c r="G63" s="109"/>
      <c r="H63" s="109"/>
      <c r="I63" s="111"/>
      <c r="J63" s="111"/>
      <c r="K63" s="112"/>
      <c r="L63" s="112"/>
      <c r="M63" s="112"/>
      <c r="N63" s="112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</row>
    <row r="64" spans="1:30" ht="12" customHeight="1">
      <c r="A64" s="108"/>
      <c r="B64" s="108"/>
      <c r="C64" s="109"/>
      <c r="D64" s="109"/>
      <c r="E64" s="109"/>
      <c r="F64" s="109"/>
      <c r="G64" s="109"/>
      <c r="H64" s="109"/>
      <c r="I64" s="111"/>
      <c r="J64" s="111"/>
      <c r="K64" s="112"/>
      <c r="L64" s="112"/>
      <c r="M64" s="112"/>
      <c r="N64" s="112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</row>
    <row r="65" spans="1:30" ht="12" customHeight="1">
      <c r="A65" s="108"/>
      <c r="B65" s="108"/>
      <c r="C65" s="109"/>
      <c r="D65" s="109"/>
      <c r="E65" s="109"/>
      <c r="F65" s="109"/>
      <c r="G65" s="109"/>
      <c r="H65" s="109"/>
      <c r="I65" s="111"/>
      <c r="J65" s="111"/>
      <c r="K65" s="112"/>
      <c r="L65" s="112"/>
      <c r="M65" s="112"/>
      <c r="N65" s="112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</row>
    <row r="66" spans="1:30" ht="12" customHeight="1">
      <c r="A66" s="108"/>
      <c r="B66" s="108"/>
      <c r="C66" s="109"/>
      <c r="D66" s="109"/>
      <c r="E66" s="109"/>
      <c r="F66" s="109"/>
      <c r="G66" s="109"/>
      <c r="H66" s="109"/>
      <c r="I66" s="111"/>
      <c r="J66" s="111"/>
      <c r="K66" s="112"/>
      <c r="L66" s="112"/>
      <c r="M66" s="112"/>
      <c r="N66" s="112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</row>
    <row r="67" spans="1:30" ht="12" customHeight="1">
      <c r="A67" s="108"/>
      <c r="B67" s="108"/>
      <c r="C67" s="109"/>
      <c r="D67" s="109"/>
      <c r="E67" s="109"/>
      <c r="F67" s="109"/>
      <c r="G67" s="109"/>
      <c r="H67" s="109"/>
      <c r="I67" s="111"/>
      <c r="J67" s="111"/>
      <c r="K67" s="112"/>
      <c r="L67" s="112"/>
      <c r="M67" s="112"/>
      <c r="N67" s="112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</row>
    <row r="68" spans="1:30" ht="12" customHeight="1">
      <c r="A68" s="108"/>
      <c r="B68" s="108"/>
      <c r="C68" s="109"/>
      <c r="D68" s="109"/>
      <c r="E68" s="109"/>
      <c r="F68" s="109"/>
      <c r="G68" s="109"/>
      <c r="H68" s="109"/>
      <c r="I68" s="111"/>
      <c r="J68" s="111"/>
      <c r="K68" s="112"/>
      <c r="L68" s="112"/>
      <c r="M68" s="112"/>
      <c r="N68" s="112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</row>
    <row r="69" spans="1:30" ht="12" customHeight="1">
      <c r="A69" s="108"/>
      <c r="B69" s="108"/>
      <c r="C69" s="109"/>
      <c r="D69" s="109"/>
      <c r="E69" s="109"/>
      <c r="F69" s="109"/>
      <c r="G69" s="109"/>
      <c r="H69" s="109"/>
      <c r="I69" s="111"/>
      <c r="J69" s="111"/>
      <c r="K69" s="112"/>
      <c r="L69" s="112"/>
      <c r="M69" s="112"/>
      <c r="N69" s="112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</row>
    <row r="70" spans="1:30" ht="12" customHeight="1">
      <c r="A70" s="108"/>
      <c r="B70" s="108"/>
      <c r="C70" s="109"/>
      <c r="D70" s="109"/>
      <c r="E70" s="109"/>
      <c r="F70" s="109"/>
      <c r="G70" s="109"/>
      <c r="H70" s="109"/>
      <c r="I70" s="111"/>
      <c r="J70" s="111"/>
      <c r="K70" s="112"/>
      <c r="L70" s="112"/>
      <c r="M70" s="112"/>
      <c r="N70" s="112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</row>
    <row r="71" spans="1:30" ht="12" customHeight="1">
      <c r="A71" s="108"/>
      <c r="B71" s="108"/>
      <c r="C71" s="109"/>
      <c r="D71" s="109"/>
      <c r="E71" s="109"/>
      <c r="F71" s="109"/>
      <c r="G71" s="109"/>
      <c r="H71" s="109"/>
      <c r="I71" s="111"/>
      <c r="J71" s="111"/>
      <c r="K71" s="112"/>
      <c r="L71" s="112"/>
      <c r="M71" s="112"/>
      <c r="N71" s="112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</row>
    <row r="72" spans="1:30" ht="12" customHeight="1">
      <c r="A72" s="108"/>
      <c r="B72" s="108"/>
      <c r="C72" s="109"/>
      <c r="D72" s="109"/>
      <c r="E72" s="109"/>
      <c r="F72" s="109"/>
      <c r="G72" s="109"/>
      <c r="H72" s="109"/>
      <c r="I72" s="111"/>
      <c r="J72" s="111"/>
      <c r="K72" s="112"/>
      <c r="L72" s="112"/>
      <c r="M72" s="112"/>
      <c r="N72" s="112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</row>
    <row r="73" spans="1:30" ht="12" customHeight="1">
      <c r="A73" s="108"/>
      <c r="B73" s="108"/>
      <c r="C73" s="109"/>
      <c r="D73" s="109"/>
      <c r="E73" s="109"/>
      <c r="F73" s="109"/>
      <c r="G73" s="109"/>
      <c r="H73" s="109"/>
      <c r="I73" s="111"/>
      <c r="J73" s="111"/>
      <c r="K73" s="112"/>
      <c r="L73" s="112"/>
      <c r="M73" s="112"/>
      <c r="N73" s="112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</row>
    <row r="74" spans="1:30" ht="12" customHeight="1">
      <c r="A74" s="108"/>
      <c r="B74" s="108"/>
      <c r="C74" s="109"/>
      <c r="D74" s="109"/>
      <c r="E74" s="109"/>
      <c r="F74" s="109"/>
      <c r="G74" s="109"/>
      <c r="H74" s="109"/>
      <c r="I74" s="111"/>
      <c r="J74" s="111"/>
      <c r="K74" s="112"/>
      <c r="L74" s="112"/>
      <c r="M74" s="112"/>
      <c r="N74" s="112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</row>
    <row r="75" spans="1:30" ht="12" customHeight="1">
      <c r="A75" s="108"/>
      <c r="B75" s="108"/>
      <c r="C75" s="109"/>
      <c r="D75" s="109"/>
      <c r="E75" s="109"/>
      <c r="F75" s="109"/>
      <c r="G75" s="109"/>
      <c r="H75" s="109"/>
      <c r="I75" s="111"/>
      <c r="J75" s="111"/>
      <c r="K75" s="112"/>
      <c r="L75" s="112"/>
      <c r="M75" s="112"/>
      <c r="N75" s="112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</row>
    <row r="76" spans="1:30" ht="12" customHeight="1">
      <c r="A76" s="108"/>
      <c r="B76" s="108"/>
      <c r="C76" s="109"/>
      <c r="D76" s="109"/>
      <c r="E76" s="109"/>
      <c r="F76" s="109"/>
      <c r="G76" s="109"/>
      <c r="H76" s="109"/>
      <c r="I76" s="111"/>
      <c r="J76" s="111"/>
      <c r="K76" s="112"/>
      <c r="L76" s="112"/>
      <c r="M76" s="112"/>
      <c r="N76" s="112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</row>
    <row r="77" spans="1:30" ht="12" customHeight="1">
      <c r="A77" s="108"/>
      <c r="B77" s="108"/>
      <c r="C77" s="109"/>
      <c r="D77" s="109"/>
      <c r="E77" s="109"/>
      <c r="F77" s="109"/>
      <c r="G77" s="109"/>
      <c r="H77" s="109"/>
      <c r="I77" s="111"/>
      <c r="J77" s="111"/>
      <c r="K77" s="112"/>
      <c r="L77" s="112"/>
      <c r="M77" s="112"/>
      <c r="N77" s="112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</row>
    <row r="78" spans="1:30" ht="12" customHeight="1">
      <c r="A78" s="108"/>
      <c r="B78" s="108"/>
      <c r="C78" s="109"/>
      <c r="D78" s="109"/>
      <c r="E78" s="109"/>
      <c r="F78" s="109"/>
      <c r="G78" s="109"/>
      <c r="H78" s="109"/>
      <c r="I78" s="111"/>
      <c r="J78" s="111"/>
      <c r="K78" s="112"/>
      <c r="L78" s="112"/>
      <c r="M78" s="112"/>
      <c r="N78" s="112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</row>
    <row r="79" spans="1:30" ht="12" customHeight="1">
      <c r="A79" s="108"/>
      <c r="B79" s="108"/>
      <c r="C79" s="109"/>
      <c r="D79" s="109"/>
      <c r="E79" s="109"/>
      <c r="F79" s="109"/>
      <c r="G79" s="109"/>
      <c r="H79" s="109"/>
      <c r="I79" s="111"/>
      <c r="J79" s="111"/>
      <c r="K79" s="112"/>
      <c r="L79" s="112"/>
      <c r="M79" s="112"/>
      <c r="N79" s="112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</row>
    <row r="80" spans="1:30" ht="12" customHeight="1">
      <c r="A80" s="108"/>
      <c r="B80" s="108"/>
      <c r="C80" s="109"/>
      <c r="D80" s="109"/>
      <c r="E80" s="109"/>
      <c r="F80" s="109"/>
      <c r="G80" s="109"/>
      <c r="H80" s="109"/>
      <c r="I80" s="111"/>
      <c r="J80" s="111"/>
      <c r="K80" s="112"/>
      <c r="L80" s="112"/>
      <c r="M80" s="112"/>
      <c r="N80" s="112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</row>
    <row r="81" spans="1:30" ht="12" customHeight="1">
      <c r="A81" s="108"/>
      <c r="B81" s="108"/>
      <c r="C81" s="109"/>
      <c r="D81" s="109"/>
      <c r="E81" s="109"/>
      <c r="F81" s="109"/>
      <c r="G81" s="109"/>
      <c r="H81" s="109"/>
      <c r="I81" s="111"/>
      <c r="J81" s="111"/>
      <c r="K81" s="112"/>
      <c r="L81" s="112"/>
      <c r="M81" s="112"/>
      <c r="N81" s="112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</row>
    <row r="82" spans="1:30" ht="12" customHeight="1">
      <c r="A82" s="108"/>
      <c r="B82" s="108"/>
      <c r="C82" s="109"/>
      <c r="D82" s="109"/>
      <c r="E82" s="109"/>
      <c r="F82" s="109"/>
      <c r="G82" s="109"/>
      <c r="H82" s="109"/>
      <c r="I82" s="111"/>
      <c r="J82" s="111"/>
      <c r="K82" s="112"/>
      <c r="L82" s="112"/>
      <c r="M82" s="112"/>
      <c r="N82" s="112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</row>
    <row r="83" spans="1:30" ht="12" customHeight="1">
      <c r="A83" s="108"/>
      <c r="B83" s="108"/>
      <c r="C83" s="109"/>
      <c r="D83" s="109"/>
      <c r="E83" s="109"/>
      <c r="F83" s="109"/>
      <c r="G83" s="109"/>
      <c r="H83" s="109"/>
      <c r="I83" s="111"/>
      <c r="J83" s="111"/>
      <c r="K83" s="112"/>
      <c r="L83" s="112"/>
      <c r="M83" s="112"/>
      <c r="N83" s="112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</row>
    <row r="84" spans="1:30" ht="12" customHeight="1">
      <c r="A84" s="108"/>
      <c r="B84" s="108"/>
      <c r="C84" s="109"/>
      <c r="D84" s="109"/>
      <c r="E84" s="109"/>
      <c r="F84" s="109"/>
      <c r="G84" s="109"/>
      <c r="H84" s="109"/>
      <c r="I84" s="111"/>
      <c r="J84" s="111"/>
      <c r="K84" s="112"/>
      <c r="L84" s="112"/>
      <c r="M84" s="112"/>
      <c r="N84" s="112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</row>
    <row r="85" spans="1:30" ht="12" customHeight="1">
      <c r="A85" s="108"/>
      <c r="B85" s="108"/>
      <c r="C85" s="109"/>
      <c r="D85" s="109"/>
      <c r="E85" s="109"/>
      <c r="F85" s="109"/>
      <c r="G85" s="109"/>
      <c r="H85" s="109"/>
      <c r="I85" s="111"/>
      <c r="J85" s="111"/>
      <c r="K85" s="112"/>
      <c r="L85" s="112"/>
      <c r="M85" s="112"/>
      <c r="N85" s="112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</row>
    <row r="86" spans="1:30" ht="12" customHeight="1">
      <c r="A86" s="108"/>
      <c r="B86" s="108"/>
      <c r="C86" s="109"/>
      <c r="D86" s="109"/>
      <c r="E86" s="109"/>
      <c r="F86" s="109"/>
      <c r="G86" s="109"/>
      <c r="H86" s="109"/>
      <c r="I86" s="111"/>
      <c r="J86" s="111"/>
      <c r="K86" s="112"/>
      <c r="L86" s="112"/>
      <c r="M86" s="112"/>
      <c r="N86" s="112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</row>
    <row r="87" spans="1:30" ht="12" customHeight="1">
      <c r="A87" s="108"/>
      <c r="B87" s="108"/>
      <c r="C87" s="109"/>
      <c r="D87" s="109"/>
      <c r="E87" s="109"/>
      <c r="F87" s="109"/>
      <c r="G87" s="109"/>
      <c r="H87" s="109"/>
      <c r="I87" s="111"/>
      <c r="J87" s="111"/>
      <c r="K87" s="112"/>
      <c r="L87" s="112"/>
      <c r="M87" s="112"/>
      <c r="N87" s="112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</row>
    <row r="88" spans="1:30" ht="12" customHeight="1">
      <c r="A88" s="108"/>
      <c r="B88" s="108"/>
      <c r="C88" s="109"/>
      <c r="D88" s="109"/>
      <c r="E88" s="109"/>
      <c r="F88" s="109"/>
      <c r="G88" s="109"/>
      <c r="H88" s="109"/>
      <c r="I88" s="111"/>
      <c r="J88" s="111"/>
      <c r="K88" s="112"/>
      <c r="L88" s="112"/>
      <c r="M88" s="112"/>
      <c r="N88" s="112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</row>
    <row r="89" spans="1:30" ht="12" customHeight="1">
      <c r="A89" s="108"/>
      <c r="B89" s="108"/>
      <c r="C89" s="109"/>
      <c r="D89" s="109"/>
      <c r="E89" s="109"/>
      <c r="F89" s="109"/>
      <c r="G89" s="109"/>
      <c r="H89" s="109"/>
      <c r="I89" s="111"/>
      <c r="J89" s="111"/>
      <c r="K89" s="112"/>
      <c r="L89" s="112"/>
      <c r="M89" s="112"/>
      <c r="N89" s="112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</row>
    <row r="90" spans="1:30" ht="12" customHeight="1">
      <c r="A90" s="108"/>
      <c r="B90" s="108"/>
      <c r="C90" s="109"/>
      <c r="D90" s="109"/>
      <c r="E90" s="109"/>
      <c r="F90" s="109"/>
      <c r="G90" s="109"/>
      <c r="H90" s="109"/>
      <c r="I90" s="111"/>
      <c r="J90" s="111"/>
      <c r="K90" s="112"/>
      <c r="L90" s="112"/>
      <c r="M90" s="112"/>
      <c r="N90" s="112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</row>
    <row r="91" spans="1:30" ht="12" customHeight="1">
      <c r="A91" s="108"/>
      <c r="B91" s="108"/>
      <c r="C91" s="109"/>
      <c r="D91" s="109"/>
      <c r="E91" s="109"/>
      <c r="F91" s="109"/>
      <c r="G91" s="109"/>
      <c r="H91" s="109"/>
      <c r="I91" s="111"/>
      <c r="J91" s="111"/>
      <c r="K91" s="112"/>
      <c r="L91" s="112"/>
      <c r="M91" s="112"/>
      <c r="N91" s="112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</row>
    <row r="92" spans="1:30" ht="12" customHeight="1">
      <c r="A92" s="108"/>
      <c r="B92" s="108"/>
      <c r="C92" s="109"/>
      <c r="D92" s="109"/>
      <c r="E92" s="109"/>
      <c r="F92" s="109"/>
      <c r="G92" s="109"/>
      <c r="H92" s="109"/>
      <c r="I92" s="111"/>
      <c r="J92" s="111"/>
      <c r="K92" s="112"/>
      <c r="L92" s="112"/>
      <c r="M92" s="112"/>
      <c r="N92" s="112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</row>
    <row r="93" spans="1:30" ht="12" customHeight="1">
      <c r="A93" s="108"/>
      <c r="B93" s="108"/>
      <c r="C93" s="109"/>
      <c r="D93" s="109"/>
      <c r="E93" s="109"/>
      <c r="F93" s="109"/>
      <c r="G93" s="109"/>
      <c r="H93" s="109"/>
      <c r="I93" s="111"/>
      <c r="J93" s="111"/>
      <c r="K93" s="112"/>
      <c r="L93" s="112"/>
      <c r="M93" s="112"/>
      <c r="N93" s="112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</row>
    <row r="94" spans="1:30" ht="12" customHeight="1">
      <c r="A94" s="108"/>
      <c r="B94" s="108"/>
      <c r="C94" s="109"/>
      <c r="D94" s="109"/>
      <c r="E94" s="109"/>
      <c r="F94" s="109"/>
      <c r="G94" s="109"/>
      <c r="H94" s="109"/>
      <c r="I94" s="111"/>
      <c r="J94" s="111"/>
      <c r="K94" s="112"/>
      <c r="L94" s="112"/>
      <c r="M94" s="112"/>
      <c r="N94" s="112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</row>
    <row r="95" spans="1:30" ht="12" customHeight="1">
      <c r="A95" s="108"/>
      <c r="B95" s="108"/>
      <c r="C95" s="109"/>
      <c r="D95" s="109"/>
      <c r="E95" s="109"/>
      <c r="F95" s="109"/>
      <c r="G95" s="109"/>
      <c r="H95" s="109"/>
      <c r="I95" s="111"/>
      <c r="J95" s="111"/>
      <c r="K95" s="112"/>
      <c r="L95" s="112"/>
      <c r="M95" s="112"/>
      <c r="N95" s="112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</row>
    <row r="96" spans="1:30" ht="12" customHeight="1">
      <c r="A96" s="108"/>
      <c r="B96" s="108"/>
      <c r="C96" s="109"/>
      <c r="D96" s="109"/>
      <c r="E96" s="109"/>
      <c r="F96" s="109"/>
      <c r="G96" s="109"/>
      <c r="H96" s="109"/>
      <c r="I96" s="111"/>
      <c r="J96" s="111"/>
      <c r="K96" s="112"/>
      <c r="L96" s="112"/>
      <c r="M96" s="112"/>
      <c r="N96" s="112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</row>
    <row r="97" spans="1:30" ht="12" customHeight="1">
      <c r="A97" s="108"/>
      <c r="B97" s="108"/>
      <c r="C97" s="109"/>
      <c r="D97" s="109"/>
      <c r="E97" s="109"/>
      <c r="F97" s="109"/>
      <c r="G97" s="109"/>
      <c r="H97" s="109"/>
      <c r="I97" s="111"/>
      <c r="J97" s="111"/>
      <c r="K97" s="112"/>
      <c r="L97" s="112"/>
      <c r="M97" s="112"/>
      <c r="N97" s="112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</row>
    <row r="98" spans="1:30" ht="12" customHeight="1">
      <c r="A98" s="108"/>
      <c r="B98" s="108"/>
      <c r="C98" s="109"/>
      <c r="D98" s="109"/>
      <c r="E98" s="109"/>
      <c r="F98" s="109"/>
      <c r="G98" s="109"/>
      <c r="H98" s="109"/>
      <c r="I98" s="111"/>
      <c r="J98" s="111"/>
      <c r="K98" s="112"/>
      <c r="L98" s="112"/>
      <c r="M98" s="112"/>
      <c r="N98" s="112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</row>
    <row r="99" spans="1:30" ht="12" customHeight="1">
      <c r="A99" s="108"/>
      <c r="B99" s="108"/>
      <c r="C99" s="109"/>
      <c r="D99" s="109"/>
      <c r="E99" s="109"/>
      <c r="F99" s="109"/>
      <c r="G99" s="109"/>
      <c r="H99" s="109"/>
      <c r="I99" s="111"/>
      <c r="J99" s="111"/>
      <c r="K99" s="112"/>
      <c r="L99" s="112"/>
      <c r="M99" s="112"/>
      <c r="N99" s="112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</row>
    <row r="100" spans="1:30" ht="12" customHeight="1">
      <c r="A100" s="108"/>
      <c r="B100" s="108"/>
      <c r="C100" s="109"/>
      <c r="D100" s="109"/>
      <c r="E100" s="109"/>
      <c r="F100" s="109"/>
      <c r="G100" s="109"/>
      <c r="H100" s="109"/>
      <c r="I100" s="111"/>
      <c r="J100" s="111"/>
      <c r="K100" s="112"/>
      <c r="L100" s="112"/>
      <c r="M100" s="112"/>
      <c r="N100" s="112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</row>
    <row r="101" spans="1:30" ht="12" customHeight="1">
      <c r="A101" s="108"/>
      <c r="B101" s="108"/>
      <c r="C101" s="109"/>
      <c r="D101" s="109"/>
      <c r="E101" s="109"/>
      <c r="F101" s="109"/>
      <c r="G101" s="109"/>
      <c r="H101" s="109"/>
      <c r="I101" s="111"/>
      <c r="J101" s="111"/>
      <c r="K101" s="112"/>
      <c r="L101" s="112"/>
      <c r="M101" s="112"/>
      <c r="N101" s="112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</row>
    <row r="102" spans="1:30" ht="12" customHeight="1">
      <c r="A102" s="108"/>
      <c r="B102" s="108"/>
      <c r="C102" s="109"/>
      <c r="D102" s="109"/>
      <c r="E102" s="109"/>
      <c r="F102" s="109"/>
      <c r="G102" s="109"/>
      <c r="H102" s="109"/>
      <c r="I102" s="111"/>
      <c r="J102" s="111"/>
      <c r="K102" s="112"/>
      <c r="L102" s="112"/>
      <c r="M102" s="112"/>
      <c r="N102" s="112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</row>
    <row r="103" spans="1:30" ht="12" customHeight="1">
      <c r="A103" s="108"/>
      <c r="B103" s="108"/>
      <c r="C103" s="109"/>
      <c r="D103" s="109"/>
      <c r="E103" s="109"/>
      <c r="F103" s="109"/>
      <c r="G103" s="109"/>
      <c r="H103" s="109"/>
      <c r="I103" s="111"/>
      <c r="J103" s="111"/>
      <c r="K103" s="112"/>
      <c r="L103" s="112"/>
      <c r="M103" s="112"/>
      <c r="N103" s="112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</row>
    <row r="104" spans="1:30" ht="12" customHeight="1">
      <c r="A104" s="108"/>
      <c r="B104" s="108"/>
      <c r="C104" s="109"/>
      <c r="D104" s="109"/>
      <c r="E104" s="109"/>
      <c r="F104" s="109"/>
      <c r="G104" s="109"/>
      <c r="H104" s="109"/>
      <c r="I104" s="111"/>
      <c r="J104" s="111"/>
      <c r="K104" s="112"/>
      <c r="L104" s="112"/>
      <c r="M104" s="112"/>
      <c r="N104" s="112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</row>
    <row r="105" spans="1:30" ht="12" customHeight="1">
      <c r="A105" s="108"/>
      <c r="B105" s="108"/>
      <c r="C105" s="109"/>
      <c r="D105" s="109"/>
      <c r="E105" s="109"/>
      <c r="F105" s="109"/>
      <c r="G105" s="109"/>
      <c r="H105" s="109"/>
      <c r="I105" s="111"/>
      <c r="J105" s="111"/>
      <c r="K105" s="112"/>
      <c r="L105" s="112"/>
      <c r="M105" s="112"/>
      <c r="N105" s="112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</row>
    <row r="106" spans="1:30" ht="12" customHeight="1">
      <c r="A106" s="108"/>
      <c r="B106" s="108"/>
      <c r="C106" s="109"/>
      <c r="D106" s="109"/>
      <c r="E106" s="109"/>
      <c r="F106" s="109"/>
      <c r="G106" s="109"/>
      <c r="H106" s="109"/>
      <c r="I106" s="111"/>
      <c r="J106" s="111"/>
      <c r="K106" s="112"/>
      <c r="L106" s="112"/>
      <c r="M106" s="112"/>
      <c r="N106" s="112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</row>
    <row r="107" spans="1:30" ht="12" customHeight="1">
      <c r="A107" s="108"/>
      <c r="B107" s="108"/>
      <c r="C107" s="109"/>
      <c r="D107" s="109"/>
      <c r="E107" s="109"/>
      <c r="F107" s="109"/>
      <c r="G107" s="109"/>
      <c r="H107" s="109"/>
      <c r="I107" s="111"/>
      <c r="J107" s="111"/>
      <c r="K107" s="112"/>
      <c r="L107" s="112"/>
      <c r="M107" s="112"/>
      <c r="N107" s="112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</row>
    <row r="108" spans="1:30" ht="12" customHeight="1">
      <c r="A108" s="108"/>
      <c r="B108" s="108"/>
      <c r="C108" s="109"/>
      <c r="D108" s="109"/>
      <c r="E108" s="109"/>
      <c r="F108" s="109"/>
      <c r="G108" s="109"/>
      <c r="H108" s="109"/>
      <c r="I108" s="111"/>
      <c r="J108" s="111"/>
      <c r="K108" s="112"/>
      <c r="L108" s="112"/>
      <c r="M108" s="112"/>
      <c r="N108" s="112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</row>
    <row r="109" spans="1:30" ht="12" customHeight="1">
      <c r="A109" s="108"/>
      <c r="B109" s="108"/>
      <c r="C109" s="109"/>
      <c r="D109" s="109"/>
      <c r="E109" s="109"/>
      <c r="F109" s="109"/>
      <c r="G109" s="109"/>
      <c r="H109" s="109"/>
      <c r="I109" s="111"/>
      <c r="J109" s="111"/>
      <c r="K109" s="112"/>
      <c r="L109" s="112"/>
      <c r="M109" s="112"/>
      <c r="N109" s="112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</row>
    <row r="110" spans="1:30" ht="12" customHeight="1">
      <c r="A110" s="108"/>
      <c r="B110" s="108"/>
      <c r="C110" s="109"/>
      <c r="D110" s="109"/>
      <c r="E110" s="109"/>
      <c r="F110" s="109"/>
      <c r="G110" s="109"/>
      <c r="H110" s="109"/>
      <c r="I110" s="111"/>
      <c r="J110" s="111"/>
      <c r="K110" s="112"/>
      <c r="L110" s="112"/>
      <c r="M110" s="112"/>
      <c r="N110" s="112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</row>
    <row r="111" spans="1:30" ht="12" customHeight="1">
      <c r="A111" s="108"/>
      <c r="B111" s="108"/>
      <c r="C111" s="109"/>
      <c r="D111" s="109"/>
      <c r="E111" s="109"/>
      <c r="F111" s="109"/>
      <c r="G111" s="109"/>
      <c r="H111" s="109"/>
      <c r="I111" s="111"/>
      <c r="J111" s="111"/>
      <c r="K111" s="112"/>
      <c r="L111" s="112"/>
      <c r="M111" s="112"/>
      <c r="N111" s="112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</row>
    <row r="112" spans="1:30" ht="12" customHeight="1">
      <c r="A112" s="108"/>
      <c r="B112" s="108"/>
      <c r="C112" s="109"/>
      <c r="D112" s="109"/>
      <c r="E112" s="109"/>
      <c r="F112" s="109"/>
      <c r="G112" s="109"/>
      <c r="H112" s="109"/>
      <c r="I112" s="111"/>
      <c r="J112" s="111"/>
      <c r="K112" s="112"/>
      <c r="L112" s="112"/>
      <c r="M112" s="112"/>
      <c r="N112" s="112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</row>
    <row r="113" spans="1:30" ht="12" customHeight="1">
      <c r="A113" s="108"/>
      <c r="B113" s="108"/>
      <c r="C113" s="109"/>
      <c r="D113" s="109"/>
      <c r="E113" s="109"/>
      <c r="F113" s="109"/>
      <c r="G113" s="109"/>
      <c r="H113" s="109"/>
      <c r="I113" s="111"/>
      <c r="J113" s="111"/>
      <c r="K113" s="112"/>
      <c r="L113" s="112"/>
      <c r="M113" s="112"/>
      <c r="N113" s="112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</row>
    <row r="114" spans="1:30" ht="12" customHeight="1">
      <c r="A114" s="108"/>
      <c r="B114" s="108"/>
      <c r="C114" s="109"/>
      <c r="D114" s="109"/>
      <c r="E114" s="109"/>
      <c r="F114" s="109"/>
      <c r="G114" s="109"/>
      <c r="H114" s="109"/>
      <c r="I114" s="111"/>
      <c r="J114" s="111"/>
      <c r="K114" s="112"/>
      <c r="L114" s="112"/>
      <c r="M114" s="112"/>
      <c r="N114" s="112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</row>
    <row r="115" spans="1:30" ht="12" customHeight="1">
      <c r="A115" s="108"/>
      <c r="B115" s="108"/>
      <c r="C115" s="109"/>
      <c r="D115" s="109"/>
      <c r="E115" s="109"/>
      <c r="F115" s="109"/>
      <c r="G115" s="109"/>
      <c r="H115" s="109"/>
      <c r="I115" s="111"/>
      <c r="J115" s="111"/>
      <c r="K115" s="112"/>
      <c r="L115" s="112"/>
      <c r="M115" s="112"/>
      <c r="N115" s="112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</row>
    <row r="116" spans="1:30" ht="12" customHeight="1">
      <c r="A116" s="108"/>
      <c r="B116" s="108"/>
      <c r="C116" s="109"/>
      <c r="D116" s="109"/>
      <c r="E116" s="109"/>
      <c r="F116" s="109"/>
      <c r="G116" s="109"/>
      <c r="H116" s="109"/>
      <c r="I116" s="111"/>
      <c r="J116" s="111"/>
      <c r="K116" s="112"/>
      <c r="L116" s="112"/>
      <c r="M116" s="112"/>
      <c r="N116" s="112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</row>
    <row r="117" spans="1:30" ht="12" customHeight="1">
      <c r="A117" s="108"/>
      <c r="B117" s="108"/>
      <c r="C117" s="109"/>
      <c r="D117" s="109"/>
      <c r="E117" s="109"/>
      <c r="F117" s="109"/>
      <c r="G117" s="109"/>
      <c r="H117" s="109"/>
      <c r="I117" s="111"/>
      <c r="J117" s="111"/>
      <c r="K117" s="112"/>
      <c r="L117" s="112"/>
      <c r="M117" s="112"/>
      <c r="N117" s="112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</row>
    <row r="118" spans="1:30" ht="12" customHeight="1">
      <c r="A118" s="108"/>
      <c r="B118" s="108"/>
      <c r="C118" s="109"/>
      <c r="D118" s="109"/>
      <c r="E118" s="109"/>
      <c r="F118" s="109"/>
      <c r="G118" s="109"/>
      <c r="H118" s="109"/>
      <c r="I118" s="111"/>
      <c r="J118" s="111"/>
      <c r="K118" s="112"/>
      <c r="L118" s="112"/>
      <c r="M118" s="112"/>
      <c r="N118" s="112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</row>
    <row r="119" spans="1:30" ht="12" customHeight="1">
      <c r="A119" s="108"/>
      <c r="B119" s="108"/>
      <c r="C119" s="109"/>
      <c r="D119" s="109"/>
      <c r="E119" s="109"/>
      <c r="F119" s="109"/>
      <c r="G119" s="109"/>
      <c r="H119" s="109"/>
      <c r="I119" s="111"/>
      <c r="J119" s="111"/>
      <c r="K119" s="112"/>
      <c r="L119" s="112"/>
      <c r="M119" s="112"/>
      <c r="N119" s="112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</row>
    <row r="120" spans="1:30" ht="12" customHeight="1">
      <c r="A120" s="108"/>
      <c r="B120" s="108"/>
      <c r="C120" s="109"/>
      <c r="D120" s="109"/>
      <c r="E120" s="109"/>
      <c r="F120" s="109"/>
      <c r="G120" s="109"/>
      <c r="H120" s="109"/>
      <c r="I120" s="111"/>
      <c r="J120" s="111"/>
      <c r="K120" s="112"/>
      <c r="L120" s="112"/>
      <c r="M120" s="112"/>
      <c r="N120" s="112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</row>
    <row r="121" spans="1:30" ht="12" customHeight="1">
      <c r="A121" s="108"/>
      <c r="B121" s="108"/>
      <c r="C121" s="109"/>
      <c r="D121" s="109"/>
      <c r="E121" s="109"/>
      <c r="F121" s="109"/>
      <c r="G121" s="109"/>
      <c r="H121" s="109"/>
      <c r="I121" s="111"/>
      <c r="J121" s="111"/>
      <c r="K121" s="112"/>
      <c r="L121" s="112"/>
      <c r="M121" s="112"/>
      <c r="N121" s="112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</row>
    <row r="122" spans="1:30" ht="12" customHeight="1">
      <c r="A122" s="108"/>
      <c r="B122" s="108"/>
      <c r="C122" s="109"/>
      <c r="D122" s="109"/>
      <c r="E122" s="109"/>
      <c r="F122" s="109"/>
      <c r="G122" s="109"/>
      <c r="H122" s="109"/>
      <c r="I122" s="111"/>
      <c r="J122" s="111"/>
      <c r="K122" s="112"/>
      <c r="L122" s="112"/>
      <c r="M122" s="112"/>
      <c r="N122" s="112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</row>
    <row r="123" spans="1:30" ht="12" customHeight="1">
      <c r="A123" s="108"/>
      <c r="B123" s="108"/>
      <c r="C123" s="109"/>
      <c r="D123" s="109"/>
      <c r="E123" s="109"/>
      <c r="F123" s="109"/>
      <c r="G123" s="109"/>
      <c r="H123" s="109"/>
      <c r="I123" s="111"/>
      <c r="J123" s="111"/>
      <c r="K123" s="112"/>
      <c r="L123" s="112"/>
      <c r="M123" s="112"/>
      <c r="N123" s="112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</row>
    <row r="124" spans="1:30" ht="12" customHeight="1">
      <c r="A124" s="108"/>
      <c r="B124" s="108"/>
      <c r="C124" s="109"/>
      <c r="D124" s="109"/>
      <c r="E124" s="109"/>
      <c r="F124" s="109"/>
      <c r="G124" s="109"/>
      <c r="H124" s="109"/>
      <c r="I124" s="111"/>
      <c r="J124" s="111"/>
      <c r="K124" s="112"/>
      <c r="L124" s="112"/>
      <c r="M124" s="112"/>
      <c r="N124" s="112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</row>
    <row r="125" spans="1:30" ht="12" customHeight="1">
      <c r="A125" s="108"/>
      <c r="B125" s="108"/>
      <c r="C125" s="109"/>
      <c r="D125" s="109"/>
      <c r="E125" s="109"/>
      <c r="F125" s="109"/>
      <c r="G125" s="109"/>
      <c r="H125" s="109"/>
      <c r="I125" s="111"/>
      <c r="J125" s="111"/>
      <c r="K125" s="112"/>
      <c r="L125" s="112"/>
      <c r="M125" s="112"/>
      <c r="N125" s="112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</row>
    <row r="126" spans="1:30" ht="12" customHeight="1">
      <c r="A126" s="108"/>
      <c r="B126" s="108"/>
      <c r="C126" s="109"/>
      <c r="D126" s="109"/>
      <c r="E126" s="109"/>
      <c r="F126" s="109"/>
      <c r="G126" s="109"/>
      <c r="H126" s="109"/>
      <c r="I126" s="111"/>
      <c r="J126" s="111"/>
      <c r="K126" s="112"/>
      <c r="L126" s="112"/>
      <c r="M126" s="112"/>
      <c r="N126" s="112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</row>
    <row r="127" spans="1:30" ht="12" customHeight="1">
      <c r="A127" s="108"/>
      <c r="B127" s="108"/>
      <c r="C127" s="109"/>
      <c r="D127" s="109"/>
      <c r="E127" s="109"/>
      <c r="F127" s="109"/>
      <c r="G127" s="109"/>
      <c r="H127" s="109"/>
      <c r="I127" s="111"/>
      <c r="J127" s="111"/>
      <c r="K127" s="112"/>
      <c r="L127" s="112"/>
      <c r="M127" s="112"/>
      <c r="N127" s="112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</row>
    <row r="128" spans="1:30" ht="12" customHeight="1">
      <c r="A128" s="108"/>
      <c r="B128" s="108"/>
      <c r="C128" s="109"/>
      <c r="D128" s="109"/>
      <c r="E128" s="109"/>
      <c r="F128" s="109"/>
      <c r="G128" s="109"/>
      <c r="H128" s="109"/>
      <c r="I128" s="111"/>
      <c r="J128" s="111"/>
      <c r="K128" s="112"/>
      <c r="L128" s="112"/>
      <c r="M128" s="112"/>
      <c r="N128" s="112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</row>
    <row r="129" spans="1:30" ht="12" customHeight="1">
      <c r="A129" s="108"/>
      <c r="B129" s="108"/>
      <c r="C129" s="109"/>
      <c r="D129" s="109"/>
      <c r="E129" s="109"/>
      <c r="F129" s="109"/>
      <c r="G129" s="109"/>
      <c r="H129" s="109"/>
      <c r="I129" s="111"/>
      <c r="J129" s="111"/>
      <c r="K129" s="112"/>
      <c r="L129" s="112"/>
      <c r="M129" s="112"/>
      <c r="N129" s="112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</row>
    <row r="130" spans="1:30" ht="12" customHeight="1">
      <c r="A130" s="108"/>
      <c r="B130" s="108"/>
      <c r="C130" s="109"/>
      <c r="D130" s="109"/>
      <c r="E130" s="109"/>
      <c r="F130" s="109"/>
      <c r="G130" s="109"/>
      <c r="H130" s="109"/>
      <c r="I130" s="111"/>
      <c r="J130" s="111"/>
      <c r="K130" s="112"/>
      <c r="L130" s="112"/>
      <c r="M130" s="112"/>
      <c r="N130" s="112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 spans="1:30" ht="12" customHeight="1">
      <c r="A131" s="108"/>
      <c r="B131" s="108"/>
      <c r="C131" s="109"/>
      <c r="D131" s="109"/>
      <c r="E131" s="109"/>
      <c r="F131" s="109"/>
      <c r="G131" s="109"/>
      <c r="H131" s="109"/>
      <c r="I131" s="111"/>
      <c r="J131" s="111"/>
      <c r="K131" s="112"/>
      <c r="L131" s="112"/>
      <c r="M131" s="112"/>
      <c r="N131" s="112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</row>
    <row r="132" spans="1:30" ht="12" customHeight="1">
      <c r="A132" s="108"/>
      <c r="B132" s="108"/>
      <c r="C132" s="109"/>
      <c r="D132" s="109"/>
      <c r="E132" s="109"/>
      <c r="F132" s="109"/>
      <c r="G132" s="109"/>
      <c r="H132" s="109"/>
      <c r="I132" s="111"/>
      <c r="J132" s="111"/>
      <c r="K132" s="112"/>
      <c r="L132" s="112"/>
      <c r="M132" s="112"/>
      <c r="N132" s="112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</row>
    <row r="133" spans="1:30" ht="12" customHeight="1">
      <c r="A133" s="108"/>
      <c r="B133" s="108"/>
      <c r="C133" s="109"/>
      <c r="D133" s="109"/>
      <c r="E133" s="109"/>
      <c r="F133" s="109"/>
      <c r="G133" s="109"/>
      <c r="H133" s="109"/>
      <c r="I133" s="111"/>
      <c r="J133" s="111"/>
      <c r="K133" s="112"/>
      <c r="L133" s="112"/>
      <c r="M133" s="112"/>
      <c r="N133" s="112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</row>
    <row r="134" spans="1:30" ht="12" customHeight="1">
      <c r="A134" s="108"/>
      <c r="B134" s="108"/>
      <c r="C134" s="109"/>
      <c r="D134" s="109"/>
      <c r="E134" s="109"/>
      <c r="F134" s="109"/>
      <c r="G134" s="109"/>
      <c r="H134" s="109"/>
      <c r="I134" s="111"/>
      <c r="J134" s="111"/>
      <c r="K134" s="112"/>
      <c r="L134" s="112"/>
      <c r="M134" s="112"/>
      <c r="N134" s="112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</row>
    <row r="135" spans="1:30" ht="12" customHeight="1">
      <c r="A135" s="108"/>
      <c r="B135" s="108"/>
      <c r="C135" s="109"/>
      <c r="D135" s="109"/>
      <c r="E135" s="109"/>
      <c r="F135" s="109"/>
      <c r="G135" s="109"/>
      <c r="H135" s="109"/>
      <c r="I135" s="111"/>
      <c r="J135" s="111"/>
      <c r="K135" s="112"/>
      <c r="L135" s="112"/>
      <c r="M135" s="112"/>
      <c r="N135" s="112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</row>
    <row r="136" spans="1:30" ht="12" customHeight="1">
      <c r="A136" s="108"/>
      <c r="B136" s="108"/>
      <c r="C136" s="109"/>
      <c r="D136" s="109"/>
      <c r="E136" s="109"/>
      <c r="F136" s="109"/>
      <c r="G136" s="109"/>
      <c r="H136" s="109"/>
      <c r="I136" s="111"/>
      <c r="J136" s="111"/>
      <c r="K136" s="112"/>
      <c r="L136" s="112"/>
      <c r="M136" s="112"/>
      <c r="N136" s="112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</row>
    <row r="137" spans="1:30" ht="12" customHeight="1">
      <c r="A137" s="108"/>
      <c r="B137" s="108"/>
      <c r="C137" s="109"/>
      <c r="D137" s="109"/>
      <c r="E137" s="109"/>
      <c r="F137" s="109"/>
      <c r="G137" s="109"/>
      <c r="H137" s="109"/>
      <c r="I137" s="111"/>
      <c r="J137" s="111"/>
      <c r="K137" s="112"/>
      <c r="L137" s="112"/>
      <c r="M137" s="112"/>
      <c r="N137" s="112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</row>
    <row r="138" spans="1:30" ht="12" customHeight="1">
      <c r="A138" s="108"/>
      <c r="B138" s="108"/>
      <c r="C138" s="109"/>
      <c r="D138" s="109"/>
      <c r="E138" s="109"/>
      <c r="F138" s="109"/>
      <c r="G138" s="109"/>
      <c r="H138" s="109"/>
      <c r="I138" s="111"/>
      <c r="J138" s="111"/>
      <c r="K138" s="112"/>
      <c r="L138" s="112"/>
      <c r="M138" s="112"/>
      <c r="N138" s="112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</row>
    <row r="139" spans="1:30" ht="12" customHeight="1">
      <c r="A139" s="108"/>
      <c r="B139" s="108"/>
      <c r="C139" s="109"/>
      <c r="D139" s="109"/>
      <c r="E139" s="109"/>
      <c r="F139" s="109"/>
      <c r="G139" s="109"/>
      <c r="H139" s="109"/>
      <c r="I139" s="111"/>
      <c r="J139" s="111"/>
      <c r="K139" s="112"/>
      <c r="L139" s="112"/>
      <c r="M139" s="112"/>
      <c r="N139" s="112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</row>
    <row r="140" spans="1:30" ht="12" customHeight="1">
      <c r="A140" s="108"/>
      <c r="B140" s="108"/>
      <c r="C140" s="109"/>
      <c r="D140" s="109"/>
      <c r="E140" s="109"/>
      <c r="F140" s="109"/>
      <c r="G140" s="109"/>
      <c r="H140" s="109"/>
      <c r="I140" s="111"/>
      <c r="J140" s="111"/>
      <c r="K140" s="112"/>
      <c r="L140" s="112"/>
      <c r="M140" s="112"/>
      <c r="N140" s="112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</row>
    <row r="141" spans="1:30" ht="12" customHeight="1">
      <c r="A141" s="108"/>
      <c r="B141" s="108"/>
      <c r="C141" s="109"/>
      <c r="D141" s="109"/>
      <c r="E141" s="109"/>
      <c r="F141" s="109"/>
      <c r="G141" s="109"/>
      <c r="H141" s="109"/>
      <c r="I141" s="111"/>
      <c r="J141" s="111"/>
      <c r="K141" s="112"/>
      <c r="L141" s="112"/>
      <c r="M141" s="112"/>
      <c r="N141" s="112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</row>
    <row r="142" spans="1:30" ht="12" customHeight="1">
      <c r="A142" s="108"/>
      <c r="B142" s="108"/>
      <c r="C142" s="109"/>
      <c r="D142" s="109"/>
      <c r="E142" s="109"/>
      <c r="F142" s="109"/>
      <c r="G142" s="109"/>
      <c r="H142" s="109"/>
      <c r="I142" s="111"/>
      <c r="J142" s="111"/>
      <c r="K142" s="112"/>
      <c r="L142" s="112"/>
      <c r="M142" s="112"/>
      <c r="N142" s="112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</row>
    <row r="143" spans="1:30" ht="12" customHeight="1">
      <c r="A143" s="108"/>
      <c r="B143" s="108"/>
      <c r="C143" s="109"/>
      <c r="D143" s="109"/>
      <c r="E143" s="109"/>
      <c r="F143" s="109"/>
      <c r="G143" s="109"/>
      <c r="H143" s="109"/>
      <c r="I143" s="111"/>
      <c r="J143" s="111"/>
      <c r="K143" s="112"/>
      <c r="L143" s="112"/>
      <c r="M143" s="112"/>
      <c r="N143" s="112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</row>
    <row r="144" spans="1:30" ht="12" customHeight="1">
      <c r="A144" s="108"/>
      <c r="B144" s="108"/>
      <c r="C144" s="109"/>
      <c r="D144" s="109"/>
      <c r="E144" s="109"/>
      <c r="F144" s="109"/>
      <c r="G144" s="109"/>
      <c r="H144" s="109"/>
      <c r="I144" s="111"/>
      <c r="J144" s="111"/>
      <c r="K144" s="112"/>
      <c r="L144" s="112"/>
      <c r="M144" s="112"/>
      <c r="N144" s="112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</row>
    <row r="145" spans="1:30" ht="12" customHeight="1">
      <c r="A145" s="108"/>
      <c r="B145" s="108"/>
      <c r="C145" s="109"/>
      <c r="D145" s="109"/>
      <c r="E145" s="109"/>
      <c r="F145" s="109"/>
      <c r="G145" s="109"/>
      <c r="H145" s="109"/>
      <c r="I145" s="111"/>
      <c r="J145" s="111"/>
      <c r="K145" s="112"/>
      <c r="L145" s="112"/>
      <c r="M145" s="112"/>
      <c r="N145" s="112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</row>
    <row r="146" spans="1:30" ht="12" customHeight="1">
      <c r="A146" s="108"/>
      <c r="B146" s="108"/>
      <c r="C146" s="109"/>
      <c r="D146" s="109"/>
      <c r="E146" s="109"/>
      <c r="F146" s="109"/>
      <c r="G146" s="109"/>
      <c r="H146" s="109"/>
      <c r="I146" s="111"/>
      <c r="J146" s="111"/>
      <c r="K146" s="112"/>
      <c r="L146" s="112"/>
      <c r="M146" s="112"/>
      <c r="N146" s="112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</row>
    <row r="147" spans="1:30" ht="12" customHeight="1">
      <c r="A147" s="108"/>
      <c r="B147" s="108"/>
      <c r="C147" s="109"/>
      <c r="D147" s="109"/>
      <c r="E147" s="109"/>
      <c r="F147" s="109"/>
      <c r="G147" s="109"/>
      <c r="H147" s="109"/>
      <c r="I147" s="111"/>
      <c r="J147" s="111"/>
      <c r="K147" s="112"/>
      <c r="L147" s="112"/>
      <c r="M147" s="112"/>
      <c r="N147" s="112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</row>
    <row r="148" spans="1:30" ht="12" customHeight="1">
      <c r="A148" s="108"/>
      <c r="B148" s="108"/>
      <c r="C148" s="109"/>
      <c r="D148" s="109"/>
      <c r="E148" s="109"/>
      <c r="F148" s="109"/>
      <c r="G148" s="109"/>
      <c r="H148" s="109"/>
      <c r="I148" s="111"/>
      <c r="J148" s="111"/>
      <c r="K148" s="112"/>
      <c r="L148" s="112"/>
      <c r="M148" s="112"/>
      <c r="N148" s="112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</row>
    <row r="149" spans="1:30" ht="12" customHeight="1">
      <c r="A149" s="108"/>
      <c r="B149" s="108"/>
      <c r="C149" s="109"/>
      <c r="D149" s="109"/>
      <c r="E149" s="109"/>
      <c r="F149" s="109"/>
      <c r="G149" s="109"/>
      <c r="H149" s="109"/>
      <c r="I149" s="111"/>
      <c r="J149" s="111"/>
      <c r="K149" s="112"/>
      <c r="L149" s="112"/>
      <c r="M149" s="112"/>
      <c r="N149" s="112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</row>
    <row r="150" spans="1:30" ht="12" customHeight="1">
      <c r="A150" s="108"/>
      <c r="B150" s="108"/>
      <c r="C150" s="109"/>
      <c r="D150" s="109"/>
      <c r="E150" s="109"/>
      <c r="F150" s="109"/>
      <c r="G150" s="109"/>
      <c r="H150" s="109"/>
      <c r="I150" s="111"/>
      <c r="J150" s="111"/>
      <c r="K150" s="112"/>
      <c r="L150" s="112"/>
      <c r="M150" s="112"/>
      <c r="N150" s="112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</row>
    <row r="151" spans="1:30" ht="12" customHeight="1">
      <c r="A151" s="108"/>
      <c r="B151" s="108"/>
      <c r="C151" s="109"/>
      <c r="D151" s="109"/>
      <c r="E151" s="109"/>
      <c r="F151" s="109"/>
      <c r="G151" s="109"/>
      <c r="H151" s="109"/>
      <c r="I151" s="111"/>
      <c r="J151" s="111"/>
      <c r="K151" s="112"/>
      <c r="L151" s="112"/>
      <c r="M151" s="112"/>
      <c r="N151" s="112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</row>
    <row r="152" spans="1:30" ht="12" customHeight="1">
      <c r="A152" s="108"/>
      <c r="B152" s="108"/>
      <c r="C152" s="109"/>
      <c r="D152" s="109"/>
      <c r="E152" s="109"/>
      <c r="F152" s="109"/>
      <c r="G152" s="109"/>
      <c r="H152" s="109"/>
      <c r="I152" s="111"/>
      <c r="J152" s="111"/>
      <c r="K152" s="112"/>
      <c r="L152" s="112"/>
      <c r="M152" s="112"/>
      <c r="N152" s="112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</row>
    <row r="153" spans="1:30" ht="12" customHeight="1">
      <c r="A153" s="108"/>
      <c r="B153" s="108"/>
      <c r="C153" s="109"/>
      <c r="D153" s="109"/>
      <c r="E153" s="109"/>
      <c r="F153" s="109"/>
      <c r="G153" s="109"/>
      <c r="H153" s="109"/>
      <c r="I153" s="111"/>
      <c r="J153" s="111"/>
      <c r="K153" s="112"/>
      <c r="L153" s="112"/>
      <c r="M153" s="112"/>
      <c r="N153" s="112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</row>
    <row r="154" spans="1:30" ht="12" customHeight="1">
      <c r="A154" s="108"/>
      <c r="B154" s="108"/>
      <c r="C154" s="109"/>
      <c r="D154" s="109"/>
      <c r="E154" s="109"/>
      <c r="F154" s="109"/>
      <c r="G154" s="109"/>
      <c r="H154" s="109"/>
      <c r="I154" s="111"/>
      <c r="J154" s="111"/>
      <c r="K154" s="112"/>
      <c r="L154" s="112"/>
      <c r="M154" s="112"/>
      <c r="N154" s="112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</row>
    <row r="155" spans="1:30" ht="12" customHeight="1">
      <c r="A155" s="108"/>
      <c r="B155" s="108"/>
      <c r="C155" s="109"/>
      <c r="D155" s="109"/>
      <c r="E155" s="109"/>
      <c r="F155" s="109"/>
      <c r="G155" s="109"/>
      <c r="H155" s="109"/>
      <c r="I155" s="111"/>
      <c r="J155" s="111"/>
      <c r="K155" s="112"/>
      <c r="L155" s="112"/>
      <c r="M155" s="112"/>
      <c r="N155" s="112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</row>
    <row r="156" spans="1:30" ht="12" customHeight="1">
      <c r="A156" s="108"/>
      <c r="B156" s="108"/>
      <c r="C156" s="109"/>
      <c r="D156" s="109"/>
      <c r="E156" s="109"/>
      <c r="F156" s="109"/>
      <c r="G156" s="109"/>
      <c r="H156" s="109"/>
      <c r="I156" s="111"/>
      <c r="J156" s="111"/>
      <c r="K156" s="112"/>
      <c r="L156" s="112"/>
      <c r="M156" s="112"/>
      <c r="N156" s="112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</row>
    <row r="157" spans="1:30" ht="12" customHeight="1">
      <c r="A157" s="108"/>
      <c r="B157" s="108"/>
      <c r="C157" s="109"/>
      <c r="D157" s="109"/>
      <c r="E157" s="109"/>
      <c r="F157" s="109"/>
      <c r="G157" s="109"/>
      <c r="H157" s="109"/>
      <c r="I157" s="111"/>
      <c r="J157" s="111"/>
      <c r="K157" s="112"/>
      <c r="L157" s="112"/>
      <c r="M157" s="112"/>
      <c r="N157" s="112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</row>
    <row r="158" spans="1:30" ht="12" customHeight="1">
      <c r="A158" s="108"/>
      <c r="B158" s="108"/>
      <c r="C158" s="109"/>
      <c r="D158" s="109"/>
      <c r="E158" s="109"/>
      <c r="F158" s="109"/>
      <c r="G158" s="109"/>
      <c r="H158" s="109"/>
      <c r="I158" s="111"/>
      <c r="J158" s="111"/>
      <c r="K158" s="112"/>
      <c r="L158" s="112"/>
      <c r="M158" s="112"/>
      <c r="N158" s="112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</row>
    <row r="159" spans="1:30" ht="12" customHeight="1">
      <c r="A159" s="108"/>
      <c r="B159" s="108"/>
      <c r="C159" s="109"/>
      <c r="D159" s="109"/>
      <c r="E159" s="109"/>
      <c r="F159" s="109"/>
      <c r="G159" s="109"/>
      <c r="H159" s="109"/>
      <c r="I159" s="111"/>
      <c r="J159" s="111"/>
      <c r="K159" s="112"/>
      <c r="L159" s="112"/>
      <c r="M159" s="112"/>
      <c r="N159" s="112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</row>
    <row r="160" spans="1:30" ht="12" customHeight="1">
      <c r="A160" s="108"/>
      <c r="B160" s="108"/>
      <c r="C160" s="109"/>
      <c r="D160" s="109"/>
      <c r="E160" s="109"/>
      <c r="F160" s="109"/>
      <c r="G160" s="109"/>
      <c r="H160" s="109"/>
      <c r="I160" s="111"/>
      <c r="J160" s="111"/>
      <c r="K160" s="112"/>
      <c r="L160" s="112"/>
      <c r="M160" s="112"/>
      <c r="N160" s="112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</row>
    <row r="161" spans="1:30" ht="12" customHeight="1">
      <c r="A161" s="108"/>
      <c r="B161" s="108"/>
      <c r="C161" s="109"/>
      <c r="D161" s="109"/>
      <c r="E161" s="109"/>
      <c r="F161" s="109"/>
      <c r="G161" s="109"/>
      <c r="H161" s="109"/>
      <c r="I161" s="111"/>
      <c r="J161" s="111"/>
      <c r="K161" s="112"/>
      <c r="L161" s="112"/>
      <c r="M161" s="112"/>
      <c r="N161" s="112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</row>
    <row r="162" spans="1:30" ht="12" customHeight="1">
      <c r="A162" s="108"/>
      <c r="B162" s="108"/>
      <c r="C162" s="109"/>
      <c r="D162" s="109"/>
      <c r="E162" s="109"/>
      <c r="F162" s="109"/>
      <c r="G162" s="109"/>
      <c r="H162" s="109"/>
      <c r="I162" s="111"/>
      <c r="J162" s="111"/>
      <c r="K162" s="112"/>
      <c r="L162" s="112"/>
      <c r="M162" s="112"/>
      <c r="N162" s="112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</row>
    <row r="163" spans="1:30" ht="12" customHeight="1">
      <c r="A163" s="108"/>
      <c r="B163" s="108"/>
      <c r="C163" s="109"/>
      <c r="D163" s="109"/>
      <c r="E163" s="109"/>
      <c r="F163" s="109"/>
      <c r="G163" s="109"/>
      <c r="H163" s="109"/>
      <c r="I163" s="111"/>
      <c r="J163" s="111"/>
      <c r="K163" s="112"/>
      <c r="L163" s="112"/>
      <c r="M163" s="112"/>
      <c r="N163" s="112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</row>
    <row r="164" spans="1:30" ht="12" customHeight="1">
      <c r="A164" s="108"/>
      <c r="B164" s="108"/>
      <c r="C164" s="109"/>
      <c r="D164" s="109"/>
      <c r="E164" s="109"/>
      <c r="F164" s="109"/>
      <c r="G164" s="109"/>
      <c r="H164" s="109"/>
      <c r="I164" s="111"/>
      <c r="J164" s="111"/>
      <c r="K164" s="112"/>
      <c r="L164" s="112"/>
      <c r="M164" s="112"/>
      <c r="N164" s="112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</row>
    <row r="165" spans="1:30" ht="12" customHeight="1">
      <c r="A165" s="108"/>
      <c r="B165" s="108"/>
      <c r="C165" s="109"/>
      <c r="D165" s="109"/>
      <c r="E165" s="109"/>
      <c r="F165" s="109"/>
      <c r="G165" s="109"/>
      <c r="H165" s="109"/>
      <c r="I165" s="111"/>
      <c r="J165" s="111"/>
      <c r="K165" s="112"/>
      <c r="L165" s="112"/>
      <c r="M165" s="112"/>
      <c r="N165" s="112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</row>
    <row r="166" spans="1:30" ht="12" customHeight="1">
      <c r="A166" s="108"/>
      <c r="B166" s="108"/>
      <c r="C166" s="109"/>
      <c r="D166" s="109"/>
      <c r="E166" s="109"/>
      <c r="F166" s="109"/>
      <c r="G166" s="109"/>
      <c r="H166" s="109"/>
      <c r="I166" s="111"/>
      <c r="J166" s="111"/>
      <c r="K166" s="112"/>
      <c r="L166" s="112"/>
      <c r="M166" s="112"/>
      <c r="N166" s="112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</row>
    <row r="167" spans="1:30" ht="12" customHeight="1">
      <c r="A167" s="108"/>
      <c r="B167" s="108"/>
      <c r="C167" s="109"/>
      <c r="D167" s="109"/>
      <c r="E167" s="109"/>
      <c r="F167" s="109"/>
      <c r="G167" s="109"/>
      <c r="H167" s="109"/>
      <c r="I167" s="111"/>
      <c r="J167" s="111"/>
      <c r="K167" s="112"/>
      <c r="L167" s="112"/>
      <c r="M167" s="112"/>
      <c r="N167" s="112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</row>
    <row r="168" spans="1:30" ht="12" customHeight="1">
      <c r="A168" s="108"/>
      <c r="B168" s="108"/>
      <c r="C168" s="109"/>
      <c r="D168" s="109"/>
      <c r="E168" s="109"/>
      <c r="F168" s="109"/>
      <c r="G168" s="109"/>
      <c r="H168" s="109"/>
      <c r="I168" s="111"/>
      <c r="J168" s="111"/>
      <c r="K168" s="112"/>
      <c r="L168" s="112"/>
      <c r="M168" s="112"/>
      <c r="N168" s="112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</row>
    <row r="169" spans="1:30" ht="12" customHeight="1">
      <c r="A169" s="108"/>
      <c r="B169" s="108"/>
      <c r="C169" s="109"/>
      <c r="D169" s="109"/>
      <c r="E169" s="109"/>
      <c r="F169" s="109"/>
      <c r="G169" s="109"/>
      <c r="H169" s="109"/>
      <c r="I169" s="111"/>
      <c r="J169" s="111"/>
      <c r="K169" s="112"/>
      <c r="L169" s="112"/>
      <c r="M169" s="112"/>
      <c r="N169" s="112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</row>
    <row r="170" spans="1:30" ht="12" customHeight="1">
      <c r="A170" s="108"/>
      <c r="B170" s="108"/>
      <c r="C170" s="109"/>
      <c r="D170" s="109"/>
      <c r="E170" s="109"/>
      <c r="F170" s="109"/>
      <c r="G170" s="109"/>
      <c r="H170" s="109"/>
      <c r="I170" s="111"/>
      <c r="J170" s="111"/>
      <c r="K170" s="112"/>
      <c r="L170" s="112"/>
      <c r="M170" s="112"/>
      <c r="N170" s="112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</row>
    <row r="171" spans="1:30" ht="12" customHeight="1">
      <c r="A171" s="108"/>
      <c r="B171" s="108"/>
      <c r="C171" s="109"/>
      <c r="D171" s="109"/>
      <c r="E171" s="109"/>
      <c r="F171" s="109"/>
      <c r="G171" s="109"/>
      <c r="H171" s="109"/>
      <c r="I171" s="111"/>
      <c r="J171" s="111"/>
      <c r="K171" s="112"/>
      <c r="L171" s="112"/>
      <c r="M171" s="112"/>
      <c r="N171" s="112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</row>
    <row r="172" spans="1:30" ht="12" customHeight="1">
      <c r="A172" s="108"/>
      <c r="B172" s="108"/>
      <c r="C172" s="109"/>
      <c r="D172" s="109"/>
      <c r="E172" s="109"/>
      <c r="F172" s="109"/>
      <c r="G172" s="109"/>
      <c r="H172" s="109"/>
      <c r="I172" s="111"/>
      <c r="J172" s="111"/>
      <c r="K172" s="112"/>
      <c r="L172" s="112"/>
      <c r="M172" s="112"/>
      <c r="N172" s="112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</row>
    <row r="173" spans="1:30" ht="12" customHeight="1">
      <c r="A173" s="108"/>
      <c r="B173" s="108"/>
      <c r="C173" s="109"/>
      <c r="D173" s="109"/>
      <c r="E173" s="109"/>
      <c r="F173" s="109"/>
      <c r="G173" s="109"/>
      <c r="H173" s="109"/>
      <c r="I173" s="111"/>
      <c r="J173" s="111"/>
      <c r="K173" s="112"/>
      <c r="L173" s="112"/>
      <c r="M173" s="112"/>
      <c r="N173" s="112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</row>
    <row r="174" spans="1:30" ht="12" customHeight="1">
      <c r="A174" s="108"/>
      <c r="B174" s="108"/>
      <c r="C174" s="109"/>
      <c r="D174" s="109"/>
      <c r="E174" s="109"/>
      <c r="F174" s="109"/>
      <c r="G174" s="109"/>
      <c r="H174" s="109"/>
      <c r="I174" s="111"/>
      <c r="J174" s="111"/>
      <c r="K174" s="112"/>
      <c r="L174" s="112"/>
      <c r="M174" s="112"/>
      <c r="N174" s="112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</row>
    <row r="175" spans="1:30" ht="12" customHeight="1">
      <c r="A175" s="108"/>
      <c r="B175" s="108"/>
      <c r="C175" s="109"/>
      <c r="D175" s="109"/>
      <c r="E175" s="109"/>
      <c r="F175" s="109"/>
      <c r="G175" s="109"/>
      <c r="H175" s="109"/>
      <c r="I175" s="111"/>
      <c r="J175" s="111"/>
      <c r="K175" s="112"/>
      <c r="L175" s="112"/>
      <c r="M175" s="112"/>
      <c r="N175" s="112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</row>
    <row r="176" spans="1:30" ht="12" customHeight="1">
      <c r="A176" s="108"/>
      <c r="B176" s="108"/>
      <c r="C176" s="109"/>
      <c r="D176" s="109"/>
      <c r="E176" s="109"/>
      <c r="F176" s="109"/>
      <c r="G176" s="109"/>
      <c r="H176" s="109"/>
      <c r="I176" s="111"/>
      <c r="J176" s="111"/>
      <c r="K176" s="112"/>
      <c r="L176" s="112"/>
      <c r="M176" s="112"/>
      <c r="N176" s="112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</row>
    <row r="177" spans="1:30" ht="12" customHeight="1">
      <c r="A177" s="108"/>
      <c r="B177" s="108"/>
      <c r="C177" s="109"/>
      <c r="D177" s="109"/>
      <c r="E177" s="109"/>
      <c r="F177" s="109"/>
      <c r="G177" s="109"/>
      <c r="H177" s="109"/>
      <c r="I177" s="111"/>
      <c r="J177" s="111"/>
      <c r="K177" s="112"/>
      <c r="L177" s="112"/>
      <c r="M177" s="112"/>
      <c r="N177" s="112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</row>
    <row r="178" spans="1:30" ht="12" customHeight="1">
      <c r="A178" s="108"/>
      <c r="B178" s="108"/>
      <c r="C178" s="109"/>
      <c r="D178" s="109"/>
      <c r="E178" s="109"/>
      <c r="F178" s="109"/>
      <c r="G178" s="109"/>
      <c r="H178" s="109"/>
      <c r="I178" s="111"/>
      <c r="J178" s="111"/>
      <c r="K178" s="112"/>
      <c r="L178" s="112"/>
      <c r="M178" s="112"/>
      <c r="N178" s="112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</row>
    <row r="179" spans="1:30" ht="12" customHeight="1">
      <c r="A179" s="108"/>
      <c r="B179" s="108"/>
      <c r="C179" s="109"/>
      <c r="D179" s="109"/>
      <c r="E179" s="109"/>
      <c r="F179" s="109"/>
      <c r="G179" s="109"/>
      <c r="H179" s="109"/>
      <c r="I179" s="111"/>
      <c r="J179" s="111"/>
      <c r="K179" s="112"/>
      <c r="L179" s="112"/>
      <c r="M179" s="112"/>
      <c r="N179" s="112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</row>
    <row r="180" spans="1:30" ht="12" customHeight="1">
      <c r="A180" s="108"/>
      <c r="B180" s="108"/>
      <c r="C180" s="109"/>
      <c r="D180" s="109"/>
      <c r="E180" s="109"/>
      <c r="F180" s="109"/>
      <c r="G180" s="109"/>
      <c r="H180" s="109"/>
      <c r="I180" s="111"/>
      <c r="J180" s="111"/>
      <c r="K180" s="112"/>
      <c r="L180" s="112"/>
      <c r="M180" s="112"/>
      <c r="N180" s="112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</row>
    <row r="181" spans="1:30" ht="12" customHeight="1">
      <c r="A181" s="108"/>
      <c r="B181" s="108"/>
      <c r="C181" s="109"/>
      <c r="D181" s="109"/>
      <c r="E181" s="109"/>
      <c r="F181" s="109"/>
      <c r="G181" s="109"/>
      <c r="H181" s="109"/>
      <c r="I181" s="111"/>
      <c r="J181" s="111"/>
      <c r="K181" s="112"/>
      <c r="L181" s="112"/>
      <c r="M181" s="112"/>
      <c r="N181" s="112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</row>
    <row r="182" spans="1:30" ht="12" customHeight="1">
      <c r="A182" s="108"/>
      <c r="B182" s="108"/>
      <c r="C182" s="109"/>
      <c r="D182" s="109"/>
      <c r="E182" s="109"/>
      <c r="F182" s="109"/>
      <c r="G182" s="109"/>
      <c r="H182" s="109"/>
      <c r="I182" s="111"/>
      <c r="J182" s="111"/>
      <c r="K182" s="112"/>
      <c r="L182" s="112"/>
      <c r="M182" s="112"/>
      <c r="N182" s="112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</row>
    <row r="183" spans="1:30" ht="12" customHeight="1">
      <c r="A183" s="108"/>
      <c r="B183" s="108"/>
      <c r="C183" s="109"/>
      <c r="D183" s="109"/>
      <c r="E183" s="109"/>
      <c r="F183" s="109"/>
      <c r="G183" s="109"/>
      <c r="H183" s="109"/>
      <c r="I183" s="111"/>
      <c r="J183" s="111"/>
      <c r="K183" s="112"/>
      <c r="L183" s="112"/>
      <c r="M183" s="112"/>
      <c r="N183" s="112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</row>
    <row r="184" spans="1:30" ht="12" customHeight="1">
      <c r="A184" s="108"/>
      <c r="B184" s="108"/>
      <c r="C184" s="109"/>
      <c r="D184" s="109"/>
      <c r="E184" s="109"/>
      <c r="F184" s="109"/>
      <c r="G184" s="109"/>
      <c r="H184" s="109"/>
      <c r="I184" s="111"/>
      <c r="J184" s="111"/>
      <c r="K184" s="112"/>
      <c r="L184" s="112"/>
      <c r="M184" s="112"/>
      <c r="N184" s="112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 spans="1:30" ht="12" customHeight="1">
      <c r="A185" s="108"/>
      <c r="B185" s="108"/>
      <c r="C185" s="109"/>
      <c r="D185" s="109"/>
      <c r="E185" s="109"/>
      <c r="F185" s="109"/>
      <c r="G185" s="109"/>
      <c r="H185" s="109"/>
      <c r="I185" s="111"/>
      <c r="J185" s="111"/>
      <c r="K185" s="112"/>
      <c r="L185" s="112"/>
      <c r="M185" s="112"/>
      <c r="N185" s="112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 spans="1:30" ht="12" customHeight="1">
      <c r="A186" s="108"/>
      <c r="B186" s="108"/>
      <c r="C186" s="109"/>
      <c r="D186" s="109"/>
      <c r="E186" s="109"/>
      <c r="F186" s="109"/>
      <c r="G186" s="109"/>
      <c r="H186" s="109"/>
      <c r="I186" s="111"/>
      <c r="J186" s="111"/>
      <c r="K186" s="112"/>
      <c r="L186" s="112"/>
      <c r="M186" s="112"/>
      <c r="N186" s="112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 spans="1:30" ht="12" customHeight="1">
      <c r="A187" s="108"/>
      <c r="B187" s="108"/>
      <c r="C187" s="109"/>
      <c r="D187" s="109"/>
      <c r="E187" s="109"/>
      <c r="F187" s="109"/>
      <c r="G187" s="109"/>
      <c r="H187" s="109"/>
      <c r="I187" s="111"/>
      <c r="J187" s="111"/>
      <c r="K187" s="112"/>
      <c r="L187" s="112"/>
      <c r="M187" s="112"/>
      <c r="N187" s="112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 spans="1:30" ht="12" customHeight="1">
      <c r="A188" s="108"/>
      <c r="B188" s="108"/>
      <c r="C188" s="109"/>
      <c r="D188" s="109"/>
      <c r="E188" s="109"/>
      <c r="F188" s="109"/>
      <c r="G188" s="109"/>
      <c r="H188" s="109"/>
      <c r="I188" s="111"/>
      <c r="J188" s="111"/>
      <c r="K188" s="112"/>
      <c r="L188" s="112"/>
      <c r="M188" s="112"/>
      <c r="N188" s="112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 spans="1:30" ht="12" customHeight="1">
      <c r="A189" s="108"/>
      <c r="B189" s="108"/>
      <c r="C189" s="109"/>
      <c r="D189" s="109"/>
      <c r="E189" s="109"/>
      <c r="F189" s="109"/>
      <c r="G189" s="109"/>
      <c r="H189" s="109"/>
      <c r="I189" s="111"/>
      <c r="J189" s="111"/>
      <c r="K189" s="112"/>
      <c r="L189" s="112"/>
      <c r="M189" s="112"/>
      <c r="N189" s="112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 spans="1:30" ht="12" customHeight="1">
      <c r="A190" s="108"/>
      <c r="B190" s="108"/>
      <c r="C190" s="109"/>
      <c r="D190" s="109"/>
      <c r="E190" s="109"/>
      <c r="F190" s="109"/>
      <c r="G190" s="109"/>
      <c r="H190" s="109"/>
      <c r="I190" s="111"/>
      <c r="J190" s="111"/>
      <c r="K190" s="112"/>
      <c r="L190" s="112"/>
      <c r="M190" s="112"/>
      <c r="N190" s="112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 spans="1:30" ht="12" customHeight="1">
      <c r="A191" s="108"/>
      <c r="B191" s="108"/>
      <c r="C191" s="109"/>
      <c r="D191" s="109"/>
      <c r="E191" s="109"/>
      <c r="F191" s="109"/>
      <c r="G191" s="109"/>
      <c r="H191" s="109"/>
      <c r="I191" s="111"/>
      <c r="J191" s="111"/>
      <c r="K191" s="112"/>
      <c r="L191" s="112"/>
      <c r="M191" s="112"/>
      <c r="N191" s="112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 spans="1:30" ht="12" customHeight="1">
      <c r="A192" s="108"/>
      <c r="B192" s="108"/>
      <c r="C192" s="109"/>
      <c r="D192" s="109"/>
      <c r="E192" s="109"/>
      <c r="F192" s="109"/>
      <c r="G192" s="109"/>
      <c r="H192" s="109"/>
      <c r="I192" s="111"/>
      <c r="J192" s="111"/>
      <c r="K192" s="112"/>
      <c r="L192" s="112"/>
      <c r="M192" s="112"/>
      <c r="N192" s="112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 spans="1:30" ht="12" customHeight="1">
      <c r="A193" s="108"/>
      <c r="B193" s="108"/>
      <c r="C193" s="109"/>
      <c r="D193" s="109"/>
      <c r="E193" s="109"/>
      <c r="F193" s="109"/>
      <c r="G193" s="109"/>
      <c r="H193" s="109"/>
      <c r="I193" s="111"/>
      <c r="J193" s="111"/>
      <c r="K193" s="112"/>
      <c r="L193" s="112"/>
      <c r="M193" s="112"/>
      <c r="N193" s="112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 spans="1:30" ht="12" customHeight="1">
      <c r="A194" s="108"/>
      <c r="B194" s="108"/>
      <c r="C194" s="109"/>
      <c r="D194" s="109"/>
      <c r="E194" s="109"/>
      <c r="F194" s="109"/>
      <c r="G194" s="109"/>
      <c r="H194" s="109"/>
      <c r="I194" s="111"/>
      <c r="J194" s="111"/>
      <c r="K194" s="112"/>
      <c r="L194" s="112"/>
      <c r="M194" s="112"/>
      <c r="N194" s="112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 spans="1:30" ht="12" customHeight="1">
      <c r="A195" s="108"/>
      <c r="B195" s="108"/>
      <c r="C195" s="109"/>
      <c r="D195" s="109"/>
      <c r="E195" s="109"/>
      <c r="F195" s="109"/>
      <c r="G195" s="109"/>
      <c r="H195" s="109"/>
      <c r="I195" s="111"/>
      <c r="J195" s="111"/>
      <c r="K195" s="112"/>
      <c r="L195" s="112"/>
      <c r="M195" s="112"/>
      <c r="N195" s="112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 spans="1:30" ht="12" customHeight="1">
      <c r="A196" s="108"/>
      <c r="B196" s="108"/>
      <c r="C196" s="109"/>
      <c r="D196" s="109"/>
      <c r="E196" s="109"/>
      <c r="F196" s="109"/>
      <c r="G196" s="109"/>
      <c r="H196" s="109"/>
      <c r="I196" s="111"/>
      <c r="J196" s="111"/>
      <c r="K196" s="112"/>
      <c r="L196" s="112"/>
      <c r="M196" s="112"/>
      <c r="N196" s="112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 spans="1:30" ht="12" customHeight="1">
      <c r="A197" s="108"/>
      <c r="B197" s="108"/>
      <c r="C197" s="109"/>
      <c r="D197" s="109"/>
      <c r="E197" s="109"/>
      <c r="F197" s="109"/>
      <c r="G197" s="109"/>
      <c r="H197" s="109"/>
      <c r="I197" s="111"/>
      <c r="J197" s="111"/>
      <c r="K197" s="112"/>
      <c r="L197" s="112"/>
      <c r="M197" s="112"/>
      <c r="N197" s="112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 spans="1:30" ht="12" customHeight="1">
      <c r="A198" s="108"/>
      <c r="B198" s="108"/>
      <c r="C198" s="109"/>
      <c r="D198" s="109"/>
      <c r="E198" s="109"/>
      <c r="F198" s="109"/>
      <c r="G198" s="109"/>
      <c r="H198" s="109"/>
      <c r="I198" s="111"/>
      <c r="J198" s="111"/>
      <c r="K198" s="112"/>
      <c r="L198" s="112"/>
      <c r="M198" s="112"/>
      <c r="N198" s="112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 spans="1:30" ht="12" customHeight="1">
      <c r="A199" s="108"/>
      <c r="B199" s="108"/>
      <c r="C199" s="109"/>
      <c r="D199" s="109"/>
      <c r="E199" s="109"/>
      <c r="F199" s="109"/>
      <c r="G199" s="109"/>
      <c r="H199" s="109"/>
      <c r="I199" s="111"/>
      <c r="J199" s="111"/>
      <c r="K199" s="112"/>
      <c r="L199" s="112"/>
      <c r="M199" s="112"/>
      <c r="N199" s="112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 spans="1:30" ht="12" customHeight="1">
      <c r="A200" s="108"/>
      <c r="B200" s="108"/>
      <c r="C200" s="109"/>
      <c r="D200" s="109"/>
      <c r="E200" s="109"/>
      <c r="F200" s="109"/>
      <c r="G200" s="109"/>
      <c r="H200" s="109"/>
      <c r="I200" s="111"/>
      <c r="J200" s="111"/>
      <c r="K200" s="112"/>
      <c r="L200" s="112"/>
      <c r="M200" s="112"/>
      <c r="N200" s="112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 spans="1:30" ht="12" customHeight="1">
      <c r="A201" s="108"/>
      <c r="B201" s="108"/>
      <c r="C201" s="109"/>
      <c r="D201" s="109"/>
      <c r="E201" s="109"/>
      <c r="F201" s="109"/>
      <c r="G201" s="109"/>
      <c r="H201" s="109"/>
      <c r="I201" s="111"/>
      <c r="J201" s="111"/>
      <c r="K201" s="112"/>
      <c r="L201" s="112"/>
      <c r="M201" s="112"/>
      <c r="N201" s="112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 spans="1:30" ht="12" customHeight="1">
      <c r="A202" s="108"/>
      <c r="B202" s="108"/>
      <c r="C202" s="109"/>
      <c r="D202" s="109"/>
      <c r="E202" s="109"/>
      <c r="F202" s="109"/>
      <c r="G202" s="109"/>
      <c r="H202" s="109"/>
      <c r="I202" s="111"/>
      <c r="J202" s="111"/>
      <c r="K202" s="112"/>
      <c r="L202" s="112"/>
      <c r="M202" s="112"/>
      <c r="N202" s="112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</row>
    <row r="203" spans="1:30" ht="12" customHeight="1">
      <c r="A203" s="108"/>
      <c r="B203" s="108"/>
      <c r="C203" s="109"/>
      <c r="D203" s="109"/>
      <c r="E203" s="109"/>
      <c r="F203" s="109"/>
      <c r="G203" s="109"/>
      <c r="H203" s="109"/>
      <c r="I203" s="111"/>
      <c r="J203" s="111"/>
      <c r="K203" s="112"/>
      <c r="L203" s="112"/>
      <c r="M203" s="112"/>
      <c r="N203" s="112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</row>
    <row r="204" spans="1:30" ht="12" customHeight="1">
      <c r="A204" s="108"/>
      <c r="B204" s="108"/>
      <c r="C204" s="109"/>
      <c r="D204" s="109"/>
      <c r="E204" s="109"/>
      <c r="F204" s="109"/>
      <c r="G204" s="109"/>
      <c r="H204" s="109"/>
      <c r="I204" s="111"/>
      <c r="J204" s="111"/>
      <c r="K204" s="112"/>
      <c r="L204" s="112"/>
      <c r="M204" s="112"/>
      <c r="N204" s="112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</row>
    <row r="205" spans="1:30" ht="12" customHeight="1">
      <c r="A205" s="108"/>
      <c r="B205" s="108"/>
      <c r="C205" s="109"/>
      <c r="D205" s="109"/>
      <c r="E205" s="109"/>
      <c r="F205" s="109"/>
      <c r="G205" s="109"/>
      <c r="H205" s="109"/>
      <c r="I205" s="111"/>
      <c r="J205" s="111"/>
      <c r="K205" s="112"/>
      <c r="L205" s="112"/>
      <c r="M205" s="112"/>
      <c r="N205" s="112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</row>
    <row r="206" spans="1:30" ht="12" customHeight="1">
      <c r="A206" s="108"/>
      <c r="B206" s="108"/>
      <c r="C206" s="109"/>
      <c r="D206" s="109"/>
      <c r="E206" s="109"/>
      <c r="F206" s="109"/>
      <c r="G206" s="109"/>
      <c r="H206" s="109"/>
      <c r="I206" s="111"/>
      <c r="J206" s="111"/>
      <c r="K206" s="112"/>
      <c r="L206" s="112"/>
      <c r="M206" s="112"/>
      <c r="N206" s="112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</row>
    <row r="207" spans="1:30" ht="12" customHeight="1">
      <c r="A207" s="108"/>
      <c r="B207" s="108"/>
      <c r="C207" s="109"/>
      <c r="D207" s="109"/>
      <c r="E207" s="109"/>
      <c r="F207" s="109"/>
      <c r="G207" s="109"/>
      <c r="H207" s="109"/>
      <c r="I207" s="111"/>
      <c r="J207" s="111"/>
      <c r="K207" s="112"/>
      <c r="L207" s="112"/>
      <c r="M207" s="112"/>
      <c r="N207" s="112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</row>
    <row r="208" spans="1:30" ht="12" customHeight="1">
      <c r="A208" s="108"/>
      <c r="B208" s="108"/>
      <c r="C208" s="109"/>
      <c r="D208" s="109"/>
      <c r="E208" s="109"/>
      <c r="F208" s="109"/>
      <c r="G208" s="109"/>
      <c r="H208" s="109"/>
      <c r="I208" s="111"/>
      <c r="J208" s="111"/>
      <c r="K208" s="112"/>
      <c r="L208" s="112"/>
      <c r="M208" s="112"/>
      <c r="N208" s="112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</row>
    <row r="209" spans="1:30" ht="12" customHeight="1">
      <c r="A209" s="108"/>
      <c r="B209" s="108"/>
      <c r="C209" s="109"/>
      <c r="D209" s="109"/>
      <c r="E209" s="109"/>
      <c r="F209" s="109"/>
      <c r="G209" s="109"/>
      <c r="H209" s="109"/>
      <c r="I209" s="111"/>
      <c r="J209" s="111"/>
      <c r="K209" s="112"/>
      <c r="L209" s="112"/>
      <c r="M209" s="112"/>
      <c r="N209" s="112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</row>
    <row r="210" spans="1:30" ht="12" customHeight="1">
      <c r="A210" s="108"/>
      <c r="B210" s="108"/>
      <c r="C210" s="109"/>
      <c r="D210" s="109"/>
      <c r="E210" s="109"/>
      <c r="F210" s="109"/>
      <c r="G210" s="109"/>
      <c r="H210" s="109"/>
      <c r="I210" s="111"/>
      <c r="J210" s="111"/>
      <c r="K210" s="112"/>
      <c r="L210" s="112"/>
      <c r="M210" s="112"/>
      <c r="N210" s="112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</row>
    <row r="211" spans="1:30" ht="12" customHeight="1">
      <c r="A211" s="108"/>
      <c r="B211" s="108"/>
      <c r="C211" s="109"/>
      <c r="D211" s="109"/>
      <c r="E211" s="109"/>
      <c r="F211" s="109"/>
      <c r="G211" s="109"/>
      <c r="H211" s="109"/>
      <c r="I211" s="111"/>
      <c r="J211" s="111"/>
      <c r="K211" s="112"/>
      <c r="L211" s="112"/>
      <c r="M211" s="112"/>
      <c r="N211" s="112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</row>
    <row r="212" spans="1:30" ht="12" customHeight="1">
      <c r="A212" s="108"/>
      <c r="B212" s="108"/>
      <c r="C212" s="109"/>
      <c r="D212" s="109"/>
      <c r="E212" s="109"/>
      <c r="F212" s="109"/>
      <c r="G212" s="109"/>
      <c r="H212" s="109"/>
      <c r="I212" s="111"/>
      <c r="J212" s="111"/>
      <c r="K212" s="112"/>
      <c r="L212" s="112"/>
      <c r="M212" s="112"/>
      <c r="N212" s="112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</row>
    <row r="213" spans="1:30" ht="12" customHeight="1">
      <c r="A213" s="108"/>
      <c r="B213" s="108"/>
      <c r="C213" s="109"/>
      <c r="D213" s="109"/>
      <c r="E213" s="109"/>
      <c r="F213" s="109"/>
      <c r="G213" s="109"/>
      <c r="H213" s="109"/>
      <c r="I213" s="111"/>
      <c r="J213" s="111"/>
      <c r="K213" s="112"/>
      <c r="L213" s="112"/>
      <c r="M213" s="112"/>
      <c r="N213" s="112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</row>
    <row r="214" spans="1:30" ht="12" customHeight="1">
      <c r="A214" s="108"/>
      <c r="B214" s="108"/>
      <c r="C214" s="109"/>
      <c r="D214" s="109"/>
      <c r="E214" s="109"/>
      <c r="F214" s="109"/>
      <c r="G214" s="109"/>
      <c r="H214" s="109"/>
      <c r="I214" s="111"/>
      <c r="J214" s="111"/>
      <c r="K214" s="112"/>
      <c r="L214" s="112"/>
      <c r="M214" s="112"/>
      <c r="N214" s="112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</row>
    <row r="215" spans="1:30" ht="12" customHeight="1">
      <c r="A215" s="108"/>
      <c r="B215" s="108"/>
      <c r="C215" s="109"/>
      <c r="D215" s="109"/>
      <c r="E215" s="109"/>
      <c r="F215" s="109"/>
      <c r="G215" s="109"/>
      <c r="H215" s="109"/>
      <c r="I215" s="111"/>
      <c r="J215" s="111"/>
      <c r="K215" s="112"/>
      <c r="L215" s="112"/>
      <c r="M215" s="112"/>
      <c r="N215" s="112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</row>
    <row r="216" spans="1:30" ht="12" customHeight="1">
      <c r="A216" s="108"/>
      <c r="B216" s="108"/>
      <c r="C216" s="109"/>
      <c r="D216" s="109"/>
      <c r="E216" s="109"/>
      <c r="F216" s="109"/>
      <c r="G216" s="109"/>
      <c r="H216" s="109"/>
      <c r="I216" s="111"/>
      <c r="J216" s="111"/>
      <c r="K216" s="112"/>
      <c r="L216" s="112"/>
      <c r="M216" s="112"/>
      <c r="N216" s="112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</row>
    <row r="217" spans="1:30" ht="12" customHeight="1">
      <c r="A217" s="108"/>
      <c r="B217" s="108"/>
      <c r="C217" s="109"/>
      <c r="D217" s="109"/>
      <c r="E217" s="109"/>
      <c r="F217" s="109"/>
      <c r="G217" s="109"/>
      <c r="H217" s="109"/>
      <c r="I217" s="111"/>
      <c r="J217" s="111"/>
      <c r="K217" s="112"/>
      <c r="L217" s="112"/>
      <c r="M217" s="112"/>
      <c r="N217" s="112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</row>
    <row r="218" spans="1:30" ht="12" customHeight="1">
      <c r="A218" s="108"/>
      <c r="B218" s="108"/>
      <c r="C218" s="109"/>
      <c r="D218" s="109"/>
      <c r="E218" s="109"/>
      <c r="F218" s="109"/>
      <c r="G218" s="109"/>
      <c r="H218" s="109"/>
      <c r="I218" s="111"/>
      <c r="J218" s="111"/>
      <c r="K218" s="112"/>
      <c r="L218" s="112"/>
      <c r="M218" s="112"/>
      <c r="N218" s="112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</row>
    <row r="219" spans="1:30" ht="12" customHeight="1">
      <c r="A219" s="108"/>
      <c r="B219" s="108"/>
      <c r="C219" s="109"/>
      <c r="D219" s="109"/>
      <c r="E219" s="109"/>
      <c r="F219" s="109"/>
      <c r="G219" s="109"/>
      <c r="H219" s="109"/>
      <c r="I219" s="111"/>
      <c r="J219" s="111"/>
      <c r="K219" s="112"/>
      <c r="L219" s="112"/>
      <c r="M219" s="112"/>
      <c r="N219" s="112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</row>
    <row r="220" spans="1:30" ht="12" customHeight="1">
      <c r="A220" s="108"/>
      <c r="B220" s="108"/>
      <c r="C220" s="109"/>
      <c r="D220" s="109"/>
      <c r="E220" s="109"/>
      <c r="F220" s="109"/>
      <c r="G220" s="109"/>
      <c r="H220" s="109"/>
      <c r="I220" s="111"/>
      <c r="J220" s="111"/>
      <c r="K220" s="112"/>
      <c r="L220" s="112"/>
      <c r="M220" s="112"/>
      <c r="N220" s="112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</row>
    <row r="221" spans="1:30" ht="12" customHeight="1">
      <c r="A221" s="108"/>
      <c r="B221" s="108"/>
      <c r="C221" s="109"/>
      <c r="D221" s="109"/>
      <c r="E221" s="109"/>
      <c r="F221" s="109"/>
      <c r="G221" s="109"/>
      <c r="H221" s="109"/>
      <c r="I221" s="111"/>
      <c r="J221" s="111"/>
      <c r="K221" s="112"/>
      <c r="L221" s="112"/>
      <c r="M221" s="112"/>
      <c r="N221" s="112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</row>
    <row r="222" spans="1:30" ht="12" customHeight="1">
      <c r="A222" s="108"/>
      <c r="B222" s="108"/>
      <c r="C222" s="109"/>
      <c r="D222" s="109"/>
      <c r="E222" s="109"/>
      <c r="F222" s="109"/>
      <c r="G222" s="109"/>
      <c r="H222" s="109"/>
      <c r="I222" s="111"/>
      <c r="J222" s="111"/>
      <c r="K222" s="112"/>
      <c r="L222" s="112"/>
      <c r="M222" s="112"/>
      <c r="N222" s="112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</row>
    <row r="223" spans="1:30" ht="12" customHeight="1">
      <c r="A223" s="108"/>
      <c r="B223" s="108"/>
      <c r="C223" s="109"/>
      <c r="D223" s="109"/>
      <c r="E223" s="109"/>
      <c r="F223" s="109"/>
      <c r="G223" s="109"/>
      <c r="H223" s="109"/>
      <c r="I223" s="111"/>
      <c r="J223" s="111"/>
      <c r="K223" s="112"/>
      <c r="L223" s="112"/>
      <c r="M223" s="112"/>
      <c r="N223" s="112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</row>
    <row r="224" spans="1:30" ht="12" customHeight="1">
      <c r="A224" s="108"/>
      <c r="B224" s="108"/>
      <c r="C224" s="109"/>
      <c r="D224" s="109"/>
      <c r="E224" s="109"/>
      <c r="F224" s="109"/>
      <c r="G224" s="109"/>
      <c r="H224" s="109"/>
      <c r="I224" s="111"/>
      <c r="J224" s="111"/>
      <c r="K224" s="112"/>
      <c r="L224" s="112"/>
      <c r="M224" s="112"/>
      <c r="N224" s="112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</row>
    <row r="225" spans="1:30" ht="12" customHeight="1">
      <c r="A225" s="108"/>
      <c r="B225" s="108"/>
      <c r="C225" s="109"/>
      <c r="D225" s="109"/>
      <c r="E225" s="109"/>
      <c r="F225" s="109"/>
      <c r="G225" s="109"/>
      <c r="H225" s="109"/>
      <c r="I225" s="111"/>
      <c r="J225" s="111"/>
      <c r="K225" s="112"/>
      <c r="L225" s="112"/>
      <c r="M225" s="112"/>
      <c r="N225" s="112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</row>
    <row r="226" spans="1:30" ht="12" customHeight="1">
      <c r="A226" s="108"/>
      <c r="B226" s="108"/>
      <c r="C226" s="109"/>
      <c r="D226" s="109"/>
      <c r="E226" s="109"/>
      <c r="F226" s="109"/>
      <c r="G226" s="109"/>
      <c r="H226" s="109"/>
      <c r="I226" s="111"/>
      <c r="J226" s="111"/>
      <c r="K226" s="112"/>
      <c r="L226" s="112"/>
      <c r="M226" s="112"/>
      <c r="N226" s="112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</row>
    <row r="227" spans="1:30" ht="12" customHeight="1">
      <c r="A227" s="108"/>
      <c r="B227" s="108"/>
      <c r="C227" s="109"/>
      <c r="D227" s="109"/>
      <c r="E227" s="109"/>
      <c r="F227" s="109"/>
      <c r="G227" s="109"/>
      <c r="H227" s="109"/>
      <c r="I227" s="111"/>
      <c r="J227" s="111"/>
      <c r="K227" s="112"/>
      <c r="L227" s="112"/>
      <c r="M227" s="112"/>
      <c r="N227" s="112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</row>
    <row r="228" spans="1:30" ht="12" customHeight="1">
      <c r="A228" s="108"/>
      <c r="B228" s="108"/>
      <c r="C228" s="109"/>
      <c r="D228" s="109"/>
      <c r="E228" s="109"/>
      <c r="F228" s="109"/>
      <c r="G228" s="109"/>
      <c r="H228" s="109"/>
      <c r="I228" s="111"/>
      <c r="J228" s="111"/>
      <c r="K228" s="112"/>
      <c r="L228" s="112"/>
      <c r="M228" s="112"/>
      <c r="N228" s="112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</row>
    <row r="229" spans="1:30" ht="12" customHeight="1">
      <c r="A229" s="108"/>
      <c r="B229" s="108"/>
      <c r="C229" s="109"/>
      <c r="D229" s="109"/>
      <c r="E229" s="109"/>
      <c r="F229" s="109"/>
      <c r="G229" s="109"/>
      <c r="H229" s="109"/>
      <c r="I229" s="111"/>
      <c r="J229" s="111"/>
      <c r="K229" s="112"/>
      <c r="L229" s="112"/>
      <c r="M229" s="112"/>
      <c r="N229" s="112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</row>
    <row r="230" spans="1:30" ht="12" customHeight="1">
      <c r="A230" s="108"/>
      <c r="B230" s="108"/>
      <c r="C230" s="109"/>
      <c r="D230" s="109"/>
      <c r="E230" s="109"/>
      <c r="F230" s="109"/>
      <c r="G230" s="109"/>
      <c r="H230" s="109"/>
      <c r="I230" s="111"/>
      <c r="J230" s="111"/>
      <c r="K230" s="112"/>
      <c r="L230" s="112"/>
      <c r="M230" s="112"/>
      <c r="N230" s="112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</row>
    <row r="231" spans="1:30" ht="12" customHeight="1">
      <c r="A231" s="108"/>
      <c r="B231" s="108"/>
      <c r="C231" s="109"/>
      <c r="D231" s="109"/>
      <c r="E231" s="109"/>
      <c r="F231" s="109"/>
      <c r="G231" s="109"/>
      <c r="H231" s="109"/>
      <c r="I231" s="111"/>
      <c r="J231" s="111"/>
      <c r="K231" s="112"/>
      <c r="L231" s="112"/>
      <c r="M231" s="112"/>
      <c r="N231" s="112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</row>
    <row r="232" spans="1:30" ht="12" customHeight="1">
      <c r="A232" s="108"/>
      <c r="B232" s="108"/>
      <c r="C232" s="109"/>
      <c r="D232" s="109"/>
      <c r="E232" s="109"/>
      <c r="F232" s="109"/>
      <c r="G232" s="109"/>
      <c r="H232" s="109"/>
      <c r="I232" s="111"/>
      <c r="J232" s="111"/>
      <c r="K232" s="112"/>
      <c r="L232" s="112"/>
      <c r="M232" s="112"/>
      <c r="N232" s="112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</row>
    <row r="233" spans="1:30" ht="12" customHeight="1">
      <c r="A233" s="108"/>
      <c r="B233" s="108"/>
      <c r="C233" s="109"/>
      <c r="D233" s="109"/>
      <c r="E233" s="109"/>
      <c r="F233" s="109"/>
      <c r="G233" s="109"/>
      <c r="H233" s="109"/>
      <c r="I233" s="111"/>
      <c r="J233" s="111"/>
      <c r="K233" s="112"/>
      <c r="L233" s="112"/>
      <c r="M233" s="112"/>
      <c r="N233" s="112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</row>
    <row r="234" spans="1:30" ht="12" customHeight="1">
      <c r="A234" s="108"/>
      <c r="B234" s="108"/>
      <c r="C234" s="109"/>
      <c r="D234" s="109"/>
      <c r="E234" s="109"/>
      <c r="F234" s="109"/>
      <c r="G234" s="109"/>
      <c r="H234" s="109"/>
      <c r="I234" s="111"/>
      <c r="J234" s="111"/>
      <c r="K234" s="112"/>
      <c r="L234" s="112"/>
      <c r="M234" s="112"/>
      <c r="N234" s="112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</row>
    <row r="235" spans="1:30" ht="12" customHeight="1">
      <c r="A235" s="108"/>
      <c r="B235" s="108"/>
      <c r="C235" s="109"/>
      <c r="D235" s="109"/>
      <c r="E235" s="109"/>
      <c r="F235" s="109"/>
      <c r="G235" s="109"/>
      <c r="H235" s="109"/>
      <c r="I235" s="111"/>
      <c r="J235" s="111"/>
      <c r="K235" s="112"/>
      <c r="L235" s="112"/>
      <c r="M235" s="112"/>
      <c r="N235" s="112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</row>
    <row r="236" spans="1:30" ht="12" customHeight="1">
      <c r="A236" s="108"/>
      <c r="B236" s="108"/>
      <c r="C236" s="109"/>
      <c r="D236" s="109"/>
      <c r="E236" s="109"/>
      <c r="F236" s="109"/>
      <c r="G236" s="109"/>
      <c r="H236" s="109"/>
      <c r="I236" s="111"/>
      <c r="J236" s="111"/>
      <c r="K236" s="112"/>
      <c r="L236" s="112"/>
      <c r="M236" s="112"/>
      <c r="N236" s="112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</row>
    <row r="237" spans="1:30" ht="12" customHeight="1">
      <c r="A237" s="108"/>
      <c r="B237" s="108"/>
      <c r="C237" s="109"/>
      <c r="D237" s="109"/>
      <c r="E237" s="109"/>
      <c r="F237" s="109"/>
      <c r="G237" s="109"/>
      <c r="H237" s="109"/>
      <c r="I237" s="111"/>
      <c r="J237" s="111"/>
      <c r="K237" s="112"/>
      <c r="L237" s="112"/>
      <c r="M237" s="112"/>
      <c r="N237" s="112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</row>
    <row r="238" spans="1:30" ht="12" customHeight="1">
      <c r="A238" s="108"/>
      <c r="B238" s="108"/>
      <c r="C238" s="109"/>
      <c r="D238" s="109"/>
      <c r="E238" s="109"/>
      <c r="F238" s="109"/>
      <c r="G238" s="109"/>
      <c r="H238" s="109"/>
      <c r="I238" s="111"/>
      <c r="J238" s="111"/>
      <c r="K238" s="112"/>
      <c r="L238" s="112"/>
      <c r="M238" s="112"/>
      <c r="N238" s="112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</row>
    <row r="239" spans="1:30" ht="12" customHeight="1">
      <c r="A239" s="108"/>
      <c r="B239" s="108"/>
      <c r="C239" s="109"/>
      <c r="D239" s="109"/>
      <c r="E239" s="109"/>
      <c r="F239" s="109"/>
      <c r="G239" s="109"/>
      <c r="H239" s="109"/>
      <c r="I239" s="111"/>
      <c r="J239" s="111"/>
      <c r="K239" s="112"/>
      <c r="L239" s="112"/>
      <c r="M239" s="112"/>
      <c r="N239" s="112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</row>
    <row r="240" spans="1:30" ht="12" customHeight="1">
      <c r="A240" s="108"/>
      <c r="B240" s="108"/>
      <c r="C240" s="109"/>
      <c r="D240" s="109"/>
      <c r="E240" s="109"/>
      <c r="F240" s="109"/>
      <c r="G240" s="109"/>
      <c r="H240" s="109"/>
      <c r="I240" s="111"/>
      <c r="J240" s="111"/>
      <c r="K240" s="112"/>
      <c r="L240" s="112"/>
      <c r="M240" s="112"/>
      <c r="N240" s="112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</row>
    <row r="241" spans="1:30" ht="12" customHeight="1">
      <c r="A241" s="108"/>
      <c r="B241" s="108"/>
      <c r="C241" s="109"/>
      <c r="D241" s="109"/>
      <c r="E241" s="109"/>
      <c r="F241" s="109"/>
      <c r="G241" s="109"/>
      <c r="H241" s="109"/>
      <c r="I241" s="111"/>
      <c r="J241" s="111"/>
      <c r="K241" s="112"/>
      <c r="L241" s="112"/>
      <c r="M241" s="112"/>
      <c r="N241" s="112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</row>
    <row r="242" spans="1:30" ht="12" customHeight="1">
      <c r="A242" s="108"/>
      <c r="B242" s="108"/>
      <c r="C242" s="109"/>
      <c r="D242" s="109"/>
      <c r="E242" s="109"/>
      <c r="F242" s="109"/>
      <c r="G242" s="109"/>
      <c r="H242" s="109"/>
      <c r="I242" s="111"/>
      <c r="J242" s="111"/>
      <c r="K242" s="112"/>
      <c r="L242" s="112"/>
      <c r="M242" s="112"/>
      <c r="N242" s="112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</row>
    <row r="243" spans="1:30" ht="12" customHeight="1">
      <c r="A243" s="108"/>
      <c r="B243" s="108"/>
      <c r="C243" s="109"/>
      <c r="D243" s="109"/>
      <c r="E243" s="109"/>
      <c r="F243" s="109"/>
      <c r="G243" s="109"/>
      <c r="H243" s="109"/>
      <c r="I243" s="111"/>
      <c r="J243" s="111"/>
      <c r="K243" s="112"/>
      <c r="L243" s="112"/>
      <c r="M243" s="112"/>
      <c r="N243" s="112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</row>
    <row r="244" spans="1:30" ht="12" customHeight="1">
      <c r="A244" s="108"/>
      <c r="B244" s="108"/>
      <c r="C244" s="109"/>
      <c r="D244" s="109"/>
      <c r="E244" s="109"/>
      <c r="F244" s="109"/>
      <c r="G244" s="109"/>
      <c r="H244" s="109"/>
      <c r="I244" s="111"/>
      <c r="J244" s="111"/>
      <c r="K244" s="112"/>
      <c r="L244" s="112"/>
      <c r="M244" s="112"/>
      <c r="N244" s="112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</row>
    <row r="245" spans="1:30" ht="12" customHeight="1">
      <c r="A245" s="108"/>
      <c r="B245" s="108"/>
      <c r="C245" s="109"/>
      <c r="D245" s="109"/>
      <c r="E245" s="109"/>
      <c r="F245" s="109"/>
      <c r="G245" s="109"/>
      <c r="H245" s="109"/>
      <c r="I245" s="111"/>
      <c r="J245" s="111"/>
      <c r="K245" s="112"/>
      <c r="L245" s="112"/>
      <c r="M245" s="112"/>
      <c r="N245" s="112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</row>
    <row r="246" spans="1:30" ht="12" customHeight="1">
      <c r="A246" s="108"/>
      <c r="B246" s="108"/>
      <c r="C246" s="109"/>
      <c r="D246" s="109"/>
      <c r="E246" s="109"/>
      <c r="F246" s="109"/>
      <c r="G246" s="109"/>
      <c r="H246" s="109"/>
      <c r="I246" s="111"/>
      <c r="J246" s="111"/>
      <c r="K246" s="112"/>
      <c r="L246" s="112"/>
      <c r="M246" s="112"/>
      <c r="N246" s="112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</row>
    <row r="247" spans="1:30" ht="12" customHeight="1">
      <c r="A247" s="108"/>
      <c r="B247" s="108"/>
      <c r="C247" s="109"/>
      <c r="D247" s="109"/>
      <c r="E247" s="109"/>
      <c r="F247" s="109"/>
      <c r="G247" s="109"/>
      <c r="H247" s="109"/>
      <c r="I247" s="111"/>
      <c r="J247" s="111"/>
      <c r="K247" s="112"/>
      <c r="L247" s="112"/>
      <c r="M247" s="112"/>
      <c r="N247" s="112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</row>
    <row r="248" spans="1:30" ht="12" customHeight="1">
      <c r="A248" s="108"/>
      <c r="B248" s="108"/>
      <c r="C248" s="109"/>
      <c r="D248" s="109"/>
      <c r="E248" s="109"/>
      <c r="F248" s="109"/>
      <c r="G248" s="109"/>
      <c r="H248" s="109"/>
      <c r="I248" s="111"/>
      <c r="J248" s="111"/>
      <c r="K248" s="112"/>
      <c r="L248" s="112"/>
      <c r="M248" s="112"/>
      <c r="N248" s="112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</row>
    <row r="249" spans="1:30" ht="12" customHeight="1">
      <c r="A249" s="108"/>
      <c r="B249" s="108"/>
      <c r="C249" s="109"/>
      <c r="D249" s="109"/>
      <c r="E249" s="109"/>
      <c r="F249" s="109"/>
      <c r="G249" s="109"/>
      <c r="H249" s="109"/>
      <c r="I249" s="111"/>
      <c r="J249" s="111"/>
      <c r="K249" s="112"/>
      <c r="L249" s="112"/>
      <c r="M249" s="112"/>
      <c r="N249" s="112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</row>
    <row r="250" spans="1:30" ht="12" customHeight="1">
      <c r="A250" s="108"/>
      <c r="B250" s="108"/>
      <c r="C250" s="109"/>
      <c r="D250" s="109"/>
      <c r="E250" s="109"/>
      <c r="F250" s="109"/>
      <c r="G250" s="109"/>
      <c r="H250" s="109"/>
      <c r="I250" s="111"/>
      <c r="J250" s="111"/>
      <c r="K250" s="112"/>
      <c r="L250" s="112"/>
      <c r="M250" s="112"/>
      <c r="N250" s="112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</row>
    <row r="251" spans="1:30" ht="12" customHeight="1">
      <c r="A251" s="108"/>
      <c r="B251" s="108"/>
      <c r="C251" s="109"/>
      <c r="D251" s="109"/>
      <c r="E251" s="109"/>
      <c r="F251" s="109"/>
      <c r="G251" s="109"/>
      <c r="H251" s="109"/>
      <c r="I251" s="111"/>
      <c r="J251" s="111"/>
      <c r="K251" s="112"/>
      <c r="L251" s="112"/>
      <c r="M251" s="112"/>
      <c r="N251" s="112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</row>
    <row r="252" spans="1:30" ht="12" customHeight="1">
      <c r="A252" s="108"/>
      <c r="B252" s="108"/>
      <c r="C252" s="109"/>
      <c r="D252" s="109"/>
      <c r="E252" s="109"/>
      <c r="F252" s="109"/>
      <c r="G252" s="109"/>
      <c r="H252" s="109"/>
      <c r="I252" s="111"/>
      <c r="J252" s="111"/>
      <c r="K252" s="112"/>
      <c r="L252" s="112"/>
      <c r="M252" s="112"/>
      <c r="N252" s="112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</row>
    <row r="253" spans="1:30" ht="12" customHeight="1">
      <c r="A253" s="108"/>
      <c r="B253" s="108"/>
      <c r="C253" s="109"/>
      <c r="D253" s="109"/>
      <c r="E253" s="109"/>
      <c r="F253" s="109"/>
      <c r="G253" s="109"/>
      <c r="H253" s="109"/>
      <c r="I253" s="111"/>
      <c r="J253" s="111"/>
      <c r="K253" s="112"/>
      <c r="L253" s="112"/>
      <c r="M253" s="112"/>
      <c r="N253" s="112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</row>
    <row r="254" spans="1:30" ht="12" customHeight="1">
      <c r="A254" s="108"/>
      <c r="B254" s="108"/>
      <c r="C254" s="109"/>
      <c r="D254" s="109"/>
      <c r="E254" s="109"/>
      <c r="F254" s="109"/>
      <c r="G254" s="109"/>
      <c r="H254" s="109"/>
      <c r="I254" s="111"/>
      <c r="J254" s="111"/>
      <c r="K254" s="112"/>
      <c r="L254" s="112"/>
      <c r="M254" s="112"/>
      <c r="N254" s="112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</row>
    <row r="255" spans="1:30" ht="12" customHeight="1">
      <c r="A255" s="108"/>
      <c r="B255" s="108"/>
      <c r="C255" s="109"/>
      <c r="D255" s="109"/>
      <c r="E255" s="109"/>
      <c r="F255" s="109"/>
      <c r="G255" s="109"/>
      <c r="H255" s="109"/>
      <c r="I255" s="111"/>
      <c r="J255" s="111"/>
      <c r="K255" s="112"/>
      <c r="L255" s="112"/>
      <c r="M255" s="112"/>
      <c r="N255" s="112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</row>
    <row r="256" spans="1:30" ht="12" customHeight="1">
      <c r="A256" s="108"/>
      <c r="B256" s="108"/>
      <c r="C256" s="109"/>
      <c r="D256" s="109"/>
      <c r="E256" s="109"/>
      <c r="F256" s="109"/>
      <c r="G256" s="109"/>
      <c r="H256" s="109"/>
      <c r="I256" s="111"/>
      <c r="J256" s="111"/>
      <c r="K256" s="112"/>
      <c r="L256" s="112"/>
      <c r="M256" s="112"/>
      <c r="N256" s="112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</row>
    <row r="257" spans="1:30" ht="12" customHeight="1">
      <c r="A257" s="108"/>
      <c r="B257" s="108"/>
      <c r="C257" s="109"/>
      <c r="D257" s="109"/>
      <c r="E257" s="109"/>
      <c r="F257" s="109"/>
      <c r="G257" s="109"/>
      <c r="H257" s="109"/>
      <c r="I257" s="111"/>
      <c r="J257" s="111"/>
      <c r="K257" s="112"/>
      <c r="L257" s="112"/>
      <c r="M257" s="112"/>
      <c r="N257" s="112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</row>
    <row r="258" spans="1:30" ht="12" customHeight="1">
      <c r="A258" s="108"/>
      <c r="B258" s="108"/>
      <c r="C258" s="109"/>
      <c r="D258" s="109"/>
      <c r="E258" s="109"/>
      <c r="F258" s="109"/>
      <c r="G258" s="109"/>
      <c r="H258" s="109"/>
      <c r="I258" s="111"/>
      <c r="J258" s="111"/>
      <c r="K258" s="112"/>
      <c r="L258" s="112"/>
      <c r="M258" s="112"/>
      <c r="N258" s="112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</row>
    <row r="259" spans="1:30" ht="12" customHeight="1">
      <c r="A259" s="108"/>
      <c r="B259" s="108"/>
      <c r="C259" s="109"/>
      <c r="D259" s="109"/>
      <c r="E259" s="109"/>
      <c r="F259" s="109"/>
      <c r="G259" s="109"/>
      <c r="H259" s="109"/>
      <c r="I259" s="111"/>
      <c r="J259" s="111"/>
      <c r="K259" s="112"/>
      <c r="L259" s="112"/>
      <c r="M259" s="112"/>
      <c r="N259" s="112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</row>
    <row r="260" spans="1:30" ht="12" customHeight="1">
      <c r="A260" s="108"/>
      <c r="B260" s="108"/>
      <c r="C260" s="109"/>
      <c r="D260" s="109"/>
      <c r="E260" s="109"/>
      <c r="F260" s="109"/>
      <c r="G260" s="109"/>
      <c r="H260" s="109"/>
      <c r="I260" s="111"/>
      <c r="J260" s="111"/>
      <c r="K260" s="112"/>
      <c r="L260" s="112"/>
      <c r="M260" s="112"/>
      <c r="N260" s="112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</row>
    <row r="261" spans="1:30" ht="12" customHeight="1">
      <c r="A261" s="108"/>
      <c r="B261" s="108"/>
      <c r="C261" s="109"/>
      <c r="D261" s="109"/>
      <c r="E261" s="109"/>
      <c r="F261" s="109"/>
      <c r="G261" s="109"/>
      <c r="H261" s="109"/>
      <c r="I261" s="111"/>
      <c r="J261" s="111"/>
      <c r="K261" s="112"/>
      <c r="L261" s="112"/>
      <c r="M261" s="112"/>
      <c r="N261" s="112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</row>
    <row r="262" spans="1:30" ht="12" customHeight="1">
      <c r="A262" s="108"/>
      <c r="B262" s="108"/>
      <c r="C262" s="109"/>
      <c r="D262" s="109"/>
      <c r="E262" s="109"/>
      <c r="F262" s="109"/>
      <c r="G262" s="109"/>
      <c r="H262" s="109"/>
      <c r="I262" s="111"/>
      <c r="J262" s="111"/>
      <c r="K262" s="112"/>
      <c r="L262" s="112"/>
      <c r="M262" s="112"/>
      <c r="N262" s="112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</row>
    <row r="263" spans="1:30" ht="12" customHeight="1">
      <c r="A263" s="108"/>
      <c r="B263" s="108"/>
      <c r="C263" s="109"/>
      <c r="D263" s="109"/>
      <c r="E263" s="109"/>
      <c r="F263" s="109"/>
      <c r="G263" s="109"/>
      <c r="H263" s="109"/>
      <c r="I263" s="111"/>
      <c r="J263" s="111"/>
      <c r="K263" s="112"/>
      <c r="L263" s="112"/>
      <c r="M263" s="112"/>
      <c r="N263" s="112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</row>
    <row r="264" spans="1:30" ht="12" customHeight="1">
      <c r="A264" s="108"/>
      <c r="B264" s="108"/>
      <c r="C264" s="109"/>
      <c r="D264" s="109"/>
      <c r="E264" s="109"/>
      <c r="F264" s="109"/>
      <c r="G264" s="109"/>
      <c r="H264" s="109"/>
      <c r="I264" s="111"/>
      <c r="J264" s="111"/>
      <c r="K264" s="112"/>
      <c r="L264" s="112"/>
      <c r="M264" s="112"/>
      <c r="N264" s="112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</row>
    <row r="265" spans="1:30" ht="12" customHeight="1">
      <c r="A265" s="108"/>
      <c r="B265" s="108"/>
      <c r="C265" s="109"/>
      <c r="D265" s="109"/>
      <c r="E265" s="109"/>
      <c r="F265" s="109"/>
      <c r="G265" s="109"/>
      <c r="H265" s="109"/>
      <c r="I265" s="111"/>
      <c r="J265" s="111"/>
      <c r="K265" s="112"/>
      <c r="L265" s="112"/>
      <c r="M265" s="112"/>
      <c r="N265" s="112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</row>
    <row r="266" spans="1:30" ht="12" customHeight="1">
      <c r="A266" s="108"/>
      <c r="B266" s="108"/>
      <c r="C266" s="109"/>
      <c r="D266" s="109"/>
      <c r="E266" s="109"/>
      <c r="F266" s="109"/>
      <c r="G266" s="109"/>
      <c r="H266" s="109"/>
      <c r="I266" s="111"/>
      <c r="J266" s="111"/>
      <c r="K266" s="112"/>
      <c r="L266" s="112"/>
      <c r="M266" s="112"/>
      <c r="N266" s="112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</row>
    <row r="267" spans="1:30" ht="12" customHeight="1">
      <c r="A267" s="108"/>
      <c r="B267" s="108"/>
      <c r="C267" s="109"/>
      <c r="D267" s="109"/>
      <c r="E267" s="109"/>
      <c r="F267" s="109"/>
      <c r="G267" s="109"/>
      <c r="H267" s="109"/>
      <c r="I267" s="111"/>
      <c r="J267" s="111"/>
      <c r="K267" s="112"/>
      <c r="L267" s="112"/>
      <c r="M267" s="112"/>
      <c r="N267" s="112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</row>
    <row r="268" spans="1:30" ht="12" customHeight="1">
      <c r="A268" s="108"/>
      <c r="B268" s="108"/>
      <c r="C268" s="109"/>
      <c r="D268" s="109"/>
      <c r="E268" s="109"/>
      <c r="F268" s="109"/>
      <c r="G268" s="109"/>
      <c r="H268" s="109"/>
      <c r="I268" s="111"/>
      <c r="J268" s="111"/>
      <c r="K268" s="112"/>
      <c r="L268" s="112"/>
      <c r="M268" s="112"/>
      <c r="N268" s="112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</row>
    <row r="269" spans="1:30" ht="12" customHeight="1">
      <c r="A269" s="108"/>
      <c r="B269" s="108"/>
      <c r="C269" s="109"/>
      <c r="D269" s="109"/>
      <c r="E269" s="109"/>
      <c r="F269" s="109"/>
      <c r="G269" s="109"/>
      <c r="H269" s="109"/>
      <c r="I269" s="111"/>
      <c r="J269" s="111"/>
      <c r="K269" s="112"/>
      <c r="L269" s="112"/>
      <c r="M269" s="112"/>
      <c r="N269" s="112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</row>
    <row r="270" spans="1:30" ht="12" customHeight="1">
      <c r="A270" s="108"/>
      <c r="B270" s="108"/>
      <c r="C270" s="109"/>
      <c r="D270" s="109"/>
      <c r="E270" s="109"/>
      <c r="F270" s="109"/>
      <c r="G270" s="109"/>
      <c r="H270" s="109"/>
      <c r="I270" s="111"/>
      <c r="J270" s="111"/>
      <c r="K270" s="112"/>
      <c r="L270" s="112"/>
      <c r="M270" s="112"/>
      <c r="N270" s="112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</row>
    <row r="271" spans="1:30" ht="12" customHeight="1">
      <c r="A271" s="108"/>
      <c r="B271" s="108"/>
      <c r="C271" s="109"/>
      <c r="D271" s="109"/>
      <c r="E271" s="109"/>
      <c r="F271" s="109"/>
      <c r="G271" s="109"/>
      <c r="H271" s="109"/>
      <c r="I271" s="111"/>
      <c r="J271" s="111"/>
      <c r="K271" s="112"/>
      <c r="L271" s="112"/>
      <c r="M271" s="112"/>
      <c r="N271" s="112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</row>
    <row r="272" spans="1:30" ht="12" customHeight="1">
      <c r="A272" s="108"/>
      <c r="B272" s="108"/>
      <c r="C272" s="109"/>
      <c r="D272" s="109"/>
      <c r="E272" s="109"/>
      <c r="F272" s="109"/>
      <c r="G272" s="109"/>
      <c r="H272" s="109"/>
      <c r="I272" s="111"/>
      <c r="J272" s="111"/>
      <c r="K272" s="112"/>
      <c r="L272" s="112"/>
      <c r="M272" s="112"/>
      <c r="N272" s="112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</row>
    <row r="273" spans="1:30" ht="12" customHeight="1">
      <c r="A273" s="108"/>
      <c r="B273" s="108"/>
      <c r="C273" s="109"/>
      <c r="D273" s="109"/>
      <c r="E273" s="109"/>
      <c r="F273" s="109"/>
      <c r="G273" s="109"/>
      <c r="H273" s="109"/>
      <c r="I273" s="111"/>
      <c r="J273" s="111"/>
      <c r="K273" s="112"/>
      <c r="L273" s="112"/>
      <c r="M273" s="112"/>
      <c r="N273" s="112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</row>
    <row r="274" spans="1:30" ht="12" customHeight="1">
      <c r="A274" s="108"/>
      <c r="B274" s="108"/>
      <c r="C274" s="109"/>
      <c r="D274" s="109"/>
      <c r="E274" s="109"/>
      <c r="F274" s="109"/>
      <c r="G274" s="109"/>
      <c r="H274" s="109"/>
      <c r="I274" s="111"/>
      <c r="J274" s="111"/>
      <c r="K274" s="112"/>
      <c r="L274" s="112"/>
      <c r="M274" s="112"/>
      <c r="N274" s="112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</row>
    <row r="275" spans="1:30" ht="12" customHeight="1">
      <c r="A275" s="108"/>
      <c r="B275" s="108"/>
      <c r="C275" s="109"/>
      <c r="D275" s="109"/>
      <c r="E275" s="109"/>
      <c r="F275" s="109"/>
      <c r="G275" s="109"/>
      <c r="H275" s="109"/>
      <c r="I275" s="111"/>
      <c r="J275" s="111"/>
      <c r="K275" s="112"/>
      <c r="L275" s="112"/>
      <c r="M275" s="112"/>
      <c r="N275" s="112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</row>
    <row r="276" spans="1:30" ht="12" customHeight="1">
      <c r="A276" s="108"/>
      <c r="B276" s="108"/>
      <c r="C276" s="109"/>
      <c r="D276" s="109"/>
      <c r="E276" s="109"/>
      <c r="F276" s="109"/>
      <c r="G276" s="109"/>
      <c r="H276" s="109"/>
      <c r="I276" s="111"/>
      <c r="J276" s="111"/>
      <c r="K276" s="112"/>
      <c r="L276" s="112"/>
      <c r="M276" s="112"/>
      <c r="N276" s="112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</row>
    <row r="277" spans="1:30" ht="12" customHeight="1">
      <c r="A277" s="108"/>
      <c r="B277" s="108"/>
      <c r="C277" s="109"/>
      <c r="D277" s="109"/>
      <c r="E277" s="109"/>
      <c r="F277" s="109"/>
      <c r="G277" s="109"/>
      <c r="H277" s="109"/>
      <c r="I277" s="111"/>
      <c r="J277" s="111"/>
      <c r="K277" s="112"/>
      <c r="L277" s="112"/>
      <c r="M277" s="112"/>
      <c r="N277" s="112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</row>
    <row r="278" spans="1:30" ht="12" customHeight="1">
      <c r="A278" s="108"/>
      <c r="B278" s="108"/>
      <c r="C278" s="109"/>
      <c r="D278" s="109"/>
      <c r="E278" s="109"/>
      <c r="F278" s="109"/>
      <c r="G278" s="109"/>
      <c r="H278" s="109"/>
      <c r="I278" s="111"/>
      <c r="J278" s="111"/>
      <c r="K278" s="112"/>
      <c r="L278" s="112"/>
      <c r="M278" s="112"/>
      <c r="N278" s="112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</row>
    <row r="279" spans="1:30" ht="12" customHeight="1">
      <c r="A279" s="108"/>
      <c r="B279" s="108"/>
      <c r="C279" s="109"/>
      <c r="D279" s="109"/>
      <c r="E279" s="109"/>
      <c r="F279" s="109"/>
      <c r="G279" s="109"/>
      <c r="H279" s="109"/>
      <c r="I279" s="111"/>
      <c r="J279" s="111"/>
      <c r="K279" s="112"/>
      <c r="L279" s="112"/>
      <c r="M279" s="112"/>
      <c r="N279" s="112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</row>
    <row r="280" spans="1:30" ht="12" customHeight="1">
      <c r="A280" s="108"/>
      <c r="B280" s="108"/>
      <c r="C280" s="109"/>
      <c r="D280" s="109"/>
      <c r="E280" s="109"/>
      <c r="F280" s="109"/>
      <c r="G280" s="109"/>
      <c r="H280" s="109"/>
      <c r="I280" s="111"/>
      <c r="J280" s="111"/>
      <c r="K280" s="112"/>
      <c r="L280" s="112"/>
      <c r="M280" s="112"/>
      <c r="N280" s="112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</row>
    <row r="281" spans="1:30" ht="12" customHeight="1">
      <c r="A281" s="108"/>
      <c r="B281" s="108"/>
      <c r="C281" s="109"/>
      <c r="D281" s="109"/>
      <c r="E281" s="109"/>
      <c r="F281" s="109"/>
      <c r="G281" s="109"/>
      <c r="H281" s="109"/>
      <c r="I281" s="111"/>
      <c r="J281" s="111"/>
      <c r="K281" s="112"/>
      <c r="L281" s="112"/>
      <c r="M281" s="112"/>
      <c r="N281" s="112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</row>
    <row r="282" spans="1:30" ht="12" customHeight="1">
      <c r="A282" s="108"/>
      <c r="B282" s="108"/>
      <c r="C282" s="109"/>
      <c r="D282" s="109"/>
      <c r="E282" s="109"/>
      <c r="F282" s="109"/>
      <c r="G282" s="109"/>
      <c r="H282" s="109"/>
      <c r="I282" s="111"/>
      <c r="J282" s="111"/>
      <c r="K282" s="112"/>
      <c r="L282" s="112"/>
      <c r="M282" s="112"/>
      <c r="N282" s="112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</row>
    <row r="283" spans="1:30" ht="12" customHeight="1">
      <c r="A283" s="108"/>
      <c r="B283" s="108"/>
      <c r="C283" s="109"/>
      <c r="D283" s="109"/>
      <c r="E283" s="109"/>
      <c r="F283" s="109"/>
      <c r="G283" s="109"/>
      <c r="H283" s="109"/>
      <c r="I283" s="111"/>
      <c r="J283" s="111"/>
      <c r="K283" s="112"/>
      <c r="L283" s="112"/>
      <c r="M283" s="112"/>
      <c r="N283" s="112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</row>
    <row r="284" spans="1:30" ht="12" customHeight="1">
      <c r="A284" s="108"/>
      <c r="B284" s="108"/>
      <c r="C284" s="109"/>
      <c r="D284" s="109"/>
      <c r="E284" s="109"/>
      <c r="F284" s="109"/>
      <c r="G284" s="109"/>
      <c r="H284" s="109"/>
      <c r="I284" s="111"/>
      <c r="J284" s="111"/>
      <c r="K284" s="112"/>
      <c r="L284" s="112"/>
      <c r="M284" s="112"/>
      <c r="N284" s="112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</row>
    <row r="285" spans="1:30" ht="12" customHeight="1">
      <c r="A285" s="108"/>
      <c r="B285" s="108"/>
      <c r="C285" s="109"/>
      <c r="D285" s="109"/>
      <c r="E285" s="109"/>
      <c r="F285" s="109"/>
      <c r="G285" s="109"/>
      <c r="H285" s="109"/>
      <c r="I285" s="111"/>
      <c r="J285" s="111"/>
      <c r="K285" s="112"/>
      <c r="L285" s="112"/>
      <c r="M285" s="112"/>
      <c r="N285" s="112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</row>
    <row r="286" spans="1:30" ht="12" customHeight="1">
      <c r="A286" s="108"/>
      <c r="B286" s="108"/>
      <c r="C286" s="109"/>
      <c r="D286" s="109"/>
      <c r="E286" s="109"/>
      <c r="F286" s="109"/>
      <c r="G286" s="109"/>
      <c r="H286" s="109"/>
      <c r="I286" s="111"/>
      <c r="J286" s="111"/>
      <c r="K286" s="112"/>
      <c r="L286" s="112"/>
      <c r="M286" s="112"/>
      <c r="N286" s="112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</row>
    <row r="287" spans="1:30" ht="12" customHeight="1">
      <c r="A287" s="108"/>
      <c r="B287" s="108"/>
      <c r="C287" s="109"/>
      <c r="D287" s="109"/>
      <c r="E287" s="109"/>
      <c r="F287" s="109"/>
      <c r="G287" s="109"/>
      <c r="H287" s="109"/>
      <c r="I287" s="111"/>
      <c r="J287" s="111"/>
      <c r="K287" s="112"/>
      <c r="L287" s="112"/>
      <c r="M287" s="112"/>
      <c r="N287" s="112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</row>
    <row r="288" spans="1:30" ht="12" customHeight="1">
      <c r="A288" s="108"/>
      <c r="B288" s="108"/>
      <c r="C288" s="109"/>
      <c r="D288" s="109"/>
      <c r="E288" s="109"/>
      <c r="F288" s="109"/>
      <c r="G288" s="109"/>
      <c r="H288" s="109"/>
      <c r="I288" s="111"/>
      <c r="J288" s="111"/>
      <c r="K288" s="112"/>
      <c r="L288" s="112"/>
      <c r="M288" s="112"/>
      <c r="N288" s="112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</row>
    <row r="289" spans="1:30" ht="12" customHeight="1">
      <c r="A289" s="108"/>
      <c r="B289" s="108"/>
      <c r="C289" s="109"/>
      <c r="D289" s="109"/>
      <c r="E289" s="109"/>
      <c r="F289" s="109"/>
      <c r="G289" s="109"/>
      <c r="H289" s="109"/>
      <c r="I289" s="111"/>
      <c r="J289" s="111"/>
      <c r="K289" s="112"/>
      <c r="L289" s="112"/>
      <c r="M289" s="112"/>
      <c r="N289" s="112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</row>
    <row r="290" spans="1:30" ht="12" customHeight="1">
      <c r="A290" s="108"/>
      <c r="B290" s="108"/>
      <c r="C290" s="109"/>
      <c r="D290" s="109"/>
      <c r="E290" s="109"/>
      <c r="F290" s="109"/>
      <c r="G290" s="109"/>
      <c r="H290" s="109"/>
      <c r="I290" s="111"/>
      <c r="J290" s="111"/>
      <c r="K290" s="112"/>
      <c r="L290" s="112"/>
      <c r="M290" s="112"/>
      <c r="N290" s="112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</row>
    <row r="291" spans="1:30" ht="12" customHeight="1">
      <c r="A291" s="108"/>
      <c r="B291" s="108"/>
      <c r="C291" s="109"/>
      <c r="D291" s="109"/>
      <c r="E291" s="109"/>
      <c r="F291" s="109"/>
      <c r="G291" s="109"/>
      <c r="H291" s="109"/>
      <c r="I291" s="111"/>
      <c r="J291" s="111"/>
      <c r="K291" s="112"/>
      <c r="L291" s="112"/>
      <c r="M291" s="112"/>
      <c r="N291" s="112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</row>
    <row r="292" spans="1:30" ht="12" customHeight="1">
      <c r="A292" s="108"/>
      <c r="B292" s="108"/>
      <c r="C292" s="109"/>
      <c r="D292" s="109"/>
      <c r="E292" s="109"/>
      <c r="F292" s="109"/>
      <c r="G292" s="109"/>
      <c r="H292" s="109"/>
      <c r="I292" s="111"/>
      <c r="J292" s="111"/>
      <c r="K292" s="112"/>
      <c r="L292" s="112"/>
      <c r="M292" s="112"/>
      <c r="N292" s="112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</row>
    <row r="293" spans="1:30" ht="12" customHeight="1">
      <c r="A293" s="108"/>
      <c r="B293" s="108"/>
      <c r="C293" s="109"/>
      <c r="D293" s="109"/>
      <c r="E293" s="109"/>
      <c r="F293" s="109"/>
      <c r="G293" s="109"/>
      <c r="H293" s="109"/>
      <c r="I293" s="111"/>
      <c r="J293" s="111"/>
      <c r="K293" s="112"/>
      <c r="L293" s="112"/>
      <c r="M293" s="112"/>
      <c r="N293" s="112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</row>
    <row r="294" spans="1:30" ht="12" customHeight="1">
      <c r="A294" s="108"/>
      <c r="B294" s="108"/>
      <c r="C294" s="109"/>
      <c r="D294" s="109"/>
      <c r="E294" s="109"/>
      <c r="F294" s="109"/>
      <c r="G294" s="109"/>
      <c r="H294" s="109"/>
      <c r="I294" s="111"/>
      <c r="J294" s="111"/>
      <c r="K294" s="112"/>
      <c r="L294" s="112"/>
      <c r="M294" s="112"/>
      <c r="N294" s="112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</row>
    <row r="295" spans="1:30" ht="12" customHeight="1">
      <c r="A295" s="108"/>
      <c r="B295" s="108"/>
      <c r="C295" s="109"/>
      <c r="D295" s="109"/>
      <c r="E295" s="109"/>
      <c r="F295" s="109"/>
      <c r="G295" s="109"/>
      <c r="H295" s="109"/>
      <c r="I295" s="111"/>
      <c r="J295" s="111"/>
      <c r="K295" s="112"/>
      <c r="L295" s="112"/>
      <c r="M295" s="112"/>
      <c r="N295" s="112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</row>
    <row r="296" spans="1:30" ht="12" customHeight="1">
      <c r="A296" s="108"/>
      <c r="B296" s="108"/>
      <c r="C296" s="109"/>
      <c r="D296" s="109"/>
      <c r="E296" s="109"/>
      <c r="F296" s="109"/>
      <c r="G296" s="109"/>
      <c r="H296" s="109"/>
      <c r="I296" s="111"/>
      <c r="J296" s="111"/>
      <c r="K296" s="112"/>
      <c r="L296" s="112"/>
      <c r="M296" s="112"/>
      <c r="N296" s="112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</row>
    <row r="297" spans="1:30" ht="12" customHeight="1">
      <c r="A297" s="108"/>
      <c r="B297" s="108"/>
      <c r="C297" s="109"/>
      <c r="D297" s="109"/>
      <c r="E297" s="109"/>
      <c r="F297" s="109"/>
      <c r="G297" s="109"/>
      <c r="H297" s="109"/>
      <c r="I297" s="111"/>
      <c r="J297" s="111"/>
      <c r="K297" s="112"/>
      <c r="L297" s="112"/>
      <c r="M297" s="112"/>
      <c r="N297" s="112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</row>
    <row r="298" spans="1:30" ht="12" customHeight="1">
      <c r="A298" s="108"/>
      <c r="B298" s="108"/>
      <c r="C298" s="109"/>
      <c r="D298" s="109"/>
      <c r="E298" s="109"/>
      <c r="F298" s="109"/>
      <c r="G298" s="109"/>
      <c r="H298" s="109"/>
      <c r="I298" s="111"/>
      <c r="J298" s="111"/>
      <c r="K298" s="112"/>
      <c r="L298" s="112"/>
      <c r="M298" s="112"/>
      <c r="N298" s="112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</row>
    <row r="299" spans="1:30" ht="12" customHeight="1">
      <c r="A299" s="108"/>
      <c r="B299" s="108"/>
      <c r="C299" s="109"/>
      <c r="D299" s="109"/>
      <c r="E299" s="109"/>
      <c r="F299" s="109"/>
      <c r="G299" s="109"/>
      <c r="H299" s="109"/>
      <c r="I299" s="111"/>
      <c r="J299" s="111"/>
      <c r="K299" s="112"/>
      <c r="L299" s="112"/>
      <c r="M299" s="112"/>
      <c r="N299" s="112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</row>
    <row r="300" spans="1:30" ht="12" customHeight="1">
      <c r="A300" s="108"/>
      <c r="B300" s="108"/>
      <c r="C300" s="109"/>
      <c r="D300" s="109"/>
      <c r="E300" s="109"/>
      <c r="F300" s="109"/>
      <c r="G300" s="109"/>
      <c r="H300" s="109"/>
      <c r="I300" s="111"/>
      <c r="J300" s="111"/>
      <c r="K300" s="112"/>
      <c r="L300" s="112"/>
      <c r="M300" s="112"/>
      <c r="N300" s="112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</row>
    <row r="301" spans="1:30" ht="12" customHeight="1">
      <c r="A301" s="108"/>
      <c r="B301" s="108"/>
      <c r="C301" s="109"/>
      <c r="D301" s="109"/>
      <c r="E301" s="109"/>
      <c r="F301" s="109"/>
      <c r="G301" s="109"/>
      <c r="H301" s="109"/>
      <c r="I301" s="111"/>
      <c r="J301" s="111"/>
      <c r="K301" s="112"/>
      <c r="L301" s="112"/>
      <c r="M301" s="112"/>
      <c r="N301" s="112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</row>
    <row r="302" spans="1:30" ht="12" customHeight="1">
      <c r="A302" s="108"/>
      <c r="B302" s="108"/>
      <c r="C302" s="109"/>
      <c r="D302" s="109"/>
      <c r="E302" s="109"/>
      <c r="F302" s="109"/>
      <c r="G302" s="109"/>
      <c r="H302" s="109"/>
      <c r="I302" s="111"/>
      <c r="J302" s="111"/>
      <c r="K302" s="112"/>
      <c r="L302" s="112"/>
      <c r="M302" s="112"/>
      <c r="N302" s="112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</row>
    <row r="303" spans="1:30" ht="12" customHeight="1">
      <c r="A303" s="108"/>
      <c r="B303" s="108"/>
      <c r="C303" s="109"/>
      <c r="D303" s="109"/>
      <c r="E303" s="109"/>
      <c r="F303" s="109"/>
      <c r="G303" s="109"/>
      <c r="H303" s="109"/>
      <c r="I303" s="111"/>
      <c r="J303" s="111"/>
      <c r="K303" s="112"/>
      <c r="L303" s="112"/>
      <c r="M303" s="112"/>
      <c r="N303" s="112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</row>
    <row r="304" spans="1:30" ht="12" customHeight="1">
      <c r="A304" s="108"/>
      <c r="B304" s="108"/>
      <c r="C304" s="109"/>
      <c r="D304" s="109"/>
      <c r="E304" s="109"/>
      <c r="F304" s="109"/>
      <c r="G304" s="109"/>
      <c r="H304" s="109"/>
      <c r="I304" s="111"/>
      <c r="J304" s="111"/>
      <c r="K304" s="112"/>
      <c r="L304" s="112"/>
      <c r="M304" s="112"/>
      <c r="N304" s="112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</row>
    <row r="305" spans="1:30" ht="12" customHeight="1">
      <c r="A305" s="108"/>
      <c r="B305" s="108"/>
      <c r="C305" s="109"/>
      <c r="D305" s="109"/>
      <c r="E305" s="109"/>
      <c r="F305" s="109"/>
      <c r="G305" s="109"/>
      <c r="H305" s="109"/>
      <c r="I305" s="111"/>
      <c r="J305" s="111"/>
      <c r="K305" s="112"/>
      <c r="L305" s="112"/>
      <c r="M305" s="112"/>
      <c r="N305" s="112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</row>
    <row r="306" spans="1:30" ht="12" customHeight="1">
      <c r="A306" s="108"/>
      <c r="B306" s="108"/>
      <c r="C306" s="109"/>
      <c r="D306" s="109"/>
      <c r="E306" s="109"/>
      <c r="F306" s="109"/>
      <c r="G306" s="109"/>
      <c r="H306" s="109"/>
      <c r="I306" s="111"/>
      <c r="J306" s="111"/>
      <c r="K306" s="112"/>
      <c r="L306" s="112"/>
      <c r="M306" s="112"/>
      <c r="N306" s="112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</row>
    <row r="307" spans="1:30" ht="12" customHeight="1">
      <c r="A307" s="108"/>
      <c r="B307" s="108"/>
      <c r="C307" s="109"/>
      <c r="D307" s="109"/>
      <c r="E307" s="109"/>
      <c r="F307" s="109"/>
      <c r="G307" s="109"/>
      <c r="H307" s="109"/>
      <c r="I307" s="111"/>
      <c r="J307" s="111"/>
      <c r="K307" s="112"/>
      <c r="L307" s="112"/>
      <c r="M307" s="112"/>
      <c r="N307" s="112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</row>
    <row r="308" spans="1:30" ht="12" customHeight="1">
      <c r="A308" s="108"/>
      <c r="B308" s="108"/>
      <c r="C308" s="109"/>
      <c r="D308" s="109"/>
      <c r="E308" s="109"/>
      <c r="F308" s="109"/>
      <c r="G308" s="109"/>
      <c r="H308" s="109"/>
      <c r="I308" s="111"/>
      <c r="J308" s="111"/>
      <c r="K308" s="112"/>
      <c r="L308" s="112"/>
      <c r="M308" s="112"/>
      <c r="N308" s="112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</row>
    <row r="309" spans="1:30" ht="12" customHeight="1">
      <c r="A309" s="108"/>
      <c r="B309" s="108"/>
      <c r="C309" s="109"/>
      <c r="D309" s="109"/>
      <c r="E309" s="109"/>
      <c r="F309" s="109"/>
      <c r="G309" s="109"/>
      <c r="H309" s="109"/>
      <c r="I309" s="111"/>
      <c r="J309" s="111"/>
      <c r="K309" s="112"/>
      <c r="L309" s="112"/>
      <c r="M309" s="112"/>
      <c r="N309" s="112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</row>
    <row r="310" spans="1:30" ht="12" customHeight="1">
      <c r="A310" s="108"/>
      <c r="B310" s="108"/>
      <c r="C310" s="109"/>
      <c r="D310" s="109"/>
      <c r="E310" s="109"/>
      <c r="F310" s="109"/>
      <c r="G310" s="109"/>
      <c r="H310" s="109"/>
      <c r="I310" s="111"/>
      <c r="J310" s="111"/>
      <c r="K310" s="112"/>
      <c r="L310" s="112"/>
      <c r="M310" s="112"/>
      <c r="N310" s="112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</row>
    <row r="311" spans="1:30" ht="12" customHeight="1">
      <c r="A311" s="108"/>
      <c r="B311" s="108"/>
      <c r="C311" s="109"/>
      <c r="D311" s="109"/>
      <c r="E311" s="109"/>
      <c r="F311" s="109"/>
      <c r="G311" s="109"/>
      <c r="H311" s="109"/>
      <c r="I311" s="111"/>
      <c r="J311" s="111"/>
      <c r="K311" s="112"/>
      <c r="L311" s="112"/>
      <c r="M311" s="112"/>
      <c r="N311" s="112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</row>
    <row r="312" spans="1:30" ht="12" customHeight="1">
      <c r="A312" s="108"/>
      <c r="B312" s="108"/>
      <c r="C312" s="109"/>
      <c r="D312" s="109"/>
      <c r="E312" s="109"/>
      <c r="F312" s="109"/>
      <c r="G312" s="109"/>
      <c r="H312" s="109"/>
      <c r="I312" s="111"/>
      <c r="J312" s="111"/>
      <c r="K312" s="112"/>
      <c r="L312" s="112"/>
      <c r="M312" s="112"/>
      <c r="N312" s="112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</row>
    <row r="313" spans="1:30" ht="12" customHeight="1">
      <c r="A313" s="108"/>
      <c r="B313" s="108"/>
      <c r="C313" s="109"/>
      <c r="D313" s="109"/>
      <c r="E313" s="109"/>
      <c r="F313" s="109"/>
      <c r="G313" s="109"/>
      <c r="H313" s="109"/>
      <c r="I313" s="111"/>
      <c r="J313" s="111"/>
      <c r="K313" s="112"/>
      <c r="L313" s="112"/>
      <c r="M313" s="112"/>
      <c r="N313" s="112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</row>
    <row r="314" spans="1:30" ht="12" customHeight="1">
      <c r="A314" s="108"/>
      <c r="B314" s="108"/>
      <c r="C314" s="109"/>
      <c r="D314" s="109"/>
      <c r="E314" s="109"/>
      <c r="F314" s="109"/>
      <c r="G314" s="109"/>
      <c r="H314" s="109"/>
      <c r="I314" s="111"/>
      <c r="J314" s="111"/>
      <c r="K314" s="112"/>
      <c r="L314" s="112"/>
      <c r="M314" s="112"/>
      <c r="N314" s="112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</row>
    <row r="315" spans="1:30" ht="12" customHeight="1">
      <c r="A315" s="108"/>
      <c r="B315" s="108"/>
      <c r="C315" s="109"/>
      <c r="D315" s="109"/>
      <c r="E315" s="109"/>
      <c r="F315" s="109"/>
      <c r="G315" s="109"/>
      <c r="H315" s="109"/>
      <c r="I315" s="111"/>
      <c r="J315" s="111"/>
      <c r="K315" s="112"/>
      <c r="L315" s="112"/>
      <c r="M315" s="112"/>
      <c r="N315" s="112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</row>
    <row r="316" spans="1:30" ht="12" customHeight="1">
      <c r="A316" s="108"/>
      <c r="B316" s="108"/>
      <c r="C316" s="109"/>
      <c r="D316" s="109"/>
      <c r="E316" s="109"/>
      <c r="F316" s="109"/>
      <c r="G316" s="109"/>
      <c r="H316" s="109"/>
      <c r="I316" s="111"/>
      <c r="J316" s="111"/>
      <c r="K316" s="112"/>
      <c r="L316" s="112"/>
      <c r="M316" s="112"/>
      <c r="N316" s="112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</row>
    <row r="317" spans="1:30" ht="12" customHeight="1">
      <c r="A317" s="108"/>
      <c r="B317" s="108"/>
      <c r="C317" s="109"/>
      <c r="D317" s="109"/>
      <c r="E317" s="109"/>
      <c r="F317" s="109"/>
      <c r="G317" s="109"/>
      <c r="H317" s="109"/>
      <c r="I317" s="111"/>
      <c r="J317" s="111"/>
      <c r="K317" s="112"/>
      <c r="L317" s="112"/>
      <c r="M317" s="112"/>
      <c r="N317" s="112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</row>
    <row r="318" spans="1:30" ht="12" customHeight="1">
      <c r="A318" s="108"/>
      <c r="B318" s="108"/>
      <c r="C318" s="109"/>
      <c r="D318" s="109"/>
      <c r="E318" s="109"/>
      <c r="F318" s="109"/>
      <c r="G318" s="109"/>
      <c r="H318" s="109"/>
      <c r="I318" s="111"/>
      <c r="J318" s="111"/>
      <c r="K318" s="112"/>
      <c r="L318" s="112"/>
      <c r="M318" s="112"/>
      <c r="N318" s="112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</row>
    <row r="319" spans="1:30" ht="12" customHeight="1">
      <c r="A319" s="108"/>
      <c r="B319" s="108"/>
      <c r="C319" s="109"/>
      <c r="D319" s="109"/>
      <c r="E319" s="109"/>
      <c r="F319" s="109"/>
      <c r="G319" s="109"/>
      <c r="H319" s="109"/>
      <c r="I319" s="111"/>
      <c r="J319" s="111"/>
      <c r="K319" s="112"/>
      <c r="L319" s="112"/>
      <c r="M319" s="112"/>
      <c r="N319" s="112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</row>
    <row r="320" spans="1:30" ht="12" customHeight="1">
      <c r="A320" s="108"/>
      <c r="B320" s="108"/>
      <c r="C320" s="109"/>
      <c r="D320" s="109"/>
      <c r="E320" s="109"/>
      <c r="F320" s="109"/>
      <c r="G320" s="109"/>
      <c r="H320" s="109"/>
      <c r="I320" s="111"/>
      <c r="J320" s="111"/>
      <c r="K320" s="112"/>
      <c r="L320" s="112"/>
      <c r="M320" s="112"/>
      <c r="N320" s="112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</row>
    <row r="321" spans="1:30" ht="12" customHeight="1">
      <c r="A321" s="108"/>
      <c r="B321" s="108"/>
      <c r="C321" s="109"/>
      <c r="D321" s="109"/>
      <c r="E321" s="109"/>
      <c r="F321" s="109"/>
      <c r="G321" s="109"/>
      <c r="H321" s="109"/>
      <c r="I321" s="111"/>
      <c r="J321" s="111"/>
      <c r="K321" s="112"/>
      <c r="L321" s="112"/>
      <c r="M321" s="112"/>
      <c r="N321" s="112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</row>
    <row r="322" spans="1:30" ht="12" customHeight="1">
      <c r="A322" s="108"/>
      <c r="B322" s="108"/>
      <c r="C322" s="109"/>
      <c r="D322" s="109"/>
      <c r="E322" s="109"/>
      <c r="F322" s="109"/>
      <c r="G322" s="109"/>
      <c r="H322" s="109"/>
      <c r="I322" s="111"/>
      <c r="J322" s="111"/>
      <c r="K322" s="112"/>
      <c r="L322" s="112"/>
      <c r="M322" s="112"/>
      <c r="N322" s="112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</row>
    <row r="323" spans="1:30" ht="12" customHeight="1">
      <c r="A323" s="108"/>
      <c r="B323" s="108"/>
      <c r="C323" s="109"/>
      <c r="D323" s="109"/>
      <c r="E323" s="109"/>
      <c r="F323" s="109"/>
      <c r="G323" s="109"/>
      <c r="H323" s="109"/>
      <c r="I323" s="111"/>
      <c r="J323" s="111"/>
      <c r="K323" s="112"/>
      <c r="L323" s="112"/>
      <c r="M323" s="112"/>
      <c r="N323" s="112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</row>
    <row r="324" spans="1:30" ht="12" customHeight="1">
      <c r="A324" s="108"/>
      <c r="B324" s="108"/>
      <c r="C324" s="109"/>
      <c r="D324" s="109"/>
      <c r="E324" s="109"/>
      <c r="F324" s="109"/>
      <c r="G324" s="109"/>
      <c r="H324" s="109"/>
      <c r="I324" s="111"/>
      <c r="J324" s="111"/>
      <c r="K324" s="112"/>
      <c r="L324" s="112"/>
      <c r="M324" s="112"/>
      <c r="N324" s="112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</row>
    <row r="325" spans="1:30" ht="12" customHeight="1">
      <c r="A325" s="108"/>
      <c r="B325" s="108"/>
      <c r="C325" s="109"/>
      <c r="D325" s="109"/>
      <c r="E325" s="109"/>
      <c r="F325" s="109"/>
      <c r="G325" s="109"/>
      <c r="H325" s="109"/>
      <c r="I325" s="111"/>
      <c r="J325" s="111"/>
      <c r="K325" s="112"/>
      <c r="L325" s="112"/>
      <c r="M325" s="112"/>
      <c r="N325" s="112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</row>
    <row r="326" spans="1:30" ht="12" customHeight="1">
      <c r="A326" s="108"/>
      <c r="B326" s="108"/>
      <c r="C326" s="109"/>
      <c r="D326" s="109"/>
      <c r="E326" s="109"/>
      <c r="F326" s="109"/>
      <c r="G326" s="109"/>
      <c r="H326" s="109"/>
      <c r="I326" s="111"/>
      <c r="J326" s="111"/>
      <c r="K326" s="112"/>
      <c r="L326" s="112"/>
      <c r="M326" s="112"/>
      <c r="N326" s="112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</row>
    <row r="327" spans="1:30" ht="12" customHeight="1">
      <c r="A327" s="108"/>
      <c r="B327" s="108"/>
      <c r="C327" s="109"/>
      <c r="D327" s="109"/>
      <c r="E327" s="109"/>
      <c r="F327" s="109"/>
      <c r="G327" s="109"/>
      <c r="H327" s="109"/>
      <c r="I327" s="111"/>
      <c r="J327" s="111"/>
      <c r="K327" s="112"/>
      <c r="L327" s="112"/>
      <c r="M327" s="112"/>
      <c r="N327" s="112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</row>
    <row r="328" spans="1:30" ht="12" customHeight="1">
      <c r="A328" s="108"/>
      <c r="B328" s="108"/>
      <c r="C328" s="109"/>
      <c r="D328" s="109"/>
      <c r="E328" s="109"/>
      <c r="F328" s="109"/>
      <c r="G328" s="109"/>
      <c r="H328" s="109"/>
      <c r="I328" s="111"/>
      <c r="J328" s="111"/>
      <c r="K328" s="112"/>
      <c r="L328" s="112"/>
      <c r="M328" s="112"/>
      <c r="N328" s="112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</row>
    <row r="329" spans="1:30" ht="12" customHeight="1">
      <c r="A329" s="108"/>
      <c r="B329" s="108"/>
      <c r="C329" s="109"/>
      <c r="D329" s="109"/>
      <c r="E329" s="109"/>
      <c r="F329" s="109"/>
      <c r="G329" s="109"/>
      <c r="H329" s="109"/>
      <c r="I329" s="111"/>
      <c r="J329" s="111"/>
      <c r="K329" s="112"/>
      <c r="L329" s="112"/>
      <c r="M329" s="112"/>
      <c r="N329" s="112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</row>
    <row r="330" spans="1:30" ht="12" customHeight="1">
      <c r="A330" s="108"/>
      <c r="B330" s="108"/>
      <c r="C330" s="109"/>
      <c r="D330" s="109"/>
      <c r="E330" s="109"/>
      <c r="F330" s="109"/>
      <c r="G330" s="109"/>
      <c r="H330" s="109"/>
      <c r="I330" s="111"/>
      <c r="J330" s="111"/>
      <c r="K330" s="112"/>
      <c r="L330" s="112"/>
      <c r="M330" s="112"/>
      <c r="N330" s="112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</row>
    <row r="331" spans="1:30" ht="12" customHeight="1">
      <c r="A331" s="108"/>
      <c r="B331" s="108"/>
      <c r="C331" s="109"/>
      <c r="D331" s="109"/>
      <c r="E331" s="109"/>
      <c r="F331" s="109"/>
      <c r="G331" s="109"/>
      <c r="H331" s="109"/>
      <c r="I331" s="111"/>
      <c r="J331" s="111"/>
      <c r="K331" s="112"/>
      <c r="L331" s="112"/>
      <c r="M331" s="112"/>
      <c r="N331" s="112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</row>
    <row r="332" spans="1:30" ht="12" customHeight="1">
      <c r="A332" s="108"/>
      <c r="B332" s="108"/>
      <c r="C332" s="109"/>
      <c r="D332" s="109"/>
      <c r="E332" s="109"/>
      <c r="F332" s="109"/>
      <c r="G332" s="109"/>
      <c r="H332" s="109"/>
      <c r="I332" s="111"/>
      <c r="J332" s="111"/>
      <c r="K332" s="112"/>
      <c r="L332" s="112"/>
      <c r="M332" s="112"/>
      <c r="N332" s="112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</row>
    <row r="333" spans="1:30" ht="12" customHeight="1">
      <c r="A333" s="108"/>
      <c r="B333" s="108"/>
      <c r="C333" s="109"/>
      <c r="D333" s="109"/>
      <c r="E333" s="109"/>
      <c r="F333" s="109"/>
      <c r="G333" s="109"/>
      <c r="H333" s="109"/>
      <c r="I333" s="111"/>
      <c r="J333" s="111"/>
      <c r="K333" s="112"/>
      <c r="L333" s="112"/>
      <c r="M333" s="112"/>
      <c r="N333" s="112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</row>
    <row r="334" spans="1:30" ht="12" customHeight="1">
      <c r="A334" s="108"/>
      <c r="B334" s="108"/>
      <c r="C334" s="109"/>
      <c r="D334" s="109"/>
      <c r="E334" s="109"/>
      <c r="F334" s="109"/>
      <c r="G334" s="109"/>
      <c r="H334" s="109"/>
      <c r="I334" s="111"/>
      <c r="J334" s="111"/>
      <c r="K334" s="112"/>
      <c r="L334" s="112"/>
      <c r="M334" s="112"/>
      <c r="N334" s="112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</row>
    <row r="335" spans="1:30" ht="12" customHeight="1">
      <c r="A335" s="108"/>
      <c r="B335" s="108"/>
      <c r="C335" s="109"/>
      <c r="D335" s="109"/>
      <c r="E335" s="109"/>
      <c r="F335" s="109"/>
      <c r="G335" s="109"/>
      <c r="H335" s="109"/>
      <c r="I335" s="111"/>
      <c r="J335" s="111"/>
      <c r="K335" s="112"/>
      <c r="L335" s="112"/>
      <c r="M335" s="112"/>
      <c r="N335" s="112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</row>
    <row r="336" spans="1:30" ht="12" customHeight="1">
      <c r="A336" s="108"/>
      <c r="B336" s="108"/>
      <c r="C336" s="109"/>
      <c r="D336" s="109"/>
      <c r="E336" s="109"/>
      <c r="F336" s="109"/>
      <c r="G336" s="109"/>
      <c r="H336" s="109"/>
      <c r="I336" s="111"/>
      <c r="J336" s="111"/>
      <c r="K336" s="112"/>
      <c r="L336" s="112"/>
      <c r="M336" s="112"/>
      <c r="N336" s="112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</row>
    <row r="337" spans="1:30" ht="12" customHeight="1">
      <c r="A337" s="108"/>
      <c r="B337" s="108"/>
      <c r="C337" s="109"/>
      <c r="D337" s="109"/>
      <c r="E337" s="109"/>
      <c r="F337" s="109"/>
      <c r="G337" s="109"/>
      <c r="H337" s="109"/>
      <c r="I337" s="111"/>
      <c r="J337" s="111"/>
      <c r="K337" s="112"/>
      <c r="L337" s="112"/>
      <c r="M337" s="112"/>
      <c r="N337" s="112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</row>
    <row r="338" spans="1:30" ht="12" customHeight="1">
      <c r="A338" s="108"/>
      <c r="B338" s="108"/>
      <c r="C338" s="109"/>
      <c r="D338" s="109"/>
      <c r="E338" s="109"/>
      <c r="F338" s="109"/>
      <c r="G338" s="109"/>
      <c r="H338" s="109"/>
      <c r="I338" s="111"/>
      <c r="J338" s="111"/>
      <c r="K338" s="112"/>
      <c r="L338" s="112"/>
      <c r="M338" s="112"/>
      <c r="N338" s="112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</row>
    <row r="339" spans="1:30" ht="12" customHeight="1">
      <c r="A339" s="108"/>
      <c r="B339" s="108"/>
      <c r="C339" s="109"/>
      <c r="D339" s="109"/>
      <c r="E339" s="109"/>
      <c r="F339" s="109"/>
      <c r="G339" s="109"/>
      <c r="H339" s="109"/>
      <c r="I339" s="111"/>
      <c r="J339" s="111"/>
      <c r="K339" s="112"/>
      <c r="L339" s="112"/>
      <c r="M339" s="112"/>
      <c r="N339" s="112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</row>
    <row r="340" spans="1:30" ht="12" customHeight="1">
      <c r="A340" s="108"/>
      <c r="B340" s="108"/>
      <c r="C340" s="109"/>
      <c r="D340" s="109"/>
      <c r="E340" s="109"/>
      <c r="F340" s="109"/>
      <c r="G340" s="109"/>
      <c r="H340" s="109"/>
      <c r="I340" s="111"/>
      <c r="J340" s="111"/>
      <c r="K340" s="112"/>
      <c r="L340" s="112"/>
      <c r="M340" s="112"/>
      <c r="N340" s="112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</row>
    <row r="341" spans="1:30" ht="12" customHeight="1">
      <c r="A341" s="108"/>
      <c r="B341" s="108"/>
      <c r="C341" s="109"/>
      <c r="D341" s="109"/>
      <c r="E341" s="109"/>
      <c r="F341" s="109"/>
      <c r="G341" s="109"/>
      <c r="H341" s="109"/>
      <c r="I341" s="111"/>
      <c r="J341" s="111"/>
      <c r="K341" s="112"/>
      <c r="L341" s="112"/>
      <c r="M341" s="112"/>
      <c r="N341" s="112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</row>
    <row r="342" spans="1:30" ht="12" customHeight="1">
      <c r="A342" s="108"/>
      <c r="B342" s="108"/>
      <c r="C342" s="109"/>
      <c r="D342" s="109"/>
      <c r="E342" s="109"/>
      <c r="F342" s="109"/>
      <c r="G342" s="109"/>
      <c r="H342" s="109"/>
      <c r="I342" s="111"/>
      <c r="J342" s="111"/>
      <c r="K342" s="112"/>
      <c r="L342" s="112"/>
      <c r="M342" s="112"/>
      <c r="N342" s="112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</row>
    <row r="343" spans="1:30" ht="12" customHeight="1">
      <c r="A343" s="108"/>
      <c r="B343" s="108"/>
      <c r="C343" s="109"/>
      <c r="D343" s="109"/>
      <c r="E343" s="109"/>
      <c r="F343" s="109"/>
      <c r="G343" s="109"/>
      <c r="H343" s="109"/>
      <c r="I343" s="111"/>
      <c r="J343" s="111"/>
      <c r="K343" s="112"/>
      <c r="L343" s="112"/>
      <c r="M343" s="112"/>
      <c r="N343" s="112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</row>
    <row r="344" spans="1:30" ht="12" customHeight="1">
      <c r="A344" s="108"/>
      <c r="B344" s="108"/>
      <c r="C344" s="109"/>
      <c r="D344" s="109"/>
      <c r="E344" s="109"/>
      <c r="F344" s="109"/>
      <c r="G344" s="109"/>
      <c r="H344" s="109"/>
      <c r="I344" s="111"/>
      <c r="J344" s="111"/>
      <c r="K344" s="112"/>
      <c r="L344" s="112"/>
      <c r="M344" s="112"/>
      <c r="N344" s="112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</row>
    <row r="345" spans="1:30" ht="12" customHeight="1">
      <c r="A345" s="108"/>
      <c r="B345" s="108"/>
      <c r="C345" s="109"/>
      <c r="D345" s="109"/>
      <c r="E345" s="109"/>
      <c r="F345" s="109"/>
      <c r="G345" s="109"/>
      <c r="H345" s="109"/>
      <c r="I345" s="111"/>
      <c r="J345" s="111"/>
      <c r="K345" s="112"/>
      <c r="L345" s="112"/>
      <c r="M345" s="112"/>
      <c r="N345" s="112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</row>
    <row r="346" spans="1:30" ht="12" customHeight="1">
      <c r="A346" s="108"/>
      <c r="B346" s="108"/>
      <c r="C346" s="109"/>
      <c r="D346" s="109"/>
      <c r="E346" s="109"/>
      <c r="F346" s="109"/>
      <c r="G346" s="109"/>
      <c r="H346" s="109"/>
      <c r="I346" s="111"/>
      <c r="J346" s="111"/>
      <c r="K346" s="112"/>
      <c r="L346" s="112"/>
      <c r="M346" s="112"/>
      <c r="N346" s="112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</row>
    <row r="347" spans="1:30" ht="12" customHeight="1">
      <c r="A347" s="108"/>
      <c r="B347" s="108"/>
      <c r="C347" s="109"/>
      <c r="D347" s="109"/>
      <c r="E347" s="109"/>
      <c r="F347" s="109"/>
      <c r="G347" s="109"/>
      <c r="H347" s="109"/>
      <c r="I347" s="111"/>
      <c r="J347" s="111"/>
      <c r="K347" s="112"/>
      <c r="L347" s="112"/>
      <c r="M347" s="112"/>
      <c r="N347" s="112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</row>
    <row r="348" spans="1:30" ht="12" customHeight="1">
      <c r="A348" s="108"/>
      <c r="B348" s="108"/>
      <c r="C348" s="109"/>
      <c r="D348" s="109"/>
      <c r="E348" s="109"/>
      <c r="F348" s="109"/>
      <c r="G348" s="109"/>
      <c r="H348" s="109"/>
      <c r="I348" s="111"/>
      <c r="J348" s="111"/>
      <c r="K348" s="112"/>
      <c r="L348" s="112"/>
      <c r="M348" s="112"/>
      <c r="N348" s="112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</row>
    <row r="349" spans="1:30" ht="12" customHeight="1">
      <c r="A349" s="108"/>
      <c r="B349" s="108"/>
      <c r="C349" s="109"/>
      <c r="D349" s="109"/>
      <c r="E349" s="109"/>
      <c r="F349" s="109"/>
      <c r="G349" s="109"/>
      <c r="H349" s="109"/>
      <c r="I349" s="111"/>
      <c r="J349" s="111"/>
      <c r="K349" s="112"/>
      <c r="L349" s="112"/>
      <c r="M349" s="112"/>
      <c r="N349" s="112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</row>
    <row r="350" spans="1:30" ht="12" customHeight="1">
      <c r="A350" s="108"/>
      <c r="B350" s="108"/>
      <c r="C350" s="109"/>
      <c r="D350" s="109"/>
      <c r="E350" s="109"/>
      <c r="F350" s="109"/>
      <c r="G350" s="109"/>
      <c r="H350" s="109"/>
      <c r="I350" s="111"/>
      <c r="J350" s="111"/>
      <c r="K350" s="112"/>
      <c r="L350" s="112"/>
      <c r="M350" s="112"/>
      <c r="N350" s="112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</row>
    <row r="351" spans="1:30" ht="12" customHeight="1">
      <c r="A351" s="108"/>
      <c r="B351" s="108"/>
      <c r="C351" s="109"/>
      <c r="D351" s="109"/>
      <c r="E351" s="109"/>
      <c r="F351" s="109"/>
      <c r="G351" s="109"/>
      <c r="H351" s="109"/>
      <c r="I351" s="111"/>
      <c r="J351" s="111"/>
      <c r="K351" s="112"/>
      <c r="L351" s="112"/>
      <c r="M351" s="112"/>
      <c r="N351" s="112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</row>
    <row r="352" spans="1:30" ht="12" customHeight="1">
      <c r="A352" s="108"/>
      <c r="B352" s="108"/>
      <c r="C352" s="109"/>
      <c r="D352" s="109"/>
      <c r="E352" s="109"/>
      <c r="F352" s="109"/>
      <c r="G352" s="109"/>
      <c r="H352" s="109"/>
      <c r="I352" s="111"/>
      <c r="J352" s="111"/>
      <c r="K352" s="112"/>
      <c r="L352" s="112"/>
      <c r="M352" s="112"/>
      <c r="N352" s="112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</row>
    <row r="353" spans="1:30" ht="12" customHeight="1">
      <c r="A353" s="108"/>
      <c r="B353" s="108"/>
      <c r="C353" s="109"/>
      <c r="D353" s="109"/>
      <c r="E353" s="109"/>
      <c r="F353" s="109"/>
      <c r="G353" s="109"/>
      <c r="H353" s="109"/>
      <c r="I353" s="111"/>
      <c r="J353" s="111"/>
      <c r="K353" s="112"/>
      <c r="L353" s="112"/>
      <c r="M353" s="112"/>
      <c r="N353" s="112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</row>
    <row r="354" spans="1:30" ht="12" customHeight="1">
      <c r="A354" s="108"/>
      <c r="B354" s="108"/>
      <c r="C354" s="109"/>
      <c r="D354" s="109"/>
      <c r="E354" s="109"/>
      <c r="F354" s="109"/>
      <c r="G354" s="109"/>
      <c r="H354" s="109"/>
      <c r="I354" s="111"/>
      <c r="J354" s="111"/>
      <c r="K354" s="112"/>
      <c r="L354" s="112"/>
      <c r="M354" s="112"/>
      <c r="N354" s="112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</row>
    <row r="355" spans="1:30" ht="12" customHeight="1">
      <c r="A355" s="108"/>
      <c r="B355" s="108"/>
      <c r="C355" s="109"/>
      <c r="D355" s="109"/>
      <c r="E355" s="109"/>
      <c r="F355" s="109"/>
      <c r="G355" s="109"/>
      <c r="H355" s="109"/>
      <c r="I355" s="111"/>
      <c r="J355" s="111"/>
      <c r="K355" s="112"/>
      <c r="L355" s="112"/>
      <c r="M355" s="112"/>
      <c r="N355" s="112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</row>
    <row r="356" spans="1:30" ht="12" customHeight="1">
      <c r="A356" s="108"/>
      <c r="B356" s="108"/>
      <c r="C356" s="109"/>
      <c r="D356" s="109"/>
      <c r="E356" s="109"/>
      <c r="F356" s="109"/>
      <c r="G356" s="109"/>
      <c r="H356" s="109"/>
      <c r="I356" s="111"/>
      <c r="J356" s="111"/>
      <c r="K356" s="112"/>
      <c r="L356" s="112"/>
      <c r="M356" s="112"/>
      <c r="N356" s="112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</row>
    <row r="357" spans="1:30" ht="12" customHeight="1">
      <c r="A357" s="108"/>
      <c r="B357" s="108"/>
      <c r="C357" s="109"/>
      <c r="D357" s="109"/>
      <c r="E357" s="109"/>
      <c r="F357" s="109"/>
      <c r="G357" s="109"/>
      <c r="H357" s="109"/>
      <c r="I357" s="111"/>
      <c r="J357" s="111"/>
      <c r="K357" s="112"/>
      <c r="L357" s="112"/>
      <c r="M357" s="112"/>
      <c r="N357" s="112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</row>
    <row r="358" spans="1:30" ht="12" customHeight="1">
      <c r="A358" s="108"/>
      <c r="B358" s="108"/>
      <c r="C358" s="109"/>
      <c r="D358" s="109"/>
      <c r="E358" s="109"/>
      <c r="F358" s="109"/>
      <c r="G358" s="109"/>
      <c r="H358" s="109"/>
      <c r="I358" s="111"/>
      <c r="J358" s="111"/>
      <c r="K358" s="112"/>
      <c r="L358" s="112"/>
      <c r="M358" s="112"/>
      <c r="N358" s="112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</row>
    <row r="359" spans="1:30" ht="12" customHeight="1">
      <c r="A359" s="108"/>
      <c r="B359" s="108"/>
      <c r="C359" s="109"/>
      <c r="D359" s="109"/>
      <c r="E359" s="109"/>
      <c r="F359" s="109"/>
      <c r="G359" s="109"/>
      <c r="H359" s="109"/>
      <c r="I359" s="111"/>
      <c r="J359" s="111"/>
      <c r="K359" s="112"/>
      <c r="L359" s="112"/>
      <c r="M359" s="112"/>
      <c r="N359" s="112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</row>
    <row r="360" spans="1:30" ht="12" customHeight="1">
      <c r="A360" s="108"/>
      <c r="B360" s="108"/>
      <c r="C360" s="109"/>
      <c r="D360" s="109"/>
      <c r="E360" s="109"/>
      <c r="F360" s="109"/>
      <c r="G360" s="109"/>
      <c r="H360" s="109"/>
      <c r="I360" s="111"/>
      <c r="J360" s="111"/>
      <c r="K360" s="112"/>
      <c r="L360" s="112"/>
      <c r="M360" s="112"/>
      <c r="N360" s="112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</row>
    <row r="361" spans="1:30" ht="12" customHeight="1">
      <c r="A361" s="108"/>
      <c r="B361" s="108"/>
      <c r="C361" s="109"/>
      <c r="D361" s="109"/>
      <c r="E361" s="109"/>
      <c r="F361" s="109"/>
      <c r="G361" s="109"/>
      <c r="H361" s="109"/>
      <c r="I361" s="111"/>
      <c r="J361" s="111"/>
      <c r="K361" s="112"/>
      <c r="L361" s="112"/>
      <c r="M361" s="112"/>
      <c r="N361" s="112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</row>
    <row r="362" spans="1:30" ht="12" customHeight="1">
      <c r="A362" s="108"/>
      <c r="B362" s="108"/>
      <c r="C362" s="109"/>
      <c r="D362" s="109"/>
      <c r="E362" s="109"/>
      <c r="F362" s="109"/>
      <c r="G362" s="109"/>
      <c r="H362" s="109"/>
      <c r="I362" s="111"/>
      <c r="J362" s="111"/>
      <c r="K362" s="112"/>
      <c r="L362" s="112"/>
      <c r="M362" s="112"/>
      <c r="N362" s="112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</row>
    <row r="363" spans="1:30" ht="12" customHeight="1">
      <c r="A363" s="108"/>
      <c r="B363" s="108"/>
      <c r="C363" s="109"/>
      <c r="D363" s="109"/>
      <c r="E363" s="109"/>
      <c r="F363" s="109"/>
      <c r="G363" s="109"/>
      <c r="H363" s="109"/>
      <c r="I363" s="111"/>
      <c r="J363" s="111"/>
      <c r="K363" s="112"/>
      <c r="L363" s="112"/>
      <c r="M363" s="112"/>
      <c r="N363" s="112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</row>
    <row r="364" spans="1:30" ht="12" customHeight="1">
      <c r="A364" s="108"/>
      <c r="B364" s="108"/>
      <c r="C364" s="109"/>
      <c r="D364" s="109"/>
      <c r="E364" s="109"/>
      <c r="F364" s="109"/>
      <c r="G364" s="109"/>
      <c r="H364" s="109"/>
      <c r="I364" s="111"/>
      <c r="J364" s="111"/>
      <c r="K364" s="112"/>
      <c r="L364" s="112"/>
      <c r="M364" s="112"/>
      <c r="N364" s="112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</row>
    <row r="365" spans="1:30" ht="12" customHeight="1">
      <c r="A365" s="108"/>
      <c r="B365" s="108"/>
      <c r="C365" s="109"/>
      <c r="D365" s="109"/>
      <c r="E365" s="109"/>
      <c r="F365" s="109"/>
      <c r="G365" s="109"/>
      <c r="H365" s="109"/>
      <c r="I365" s="111"/>
      <c r="J365" s="111"/>
      <c r="K365" s="112"/>
      <c r="L365" s="112"/>
      <c r="M365" s="112"/>
      <c r="N365" s="112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</row>
    <row r="366" spans="1:30" ht="12" customHeight="1">
      <c r="A366" s="108"/>
      <c r="B366" s="108"/>
      <c r="C366" s="109"/>
      <c r="D366" s="109"/>
      <c r="E366" s="109"/>
      <c r="F366" s="109"/>
      <c r="G366" s="109"/>
      <c r="H366" s="109"/>
      <c r="I366" s="111"/>
      <c r="J366" s="111"/>
      <c r="K366" s="112"/>
      <c r="L366" s="112"/>
      <c r="M366" s="112"/>
      <c r="N366" s="112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</row>
    <row r="367" spans="1:30" ht="12" customHeight="1">
      <c r="A367" s="108"/>
      <c r="B367" s="108"/>
      <c r="C367" s="109"/>
      <c r="D367" s="109"/>
      <c r="E367" s="109"/>
      <c r="F367" s="109"/>
      <c r="G367" s="109"/>
      <c r="H367" s="109"/>
      <c r="I367" s="111"/>
      <c r="J367" s="111"/>
      <c r="K367" s="112"/>
      <c r="L367" s="112"/>
      <c r="M367" s="112"/>
      <c r="N367" s="112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</row>
    <row r="368" spans="1:30" ht="12" customHeight="1">
      <c r="A368" s="108"/>
      <c r="B368" s="108"/>
      <c r="C368" s="109"/>
      <c r="D368" s="109"/>
      <c r="E368" s="109"/>
      <c r="F368" s="109"/>
      <c r="G368" s="109"/>
      <c r="H368" s="109"/>
      <c r="I368" s="111"/>
      <c r="J368" s="111"/>
      <c r="K368" s="112"/>
      <c r="L368" s="112"/>
      <c r="M368" s="112"/>
      <c r="N368" s="112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</row>
    <row r="369" spans="1:30" ht="12" customHeight="1">
      <c r="A369" s="108"/>
      <c r="B369" s="108"/>
      <c r="C369" s="109"/>
      <c r="D369" s="109"/>
      <c r="E369" s="109"/>
      <c r="F369" s="109"/>
      <c r="G369" s="109"/>
      <c r="H369" s="109"/>
      <c r="I369" s="111"/>
      <c r="J369" s="111"/>
      <c r="K369" s="112"/>
      <c r="L369" s="112"/>
      <c r="M369" s="112"/>
      <c r="N369" s="112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</row>
    <row r="370" spans="1:30" ht="12" customHeight="1">
      <c r="A370" s="108"/>
      <c r="B370" s="108"/>
      <c r="C370" s="109"/>
      <c r="D370" s="109"/>
      <c r="E370" s="109"/>
      <c r="F370" s="109"/>
      <c r="G370" s="109"/>
      <c r="H370" s="109"/>
      <c r="I370" s="111"/>
      <c r="J370" s="111"/>
      <c r="K370" s="112"/>
      <c r="L370" s="112"/>
      <c r="M370" s="112"/>
      <c r="N370" s="112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</row>
    <row r="371" spans="1:30" ht="12" customHeight="1">
      <c r="A371" s="108"/>
      <c r="B371" s="108"/>
      <c r="C371" s="109"/>
      <c r="D371" s="109"/>
      <c r="E371" s="109"/>
      <c r="F371" s="109"/>
      <c r="G371" s="109"/>
      <c r="H371" s="109"/>
      <c r="I371" s="111"/>
      <c r="J371" s="111"/>
      <c r="K371" s="112"/>
      <c r="L371" s="112"/>
      <c r="M371" s="112"/>
      <c r="N371" s="112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</row>
    <row r="372" spans="1:30" ht="12" customHeight="1">
      <c r="A372" s="108"/>
      <c r="B372" s="108"/>
      <c r="C372" s="109"/>
      <c r="D372" s="109"/>
      <c r="E372" s="109"/>
      <c r="F372" s="109"/>
      <c r="G372" s="109"/>
      <c r="H372" s="109"/>
      <c r="I372" s="111"/>
      <c r="J372" s="111"/>
      <c r="K372" s="112"/>
      <c r="L372" s="112"/>
      <c r="M372" s="112"/>
      <c r="N372" s="112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</row>
    <row r="373" spans="1:30" ht="12" customHeight="1">
      <c r="A373" s="108"/>
      <c r="B373" s="108"/>
      <c r="C373" s="109"/>
      <c r="D373" s="109"/>
      <c r="E373" s="109"/>
      <c r="F373" s="109"/>
      <c r="G373" s="109"/>
      <c r="H373" s="109"/>
      <c r="I373" s="111"/>
      <c r="J373" s="111"/>
      <c r="K373" s="112"/>
      <c r="L373" s="112"/>
      <c r="M373" s="112"/>
      <c r="N373" s="112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</row>
    <row r="374" spans="1:30" ht="12" customHeight="1">
      <c r="A374" s="108"/>
      <c r="B374" s="108"/>
      <c r="C374" s="109"/>
      <c r="D374" s="109"/>
      <c r="E374" s="109"/>
      <c r="F374" s="109"/>
      <c r="G374" s="109"/>
      <c r="H374" s="109"/>
      <c r="I374" s="111"/>
      <c r="J374" s="111"/>
      <c r="K374" s="112"/>
      <c r="L374" s="112"/>
      <c r="M374" s="112"/>
      <c r="N374" s="112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</row>
    <row r="375" spans="1:30" ht="12" customHeight="1">
      <c r="A375" s="108"/>
      <c r="B375" s="108"/>
      <c r="C375" s="109"/>
      <c r="D375" s="109"/>
      <c r="E375" s="109"/>
      <c r="F375" s="109"/>
      <c r="G375" s="109"/>
      <c r="H375" s="109"/>
      <c r="I375" s="111"/>
      <c r="J375" s="111"/>
      <c r="K375" s="112"/>
      <c r="L375" s="112"/>
      <c r="M375" s="112"/>
      <c r="N375" s="112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</row>
    <row r="376" spans="1:30" ht="12" customHeight="1">
      <c r="A376" s="108"/>
      <c r="B376" s="108"/>
      <c r="C376" s="109"/>
      <c r="D376" s="109"/>
      <c r="E376" s="109"/>
      <c r="F376" s="109"/>
      <c r="G376" s="109"/>
      <c r="H376" s="109"/>
      <c r="I376" s="111"/>
      <c r="J376" s="111"/>
      <c r="K376" s="112"/>
      <c r="L376" s="112"/>
      <c r="M376" s="112"/>
      <c r="N376" s="112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</row>
    <row r="377" spans="1:30" ht="12" customHeight="1">
      <c r="A377" s="108"/>
      <c r="B377" s="108"/>
      <c r="C377" s="109"/>
      <c r="D377" s="109"/>
      <c r="E377" s="109"/>
      <c r="F377" s="109"/>
      <c r="G377" s="109"/>
      <c r="H377" s="109"/>
      <c r="I377" s="111"/>
      <c r="J377" s="111"/>
      <c r="K377" s="112"/>
      <c r="L377" s="112"/>
      <c r="M377" s="112"/>
      <c r="N377" s="112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</row>
    <row r="378" spans="1:30" ht="12" customHeight="1">
      <c r="A378" s="108"/>
      <c r="B378" s="108"/>
      <c r="C378" s="109"/>
      <c r="D378" s="109"/>
      <c r="E378" s="109"/>
      <c r="F378" s="109"/>
      <c r="G378" s="109"/>
      <c r="H378" s="109"/>
      <c r="I378" s="111"/>
      <c r="J378" s="111"/>
      <c r="K378" s="112"/>
      <c r="L378" s="112"/>
      <c r="M378" s="112"/>
      <c r="N378" s="112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</row>
    <row r="379" spans="1:30" ht="12" customHeight="1">
      <c r="A379" s="108"/>
      <c r="B379" s="108"/>
      <c r="C379" s="109"/>
      <c r="D379" s="109"/>
      <c r="E379" s="109"/>
      <c r="F379" s="109"/>
      <c r="G379" s="109"/>
      <c r="H379" s="109"/>
      <c r="I379" s="111"/>
      <c r="J379" s="111"/>
      <c r="K379" s="112"/>
      <c r="L379" s="112"/>
      <c r="M379" s="112"/>
      <c r="N379" s="112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</row>
    <row r="380" spans="1:30" ht="12" customHeight="1">
      <c r="A380" s="108"/>
      <c r="B380" s="108"/>
      <c r="C380" s="109"/>
      <c r="D380" s="109"/>
      <c r="E380" s="109"/>
      <c r="F380" s="109"/>
      <c r="G380" s="109"/>
      <c r="H380" s="109"/>
      <c r="I380" s="111"/>
      <c r="J380" s="111"/>
      <c r="K380" s="112"/>
      <c r="L380" s="112"/>
      <c r="M380" s="112"/>
      <c r="N380" s="112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</row>
    <row r="381" spans="1:30" ht="12" customHeight="1">
      <c r="A381" s="108"/>
      <c r="B381" s="108"/>
      <c r="C381" s="109"/>
      <c r="D381" s="109"/>
      <c r="E381" s="109"/>
      <c r="F381" s="109"/>
      <c r="G381" s="109"/>
      <c r="H381" s="109"/>
      <c r="I381" s="111"/>
      <c r="J381" s="111"/>
      <c r="K381" s="112"/>
      <c r="L381" s="112"/>
      <c r="M381" s="112"/>
      <c r="N381" s="112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</row>
    <row r="382" spans="1:30" ht="12" customHeight="1">
      <c r="A382" s="108"/>
      <c r="B382" s="108"/>
      <c r="C382" s="109"/>
      <c r="D382" s="109"/>
      <c r="E382" s="109"/>
      <c r="F382" s="109"/>
      <c r="G382" s="109"/>
      <c r="H382" s="109"/>
      <c r="I382" s="111"/>
      <c r="J382" s="111"/>
      <c r="K382" s="112"/>
      <c r="L382" s="112"/>
      <c r="M382" s="112"/>
      <c r="N382" s="112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</row>
    <row r="383" spans="1:30" ht="12" customHeight="1">
      <c r="A383" s="108"/>
      <c r="B383" s="108"/>
      <c r="C383" s="109"/>
      <c r="D383" s="109"/>
      <c r="E383" s="109"/>
      <c r="F383" s="109"/>
      <c r="G383" s="109"/>
      <c r="H383" s="109"/>
      <c r="I383" s="111"/>
      <c r="J383" s="111"/>
      <c r="K383" s="112"/>
      <c r="L383" s="112"/>
      <c r="M383" s="112"/>
      <c r="N383" s="112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</row>
    <row r="384" spans="1:30" ht="12" customHeight="1">
      <c r="A384" s="108"/>
      <c r="B384" s="108"/>
      <c r="C384" s="109"/>
      <c r="D384" s="109"/>
      <c r="E384" s="109"/>
      <c r="F384" s="109"/>
      <c r="G384" s="109"/>
      <c r="H384" s="109"/>
      <c r="I384" s="111"/>
      <c r="J384" s="111"/>
      <c r="K384" s="112"/>
      <c r="L384" s="112"/>
      <c r="M384" s="112"/>
      <c r="N384" s="112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</row>
    <row r="385" spans="1:30" ht="12" customHeight="1">
      <c r="A385" s="108"/>
      <c r="B385" s="108"/>
      <c r="C385" s="109"/>
      <c r="D385" s="109"/>
      <c r="E385" s="109"/>
      <c r="F385" s="109"/>
      <c r="G385" s="109"/>
      <c r="H385" s="109"/>
      <c r="I385" s="111"/>
      <c r="J385" s="111"/>
      <c r="K385" s="112"/>
      <c r="L385" s="112"/>
      <c r="M385" s="112"/>
      <c r="N385" s="112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</row>
    <row r="386" spans="1:30" ht="12" customHeight="1">
      <c r="A386" s="108"/>
      <c r="B386" s="108"/>
      <c r="C386" s="109"/>
      <c r="D386" s="109"/>
      <c r="E386" s="109"/>
      <c r="F386" s="109"/>
      <c r="G386" s="109"/>
      <c r="H386" s="109"/>
      <c r="I386" s="111"/>
      <c r="J386" s="111"/>
      <c r="K386" s="112"/>
      <c r="L386" s="112"/>
      <c r="M386" s="112"/>
      <c r="N386" s="112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</row>
    <row r="387" spans="1:30" ht="12" customHeight="1">
      <c r="A387" s="108"/>
      <c r="B387" s="108"/>
      <c r="C387" s="109"/>
      <c r="D387" s="109"/>
      <c r="E387" s="109"/>
      <c r="F387" s="109"/>
      <c r="G387" s="109"/>
      <c r="H387" s="109"/>
      <c r="I387" s="111"/>
      <c r="J387" s="111"/>
      <c r="K387" s="112"/>
      <c r="L387" s="112"/>
      <c r="M387" s="112"/>
      <c r="N387" s="112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</row>
    <row r="388" spans="1:30" ht="12" customHeight="1">
      <c r="A388" s="108"/>
      <c r="B388" s="108"/>
      <c r="C388" s="109"/>
      <c r="D388" s="109"/>
      <c r="E388" s="109"/>
      <c r="F388" s="109"/>
      <c r="G388" s="109"/>
      <c r="H388" s="109"/>
      <c r="I388" s="111"/>
      <c r="J388" s="111"/>
      <c r="K388" s="112"/>
      <c r="L388" s="112"/>
      <c r="M388" s="112"/>
      <c r="N388" s="112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</row>
    <row r="389" spans="1:30" ht="12" customHeight="1">
      <c r="A389" s="108"/>
      <c r="B389" s="108"/>
      <c r="C389" s="109"/>
      <c r="D389" s="109"/>
      <c r="E389" s="109"/>
      <c r="F389" s="109"/>
      <c r="G389" s="109"/>
      <c r="H389" s="109"/>
      <c r="I389" s="111"/>
      <c r="J389" s="111"/>
      <c r="K389" s="112"/>
      <c r="L389" s="112"/>
      <c r="M389" s="112"/>
      <c r="N389" s="112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</row>
    <row r="390" spans="1:30" ht="12" customHeight="1">
      <c r="A390" s="108"/>
      <c r="B390" s="108"/>
      <c r="C390" s="109"/>
      <c r="D390" s="109"/>
      <c r="E390" s="109"/>
      <c r="F390" s="109"/>
      <c r="G390" s="109"/>
      <c r="H390" s="109"/>
      <c r="I390" s="111"/>
      <c r="J390" s="111"/>
      <c r="K390" s="112"/>
      <c r="L390" s="112"/>
      <c r="M390" s="112"/>
      <c r="N390" s="112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</row>
    <row r="391" spans="1:30" ht="12" customHeight="1">
      <c r="A391" s="108"/>
      <c r="B391" s="108"/>
      <c r="C391" s="109"/>
      <c r="D391" s="109"/>
      <c r="E391" s="109"/>
      <c r="F391" s="109"/>
      <c r="G391" s="109"/>
      <c r="H391" s="109"/>
      <c r="I391" s="111"/>
      <c r="J391" s="111"/>
      <c r="K391" s="112"/>
      <c r="L391" s="112"/>
      <c r="M391" s="112"/>
      <c r="N391" s="112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</row>
    <row r="392" spans="1:30" ht="12" customHeight="1">
      <c r="A392" s="108"/>
      <c r="B392" s="108"/>
      <c r="C392" s="109"/>
      <c r="D392" s="109"/>
      <c r="E392" s="109"/>
      <c r="F392" s="109"/>
      <c r="G392" s="109"/>
      <c r="H392" s="109"/>
      <c r="I392" s="111"/>
      <c r="J392" s="111"/>
      <c r="K392" s="112"/>
      <c r="L392" s="112"/>
      <c r="M392" s="112"/>
      <c r="N392" s="112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</row>
    <row r="393" spans="1:30" ht="12" customHeight="1">
      <c r="A393" s="108"/>
      <c r="B393" s="108"/>
      <c r="C393" s="109"/>
      <c r="D393" s="109"/>
      <c r="E393" s="109"/>
      <c r="F393" s="109"/>
      <c r="G393" s="109"/>
      <c r="H393" s="109"/>
      <c r="I393" s="111"/>
      <c r="J393" s="111"/>
      <c r="K393" s="112"/>
      <c r="L393" s="112"/>
      <c r="M393" s="112"/>
      <c r="N393" s="112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</row>
    <row r="394" spans="1:30" ht="12" customHeight="1">
      <c r="A394" s="108"/>
      <c r="B394" s="108"/>
      <c r="C394" s="109"/>
      <c r="D394" s="109"/>
      <c r="E394" s="109"/>
      <c r="F394" s="109"/>
      <c r="G394" s="109"/>
      <c r="H394" s="109"/>
      <c r="I394" s="111"/>
      <c r="J394" s="111"/>
      <c r="K394" s="112"/>
      <c r="L394" s="112"/>
      <c r="M394" s="112"/>
      <c r="N394" s="112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</row>
    <row r="395" spans="1:30" ht="12" customHeight="1">
      <c r="A395" s="108"/>
      <c r="B395" s="108"/>
      <c r="C395" s="109"/>
      <c r="D395" s="109"/>
      <c r="E395" s="109"/>
      <c r="F395" s="109"/>
      <c r="G395" s="109"/>
      <c r="H395" s="109"/>
      <c r="I395" s="111"/>
      <c r="J395" s="111"/>
      <c r="K395" s="112"/>
      <c r="L395" s="112"/>
      <c r="M395" s="112"/>
      <c r="N395" s="112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</row>
    <row r="396" spans="1:30" ht="12" customHeight="1">
      <c r="A396" s="108"/>
      <c r="B396" s="108"/>
      <c r="C396" s="109"/>
      <c r="D396" s="109"/>
      <c r="E396" s="109"/>
      <c r="F396" s="109"/>
      <c r="G396" s="109"/>
      <c r="H396" s="109"/>
      <c r="I396" s="111"/>
      <c r="J396" s="111"/>
      <c r="K396" s="112"/>
      <c r="L396" s="112"/>
      <c r="M396" s="112"/>
      <c r="N396" s="112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</row>
    <row r="397" spans="1:30" ht="12" customHeight="1">
      <c r="A397" s="108"/>
      <c r="B397" s="108"/>
      <c r="C397" s="109"/>
      <c r="D397" s="109"/>
      <c r="E397" s="109"/>
      <c r="F397" s="109"/>
      <c r="G397" s="109"/>
      <c r="H397" s="109"/>
      <c r="I397" s="111"/>
      <c r="J397" s="111"/>
      <c r="K397" s="112"/>
      <c r="L397" s="112"/>
      <c r="M397" s="112"/>
      <c r="N397" s="112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</row>
    <row r="398" spans="1:30" ht="12" customHeight="1">
      <c r="A398" s="108"/>
      <c r="B398" s="108"/>
      <c r="C398" s="109"/>
      <c r="D398" s="109"/>
      <c r="E398" s="109"/>
      <c r="F398" s="109"/>
      <c r="G398" s="109"/>
      <c r="H398" s="109"/>
      <c r="I398" s="111"/>
      <c r="J398" s="111"/>
      <c r="K398" s="112"/>
      <c r="L398" s="112"/>
      <c r="M398" s="112"/>
      <c r="N398" s="112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</row>
    <row r="399" spans="1:30" ht="12" customHeight="1">
      <c r="A399" s="108"/>
      <c r="B399" s="108"/>
      <c r="C399" s="109"/>
      <c r="D399" s="109"/>
      <c r="E399" s="109"/>
      <c r="F399" s="109"/>
      <c r="G399" s="109"/>
      <c r="H399" s="109"/>
      <c r="I399" s="111"/>
      <c r="J399" s="111"/>
      <c r="K399" s="112"/>
      <c r="L399" s="112"/>
      <c r="M399" s="112"/>
      <c r="N399" s="112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</row>
    <row r="400" spans="1:30" ht="12" customHeight="1">
      <c r="A400" s="108"/>
      <c r="B400" s="108"/>
      <c r="C400" s="109"/>
      <c r="D400" s="109"/>
      <c r="E400" s="109"/>
      <c r="F400" s="109"/>
      <c r="G400" s="109"/>
      <c r="H400" s="109"/>
      <c r="I400" s="111"/>
      <c r="J400" s="111"/>
      <c r="K400" s="112"/>
      <c r="L400" s="112"/>
      <c r="M400" s="112"/>
      <c r="N400" s="112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</row>
    <row r="401" spans="1:30" ht="12" customHeight="1">
      <c r="A401" s="108"/>
      <c r="B401" s="108"/>
      <c r="C401" s="109"/>
      <c r="D401" s="109"/>
      <c r="E401" s="109"/>
      <c r="F401" s="109"/>
      <c r="G401" s="109"/>
      <c r="H401" s="109"/>
      <c r="I401" s="111"/>
      <c r="J401" s="111"/>
      <c r="K401" s="112"/>
      <c r="L401" s="112"/>
      <c r="M401" s="112"/>
      <c r="N401" s="112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</row>
    <row r="402" spans="1:30" ht="12" customHeight="1">
      <c r="A402" s="108"/>
      <c r="B402" s="108"/>
      <c r="C402" s="109"/>
      <c r="D402" s="109"/>
      <c r="E402" s="109"/>
      <c r="F402" s="109"/>
      <c r="G402" s="109"/>
      <c r="H402" s="109"/>
      <c r="I402" s="111"/>
      <c r="J402" s="111"/>
      <c r="K402" s="112"/>
      <c r="L402" s="112"/>
      <c r="M402" s="112"/>
      <c r="N402" s="112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</row>
    <row r="403" spans="1:30" ht="12" customHeight="1">
      <c r="A403" s="108"/>
      <c r="B403" s="108"/>
      <c r="C403" s="109"/>
      <c r="D403" s="109"/>
      <c r="E403" s="109"/>
      <c r="F403" s="109"/>
      <c r="G403" s="109"/>
      <c r="H403" s="109"/>
      <c r="I403" s="111"/>
      <c r="J403" s="111"/>
      <c r="K403" s="112"/>
      <c r="L403" s="112"/>
      <c r="M403" s="112"/>
      <c r="N403" s="112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</row>
    <row r="404" spans="1:30" ht="12" customHeight="1">
      <c r="A404" s="108"/>
      <c r="B404" s="108"/>
      <c r="C404" s="109"/>
      <c r="D404" s="109"/>
      <c r="E404" s="109"/>
      <c r="F404" s="109"/>
      <c r="G404" s="109"/>
      <c r="H404" s="109"/>
      <c r="I404" s="111"/>
      <c r="J404" s="111"/>
      <c r="K404" s="112"/>
      <c r="L404" s="112"/>
      <c r="M404" s="112"/>
      <c r="N404" s="112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</row>
    <row r="405" spans="1:30" ht="12" customHeight="1">
      <c r="A405" s="108"/>
      <c r="B405" s="108"/>
      <c r="C405" s="109"/>
      <c r="D405" s="109"/>
      <c r="E405" s="109"/>
      <c r="F405" s="109"/>
      <c r="G405" s="109"/>
      <c r="H405" s="109"/>
      <c r="I405" s="111"/>
      <c r="J405" s="111"/>
      <c r="K405" s="112"/>
      <c r="L405" s="112"/>
      <c r="M405" s="112"/>
      <c r="N405" s="112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</row>
    <row r="406" spans="1:30" ht="12" customHeight="1">
      <c r="A406" s="108"/>
      <c r="B406" s="108"/>
      <c r="C406" s="109"/>
      <c r="D406" s="109"/>
      <c r="E406" s="109"/>
      <c r="F406" s="109"/>
      <c r="G406" s="109"/>
      <c r="H406" s="109"/>
      <c r="I406" s="111"/>
      <c r="J406" s="111"/>
      <c r="K406" s="112"/>
      <c r="L406" s="112"/>
      <c r="M406" s="112"/>
      <c r="N406" s="112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</row>
    <row r="407" spans="1:30" ht="12" customHeight="1">
      <c r="A407" s="108"/>
      <c r="B407" s="108"/>
      <c r="C407" s="109"/>
      <c r="D407" s="109"/>
      <c r="E407" s="109"/>
      <c r="F407" s="109"/>
      <c r="G407" s="109"/>
      <c r="H407" s="109"/>
      <c r="I407" s="111"/>
      <c r="J407" s="111"/>
      <c r="K407" s="112"/>
      <c r="L407" s="112"/>
      <c r="M407" s="112"/>
      <c r="N407" s="112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</row>
    <row r="408" spans="1:30" ht="12" customHeight="1">
      <c r="A408" s="108"/>
      <c r="B408" s="108"/>
      <c r="C408" s="109"/>
      <c r="D408" s="109"/>
      <c r="E408" s="109"/>
      <c r="F408" s="109"/>
      <c r="G408" s="109"/>
      <c r="H408" s="109"/>
      <c r="I408" s="111"/>
      <c r="J408" s="111"/>
      <c r="K408" s="112"/>
      <c r="L408" s="112"/>
      <c r="M408" s="112"/>
      <c r="N408" s="112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</row>
    <row r="409" spans="1:30" ht="12" customHeight="1">
      <c r="A409" s="108"/>
      <c r="B409" s="108"/>
      <c r="C409" s="109"/>
      <c r="D409" s="109"/>
      <c r="E409" s="109"/>
      <c r="F409" s="109"/>
      <c r="G409" s="109"/>
      <c r="H409" s="109"/>
      <c r="I409" s="111"/>
      <c r="J409" s="111"/>
      <c r="K409" s="112"/>
      <c r="L409" s="112"/>
      <c r="M409" s="112"/>
      <c r="N409" s="112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</row>
    <row r="410" spans="1:30" ht="12" customHeight="1">
      <c r="A410" s="108"/>
      <c r="B410" s="108"/>
      <c r="C410" s="109"/>
      <c r="D410" s="109"/>
      <c r="E410" s="109"/>
      <c r="F410" s="109"/>
      <c r="G410" s="109"/>
      <c r="H410" s="109"/>
      <c r="I410" s="111"/>
      <c r="J410" s="111"/>
      <c r="K410" s="112"/>
      <c r="L410" s="112"/>
      <c r="M410" s="112"/>
      <c r="N410" s="112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</row>
    <row r="411" spans="1:30" ht="12" customHeight="1">
      <c r="A411" s="108"/>
      <c r="B411" s="108"/>
      <c r="C411" s="109"/>
      <c r="D411" s="109"/>
      <c r="E411" s="109"/>
      <c r="F411" s="109"/>
      <c r="G411" s="109"/>
      <c r="H411" s="109"/>
      <c r="I411" s="111"/>
      <c r="J411" s="111"/>
      <c r="K411" s="112"/>
      <c r="L411" s="112"/>
      <c r="M411" s="112"/>
      <c r="N411" s="112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</row>
    <row r="412" spans="1:30" ht="12" customHeight="1">
      <c r="A412" s="108"/>
      <c r="B412" s="108"/>
      <c r="C412" s="109"/>
      <c r="D412" s="109"/>
      <c r="E412" s="109"/>
      <c r="F412" s="109"/>
      <c r="G412" s="109"/>
      <c r="H412" s="109"/>
      <c r="I412" s="111"/>
      <c r="J412" s="111"/>
      <c r="K412" s="112"/>
      <c r="L412" s="112"/>
      <c r="M412" s="112"/>
      <c r="N412" s="112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</row>
    <row r="413" spans="1:30" ht="12" customHeight="1">
      <c r="A413" s="108"/>
      <c r="B413" s="108"/>
      <c r="C413" s="109"/>
      <c r="D413" s="109"/>
      <c r="E413" s="109"/>
      <c r="F413" s="109"/>
      <c r="G413" s="109"/>
      <c r="H413" s="109"/>
      <c r="I413" s="111"/>
      <c r="J413" s="111"/>
      <c r="K413" s="112"/>
      <c r="L413" s="112"/>
      <c r="M413" s="112"/>
      <c r="N413" s="112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</row>
    <row r="414" spans="1:30" ht="12" customHeight="1">
      <c r="A414" s="108"/>
      <c r="B414" s="108"/>
      <c r="C414" s="109"/>
      <c r="D414" s="109"/>
      <c r="E414" s="109"/>
      <c r="F414" s="109"/>
      <c r="G414" s="109"/>
      <c r="H414" s="109"/>
      <c r="I414" s="111"/>
      <c r="J414" s="111"/>
      <c r="K414" s="112"/>
      <c r="L414" s="112"/>
      <c r="M414" s="112"/>
      <c r="N414" s="112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</row>
    <row r="415" spans="1:30" ht="12" customHeight="1">
      <c r="A415" s="108"/>
      <c r="B415" s="108"/>
      <c r="C415" s="109"/>
      <c r="D415" s="109"/>
      <c r="E415" s="109"/>
      <c r="F415" s="109"/>
      <c r="G415" s="109"/>
      <c r="H415" s="109"/>
      <c r="I415" s="111"/>
      <c r="J415" s="111"/>
      <c r="K415" s="112"/>
      <c r="L415" s="112"/>
      <c r="M415" s="112"/>
      <c r="N415" s="112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</row>
    <row r="416" spans="1:30" ht="12" customHeight="1">
      <c r="A416" s="108"/>
      <c r="B416" s="108"/>
      <c r="C416" s="109"/>
      <c r="D416" s="109"/>
      <c r="E416" s="109"/>
      <c r="F416" s="109"/>
      <c r="G416" s="109"/>
      <c r="H416" s="109"/>
      <c r="I416" s="111"/>
      <c r="J416" s="111"/>
      <c r="K416" s="112"/>
      <c r="L416" s="112"/>
      <c r="M416" s="112"/>
      <c r="N416" s="112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</row>
    <row r="417" spans="1:30" ht="12" customHeight="1">
      <c r="A417" s="108"/>
      <c r="B417" s="108"/>
      <c r="C417" s="109"/>
      <c r="D417" s="109"/>
      <c r="E417" s="109"/>
      <c r="F417" s="109"/>
      <c r="G417" s="109"/>
      <c r="H417" s="109"/>
      <c r="I417" s="111"/>
      <c r="J417" s="111"/>
      <c r="K417" s="112"/>
      <c r="L417" s="112"/>
      <c r="M417" s="112"/>
      <c r="N417" s="112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</row>
    <row r="418" spans="1:30" ht="12" customHeight="1">
      <c r="A418" s="108"/>
      <c r="B418" s="108"/>
      <c r="C418" s="109"/>
      <c r="D418" s="109"/>
      <c r="E418" s="109"/>
      <c r="F418" s="109"/>
      <c r="G418" s="109"/>
      <c r="H418" s="109"/>
      <c r="I418" s="111"/>
      <c r="J418" s="111"/>
      <c r="K418" s="112"/>
      <c r="L418" s="112"/>
      <c r="M418" s="112"/>
      <c r="N418" s="112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</row>
    <row r="419" spans="1:30" ht="12" customHeight="1">
      <c r="A419" s="108"/>
      <c r="B419" s="108"/>
      <c r="C419" s="109"/>
      <c r="D419" s="109"/>
      <c r="E419" s="109"/>
      <c r="F419" s="109"/>
      <c r="G419" s="109"/>
      <c r="H419" s="109"/>
      <c r="I419" s="111"/>
      <c r="J419" s="111"/>
      <c r="K419" s="112"/>
      <c r="L419" s="112"/>
      <c r="M419" s="112"/>
      <c r="N419" s="112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</row>
    <row r="420" spans="1:30" ht="12" customHeight="1">
      <c r="A420" s="108"/>
      <c r="B420" s="108"/>
      <c r="C420" s="109"/>
      <c r="D420" s="109"/>
      <c r="E420" s="109"/>
      <c r="F420" s="109"/>
      <c r="G420" s="109"/>
      <c r="H420" s="109"/>
      <c r="I420" s="111"/>
      <c r="J420" s="111"/>
      <c r="K420" s="112"/>
      <c r="L420" s="112"/>
      <c r="M420" s="112"/>
      <c r="N420" s="112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</row>
    <row r="421" spans="1:30" ht="12" customHeight="1">
      <c r="A421" s="108"/>
      <c r="B421" s="108"/>
      <c r="C421" s="109"/>
      <c r="D421" s="109"/>
      <c r="E421" s="109"/>
      <c r="F421" s="109"/>
      <c r="G421" s="109"/>
      <c r="H421" s="109"/>
      <c r="I421" s="111"/>
      <c r="J421" s="111"/>
      <c r="K421" s="112"/>
      <c r="L421" s="112"/>
      <c r="M421" s="112"/>
      <c r="N421" s="112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</row>
    <row r="422" spans="1:30" ht="12" customHeight="1">
      <c r="A422" s="108"/>
      <c r="B422" s="108"/>
      <c r="C422" s="109"/>
      <c r="D422" s="109"/>
      <c r="E422" s="109"/>
      <c r="F422" s="109"/>
      <c r="G422" s="109"/>
      <c r="H422" s="109"/>
      <c r="I422" s="111"/>
      <c r="J422" s="111"/>
      <c r="K422" s="112"/>
      <c r="L422" s="112"/>
      <c r="M422" s="112"/>
      <c r="N422" s="112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</row>
    <row r="423" spans="1:30" ht="12" customHeight="1">
      <c r="A423" s="108"/>
      <c r="B423" s="108"/>
      <c r="C423" s="109"/>
      <c r="D423" s="109"/>
      <c r="E423" s="109"/>
      <c r="F423" s="109"/>
      <c r="G423" s="109"/>
      <c r="H423" s="109"/>
      <c r="I423" s="111"/>
      <c r="J423" s="111"/>
      <c r="K423" s="112"/>
      <c r="L423" s="112"/>
      <c r="M423" s="112"/>
      <c r="N423" s="112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</row>
    <row r="424" spans="1:30" ht="12" customHeight="1">
      <c r="A424" s="108"/>
      <c r="B424" s="108"/>
      <c r="C424" s="109"/>
      <c r="D424" s="109"/>
      <c r="E424" s="109"/>
      <c r="F424" s="109"/>
      <c r="G424" s="109"/>
      <c r="H424" s="109"/>
      <c r="I424" s="111"/>
      <c r="J424" s="111"/>
      <c r="K424" s="112"/>
      <c r="L424" s="112"/>
      <c r="M424" s="112"/>
      <c r="N424" s="112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</row>
    <row r="425" spans="1:30" ht="12" customHeight="1">
      <c r="A425" s="108"/>
      <c r="B425" s="108"/>
      <c r="C425" s="109"/>
      <c r="D425" s="109"/>
      <c r="E425" s="109"/>
      <c r="F425" s="109"/>
      <c r="G425" s="109"/>
      <c r="H425" s="109"/>
      <c r="I425" s="111"/>
      <c r="J425" s="111"/>
      <c r="K425" s="112"/>
      <c r="L425" s="112"/>
      <c r="M425" s="112"/>
      <c r="N425" s="112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</row>
    <row r="426" spans="1:30" ht="12" customHeight="1">
      <c r="A426" s="108"/>
      <c r="B426" s="108"/>
      <c r="C426" s="109"/>
      <c r="D426" s="109"/>
      <c r="E426" s="109"/>
      <c r="F426" s="109"/>
      <c r="G426" s="109"/>
      <c r="H426" s="109"/>
      <c r="I426" s="111"/>
      <c r="J426" s="111"/>
      <c r="K426" s="112"/>
      <c r="L426" s="112"/>
      <c r="M426" s="112"/>
      <c r="N426" s="112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</row>
    <row r="427" spans="1:30" ht="12" customHeight="1">
      <c r="A427" s="108"/>
      <c r="B427" s="108"/>
      <c r="C427" s="109"/>
      <c r="D427" s="109"/>
      <c r="E427" s="109"/>
      <c r="F427" s="109"/>
      <c r="G427" s="109"/>
      <c r="H427" s="109"/>
      <c r="I427" s="111"/>
      <c r="J427" s="111"/>
      <c r="K427" s="112"/>
      <c r="L427" s="112"/>
      <c r="M427" s="112"/>
      <c r="N427" s="112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</row>
    <row r="428" spans="1:30" ht="12" customHeight="1">
      <c r="A428" s="108"/>
      <c r="B428" s="108"/>
      <c r="C428" s="109"/>
      <c r="D428" s="109"/>
      <c r="E428" s="109"/>
      <c r="F428" s="109"/>
      <c r="G428" s="109"/>
      <c r="H428" s="109"/>
      <c r="I428" s="111"/>
      <c r="J428" s="111"/>
      <c r="K428" s="112"/>
      <c r="L428" s="112"/>
      <c r="M428" s="112"/>
      <c r="N428" s="112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</row>
    <row r="429" spans="1:30" ht="12" customHeight="1">
      <c r="A429" s="108"/>
      <c r="B429" s="108"/>
      <c r="C429" s="109"/>
      <c r="D429" s="109"/>
      <c r="E429" s="109"/>
      <c r="F429" s="109"/>
      <c r="G429" s="109"/>
      <c r="H429" s="109"/>
      <c r="I429" s="111"/>
      <c r="J429" s="111"/>
      <c r="K429" s="112"/>
      <c r="L429" s="112"/>
      <c r="M429" s="112"/>
      <c r="N429" s="112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</row>
    <row r="430" spans="1:30" ht="12" customHeight="1">
      <c r="A430" s="108"/>
      <c r="B430" s="108"/>
      <c r="C430" s="109"/>
      <c r="D430" s="109"/>
      <c r="E430" s="109"/>
      <c r="F430" s="109"/>
      <c r="G430" s="109"/>
      <c r="H430" s="109"/>
      <c r="I430" s="111"/>
      <c r="J430" s="111"/>
      <c r="K430" s="112"/>
      <c r="L430" s="112"/>
      <c r="M430" s="112"/>
      <c r="N430" s="112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</row>
    <row r="431" spans="1:30" ht="12" customHeight="1">
      <c r="A431" s="108"/>
      <c r="B431" s="108"/>
      <c r="C431" s="109"/>
      <c r="D431" s="109"/>
      <c r="E431" s="109"/>
      <c r="F431" s="109"/>
      <c r="G431" s="109"/>
      <c r="H431" s="109"/>
      <c r="I431" s="111"/>
      <c r="J431" s="111"/>
      <c r="K431" s="112"/>
      <c r="L431" s="112"/>
      <c r="M431" s="112"/>
      <c r="N431" s="112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</row>
    <row r="432" spans="1:30" ht="12" customHeight="1">
      <c r="A432" s="108"/>
      <c r="B432" s="108"/>
      <c r="C432" s="109"/>
      <c r="D432" s="109"/>
      <c r="E432" s="109"/>
      <c r="F432" s="109"/>
      <c r="G432" s="109"/>
      <c r="H432" s="109"/>
      <c r="I432" s="111"/>
      <c r="J432" s="111"/>
      <c r="K432" s="112"/>
      <c r="L432" s="112"/>
      <c r="M432" s="112"/>
      <c r="N432" s="112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</row>
    <row r="433" spans="1:30" ht="12" customHeight="1">
      <c r="A433" s="108"/>
      <c r="B433" s="108"/>
      <c r="C433" s="109"/>
      <c r="D433" s="109"/>
      <c r="E433" s="109"/>
      <c r="F433" s="109"/>
      <c r="G433" s="109"/>
      <c r="H433" s="109"/>
      <c r="I433" s="111"/>
      <c r="J433" s="111"/>
      <c r="K433" s="112"/>
      <c r="L433" s="112"/>
      <c r="M433" s="112"/>
      <c r="N433" s="112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</row>
    <row r="434" spans="1:30" ht="12" customHeight="1">
      <c r="A434" s="108"/>
      <c r="B434" s="108"/>
      <c r="C434" s="109"/>
      <c r="D434" s="109"/>
      <c r="E434" s="109"/>
      <c r="F434" s="109"/>
      <c r="G434" s="109"/>
      <c r="H434" s="109"/>
      <c r="I434" s="111"/>
      <c r="J434" s="111"/>
      <c r="K434" s="112"/>
      <c r="L434" s="112"/>
      <c r="M434" s="112"/>
      <c r="N434" s="112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</row>
    <row r="435" spans="1:30" ht="12" customHeight="1">
      <c r="A435" s="108"/>
      <c r="B435" s="108"/>
      <c r="C435" s="109"/>
      <c r="D435" s="109"/>
      <c r="E435" s="109"/>
      <c r="F435" s="109"/>
      <c r="G435" s="109"/>
      <c r="H435" s="109"/>
      <c r="I435" s="111"/>
      <c r="J435" s="111"/>
      <c r="K435" s="112"/>
      <c r="L435" s="112"/>
      <c r="M435" s="112"/>
      <c r="N435" s="112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</row>
    <row r="436" spans="1:30" ht="12" customHeight="1">
      <c r="A436" s="108"/>
      <c r="B436" s="108"/>
      <c r="C436" s="109"/>
      <c r="D436" s="109"/>
      <c r="E436" s="109"/>
      <c r="F436" s="109"/>
      <c r="G436" s="109"/>
      <c r="H436" s="109"/>
      <c r="I436" s="111"/>
      <c r="J436" s="111"/>
      <c r="K436" s="112"/>
      <c r="L436" s="112"/>
      <c r="M436" s="112"/>
      <c r="N436" s="112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</row>
    <row r="437" spans="1:30" ht="12" customHeight="1">
      <c r="A437" s="108"/>
      <c r="B437" s="108"/>
      <c r="C437" s="109"/>
      <c r="D437" s="109"/>
      <c r="E437" s="109"/>
      <c r="F437" s="109"/>
      <c r="G437" s="109"/>
      <c r="H437" s="109"/>
      <c r="I437" s="111"/>
      <c r="J437" s="111"/>
      <c r="K437" s="112"/>
      <c r="L437" s="112"/>
      <c r="M437" s="112"/>
      <c r="N437" s="112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</row>
    <row r="438" spans="1:30" ht="12" customHeight="1">
      <c r="A438" s="108"/>
      <c r="B438" s="108"/>
      <c r="C438" s="109"/>
      <c r="D438" s="109"/>
      <c r="E438" s="109"/>
      <c r="F438" s="109"/>
      <c r="G438" s="109"/>
      <c r="H438" s="109"/>
      <c r="I438" s="111"/>
      <c r="J438" s="111"/>
      <c r="K438" s="112"/>
      <c r="L438" s="112"/>
      <c r="M438" s="112"/>
      <c r="N438" s="112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</row>
    <row r="439" spans="1:30" ht="12" customHeight="1">
      <c r="A439" s="108"/>
      <c r="B439" s="108"/>
      <c r="C439" s="109"/>
      <c r="D439" s="109"/>
      <c r="E439" s="109"/>
      <c r="F439" s="109"/>
      <c r="G439" s="109"/>
      <c r="H439" s="109"/>
      <c r="I439" s="111"/>
      <c r="J439" s="111"/>
      <c r="K439" s="112"/>
      <c r="L439" s="112"/>
      <c r="M439" s="112"/>
      <c r="N439" s="112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</row>
    <row r="440" spans="1:30" ht="12" customHeight="1">
      <c r="A440" s="108"/>
      <c r="B440" s="108"/>
      <c r="C440" s="109"/>
      <c r="D440" s="109"/>
      <c r="E440" s="109"/>
      <c r="F440" s="109"/>
      <c r="G440" s="109"/>
      <c r="H440" s="109"/>
      <c r="I440" s="111"/>
      <c r="J440" s="111"/>
      <c r="K440" s="112"/>
      <c r="L440" s="112"/>
      <c r="M440" s="112"/>
      <c r="N440" s="112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</row>
    <row r="441" spans="1:30" ht="12" customHeight="1">
      <c r="A441" s="108"/>
      <c r="B441" s="108"/>
      <c r="C441" s="109"/>
      <c r="D441" s="109"/>
      <c r="E441" s="109"/>
      <c r="F441" s="109"/>
      <c r="G441" s="109"/>
      <c r="H441" s="109"/>
      <c r="I441" s="111"/>
      <c r="J441" s="111"/>
      <c r="K441" s="112"/>
      <c r="L441" s="112"/>
      <c r="M441" s="112"/>
      <c r="N441" s="112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</row>
    <row r="442" spans="1:30" ht="12" customHeight="1">
      <c r="A442" s="108"/>
      <c r="B442" s="108"/>
      <c r="C442" s="109"/>
      <c r="D442" s="109"/>
      <c r="E442" s="109"/>
      <c r="F442" s="109"/>
      <c r="G442" s="109"/>
      <c r="H442" s="109"/>
      <c r="I442" s="111"/>
      <c r="J442" s="111"/>
      <c r="K442" s="112"/>
      <c r="L442" s="112"/>
      <c r="M442" s="112"/>
      <c r="N442" s="112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</row>
    <row r="443" spans="1:30" ht="12" customHeight="1">
      <c r="A443" s="108"/>
      <c r="B443" s="108"/>
      <c r="C443" s="109"/>
      <c r="D443" s="109"/>
      <c r="E443" s="109"/>
      <c r="F443" s="109"/>
      <c r="G443" s="109"/>
      <c r="H443" s="109"/>
      <c r="I443" s="111"/>
      <c r="J443" s="111"/>
      <c r="K443" s="112"/>
      <c r="L443" s="112"/>
      <c r="M443" s="112"/>
      <c r="N443" s="112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</row>
    <row r="444" spans="1:30" ht="12" customHeight="1">
      <c r="A444" s="108"/>
      <c r="B444" s="108"/>
      <c r="C444" s="109"/>
      <c r="D444" s="109"/>
      <c r="E444" s="109"/>
      <c r="F444" s="109"/>
      <c r="G444" s="109"/>
      <c r="H444" s="109"/>
      <c r="I444" s="111"/>
      <c r="J444" s="111"/>
      <c r="K444" s="112"/>
      <c r="L444" s="112"/>
      <c r="M444" s="112"/>
      <c r="N444" s="112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</row>
    <row r="445" spans="1:30" ht="12" customHeight="1">
      <c r="A445" s="108"/>
      <c r="B445" s="108"/>
      <c r="C445" s="109"/>
      <c r="D445" s="109"/>
      <c r="E445" s="109"/>
      <c r="F445" s="109"/>
      <c r="G445" s="109"/>
      <c r="H445" s="109"/>
      <c r="I445" s="111"/>
      <c r="J445" s="111"/>
      <c r="K445" s="112"/>
      <c r="L445" s="112"/>
      <c r="M445" s="112"/>
      <c r="N445" s="112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</row>
    <row r="446" spans="1:30" ht="12" customHeight="1">
      <c r="A446" s="108"/>
      <c r="B446" s="108"/>
      <c r="C446" s="109"/>
      <c r="D446" s="109"/>
      <c r="E446" s="109"/>
      <c r="F446" s="109"/>
      <c r="G446" s="109"/>
      <c r="H446" s="109"/>
      <c r="I446" s="111"/>
      <c r="J446" s="111"/>
      <c r="K446" s="112"/>
      <c r="L446" s="112"/>
      <c r="M446" s="112"/>
      <c r="N446" s="112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</row>
    <row r="447" spans="1:30" ht="12" customHeight="1">
      <c r="A447" s="108"/>
      <c r="B447" s="108"/>
      <c r="C447" s="109"/>
      <c r="D447" s="109"/>
      <c r="E447" s="109"/>
      <c r="F447" s="109"/>
      <c r="G447" s="109"/>
      <c r="H447" s="109"/>
      <c r="I447" s="111"/>
      <c r="J447" s="111"/>
      <c r="K447" s="112"/>
      <c r="L447" s="112"/>
      <c r="M447" s="112"/>
      <c r="N447" s="112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</row>
    <row r="448" spans="1:30" ht="12" customHeight="1">
      <c r="A448" s="108"/>
      <c r="B448" s="108"/>
      <c r="C448" s="109"/>
      <c r="D448" s="109"/>
      <c r="E448" s="109"/>
      <c r="F448" s="109"/>
      <c r="G448" s="109"/>
      <c r="H448" s="109"/>
      <c r="I448" s="111"/>
      <c r="J448" s="111"/>
      <c r="K448" s="112"/>
      <c r="L448" s="112"/>
      <c r="M448" s="112"/>
      <c r="N448" s="112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</row>
    <row r="449" spans="1:30" ht="12" customHeight="1">
      <c r="A449" s="108"/>
      <c r="B449" s="108"/>
      <c r="C449" s="109"/>
      <c r="D449" s="109"/>
      <c r="E449" s="109"/>
      <c r="F449" s="109"/>
      <c r="G449" s="109"/>
      <c r="H449" s="109"/>
      <c r="I449" s="111"/>
      <c r="J449" s="111"/>
      <c r="K449" s="112"/>
      <c r="L449" s="112"/>
      <c r="M449" s="112"/>
      <c r="N449" s="112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</row>
    <row r="450" spans="1:30" ht="12" customHeight="1">
      <c r="A450" s="108"/>
      <c r="B450" s="108"/>
      <c r="C450" s="109"/>
      <c r="D450" s="109"/>
      <c r="E450" s="109"/>
      <c r="F450" s="109"/>
      <c r="G450" s="109"/>
      <c r="H450" s="109"/>
      <c r="I450" s="111"/>
      <c r="J450" s="111"/>
      <c r="K450" s="112"/>
      <c r="L450" s="112"/>
      <c r="M450" s="112"/>
      <c r="N450" s="112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</row>
    <row r="451" spans="1:30" ht="12" customHeight="1">
      <c r="A451" s="108"/>
      <c r="B451" s="108"/>
      <c r="C451" s="109"/>
      <c r="D451" s="109"/>
      <c r="E451" s="109"/>
      <c r="F451" s="109"/>
      <c r="G451" s="109"/>
      <c r="H451" s="109"/>
      <c r="I451" s="111"/>
      <c r="J451" s="111"/>
      <c r="K451" s="112"/>
      <c r="L451" s="112"/>
      <c r="M451" s="112"/>
      <c r="N451" s="112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</row>
    <row r="452" spans="1:30" ht="12" customHeight="1">
      <c r="A452" s="108"/>
      <c r="B452" s="108"/>
      <c r="C452" s="109"/>
      <c r="D452" s="109"/>
      <c r="E452" s="109"/>
      <c r="F452" s="109"/>
      <c r="G452" s="109"/>
      <c r="H452" s="109"/>
      <c r="I452" s="111"/>
      <c r="J452" s="111"/>
      <c r="K452" s="112"/>
      <c r="L452" s="112"/>
      <c r="M452" s="112"/>
      <c r="N452" s="112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</row>
    <row r="453" spans="1:30" ht="12" customHeight="1">
      <c r="A453" s="108"/>
      <c r="B453" s="108"/>
      <c r="C453" s="109"/>
      <c r="D453" s="109"/>
      <c r="E453" s="109"/>
      <c r="F453" s="109"/>
      <c r="G453" s="109"/>
      <c r="H453" s="109"/>
      <c r="I453" s="111"/>
      <c r="J453" s="111"/>
      <c r="K453" s="112"/>
      <c r="L453" s="112"/>
      <c r="M453" s="112"/>
      <c r="N453" s="112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</row>
    <row r="454" spans="1:30" ht="12" customHeight="1">
      <c r="A454" s="108"/>
      <c r="B454" s="108"/>
      <c r="C454" s="109"/>
      <c r="D454" s="109"/>
      <c r="E454" s="109"/>
      <c r="F454" s="109"/>
      <c r="G454" s="109"/>
      <c r="H454" s="109"/>
      <c r="I454" s="111"/>
      <c r="J454" s="111"/>
      <c r="K454" s="112"/>
      <c r="L454" s="112"/>
      <c r="M454" s="112"/>
      <c r="N454" s="112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</row>
    <row r="455" spans="1:30" ht="12" customHeight="1">
      <c r="A455" s="108"/>
      <c r="B455" s="108"/>
      <c r="C455" s="109"/>
      <c r="D455" s="109"/>
      <c r="E455" s="109"/>
      <c r="F455" s="109"/>
      <c r="G455" s="109"/>
      <c r="H455" s="109"/>
      <c r="I455" s="111"/>
      <c r="J455" s="111"/>
      <c r="K455" s="112"/>
      <c r="L455" s="112"/>
      <c r="M455" s="112"/>
      <c r="N455" s="112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</row>
    <row r="456" spans="1:30" ht="12" customHeight="1">
      <c r="A456" s="108"/>
      <c r="B456" s="108"/>
      <c r="C456" s="109"/>
      <c r="D456" s="109"/>
      <c r="E456" s="109"/>
      <c r="F456" s="109"/>
      <c r="G456" s="109"/>
      <c r="H456" s="109"/>
      <c r="I456" s="111"/>
      <c r="J456" s="111"/>
      <c r="K456" s="112"/>
      <c r="L456" s="112"/>
      <c r="M456" s="112"/>
      <c r="N456" s="112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</row>
    <row r="457" spans="1:30" ht="12" customHeight="1">
      <c r="A457" s="108"/>
      <c r="B457" s="108"/>
      <c r="C457" s="109"/>
      <c r="D457" s="109"/>
      <c r="E457" s="109"/>
      <c r="F457" s="109"/>
      <c r="G457" s="109"/>
      <c r="H457" s="109"/>
      <c r="I457" s="111"/>
      <c r="J457" s="111"/>
      <c r="K457" s="112"/>
      <c r="L457" s="112"/>
      <c r="M457" s="112"/>
      <c r="N457" s="112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</row>
    <row r="458" spans="1:30" ht="12" customHeight="1">
      <c r="A458" s="108"/>
      <c r="B458" s="108"/>
      <c r="C458" s="109"/>
      <c r="D458" s="109"/>
      <c r="E458" s="109"/>
      <c r="F458" s="109"/>
      <c r="G458" s="109"/>
      <c r="H458" s="109"/>
      <c r="I458" s="111"/>
      <c r="J458" s="111"/>
      <c r="K458" s="112"/>
      <c r="L458" s="112"/>
      <c r="M458" s="112"/>
      <c r="N458" s="112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</row>
    <row r="459" spans="1:30" ht="12" customHeight="1">
      <c r="A459" s="108"/>
      <c r="B459" s="108"/>
      <c r="C459" s="109"/>
      <c r="D459" s="109"/>
      <c r="E459" s="109"/>
      <c r="F459" s="109"/>
      <c r="G459" s="109"/>
      <c r="H459" s="109"/>
      <c r="I459" s="111"/>
      <c r="J459" s="111"/>
      <c r="K459" s="112"/>
      <c r="L459" s="112"/>
      <c r="M459" s="112"/>
      <c r="N459" s="112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</row>
    <row r="460" spans="1:30" ht="12" customHeight="1">
      <c r="A460" s="108"/>
      <c r="B460" s="108"/>
      <c r="C460" s="109"/>
      <c r="D460" s="109"/>
      <c r="E460" s="109"/>
      <c r="F460" s="109"/>
      <c r="G460" s="109"/>
      <c r="H460" s="109"/>
      <c r="I460" s="111"/>
      <c r="J460" s="111"/>
      <c r="K460" s="112"/>
      <c r="L460" s="112"/>
      <c r="M460" s="112"/>
      <c r="N460" s="112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</row>
    <row r="461" spans="1:30" ht="12" customHeight="1">
      <c r="A461" s="108"/>
      <c r="B461" s="108"/>
      <c r="C461" s="109"/>
      <c r="D461" s="109"/>
      <c r="E461" s="109"/>
      <c r="F461" s="109"/>
      <c r="G461" s="109"/>
      <c r="H461" s="109"/>
      <c r="I461" s="111"/>
      <c r="J461" s="111"/>
      <c r="K461" s="112"/>
      <c r="L461" s="112"/>
      <c r="M461" s="112"/>
      <c r="N461" s="112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</row>
    <row r="462" spans="1:30" ht="12" customHeight="1">
      <c r="A462" s="108"/>
      <c r="B462" s="108"/>
      <c r="C462" s="109"/>
      <c r="D462" s="109"/>
      <c r="E462" s="109"/>
      <c r="F462" s="109"/>
      <c r="G462" s="109"/>
      <c r="H462" s="109"/>
      <c r="I462" s="111"/>
      <c r="J462" s="111"/>
      <c r="K462" s="112"/>
      <c r="L462" s="112"/>
      <c r="M462" s="112"/>
      <c r="N462" s="112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</row>
    <row r="463" spans="1:30" ht="12" customHeight="1">
      <c r="A463" s="108"/>
      <c r="B463" s="108"/>
      <c r="C463" s="109"/>
      <c r="D463" s="109"/>
      <c r="E463" s="109"/>
      <c r="F463" s="109"/>
      <c r="G463" s="109"/>
      <c r="H463" s="109"/>
      <c r="I463" s="111"/>
      <c r="J463" s="111"/>
      <c r="K463" s="112"/>
      <c r="L463" s="112"/>
      <c r="M463" s="112"/>
      <c r="N463" s="112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</row>
    <row r="464" spans="1:30" ht="12" customHeight="1">
      <c r="A464" s="108"/>
      <c r="B464" s="108"/>
      <c r="C464" s="109"/>
      <c r="D464" s="109"/>
      <c r="E464" s="109"/>
      <c r="F464" s="109"/>
      <c r="G464" s="109"/>
      <c r="H464" s="109"/>
      <c r="I464" s="111"/>
      <c r="J464" s="111"/>
      <c r="K464" s="112"/>
      <c r="L464" s="112"/>
      <c r="M464" s="112"/>
      <c r="N464" s="112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</row>
    <row r="465" spans="1:30" ht="12" customHeight="1">
      <c r="A465" s="108"/>
      <c r="B465" s="108"/>
      <c r="C465" s="109"/>
      <c r="D465" s="109"/>
      <c r="E465" s="109"/>
      <c r="F465" s="109"/>
      <c r="G465" s="109"/>
      <c r="H465" s="109"/>
      <c r="I465" s="111"/>
      <c r="J465" s="111"/>
      <c r="K465" s="112"/>
      <c r="L465" s="112"/>
      <c r="M465" s="112"/>
      <c r="N465" s="112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</row>
    <row r="466" spans="1:30" ht="12" customHeight="1">
      <c r="A466" s="108"/>
      <c r="B466" s="108"/>
      <c r="C466" s="109"/>
      <c r="D466" s="109"/>
      <c r="E466" s="109"/>
      <c r="F466" s="109"/>
      <c r="G466" s="109"/>
      <c r="H466" s="109"/>
      <c r="I466" s="111"/>
      <c r="J466" s="111"/>
      <c r="K466" s="112"/>
      <c r="L466" s="112"/>
      <c r="M466" s="112"/>
      <c r="N466" s="112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</row>
    <row r="467" spans="1:30" ht="12" customHeight="1">
      <c r="A467" s="108"/>
      <c r="B467" s="108"/>
      <c r="C467" s="109"/>
      <c r="D467" s="109"/>
      <c r="E467" s="109"/>
      <c r="F467" s="109"/>
      <c r="G467" s="109"/>
      <c r="H467" s="109"/>
      <c r="I467" s="111"/>
      <c r="J467" s="111"/>
      <c r="K467" s="112"/>
      <c r="L467" s="112"/>
      <c r="M467" s="112"/>
      <c r="N467" s="112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</row>
    <row r="468" spans="1:30" ht="12" customHeight="1">
      <c r="A468" s="108"/>
      <c r="B468" s="108"/>
      <c r="C468" s="109"/>
      <c r="D468" s="109"/>
      <c r="E468" s="109"/>
      <c r="F468" s="109"/>
      <c r="G468" s="109"/>
      <c r="H468" s="109"/>
      <c r="I468" s="111"/>
      <c r="J468" s="111"/>
      <c r="K468" s="112"/>
      <c r="L468" s="112"/>
      <c r="M468" s="112"/>
      <c r="N468" s="112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</row>
    <row r="469" spans="1:30" ht="12" customHeight="1">
      <c r="A469" s="108"/>
      <c r="B469" s="108"/>
      <c r="C469" s="109"/>
      <c r="D469" s="109"/>
      <c r="E469" s="109"/>
      <c r="F469" s="109"/>
      <c r="G469" s="109"/>
      <c r="H469" s="109"/>
      <c r="I469" s="111"/>
      <c r="J469" s="111"/>
      <c r="K469" s="112"/>
      <c r="L469" s="112"/>
      <c r="M469" s="112"/>
      <c r="N469" s="112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</row>
    <row r="470" spans="1:30" ht="12" customHeight="1">
      <c r="A470" s="108"/>
      <c r="B470" s="108"/>
      <c r="C470" s="109"/>
      <c r="D470" s="109"/>
      <c r="E470" s="109"/>
      <c r="F470" s="109"/>
      <c r="G470" s="109"/>
      <c r="H470" s="109"/>
      <c r="I470" s="111"/>
      <c r="J470" s="111"/>
      <c r="K470" s="112"/>
      <c r="L470" s="112"/>
      <c r="M470" s="112"/>
      <c r="N470" s="112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</row>
    <row r="471" spans="1:30" ht="12" customHeight="1">
      <c r="A471" s="108"/>
      <c r="B471" s="108"/>
      <c r="C471" s="109"/>
      <c r="D471" s="109"/>
      <c r="E471" s="109"/>
      <c r="F471" s="109"/>
      <c r="G471" s="109"/>
      <c r="H471" s="109"/>
      <c r="I471" s="111"/>
      <c r="J471" s="111"/>
      <c r="K471" s="112"/>
      <c r="L471" s="112"/>
      <c r="M471" s="112"/>
      <c r="N471" s="112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</row>
    <row r="472" spans="1:30" ht="12" customHeight="1">
      <c r="A472" s="108"/>
      <c r="B472" s="108"/>
      <c r="C472" s="109"/>
      <c r="D472" s="109"/>
      <c r="E472" s="109"/>
      <c r="F472" s="109"/>
      <c r="G472" s="109"/>
      <c r="H472" s="109"/>
      <c r="I472" s="111"/>
      <c r="J472" s="111"/>
      <c r="K472" s="112"/>
      <c r="L472" s="112"/>
      <c r="M472" s="112"/>
      <c r="N472" s="112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</row>
    <row r="473" spans="1:30" ht="12" customHeight="1">
      <c r="A473" s="108"/>
      <c r="B473" s="108"/>
      <c r="C473" s="109"/>
      <c r="D473" s="109"/>
      <c r="E473" s="109"/>
      <c r="F473" s="109"/>
      <c r="G473" s="109"/>
      <c r="H473" s="109"/>
      <c r="I473" s="111"/>
      <c r="J473" s="111"/>
      <c r="K473" s="112"/>
      <c r="L473" s="112"/>
      <c r="M473" s="112"/>
      <c r="N473" s="112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</row>
    <row r="474" spans="1:30" ht="12" customHeight="1">
      <c r="A474" s="108"/>
      <c r="B474" s="108"/>
      <c r="C474" s="109"/>
      <c r="D474" s="109"/>
      <c r="E474" s="109"/>
      <c r="F474" s="109"/>
      <c r="G474" s="109"/>
      <c r="H474" s="109"/>
      <c r="I474" s="111"/>
      <c r="J474" s="111"/>
      <c r="K474" s="112"/>
      <c r="L474" s="112"/>
      <c r="M474" s="112"/>
      <c r="N474" s="112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</row>
    <row r="475" spans="1:30" ht="12" customHeight="1">
      <c r="A475" s="108"/>
      <c r="B475" s="108"/>
      <c r="C475" s="109"/>
      <c r="D475" s="109"/>
      <c r="E475" s="109"/>
      <c r="F475" s="109"/>
      <c r="G475" s="109"/>
      <c r="H475" s="109"/>
      <c r="I475" s="111"/>
      <c r="J475" s="111"/>
      <c r="K475" s="112"/>
      <c r="L475" s="112"/>
      <c r="M475" s="112"/>
      <c r="N475" s="112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</row>
    <row r="476" spans="1:30" ht="12" customHeight="1">
      <c r="A476" s="108"/>
      <c r="B476" s="108"/>
      <c r="C476" s="109"/>
      <c r="D476" s="109"/>
      <c r="E476" s="109"/>
      <c r="F476" s="109"/>
      <c r="G476" s="109"/>
      <c r="H476" s="109"/>
      <c r="I476" s="111"/>
      <c r="J476" s="111"/>
      <c r="K476" s="112"/>
      <c r="L476" s="112"/>
      <c r="M476" s="112"/>
      <c r="N476" s="112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</row>
    <row r="477" spans="1:30" ht="12" customHeight="1">
      <c r="A477" s="108"/>
      <c r="B477" s="108"/>
      <c r="C477" s="109"/>
      <c r="D477" s="109"/>
      <c r="E477" s="109"/>
      <c r="F477" s="109"/>
      <c r="G477" s="109"/>
      <c r="H477" s="109"/>
      <c r="I477" s="111"/>
      <c r="J477" s="111"/>
      <c r="K477" s="112"/>
      <c r="L477" s="112"/>
      <c r="M477" s="112"/>
      <c r="N477" s="112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</row>
    <row r="478" spans="1:30" ht="12" customHeight="1">
      <c r="A478" s="108"/>
      <c r="B478" s="108"/>
      <c r="C478" s="109"/>
      <c r="D478" s="109"/>
      <c r="E478" s="109"/>
      <c r="F478" s="109"/>
      <c r="G478" s="109"/>
      <c r="H478" s="109"/>
      <c r="I478" s="111"/>
      <c r="J478" s="111"/>
      <c r="K478" s="112"/>
      <c r="L478" s="112"/>
      <c r="M478" s="112"/>
      <c r="N478" s="112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</row>
    <row r="479" spans="1:30" ht="12" customHeight="1">
      <c r="A479" s="108"/>
      <c r="B479" s="108"/>
      <c r="C479" s="109"/>
      <c r="D479" s="109"/>
      <c r="E479" s="109"/>
      <c r="F479" s="109"/>
      <c r="G479" s="109"/>
      <c r="H479" s="109"/>
      <c r="I479" s="111"/>
      <c r="J479" s="111"/>
      <c r="K479" s="112"/>
      <c r="L479" s="112"/>
      <c r="M479" s="112"/>
      <c r="N479" s="112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</row>
    <row r="480" spans="1:30" ht="12" customHeight="1">
      <c r="A480" s="108"/>
      <c r="B480" s="108"/>
      <c r="C480" s="109"/>
      <c r="D480" s="109"/>
      <c r="E480" s="109"/>
      <c r="F480" s="109"/>
      <c r="G480" s="109"/>
      <c r="H480" s="109"/>
      <c r="I480" s="111"/>
      <c r="J480" s="111"/>
      <c r="K480" s="112"/>
      <c r="L480" s="112"/>
      <c r="M480" s="112"/>
      <c r="N480" s="112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</row>
    <row r="481" spans="1:30" ht="12" customHeight="1">
      <c r="A481" s="108"/>
      <c r="B481" s="108"/>
      <c r="C481" s="109"/>
      <c r="D481" s="109"/>
      <c r="E481" s="109"/>
      <c r="F481" s="109"/>
      <c r="G481" s="109"/>
      <c r="H481" s="109"/>
      <c r="I481" s="111"/>
      <c r="J481" s="111"/>
      <c r="K481" s="112"/>
      <c r="L481" s="112"/>
      <c r="M481" s="112"/>
      <c r="N481" s="112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</row>
    <row r="482" spans="1:30" ht="12" customHeight="1">
      <c r="A482" s="108"/>
      <c r="B482" s="108"/>
      <c r="C482" s="109"/>
      <c r="D482" s="109"/>
      <c r="E482" s="109"/>
      <c r="F482" s="109"/>
      <c r="G482" s="109"/>
      <c r="H482" s="109"/>
      <c r="I482" s="111"/>
      <c r="J482" s="111"/>
      <c r="K482" s="112"/>
      <c r="L482" s="112"/>
      <c r="M482" s="112"/>
      <c r="N482" s="112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</row>
    <row r="483" spans="1:30" ht="12" customHeight="1">
      <c r="A483" s="108"/>
      <c r="B483" s="108"/>
      <c r="C483" s="109"/>
      <c r="D483" s="109"/>
      <c r="E483" s="109"/>
      <c r="F483" s="109"/>
      <c r="G483" s="109"/>
      <c r="H483" s="109"/>
      <c r="I483" s="111"/>
      <c r="J483" s="111"/>
      <c r="K483" s="112"/>
      <c r="L483" s="112"/>
      <c r="M483" s="112"/>
      <c r="N483" s="112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</row>
    <row r="484" spans="1:30" ht="12" customHeight="1">
      <c r="A484" s="108"/>
      <c r="B484" s="108"/>
      <c r="C484" s="109"/>
      <c r="D484" s="109"/>
      <c r="E484" s="109"/>
      <c r="F484" s="109"/>
      <c r="G484" s="109"/>
      <c r="H484" s="109"/>
      <c r="I484" s="111"/>
      <c r="J484" s="111"/>
      <c r="K484" s="112"/>
      <c r="L484" s="112"/>
      <c r="M484" s="112"/>
      <c r="N484" s="112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</row>
    <row r="485" spans="1:30" ht="12" customHeight="1">
      <c r="A485" s="108"/>
      <c r="B485" s="108"/>
      <c r="C485" s="109"/>
      <c r="D485" s="109"/>
      <c r="E485" s="109"/>
      <c r="F485" s="109"/>
      <c r="G485" s="109"/>
      <c r="H485" s="109"/>
      <c r="I485" s="111"/>
      <c r="J485" s="111"/>
      <c r="K485" s="112"/>
      <c r="L485" s="112"/>
      <c r="M485" s="112"/>
      <c r="N485" s="112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</row>
    <row r="486" spans="1:30" ht="12" customHeight="1">
      <c r="A486" s="108"/>
      <c r="B486" s="108"/>
      <c r="C486" s="109"/>
      <c r="D486" s="109"/>
      <c r="E486" s="109"/>
      <c r="F486" s="109"/>
      <c r="G486" s="109"/>
      <c r="H486" s="109"/>
      <c r="I486" s="111"/>
      <c r="J486" s="111"/>
      <c r="K486" s="112"/>
      <c r="L486" s="112"/>
      <c r="M486" s="112"/>
      <c r="N486" s="112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</row>
    <row r="487" spans="1:30" ht="12" customHeight="1">
      <c r="A487" s="108"/>
      <c r="B487" s="108"/>
      <c r="C487" s="109"/>
      <c r="D487" s="109"/>
      <c r="E487" s="109"/>
      <c r="F487" s="109"/>
      <c r="G487" s="109"/>
      <c r="H487" s="109"/>
      <c r="I487" s="111"/>
      <c r="J487" s="111"/>
      <c r="K487" s="112"/>
      <c r="L487" s="112"/>
      <c r="M487" s="112"/>
      <c r="N487" s="112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</row>
    <row r="488" spans="1:30" ht="12" customHeight="1">
      <c r="A488" s="108"/>
      <c r="B488" s="108"/>
      <c r="C488" s="109"/>
      <c r="D488" s="109"/>
      <c r="E488" s="109"/>
      <c r="F488" s="109"/>
      <c r="G488" s="109"/>
      <c r="H488" s="109"/>
      <c r="I488" s="111"/>
      <c r="J488" s="111"/>
      <c r="K488" s="112"/>
      <c r="L488" s="112"/>
      <c r="M488" s="112"/>
      <c r="N488" s="112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</row>
    <row r="489" spans="1:30" ht="12" customHeight="1">
      <c r="A489" s="108"/>
      <c r="B489" s="108"/>
      <c r="C489" s="109"/>
      <c r="D489" s="109"/>
      <c r="E489" s="109"/>
      <c r="F489" s="109"/>
      <c r="G489" s="109"/>
      <c r="H489" s="109"/>
      <c r="I489" s="111"/>
      <c r="J489" s="111"/>
      <c r="K489" s="112"/>
      <c r="L489" s="112"/>
      <c r="M489" s="112"/>
      <c r="N489" s="112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</row>
    <row r="490" spans="1:30" ht="12" customHeight="1">
      <c r="A490" s="108"/>
      <c r="B490" s="108"/>
      <c r="C490" s="109"/>
      <c r="D490" s="109"/>
      <c r="E490" s="109"/>
      <c r="F490" s="109"/>
      <c r="G490" s="109"/>
      <c r="H490" s="109"/>
      <c r="I490" s="111"/>
      <c r="J490" s="111"/>
      <c r="K490" s="112"/>
      <c r="L490" s="112"/>
      <c r="M490" s="112"/>
      <c r="N490" s="112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</row>
    <row r="491" spans="1:30" ht="12" customHeight="1">
      <c r="A491" s="108"/>
      <c r="B491" s="108"/>
      <c r="C491" s="109"/>
      <c r="D491" s="109"/>
      <c r="E491" s="109"/>
      <c r="F491" s="109"/>
      <c r="G491" s="109"/>
      <c r="H491" s="109"/>
      <c r="I491" s="111"/>
      <c r="J491" s="111"/>
      <c r="K491" s="112"/>
      <c r="L491" s="112"/>
      <c r="M491" s="112"/>
      <c r="N491" s="112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</row>
    <row r="492" spans="1:30" ht="12" customHeight="1">
      <c r="A492" s="108"/>
      <c r="B492" s="108"/>
      <c r="C492" s="109"/>
      <c r="D492" s="109"/>
      <c r="E492" s="109"/>
      <c r="F492" s="109"/>
      <c r="G492" s="109"/>
      <c r="H492" s="109"/>
      <c r="I492" s="111"/>
      <c r="J492" s="111"/>
      <c r="K492" s="112"/>
      <c r="L492" s="112"/>
      <c r="M492" s="112"/>
      <c r="N492" s="112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</row>
    <row r="493" spans="1:30" ht="12" customHeight="1">
      <c r="A493" s="108"/>
      <c r="B493" s="108"/>
      <c r="C493" s="109"/>
      <c r="D493" s="109"/>
      <c r="E493" s="109"/>
      <c r="F493" s="109"/>
      <c r="G493" s="109"/>
      <c r="H493" s="109"/>
      <c r="I493" s="111"/>
      <c r="J493" s="111"/>
      <c r="K493" s="112"/>
      <c r="L493" s="112"/>
      <c r="M493" s="112"/>
      <c r="N493" s="112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</row>
    <row r="494" spans="1:30" ht="12" customHeight="1">
      <c r="A494" s="108"/>
      <c r="B494" s="108"/>
      <c r="C494" s="109"/>
      <c r="D494" s="109"/>
      <c r="E494" s="109"/>
      <c r="F494" s="109"/>
      <c r="G494" s="109"/>
      <c r="H494" s="109"/>
      <c r="I494" s="111"/>
      <c r="J494" s="111"/>
      <c r="K494" s="112"/>
      <c r="L494" s="112"/>
      <c r="M494" s="112"/>
      <c r="N494" s="112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</row>
    <row r="495" spans="1:30" ht="12" customHeight="1">
      <c r="A495" s="108"/>
      <c r="B495" s="108"/>
      <c r="C495" s="109"/>
      <c r="D495" s="109"/>
      <c r="E495" s="109"/>
      <c r="F495" s="109"/>
      <c r="G495" s="109"/>
      <c r="H495" s="109"/>
      <c r="I495" s="111"/>
      <c r="J495" s="111"/>
      <c r="K495" s="112"/>
      <c r="L495" s="112"/>
      <c r="M495" s="112"/>
      <c r="N495" s="112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</row>
    <row r="496" spans="1:30" ht="12" customHeight="1">
      <c r="A496" s="108"/>
      <c r="B496" s="108"/>
      <c r="C496" s="109"/>
      <c r="D496" s="109"/>
      <c r="E496" s="109"/>
      <c r="F496" s="109"/>
      <c r="G496" s="109"/>
      <c r="H496" s="109"/>
      <c r="I496" s="111"/>
      <c r="J496" s="111"/>
      <c r="K496" s="112"/>
      <c r="L496" s="112"/>
      <c r="M496" s="112"/>
      <c r="N496" s="112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</row>
    <row r="497" spans="1:30" ht="12" customHeight="1">
      <c r="A497" s="108"/>
      <c r="B497" s="108"/>
      <c r="C497" s="109"/>
      <c r="D497" s="109"/>
      <c r="E497" s="109"/>
      <c r="F497" s="109"/>
      <c r="G497" s="109"/>
      <c r="H497" s="109"/>
      <c r="I497" s="111"/>
      <c r="J497" s="111"/>
      <c r="K497" s="112"/>
      <c r="L497" s="112"/>
      <c r="M497" s="112"/>
      <c r="N497" s="112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</row>
    <row r="498" spans="1:30" ht="12" customHeight="1">
      <c r="A498" s="108"/>
      <c r="B498" s="108"/>
      <c r="C498" s="109"/>
      <c r="D498" s="109"/>
      <c r="E498" s="109"/>
      <c r="F498" s="109"/>
      <c r="G498" s="109"/>
      <c r="H498" s="109"/>
      <c r="I498" s="111"/>
      <c r="J498" s="111"/>
      <c r="K498" s="112"/>
      <c r="L498" s="112"/>
      <c r="M498" s="112"/>
      <c r="N498" s="112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</row>
    <row r="499" spans="1:30" ht="12" customHeight="1">
      <c r="A499" s="108"/>
      <c r="B499" s="108"/>
      <c r="C499" s="109"/>
      <c r="D499" s="109"/>
      <c r="E499" s="109"/>
      <c r="F499" s="109"/>
      <c r="G499" s="109"/>
      <c r="H499" s="109"/>
      <c r="I499" s="111"/>
      <c r="J499" s="111"/>
      <c r="K499" s="112"/>
      <c r="L499" s="112"/>
      <c r="M499" s="112"/>
      <c r="N499" s="112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</row>
    <row r="500" spans="1:30" ht="12" customHeight="1">
      <c r="A500" s="108"/>
      <c r="B500" s="108"/>
      <c r="C500" s="109"/>
      <c r="D500" s="109"/>
      <c r="E500" s="109"/>
      <c r="F500" s="109"/>
      <c r="G500" s="109"/>
      <c r="H500" s="109"/>
      <c r="I500" s="111"/>
      <c r="J500" s="111"/>
      <c r="K500" s="112"/>
      <c r="L500" s="112"/>
      <c r="M500" s="112"/>
      <c r="N500" s="112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</row>
    <row r="501" spans="1:30" ht="12" customHeight="1">
      <c r="A501" s="108"/>
      <c r="B501" s="108"/>
      <c r="C501" s="109"/>
      <c r="D501" s="109"/>
      <c r="E501" s="109"/>
      <c r="F501" s="109"/>
      <c r="G501" s="109"/>
      <c r="H501" s="109"/>
      <c r="I501" s="111"/>
      <c r="J501" s="111"/>
      <c r="K501" s="112"/>
      <c r="L501" s="112"/>
      <c r="M501" s="112"/>
      <c r="N501" s="112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</row>
    <row r="502" spans="1:30" ht="12" customHeight="1">
      <c r="A502" s="108"/>
      <c r="B502" s="108"/>
      <c r="C502" s="109"/>
      <c r="D502" s="109"/>
      <c r="E502" s="109"/>
      <c r="F502" s="109"/>
      <c r="G502" s="109"/>
      <c r="H502" s="109"/>
      <c r="I502" s="111"/>
      <c r="J502" s="111"/>
      <c r="K502" s="112"/>
      <c r="L502" s="112"/>
      <c r="M502" s="112"/>
      <c r="N502" s="112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</row>
    <row r="503" spans="1:30" ht="12" customHeight="1">
      <c r="A503" s="108"/>
      <c r="B503" s="108"/>
      <c r="C503" s="109"/>
      <c r="D503" s="109"/>
      <c r="E503" s="109"/>
      <c r="F503" s="109"/>
      <c r="G503" s="109"/>
      <c r="H503" s="109"/>
      <c r="I503" s="111"/>
      <c r="J503" s="111"/>
      <c r="K503" s="112"/>
      <c r="L503" s="112"/>
      <c r="M503" s="112"/>
      <c r="N503" s="112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</row>
    <row r="504" spans="1:30" ht="12" customHeight="1">
      <c r="A504" s="108"/>
      <c r="B504" s="108"/>
      <c r="C504" s="109"/>
      <c r="D504" s="109"/>
      <c r="E504" s="109"/>
      <c r="F504" s="109"/>
      <c r="G504" s="109"/>
      <c r="H504" s="109"/>
      <c r="I504" s="111"/>
      <c r="J504" s="111"/>
      <c r="K504" s="112"/>
      <c r="L504" s="112"/>
      <c r="M504" s="112"/>
      <c r="N504" s="112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</row>
    <row r="505" spans="1:30" ht="12" customHeight="1">
      <c r="A505" s="108"/>
      <c r="B505" s="108"/>
      <c r="C505" s="109"/>
      <c r="D505" s="109"/>
      <c r="E505" s="109"/>
      <c r="F505" s="109"/>
      <c r="G505" s="109"/>
      <c r="H505" s="109"/>
      <c r="I505" s="111"/>
      <c r="J505" s="111"/>
      <c r="K505" s="112"/>
      <c r="L505" s="112"/>
      <c r="M505" s="112"/>
      <c r="N505" s="112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</row>
    <row r="506" spans="1:30" ht="12" customHeight="1">
      <c r="A506" s="108"/>
      <c r="B506" s="108"/>
      <c r="C506" s="109"/>
      <c r="D506" s="109"/>
      <c r="E506" s="109"/>
      <c r="F506" s="109"/>
      <c r="G506" s="109"/>
      <c r="H506" s="109"/>
      <c r="I506" s="111"/>
      <c r="J506" s="111"/>
      <c r="K506" s="112"/>
      <c r="L506" s="112"/>
      <c r="M506" s="112"/>
      <c r="N506" s="112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</row>
    <row r="507" spans="1:30" ht="12" customHeight="1">
      <c r="A507" s="108"/>
      <c r="B507" s="108"/>
      <c r="C507" s="109"/>
      <c r="D507" s="109"/>
      <c r="E507" s="109"/>
      <c r="F507" s="109"/>
      <c r="G507" s="109"/>
      <c r="H507" s="109"/>
      <c r="I507" s="111"/>
      <c r="J507" s="111"/>
      <c r="K507" s="112"/>
      <c r="L507" s="112"/>
      <c r="M507" s="112"/>
      <c r="N507" s="112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</row>
    <row r="508" spans="1:30" ht="12" customHeight="1">
      <c r="A508" s="108"/>
      <c r="B508" s="108"/>
      <c r="C508" s="109"/>
      <c r="D508" s="109"/>
      <c r="E508" s="109"/>
      <c r="F508" s="109"/>
      <c r="G508" s="109"/>
      <c r="H508" s="109"/>
      <c r="I508" s="111"/>
      <c r="J508" s="111"/>
      <c r="K508" s="112"/>
      <c r="L508" s="112"/>
      <c r="M508" s="112"/>
      <c r="N508" s="112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</row>
    <row r="509" spans="1:30" ht="12" customHeight="1">
      <c r="A509" s="108"/>
      <c r="B509" s="108"/>
      <c r="C509" s="109"/>
      <c r="D509" s="109"/>
      <c r="E509" s="109"/>
      <c r="F509" s="109"/>
      <c r="G509" s="109"/>
      <c r="H509" s="109"/>
      <c r="I509" s="111"/>
      <c r="J509" s="111"/>
      <c r="K509" s="112"/>
      <c r="L509" s="112"/>
      <c r="M509" s="112"/>
      <c r="N509" s="112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</row>
    <row r="510" spans="1:30" ht="12" customHeight="1">
      <c r="A510" s="108"/>
      <c r="B510" s="108"/>
      <c r="C510" s="109"/>
      <c r="D510" s="109"/>
      <c r="E510" s="109"/>
      <c r="F510" s="109"/>
      <c r="G510" s="109"/>
      <c r="H510" s="109"/>
      <c r="I510" s="111"/>
      <c r="J510" s="111"/>
      <c r="K510" s="112"/>
      <c r="L510" s="112"/>
      <c r="M510" s="112"/>
      <c r="N510" s="112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</row>
    <row r="511" spans="1:30" ht="12" customHeight="1">
      <c r="A511" s="108"/>
      <c r="B511" s="108"/>
      <c r="C511" s="109"/>
      <c r="D511" s="109"/>
      <c r="E511" s="109"/>
      <c r="F511" s="109"/>
      <c r="G511" s="109"/>
      <c r="H511" s="109"/>
      <c r="I511" s="111"/>
      <c r="J511" s="111"/>
      <c r="K511" s="112"/>
      <c r="L511" s="112"/>
      <c r="M511" s="112"/>
      <c r="N511" s="112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</row>
    <row r="512" spans="1:30" ht="12" customHeight="1">
      <c r="A512" s="108"/>
      <c r="B512" s="108"/>
      <c r="C512" s="109"/>
      <c r="D512" s="109"/>
      <c r="E512" s="109"/>
      <c r="F512" s="109"/>
      <c r="G512" s="109"/>
      <c r="H512" s="109"/>
      <c r="I512" s="111"/>
      <c r="J512" s="111"/>
      <c r="K512" s="112"/>
      <c r="L512" s="112"/>
      <c r="M512" s="112"/>
      <c r="N512" s="112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</row>
    <row r="513" spans="1:30" ht="12" customHeight="1">
      <c r="A513" s="108"/>
      <c r="B513" s="108"/>
      <c r="C513" s="109"/>
      <c r="D513" s="109"/>
      <c r="E513" s="109"/>
      <c r="F513" s="109"/>
      <c r="G513" s="109"/>
      <c r="H513" s="109"/>
      <c r="I513" s="111"/>
      <c r="J513" s="111"/>
      <c r="K513" s="112"/>
      <c r="L513" s="112"/>
      <c r="M513" s="112"/>
      <c r="N513" s="112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</row>
    <row r="514" spans="1:30" ht="12" customHeight="1">
      <c r="A514" s="108"/>
      <c r="B514" s="108"/>
      <c r="C514" s="109"/>
      <c r="D514" s="109"/>
      <c r="E514" s="109"/>
      <c r="F514" s="109"/>
      <c r="G514" s="109"/>
      <c r="H514" s="109"/>
      <c r="I514" s="111"/>
      <c r="J514" s="111"/>
      <c r="K514" s="112"/>
      <c r="L514" s="112"/>
      <c r="M514" s="112"/>
      <c r="N514" s="112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</row>
    <row r="515" spans="1:30" ht="12" customHeight="1">
      <c r="A515" s="108"/>
      <c r="B515" s="108"/>
      <c r="C515" s="109"/>
      <c r="D515" s="109"/>
      <c r="E515" s="109"/>
      <c r="F515" s="109"/>
      <c r="G515" s="109"/>
      <c r="H515" s="109"/>
      <c r="I515" s="111"/>
      <c r="J515" s="111"/>
      <c r="K515" s="112"/>
      <c r="L515" s="112"/>
      <c r="M515" s="112"/>
      <c r="N515" s="112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</row>
    <row r="516" spans="1:30" ht="12" customHeight="1">
      <c r="A516" s="108"/>
      <c r="B516" s="108"/>
      <c r="C516" s="109"/>
      <c r="D516" s="109"/>
      <c r="E516" s="109"/>
      <c r="F516" s="109"/>
      <c r="G516" s="109"/>
      <c r="H516" s="109"/>
      <c r="I516" s="111"/>
      <c r="J516" s="111"/>
      <c r="K516" s="112"/>
      <c r="L516" s="112"/>
      <c r="M516" s="112"/>
      <c r="N516" s="112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</row>
    <row r="517" spans="1:30" ht="12" customHeight="1">
      <c r="A517" s="108"/>
      <c r="B517" s="108"/>
      <c r="C517" s="109"/>
      <c r="D517" s="109"/>
      <c r="E517" s="109"/>
      <c r="F517" s="109"/>
      <c r="G517" s="109"/>
      <c r="H517" s="109"/>
      <c r="I517" s="111"/>
      <c r="J517" s="111"/>
      <c r="K517" s="112"/>
      <c r="L517" s="112"/>
      <c r="M517" s="112"/>
      <c r="N517" s="112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</row>
    <row r="518" spans="1:30" ht="12" customHeight="1">
      <c r="A518" s="108"/>
      <c r="B518" s="108"/>
      <c r="C518" s="109"/>
      <c r="D518" s="109"/>
      <c r="E518" s="109"/>
      <c r="F518" s="109"/>
      <c r="G518" s="109"/>
      <c r="H518" s="109"/>
      <c r="I518" s="111"/>
      <c r="J518" s="111"/>
      <c r="K518" s="112"/>
      <c r="L518" s="112"/>
      <c r="M518" s="112"/>
      <c r="N518" s="112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</row>
    <row r="519" spans="1:30" ht="12" customHeight="1">
      <c r="A519" s="108"/>
      <c r="B519" s="108"/>
      <c r="C519" s="109"/>
      <c r="D519" s="109"/>
      <c r="E519" s="109"/>
      <c r="F519" s="109"/>
      <c r="G519" s="109"/>
      <c r="H519" s="109"/>
      <c r="I519" s="111"/>
      <c r="J519" s="111"/>
      <c r="K519" s="112"/>
      <c r="L519" s="112"/>
      <c r="M519" s="112"/>
      <c r="N519" s="112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</row>
    <row r="520" spans="1:30" ht="12" customHeight="1">
      <c r="A520" s="108"/>
      <c r="B520" s="108"/>
      <c r="C520" s="109"/>
      <c r="D520" s="109"/>
      <c r="E520" s="109"/>
      <c r="F520" s="109"/>
      <c r="G520" s="109"/>
      <c r="H520" s="109"/>
      <c r="I520" s="111"/>
      <c r="J520" s="111"/>
      <c r="K520" s="112"/>
      <c r="L520" s="112"/>
      <c r="M520" s="112"/>
      <c r="N520" s="112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</row>
    <row r="521" spans="1:30" ht="12" customHeight="1">
      <c r="A521" s="108"/>
      <c r="B521" s="108"/>
      <c r="C521" s="109"/>
      <c r="D521" s="109"/>
      <c r="E521" s="109"/>
      <c r="F521" s="109"/>
      <c r="G521" s="109"/>
      <c r="H521" s="109"/>
      <c r="I521" s="111"/>
      <c r="J521" s="111"/>
      <c r="K521" s="112"/>
      <c r="L521" s="112"/>
      <c r="M521" s="112"/>
      <c r="N521" s="112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</row>
    <row r="522" spans="1:30" ht="12" customHeight="1">
      <c r="A522" s="108"/>
      <c r="B522" s="108"/>
      <c r="C522" s="109"/>
      <c r="D522" s="109"/>
      <c r="E522" s="109"/>
      <c r="F522" s="109"/>
      <c r="G522" s="109"/>
      <c r="H522" s="109"/>
      <c r="I522" s="111"/>
      <c r="J522" s="111"/>
      <c r="K522" s="112"/>
      <c r="L522" s="112"/>
      <c r="M522" s="112"/>
      <c r="N522" s="112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</row>
    <row r="523" spans="1:30" ht="12" customHeight="1">
      <c r="A523" s="108"/>
      <c r="B523" s="108"/>
      <c r="C523" s="109"/>
      <c r="D523" s="109"/>
      <c r="E523" s="109"/>
      <c r="F523" s="109"/>
      <c r="G523" s="109"/>
      <c r="H523" s="109"/>
      <c r="I523" s="111"/>
      <c r="J523" s="111"/>
      <c r="K523" s="112"/>
      <c r="L523" s="112"/>
      <c r="M523" s="112"/>
      <c r="N523" s="112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</row>
    <row r="524" spans="1:30" ht="12" customHeight="1">
      <c r="A524" s="108"/>
      <c r="B524" s="108"/>
      <c r="C524" s="109"/>
      <c r="D524" s="109"/>
      <c r="E524" s="109"/>
      <c r="F524" s="109"/>
      <c r="G524" s="109"/>
      <c r="H524" s="109"/>
      <c r="I524" s="111"/>
      <c r="J524" s="111"/>
      <c r="K524" s="112"/>
      <c r="L524" s="112"/>
      <c r="M524" s="112"/>
      <c r="N524" s="112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</row>
    <row r="525" spans="1:30" ht="12" customHeight="1">
      <c r="A525" s="108"/>
      <c r="B525" s="108"/>
      <c r="C525" s="109"/>
      <c r="D525" s="109"/>
      <c r="E525" s="109"/>
      <c r="F525" s="109"/>
      <c r="G525" s="109"/>
      <c r="H525" s="109"/>
      <c r="I525" s="111"/>
      <c r="J525" s="111"/>
      <c r="K525" s="112"/>
      <c r="L525" s="112"/>
      <c r="M525" s="112"/>
      <c r="N525" s="112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</row>
    <row r="526" spans="1:30" ht="12" customHeight="1">
      <c r="A526" s="108"/>
      <c r="B526" s="108"/>
      <c r="C526" s="109"/>
      <c r="D526" s="109"/>
      <c r="E526" s="109"/>
      <c r="F526" s="109"/>
      <c r="G526" s="109"/>
      <c r="H526" s="109"/>
      <c r="I526" s="111"/>
      <c r="J526" s="111"/>
      <c r="K526" s="112"/>
      <c r="L526" s="112"/>
      <c r="M526" s="112"/>
      <c r="N526" s="112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</row>
    <row r="527" spans="1:30" ht="12" customHeight="1">
      <c r="A527" s="108"/>
      <c r="B527" s="108"/>
      <c r="C527" s="109"/>
      <c r="D527" s="109"/>
      <c r="E527" s="109"/>
      <c r="F527" s="109"/>
      <c r="G527" s="109"/>
      <c r="H527" s="109"/>
      <c r="I527" s="111"/>
      <c r="J527" s="111"/>
      <c r="K527" s="112"/>
      <c r="L527" s="112"/>
      <c r="M527" s="112"/>
      <c r="N527" s="112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</row>
    <row r="528" spans="1:30" ht="12" customHeight="1">
      <c r="A528" s="108"/>
      <c r="B528" s="108"/>
      <c r="C528" s="109"/>
      <c r="D528" s="109"/>
      <c r="E528" s="109"/>
      <c r="F528" s="109"/>
      <c r="G528" s="109"/>
      <c r="H528" s="109"/>
      <c r="I528" s="111"/>
      <c r="J528" s="111"/>
      <c r="K528" s="112"/>
      <c r="L528" s="112"/>
      <c r="M528" s="112"/>
      <c r="N528" s="112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</row>
    <row r="529" spans="1:30" ht="12" customHeight="1">
      <c r="A529" s="108"/>
      <c r="B529" s="108"/>
      <c r="C529" s="109"/>
      <c r="D529" s="109"/>
      <c r="E529" s="109"/>
      <c r="F529" s="109"/>
      <c r="G529" s="109"/>
      <c r="H529" s="109"/>
      <c r="I529" s="111"/>
      <c r="J529" s="111"/>
      <c r="K529" s="112"/>
      <c r="L529" s="112"/>
      <c r="M529" s="112"/>
      <c r="N529" s="112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</row>
    <row r="530" spans="1:30" ht="12" customHeight="1">
      <c r="A530" s="108"/>
      <c r="B530" s="108"/>
      <c r="C530" s="109"/>
      <c r="D530" s="109"/>
      <c r="E530" s="109"/>
      <c r="F530" s="109"/>
      <c r="G530" s="109"/>
      <c r="H530" s="109"/>
      <c r="I530" s="111"/>
      <c r="J530" s="111"/>
      <c r="K530" s="112"/>
      <c r="L530" s="112"/>
      <c r="M530" s="112"/>
      <c r="N530" s="112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</row>
    <row r="531" spans="1:30" ht="12" customHeight="1">
      <c r="A531" s="108"/>
      <c r="B531" s="108"/>
      <c r="C531" s="109"/>
      <c r="D531" s="109"/>
      <c r="E531" s="109"/>
      <c r="F531" s="109"/>
      <c r="G531" s="109"/>
      <c r="H531" s="109"/>
      <c r="I531" s="111"/>
      <c r="J531" s="111"/>
      <c r="K531" s="112"/>
      <c r="L531" s="112"/>
      <c r="M531" s="112"/>
      <c r="N531" s="112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</row>
    <row r="532" spans="1:30" ht="12" customHeight="1">
      <c r="A532" s="108"/>
      <c r="B532" s="108"/>
      <c r="C532" s="109"/>
      <c r="D532" s="109"/>
      <c r="E532" s="109"/>
      <c r="F532" s="109"/>
      <c r="G532" s="109"/>
      <c r="H532" s="109"/>
      <c r="I532" s="111"/>
      <c r="J532" s="111"/>
      <c r="K532" s="112"/>
      <c r="L532" s="112"/>
      <c r="M532" s="112"/>
      <c r="N532" s="112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</row>
    <row r="533" spans="1:30" ht="12" customHeight="1">
      <c r="A533" s="108"/>
      <c r="B533" s="108"/>
      <c r="C533" s="109"/>
      <c r="D533" s="109"/>
      <c r="E533" s="109"/>
      <c r="F533" s="109"/>
      <c r="G533" s="109"/>
      <c r="H533" s="109"/>
      <c r="I533" s="111"/>
      <c r="J533" s="111"/>
      <c r="K533" s="112"/>
      <c r="L533" s="112"/>
      <c r="M533" s="112"/>
      <c r="N533" s="112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</row>
    <row r="534" spans="1:30" ht="12" customHeight="1">
      <c r="A534" s="108"/>
      <c r="B534" s="108"/>
      <c r="C534" s="109"/>
      <c r="D534" s="109"/>
      <c r="E534" s="109"/>
      <c r="F534" s="109"/>
      <c r="G534" s="109"/>
      <c r="H534" s="109"/>
      <c r="I534" s="111"/>
      <c r="J534" s="111"/>
      <c r="K534" s="112"/>
      <c r="L534" s="112"/>
      <c r="M534" s="112"/>
      <c r="N534" s="112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</row>
    <row r="535" spans="1:30" ht="12" customHeight="1">
      <c r="A535" s="108"/>
      <c r="B535" s="108"/>
      <c r="C535" s="109"/>
      <c r="D535" s="109"/>
      <c r="E535" s="109"/>
      <c r="F535" s="109"/>
      <c r="G535" s="109"/>
      <c r="H535" s="109"/>
      <c r="I535" s="111"/>
      <c r="J535" s="111"/>
      <c r="K535" s="112"/>
      <c r="L535" s="112"/>
      <c r="M535" s="112"/>
      <c r="N535" s="112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</row>
    <row r="536" spans="1:30" ht="12" customHeight="1">
      <c r="A536" s="108"/>
      <c r="B536" s="108"/>
      <c r="C536" s="109"/>
      <c r="D536" s="109"/>
      <c r="E536" s="109"/>
      <c r="F536" s="109"/>
      <c r="G536" s="109"/>
      <c r="H536" s="109"/>
      <c r="I536" s="111"/>
      <c r="J536" s="111"/>
      <c r="K536" s="112"/>
      <c r="L536" s="112"/>
      <c r="M536" s="112"/>
      <c r="N536" s="112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</row>
    <row r="537" spans="1:30" ht="12" customHeight="1">
      <c r="A537" s="108"/>
      <c r="B537" s="108"/>
      <c r="C537" s="109"/>
      <c r="D537" s="109"/>
      <c r="E537" s="109"/>
      <c r="F537" s="109"/>
      <c r="G537" s="109"/>
      <c r="H537" s="109"/>
      <c r="I537" s="111"/>
      <c r="J537" s="111"/>
      <c r="K537" s="112"/>
      <c r="L537" s="112"/>
      <c r="M537" s="112"/>
      <c r="N537" s="112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</row>
    <row r="538" spans="1:30" ht="12" customHeight="1">
      <c r="A538" s="108"/>
      <c r="B538" s="108"/>
      <c r="C538" s="109"/>
      <c r="D538" s="109"/>
      <c r="E538" s="109"/>
      <c r="F538" s="109"/>
      <c r="G538" s="109"/>
      <c r="H538" s="109"/>
      <c r="I538" s="111"/>
      <c r="J538" s="111"/>
      <c r="K538" s="112"/>
      <c r="L538" s="112"/>
      <c r="M538" s="112"/>
      <c r="N538" s="112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</row>
    <row r="539" spans="1:30" ht="12" customHeight="1">
      <c r="A539" s="108"/>
      <c r="B539" s="108"/>
      <c r="C539" s="109"/>
      <c r="D539" s="109"/>
      <c r="E539" s="109"/>
      <c r="F539" s="109"/>
      <c r="G539" s="109"/>
      <c r="H539" s="109"/>
      <c r="I539" s="111"/>
      <c r="J539" s="111"/>
      <c r="K539" s="112"/>
      <c r="L539" s="112"/>
      <c r="M539" s="112"/>
      <c r="N539" s="112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</row>
    <row r="540" spans="1:30" ht="12" customHeight="1">
      <c r="A540" s="108"/>
      <c r="B540" s="108"/>
      <c r="C540" s="109"/>
      <c r="D540" s="109"/>
      <c r="E540" s="109"/>
      <c r="F540" s="109"/>
      <c r="G540" s="109"/>
      <c r="H540" s="109"/>
      <c r="I540" s="111"/>
      <c r="J540" s="111"/>
      <c r="K540" s="112"/>
      <c r="L540" s="112"/>
      <c r="M540" s="112"/>
      <c r="N540" s="112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</row>
    <row r="541" spans="1:30" ht="12" customHeight="1">
      <c r="A541" s="108"/>
      <c r="B541" s="108"/>
      <c r="C541" s="109"/>
      <c r="D541" s="109"/>
      <c r="E541" s="109"/>
      <c r="F541" s="109"/>
      <c r="G541" s="109"/>
      <c r="H541" s="109"/>
      <c r="I541" s="111"/>
      <c r="J541" s="111"/>
      <c r="K541" s="112"/>
      <c r="L541" s="112"/>
      <c r="M541" s="112"/>
      <c r="N541" s="112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</row>
    <row r="542" spans="1:30" ht="12" customHeight="1">
      <c r="A542" s="108"/>
      <c r="B542" s="108"/>
      <c r="C542" s="109"/>
      <c r="D542" s="109"/>
      <c r="E542" s="109"/>
      <c r="F542" s="109"/>
      <c r="G542" s="109"/>
      <c r="H542" s="109"/>
      <c r="I542" s="111"/>
      <c r="J542" s="111"/>
      <c r="K542" s="112"/>
      <c r="L542" s="112"/>
      <c r="M542" s="112"/>
      <c r="N542" s="112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</row>
    <row r="543" spans="1:30" ht="12" customHeight="1">
      <c r="A543" s="108"/>
      <c r="B543" s="108"/>
      <c r="C543" s="109"/>
      <c r="D543" s="109"/>
      <c r="E543" s="109"/>
      <c r="F543" s="109"/>
      <c r="G543" s="109"/>
      <c r="H543" s="109"/>
      <c r="I543" s="111"/>
      <c r="J543" s="111"/>
      <c r="K543" s="112"/>
      <c r="L543" s="112"/>
      <c r="M543" s="112"/>
      <c r="N543" s="112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</row>
    <row r="544" spans="1:30" ht="12" customHeight="1">
      <c r="A544" s="108"/>
      <c r="B544" s="108"/>
      <c r="C544" s="109"/>
      <c r="D544" s="109"/>
      <c r="E544" s="109"/>
      <c r="F544" s="109"/>
      <c r="G544" s="109"/>
      <c r="H544" s="109"/>
      <c r="I544" s="111"/>
      <c r="J544" s="111"/>
      <c r="K544" s="112"/>
      <c r="L544" s="112"/>
      <c r="M544" s="112"/>
      <c r="N544" s="112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</row>
    <row r="545" spans="1:30" ht="12" customHeight="1">
      <c r="A545" s="108"/>
      <c r="B545" s="108"/>
      <c r="C545" s="109"/>
      <c r="D545" s="109"/>
      <c r="E545" s="109"/>
      <c r="F545" s="109"/>
      <c r="G545" s="109"/>
      <c r="H545" s="109"/>
      <c r="I545" s="111"/>
      <c r="J545" s="111"/>
      <c r="K545" s="112"/>
      <c r="L545" s="112"/>
      <c r="M545" s="112"/>
      <c r="N545" s="112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</row>
    <row r="546" spans="1:30" ht="12" customHeight="1">
      <c r="A546" s="108"/>
      <c r="B546" s="108"/>
      <c r="C546" s="109"/>
      <c r="D546" s="109"/>
      <c r="E546" s="109"/>
      <c r="F546" s="109"/>
      <c r="G546" s="109"/>
      <c r="H546" s="109"/>
      <c r="I546" s="111"/>
      <c r="J546" s="111"/>
      <c r="K546" s="112"/>
      <c r="L546" s="112"/>
      <c r="M546" s="112"/>
      <c r="N546" s="112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</row>
    <row r="547" spans="1:30" ht="12" customHeight="1">
      <c r="A547" s="108"/>
      <c r="B547" s="108"/>
      <c r="C547" s="109"/>
      <c r="D547" s="109"/>
      <c r="E547" s="109"/>
      <c r="F547" s="109"/>
      <c r="G547" s="109"/>
      <c r="H547" s="109"/>
      <c r="I547" s="111"/>
      <c r="J547" s="111"/>
      <c r="K547" s="112"/>
      <c r="L547" s="112"/>
      <c r="M547" s="112"/>
      <c r="N547" s="112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</row>
    <row r="548" spans="1:30" ht="12" customHeight="1">
      <c r="A548" s="108"/>
      <c r="B548" s="108"/>
      <c r="C548" s="109"/>
      <c r="D548" s="109"/>
      <c r="E548" s="109"/>
      <c r="F548" s="109"/>
      <c r="G548" s="109"/>
      <c r="H548" s="109"/>
      <c r="I548" s="111"/>
      <c r="J548" s="111"/>
      <c r="K548" s="112"/>
      <c r="L548" s="112"/>
      <c r="M548" s="112"/>
      <c r="N548" s="112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</row>
    <row r="549" spans="1:30" ht="12" customHeight="1">
      <c r="A549" s="108"/>
      <c r="B549" s="108"/>
      <c r="C549" s="109"/>
      <c r="D549" s="109"/>
      <c r="E549" s="109"/>
      <c r="F549" s="109"/>
      <c r="G549" s="109"/>
      <c r="H549" s="109"/>
      <c r="I549" s="111"/>
      <c r="J549" s="111"/>
      <c r="K549" s="112"/>
      <c r="L549" s="112"/>
      <c r="M549" s="112"/>
      <c r="N549" s="112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</row>
    <row r="550" spans="1:30" ht="12" customHeight="1">
      <c r="A550" s="108"/>
      <c r="B550" s="108"/>
      <c r="C550" s="109"/>
      <c r="D550" s="109"/>
      <c r="E550" s="109"/>
      <c r="F550" s="109"/>
      <c r="G550" s="109"/>
      <c r="H550" s="109"/>
      <c r="I550" s="111"/>
      <c r="J550" s="111"/>
      <c r="K550" s="112"/>
      <c r="L550" s="112"/>
      <c r="M550" s="112"/>
      <c r="N550" s="112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</row>
    <row r="551" spans="1:30" ht="12" customHeight="1">
      <c r="A551" s="108"/>
      <c r="B551" s="108"/>
      <c r="C551" s="109"/>
      <c r="D551" s="109"/>
      <c r="E551" s="109"/>
      <c r="F551" s="109"/>
      <c r="G551" s="109"/>
      <c r="H551" s="109"/>
      <c r="I551" s="111"/>
      <c r="J551" s="111"/>
      <c r="K551" s="112"/>
      <c r="L551" s="112"/>
      <c r="M551" s="112"/>
      <c r="N551" s="112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</row>
    <row r="552" spans="1:30" ht="12" customHeight="1">
      <c r="A552" s="108"/>
      <c r="B552" s="108"/>
      <c r="C552" s="109"/>
      <c r="D552" s="109"/>
      <c r="E552" s="109"/>
      <c r="F552" s="109"/>
      <c r="G552" s="109"/>
      <c r="H552" s="109"/>
      <c r="I552" s="111"/>
      <c r="J552" s="111"/>
      <c r="K552" s="112"/>
      <c r="L552" s="112"/>
      <c r="M552" s="112"/>
      <c r="N552" s="112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</row>
    <row r="553" spans="1:30" ht="12" customHeight="1">
      <c r="A553" s="108"/>
      <c r="B553" s="108"/>
      <c r="C553" s="109"/>
      <c r="D553" s="109"/>
      <c r="E553" s="109"/>
      <c r="F553" s="109"/>
      <c r="G553" s="109"/>
      <c r="H553" s="109"/>
      <c r="I553" s="111"/>
      <c r="J553" s="111"/>
      <c r="K553" s="112"/>
      <c r="L553" s="112"/>
      <c r="M553" s="112"/>
      <c r="N553" s="112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</row>
    <row r="554" spans="1:30" ht="12" customHeight="1">
      <c r="A554" s="108"/>
      <c r="B554" s="108"/>
      <c r="C554" s="109"/>
      <c r="D554" s="109"/>
      <c r="E554" s="109"/>
      <c r="F554" s="109"/>
      <c r="G554" s="109"/>
      <c r="H554" s="109"/>
      <c r="I554" s="111"/>
      <c r="J554" s="111"/>
      <c r="K554" s="112"/>
      <c r="L554" s="112"/>
      <c r="M554" s="112"/>
      <c r="N554" s="112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</row>
    <row r="555" spans="1:30" ht="12" customHeight="1">
      <c r="A555" s="108"/>
      <c r="B555" s="108"/>
      <c r="C555" s="109"/>
      <c r="D555" s="109"/>
      <c r="E555" s="109"/>
      <c r="F555" s="109"/>
      <c r="G555" s="109"/>
      <c r="H555" s="109"/>
      <c r="I555" s="111"/>
      <c r="J555" s="111"/>
      <c r="K555" s="112"/>
      <c r="L555" s="112"/>
      <c r="M555" s="112"/>
      <c r="N555" s="112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</row>
    <row r="556" spans="1:30" ht="12" customHeight="1">
      <c r="A556" s="108"/>
      <c r="B556" s="108"/>
      <c r="C556" s="109"/>
      <c r="D556" s="109"/>
      <c r="E556" s="109"/>
      <c r="F556" s="109"/>
      <c r="G556" s="109"/>
      <c r="H556" s="109"/>
      <c r="I556" s="111"/>
      <c r="J556" s="111"/>
      <c r="K556" s="112"/>
      <c r="L556" s="112"/>
      <c r="M556" s="112"/>
      <c r="N556" s="112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</row>
    <row r="557" spans="1:30" ht="12" customHeight="1">
      <c r="A557" s="108"/>
      <c r="B557" s="108"/>
      <c r="C557" s="109"/>
      <c r="D557" s="109"/>
      <c r="E557" s="109"/>
      <c r="F557" s="109"/>
      <c r="G557" s="109"/>
      <c r="H557" s="109"/>
      <c r="I557" s="111"/>
      <c r="J557" s="111"/>
      <c r="K557" s="112"/>
      <c r="L557" s="112"/>
      <c r="M557" s="112"/>
      <c r="N557" s="112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</row>
    <row r="558" spans="1:30" ht="12" customHeight="1">
      <c r="A558" s="108"/>
      <c r="B558" s="108"/>
      <c r="C558" s="109"/>
      <c r="D558" s="109"/>
      <c r="E558" s="109"/>
      <c r="F558" s="109"/>
      <c r="G558" s="109"/>
      <c r="H558" s="109"/>
      <c r="I558" s="111"/>
      <c r="J558" s="111"/>
      <c r="K558" s="112"/>
      <c r="L558" s="112"/>
      <c r="M558" s="112"/>
      <c r="N558" s="112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</row>
    <row r="559" spans="1:30" ht="12" customHeight="1">
      <c r="A559" s="108"/>
      <c r="B559" s="108"/>
      <c r="C559" s="109"/>
      <c r="D559" s="109"/>
      <c r="E559" s="109"/>
      <c r="F559" s="109"/>
      <c r="G559" s="109"/>
      <c r="H559" s="109"/>
      <c r="I559" s="111"/>
      <c r="J559" s="111"/>
      <c r="K559" s="112"/>
      <c r="L559" s="112"/>
      <c r="M559" s="112"/>
      <c r="N559" s="112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</row>
    <row r="560" spans="1:30" ht="12" customHeight="1">
      <c r="A560" s="108"/>
      <c r="B560" s="108"/>
      <c r="C560" s="109"/>
      <c r="D560" s="109"/>
      <c r="E560" s="109"/>
      <c r="F560" s="109"/>
      <c r="G560" s="109"/>
      <c r="H560" s="109"/>
      <c r="I560" s="111"/>
      <c r="J560" s="111"/>
      <c r="K560" s="112"/>
      <c r="L560" s="112"/>
      <c r="M560" s="112"/>
      <c r="N560" s="112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</row>
    <row r="561" spans="1:30" ht="12" customHeight="1">
      <c r="A561" s="108"/>
      <c r="B561" s="108"/>
      <c r="C561" s="109"/>
      <c r="D561" s="109"/>
      <c r="E561" s="109"/>
      <c r="F561" s="109"/>
      <c r="G561" s="109"/>
      <c r="H561" s="109"/>
      <c r="I561" s="111"/>
      <c r="J561" s="111"/>
      <c r="K561" s="112"/>
      <c r="L561" s="112"/>
      <c r="M561" s="112"/>
      <c r="N561" s="112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</row>
    <row r="562" spans="1:30" ht="12" customHeight="1">
      <c r="A562" s="108"/>
      <c r="B562" s="108"/>
      <c r="C562" s="109"/>
      <c r="D562" s="109"/>
      <c r="E562" s="109"/>
      <c r="F562" s="109"/>
      <c r="G562" s="109"/>
      <c r="H562" s="109"/>
      <c r="I562" s="111"/>
      <c r="J562" s="111"/>
      <c r="K562" s="112"/>
      <c r="L562" s="112"/>
      <c r="M562" s="112"/>
      <c r="N562" s="112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</row>
    <row r="563" spans="1:30" ht="12" customHeight="1">
      <c r="A563" s="108"/>
      <c r="B563" s="108"/>
      <c r="C563" s="109"/>
      <c r="D563" s="109"/>
      <c r="E563" s="109"/>
      <c r="F563" s="109"/>
      <c r="G563" s="109"/>
      <c r="H563" s="109"/>
      <c r="I563" s="111"/>
      <c r="J563" s="111"/>
      <c r="K563" s="112"/>
      <c r="L563" s="112"/>
      <c r="M563" s="112"/>
      <c r="N563" s="112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</row>
    <row r="564" spans="1:30" ht="12" customHeight="1">
      <c r="A564" s="108"/>
      <c r="B564" s="108"/>
      <c r="C564" s="109"/>
      <c r="D564" s="109"/>
      <c r="E564" s="109"/>
      <c r="F564" s="109"/>
      <c r="G564" s="109"/>
      <c r="H564" s="109"/>
      <c r="I564" s="111"/>
      <c r="J564" s="111"/>
      <c r="K564" s="112"/>
      <c r="L564" s="112"/>
      <c r="M564" s="112"/>
      <c r="N564" s="112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</row>
    <row r="565" spans="1:30" ht="12" customHeight="1">
      <c r="A565" s="108"/>
      <c r="B565" s="108"/>
      <c r="C565" s="109"/>
      <c r="D565" s="109"/>
      <c r="E565" s="109"/>
      <c r="F565" s="109"/>
      <c r="G565" s="109"/>
      <c r="H565" s="109"/>
      <c r="I565" s="111"/>
      <c r="J565" s="111"/>
      <c r="K565" s="112"/>
      <c r="L565" s="112"/>
      <c r="M565" s="112"/>
      <c r="N565" s="112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</row>
    <row r="566" spans="1:30" ht="12" customHeight="1">
      <c r="A566" s="108"/>
      <c r="B566" s="108"/>
      <c r="C566" s="109"/>
      <c r="D566" s="109"/>
      <c r="E566" s="109"/>
      <c r="F566" s="109"/>
      <c r="G566" s="109"/>
      <c r="H566" s="109"/>
      <c r="I566" s="111"/>
      <c r="J566" s="111"/>
      <c r="K566" s="112"/>
      <c r="L566" s="112"/>
      <c r="M566" s="112"/>
      <c r="N566" s="112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</row>
    <row r="567" spans="1:30" ht="12" customHeight="1">
      <c r="A567" s="108"/>
      <c r="B567" s="108"/>
      <c r="C567" s="109"/>
      <c r="D567" s="109"/>
      <c r="E567" s="109"/>
      <c r="F567" s="109"/>
      <c r="G567" s="109"/>
      <c r="H567" s="109"/>
      <c r="I567" s="111"/>
      <c r="J567" s="111"/>
      <c r="K567" s="112"/>
      <c r="L567" s="112"/>
      <c r="M567" s="112"/>
      <c r="N567" s="112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</row>
    <row r="568" spans="1:30" ht="12" customHeight="1">
      <c r="A568" s="108"/>
      <c r="B568" s="108"/>
      <c r="C568" s="109"/>
      <c r="D568" s="109"/>
      <c r="E568" s="109"/>
      <c r="F568" s="109"/>
      <c r="G568" s="109"/>
      <c r="H568" s="109"/>
      <c r="I568" s="111"/>
      <c r="J568" s="111"/>
      <c r="K568" s="112"/>
      <c r="L568" s="112"/>
      <c r="M568" s="112"/>
      <c r="N568" s="112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</row>
    <row r="569" spans="1:30" ht="12" customHeight="1">
      <c r="A569" s="108"/>
      <c r="B569" s="108"/>
      <c r="C569" s="109"/>
      <c r="D569" s="109"/>
      <c r="E569" s="109"/>
      <c r="F569" s="109"/>
      <c r="G569" s="109"/>
      <c r="H569" s="109"/>
      <c r="I569" s="111"/>
      <c r="J569" s="111"/>
      <c r="K569" s="112"/>
      <c r="L569" s="112"/>
      <c r="M569" s="112"/>
      <c r="N569" s="112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</row>
    <row r="570" spans="1:30" ht="12" customHeight="1">
      <c r="A570" s="108"/>
      <c r="B570" s="108"/>
      <c r="C570" s="109"/>
      <c r="D570" s="109"/>
      <c r="E570" s="109"/>
      <c r="F570" s="109"/>
      <c r="G570" s="109"/>
      <c r="H570" s="109"/>
      <c r="I570" s="111"/>
      <c r="J570" s="111"/>
      <c r="K570" s="112"/>
      <c r="L570" s="112"/>
      <c r="M570" s="112"/>
      <c r="N570" s="112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</row>
    <row r="571" spans="1:30" ht="12" customHeight="1">
      <c r="A571" s="108"/>
      <c r="B571" s="108"/>
      <c r="C571" s="109"/>
      <c r="D571" s="109"/>
      <c r="E571" s="109"/>
      <c r="F571" s="109"/>
      <c r="G571" s="109"/>
      <c r="H571" s="109"/>
      <c r="I571" s="111"/>
      <c r="J571" s="111"/>
      <c r="K571" s="112"/>
      <c r="L571" s="112"/>
      <c r="M571" s="112"/>
      <c r="N571" s="112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</row>
    <row r="572" spans="1:30" ht="12" customHeight="1">
      <c r="A572" s="108"/>
      <c r="B572" s="108"/>
      <c r="C572" s="109"/>
      <c r="D572" s="109"/>
      <c r="E572" s="109"/>
      <c r="F572" s="109"/>
      <c r="G572" s="109"/>
      <c r="H572" s="109"/>
      <c r="I572" s="111"/>
      <c r="J572" s="111"/>
      <c r="K572" s="112"/>
      <c r="L572" s="112"/>
      <c r="M572" s="112"/>
      <c r="N572" s="112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</row>
    <row r="573" spans="1:30" ht="12" customHeight="1">
      <c r="A573" s="108"/>
      <c r="B573" s="108"/>
      <c r="C573" s="109"/>
      <c r="D573" s="109"/>
      <c r="E573" s="109"/>
      <c r="F573" s="109"/>
      <c r="G573" s="109"/>
      <c r="H573" s="109"/>
      <c r="I573" s="111"/>
      <c r="J573" s="111"/>
      <c r="K573" s="112"/>
      <c r="L573" s="112"/>
      <c r="M573" s="112"/>
      <c r="N573" s="112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</row>
    <row r="574" spans="1:30" ht="12" customHeight="1">
      <c r="A574" s="108"/>
      <c r="B574" s="108"/>
      <c r="C574" s="109"/>
      <c r="D574" s="109"/>
      <c r="E574" s="109"/>
      <c r="F574" s="109"/>
      <c r="G574" s="109"/>
      <c r="H574" s="109"/>
      <c r="I574" s="111"/>
      <c r="J574" s="111"/>
      <c r="K574" s="112"/>
      <c r="L574" s="112"/>
      <c r="M574" s="112"/>
      <c r="N574" s="112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</row>
    <row r="575" spans="1:30" ht="12" customHeight="1">
      <c r="A575" s="108"/>
      <c r="B575" s="108"/>
      <c r="C575" s="109"/>
      <c r="D575" s="109"/>
      <c r="E575" s="109"/>
      <c r="F575" s="109"/>
      <c r="G575" s="109"/>
      <c r="H575" s="109"/>
      <c r="I575" s="111"/>
      <c r="J575" s="111"/>
      <c r="K575" s="112"/>
      <c r="L575" s="112"/>
      <c r="M575" s="112"/>
      <c r="N575" s="112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</row>
    <row r="576" spans="1:30" ht="12" customHeight="1">
      <c r="A576" s="108"/>
      <c r="B576" s="108"/>
      <c r="C576" s="109"/>
      <c r="D576" s="109"/>
      <c r="E576" s="109"/>
      <c r="F576" s="109"/>
      <c r="G576" s="109"/>
      <c r="H576" s="109"/>
      <c r="I576" s="111"/>
      <c r="J576" s="111"/>
      <c r="K576" s="112"/>
      <c r="L576" s="112"/>
      <c r="M576" s="112"/>
      <c r="N576" s="112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</row>
    <row r="577" spans="1:30" ht="12" customHeight="1">
      <c r="A577" s="108"/>
      <c r="B577" s="108"/>
      <c r="C577" s="109"/>
      <c r="D577" s="109"/>
      <c r="E577" s="109"/>
      <c r="F577" s="109"/>
      <c r="G577" s="109"/>
      <c r="H577" s="109"/>
      <c r="I577" s="111"/>
      <c r="J577" s="111"/>
      <c r="K577" s="112"/>
      <c r="L577" s="112"/>
      <c r="M577" s="112"/>
      <c r="N577" s="112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</row>
    <row r="578" spans="1:30" ht="12" customHeight="1">
      <c r="A578" s="108"/>
      <c r="B578" s="108"/>
      <c r="C578" s="109"/>
      <c r="D578" s="109"/>
      <c r="E578" s="109"/>
      <c r="F578" s="109"/>
      <c r="G578" s="109"/>
      <c r="H578" s="109"/>
      <c r="I578" s="111"/>
      <c r="J578" s="111"/>
      <c r="K578" s="112"/>
      <c r="L578" s="112"/>
      <c r="M578" s="112"/>
      <c r="N578" s="112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</row>
    <row r="579" spans="1:30" ht="12" customHeight="1">
      <c r="A579" s="108"/>
      <c r="B579" s="108"/>
      <c r="C579" s="109"/>
      <c r="D579" s="109"/>
      <c r="E579" s="109"/>
      <c r="F579" s="109"/>
      <c r="G579" s="109"/>
      <c r="H579" s="109"/>
      <c r="I579" s="111"/>
      <c r="J579" s="111"/>
      <c r="K579" s="112"/>
      <c r="L579" s="112"/>
      <c r="M579" s="112"/>
      <c r="N579" s="112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</row>
    <row r="580" spans="1:30" ht="12" customHeight="1">
      <c r="A580" s="108"/>
      <c r="B580" s="108"/>
      <c r="C580" s="109"/>
      <c r="D580" s="109"/>
      <c r="E580" s="109"/>
      <c r="F580" s="109"/>
      <c r="G580" s="109"/>
      <c r="H580" s="109"/>
      <c r="I580" s="111"/>
      <c r="J580" s="111"/>
      <c r="K580" s="112"/>
      <c r="L580" s="112"/>
      <c r="M580" s="112"/>
      <c r="N580" s="112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</row>
    <row r="581" spans="1:30" ht="12" customHeight="1">
      <c r="A581" s="108"/>
      <c r="B581" s="108"/>
      <c r="C581" s="109"/>
      <c r="D581" s="109"/>
      <c r="E581" s="109"/>
      <c r="F581" s="109"/>
      <c r="G581" s="109"/>
      <c r="H581" s="109"/>
      <c r="I581" s="111"/>
      <c r="J581" s="111"/>
      <c r="K581" s="112"/>
      <c r="L581" s="112"/>
      <c r="M581" s="112"/>
      <c r="N581" s="112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</row>
    <row r="582" spans="1:30" ht="12" customHeight="1">
      <c r="A582" s="108"/>
      <c r="B582" s="108"/>
      <c r="C582" s="109"/>
      <c r="D582" s="109"/>
      <c r="E582" s="109"/>
      <c r="F582" s="109"/>
      <c r="G582" s="109"/>
      <c r="H582" s="109"/>
      <c r="I582" s="111"/>
      <c r="J582" s="111"/>
      <c r="K582" s="112"/>
      <c r="L582" s="112"/>
      <c r="M582" s="112"/>
      <c r="N582" s="112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</row>
    <row r="583" spans="1:30" ht="12" customHeight="1">
      <c r="A583" s="108"/>
      <c r="B583" s="108"/>
      <c r="C583" s="109"/>
      <c r="D583" s="109"/>
      <c r="E583" s="109"/>
      <c r="F583" s="109"/>
      <c r="G583" s="109"/>
      <c r="H583" s="109"/>
      <c r="I583" s="111"/>
      <c r="J583" s="111"/>
      <c r="K583" s="112"/>
      <c r="L583" s="112"/>
      <c r="M583" s="112"/>
      <c r="N583" s="112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</row>
    <row r="584" spans="1:30" ht="12" customHeight="1">
      <c r="A584" s="108"/>
      <c r="B584" s="108"/>
      <c r="C584" s="109"/>
      <c r="D584" s="109"/>
      <c r="E584" s="109"/>
      <c r="F584" s="109"/>
      <c r="G584" s="109"/>
      <c r="H584" s="109"/>
      <c r="I584" s="111"/>
      <c r="J584" s="111"/>
      <c r="K584" s="112"/>
      <c r="L584" s="112"/>
      <c r="M584" s="112"/>
      <c r="N584" s="112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</row>
    <row r="585" spans="1:30" ht="12" customHeight="1">
      <c r="A585" s="108"/>
      <c r="B585" s="108"/>
      <c r="C585" s="109"/>
      <c r="D585" s="109"/>
      <c r="E585" s="109"/>
      <c r="F585" s="109"/>
      <c r="G585" s="109"/>
      <c r="H585" s="109"/>
      <c r="I585" s="111"/>
      <c r="J585" s="111"/>
      <c r="K585" s="112"/>
      <c r="L585" s="112"/>
      <c r="M585" s="112"/>
      <c r="N585" s="112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</row>
    <row r="586" spans="1:30" ht="12" customHeight="1">
      <c r="A586" s="108"/>
      <c r="B586" s="108"/>
      <c r="C586" s="109"/>
      <c r="D586" s="109"/>
      <c r="E586" s="109"/>
      <c r="F586" s="109"/>
      <c r="G586" s="109"/>
      <c r="H586" s="109"/>
      <c r="I586" s="111"/>
      <c r="J586" s="111"/>
      <c r="K586" s="112"/>
      <c r="L586" s="112"/>
      <c r="M586" s="112"/>
      <c r="N586" s="112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</row>
    <row r="587" spans="1:30" ht="12" customHeight="1">
      <c r="A587" s="108"/>
      <c r="B587" s="108"/>
      <c r="C587" s="109"/>
      <c r="D587" s="109"/>
      <c r="E587" s="109"/>
      <c r="F587" s="109"/>
      <c r="G587" s="109"/>
      <c r="H587" s="109"/>
      <c r="I587" s="111"/>
      <c r="J587" s="111"/>
      <c r="K587" s="112"/>
      <c r="L587" s="112"/>
      <c r="M587" s="112"/>
      <c r="N587" s="112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</row>
    <row r="588" spans="1:30" ht="12" customHeight="1">
      <c r="A588" s="108"/>
      <c r="B588" s="108"/>
      <c r="C588" s="109"/>
      <c r="D588" s="109"/>
      <c r="E588" s="109"/>
      <c r="F588" s="109"/>
      <c r="G588" s="109"/>
      <c r="H588" s="109"/>
      <c r="I588" s="111"/>
      <c r="J588" s="111"/>
      <c r="K588" s="112"/>
      <c r="L588" s="112"/>
      <c r="M588" s="112"/>
      <c r="N588" s="112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</row>
    <row r="589" spans="1:30" ht="12" customHeight="1">
      <c r="A589" s="108"/>
      <c r="B589" s="108"/>
      <c r="C589" s="109"/>
      <c r="D589" s="109"/>
      <c r="E589" s="109"/>
      <c r="F589" s="109"/>
      <c r="G589" s="109"/>
      <c r="H589" s="109"/>
      <c r="I589" s="111"/>
      <c r="J589" s="111"/>
      <c r="K589" s="112"/>
      <c r="L589" s="112"/>
      <c r="M589" s="112"/>
      <c r="N589" s="112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</row>
    <row r="590" spans="1:30" ht="12" customHeight="1">
      <c r="A590" s="108"/>
      <c r="B590" s="108"/>
      <c r="C590" s="109"/>
      <c r="D590" s="109"/>
      <c r="E590" s="109"/>
      <c r="F590" s="109"/>
      <c r="G590" s="109"/>
      <c r="H590" s="109"/>
      <c r="I590" s="111"/>
      <c r="J590" s="111"/>
      <c r="K590" s="112"/>
      <c r="L590" s="112"/>
      <c r="M590" s="112"/>
      <c r="N590" s="112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</row>
    <row r="591" spans="1:30" ht="12" customHeight="1">
      <c r="A591" s="108"/>
      <c r="B591" s="108"/>
      <c r="C591" s="109"/>
      <c r="D591" s="109"/>
      <c r="E591" s="109"/>
      <c r="F591" s="109"/>
      <c r="G591" s="109"/>
      <c r="H591" s="109"/>
      <c r="I591" s="111"/>
      <c r="J591" s="111"/>
      <c r="K591" s="112"/>
      <c r="L591" s="112"/>
      <c r="M591" s="112"/>
      <c r="N591" s="112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</row>
    <row r="592" spans="1:30" ht="12" customHeight="1">
      <c r="A592" s="108"/>
      <c r="B592" s="108"/>
      <c r="C592" s="109"/>
      <c r="D592" s="109"/>
      <c r="E592" s="109"/>
      <c r="F592" s="109"/>
      <c r="G592" s="109"/>
      <c r="H592" s="109"/>
      <c r="I592" s="111"/>
      <c r="J592" s="111"/>
      <c r="K592" s="112"/>
      <c r="L592" s="112"/>
      <c r="M592" s="112"/>
      <c r="N592" s="112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</row>
    <row r="593" spans="1:30" ht="12" customHeight="1">
      <c r="A593" s="108"/>
      <c r="B593" s="108"/>
      <c r="C593" s="109"/>
      <c r="D593" s="109"/>
      <c r="E593" s="109"/>
      <c r="F593" s="109"/>
      <c r="G593" s="109"/>
      <c r="H593" s="109"/>
      <c r="I593" s="111"/>
      <c r="J593" s="111"/>
      <c r="K593" s="112"/>
      <c r="L593" s="112"/>
      <c r="M593" s="112"/>
      <c r="N593" s="112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</row>
    <row r="594" spans="1:30" ht="12" customHeight="1">
      <c r="A594" s="108"/>
      <c r="B594" s="108"/>
      <c r="C594" s="109"/>
      <c r="D594" s="109"/>
      <c r="E594" s="109"/>
      <c r="F594" s="109"/>
      <c r="G594" s="109"/>
      <c r="H594" s="109"/>
      <c r="I594" s="111"/>
      <c r="J594" s="111"/>
      <c r="K594" s="112"/>
      <c r="L594" s="112"/>
      <c r="M594" s="112"/>
      <c r="N594" s="112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</row>
    <row r="595" spans="1:30" ht="12" customHeight="1">
      <c r="A595" s="108"/>
      <c r="B595" s="108"/>
      <c r="C595" s="109"/>
      <c r="D595" s="109"/>
      <c r="E595" s="109"/>
      <c r="F595" s="109"/>
      <c r="G595" s="109"/>
      <c r="H595" s="109"/>
      <c r="I595" s="111"/>
      <c r="J595" s="111"/>
      <c r="K595" s="112"/>
      <c r="L595" s="112"/>
      <c r="M595" s="112"/>
      <c r="N595" s="112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</row>
    <row r="596" spans="1:30" ht="12" customHeight="1">
      <c r="A596" s="108"/>
      <c r="B596" s="108"/>
      <c r="C596" s="109"/>
      <c r="D596" s="109"/>
      <c r="E596" s="109"/>
      <c r="F596" s="109"/>
      <c r="G596" s="109"/>
      <c r="H596" s="109"/>
      <c r="I596" s="111"/>
      <c r="J596" s="111"/>
      <c r="K596" s="112"/>
      <c r="L596" s="112"/>
      <c r="M596" s="112"/>
      <c r="N596" s="112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</row>
    <row r="597" spans="1:30" ht="12" customHeight="1">
      <c r="A597" s="108"/>
      <c r="B597" s="108"/>
      <c r="C597" s="109"/>
      <c r="D597" s="109"/>
      <c r="E597" s="109"/>
      <c r="F597" s="109"/>
      <c r="G597" s="109"/>
      <c r="H597" s="109"/>
      <c r="I597" s="111"/>
      <c r="J597" s="111"/>
      <c r="K597" s="112"/>
      <c r="L597" s="112"/>
      <c r="M597" s="112"/>
      <c r="N597" s="112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</row>
    <row r="598" spans="1:30" ht="12" customHeight="1">
      <c r="A598" s="108"/>
      <c r="B598" s="108"/>
      <c r="C598" s="109"/>
      <c r="D598" s="109"/>
      <c r="E598" s="109"/>
      <c r="F598" s="109"/>
      <c r="G598" s="109"/>
      <c r="H598" s="109"/>
      <c r="I598" s="111"/>
      <c r="J598" s="111"/>
      <c r="K598" s="112"/>
      <c r="L598" s="112"/>
      <c r="M598" s="112"/>
      <c r="N598" s="112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</row>
    <row r="599" spans="1:30" ht="12" customHeight="1">
      <c r="A599" s="108"/>
      <c r="B599" s="108"/>
      <c r="C599" s="109"/>
      <c r="D599" s="109"/>
      <c r="E599" s="109"/>
      <c r="F599" s="109"/>
      <c r="G599" s="109"/>
      <c r="H599" s="109"/>
      <c r="I599" s="111"/>
      <c r="J599" s="111"/>
      <c r="K599" s="112"/>
      <c r="L599" s="112"/>
      <c r="M599" s="112"/>
      <c r="N599" s="112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</row>
    <row r="600" spans="1:30" ht="12" customHeight="1">
      <c r="A600" s="108"/>
      <c r="B600" s="108"/>
      <c r="C600" s="109"/>
      <c r="D600" s="109"/>
      <c r="E600" s="109"/>
      <c r="F600" s="109"/>
      <c r="G600" s="109"/>
      <c r="H600" s="109"/>
      <c r="I600" s="111"/>
      <c r="J600" s="111"/>
      <c r="K600" s="112"/>
      <c r="L600" s="112"/>
      <c r="M600" s="112"/>
      <c r="N600" s="112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</row>
    <row r="601" spans="1:30" ht="12" customHeight="1">
      <c r="A601" s="108"/>
      <c r="B601" s="108"/>
      <c r="C601" s="109"/>
      <c r="D601" s="109"/>
      <c r="E601" s="109"/>
      <c r="F601" s="109"/>
      <c r="G601" s="109"/>
      <c r="H601" s="109"/>
      <c r="I601" s="111"/>
      <c r="J601" s="111"/>
      <c r="K601" s="112"/>
      <c r="L601" s="112"/>
      <c r="M601" s="112"/>
      <c r="N601" s="112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</row>
    <row r="602" spans="1:30" ht="12" customHeight="1">
      <c r="A602" s="108"/>
      <c r="B602" s="108"/>
      <c r="C602" s="109"/>
      <c r="D602" s="109"/>
      <c r="E602" s="109"/>
      <c r="F602" s="109"/>
      <c r="G602" s="109"/>
      <c r="H602" s="109"/>
      <c r="I602" s="111"/>
      <c r="J602" s="111"/>
      <c r="K602" s="112"/>
      <c r="L602" s="112"/>
      <c r="M602" s="112"/>
      <c r="N602" s="112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</row>
    <row r="603" spans="1:30" ht="12" customHeight="1">
      <c r="A603" s="108"/>
      <c r="B603" s="108"/>
      <c r="C603" s="109"/>
      <c r="D603" s="109"/>
      <c r="E603" s="109"/>
      <c r="F603" s="109"/>
      <c r="G603" s="109"/>
      <c r="H603" s="109"/>
      <c r="I603" s="111"/>
      <c r="J603" s="111"/>
      <c r="K603" s="112"/>
      <c r="L603" s="112"/>
      <c r="M603" s="112"/>
      <c r="N603" s="112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</row>
    <row r="604" spans="1:30" ht="12" customHeight="1">
      <c r="A604" s="108"/>
      <c r="B604" s="108"/>
      <c r="C604" s="109"/>
      <c r="D604" s="109"/>
      <c r="E604" s="109"/>
      <c r="F604" s="109"/>
      <c r="G604" s="109"/>
      <c r="H604" s="109"/>
      <c r="I604" s="111"/>
      <c r="J604" s="111"/>
      <c r="K604" s="112"/>
      <c r="L604" s="112"/>
      <c r="M604" s="112"/>
      <c r="N604" s="112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</row>
    <row r="605" spans="1:30" ht="12" customHeight="1">
      <c r="A605" s="108"/>
      <c r="B605" s="108"/>
      <c r="C605" s="109"/>
      <c r="D605" s="109"/>
      <c r="E605" s="109"/>
      <c r="F605" s="109"/>
      <c r="G605" s="109"/>
      <c r="H605" s="109"/>
      <c r="I605" s="111"/>
      <c r="J605" s="111"/>
      <c r="K605" s="112"/>
      <c r="L605" s="112"/>
      <c r="M605" s="112"/>
      <c r="N605" s="112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</row>
    <row r="606" spans="1:30" ht="12" customHeight="1">
      <c r="A606" s="108"/>
      <c r="B606" s="108"/>
      <c r="C606" s="109"/>
      <c r="D606" s="109"/>
      <c r="E606" s="109"/>
      <c r="F606" s="109"/>
      <c r="G606" s="109"/>
      <c r="H606" s="109"/>
      <c r="I606" s="111"/>
      <c r="J606" s="111"/>
      <c r="K606" s="112"/>
      <c r="L606" s="112"/>
      <c r="M606" s="112"/>
      <c r="N606" s="112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</row>
    <row r="607" spans="1:30" ht="12" customHeight="1">
      <c r="A607" s="108"/>
      <c r="B607" s="108"/>
      <c r="C607" s="109"/>
      <c r="D607" s="109"/>
      <c r="E607" s="109"/>
      <c r="F607" s="109"/>
      <c r="G607" s="109"/>
      <c r="H607" s="109"/>
      <c r="I607" s="111"/>
      <c r="J607" s="111"/>
      <c r="K607" s="112"/>
      <c r="L607" s="112"/>
      <c r="M607" s="112"/>
      <c r="N607" s="112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</row>
    <row r="608" spans="1:30" ht="12" customHeight="1">
      <c r="A608" s="108"/>
      <c r="B608" s="108"/>
      <c r="C608" s="109"/>
      <c r="D608" s="109"/>
      <c r="E608" s="109"/>
      <c r="F608" s="109"/>
      <c r="G608" s="109"/>
      <c r="H608" s="109"/>
      <c r="I608" s="111"/>
      <c r="J608" s="111"/>
      <c r="K608" s="112"/>
      <c r="L608" s="112"/>
      <c r="M608" s="112"/>
      <c r="N608" s="112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</row>
    <row r="609" spans="1:30" ht="12" customHeight="1">
      <c r="A609" s="108"/>
      <c r="B609" s="108"/>
      <c r="C609" s="109"/>
      <c r="D609" s="109"/>
      <c r="E609" s="109"/>
      <c r="F609" s="109"/>
      <c r="G609" s="109"/>
      <c r="H609" s="109"/>
      <c r="I609" s="111"/>
      <c r="J609" s="111"/>
      <c r="K609" s="112"/>
      <c r="L609" s="112"/>
      <c r="M609" s="112"/>
      <c r="N609" s="112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</row>
    <row r="610" spans="1:30" ht="12" customHeight="1">
      <c r="A610" s="108"/>
      <c r="B610" s="108"/>
      <c r="C610" s="109"/>
      <c r="D610" s="109"/>
      <c r="E610" s="109"/>
      <c r="F610" s="109"/>
      <c r="G610" s="109"/>
      <c r="H610" s="109"/>
      <c r="I610" s="111"/>
      <c r="J610" s="111"/>
      <c r="K610" s="112"/>
      <c r="L610" s="112"/>
      <c r="M610" s="112"/>
      <c r="N610" s="112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</row>
    <row r="611" spans="1:30" ht="12" customHeight="1">
      <c r="A611" s="108"/>
      <c r="B611" s="108"/>
      <c r="C611" s="109"/>
      <c r="D611" s="109"/>
      <c r="E611" s="109"/>
      <c r="F611" s="109"/>
      <c r="G611" s="109"/>
      <c r="H611" s="109"/>
      <c r="I611" s="111"/>
      <c r="J611" s="111"/>
      <c r="K611" s="112"/>
      <c r="L611" s="112"/>
      <c r="M611" s="112"/>
      <c r="N611" s="112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</row>
    <row r="612" spans="1:30" ht="12" customHeight="1">
      <c r="A612" s="108"/>
      <c r="B612" s="108"/>
      <c r="C612" s="109"/>
      <c r="D612" s="109"/>
      <c r="E612" s="109"/>
      <c r="F612" s="109"/>
      <c r="G612" s="109"/>
      <c r="H612" s="109"/>
      <c r="I612" s="111"/>
      <c r="J612" s="111"/>
      <c r="K612" s="112"/>
      <c r="L612" s="112"/>
      <c r="M612" s="112"/>
      <c r="N612" s="112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</row>
    <row r="613" spans="1:30" ht="12" customHeight="1">
      <c r="A613" s="108"/>
      <c r="B613" s="108"/>
      <c r="C613" s="109"/>
      <c r="D613" s="109"/>
      <c r="E613" s="109"/>
      <c r="F613" s="109"/>
      <c r="G613" s="109"/>
      <c r="H613" s="109"/>
      <c r="I613" s="111"/>
      <c r="J613" s="111"/>
      <c r="K613" s="112"/>
      <c r="L613" s="112"/>
      <c r="M613" s="112"/>
      <c r="N613" s="112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</row>
    <row r="614" spans="1:30" ht="12" customHeight="1">
      <c r="A614" s="108"/>
      <c r="B614" s="108"/>
      <c r="C614" s="109"/>
      <c r="D614" s="109"/>
      <c r="E614" s="109"/>
      <c r="F614" s="109"/>
      <c r="G614" s="109"/>
      <c r="H614" s="109"/>
      <c r="I614" s="111"/>
      <c r="J614" s="111"/>
      <c r="K614" s="112"/>
      <c r="L614" s="112"/>
      <c r="M614" s="112"/>
      <c r="N614" s="112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</row>
    <row r="615" spans="1:30" ht="12" customHeight="1">
      <c r="A615" s="108"/>
      <c r="B615" s="108"/>
      <c r="C615" s="109"/>
      <c r="D615" s="109"/>
      <c r="E615" s="109"/>
      <c r="F615" s="109"/>
      <c r="G615" s="109"/>
      <c r="H615" s="109"/>
      <c r="I615" s="111"/>
      <c r="J615" s="111"/>
      <c r="K615" s="112"/>
      <c r="L615" s="112"/>
      <c r="M615" s="112"/>
      <c r="N615" s="112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</row>
    <row r="616" spans="1:30" ht="12" customHeight="1">
      <c r="A616" s="108"/>
      <c r="B616" s="108"/>
      <c r="C616" s="109"/>
      <c r="D616" s="109"/>
      <c r="E616" s="109"/>
      <c r="F616" s="109"/>
      <c r="G616" s="109"/>
      <c r="H616" s="109"/>
      <c r="I616" s="111"/>
      <c r="J616" s="111"/>
      <c r="K616" s="112"/>
      <c r="L616" s="112"/>
      <c r="M616" s="112"/>
      <c r="N616" s="112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</row>
    <row r="617" spans="1:30" ht="12" customHeight="1">
      <c r="A617" s="108"/>
      <c r="B617" s="108"/>
      <c r="C617" s="109"/>
      <c r="D617" s="109"/>
      <c r="E617" s="109"/>
      <c r="F617" s="109"/>
      <c r="G617" s="109"/>
      <c r="H617" s="109"/>
      <c r="I617" s="111"/>
      <c r="J617" s="111"/>
      <c r="K617" s="112"/>
      <c r="L617" s="112"/>
      <c r="M617" s="112"/>
      <c r="N617" s="112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</row>
    <row r="618" spans="1:30" ht="12" customHeight="1">
      <c r="A618" s="108"/>
      <c r="B618" s="108"/>
      <c r="C618" s="109"/>
      <c r="D618" s="109"/>
      <c r="E618" s="109"/>
      <c r="F618" s="109"/>
      <c r="G618" s="109"/>
      <c r="H618" s="109"/>
      <c r="I618" s="111"/>
      <c r="J618" s="111"/>
      <c r="K618" s="112"/>
      <c r="L618" s="112"/>
      <c r="M618" s="112"/>
      <c r="N618" s="112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</row>
    <row r="619" spans="1:30" ht="12" customHeight="1">
      <c r="A619" s="108"/>
      <c r="B619" s="108"/>
      <c r="C619" s="109"/>
      <c r="D619" s="109"/>
      <c r="E619" s="109"/>
      <c r="F619" s="109"/>
      <c r="G619" s="109"/>
      <c r="H619" s="109"/>
      <c r="I619" s="111"/>
      <c r="J619" s="111"/>
      <c r="K619" s="112"/>
      <c r="L619" s="112"/>
      <c r="M619" s="112"/>
      <c r="N619" s="112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</row>
    <row r="620" spans="1:30" ht="12" customHeight="1">
      <c r="A620" s="108"/>
      <c r="B620" s="108"/>
      <c r="C620" s="109"/>
      <c r="D620" s="109"/>
      <c r="E620" s="109"/>
      <c r="F620" s="109"/>
      <c r="G620" s="109"/>
      <c r="H620" s="109"/>
      <c r="I620" s="111"/>
      <c r="J620" s="111"/>
      <c r="K620" s="112"/>
      <c r="L620" s="112"/>
      <c r="M620" s="112"/>
      <c r="N620" s="112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</row>
    <row r="621" spans="1:30" ht="12" customHeight="1">
      <c r="A621" s="108"/>
      <c r="B621" s="108"/>
      <c r="C621" s="109"/>
      <c r="D621" s="109"/>
      <c r="E621" s="109"/>
      <c r="F621" s="109"/>
      <c r="G621" s="109"/>
      <c r="H621" s="109"/>
      <c r="I621" s="111"/>
      <c r="J621" s="111"/>
      <c r="K621" s="112"/>
      <c r="L621" s="112"/>
      <c r="M621" s="112"/>
      <c r="N621" s="112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</row>
    <row r="622" spans="1:30" ht="12" customHeight="1">
      <c r="A622" s="108"/>
      <c r="B622" s="108"/>
      <c r="C622" s="109"/>
      <c r="D622" s="109"/>
      <c r="E622" s="109"/>
      <c r="F622" s="109"/>
      <c r="G622" s="109"/>
      <c r="H622" s="109"/>
      <c r="I622" s="111"/>
      <c r="J622" s="111"/>
      <c r="K622" s="112"/>
      <c r="L622" s="112"/>
      <c r="M622" s="112"/>
      <c r="N622" s="112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</row>
    <row r="623" spans="1:30" ht="12" customHeight="1">
      <c r="A623" s="108"/>
      <c r="B623" s="108"/>
      <c r="C623" s="109"/>
      <c r="D623" s="109"/>
      <c r="E623" s="109"/>
      <c r="F623" s="109"/>
      <c r="G623" s="109"/>
      <c r="H623" s="109"/>
      <c r="I623" s="111"/>
      <c r="J623" s="111"/>
      <c r="K623" s="112"/>
      <c r="L623" s="112"/>
      <c r="M623" s="112"/>
      <c r="N623" s="112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</row>
    <row r="624" spans="1:30" ht="12" customHeight="1">
      <c r="A624" s="108"/>
      <c r="B624" s="108"/>
      <c r="C624" s="109"/>
      <c r="D624" s="109"/>
      <c r="E624" s="109"/>
      <c r="F624" s="109"/>
      <c r="G624" s="109"/>
      <c r="H624" s="109"/>
      <c r="I624" s="111"/>
      <c r="J624" s="111"/>
      <c r="K624" s="112"/>
      <c r="L624" s="112"/>
      <c r="M624" s="112"/>
      <c r="N624" s="112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</row>
    <row r="625" spans="1:30" ht="12" customHeight="1">
      <c r="A625" s="108"/>
      <c r="B625" s="108"/>
      <c r="C625" s="109"/>
      <c r="D625" s="109"/>
      <c r="E625" s="109"/>
      <c r="F625" s="109"/>
      <c r="G625" s="109"/>
      <c r="H625" s="109"/>
      <c r="I625" s="111"/>
      <c r="J625" s="111"/>
      <c r="K625" s="112"/>
      <c r="L625" s="112"/>
      <c r="M625" s="112"/>
      <c r="N625" s="112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</row>
    <row r="626" spans="1:30" ht="12" customHeight="1">
      <c r="A626" s="108"/>
      <c r="B626" s="108"/>
      <c r="C626" s="109"/>
      <c r="D626" s="109"/>
      <c r="E626" s="109"/>
      <c r="F626" s="109"/>
      <c r="G626" s="109"/>
      <c r="H626" s="109"/>
      <c r="I626" s="111"/>
      <c r="J626" s="111"/>
      <c r="K626" s="112"/>
      <c r="L626" s="112"/>
      <c r="M626" s="112"/>
      <c r="N626" s="112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</row>
    <row r="627" spans="1:30" ht="12" customHeight="1">
      <c r="A627" s="108"/>
      <c r="B627" s="108"/>
      <c r="C627" s="109"/>
      <c r="D627" s="109"/>
      <c r="E627" s="109"/>
      <c r="F627" s="109"/>
      <c r="G627" s="109"/>
      <c r="H627" s="109"/>
      <c r="I627" s="111"/>
      <c r="J627" s="111"/>
      <c r="K627" s="112"/>
      <c r="L627" s="112"/>
      <c r="M627" s="112"/>
      <c r="N627" s="112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</row>
    <row r="628" spans="1:30" ht="12" customHeight="1">
      <c r="A628" s="108"/>
      <c r="B628" s="108"/>
      <c r="C628" s="109"/>
      <c r="D628" s="109"/>
      <c r="E628" s="109"/>
      <c r="F628" s="109"/>
      <c r="G628" s="109"/>
      <c r="H628" s="109"/>
      <c r="I628" s="111"/>
      <c r="J628" s="111"/>
      <c r="K628" s="112"/>
      <c r="L628" s="112"/>
      <c r="M628" s="112"/>
      <c r="N628" s="112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</row>
    <row r="629" spans="1:30" ht="12" customHeight="1">
      <c r="A629" s="108"/>
      <c r="B629" s="108"/>
      <c r="C629" s="109"/>
      <c r="D629" s="109"/>
      <c r="E629" s="109"/>
      <c r="F629" s="109"/>
      <c r="G629" s="109"/>
      <c r="H629" s="109"/>
      <c r="I629" s="111"/>
      <c r="J629" s="111"/>
      <c r="K629" s="112"/>
      <c r="L629" s="112"/>
      <c r="M629" s="112"/>
      <c r="N629" s="112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</row>
    <row r="630" spans="1:30" ht="12" customHeight="1">
      <c r="A630" s="108"/>
      <c r="B630" s="108"/>
      <c r="C630" s="109"/>
      <c r="D630" s="109"/>
      <c r="E630" s="109"/>
      <c r="F630" s="109"/>
      <c r="G630" s="109"/>
      <c r="H630" s="109"/>
      <c r="I630" s="111"/>
      <c r="J630" s="111"/>
      <c r="K630" s="112"/>
      <c r="L630" s="112"/>
      <c r="M630" s="112"/>
      <c r="N630" s="112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</row>
    <row r="631" spans="1:30" ht="12" customHeight="1">
      <c r="A631" s="108"/>
      <c r="B631" s="108"/>
      <c r="C631" s="109"/>
      <c r="D631" s="109"/>
      <c r="E631" s="109"/>
      <c r="F631" s="109"/>
      <c r="G631" s="109"/>
      <c r="H631" s="109"/>
      <c r="I631" s="111"/>
      <c r="J631" s="111"/>
      <c r="K631" s="112"/>
      <c r="L631" s="112"/>
      <c r="M631" s="112"/>
      <c r="N631" s="112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</row>
    <row r="632" spans="1:30" ht="12" customHeight="1">
      <c r="A632" s="108"/>
      <c r="B632" s="108"/>
      <c r="C632" s="109"/>
      <c r="D632" s="109"/>
      <c r="E632" s="109"/>
      <c r="F632" s="109"/>
      <c r="G632" s="109"/>
      <c r="H632" s="109"/>
      <c r="I632" s="111"/>
      <c r="J632" s="111"/>
      <c r="K632" s="112"/>
      <c r="L632" s="112"/>
      <c r="M632" s="112"/>
      <c r="N632" s="112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</row>
    <row r="633" spans="1:30" ht="12" customHeight="1">
      <c r="A633" s="108"/>
      <c r="B633" s="108"/>
      <c r="C633" s="109"/>
      <c r="D633" s="109"/>
      <c r="E633" s="109"/>
      <c r="F633" s="109"/>
      <c r="G633" s="109"/>
      <c r="H633" s="109"/>
      <c r="I633" s="111"/>
      <c r="J633" s="111"/>
      <c r="K633" s="112"/>
      <c r="L633" s="112"/>
      <c r="M633" s="112"/>
      <c r="N633" s="112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</row>
    <row r="634" spans="1:30" ht="12" customHeight="1">
      <c r="A634" s="108"/>
      <c r="B634" s="108"/>
      <c r="C634" s="109"/>
      <c r="D634" s="109"/>
      <c r="E634" s="109"/>
      <c r="F634" s="109"/>
      <c r="G634" s="109"/>
      <c r="H634" s="109"/>
      <c r="I634" s="111"/>
      <c r="J634" s="111"/>
      <c r="K634" s="112"/>
      <c r="L634" s="112"/>
      <c r="M634" s="112"/>
      <c r="N634" s="112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</row>
    <row r="635" spans="1:30" ht="12" customHeight="1">
      <c r="A635" s="108"/>
      <c r="B635" s="108"/>
      <c r="C635" s="109"/>
      <c r="D635" s="109"/>
      <c r="E635" s="109"/>
      <c r="F635" s="109"/>
      <c r="G635" s="109"/>
      <c r="H635" s="109"/>
      <c r="I635" s="111"/>
      <c r="J635" s="111"/>
      <c r="K635" s="112"/>
      <c r="L635" s="112"/>
      <c r="M635" s="112"/>
      <c r="N635" s="112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</row>
    <row r="636" spans="1:30" ht="12" customHeight="1">
      <c r="A636" s="108"/>
      <c r="B636" s="108"/>
      <c r="C636" s="109"/>
      <c r="D636" s="109"/>
      <c r="E636" s="109"/>
      <c r="F636" s="109"/>
      <c r="G636" s="109"/>
      <c r="H636" s="109"/>
      <c r="I636" s="111"/>
      <c r="J636" s="111"/>
      <c r="K636" s="112"/>
      <c r="L636" s="112"/>
      <c r="M636" s="112"/>
      <c r="N636" s="112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</row>
    <row r="637" spans="1:30" ht="12" customHeight="1">
      <c r="A637" s="108"/>
      <c r="B637" s="108"/>
      <c r="C637" s="109"/>
      <c r="D637" s="109"/>
      <c r="E637" s="109"/>
      <c r="F637" s="109"/>
      <c r="G637" s="109"/>
      <c r="H637" s="109"/>
      <c r="I637" s="111"/>
      <c r="J637" s="111"/>
      <c r="K637" s="112"/>
      <c r="L637" s="112"/>
      <c r="M637" s="112"/>
      <c r="N637" s="112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</row>
    <row r="638" spans="1:30" ht="12" customHeight="1">
      <c r="A638" s="108"/>
      <c r="B638" s="108"/>
      <c r="C638" s="109"/>
      <c r="D638" s="109"/>
      <c r="E638" s="109"/>
      <c r="F638" s="109"/>
      <c r="G638" s="109"/>
      <c r="H638" s="109"/>
      <c r="I638" s="111"/>
      <c r="J638" s="111"/>
      <c r="K638" s="112"/>
      <c r="L638" s="112"/>
      <c r="M638" s="112"/>
      <c r="N638" s="112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</row>
    <row r="639" spans="1:30" ht="12" customHeight="1">
      <c r="A639" s="108"/>
      <c r="B639" s="108"/>
      <c r="C639" s="109"/>
      <c r="D639" s="109"/>
      <c r="E639" s="109"/>
      <c r="F639" s="109"/>
      <c r="G639" s="109"/>
      <c r="H639" s="109"/>
      <c r="I639" s="111"/>
      <c r="J639" s="111"/>
      <c r="K639" s="112"/>
      <c r="L639" s="112"/>
      <c r="M639" s="112"/>
      <c r="N639" s="112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</row>
    <row r="640" spans="1:30" ht="12" customHeight="1">
      <c r="A640" s="108"/>
      <c r="B640" s="108"/>
      <c r="C640" s="109"/>
      <c r="D640" s="109"/>
      <c r="E640" s="109"/>
      <c r="F640" s="109"/>
      <c r="G640" s="109"/>
      <c r="H640" s="109"/>
      <c r="I640" s="111"/>
      <c r="J640" s="111"/>
      <c r="K640" s="112"/>
      <c r="L640" s="112"/>
      <c r="M640" s="112"/>
      <c r="N640" s="112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</row>
    <row r="641" spans="1:30" ht="12" customHeight="1">
      <c r="A641" s="108"/>
      <c r="B641" s="108"/>
      <c r="C641" s="109"/>
      <c r="D641" s="109"/>
      <c r="E641" s="109"/>
      <c r="F641" s="109"/>
      <c r="G641" s="109"/>
      <c r="H641" s="109"/>
      <c r="I641" s="111"/>
      <c r="J641" s="111"/>
      <c r="K641" s="112"/>
      <c r="L641" s="112"/>
      <c r="M641" s="112"/>
      <c r="N641" s="112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</row>
    <row r="642" spans="1:30" ht="12" customHeight="1">
      <c r="A642" s="108"/>
      <c r="B642" s="108"/>
      <c r="C642" s="109"/>
      <c r="D642" s="109"/>
      <c r="E642" s="109"/>
      <c r="F642" s="109"/>
      <c r="G642" s="109"/>
      <c r="H642" s="109"/>
      <c r="I642" s="111"/>
      <c r="J642" s="111"/>
      <c r="K642" s="112"/>
      <c r="L642" s="112"/>
      <c r="M642" s="112"/>
      <c r="N642" s="112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</row>
    <row r="643" spans="1:30" ht="12" customHeight="1">
      <c r="A643" s="108"/>
      <c r="B643" s="108"/>
      <c r="C643" s="109"/>
      <c r="D643" s="109"/>
      <c r="E643" s="109"/>
      <c r="F643" s="109"/>
      <c r="G643" s="109"/>
      <c r="H643" s="109"/>
      <c r="I643" s="111"/>
      <c r="J643" s="111"/>
      <c r="K643" s="112"/>
      <c r="L643" s="112"/>
      <c r="M643" s="112"/>
      <c r="N643" s="112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</row>
    <row r="644" spans="1:30" ht="12" customHeight="1">
      <c r="A644" s="108"/>
      <c r="B644" s="108"/>
      <c r="C644" s="109"/>
      <c r="D644" s="109"/>
      <c r="E644" s="109"/>
      <c r="F644" s="109"/>
      <c r="G644" s="109"/>
      <c r="H644" s="109"/>
      <c r="I644" s="111"/>
      <c r="J644" s="111"/>
      <c r="K644" s="112"/>
      <c r="L644" s="112"/>
      <c r="M644" s="112"/>
      <c r="N644" s="112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</row>
    <row r="645" spans="1:30" ht="12" customHeight="1">
      <c r="A645" s="108"/>
      <c r="B645" s="108"/>
      <c r="C645" s="109"/>
      <c r="D645" s="109"/>
      <c r="E645" s="109"/>
      <c r="F645" s="109"/>
      <c r="G645" s="109"/>
      <c r="H645" s="109"/>
      <c r="I645" s="111"/>
      <c r="J645" s="111"/>
      <c r="K645" s="112"/>
      <c r="L645" s="112"/>
      <c r="M645" s="112"/>
      <c r="N645" s="112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</row>
    <row r="646" spans="1:30" ht="12" customHeight="1">
      <c r="A646" s="108"/>
      <c r="B646" s="108"/>
      <c r="C646" s="109"/>
      <c r="D646" s="109"/>
      <c r="E646" s="109"/>
      <c r="F646" s="109"/>
      <c r="G646" s="109"/>
      <c r="H646" s="109"/>
      <c r="I646" s="111"/>
      <c r="J646" s="111"/>
      <c r="K646" s="112"/>
      <c r="L646" s="112"/>
      <c r="M646" s="112"/>
      <c r="N646" s="112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</row>
    <row r="647" spans="1:30" ht="12" customHeight="1">
      <c r="A647" s="108"/>
      <c r="B647" s="108"/>
      <c r="C647" s="109"/>
      <c r="D647" s="109"/>
      <c r="E647" s="109"/>
      <c r="F647" s="109"/>
      <c r="G647" s="109"/>
      <c r="H647" s="109"/>
      <c r="I647" s="111"/>
      <c r="J647" s="111"/>
      <c r="K647" s="112"/>
      <c r="L647" s="112"/>
      <c r="M647" s="112"/>
      <c r="N647" s="112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</row>
    <row r="648" spans="1:30" ht="12" customHeight="1">
      <c r="A648" s="108"/>
      <c r="B648" s="108"/>
      <c r="C648" s="109"/>
      <c r="D648" s="109"/>
      <c r="E648" s="109"/>
      <c r="F648" s="109"/>
      <c r="G648" s="109"/>
      <c r="H648" s="109"/>
      <c r="I648" s="111"/>
      <c r="J648" s="111"/>
      <c r="K648" s="112"/>
      <c r="L648" s="112"/>
      <c r="M648" s="112"/>
      <c r="N648" s="112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</row>
    <row r="649" spans="1:30" ht="12" customHeight="1">
      <c r="A649" s="108"/>
      <c r="B649" s="108"/>
      <c r="C649" s="109"/>
      <c r="D649" s="109"/>
      <c r="E649" s="109"/>
      <c r="F649" s="109"/>
      <c r="G649" s="109"/>
      <c r="H649" s="109"/>
      <c r="I649" s="111"/>
      <c r="J649" s="111"/>
      <c r="K649" s="112"/>
      <c r="L649" s="112"/>
      <c r="M649" s="112"/>
      <c r="N649" s="112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</row>
    <row r="650" spans="1:30" ht="12" customHeight="1">
      <c r="A650" s="108"/>
      <c r="B650" s="108"/>
      <c r="C650" s="109"/>
      <c r="D650" s="109"/>
      <c r="E650" s="109"/>
      <c r="F650" s="109"/>
      <c r="G650" s="109"/>
      <c r="H650" s="109"/>
      <c r="I650" s="111"/>
      <c r="J650" s="111"/>
      <c r="K650" s="112"/>
      <c r="L650" s="112"/>
      <c r="M650" s="112"/>
      <c r="N650" s="112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</row>
    <row r="651" spans="1:30" ht="12" customHeight="1">
      <c r="A651" s="108"/>
      <c r="B651" s="108"/>
      <c r="C651" s="109"/>
      <c r="D651" s="109"/>
      <c r="E651" s="109"/>
      <c r="F651" s="109"/>
      <c r="G651" s="109"/>
      <c r="H651" s="109"/>
      <c r="I651" s="111"/>
      <c r="J651" s="111"/>
      <c r="K651" s="112"/>
      <c r="L651" s="112"/>
      <c r="M651" s="112"/>
      <c r="N651" s="112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</row>
    <row r="652" spans="1:30" ht="12" customHeight="1">
      <c r="A652" s="108"/>
      <c r="B652" s="108"/>
      <c r="C652" s="109"/>
      <c r="D652" s="109"/>
      <c r="E652" s="109"/>
      <c r="F652" s="109"/>
      <c r="G652" s="109"/>
      <c r="H652" s="109"/>
      <c r="I652" s="111"/>
      <c r="J652" s="111"/>
      <c r="K652" s="112"/>
      <c r="L652" s="112"/>
      <c r="M652" s="112"/>
      <c r="N652" s="112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</row>
    <row r="653" spans="1:30" ht="12" customHeight="1">
      <c r="A653" s="108"/>
      <c r="B653" s="108"/>
      <c r="C653" s="109"/>
      <c r="D653" s="109"/>
      <c r="E653" s="109"/>
      <c r="F653" s="109"/>
      <c r="G653" s="109"/>
      <c r="H653" s="109"/>
      <c r="I653" s="111"/>
      <c r="J653" s="111"/>
      <c r="K653" s="112"/>
      <c r="L653" s="112"/>
      <c r="M653" s="112"/>
      <c r="N653" s="112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</row>
    <row r="654" spans="1:30" ht="12" customHeight="1">
      <c r="A654" s="108"/>
      <c r="B654" s="108"/>
      <c r="C654" s="109"/>
      <c r="D654" s="109"/>
      <c r="E654" s="109"/>
      <c r="F654" s="109"/>
      <c r="G654" s="109"/>
      <c r="H654" s="109"/>
      <c r="I654" s="111"/>
      <c r="J654" s="111"/>
      <c r="K654" s="112"/>
      <c r="L654" s="112"/>
      <c r="M654" s="112"/>
      <c r="N654" s="112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</row>
    <row r="655" spans="1:30" ht="12" customHeight="1">
      <c r="A655" s="108"/>
      <c r="B655" s="108"/>
      <c r="C655" s="109"/>
      <c r="D655" s="109"/>
      <c r="E655" s="109"/>
      <c r="F655" s="109"/>
      <c r="G655" s="109"/>
      <c r="H655" s="109"/>
      <c r="I655" s="111"/>
      <c r="J655" s="111"/>
      <c r="K655" s="112"/>
      <c r="L655" s="112"/>
      <c r="M655" s="112"/>
      <c r="N655" s="112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</row>
    <row r="656" spans="1:30" ht="12" customHeight="1">
      <c r="A656" s="108"/>
      <c r="B656" s="108"/>
      <c r="C656" s="109"/>
      <c r="D656" s="109"/>
      <c r="E656" s="109"/>
      <c r="F656" s="109"/>
      <c r="G656" s="109"/>
      <c r="H656" s="109"/>
      <c r="I656" s="111"/>
      <c r="J656" s="111"/>
      <c r="K656" s="112"/>
      <c r="L656" s="112"/>
      <c r="M656" s="112"/>
      <c r="N656" s="112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</row>
    <row r="657" spans="1:30" ht="12" customHeight="1">
      <c r="A657" s="108"/>
      <c r="B657" s="108"/>
      <c r="C657" s="109"/>
      <c r="D657" s="109"/>
      <c r="E657" s="109"/>
      <c r="F657" s="109"/>
      <c r="G657" s="109"/>
      <c r="H657" s="109"/>
      <c r="I657" s="111"/>
      <c r="J657" s="111"/>
      <c r="K657" s="112"/>
      <c r="L657" s="112"/>
      <c r="M657" s="112"/>
      <c r="N657" s="112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</row>
    <row r="658" spans="1:30" ht="12" customHeight="1">
      <c r="A658" s="108"/>
      <c r="B658" s="108"/>
      <c r="C658" s="109"/>
      <c r="D658" s="109"/>
      <c r="E658" s="109"/>
      <c r="F658" s="109"/>
      <c r="G658" s="109"/>
      <c r="H658" s="109"/>
      <c r="I658" s="111"/>
      <c r="J658" s="111"/>
      <c r="K658" s="112"/>
      <c r="L658" s="112"/>
      <c r="M658" s="112"/>
      <c r="N658" s="112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</row>
    <row r="659" spans="1:30" ht="12" customHeight="1">
      <c r="A659" s="108"/>
      <c r="B659" s="108"/>
      <c r="C659" s="109"/>
      <c r="D659" s="109"/>
      <c r="E659" s="109"/>
      <c r="F659" s="109"/>
      <c r="G659" s="109"/>
      <c r="H659" s="109"/>
      <c r="I659" s="111"/>
      <c r="J659" s="111"/>
      <c r="K659" s="112"/>
      <c r="L659" s="112"/>
      <c r="M659" s="112"/>
      <c r="N659" s="112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</row>
    <row r="660" spans="1:30" ht="12" customHeight="1">
      <c r="A660" s="108"/>
      <c r="B660" s="108"/>
      <c r="C660" s="109"/>
      <c r="D660" s="109"/>
      <c r="E660" s="109"/>
      <c r="F660" s="109"/>
      <c r="G660" s="109"/>
      <c r="H660" s="109"/>
      <c r="I660" s="111"/>
      <c r="J660" s="111"/>
      <c r="K660" s="112"/>
      <c r="L660" s="112"/>
      <c r="M660" s="112"/>
      <c r="N660" s="112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</row>
    <row r="661" spans="1:30" ht="12" customHeight="1">
      <c r="A661" s="108"/>
      <c r="B661" s="108"/>
      <c r="C661" s="109"/>
      <c r="D661" s="109"/>
      <c r="E661" s="109"/>
      <c r="F661" s="109"/>
      <c r="G661" s="109"/>
      <c r="H661" s="109"/>
      <c r="I661" s="111"/>
      <c r="J661" s="111"/>
      <c r="K661" s="112"/>
      <c r="L661" s="112"/>
      <c r="M661" s="112"/>
      <c r="N661" s="112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</row>
    <row r="662" spans="1:30" ht="12" customHeight="1">
      <c r="A662" s="108"/>
      <c r="B662" s="108"/>
      <c r="C662" s="109"/>
      <c r="D662" s="109"/>
      <c r="E662" s="109"/>
      <c r="F662" s="109"/>
      <c r="G662" s="109"/>
      <c r="H662" s="109"/>
      <c r="I662" s="111"/>
      <c r="J662" s="111"/>
      <c r="K662" s="112"/>
      <c r="L662" s="112"/>
      <c r="M662" s="112"/>
      <c r="N662" s="112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</row>
    <row r="663" spans="1:30" ht="12" customHeight="1">
      <c r="A663" s="108"/>
      <c r="B663" s="108"/>
      <c r="C663" s="109"/>
      <c r="D663" s="109"/>
      <c r="E663" s="109"/>
      <c r="F663" s="109"/>
      <c r="G663" s="109"/>
      <c r="H663" s="109"/>
      <c r="I663" s="111"/>
      <c r="J663" s="111"/>
      <c r="K663" s="112"/>
      <c r="L663" s="112"/>
      <c r="M663" s="112"/>
      <c r="N663" s="112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</row>
    <row r="664" spans="1:30" ht="12" customHeight="1">
      <c r="A664" s="108"/>
      <c r="B664" s="108"/>
      <c r="C664" s="109"/>
      <c r="D664" s="109"/>
      <c r="E664" s="109"/>
      <c r="F664" s="109"/>
      <c r="G664" s="109"/>
      <c r="H664" s="109"/>
      <c r="I664" s="111"/>
      <c r="J664" s="111"/>
      <c r="K664" s="112"/>
      <c r="L664" s="112"/>
      <c r="M664" s="112"/>
      <c r="N664" s="112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</row>
    <row r="665" spans="1:30" ht="12" customHeight="1">
      <c r="A665" s="108"/>
      <c r="B665" s="108"/>
      <c r="C665" s="109"/>
      <c r="D665" s="109"/>
      <c r="E665" s="109"/>
      <c r="F665" s="109"/>
      <c r="G665" s="109"/>
      <c r="H665" s="109"/>
      <c r="I665" s="111"/>
      <c r="J665" s="111"/>
      <c r="K665" s="112"/>
      <c r="L665" s="112"/>
      <c r="M665" s="112"/>
      <c r="N665" s="112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</row>
    <row r="666" spans="1:30" ht="12" customHeight="1">
      <c r="A666" s="108"/>
      <c r="B666" s="108"/>
      <c r="C666" s="109"/>
      <c r="D666" s="109"/>
      <c r="E666" s="109"/>
      <c r="F666" s="109"/>
      <c r="G666" s="109"/>
      <c r="H666" s="109"/>
      <c r="I666" s="111"/>
      <c r="J666" s="111"/>
      <c r="K666" s="112"/>
      <c r="L666" s="112"/>
      <c r="M666" s="112"/>
      <c r="N666" s="112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</row>
    <row r="667" spans="1:30" ht="12" customHeight="1">
      <c r="A667" s="108"/>
      <c r="B667" s="108"/>
      <c r="C667" s="109"/>
      <c r="D667" s="109"/>
      <c r="E667" s="109"/>
      <c r="F667" s="109"/>
      <c r="G667" s="109"/>
      <c r="H667" s="109"/>
      <c r="I667" s="111"/>
      <c r="J667" s="111"/>
      <c r="K667" s="112"/>
      <c r="L667" s="112"/>
      <c r="M667" s="112"/>
      <c r="N667" s="112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</row>
    <row r="668" spans="1:30" ht="12" customHeight="1">
      <c r="A668" s="108"/>
      <c r="B668" s="108"/>
      <c r="C668" s="109"/>
      <c r="D668" s="109"/>
      <c r="E668" s="109"/>
      <c r="F668" s="109"/>
      <c r="G668" s="109"/>
      <c r="H668" s="109"/>
      <c r="I668" s="111"/>
      <c r="J668" s="111"/>
      <c r="K668" s="112"/>
      <c r="L668" s="112"/>
      <c r="M668" s="112"/>
      <c r="N668" s="112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</row>
    <row r="669" spans="1:30" ht="12" customHeight="1">
      <c r="A669" s="108"/>
      <c r="B669" s="108"/>
      <c r="C669" s="109"/>
      <c r="D669" s="109"/>
      <c r="E669" s="109"/>
      <c r="F669" s="109"/>
      <c r="G669" s="109"/>
      <c r="H669" s="109"/>
      <c r="I669" s="111"/>
      <c r="J669" s="111"/>
      <c r="K669" s="112"/>
      <c r="L669" s="112"/>
      <c r="M669" s="112"/>
      <c r="N669" s="112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</row>
    <row r="670" spans="1:30" ht="12" customHeight="1">
      <c r="A670" s="108"/>
      <c r="B670" s="108"/>
      <c r="C670" s="109"/>
      <c r="D670" s="109"/>
      <c r="E670" s="109"/>
      <c r="F670" s="109"/>
      <c r="G670" s="109"/>
      <c r="H670" s="109"/>
      <c r="I670" s="111"/>
      <c r="J670" s="111"/>
      <c r="K670" s="112"/>
      <c r="L670" s="112"/>
      <c r="M670" s="112"/>
      <c r="N670" s="112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</row>
    <row r="671" spans="1:30" ht="12" customHeight="1">
      <c r="A671" s="108"/>
      <c r="B671" s="108"/>
      <c r="C671" s="109"/>
      <c r="D671" s="109"/>
      <c r="E671" s="109"/>
      <c r="F671" s="109"/>
      <c r="G671" s="109"/>
      <c r="H671" s="109"/>
      <c r="I671" s="111"/>
      <c r="J671" s="111"/>
      <c r="K671" s="112"/>
      <c r="L671" s="112"/>
      <c r="M671" s="112"/>
      <c r="N671" s="112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</row>
    <row r="672" spans="1:30" ht="12" customHeight="1">
      <c r="A672" s="108"/>
      <c r="B672" s="108"/>
      <c r="C672" s="109"/>
      <c r="D672" s="109"/>
      <c r="E672" s="109"/>
      <c r="F672" s="109"/>
      <c r="G672" s="109"/>
      <c r="H672" s="109"/>
      <c r="I672" s="111"/>
      <c r="J672" s="111"/>
      <c r="K672" s="112"/>
      <c r="L672" s="112"/>
      <c r="M672" s="112"/>
      <c r="N672" s="112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</row>
    <row r="673" spans="1:30" ht="12" customHeight="1">
      <c r="A673" s="108"/>
      <c r="B673" s="108"/>
      <c r="C673" s="109"/>
      <c r="D673" s="109"/>
      <c r="E673" s="109"/>
      <c r="F673" s="109"/>
      <c r="G673" s="109"/>
      <c r="H673" s="109"/>
      <c r="I673" s="111"/>
      <c r="J673" s="111"/>
      <c r="K673" s="112"/>
      <c r="L673" s="112"/>
      <c r="M673" s="112"/>
      <c r="N673" s="112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</row>
    <row r="674" spans="1:30" ht="12" customHeight="1">
      <c r="A674" s="108"/>
      <c r="B674" s="108"/>
      <c r="C674" s="109"/>
      <c r="D674" s="109"/>
      <c r="E674" s="109"/>
      <c r="F674" s="109"/>
      <c r="G674" s="109"/>
      <c r="H674" s="109"/>
      <c r="I674" s="111"/>
      <c r="J674" s="111"/>
      <c r="K674" s="112"/>
      <c r="L674" s="112"/>
      <c r="M674" s="112"/>
      <c r="N674" s="112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</row>
    <row r="675" spans="1:30" ht="12" customHeight="1">
      <c r="A675" s="108"/>
      <c r="B675" s="108"/>
      <c r="C675" s="109"/>
      <c r="D675" s="109"/>
      <c r="E675" s="109"/>
      <c r="F675" s="109"/>
      <c r="G675" s="109"/>
      <c r="H675" s="109"/>
      <c r="I675" s="111"/>
      <c r="J675" s="111"/>
      <c r="K675" s="112"/>
      <c r="L675" s="112"/>
      <c r="M675" s="112"/>
      <c r="N675" s="112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</row>
    <row r="676" spans="1:30" ht="12" customHeight="1">
      <c r="A676" s="108"/>
      <c r="B676" s="108"/>
      <c r="C676" s="109"/>
      <c r="D676" s="109"/>
      <c r="E676" s="109"/>
      <c r="F676" s="109"/>
      <c r="G676" s="109"/>
      <c r="H676" s="109"/>
      <c r="I676" s="111"/>
      <c r="J676" s="111"/>
      <c r="K676" s="112"/>
      <c r="L676" s="112"/>
      <c r="M676" s="112"/>
      <c r="N676" s="112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</row>
    <row r="677" spans="1:30" ht="12" customHeight="1">
      <c r="A677" s="108"/>
      <c r="B677" s="108"/>
      <c r="C677" s="109"/>
      <c r="D677" s="109"/>
      <c r="E677" s="109"/>
      <c r="F677" s="109"/>
      <c r="G677" s="109"/>
      <c r="H677" s="109"/>
      <c r="I677" s="111"/>
      <c r="J677" s="111"/>
      <c r="K677" s="112"/>
      <c r="L677" s="112"/>
      <c r="M677" s="112"/>
      <c r="N677" s="112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</row>
    <row r="678" spans="1:30" ht="12" customHeight="1">
      <c r="A678" s="108"/>
      <c r="B678" s="108"/>
      <c r="C678" s="109"/>
      <c r="D678" s="109"/>
      <c r="E678" s="109"/>
      <c r="F678" s="109"/>
      <c r="G678" s="109"/>
      <c r="H678" s="109"/>
      <c r="I678" s="111"/>
      <c r="J678" s="111"/>
      <c r="K678" s="112"/>
      <c r="L678" s="112"/>
      <c r="M678" s="112"/>
      <c r="N678" s="112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</row>
    <row r="679" spans="1:30" ht="12" customHeight="1">
      <c r="A679" s="108"/>
      <c r="B679" s="108"/>
      <c r="C679" s="109"/>
      <c r="D679" s="109"/>
      <c r="E679" s="109"/>
      <c r="F679" s="109"/>
      <c r="G679" s="109"/>
      <c r="H679" s="109"/>
      <c r="I679" s="111"/>
      <c r="J679" s="111"/>
      <c r="K679" s="112"/>
      <c r="L679" s="112"/>
      <c r="M679" s="112"/>
      <c r="N679" s="112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</row>
    <row r="680" spans="1:30" ht="12" customHeight="1">
      <c r="A680" s="108"/>
      <c r="B680" s="108"/>
      <c r="C680" s="109"/>
      <c r="D680" s="109"/>
      <c r="E680" s="109"/>
      <c r="F680" s="109"/>
      <c r="G680" s="109"/>
      <c r="H680" s="109"/>
      <c r="I680" s="111"/>
      <c r="J680" s="111"/>
      <c r="K680" s="112"/>
      <c r="L680" s="112"/>
      <c r="M680" s="112"/>
      <c r="N680" s="112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</row>
    <row r="681" spans="1:30" ht="12" customHeight="1">
      <c r="A681" s="108"/>
      <c r="B681" s="108"/>
      <c r="C681" s="109"/>
      <c r="D681" s="109"/>
      <c r="E681" s="109"/>
      <c r="F681" s="109"/>
      <c r="G681" s="109"/>
      <c r="H681" s="109"/>
      <c r="I681" s="111"/>
      <c r="J681" s="111"/>
      <c r="K681" s="112"/>
      <c r="L681" s="112"/>
      <c r="M681" s="112"/>
      <c r="N681" s="112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</row>
    <row r="682" spans="1:30" ht="12" customHeight="1">
      <c r="A682" s="108"/>
      <c r="B682" s="108"/>
      <c r="C682" s="109"/>
      <c r="D682" s="109"/>
      <c r="E682" s="109"/>
      <c r="F682" s="109"/>
      <c r="G682" s="109"/>
      <c r="H682" s="109"/>
      <c r="I682" s="111"/>
      <c r="J682" s="111"/>
      <c r="K682" s="112"/>
      <c r="L682" s="112"/>
      <c r="M682" s="112"/>
      <c r="N682" s="112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</row>
    <row r="683" spans="1:30" ht="12" customHeight="1">
      <c r="A683" s="108"/>
      <c r="B683" s="108"/>
      <c r="C683" s="109"/>
      <c r="D683" s="109"/>
      <c r="E683" s="109"/>
      <c r="F683" s="109"/>
      <c r="G683" s="109"/>
      <c r="H683" s="109"/>
      <c r="I683" s="111"/>
      <c r="J683" s="111"/>
      <c r="K683" s="112"/>
      <c r="L683" s="112"/>
      <c r="M683" s="112"/>
      <c r="N683" s="112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</row>
    <row r="684" spans="1:30" ht="12" customHeight="1">
      <c r="A684" s="108"/>
      <c r="B684" s="108"/>
      <c r="C684" s="109"/>
      <c r="D684" s="109"/>
      <c r="E684" s="109"/>
      <c r="F684" s="109"/>
      <c r="G684" s="109"/>
      <c r="H684" s="109"/>
      <c r="I684" s="111"/>
      <c r="J684" s="111"/>
      <c r="K684" s="112"/>
      <c r="L684" s="112"/>
      <c r="M684" s="112"/>
      <c r="N684" s="112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</row>
    <row r="685" spans="1:30" ht="12" customHeight="1">
      <c r="A685" s="108"/>
      <c r="B685" s="108"/>
      <c r="C685" s="109"/>
      <c r="D685" s="109"/>
      <c r="E685" s="109"/>
      <c r="F685" s="109"/>
      <c r="G685" s="109"/>
      <c r="H685" s="109"/>
      <c r="I685" s="111"/>
      <c r="J685" s="111"/>
      <c r="K685" s="112"/>
      <c r="L685" s="112"/>
      <c r="M685" s="112"/>
      <c r="N685" s="112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</row>
    <row r="686" spans="1:30" ht="12" customHeight="1">
      <c r="A686" s="108"/>
      <c r="B686" s="108"/>
      <c r="C686" s="109"/>
      <c r="D686" s="109"/>
      <c r="E686" s="109"/>
      <c r="F686" s="109"/>
      <c r="G686" s="109"/>
      <c r="H686" s="109"/>
      <c r="I686" s="111"/>
      <c r="J686" s="111"/>
      <c r="K686" s="112"/>
      <c r="L686" s="112"/>
      <c r="M686" s="112"/>
      <c r="N686" s="112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</row>
    <row r="687" spans="1:30" ht="12" customHeight="1">
      <c r="A687" s="108"/>
      <c r="B687" s="108"/>
      <c r="C687" s="109"/>
      <c r="D687" s="109"/>
      <c r="E687" s="109"/>
      <c r="F687" s="109"/>
      <c r="G687" s="109"/>
      <c r="H687" s="109"/>
      <c r="I687" s="111"/>
      <c r="J687" s="111"/>
      <c r="K687" s="112"/>
      <c r="L687" s="112"/>
      <c r="M687" s="112"/>
      <c r="N687" s="112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</row>
    <row r="688" spans="1:30" ht="12" customHeight="1">
      <c r="A688" s="108"/>
      <c r="B688" s="108"/>
      <c r="C688" s="109"/>
      <c r="D688" s="109"/>
      <c r="E688" s="109"/>
      <c r="F688" s="109"/>
      <c r="G688" s="109"/>
      <c r="H688" s="109"/>
      <c r="I688" s="111"/>
      <c r="J688" s="111"/>
      <c r="K688" s="112"/>
      <c r="L688" s="112"/>
      <c r="M688" s="112"/>
      <c r="N688" s="112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</row>
    <row r="689" spans="1:30" ht="12" customHeight="1">
      <c r="A689" s="108"/>
      <c r="B689" s="108"/>
      <c r="C689" s="109"/>
      <c r="D689" s="109"/>
      <c r="E689" s="109"/>
      <c r="F689" s="109"/>
      <c r="G689" s="109"/>
      <c r="H689" s="109"/>
      <c r="I689" s="111"/>
      <c r="J689" s="111"/>
      <c r="K689" s="112"/>
      <c r="L689" s="112"/>
      <c r="M689" s="112"/>
      <c r="N689" s="112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</row>
    <row r="690" spans="1:30" ht="12" customHeight="1">
      <c r="A690" s="108"/>
      <c r="B690" s="108"/>
      <c r="C690" s="109"/>
      <c r="D690" s="109"/>
      <c r="E690" s="109"/>
      <c r="F690" s="109"/>
      <c r="G690" s="109"/>
      <c r="H690" s="109"/>
      <c r="I690" s="111"/>
      <c r="J690" s="111"/>
      <c r="K690" s="112"/>
      <c r="L690" s="112"/>
      <c r="M690" s="112"/>
      <c r="N690" s="112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</row>
    <row r="691" spans="1:30" ht="12" customHeight="1">
      <c r="A691" s="108"/>
      <c r="B691" s="108"/>
      <c r="C691" s="109"/>
      <c r="D691" s="109"/>
      <c r="E691" s="109"/>
      <c r="F691" s="109"/>
      <c r="G691" s="109"/>
      <c r="H691" s="109"/>
      <c r="I691" s="111"/>
      <c r="J691" s="111"/>
      <c r="K691" s="112"/>
      <c r="L691" s="112"/>
      <c r="M691" s="112"/>
      <c r="N691" s="112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</row>
    <row r="692" spans="1:30" ht="12" customHeight="1">
      <c r="A692" s="108"/>
      <c r="B692" s="108"/>
      <c r="C692" s="109"/>
      <c r="D692" s="109"/>
      <c r="E692" s="109"/>
      <c r="F692" s="109"/>
      <c r="G692" s="109"/>
      <c r="H692" s="109"/>
      <c r="I692" s="111"/>
      <c r="J692" s="111"/>
      <c r="K692" s="112"/>
      <c r="L692" s="112"/>
      <c r="M692" s="112"/>
      <c r="N692" s="112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</row>
    <row r="693" spans="1:30" ht="12" customHeight="1">
      <c r="A693" s="108"/>
      <c r="B693" s="108"/>
      <c r="C693" s="109"/>
      <c r="D693" s="109"/>
      <c r="E693" s="109"/>
      <c r="F693" s="109"/>
      <c r="G693" s="109"/>
      <c r="H693" s="109"/>
      <c r="I693" s="111"/>
      <c r="J693" s="111"/>
      <c r="K693" s="112"/>
      <c r="L693" s="112"/>
      <c r="M693" s="112"/>
      <c r="N693" s="112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</row>
    <row r="694" spans="1:30" ht="12" customHeight="1">
      <c r="A694" s="108"/>
      <c r="B694" s="108"/>
      <c r="C694" s="109"/>
      <c r="D694" s="109"/>
      <c r="E694" s="109"/>
      <c r="F694" s="109"/>
      <c r="G694" s="109"/>
      <c r="H694" s="109"/>
      <c r="I694" s="111"/>
      <c r="J694" s="111"/>
      <c r="K694" s="112"/>
      <c r="L694" s="112"/>
      <c r="M694" s="112"/>
      <c r="N694" s="112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</row>
    <row r="695" spans="1:30" ht="12" customHeight="1">
      <c r="A695" s="108"/>
      <c r="B695" s="108"/>
      <c r="C695" s="109"/>
      <c r="D695" s="109"/>
      <c r="E695" s="109"/>
      <c r="F695" s="109"/>
      <c r="G695" s="109"/>
      <c r="H695" s="109"/>
      <c r="I695" s="111"/>
      <c r="J695" s="111"/>
      <c r="K695" s="112"/>
      <c r="L695" s="112"/>
      <c r="M695" s="112"/>
      <c r="N695" s="112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</row>
    <row r="696" spans="1:30" ht="12" customHeight="1">
      <c r="A696" s="108"/>
      <c r="B696" s="108"/>
      <c r="C696" s="109"/>
      <c r="D696" s="109"/>
      <c r="E696" s="109"/>
      <c r="F696" s="109"/>
      <c r="G696" s="109"/>
      <c r="H696" s="109"/>
      <c r="I696" s="111"/>
      <c r="J696" s="111"/>
      <c r="K696" s="112"/>
      <c r="L696" s="112"/>
      <c r="M696" s="112"/>
      <c r="N696" s="112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</row>
    <row r="697" spans="1:30" ht="12" customHeight="1">
      <c r="A697" s="108"/>
      <c r="B697" s="108"/>
      <c r="C697" s="109"/>
      <c r="D697" s="109"/>
      <c r="E697" s="109"/>
      <c r="F697" s="109"/>
      <c r="G697" s="109"/>
      <c r="H697" s="109"/>
      <c r="I697" s="111"/>
      <c r="J697" s="111"/>
      <c r="K697" s="112"/>
      <c r="L697" s="112"/>
      <c r="M697" s="112"/>
      <c r="N697" s="112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</row>
    <row r="698" spans="1:30" ht="12" customHeight="1">
      <c r="A698" s="108"/>
      <c r="B698" s="108"/>
      <c r="C698" s="109"/>
      <c r="D698" s="109"/>
      <c r="E698" s="109"/>
      <c r="F698" s="109"/>
      <c r="G698" s="109"/>
      <c r="H698" s="109"/>
      <c r="I698" s="111"/>
      <c r="J698" s="111"/>
      <c r="K698" s="112"/>
      <c r="L698" s="112"/>
      <c r="M698" s="112"/>
      <c r="N698" s="112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</row>
    <row r="699" spans="1:30" ht="12" customHeight="1">
      <c r="A699" s="108"/>
      <c r="B699" s="108"/>
      <c r="C699" s="109"/>
      <c r="D699" s="109"/>
      <c r="E699" s="109"/>
      <c r="F699" s="109"/>
      <c r="G699" s="109"/>
      <c r="H699" s="109"/>
      <c r="I699" s="111"/>
      <c r="J699" s="111"/>
      <c r="K699" s="112"/>
      <c r="L699" s="112"/>
      <c r="M699" s="112"/>
      <c r="N699" s="112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</row>
    <row r="700" spans="1:30" ht="12" customHeight="1">
      <c r="A700" s="108"/>
      <c r="B700" s="108"/>
      <c r="C700" s="109"/>
      <c r="D700" s="109"/>
      <c r="E700" s="109"/>
      <c r="F700" s="109"/>
      <c r="G700" s="109"/>
      <c r="H700" s="109"/>
      <c r="I700" s="111"/>
      <c r="J700" s="111"/>
      <c r="K700" s="112"/>
      <c r="L700" s="112"/>
      <c r="M700" s="112"/>
      <c r="N700" s="112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</row>
    <row r="701" spans="1:30" ht="12" customHeight="1">
      <c r="A701" s="108"/>
      <c r="B701" s="108"/>
      <c r="C701" s="109"/>
      <c r="D701" s="109"/>
      <c r="E701" s="109"/>
      <c r="F701" s="109"/>
      <c r="G701" s="109"/>
      <c r="H701" s="109"/>
      <c r="I701" s="111"/>
      <c r="J701" s="111"/>
      <c r="K701" s="112"/>
      <c r="L701" s="112"/>
      <c r="M701" s="112"/>
      <c r="N701" s="112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</row>
    <row r="702" spans="1:30" ht="12" customHeight="1">
      <c r="A702" s="108"/>
      <c r="B702" s="108"/>
      <c r="C702" s="109"/>
      <c r="D702" s="109"/>
      <c r="E702" s="109"/>
      <c r="F702" s="109"/>
      <c r="G702" s="109"/>
      <c r="H702" s="109"/>
      <c r="I702" s="111"/>
      <c r="J702" s="111"/>
      <c r="K702" s="112"/>
      <c r="L702" s="112"/>
      <c r="M702" s="112"/>
      <c r="N702" s="112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</row>
    <row r="703" spans="1:30" ht="12" customHeight="1">
      <c r="A703" s="108"/>
      <c r="B703" s="108"/>
      <c r="C703" s="109"/>
      <c r="D703" s="109"/>
      <c r="E703" s="109"/>
      <c r="F703" s="109"/>
      <c r="G703" s="109"/>
      <c r="H703" s="109"/>
      <c r="I703" s="111"/>
      <c r="J703" s="111"/>
      <c r="K703" s="112"/>
      <c r="L703" s="112"/>
      <c r="M703" s="112"/>
      <c r="N703" s="112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</row>
    <row r="704" spans="1:30" ht="12" customHeight="1">
      <c r="A704" s="108"/>
      <c r="B704" s="108"/>
      <c r="C704" s="109"/>
      <c r="D704" s="109"/>
      <c r="E704" s="109"/>
      <c r="F704" s="109"/>
      <c r="G704" s="109"/>
      <c r="H704" s="109"/>
      <c r="I704" s="111"/>
      <c r="J704" s="111"/>
      <c r="K704" s="112"/>
      <c r="L704" s="112"/>
      <c r="M704" s="112"/>
      <c r="N704" s="112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</row>
    <row r="705" spans="1:30" ht="12" customHeight="1">
      <c r="A705" s="108"/>
      <c r="B705" s="108"/>
      <c r="C705" s="109"/>
      <c r="D705" s="109"/>
      <c r="E705" s="109"/>
      <c r="F705" s="109"/>
      <c r="G705" s="109"/>
      <c r="H705" s="109"/>
      <c r="I705" s="111"/>
      <c r="J705" s="111"/>
      <c r="K705" s="112"/>
      <c r="L705" s="112"/>
      <c r="M705" s="112"/>
      <c r="N705" s="112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</row>
    <row r="706" spans="1:30" ht="12" customHeight="1">
      <c r="A706" s="108"/>
      <c r="B706" s="108"/>
      <c r="C706" s="109"/>
      <c r="D706" s="109"/>
      <c r="E706" s="109"/>
      <c r="F706" s="109"/>
      <c r="G706" s="109"/>
      <c r="H706" s="109"/>
      <c r="I706" s="111"/>
      <c r="J706" s="111"/>
      <c r="K706" s="112"/>
      <c r="L706" s="112"/>
      <c r="M706" s="112"/>
      <c r="N706" s="112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</row>
    <row r="707" spans="1:30" ht="12" customHeight="1">
      <c r="A707" s="108"/>
      <c r="B707" s="108"/>
      <c r="C707" s="109"/>
      <c r="D707" s="109"/>
      <c r="E707" s="109"/>
      <c r="F707" s="109"/>
      <c r="G707" s="109"/>
      <c r="H707" s="109"/>
      <c r="I707" s="111"/>
      <c r="J707" s="111"/>
      <c r="K707" s="112"/>
      <c r="L707" s="112"/>
      <c r="M707" s="112"/>
      <c r="N707" s="112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</row>
    <row r="708" spans="1:30" ht="12" customHeight="1">
      <c r="A708" s="108"/>
      <c r="B708" s="108"/>
      <c r="C708" s="109"/>
      <c r="D708" s="109"/>
      <c r="E708" s="109"/>
      <c r="F708" s="109"/>
      <c r="G708" s="109"/>
      <c r="H708" s="109"/>
      <c r="I708" s="111"/>
      <c r="J708" s="111"/>
      <c r="K708" s="112"/>
      <c r="L708" s="112"/>
      <c r="M708" s="112"/>
      <c r="N708" s="112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</row>
    <row r="709" spans="1:30" ht="12" customHeight="1">
      <c r="A709" s="108"/>
      <c r="B709" s="108"/>
      <c r="C709" s="109"/>
      <c r="D709" s="109"/>
      <c r="E709" s="109"/>
      <c r="F709" s="109"/>
      <c r="G709" s="109"/>
      <c r="H709" s="109"/>
      <c r="I709" s="111"/>
      <c r="J709" s="111"/>
      <c r="K709" s="112"/>
      <c r="L709" s="112"/>
      <c r="M709" s="112"/>
      <c r="N709" s="112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</row>
    <row r="710" spans="1:30" ht="12" customHeight="1">
      <c r="A710" s="108"/>
      <c r="B710" s="108"/>
      <c r="C710" s="109"/>
      <c r="D710" s="109"/>
      <c r="E710" s="109"/>
      <c r="F710" s="109"/>
      <c r="G710" s="109"/>
      <c r="H710" s="109"/>
      <c r="I710" s="111"/>
      <c r="J710" s="111"/>
      <c r="K710" s="112"/>
      <c r="L710" s="112"/>
      <c r="M710" s="112"/>
      <c r="N710" s="112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</row>
    <row r="711" spans="1:30" ht="12" customHeight="1">
      <c r="A711" s="108"/>
      <c r="B711" s="108"/>
      <c r="C711" s="109"/>
      <c r="D711" s="109"/>
      <c r="E711" s="109"/>
      <c r="F711" s="109"/>
      <c r="G711" s="109"/>
      <c r="H711" s="109"/>
      <c r="I711" s="111"/>
      <c r="J711" s="111"/>
      <c r="K711" s="112"/>
      <c r="L711" s="112"/>
      <c r="M711" s="112"/>
      <c r="N711" s="112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</row>
    <row r="712" spans="1:30" ht="12" customHeight="1">
      <c r="A712" s="108"/>
      <c r="B712" s="108"/>
      <c r="C712" s="109"/>
      <c r="D712" s="109"/>
      <c r="E712" s="109"/>
      <c r="F712" s="109"/>
      <c r="G712" s="109"/>
      <c r="H712" s="109"/>
      <c r="I712" s="111"/>
      <c r="J712" s="111"/>
      <c r="K712" s="112"/>
      <c r="L712" s="112"/>
      <c r="M712" s="112"/>
      <c r="N712" s="112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</row>
    <row r="713" spans="1:30" ht="12" customHeight="1">
      <c r="A713" s="108"/>
      <c r="B713" s="108"/>
      <c r="C713" s="109"/>
      <c r="D713" s="109"/>
      <c r="E713" s="109"/>
      <c r="F713" s="109"/>
      <c r="G713" s="109"/>
      <c r="H713" s="109"/>
      <c r="I713" s="111"/>
      <c r="J713" s="111"/>
      <c r="K713" s="112"/>
      <c r="L713" s="112"/>
      <c r="M713" s="112"/>
      <c r="N713" s="112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</row>
    <row r="714" spans="1:30" ht="12" customHeight="1">
      <c r="A714" s="108"/>
      <c r="B714" s="108"/>
      <c r="C714" s="109"/>
      <c r="D714" s="109"/>
      <c r="E714" s="109"/>
      <c r="F714" s="109"/>
      <c r="G714" s="109"/>
      <c r="H714" s="109"/>
      <c r="I714" s="111"/>
      <c r="J714" s="111"/>
      <c r="K714" s="112"/>
      <c r="L714" s="112"/>
      <c r="M714" s="112"/>
      <c r="N714" s="112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</row>
    <row r="715" spans="1:30" ht="12" customHeight="1">
      <c r="A715" s="108"/>
      <c r="B715" s="108"/>
      <c r="C715" s="109"/>
      <c r="D715" s="109"/>
      <c r="E715" s="109"/>
      <c r="F715" s="109"/>
      <c r="G715" s="109"/>
      <c r="H715" s="109"/>
      <c r="I715" s="111"/>
      <c r="J715" s="111"/>
      <c r="K715" s="112"/>
      <c r="L715" s="112"/>
      <c r="M715" s="112"/>
      <c r="N715" s="112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</row>
    <row r="716" spans="1:30" ht="12" customHeight="1">
      <c r="A716" s="108"/>
      <c r="B716" s="108"/>
      <c r="C716" s="109"/>
      <c r="D716" s="109"/>
      <c r="E716" s="109"/>
      <c r="F716" s="109"/>
      <c r="G716" s="109"/>
      <c r="H716" s="109"/>
      <c r="I716" s="111"/>
      <c r="J716" s="111"/>
      <c r="K716" s="112"/>
      <c r="L716" s="112"/>
      <c r="M716" s="112"/>
      <c r="N716" s="112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</row>
    <row r="717" spans="1:30" ht="12" customHeight="1">
      <c r="A717" s="108"/>
      <c r="B717" s="108"/>
      <c r="C717" s="109"/>
      <c r="D717" s="109"/>
      <c r="E717" s="109"/>
      <c r="F717" s="109"/>
      <c r="G717" s="109"/>
      <c r="H717" s="109"/>
      <c r="I717" s="111"/>
      <c r="J717" s="111"/>
      <c r="K717" s="112"/>
      <c r="L717" s="112"/>
      <c r="M717" s="112"/>
      <c r="N717" s="112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</row>
    <row r="718" spans="1:30" ht="12" customHeight="1">
      <c r="A718" s="108"/>
      <c r="B718" s="108"/>
      <c r="C718" s="109"/>
      <c r="D718" s="109"/>
      <c r="E718" s="109"/>
      <c r="F718" s="109"/>
      <c r="G718" s="109"/>
      <c r="H718" s="109"/>
      <c r="I718" s="111"/>
      <c r="J718" s="111"/>
      <c r="K718" s="112"/>
      <c r="L718" s="112"/>
      <c r="M718" s="112"/>
      <c r="N718" s="112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</row>
    <row r="719" spans="1:30" ht="12" customHeight="1">
      <c r="A719" s="108"/>
      <c r="B719" s="108"/>
      <c r="C719" s="109"/>
      <c r="D719" s="109"/>
      <c r="E719" s="109"/>
      <c r="F719" s="109"/>
      <c r="G719" s="109"/>
      <c r="H719" s="109"/>
      <c r="I719" s="111"/>
      <c r="J719" s="111"/>
      <c r="K719" s="112"/>
      <c r="L719" s="112"/>
      <c r="M719" s="112"/>
      <c r="N719" s="112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</row>
    <row r="720" spans="1:30" ht="12" customHeight="1">
      <c r="A720" s="108"/>
      <c r="B720" s="108"/>
      <c r="C720" s="109"/>
      <c r="D720" s="109"/>
      <c r="E720" s="109"/>
      <c r="F720" s="109"/>
      <c r="G720" s="109"/>
      <c r="H720" s="109"/>
      <c r="I720" s="111"/>
      <c r="J720" s="111"/>
      <c r="K720" s="112"/>
      <c r="L720" s="112"/>
      <c r="M720" s="112"/>
      <c r="N720" s="112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</row>
    <row r="721" spans="1:30" ht="12" customHeight="1">
      <c r="A721" s="108"/>
      <c r="B721" s="108"/>
      <c r="C721" s="109"/>
      <c r="D721" s="109"/>
      <c r="E721" s="109"/>
      <c r="F721" s="109"/>
      <c r="G721" s="109"/>
      <c r="H721" s="109"/>
      <c r="I721" s="111"/>
      <c r="J721" s="111"/>
      <c r="K721" s="112"/>
      <c r="L721" s="112"/>
      <c r="M721" s="112"/>
      <c r="N721" s="112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</row>
    <row r="722" spans="1:30" ht="12" customHeight="1">
      <c r="A722" s="108"/>
      <c r="B722" s="108"/>
      <c r="C722" s="109"/>
      <c r="D722" s="109"/>
      <c r="E722" s="109"/>
      <c r="F722" s="109"/>
      <c r="G722" s="109"/>
      <c r="H722" s="109"/>
      <c r="I722" s="111"/>
      <c r="J722" s="111"/>
      <c r="K722" s="112"/>
      <c r="L722" s="112"/>
      <c r="M722" s="112"/>
      <c r="N722" s="112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</row>
    <row r="723" spans="1:30" ht="12" customHeight="1">
      <c r="A723" s="108"/>
      <c r="B723" s="108"/>
      <c r="C723" s="109"/>
      <c r="D723" s="109"/>
      <c r="E723" s="109"/>
      <c r="F723" s="109"/>
      <c r="G723" s="109"/>
      <c r="H723" s="109"/>
      <c r="I723" s="111"/>
      <c r="J723" s="111"/>
      <c r="K723" s="112"/>
      <c r="L723" s="112"/>
      <c r="M723" s="112"/>
      <c r="N723" s="112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</row>
    <row r="724" spans="1:30" ht="12" customHeight="1">
      <c r="A724" s="108"/>
      <c r="B724" s="108"/>
      <c r="C724" s="109"/>
      <c r="D724" s="109"/>
      <c r="E724" s="109"/>
      <c r="F724" s="109"/>
      <c r="G724" s="109"/>
      <c r="H724" s="109"/>
      <c r="I724" s="111"/>
      <c r="J724" s="111"/>
      <c r="K724" s="112"/>
      <c r="L724" s="112"/>
      <c r="M724" s="112"/>
      <c r="N724" s="112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</row>
    <row r="725" spans="1:30" ht="12" customHeight="1">
      <c r="A725" s="108"/>
      <c r="B725" s="108"/>
      <c r="C725" s="109"/>
      <c r="D725" s="109"/>
      <c r="E725" s="109"/>
      <c r="F725" s="109"/>
      <c r="G725" s="109"/>
      <c r="H725" s="109"/>
      <c r="I725" s="111"/>
      <c r="J725" s="111"/>
      <c r="K725" s="112"/>
      <c r="L725" s="112"/>
      <c r="M725" s="112"/>
      <c r="N725" s="112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</row>
    <row r="726" spans="1:30" ht="12" customHeight="1">
      <c r="A726" s="108"/>
      <c r="B726" s="108"/>
      <c r="C726" s="109"/>
      <c r="D726" s="109"/>
      <c r="E726" s="109"/>
      <c r="F726" s="109"/>
      <c r="G726" s="109"/>
      <c r="H726" s="109"/>
      <c r="I726" s="111"/>
      <c r="J726" s="111"/>
      <c r="K726" s="112"/>
      <c r="L726" s="112"/>
      <c r="M726" s="112"/>
      <c r="N726" s="112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</row>
    <row r="727" spans="1:30" ht="12" customHeight="1">
      <c r="A727" s="108"/>
      <c r="B727" s="108"/>
      <c r="C727" s="109"/>
      <c r="D727" s="109"/>
      <c r="E727" s="109"/>
      <c r="F727" s="109"/>
      <c r="G727" s="109"/>
      <c r="H727" s="109"/>
      <c r="I727" s="111"/>
      <c r="J727" s="111"/>
      <c r="K727" s="112"/>
      <c r="L727" s="112"/>
      <c r="M727" s="112"/>
      <c r="N727" s="112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</row>
    <row r="728" spans="1:30" ht="12" customHeight="1">
      <c r="A728" s="108"/>
      <c r="B728" s="108"/>
      <c r="C728" s="109"/>
      <c r="D728" s="109"/>
      <c r="E728" s="109"/>
      <c r="F728" s="109"/>
      <c r="G728" s="109"/>
      <c r="H728" s="109"/>
      <c r="I728" s="111"/>
      <c r="J728" s="111"/>
      <c r="K728" s="112"/>
      <c r="L728" s="112"/>
      <c r="M728" s="112"/>
      <c r="N728" s="112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</row>
    <row r="729" spans="1:30" ht="12" customHeight="1">
      <c r="A729" s="108"/>
      <c r="B729" s="108"/>
      <c r="C729" s="109"/>
      <c r="D729" s="109"/>
      <c r="E729" s="109"/>
      <c r="F729" s="109"/>
      <c r="G729" s="109"/>
      <c r="H729" s="109"/>
      <c r="I729" s="111"/>
      <c r="J729" s="111"/>
      <c r="K729" s="112"/>
      <c r="L729" s="112"/>
      <c r="M729" s="112"/>
      <c r="N729" s="112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</row>
    <row r="730" spans="1:30" ht="12" customHeight="1">
      <c r="A730" s="108"/>
      <c r="B730" s="108"/>
      <c r="C730" s="109"/>
      <c r="D730" s="109"/>
      <c r="E730" s="109"/>
      <c r="F730" s="109"/>
      <c r="G730" s="109"/>
      <c r="H730" s="109"/>
      <c r="I730" s="111"/>
      <c r="J730" s="111"/>
      <c r="K730" s="112"/>
      <c r="L730" s="112"/>
      <c r="M730" s="112"/>
      <c r="N730" s="112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</row>
    <row r="731" spans="1:30" ht="12" customHeight="1">
      <c r="A731" s="108"/>
      <c r="B731" s="108"/>
      <c r="C731" s="109"/>
      <c r="D731" s="109"/>
      <c r="E731" s="109"/>
      <c r="F731" s="109"/>
      <c r="G731" s="109"/>
      <c r="H731" s="109"/>
      <c r="I731" s="111"/>
      <c r="J731" s="111"/>
      <c r="K731" s="112"/>
      <c r="L731" s="112"/>
      <c r="M731" s="112"/>
      <c r="N731" s="112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</row>
    <row r="732" spans="1:30" ht="12" customHeight="1">
      <c r="A732" s="108"/>
      <c r="B732" s="108"/>
      <c r="C732" s="109"/>
      <c r="D732" s="109"/>
      <c r="E732" s="109"/>
      <c r="F732" s="109"/>
      <c r="G732" s="109"/>
      <c r="H732" s="109"/>
      <c r="I732" s="111"/>
      <c r="J732" s="111"/>
      <c r="K732" s="112"/>
      <c r="L732" s="112"/>
      <c r="M732" s="112"/>
      <c r="N732" s="112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</row>
    <row r="733" spans="1:30" ht="12" customHeight="1">
      <c r="A733" s="108"/>
      <c r="B733" s="108"/>
      <c r="C733" s="109"/>
      <c r="D733" s="109"/>
      <c r="E733" s="109"/>
      <c r="F733" s="109"/>
      <c r="G733" s="109"/>
      <c r="H733" s="109"/>
      <c r="I733" s="111"/>
      <c r="J733" s="111"/>
      <c r="K733" s="112"/>
      <c r="L733" s="112"/>
      <c r="M733" s="112"/>
      <c r="N733" s="112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</row>
    <row r="734" spans="1:30" ht="12" customHeight="1">
      <c r="A734" s="108"/>
      <c r="B734" s="108"/>
      <c r="C734" s="109"/>
      <c r="D734" s="109"/>
      <c r="E734" s="109"/>
      <c r="F734" s="109"/>
      <c r="G734" s="109"/>
      <c r="H734" s="109"/>
      <c r="I734" s="111"/>
      <c r="J734" s="111"/>
      <c r="K734" s="112"/>
      <c r="L734" s="112"/>
      <c r="M734" s="112"/>
      <c r="N734" s="112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</row>
    <row r="735" spans="1:30" ht="12" customHeight="1">
      <c r="A735" s="108"/>
      <c r="B735" s="108"/>
      <c r="C735" s="109"/>
      <c r="D735" s="109"/>
      <c r="E735" s="109"/>
      <c r="F735" s="109"/>
      <c r="G735" s="109"/>
      <c r="H735" s="109"/>
      <c r="I735" s="111"/>
      <c r="J735" s="111"/>
      <c r="K735" s="112"/>
      <c r="L735" s="112"/>
      <c r="M735" s="112"/>
      <c r="N735" s="112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</row>
    <row r="736" spans="1:30" ht="12" customHeight="1">
      <c r="A736" s="108"/>
      <c r="B736" s="108"/>
      <c r="C736" s="109"/>
      <c r="D736" s="109"/>
      <c r="E736" s="109"/>
      <c r="F736" s="109"/>
      <c r="G736" s="109"/>
      <c r="H736" s="109"/>
      <c r="I736" s="111"/>
      <c r="J736" s="111"/>
      <c r="K736" s="112"/>
      <c r="L736" s="112"/>
      <c r="M736" s="112"/>
      <c r="N736" s="112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</row>
    <row r="737" spans="1:30" ht="12" customHeight="1">
      <c r="A737" s="108"/>
      <c r="B737" s="108"/>
      <c r="C737" s="109"/>
      <c r="D737" s="109"/>
      <c r="E737" s="109"/>
      <c r="F737" s="109"/>
      <c r="G737" s="109"/>
      <c r="H737" s="109"/>
      <c r="I737" s="111"/>
      <c r="J737" s="111"/>
      <c r="K737" s="112"/>
      <c r="L737" s="112"/>
      <c r="M737" s="112"/>
      <c r="N737" s="112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</row>
    <row r="738" spans="1:30" ht="12" customHeight="1">
      <c r="A738" s="108"/>
      <c r="B738" s="108"/>
      <c r="C738" s="109"/>
      <c r="D738" s="109"/>
      <c r="E738" s="109"/>
      <c r="F738" s="109"/>
      <c r="G738" s="109"/>
      <c r="H738" s="109"/>
      <c r="I738" s="111"/>
      <c r="J738" s="111"/>
      <c r="K738" s="112"/>
      <c r="L738" s="112"/>
      <c r="M738" s="112"/>
      <c r="N738" s="112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</row>
    <row r="739" spans="1:30" ht="12" customHeight="1">
      <c r="A739" s="108"/>
      <c r="B739" s="108"/>
      <c r="C739" s="109"/>
      <c r="D739" s="109"/>
      <c r="E739" s="109"/>
      <c r="F739" s="109"/>
      <c r="G739" s="109"/>
      <c r="H739" s="109"/>
      <c r="I739" s="111"/>
      <c r="J739" s="111"/>
      <c r="K739" s="112"/>
      <c r="L739" s="112"/>
      <c r="M739" s="112"/>
      <c r="N739" s="112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</row>
    <row r="740" spans="1:30" ht="12" customHeight="1">
      <c r="A740" s="108"/>
      <c r="B740" s="108"/>
      <c r="C740" s="109"/>
      <c r="D740" s="109"/>
      <c r="E740" s="109"/>
      <c r="F740" s="109"/>
      <c r="G740" s="109"/>
      <c r="H740" s="109"/>
      <c r="I740" s="111"/>
      <c r="J740" s="111"/>
      <c r="K740" s="112"/>
      <c r="L740" s="112"/>
      <c r="M740" s="112"/>
      <c r="N740" s="112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</row>
    <row r="741" spans="1:30" ht="12" customHeight="1">
      <c r="A741" s="108"/>
      <c r="B741" s="108"/>
      <c r="C741" s="109"/>
      <c r="D741" s="109"/>
      <c r="E741" s="109"/>
      <c r="F741" s="109"/>
      <c r="G741" s="109"/>
      <c r="H741" s="109"/>
      <c r="I741" s="111"/>
      <c r="J741" s="111"/>
      <c r="K741" s="112"/>
      <c r="L741" s="112"/>
      <c r="M741" s="112"/>
      <c r="N741" s="112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</row>
    <row r="742" spans="1:30" ht="12" customHeight="1">
      <c r="A742" s="108"/>
      <c r="B742" s="108"/>
      <c r="C742" s="109"/>
      <c r="D742" s="109"/>
      <c r="E742" s="109"/>
      <c r="F742" s="109"/>
      <c r="G742" s="109"/>
      <c r="H742" s="109"/>
      <c r="I742" s="111"/>
      <c r="J742" s="111"/>
      <c r="K742" s="112"/>
      <c r="L742" s="112"/>
      <c r="M742" s="112"/>
      <c r="N742" s="112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</row>
    <row r="743" spans="1:30" ht="12" customHeight="1">
      <c r="A743" s="108"/>
      <c r="B743" s="108"/>
      <c r="C743" s="109"/>
      <c r="D743" s="109"/>
      <c r="E743" s="109"/>
      <c r="F743" s="109"/>
      <c r="G743" s="109"/>
      <c r="H743" s="109"/>
      <c r="I743" s="111"/>
      <c r="J743" s="111"/>
      <c r="K743" s="112"/>
      <c r="L743" s="112"/>
      <c r="M743" s="112"/>
      <c r="N743" s="112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</row>
    <row r="744" spans="1:30" ht="12" customHeight="1">
      <c r="A744" s="108"/>
      <c r="B744" s="108"/>
      <c r="C744" s="109"/>
      <c r="D744" s="109"/>
      <c r="E744" s="109"/>
      <c r="F744" s="109"/>
      <c r="G744" s="109"/>
      <c r="H744" s="109"/>
      <c r="I744" s="111"/>
      <c r="J744" s="111"/>
      <c r="K744" s="112"/>
      <c r="L744" s="112"/>
      <c r="M744" s="112"/>
      <c r="N744" s="112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</row>
    <row r="745" spans="1:30" ht="12" customHeight="1">
      <c r="A745" s="108"/>
      <c r="B745" s="108"/>
      <c r="C745" s="109"/>
      <c r="D745" s="109"/>
      <c r="E745" s="109"/>
      <c r="F745" s="109"/>
      <c r="G745" s="109"/>
      <c r="H745" s="109"/>
      <c r="I745" s="111"/>
      <c r="J745" s="111"/>
      <c r="K745" s="112"/>
      <c r="L745" s="112"/>
      <c r="M745" s="112"/>
      <c r="N745" s="112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</row>
    <row r="746" spans="1:30" ht="12" customHeight="1">
      <c r="A746" s="108"/>
      <c r="B746" s="108"/>
      <c r="C746" s="109"/>
      <c r="D746" s="109"/>
      <c r="E746" s="109"/>
      <c r="F746" s="109"/>
      <c r="G746" s="109"/>
      <c r="H746" s="109"/>
      <c r="I746" s="111"/>
      <c r="J746" s="111"/>
      <c r="K746" s="112"/>
      <c r="L746" s="112"/>
      <c r="M746" s="112"/>
      <c r="N746" s="112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</row>
    <row r="747" spans="1:30" ht="12" customHeight="1">
      <c r="A747" s="108"/>
      <c r="B747" s="108"/>
      <c r="C747" s="109"/>
      <c r="D747" s="109"/>
      <c r="E747" s="109"/>
      <c r="F747" s="109"/>
      <c r="G747" s="109"/>
      <c r="H747" s="109"/>
      <c r="I747" s="111"/>
      <c r="J747" s="111"/>
      <c r="K747" s="112"/>
      <c r="L747" s="112"/>
      <c r="M747" s="112"/>
      <c r="N747" s="112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</row>
    <row r="748" spans="1:30" ht="12" customHeight="1">
      <c r="A748" s="108"/>
      <c r="B748" s="108"/>
      <c r="C748" s="109"/>
      <c r="D748" s="109"/>
      <c r="E748" s="109"/>
      <c r="F748" s="109"/>
      <c r="G748" s="109"/>
      <c r="H748" s="109"/>
      <c r="I748" s="111"/>
      <c r="J748" s="111"/>
      <c r="K748" s="112"/>
      <c r="L748" s="112"/>
      <c r="M748" s="112"/>
      <c r="N748" s="112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</row>
    <row r="749" spans="1:30" ht="12" customHeight="1">
      <c r="A749" s="108"/>
      <c r="B749" s="108"/>
      <c r="C749" s="109"/>
      <c r="D749" s="109"/>
      <c r="E749" s="109"/>
      <c r="F749" s="109"/>
      <c r="G749" s="109"/>
      <c r="H749" s="109"/>
      <c r="I749" s="111"/>
      <c r="J749" s="111"/>
      <c r="K749" s="112"/>
      <c r="L749" s="112"/>
      <c r="M749" s="112"/>
      <c r="N749" s="112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</row>
    <row r="750" spans="1:30" ht="12" customHeight="1">
      <c r="A750" s="108"/>
      <c r="B750" s="108"/>
      <c r="C750" s="109"/>
      <c r="D750" s="109"/>
      <c r="E750" s="109"/>
      <c r="F750" s="109"/>
      <c r="G750" s="109"/>
      <c r="H750" s="109"/>
      <c r="I750" s="111"/>
      <c r="J750" s="111"/>
      <c r="K750" s="112"/>
      <c r="L750" s="112"/>
      <c r="M750" s="112"/>
      <c r="N750" s="112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</row>
    <row r="751" spans="1:30" ht="12" customHeight="1">
      <c r="A751" s="108"/>
      <c r="B751" s="108"/>
      <c r="C751" s="109"/>
      <c r="D751" s="109"/>
      <c r="E751" s="109"/>
      <c r="F751" s="109"/>
      <c r="G751" s="109"/>
      <c r="H751" s="109"/>
      <c r="I751" s="111"/>
      <c r="J751" s="111"/>
      <c r="K751" s="112"/>
      <c r="L751" s="112"/>
      <c r="M751" s="112"/>
      <c r="N751" s="112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</row>
    <row r="752" spans="1:30" ht="12" customHeight="1">
      <c r="A752" s="108"/>
      <c r="B752" s="108"/>
      <c r="C752" s="109"/>
      <c r="D752" s="109"/>
      <c r="E752" s="109"/>
      <c r="F752" s="109"/>
      <c r="G752" s="109"/>
      <c r="H752" s="109"/>
      <c r="I752" s="111"/>
      <c r="J752" s="111"/>
      <c r="K752" s="112"/>
      <c r="L752" s="112"/>
      <c r="M752" s="112"/>
      <c r="N752" s="112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</row>
    <row r="753" spans="1:30" ht="12" customHeight="1">
      <c r="A753" s="108"/>
      <c r="B753" s="108"/>
      <c r="C753" s="109"/>
      <c r="D753" s="109"/>
      <c r="E753" s="109"/>
      <c r="F753" s="109"/>
      <c r="G753" s="109"/>
      <c r="H753" s="109"/>
      <c r="I753" s="111"/>
      <c r="J753" s="111"/>
      <c r="K753" s="112"/>
      <c r="L753" s="112"/>
      <c r="M753" s="112"/>
      <c r="N753" s="112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</row>
    <row r="754" spans="1:30" ht="12" customHeight="1">
      <c r="A754" s="108"/>
      <c r="B754" s="108"/>
      <c r="C754" s="109"/>
      <c r="D754" s="109"/>
      <c r="E754" s="109"/>
      <c r="F754" s="109"/>
      <c r="G754" s="109"/>
      <c r="H754" s="109"/>
      <c r="I754" s="111"/>
      <c r="J754" s="111"/>
      <c r="K754" s="112"/>
      <c r="L754" s="112"/>
      <c r="M754" s="112"/>
      <c r="N754" s="112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</row>
    <row r="755" spans="1:30" ht="12" customHeight="1">
      <c r="A755" s="108"/>
      <c r="B755" s="108"/>
      <c r="C755" s="109"/>
      <c r="D755" s="109"/>
      <c r="E755" s="109"/>
      <c r="F755" s="109"/>
      <c r="G755" s="109"/>
      <c r="H755" s="109"/>
      <c r="I755" s="111"/>
      <c r="J755" s="111"/>
      <c r="K755" s="112"/>
      <c r="L755" s="112"/>
      <c r="M755" s="112"/>
      <c r="N755" s="112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</row>
    <row r="756" spans="1:30" ht="12" customHeight="1">
      <c r="A756" s="108"/>
      <c r="B756" s="108"/>
      <c r="C756" s="109"/>
      <c r="D756" s="109"/>
      <c r="E756" s="109"/>
      <c r="F756" s="109"/>
      <c r="G756" s="109"/>
      <c r="H756" s="109"/>
      <c r="I756" s="111"/>
      <c r="J756" s="111"/>
      <c r="K756" s="112"/>
      <c r="L756" s="112"/>
      <c r="M756" s="112"/>
      <c r="N756" s="112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</row>
    <row r="757" spans="1:30" ht="12" customHeight="1">
      <c r="A757" s="108"/>
      <c r="B757" s="108"/>
      <c r="C757" s="109"/>
      <c r="D757" s="109"/>
      <c r="E757" s="109"/>
      <c r="F757" s="109"/>
      <c r="G757" s="109"/>
      <c r="H757" s="109"/>
      <c r="I757" s="111"/>
      <c r="J757" s="111"/>
      <c r="K757" s="112"/>
      <c r="L757" s="112"/>
      <c r="M757" s="112"/>
      <c r="N757" s="112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</row>
    <row r="758" spans="1:30" ht="12" customHeight="1">
      <c r="A758" s="108"/>
      <c r="B758" s="108"/>
      <c r="C758" s="109"/>
      <c r="D758" s="109"/>
      <c r="E758" s="109"/>
      <c r="F758" s="109"/>
      <c r="G758" s="109"/>
      <c r="H758" s="109"/>
      <c r="I758" s="111"/>
      <c r="J758" s="111"/>
      <c r="K758" s="112"/>
      <c r="L758" s="112"/>
      <c r="M758" s="112"/>
      <c r="N758" s="112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</row>
    <row r="759" spans="1:30" ht="12" customHeight="1">
      <c r="A759" s="108"/>
      <c r="B759" s="108"/>
      <c r="C759" s="109"/>
      <c r="D759" s="109"/>
      <c r="E759" s="109"/>
      <c r="F759" s="109"/>
      <c r="G759" s="109"/>
      <c r="H759" s="109"/>
      <c r="I759" s="111"/>
      <c r="J759" s="111"/>
      <c r="K759" s="112"/>
      <c r="L759" s="112"/>
      <c r="M759" s="112"/>
      <c r="N759" s="112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</row>
    <row r="760" spans="1:30" ht="12" customHeight="1">
      <c r="A760" s="108"/>
      <c r="B760" s="108"/>
      <c r="C760" s="109"/>
      <c r="D760" s="109"/>
      <c r="E760" s="109"/>
      <c r="F760" s="109"/>
      <c r="G760" s="109"/>
      <c r="H760" s="109"/>
      <c r="I760" s="111"/>
      <c r="J760" s="111"/>
      <c r="K760" s="112"/>
      <c r="L760" s="112"/>
      <c r="M760" s="112"/>
      <c r="N760" s="112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</row>
    <row r="761" spans="1:30" ht="12" customHeight="1">
      <c r="A761" s="108"/>
      <c r="B761" s="108"/>
      <c r="C761" s="109"/>
      <c r="D761" s="109"/>
      <c r="E761" s="109"/>
      <c r="F761" s="109"/>
      <c r="G761" s="109"/>
      <c r="H761" s="109"/>
      <c r="I761" s="111"/>
      <c r="J761" s="111"/>
      <c r="K761" s="112"/>
      <c r="L761" s="112"/>
      <c r="M761" s="112"/>
      <c r="N761" s="112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</row>
    <row r="762" spans="1:30" ht="12" customHeight="1">
      <c r="A762" s="108"/>
      <c r="B762" s="108"/>
      <c r="C762" s="109"/>
      <c r="D762" s="109"/>
      <c r="E762" s="109"/>
      <c r="F762" s="109"/>
      <c r="G762" s="109"/>
      <c r="H762" s="109"/>
      <c r="I762" s="111"/>
      <c r="J762" s="111"/>
      <c r="K762" s="112"/>
      <c r="L762" s="112"/>
      <c r="M762" s="112"/>
      <c r="N762" s="112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</row>
    <row r="763" spans="1:30" ht="12" customHeight="1">
      <c r="A763" s="108"/>
      <c r="B763" s="108"/>
      <c r="C763" s="109"/>
      <c r="D763" s="109"/>
      <c r="E763" s="109"/>
      <c r="F763" s="109"/>
      <c r="G763" s="109"/>
      <c r="H763" s="109"/>
      <c r="I763" s="111"/>
      <c r="J763" s="111"/>
      <c r="K763" s="112"/>
      <c r="L763" s="112"/>
      <c r="M763" s="112"/>
      <c r="N763" s="112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</row>
    <row r="764" spans="1:30" ht="12" customHeight="1">
      <c r="A764" s="108"/>
      <c r="B764" s="108"/>
      <c r="C764" s="109"/>
      <c r="D764" s="109"/>
      <c r="E764" s="109"/>
      <c r="F764" s="109"/>
      <c r="G764" s="109"/>
      <c r="H764" s="109"/>
      <c r="I764" s="111"/>
      <c r="J764" s="111"/>
      <c r="K764" s="112"/>
      <c r="L764" s="112"/>
      <c r="M764" s="112"/>
      <c r="N764" s="112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</row>
    <row r="765" spans="1:30" ht="12" customHeight="1">
      <c r="A765" s="108"/>
      <c r="B765" s="108"/>
      <c r="C765" s="109"/>
      <c r="D765" s="109"/>
      <c r="E765" s="109"/>
      <c r="F765" s="109"/>
      <c r="G765" s="109"/>
      <c r="H765" s="109"/>
      <c r="I765" s="111"/>
      <c r="J765" s="111"/>
      <c r="K765" s="112"/>
      <c r="L765" s="112"/>
      <c r="M765" s="112"/>
      <c r="N765" s="112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</row>
    <row r="766" spans="1:30" ht="12" customHeight="1">
      <c r="A766" s="108"/>
      <c r="B766" s="108"/>
      <c r="C766" s="109"/>
      <c r="D766" s="109"/>
      <c r="E766" s="109"/>
      <c r="F766" s="109"/>
      <c r="G766" s="109"/>
      <c r="H766" s="109"/>
      <c r="I766" s="111"/>
      <c r="J766" s="111"/>
      <c r="K766" s="112"/>
      <c r="L766" s="112"/>
      <c r="M766" s="112"/>
      <c r="N766" s="112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</row>
    <row r="767" spans="1:30" ht="12" customHeight="1">
      <c r="A767" s="108"/>
      <c r="B767" s="108"/>
      <c r="C767" s="109"/>
      <c r="D767" s="109"/>
      <c r="E767" s="109"/>
      <c r="F767" s="109"/>
      <c r="G767" s="109"/>
      <c r="H767" s="109"/>
      <c r="I767" s="111"/>
      <c r="J767" s="111"/>
      <c r="K767" s="112"/>
      <c r="L767" s="112"/>
      <c r="M767" s="112"/>
      <c r="N767" s="112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</row>
    <row r="768" spans="1:30" ht="12" customHeight="1">
      <c r="A768" s="108"/>
      <c r="B768" s="108"/>
      <c r="C768" s="109"/>
      <c r="D768" s="109"/>
      <c r="E768" s="109"/>
      <c r="F768" s="109"/>
      <c r="G768" s="109"/>
      <c r="H768" s="109"/>
      <c r="I768" s="111"/>
      <c r="J768" s="111"/>
      <c r="K768" s="112"/>
      <c r="L768" s="112"/>
      <c r="M768" s="112"/>
      <c r="N768" s="112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</row>
    <row r="769" spans="1:30" ht="12" customHeight="1">
      <c r="A769" s="108"/>
      <c r="B769" s="108"/>
      <c r="C769" s="109"/>
      <c r="D769" s="109"/>
      <c r="E769" s="109"/>
      <c r="F769" s="109"/>
      <c r="G769" s="109"/>
      <c r="H769" s="109"/>
      <c r="I769" s="111"/>
      <c r="J769" s="111"/>
      <c r="K769" s="112"/>
      <c r="L769" s="112"/>
      <c r="M769" s="112"/>
      <c r="N769" s="112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</row>
    <row r="770" spans="1:30" ht="12" customHeight="1">
      <c r="A770" s="108"/>
      <c r="B770" s="108"/>
      <c r="C770" s="109"/>
      <c r="D770" s="109"/>
      <c r="E770" s="109"/>
      <c r="F770" s="109"/>
      <c r="G770" s="109"/>
      <c r="H770" s="109"/>
      <c r="I770" s="111"/>
      <c r="J770" s="111"/>
      <c r="K770" s="112"/>
      <c r="L770" s="112"/>
      <c r="M770" s="112"/>
      <c r="N770" s="112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</row>
    <row r="771" spans="1:30" ht="12" customHeight="1">
      <c r="A771" s="108"/>
      <c r="B771" s="108"/>
      <c r="C771" s="109"/>
      <c r="D771" s="109"/>
      <c r="E771" s="109"/>
      <c r="F771" s="109"/>
      <c r="G771" s="109"/>
      <c r="H771" s="109"/>
      <c r="I771" s="111"/>
      <c r="J771" s="111"/>
      <c r="K771" s="112"/>
      <c r="L771" s="112"/>
      <c r="M771" s="112"/>
      <c r="N771" s="112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</row>
    <row r="772" spans="1:30" ht="12" customHeight="1">
      <c r="A772" s="108"/>
      <c r="B772" s="108"/>
      <c r="C772" s="109"/>
      <c r="D772" s="109"/>
      <c r="E772" s="109"/>
      <c r="F772" s="109"/>
      <c r="G772" s="109"/>
      <c r="H772" s="109"/>
      <c r="I772" s="111"/>
      <c r="J772" s="111"/>
      <c r="K772" s="112"/>
      <c r="L772" s="112"/>
      <c r="M772" s="112"/>
      <c r="N772" s="112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</row>
    <row r="773" spans="1:30" ht="12" customHeight="1">
      <c r="A773" s="108"/>
      <c r="B773" s="108"/>
      <c r="C773" s="109"/>
      <c r="D773" s="109"/>
      <c r="E773" s="109"/>
      <c r="F773" s="109"/>
      <c r="G773" s="109"/>
      <c r="H773" s="109"/>
      <c r="I773" s="111"/>
      <c r="J773" s="111"/>
      <c r="K773" s="112"/>
      <c r="L773" s="112"/>
      <c r="M773" s="112"/>
      <c r="N773" s="112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</row>
    <row r="774" spans="1:30" ht="12" customHeight="1">
      <c r="A774" s="108"/>
      <c r="B774" s="108"/>
      <c r="C774" s="109"/>
      <c r="D774" s="109"/>
      <c r="E774" s="109"/>
      <c r="F774" s="109"/>
      <c r="G774" s="109"/>
      <c r="H774" s="109"/>
      <c r="I774" s="111"/>
      <c r="J774" s="111"/>
      <c r="K774" s="112"/>
      <c r="L774" s="112"/>
      <c r="M774" s="112"/>
      <c r="N774" s="112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</row>
    <row r="775" spans="1:30" ht="12" customHeight="1">
      <c r="A775" s="108"/>
      <c r="B775" s="108"/>
      <c r="C775" s="109"/>
      <c r="D775" s="109"/>
      <c r="E775" s="109"/>
      <c r="F775" s="109"/>
      <c r="G775" s="109"/>
      <c r="H775" s="109"/>
      <c r="I775" s="111"/>
      <c r="J775" s="111"/>
      <c r="K775" s="112"/>
      <c r="L775" s="112"/>
      <c r="M775" s="112"/>
      <c r="N775" s="112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</row>
    <row r="776" spans="1:30" ht="12" customHeight="1">
      <c r="A776" s="108"/>
      <c r="B776" s="108"/>
      <c r="C776" s="109"/>
      <c r="D776" s="109"/>
      <c r="E776" s="109"/>
      <c r="F776" s="109"/>
      <c r="G776" s="109"/>
      <c r="H776" s="109"/>
      <c r="I776" s="111"/>
      <c r="J776" s="111"/>
      <c r="K776" s="112"/>
      <c r="L776" s="112"/>
      <c r="M776" s="112"/>
      <c r="N776" s="112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</row>
    <row r="777" spans="1:30" ht="12" customHeight="1">
      <c r="A777" s="108"/>
      <c r="B777" s="108"/>
      <c r="C777" s="109"/>
      <c r="D777" s="109"/>
      <c r="E777" s="109"/>
      <c r="F777" s="109"/>
      <c r="G777" s="109"/>
      <c r="H777" s="109"/>
      <c r="I777" s="111"/>
      <c r="J777" s="111"/>
      <c r="K777" s="112"/>
      <c r="L777" s="112"/>
      <c r="M777" s="112"/>
      <c r="N777" s="112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</row>
    <row r="778" spans="1:30" ht="12" customHeight="1">
      <c r="A778" s="108"/>
      <c r="B778" s="108"/>
      <c r="C778" s="109"/>
      <c r="D778" s="109"/>
      <c r="E778" s="109"/>
      <c r="F778" s="109"/>
      <c r="G778" s="109"/>
      <c r="H778" s="109"/>
      <c r="I778" s="111"/>
      <c r="J778" s="111"/>
      <c r="K778" s="112"/>
      <c r="L778" s="112"/>
      <c r="M778" s="112"/>
      <c r="N778" s="112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</row>
    <row r="779" spans="1:30" ht="12" customHeight="1">
      <c r="A779" s="108"/>
      <c r="B779" s="108"/>
      <c r="C779" s="109"/>
      <c r="D779" s="109"/>
      <c r="E779" s="109"/>
      <c r="F779" s="109"/>
      <c r="G779" s="109"/>
      <c r="H779" s="109"/>
      <c r="I779" s="111"/>
      <c r="J779" s="111"/>
      <c r="K779" s="112"/>
      <c r="L779" s="112"/>
      <c r="M779" s="112"/>
      <c r="N779" s="112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</row>
    <row r="780" spans="1:30" ht="12" customHeight="1">
      <c r="A780" s="108"/>
      <c r="B780" s="108"/>
      <c r="C780" s="109"/>
      <c r="D780" s="109"/>
      <c r="E780" s="109"/>
      <c r="F780" s="109"/>
      <c r="G780" s="109"/>
      <c r="H780" s="109"/>
      <c r="I780" s="111"/>
      <c r="J780" s="111"/>
      <c r="K780" s="112"/>
      <c r="L780" s="112"/>
      <c r="M780" s="112"/>
      <c r="N780" s="112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</row>
    <row r="781" spans="1:30" ht="12" customHeight="1">
      <c r="A781" s="108"/>
      <c r="B781" s="108"/>
      <c r="C781" s="109"/>
      <c r="D781" s="109"/>
      <c r="E781" s="109"/>
      <c r="F781" s="109"/>
      <c r="G781" s="109"/>
      <c r="H781" s="109"/>
      <c r="I781" s="111"/>
      <c r="J781" s="111"/>
      <c r="K781" s="112"/>
      <c r="L781" s="112"/>
      <c r="M781" s="112"/>
      <c r="N781" s="112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</row>
    <row r="782" spans="1:30" ht="12" customHeight="1">
      <c r="A782" s="108"/>
      <c r="B782" s="108"/>
      <c r="C782" s="109"/>
      <c r="D782" s="109"/>
      <c r="E782" s="109"/>
      <c r="F782" s="109"/>
      <c r="G782" s="109"/>
      <c r="H782" s="109"/>
      <c r="I782" s="111"/>
      <c r="J782" s="111"/>
      <c r="K782" s="112"/>
      <c r="L782" s="112"/>
      <c r="M782" s="112"/>
      <c r="N782" s="112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</row>
    <row r="783" spans="1:30" ht="12" customHeight="1">
      <c r="A783" s="108"/>
      <c r="B783" s="108"/>
      <c r="C783" s="109"/>
      <c r="D783" s="109"/>
      <c r="E783" s="109"/>
      <c r="F783" s="109"/>
      <c r="G783" s="109"/>
      <c r="H783" s="109"/>
      <c r="I783" s="111"/>
      <c r="J783" s="111"/>
      <c r="K783" s="112"/>
      <c r="L783" s="112"/>
      <c r="M783" s="112"/>
      <c r="N783" s="112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</row>
    <row r="784" spans="1:30" ht="12" customHeight="1">
      <c r="A784" s="108"/>
      <c r="B784" s="108"/>
      <c r="C784" s="109"/>
      <c r="D784" s="109"/>
      <c r="E784" s="109"/>
      <c r="F784" s="109"/>
      <c r="G784" s="109"/>
      <c r="H784" s="109"/>
      <c r="I784" s="111"/>
      <c r="J784" s="111"/>
      <c r="K784" s="112"/>
      <c r="L784" s="112"/>
      <c r="M784" s="112"/>
      <c r="N784" s="112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</row>
    <row r="785" spans="1:30" ht="12" customHeight="1">
      <c r="A785" s="108"/>
      <c r="B785" s="108"/>
      <c r="C785" s="109"/>
      <c r="D785" s="109"/>
      <c r="E785" s="109"/>
      <c r="F785" s="109"/>
      <c r="G785" s="109"/>
      <c r="H785" s="109"/>
      <c r="I785" s="111"/>
      <c r="J785" s="111"/>
      <c r="K785" s="112"/>
      <c r="L785" s="112"/>
      <c r="M785" s="112"/>
      <c r="N785" s="112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</row>
    <row r="786" spans="1:30" ht="12" customHeight="1">
      <c r="A786" s="108"/>
      <c r="B786" s="108"/>
      <c r="C786" s="109"/>
      <c r="D786" s="109"/>
      <c r="E786" s="109"/>
      <c r="F786" s="109"/>
      <c r="G786" s="109"/>
      <c r="H786" s="109"/>
      <c r="I786" s="111"/>
      <c r="J786" s="111"/>
      <c r="K786" s="112"/>
      <c r="L786" s="112"/>
      <c r="M786" s="112"/>
      <c r="N786" s="112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</row>
    <row r="787" spans="1:30" ht="12" customHeight="1">
      <c r="A787" s="108"/>
      <c r="B787" s="108"/>
      <c r="C787" s="109"/>
      <c r="D787" s="109"/>
      <c r="E787" s="109"/>
      <c r="F787" s="109"/>
      <c r="G787" s="109"/>
      <c r="H787" s="109"/>
      <c r="I787" s="111"/>
      <c r="J787" s="111"/>
      <c r="K787" s="112"/>
      <c r="L787" s="112"/>
      <c r="M787" s="112"/>
      <c r="N787" s="112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</row>
    <row r="788" spans="1:30" ht="12" customHeight="1">
      <c r="A788" s="108"/>
      <c r="B788" s="108"/>
      <c r="C788" s="109"/>
      <c r="D788" s="109"/>
      <c r="E788" s="109"/>
      <c r="F788" s="109"/>
      <c r="G788" s="109"/>
      <c r="H788" s="109"/>
      <c r="I788" s="111"/>
      <c r="J788" s="111"/>
      <c r="K788" s="112"/>
      <c r="L788" s="112"/>
      <c r="M788" s="112"/>
      <c r="N788" s="112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</row>
    <row r="789" spans="1:30" ht="12" customHeight="1">
      <c r="A789" s="108"/>
      <c r="B789" s="108"/>
      <c r="C789" s="109"/>
      <c r="D789" s="109"/>
      <c r="E789" s="109"/>
      <c r="F789" s="109"/>
      <c r="G789" s="109"/>
      <c r="H789" s="109"/>
      <c r="I789" s="111"/>
      <c r="J789" s="111"/>
      <c r="K789" s="112"/>
      <c r="L789" s="112"/>
      <c r="M789" s="112"/>
      <c r="N789" s="112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</row>
    <row r="790" spans="1:30" ht="12" customHeight="1">
      <c r="A790" s="108"/>
      <c r="B790" s="108"/>
      <c r="C790" s="109"/>
      <c r="D790" s="109"/>
      <c r="E790" s="109"/>
      <c r="F790" s="109"/>
      <c r="G790" s="109"/>
      <c r="H790" s="109"/>
      <c r="I790" s="111"/>
      <c r="J790" s="111"/>
      <c r="K790" s="112"/>
      <c r="L790" s="112"/>
      <c r="M790" s="112"/>
      <c r="N790" s="112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</row>
    <row r="791" spans="1:30" ht="12" customHeight="1">
      <c r="A791" s="108"/>
      <c r="B791" s="108"/>
      <c r="C791" s="109"/>
      <c r="D791" s="109"/>
      <c r="E791" s="109"/>
      <c r="F791" s="109"/>
      <c r="G791" s="109"/>
      <c r="H791" s="109"/>
      <c r="I791" s="111"/>
      <c r="J791" s="111"/>
      <c r="K791" s="112"/>
      <c r="L791" s="112"/>
      <c r="M791" s="112"/>
      <c r="N791" s="112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</row>
    <row r="792" spans="1:30" ht="12" customHeight="1">
      <c r="A792" s="108"/>
      <c r="B792" s="108"/>
      <c r="C792" s="109"/>
      <c r="D792" s="109"/>
      <c r="E792" s="109"/>
      <c r="F792" s="109"/>
      <c r="G792" s="109"/>
      <c r="H792" s="109"/>
      <c r="I792" s="111"/>
      <c r="J792" s="111"/>
      <c r="K792" s="112"/>
      <c r="L792" s="112"/>
      <c r="M792" s="112"/>
      <c r="N792" s="112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</row>
    <row r="793" spans="1:30" ht="12" customHeight="1">
      <c r="A793" s="108"/>
      <c r="B793" s="108"/>
      <c r="C793" s="109"/>
      <c r="D793" s="109"/>
      <c r="E793" s="109"/>
      <c r="F793" s="109"/>
      <c r="G793" s="109"/>
      <c r="H793" s="109"/>
      <c r="I793" s="111"/>
      <c r="J793" s="111"/>
      <c r="K793" s="112"/>
      <c r="L793" s="112"/>
      <c r="M793" s="112"/>
      <c r="N793" s="112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</row>
    <row r="794" spans="1:30" ht="12" customHeight="1">
      <c r="A794" s="108"/>
      <c r="B794" s="108"/>
      <c r="C794" s="109"/>
      <c r="D794" s="109"/>
      <c r="E794" s="109"/>
      <c r="F794" s="109"/>
      <c r="G794" s="109"/>
      <c r="H794" s="109"/>
      <c r="I794" s="111"/>
      <c r="J794" s="111"/>
      <c r="K794" s="112"/>
      <c r="L794" s="112"/>
      <c r="M794" s="112"/>
      <c r="N794" s="112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</row>
    <row r="795" spans="1:30" ht="12" customHeight="1">
      <c r="A795" s="108"/>
      <c r="B795" s="108"/>
      <c r="C795" s="109"/>
      <c r="D795" s="109"/>
      <c r="E795" s="109"/>
      <c r="F795" s="109"/>
      <c r="G795" s="109"/>
      <c r="H795" s="109"/>
      <c r="I795" s="111"/>
      <c r="J795" s="111"/>
      <c r="K795" s="112"/>
      <c r="L795" s="112"/>
      <c r="M795" s="112"/>
      <c r="N795" s="112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</row>
    <row r="796" spans="1:30" ht="12" customHeight="1">
      <c r="A796" s="108"/>
      <c r="B796" s="108"/>
      <c r="C796" s="109"/>
      <c r="D796" s="109"/>
      <c r="E796" s="109"/>
      <c r="F796" s="109"/>
      <c r="G796" s="109"/>
      <c r="H796" s="109"/>
      <c r="I796" s="111"/>
      <c r="J796" s="111"/>
      <c r="K796" s="112"/>
      <c r="L796" s="112"/>
      <c r="M796" s="112"/>
      <c r="N796" s="112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</row>
    <row r="797" spans="1:30" ht="12" customHeight="1">
      <c r="A797" s="108"/>
      <c r="B797" s="108"/>
      <c r="C797" s="109"/>
      <c r="D797" s="109"/>
      <c r="E797" s="109"/>
      <c r="F797" s="109"/>
      <c r="G797" s="109"/>
      <c r="H797" s="109"/>
      <c r="I797" s="111"/>
      <c r="J797" s="111"/>
      <c r="K797" s="112"/>
      <c r="L797" s="112"/>
      <c r="M797" s="112"/>
      <c r="N797" s="112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</row>
    <row r="798" spans="1:30" ht="12" customHeight="1">
      <c r="A798" s="108"/>
      <c r="B798" s="108"/>
      <c r="C798" s="109"/>
      <c r="D798" s="109"/>
      <c r="E798" s="109"/>
      <c r="F798" s="109"/>
      <c r="G798" s="109"/>
      <c r="H798" s="109"/>
      <c r="I798" s="111"/>
      <c r="J798" s="111"/>
      <c r="K798" s="112"/>
      <c r="L798" s="112"/>
      <c r="M798" s="112"/>
      <c r="N798" s="112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</row>
    <row r="799" spans="1:30" ht="12" customHeight="1">
      <c r="A799" s="108"/>
      <c r="B799" s="108"/>
      <c r="C799" s="109"/>
      <c r="D799" s="109"/>
      <c r="E799" s="109"/>
      <c r="F799" s="109"/>
      <c r="G799" s="109"/>
      <c r="H799" s="109"/>
      <c r="I799" s="111"/>
      <c r="J799" s="111"/>
      <c r="K799" s="112"/>
      <c r="L799" s="112"/>
      <c r="M799" s="112"/>
      <c r="N799" s="112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</row>
    <row r="800" spans="1:30" ht="12" customHeight="1">
      <c r="A800" s="108"/>
      <c r="B800" s="108"/>
      <c r="C800" s="109"/>
      <c r="D800" s="109"/>
      <c r="E800" s="109"/>
      <c r="F800" s="109"/>
      <c r="G800" s="109"/>
      <c r="H800" s="109"/>
      <c r="I800" s="111"/>
      <c r="J800" s="111"/>
      <c r="K800" s="112"/>
      <c r="L800" s="112"/>
      <c r="M800" s="112"/>
      <c r="N800" s="112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</row>
    <row r="801" spans="1:30" ht="12" customHeight="1">
      <c r="A801" s="108"/>
      <c r="B801" s="108"/>
      <c r="C801" s="109"/>
      <c r="D801" s="109"/>
      <c r="E801" s="109"/>
      <c r="F801" s="109"/>
      <c r="G801" s="109"/>
      <c r="H801" s="109"/>
      <c r="I801" s="111"/>
      <c r="J801" s="111"/>
      <c r="K801" s="112"/>
      <c r="L801" s="112"/>
      <c r="M801" s="112"/>
      <c r="N801" s="112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</row>
    <row r="802" spans="1:30" ht="12" customHeight="1">
      <c r="A802" s="108"/>
      <c r="B802" s="108"/>
      <c r="C802" s="109"/>
      <c r="D802" s="109"/>
      <c r="E802" s="109"/>
      <c r="F802" s="109"/>
      <c r="G802" s="109"/>
      <c r="H802" s="109"/>
      <c r="I802" s="111"/>
      <c r="J802" s="111"/>
      <c r="K802" s="112"/>
      <c r="L802" s="112"/>
      <c r="M802" s="112"/>
      <c r="N802" s="112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</row>
    <row r="803" spans="1:30" ht="12" customHeight="1">
      <c r="A803" s="108"/>
      <c r="B803" s="108"/>
      <c r="C803" s="109"/>
      <c r="D803" s="109"/>
      <c r="E803" s="109"/>
      <c r="F803" s="109"/>
      <c r="G803" s="109"/>
      <c r="H803" s="109"/>
      <c r="I803" s="111"/>
      <c r="J803" s="111"/>
      <c r="K803" s="112"/>
      <c r="L803" s="112"/>
      <c r="M803" s="112"/>
      <c r="N803" s="112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</row>
    <row r="804" spans="1:30" ht="12" customHeight="1">
      <c r="A804" s="108"/>
      <c r="B804" s="108"/>
      <c r="C804" s="109"/>
      <c r="D804" s="109"/>
      <c r="E804" s="109"/>
      <c r="F804" s="109"/>
      <c r="G804" s="109"/>
      <c r="H804" s="109"/>
      <c r="I804" s="111"/>
      <c r="J804" s="111"/>
      <c r="K804" s="112"/>
      <c r="L804" s="112"/>
      <c r="M804" s="112"/>
      <c r="N804" s="112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</row>
    <row r="805" spans="1:30" ht="12" customHeight="1">
      <c r="A805" s="108"/>
      <c r="B805" s="108"/>
      <c r="C805" s="109"/>
      <c r="D805" s="109"/>
      <c r="E805" s="109"/>
      <c r="F805" s="109"/>
      <c r="G805" s="109"/>
      <c r="H805" s="109"/>
      <c r="I805" s="111"/>
      <c r="J805" s="111"/>
      <c r="K805" s="112"/>
      <c r="L805" s="112"/>
      <c r="M805" s="112"/>
      <c r="N805" s="112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</row>
    <row r="806" spans="1:30" ht="12" customHeight="1">
      <c r="A806" s="108"/>
      <c r="B806" s="108"/>
      <c r="C806" s="109"/>
      <c r="D806" s="109"/>
      <c r="E806" s="109"/>
      <c r="F806" s="109"/>
      <c r="G806" s="109"/>
      <c r="H806" s="109"/>
      <c r="I806" s="111"/>
      <c r="J806" s="111"/>
      <c r="K806" s="112"/>
      <c r="L806" s="112"/>
      <c r="M806" s="112"/>
      <c r="N806" s="112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</row>
    <row r="807" spans="1:30" ht="12" customHeight="1">
      <c r="A807" s="108"/>
      <c r="B807" s="108"/>
      <c r="C807" s="109"/>
      <c r="D807" s="109"/>
      <c r="E807" s="109"/>
      <c r="F807" s="109"/>
      <c r="G807" s="109"/>
      <c r="H807" s="109"/>
      <c r="I807" s="111"/>
      <c r="J807" s="111"/>
      <c r="K807" s="112"/>
      <c r="L807" s="112"/>
      <c r="M807" s="112"/>
      <c r="N807" s="112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</row>
    <row r="808" spans="1:30" ht="12" customHeight="1">
      <c r="A808" s="108"/>
      <c r="B808" s="108"/>
      <c r="C808" s="109"/>
      <c r="D808" s="109"/>
      <c r="E808" s="109"/>
      <c r="F808" s="109"/>
      <c r="G808" s="109"/>
      <c r="H808" s="109"/>
      <c r="I808" s="111"/>
      <c r="J808" s="111"/>
      <c r="K808" s="112"/>
      <c r="L808" s="112"/>
      <c r="M808" s="112"/>
      <c r="N808" s="112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</row>
    <row r="809" spans="1:30" ht="12" customHeight="1">
      <c r="A809" s="108"/>
      <c r="B809" s="108"/>
      <c r="C809" s="109"/>
      <c r="D809" s="109"/>
      <c r="E809" s="109"/>
      <c r="F809" s="109"/>
      <c r="G809" s="109"/>
      <c r="H809" s="109"/>
      <c r="I809" s="111"/>
      <c r="J809" s="111"/>
      <c r="K809" s="112"/>
      <c r="L809" s="112"/>
      <c r="M809" s="112"/>
      <c r="N809" s="112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</row>
    <row r="810" spans="1:30" ht="12" customHeight="1">
      <c r="A810" s="108"/>
      <c r="B810" s="108"/>
      <c r="C810" s="109"/>
      <c r="D810" s="109"/>
      <c r="E810" s="109"/>
      <c r="F810" s="109"/>
      <c r="G810" s="109"/>
      <c r="H810" s="109"/>
      <c r="I810" s="111"/>
      <c r="J810" s="111"/>
      <c r="K810" s="112"/>
      <c r="L810" s="112"/>
      <c r="M810" s="112"/>
      <c r="N810" s="112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</row>
    <row r="811" spans="1:30" ht="12" customHeight="1">
      <c r="A811" s="108"/>
      <c r="B811" s="108"/>
      <c r="C811" s="109"/>
      <c r="D811" s="109"/>
      <c r="E811" s="109"/>
      <c r="F811" s="109"/>
      <c r="G811" s="109"/>
      <c r="H811" s="109"/>
      <c r="I811" s="111"/>
      <c r="J811" s="111"/>
      <c r="K811" s="112"/>
      <c r="L811" s="112"/>
      <c r="M811" s="112"/>
      <c r="N811" s="112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</row>
    <row r="812" spans="1:30" ht="12" customHeight="1">
      <c r="A812" s="108"/>
      <c r="B812" s="108"/>
      <c r="C812" s="109"/>
      <c r="D812" s="109"/>
      <c r="E812" s="109"/>
      <c r="F812" s="109"/>
      <c r="G812" s="109"/>
      <c r="H812" s="109"/>
      <c r="I812" s="111"/>
      <c r="J812" s="111"/>
      <c r="K812" s="112"/>
      <c r="L812" s="112"/>
      <c r="M812" s="112"/>
      <c r="N812" s="112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</row>
    <row r="813" spans="1:30" ht="12" customHeight="1">
      <c r="A813" s="108"/>
      <c r="B813" s="108"/>
      <c r="C813" s="109"/>
      <c r="D813" s="109"/>
      <c r="E813" s="109"/>
      <c r="F813" s="109"/>
      <c r="G813" s="109"/>
      <c r="H813" s="109"/>
      <c r="I813" s="111"/>
      <c r="J813" s="111"/>
      <c r="K813" s="112"/>
      <c r="L813" s="112"/>
      <c r="M813" s="112"/>
      <c r="N813" s="112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</row>
    <row r="814" spans="1:30" ht="12" customHeight="1">
      <c r="A814" s="108"/>
      <c r="B814" s="108"/>
      <c r="C814" s="109"/>
      <c r="D814" s="109"/>
      <c r="E814" s="109"/>
      <c r="F814" s="109"/>
      <c r="G814" s="109"/>
      <c r="H814" s="109"/>
      <c r="I814" s="111"/>
      <c r="J814" s="111"/>
      <c r="K814" s="112"/>
      <c r="L814" s="112"/>
      <c r="M814" s="112"/>
      <c r="N814" s="112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</row>
    <row r="815" spans="1:30" ht="12" customHeight="1">
      <c r="A815" s="108"/>
      <c r="B815" s="108"/>
      <c r="C815" s="109"/>
      <c r="D815" s="109"/>
      <c r="E815" s="109"/>
      <c r="F815" s="109"/>
      <c r="G815" s="109"/>
      <c r="H815" s="109"/>
      <c r="I815" s="111"/>
      <c r="J815" s="111"/>
      <c r="K815" s="112"/>
      <c r="L815" s="112"/>
      <c r="M815" s="112"/>
      <c r="N815" s="112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</row>
    <row r="816" spans="1:30" ht="12" customHeight="1">
      <c r="A816" s="108"/>
      <c r="B816" s="108"/>
      <c r="C816" s="109"/>
      <c r="D816" s="109"/>
      <c r="E816" s="109"/>
      <c r="F816" s="109"/>
      <c r="G816" s="109"/>
      <c r="H816" s="109"/>
      <c r="I816" s="111"/>
      <c r="J816" s="111"/>
      <c r="K816" s="112"/>
      <c r="L816" s="112"/>
      <c r="M816" s="112"/>
      <c r="N816" s="112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</row>
    <row r="817" spans="1:30" ht="12" customHeight="1">
      <c r="A817" s="108"/>
      <c r="B817" s="108"/>
      <c r="C817" s="109"/>
      <c r="D817" s="109"/>
      <c r="E817" s="109"/>
      <c r="F817" s="109"/>
      <c r="G817" s="109"/>
      <c r="H817" s="109"/>
      <c r="I817" s="111"/>
      <c r="J817" s="111"/>
      <c r="K817" s="112"/>
      <c r="L817" s="112"/>
      <c r="M817" s="112"/>
      <c r="N817" s="112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</row>
    <row r="818" spans="1:30" ht="12" customHeight="1">
      <c r="A818" s="108"/>
      <c r="B818" s="108"/>
      <c r="C818" s="109"/>
      <c r="D818" s="109"/>
      <c r="E818" s="109"/>
      <c r="F818" s="109"/>
      <c r="G818" s="109"/>
      <c r="H818" s="109"/>
      <c r="I818" s="111"/>
      <c r="J818" s="111"/>
      <c r="K818" s="112"/>
      <c r="L818" s="112"/>
      <c r="M818" s="112"/>
      <c r="N818" s="112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</row>
    <row r="819" spans="1:30" ht="12" customHeight="1">
      <c r="A819" s="108"/>
      <c r="B819" s="108"/>
      <c r="C819" s="109"/>
      <c r="D819" s="109"/>
      <c r="E819" s="109"/>
      <c r="F819" s="109"/>
      <c r="G819" s="109"/>
      <c r="H819" s="109"/>
      <c r="I819" s="111"/>
      <c r="J819" s="111"/>
      <c r="K819" s="112"/>
      <c r="L819" s="112"/>
      <c r="M819" s="112"/>
      <c r="N819" s="112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</row>
    <row r="820" spans="1:30" ht="12" customHeight="1">
      <c r="A820" s="108"/>
      <c r="B820" s="108"/>
      <c r="C820" s="109"/>
      <c r="D820" s="109"/>
      <c r="E820" s="109"/>
      <c r="F820" s="109"/>
      <c r="G820" s="109"/>
      <c r="H820" s="109"/>
      <c r="I820" s="111"/>
      <c r="J820" s="111"/>
      <c r="K820" s="112"/>
      <c r="L820" s="112"/>
      <c r="M820" s="112"/>
      <c r="N820" s="112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</row>
    <row r="821" spans="1:30" ht="12" customHeight="1">
      <c r="A821" s="108"/>
      <c r="B821" s="108"/>
      <c r="C821" s="109"/>
      <c r="D821" s="109"/>
      <c r="E821" s="109"/>
      <c r="F821" s="109"/>
      <c r="G821" s="109"/>
      <c r="H821" s="109"/>
      <c r="I821" s="111"/>
      <c r="J821" s="111"/>
      <c r="K821" s="112"/>
      <c r="L821" s="112"/>
      <c r="M821" s="112"/>
      <c r="N821" s="112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</row>
    <row r="822" spans="1:30" ht="12" customHeight="1">
      <c r="A822" s="108"/>
      <c r="B822" s="108"/>
      <c r="C822" s="109"/>
      <c r="D822" s="109"/>
      <c r="E822" s="109"/>
      <c r="F822" s="109"/>
      <c r="G822" s="109"/>
      <c r="H822" s="109"/>
      <c r="I822" s="111"/>
      <c r="J822" s="111"/>
      <c r="K822" s="112"/>
      <c r="L822" s="112"/>
      <c r="M822" s="112"/>
      <c r="N822" s="112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</row>
    <row r="823" spans="1:30" ht="12" customHeight="1">
      <c r="A823" s="108"/>
      <c r="B823" s="108"/>
      <c r="C823" s="109"/>
      <c r="D823" s="109"/>
      <c r="E823" s="109"/>
      <c r="F823" s="109"/>
      <c r="G823" s="109"/>
      <c r="H823" s="109"/>
      <c r="I823" s="111"/>
      <c r="J823" s="111"/>
      <c r="K823" s="112"/>
      <c r="L823" s="112"/>
      <c r="M823" s="112"/>
      <c r="N823" s="112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</row>
    <row r="824" spans="1:30" ht="12" customHeight="1">
      <c r="A824" s="108"/>
      <c r="B824" s="108"/>
      <c r="C824" s="109"/>
      <c r="D824" s="109"/>
      <c r="E824" s="109"/>
      <c r="F824" s="109"/>
      <c r="G824" s="109"/>
      <c r="H824" s="109"/>
      <c r="I824" s="111"/>
      <c r="J824" s="111"/>
      <c r="K824" s="112"/>
      <c r="L824" s="112"/>
      <c r="M824" s="112"/>
      <c r="N824" s="112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</row>
    <row r="825" spans="1:30" ht="12" customHeight="1">
      <c r="A825" s="108"/>
      <c r="B825" s="108"/>
      <c r="C825" s="109"/>
      <c r="D825" s="109"/>
      <c r="E825" s="109"/>
      <c r="F825" s="109"/>
      <c r="G825" s="109"/>
      <c r="H825" s="109"/>
      <c r="I825" s="111"/>
      <c r="J825" s="111"/>
      <c r="K825" s="112"/>
      <c r="L825" s="112"/>
      <c r="M825" s="112"/>
      <c r="N825" s="112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</row>
    <row r="826" spans="1:30" ht="12" customHeight="1">
      <c r="A826" s="108"/>
      <c r="B826" s="108"/>
      <c r="C826" s="109"/>
      <c r="D826" s="109"/>
      <c r="E826" s="109"/>
      <c r="F826" s="109"/>
      <c r="G826" s="109"/>
      <c r="H826" s="109"/>
      <c r="I826" s="111"/>
      <c r="J826" s="111"/>
      <c r="K826" s="112"/>
      <c r="L826" s="112"/>
      <c r="M826" s="112"/>
      <c r="N826" s="112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</row>
    <row r="827" spans="1:30" ht="12" customHeight="1">
      <c r="A827" s="108"/>
      <c r="B827" s="108"/>
      <c r="C827" s="109"/>
      <c r="D827" s="109"/>
      <c r="E827" s="109"/>
      <c r="F827" s="109"/>
      <c r="G827" s="109"/>
      <c r="H827" s="109"/>
      <c r="I827" s="111"/>
      <c r="J827" s="111"/>
      <c r="K827" s="112"/>
      <c r="L827" s="112"/>
      <c r="M827" s="112"/>
      <c r="N827" s="112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</row>
    <row r="828" spans="1:30" ht="12" customHeight="1">
      <c r="A828" s="108"/>
      <c r="B828" s="108"/>
      <c r="C828" s="109"/>
      <c r="D828" s="109"/>
      <c r="E828" s="109"/>
      <c r="F828" s="109"/>
      <c r="G828" s="109"/>
      <c r="H828" s="109"/>
      <c r="I828" s="111"/>
      <c r="J828" s="111"/>
      <c r="K828" s="112"/>
      <c r="L828" s="112"/>
      <c r="M828" s="112"/>
      <c r="N828" s="112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</row>
    <row r="829" spans="1:30" ht="12" customHeight="1">
      <c r="A829" s="108"/>
      <c r="B829" s="108"/>
      <c r="C829" s="109"/>
      <c r="D829" s="109"/>
      <c r="E829" s="109"/>
      <c r="F829" s="109"/>
      <c r="G829" s="109"/>
      <c r="H829" s="109"/>
      <c r="I829" s="111"/>
      <c r="J829" s="111"/>
      <c r="K829" s="112"/>
      <c r="L829" s="112"/>
      <c r="M829" s="112"/>
      <c r="N829" s="112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</row>
    <row r="830" spans="1:30" ht="12" customHeight="1">
      <c r="A830" s="108"/>
      <c r="B830" s="108"/>
      <c r="C830" s="109"/>
      <c r="D830" s="109"/>
      <c r="E830" s="109"/>
      <c r="F830" s="109"/>
      <c r="G830" s="109"/>
      <c r="H830" s="109"/>
      <c r="I830" s="111"/>
      <c r="J830" s="111"/>
      <c r="K830" s="112"/>
      <c r="L830" s="112"/>
      <c r="M830" s="112"/>
      <c r="N830" s="112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</row>
    <row r="831" spans="1:30" ht="12" customHeight="1">
      <c r="A831" s="108"/>
      <c r="B831" s="108"/>
      <c r="C831" s="109"/>
      <c r="D831" s="109"/>
      <c r="E831" s="109"/>
      <c r="F831" s="109"/>
      <c r="G831" s="109"/>
      <c r="H831" s="109"/>
      <c r="I831" s="111"/>
      <c r="J831" s="111"/>
      <c r="K831" s="112"/>
      <c r="L831" s="112"/>
      <c r="M831" s="112"/>
      <c r="N831" s="112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</row>
    <row r="832" spans="1:30" ht="12" customHeight="1">
      <c r="A832" s="108"/>
      <c r="B832" s="108"/>
      <c r="C832" s="109"/>
      <c r="D832" s="109"/>
      <c r="E832" s="109"/>
      <c r="F832" s="109"/>
      <c r="G832" s="109"/>
      <c r="H832" s="109"/>
      <c r="I832" s="111"/>
      <c r="J832" s="111"/>
      <c r="K832" s="112"/>
      <c r="L832" s="112"/>
      <c r="M832" s="112"/>
      <c r="N832" s="112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</row>
    <row r="833" spans="1:30" ht="12" customHeight="1">
      <c r="A833" s="108"/>
      <c r="B833" s="108"/>
      <c r="C833" s="109"/>
      <c r="D833" s="109"/>
      <c r="E833" s="109"/>
      <c r="F833" s="109"/>
      <c r="G833" s="109"/>
      <c r="H833" s="109"/>
      <c r="I833" s="111"/>
      <c r="J833" s="111"/>
      <c r="K833" s="112"/>
      <c r="L833" s="112"/>
      <c r="M833" s="112"/>
      <c r="N833" s="112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</row>
    <row r="834" spans="1:30" ht="12" customHeight="1">
      <c r="A834" s="108"/>
      <c r="B834" s="108"/>
      <c r="C834" s="109"/>
      <c r="D834" s="109"/>
      <c r="E834" s="109"/>
      <c r="F834" s="109"/>
      <c r="G834" s="109"/>
      <c r="H834" s="109"/>
      <c r="I834" s="111"/>
      <c r="J834" s="111"/>
      <c r="K834" s="112"/>
      <c r="L834" s="112"/>
      <c r="M834" s="112"/>
      <c r="N834" s="112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</row>
    <row r="835" spans="1:30" ht="12" customHeight="1">
      <c r="A835" s="108"/>
      <c r="B835" s="108"/>
      <c r="C835" s="109"/>
      <c r="D835" s="109"/>
      <c r="E835" s="109"/>
      <c r="F835" s="109"/>
      <c r="G835" s="109"/>
      <c r="H835" s="109"/>
      <c r="I835" s="111"/>
      <c r="J835" s="111"/>
      <c r="K835" s="112"/>
      <c r="L835" s="112"/>
      <c r="M835" s="112"/>
      <c r="N835" s="112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</row>
    <row r="836" spans="1:30" ht="12" customHeight="1">
      <c r="A836" s="108"/>
      <c r="B836" s="108"/>
      <c r="C836" s="109"/>
      <c r="D836" s="109"/>
      <c r="E836" s="109"/>
      <c r="F836" s="109"/>
      <c r="G836" s="109"/>
      <c r="H836" s="109"/>
      <c r="I836" s="111"/>
      <c r="J836" s="111"/>
      <c r="K836" s="112"/>
      <c r="L836" s="112"/>
      <c r="M836" s="112"/>
      <c r="N836" s="112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</row>
    <row r="837" spans="1:30" ht="12" customHeight="1">
      <c r="A837" s="108"/>
      <c r="B837" s="108"/>
      <c r="C837" s="109"/>
      <c r="D837" s="109"/>
      <c r="E837" s="109"/>
      <c r="F837" s="109"/>
      <c r="G837" s="109"/>
      <c r="H837" s="109"/>
      <c r="I837" s="111"/>
      <c r="J837" s="111"/>
      <c r="K837" s="112"/>
      <c r="L837" s="112"/>
      <c r="M837" s="112"/>
      <c r="N837" s="112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</row>
    <row r="838" spans="1:30" ht="12" customHeight="1">
      <c r="A838" s="108"/>
      <c r="B838" s="108"/>
      <c r="C838" s="109"/>
      <c r="D838" s="109"/>
      <c r="E838" s="109"/>
      <c r="F838" s="109"/>
      <c r="G838" s="109"/>
      <c r="H838" s="109"/>
      <c r="I838" s="111"/>
      <c r="J838" s="111"/>
      <c r="K838" s="112"/>
      <c r="L838" s="112"/>
      <c r="M838" s="112"/>
      <c r="N838" s="112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</row>
    <row r="839" spans="1:30" ht="12" customHeight="1">
      <c r="A839" s="108"/>
      <c r="B839" s="108"/>
      <c r="C839" s="109"/>
      <c r="D839" s="109"/>
      <c r="E839" s="109"/>
      <c r="F839" s="109"/>
      <c r="G839" s="109"/>
      <c r="H839" s="109"/>
      <c r="I839" s="111"/>
      <c r="J839" s="111"/>
      <c r="K839" s="112"/>
      <c r="L839" s="112"/>
      <c r="M839" s="112"/>
      <c r="N839" s="112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</row>
    <row r="840" spans="1:30" ht="12" customHeight="1">
      <c r="A840" s="108"/>
      <c r="B840" s="108"/>
      <c r="C840" s="109"/>
      <c r="D840" s="109"/>
      <c r="E840" s="109"/>
      <c r="F840" s="109"/>
      <c r="G840" s="109"/>
      <c r="H840" s="109"/>
      <c r="I840" s="111"/>
      <c r="J840" s="111"/>
      <c r="K840" s="112"/>
      <c r="L840" s="112"/>
      <c r="M840" s="112"/>
      <c r="N840" s="112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</row>
    <row r="841" spans="1:30" ht="12" customHeight="1">
      <c r="A841" s="108"/>
      <c r="B841" s="108"/>
      <c r="C841" s="109"/>
      <c r="D841" s="109"/>
      <c r="E841" s="109"/>
      <c r="F841" s="109"/>
      <c r="G841" s="109"/>
      <c r="H841" s="109"/>
      <c r="I841" s="111"/>
      <c r="J841" s="111"/>
      <c r="K841" s="112"/>
      <c r="L841" s="112"/>
      <c r="M841" s="112"/>
      <c r="N841" s="112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</row>
    <row r="842" spans="1:30" ht="12" customHeight="1">
      <c r="A842" s="108"/>
      <c r="B842" s="108"/>
      <c r="C842" s="109"/>
      <c r="D842" s="109"/>
      <c r="E842" s="109"/>
      <c r="F842" s="109"/>
      <c r="G842" s="109"/>
      <c r="H842" s="109"/>
      <c r="I842" s="111"/>
      <c r="J842" s="111"/>
      <c r="K842" s="112"/>
      <c r="L842" s="112"/>
      <c r="M842" s="112"/>
      <c r="N842" s="112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</row>
    <row r="843" spans="1:30" ht="12" customHeight="1">
      <c r="A843" s="108"/>
      <c r="B843" s="108"/>
      <c r="C843" s="109"/>
      <c r="D843" s="109"/>
      <c r="E843" s="109"/>
      <c r="F843" s="109"/>
      <c r="G843" s="109"/>
      <c r="H843" s="109"/>
      <c r="I843" s="111"/>
      <c r="J843" s="111"/>
      <c r="K843" s="112"/>
      <c r="L843" s="112"/>
      <c r="M843" s="112"/>
      <c r="N843" s="112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</row>
    <row r="844" spans="1:30" ht="12" customHeight="1">
      <c r="A844" s="108"/>
      <c r="B844" s="108"/>
      <c r="C844" s="109"/>
      <c r="D844" s="109"/>
      <c r="E844" s="109"/>
      <c r="F844" s="109"/>
      <c r="G844" s="109"/>
      <c r="H844" s="109"/>
      <c r="I844" s="111"/>
      <c r="J844" s="111"/>
      <c r="K844" s="112"/>
      <c r="L844" s="112"/>
      <c r="M844" s="112"/>
      <c r="N844" s="112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</row>
    <row r="845" spans="1:30" ht="12" customHeight="1">
      <c r="A845" s="108"/>
      <c r="B845" s="108"/>
      <c r="C845" s="109"/>
      <c r="D845" s="109"/>
      <c r="E845" s="109"/>
      <c r="F845" s="109"/>
      <c r="G845" s="109"/>
      <c r="H845" s="109"/>
      <c r="I845" s="111"/>
      <c r="J845" s="111"/>
      <c r="K845" s="112"/>
      <c r="L845" s="112"/>
      <c r="M845" s="112"/>
      <c r="N845" s="112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</row>
    <row r="846" spans="1:30" ht="12" customHeight="1">
      <c r="A846" s="108"/>
      <c r="B846" s="108"/>
      <c r="C846" s="109"/>
      <c r="D846" s="109"/>
      <c r="E846" s="109"/>
      <c r="F846" s="109"/>
      <c r="G846" s="109"/>
      <c r="H846" s="109"/>
      <c r="I846" s="111"/>
      <c r="J846" s="111"/>
      <c r="K846" s="112"/>
      <c r="L846" s="112"/>
      <c r="M846" s="112"/>
      <c r="N846" s="112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</row>
    <row r="847" spans="1:30" ht="12" customHeight="1">
      <c r="A847" s="108"/>
      <c r="B847" s="108"/>
      <c r="C847" s="109"/>
      <c r="D847" s="109"/>
      <c r="E847" s="109"/>
      <c r="F847" s="109"/>
      <c r="G847" s="109"/>
      <c r="H847" s="109"/>
      <c r="I847" s="111"/>
      <c r="J847" s="111"/>
      <c r="K847" s="112"/>
      <c r="L847" s="112"/>
      <c r="M847" s="112"/>
      <c r="N847" s="112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</row>
    <row r="848" spans="1:30" ht="12" customHeight="1">
      <c r="A848" s="108"/>
      <c r="B848" s="108"/>
      <c r="C848" s="109"/>
      <c r="D848" s="109"/>
      <c r="E848" s="109"/>
      <c r="F848" s="109"/>
      <c r="G848" s="109"/>
      <c r="H848" s="109"/>
      <c r="I848" s="111"/>
      <c r="J848" s="111"/>
      <c r="K848" s="112"/>
      <c r="L848" s="112"/>
      <c r="M848" s="112"/>
      <c r="N848" s="112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</row>
    <row r="849" spans="1:30" ht="12" customHeight="1">
      <c r="A849" s="108"/>
      <c r="B849" s="108"/>
      <c r="C849" s="109"/>
      <c r="D849" s="109"/>
      <c r="E849" s="109"/>
      <c r="F849" s="109"/>
      <c r="G849" s="109"/>
      <c r="H849" s="109"/>
      <c r="I849" s="111"/>
      <c r="J849" s="111"/>
      <c r="K849" s="112"/>
      <c r="L849" s="112"/>
      <c r="M849" s="112"/>
      <c r="N849" s="112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</row>
    <row r="850" spans="1:30" ht="12" customHeight="1">
      <c r="A850" s="108"/>
      <c r="B850" s="108"/>
      <c r="C850" s="109"/>
      <c r="D850" s="109"/>
      <c r="E850" s="109"/>
      <c r="F850" s="109"/>
      <c r="G850" s="109"/>
      <c r="H850" s="109"/>
      <c r="I850" s="111"/>
      <c r="J850" s="111"/>
      <c r="K850" s="112"/>
      <c r="L850" s="112"/>
      <c r="M850" s="112"/>
      <c r="N850" s="112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</row>
    <row r="851" spans="1:30" ht="12" customHeight="1">
      <c r="A851" s="108"/>
      <c r="B851" s="108"/>
      <c r="C851" s="109"/>
      <c r="D851" s="109"/>
      <c r="E851" s="109"/>
      <c r="F851" s="109"/>
      <c r="G851" s="109"/>
      <c r="H851" s="109"/>
      <c r="I851" s="111"/>
      <c r="J851" s="111"/>
      <c r="K851" s="112"/>
      <c r="L851" s="112"/>
      <c r="M851" s="112"/>
      <c r="N851" s="112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</row>
    <row r="852" spans="1:30" ht="12" customHeight="1">
      <c r="A852" s="108"/>
      <c r="B852" s="108"/>
      <c r="C852" s="109"/>
      <c r="D852" s="109"/>
      <c r="E852" s="109"/>
      <c r="F852" s="109"/>
      <c r="G852" s="109"/>
      <c r="H852" s="109"/>
      <c r="I852" s="111"/>
      <c r="J852" s="111"/>
      <c r="K852" s="112"/>
      <c r="L852" s="112"/>
      <c r="M852" s="112"/>
      <c r="N852" s="112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</row>
    <row r="853" spans="1:30" ht="12" customHeight="1">
      <c r="A853" s="108"/>
      <c r="B853" s="108"/>
      <c r="C853" s="109"/>
      <c r="D853" s="109"/>
      <c r="E853" s="109"/>
      <c r="F853" s="109"/>
      <c r="G853" s="109"/>
      <c r="H853" s="109"/>
      <c r="I853" s="111"/>
      <c r="J853" s="111"/>
      <c r="K853" s="112"/>
      <c r="L853" s="112"/>
      <c r="M853" s="112"/>
      <c r="N853" s="112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</row>
    <row r="854" spans="1:30" ht="12" customHeight="1">
      <c r="A854" s="108"/>
      <c r="B854" s="108"/>
      <c r="C854" s="109"/>
      <c r="D854" s="109"/>
      <c r="E854" s="109"/>
      <c r="F854" s="109"/>
      <c r="G854" s="109"/>
      <c r="H854" s="109"/>
      <c r="I854" s="111"/>
      <c r="J854" s="111"/>
      <c r="K854" s="112"/>
      <c r="L854" s="112"/>
      <c r="M854" s="112"/>
      <c r="N854" s="112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</row>
    <row r="855" spans="1:30" ht="12" customHeight="1">
      <c r="A855" s="108"/>
      <c r="B855" s="108"/>
      <c r="C855" s="109"/>
      <c r="D855" s="109"/>
      <c r="E855" s="109"/>
      <c r="F855" s="109"/>
      <c r="G855" s="109"/>
      <c r="H855" s="109"/>
      <c r="I855" s="111"/>
      <c r="J855" s="111"/>
      <c r="K855" s="112"/>
      <c r="L855" s="112"/>
      <c r="M855" s="112"/>
      <c r="N855" s="112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</row>
    <row r="856" spans="1:30" ht="12" customHeight="1">
      <c r="A856" s="108"/>
      <c r="B856" s="108"/>
      <c r="C856" s="109"/>
      <c r="D856" s="109"/>
      <c r="E856" s="109"/>
      <c r="F856" s="109"/>
      <c r="G856" s="109"/>
      <c r="H856" s="109"/>
      <c r="I856" s="111"/>
      <c r="J856" s="111"/>
      <c r="K856" s="112"/>
      <c r="L856" s="112"/>
      <c r="M856" s="112"/>
      <c r="N856" s="112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</row>
    <row r="857" spans="1:30" ht="12" customHeight="1">
      <c r="A857" s="108"/>
      <c r="B857" s="108"/>
      <c r="C857" s="109"/>
      <c r="D857" s="109"/>
      <c r="E857" s="109"/>
      <c r="F857" s="109"/>
      <c r="G857" s="109"/>
      <c r="H857" s="109"/>
      <c r="I857" s="111"/>
      <c r="J857" s="111"/>
      <c r="K857" s="112"/>
      <c r="L857" s="112"/>
      <c r="M857" s="112"/>
      <c r="N857" s="112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</row>
    <row r="858" spans="1:30" ht="12" customHeight="1">
      <c r="A858" s="108"/>
      <c r="B858" s="108"/>
      <c r="C858" s="109"/>
      <c r="D858" s="109"/>
      <c r="E858" s="109"/>
      <c r="F858" s="109"/>
      <c r="G858" s="109"/>
      <c r="H858" s="109"/>
      <c r="I858" s="111"/>
      <c r="J858" s="111"/>
      <c r="K858" s="112"/>
      <c r="L858" s="112"/>
      <c r="M858" s="112"/>
      <c r="N858" s="112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</row>
    <row r="859" spans="1:30" ht="12" customHeight="1">
      <c r="A859" s="108"/>
      <c r="B859" s="108"/>
      <c r="C859" s="109"/>
      <c r="D859" s="109"/>
      <c r="E859" s="109"/>
      <c r="F859" s="109"/>
      <c r="G859" s="109"/>
      <c r="H859" s="109"/>
      <c r="I859" s="111"/>
      <c r="J859" s="111"/>
      <c r="K859" s="112"/>
      <c r="L859" s="112"/>
      <c r="M859" s="112"/>
      <c r="N859" s="112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</row>
    <row r="860" spans="1:30" ht="12" customHeight="1">
      <c r="A860" s="108"/>
      <c r="B860" s="108"/>
      <c r="C860" s="109"/>
      <c r="D860" s="109"/>
      <c r="E860" s="109"/>
      <c r="F860" s="109"/>
      <c r="G860" s="109"/>
      <c r="H860" s="109"/>
      <c r="I860" s="111"/>
      <c r="J860" s="111"/>
      <c r="K860" s="112"/>
      <c r="L860" s="112"/>
      <c r="M860" s="112"/>
      <c r="N860" s="112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</row>
    <row r="861" spans="1:30" ht="12" customHeight="1">
      <c r="A861" s="108"/>
      <c r="B861" s="108"/>
      <c r="C861" s="109"/>
      <c r="D861" s="109"/>
      <c r="E861" s="109"/>
      <c r="F861" s="109"/>
      <c r="G861" s="109"/>
      <c r="H861" s="109"/>
      <c r="I861" s="111"/>
      <c r="J861" s="111"/>
      <c r="K861" s="112"/>
      <c r="L861" s="112"/>
      <c r="M861" s="112"/>
      <c r="N861" s="112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</row>
    <row r="862" spans="1:30" ht="12" customHeight="1">
      <c r="A862" s="108"/>
      <c r="B862" s="108"/>
      <c r="C862" s="109"/>
      <c r="D862" s="109"/>
      <c r="E862" s="109"/>
      <c r="F862" s="109"/>
      <c r="G862" s="109"/>
      <c r="H862" s="109"/>
      <c r="I862" s="111"/>
      <c r="J862" s="111"/>
      <c r="K862" s="112"/>
      <c r="L862" s="112"/>
      <c r="M862" s="112"/>
      <c r="N862" s="112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</row>
    <row r="863" spans="1:30" ht="12" customHeight="1">
      <c r="A863" s="108"/>
      <c r="B863" s="108"/>
      <c r="C863" s="109"/>
      <c r="D863" s="109"/>
      <c r="E863" s="109"/>
      <c r="F863" s="109"/>
      <c r="G863" s="109"/>
      <c r="H863" s="109"/>
      <c r="I863" s="111"/>
      <c r="J863" s="111"/>
      <c r="K863" s="112"/>
      <c r="L863" s="112"/>
      <c r="M863" s="112"/>
      <c r="N863" s="112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</row>
    <row r="864" spans="1:30" ht="12" customHeight="1">
      <c r="A864" s="108"/>
      <c r="B864" s="108"/>
      <c r="C864" s="109"/>
      <c r="D864" s="109"/>
      <c r="E864" s="109"/>
      <c r="F864" s="109"/>
      <c r="G864" s="109"/>
      <c r="H864" s="109"/>
      <c r="I864" s="111"/>
      <c r="J864" s="111"/>
      <c r="K864" s="112"/>
      <c r="L864" s="112"/>
      <c r="M864" s="112"/>
      <c r="N864" s="112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</row>
    <row r="865" spans="1:30" ht="12" customHeight="1">
      <c r="A865" s="108"/>
      <c r="B865" s="108"/>
      <c r="C865" s="109"/>
      <c r="D865" s="109"/>
      <c r="E865" s="109"/>
      <c r="F865" s="109"/>
      <c r="G865" s="109"/>
      <c r="H865" s="109"/>
      <c r="I865" s="111"/>
      <c r="J865" s="111"/>
      <c r="K865" s="112"/>
      <c r="L865" s="112"/>
      <c r="M865" s="112"/>
      <c r="N865" s="112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</row>
    <row r="866" spans="1:30" ht="12" customHeight="1">
      <c r="A866" s="108"/>
      <c r="B866" s="108"/>
      <c r="C866" s="109"/>
      <c r="D866" s="109"/>
      <c r="E866" s="109"/>
      <c r="F866" s="109"/>
      <c r="G866" s="109"/>
      <c r="H866" s="109"/>
      <c r="I866" s="111"/>
      <c r="J866" s="111"/>
      <c r="K866" s="112"/>
      <c r="L866" s="112"/>
      <c r="M866" s="112"/>
      <c r="N866" s="112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</row>
    <row r="867" spans="1:30" ht="12" customHeight="1">
      <c r="A867" s="108"/>
      <c r="B867" s="108"/>
      <c r="C867" s="109"/>
      <c r="D867" s="109"/>
      <c r="E867" s="109"/>
      <c r="F867" s="109"/>
      <c r="G867" s="109"/>
      <c r="H867" s="109"/>
      <c r="I867" s="111"/>
      <c r="J867" s="111"/>
      <c r="K867" s="112"/>
      <c r="L867" s="112"/>
      <c r="M867" s="112"/>
      <c r="N867" s="112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</row>
    <row r="868" spans="1:30" ht="12" customHeight="1">
      <c r="A868" s="108"/>
      <c r="B868" s="108"/>
      <c r="C868" s="109"/>
      <c r="D868" s="109"/>
      <c r="E868" s="109"/>
      <c r="F868" s="109"/>
      <c r="G868" s="109"/>
      <c r="H868" s="109"/>
      <c r="I868" s="111"/>
      <c r="J868" s="111"/>
      <c r="K868" s="112"/>
      <c r="L868" s="112"/>
      <c r="M868" s="112"/>
      <c r="N868" s="112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</row>
    <row r="869" spans="1:30" ht="12" customHeight="1">
      <c r="A869" s="108"/>
      <c r="B869" s="108"/>
      <c r="C869" s="109"/>
      <c r="D869" s="109"/>
      <c r="E869" s="109"/>
      <c r="F869" s="109"/>
      <c r="G869" s="109"/>
      <c r="H869" s="109"/>
      <c r="I869" s="111"/>
      <c r="J869" s="111"/>
      <c r="K869" s="112"/>
      <c r="L869" s="112"/>
      <c r="M869" s="112"/>
      <c r="N869" s="112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</row>
    <row r="870" spans="1:30" ht="12" customHeight="1">
      <c r="A870" s="108"/>
      <c r="B870" s="108"/>
      <c r="C870" s="109"/>
      <c r="D870" s="109"/>
      <c r="E870" s="109"/>
      <c r="F870" s="109"/>
      <c r="G870" s="109"/>
      <c r="H870" s="109"/>
      <c r="I870" s="111"/>
      <c r="J870" s="111"/>
      <c r="K870" s="112"/>
      <c r="L870" s="112"/>
      <c r="M870" s="112"/>
      <c r="N870" s="112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</row>
    <row r="871" spans="1:30" ht="12" customHeight="1">
      <c r="A871" s="108"/>
      <c r="B871" s="108"/>
      <c r="C871" s="109"/>
      <c r="D871" s="109"/>
      <c r="E871" s="109"/>
      <c r="F871" s="109"/>
      <c r="G871" s="109"/>
      <c r="H871" s="109"/>
      <c r="I871" s="111"/>
      <c r="J871" s="111"/>
      <c r="K871" s="112"/>
      <c r="L871" s="112"/>
      <c r="M871" s="112"/>
      <c r="N871" s="112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</row>
    <row r="872" spans="1:30" ht="12" customHeight="1">
      <c r="A872" s="108"/>
      <c r="B872" s="108"/>
      <c r="C872" s="109"/>
      <c r="D872" s="109"/>
      <c r="E872" s="109"/>
      <c r="F872" s="109"/>
      <c r="G872" s="109"/>
      <c r="H872" s="109"/>
      <c r="I872" s="111"/>
      <c r="J872" s="111"/>
      <c r="K872" s="112"/>
      <c r="L872" s="112"/>
      <c r="M872" s="112"/>
      <c r="N872" s="112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</row>
    <row r="873" spans="1:30" ht="12" customHeight="1">
      <c r="A873" s="108"/>
      <c r="B873" s="108"/>
      <c r="C873" s="109"/>
      <c r="D873" s="109"/>
      <c r="E873" s="109"/>
      <c r="F873" s="109"/>
      <c r="G873" s="109"/>
      <c r="H873" s="109"/>
      <c r="I873" s="111"/>
      <c r="J873" s="111"/>
      <c r="K873" s="112"/>
      <c r="L873" s="112"/>
      <c r="M873" s="112"/>
      <c r="N873" s="112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</row>
    <row r="874" spans="1:30" ht="12" customHeight="1">
      <c r="A874" s="108"/>
      <c r="B874" s="108"/>
      <c r="C874" s="109"/>
      <c r="D874" s="109"/>
      <c r="E874" s="109"/>
      <c r="F874" s="109"/>
      <c r="G874" s="109"/>
      <c r="H874" s="109"/>
      <c r="I874" s="111"/>
      <c r="J874" s="111"/>
      <c r="K874" s="112"/>
      <c r="L874" s="112"/>
      <c r="M874" s="112"/>
      <c r="N874" s="112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</row>
    <row r="875" spans="1:30" ht="12" customHeight="1">
      <c r="A875" s="108"/>
      <c r="B875" s="108"/>
      <c r="C875" s="109"/>
      <c r="D875" s="109"/>
      <c r="E875" s="109"/>
      <c r="F875" s="109"/>
      <c r="G875" s="109"/>
      <c r="H875" s="109"/>
      <c r="I875" s="111"/>
      <c r="J875" s="111"/>
      <c r="K875" s="112"/>
      <c r="L875" s="112"/>
      <c r="M875" s="112"/>
      <c r="N875" s="112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</row>
    <row r="876" spans="1:30" ht="12" customHeight="1">
      <c r="A876" s="108"/>
      <c r="B876" s="108"/>
      <c r="C876" s="109"/>
      <c r="D876" s="109"/>
      <c r="E876" s="109"/>
      <c r="F876" s="109"/>
      <c r="G876" s="109"/>
      <c r="H876" s="109"/>
      <c r="I876" s="111"/>
      <c r="J876" s="111"/>
      <c r="K876" s="112"/>
      <c r="L876" s="112"/>
      <c r="M876" s="112"/>
      <c r="N876" s="112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</row>
    <row r="877" spans="1:30" ht="12" customHeight="1">
      <c r="A877" s="108"/>
      <c r="B877" s="108"/>
      <c r="C877" s="109"/>
      <c r="D877" s="109"/>
      <c r="E877" s="109"/>
      <c r="F877" s="109"/>
      <c r="G877" s="109"/>
      <c r="H877" s="109"/>
      <c r="I877" s="111"/>
      <c r="J877" s="111"/>
      <c r="K877" s="112"/>
      <c r="L877" s="112"/>
      <c r="M877" s="112"/>
      <c r="N877" s="112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</row>
    <row r="878" spans="1:30" ht="12" customHeight="1">
      <c r="A878" s="108"/>
      <c r="B878" s="108"/>
      <c r="C878" s="109"/>
      <c r="D878" s="109"/>
      <c r="E878" s="109"/>
      <c r="F878" s="109"/>
      <c r="G878" s="109"/>
      <c r="H878" s="109"/>
      <c r="I878" s="111"/>
      <c r="J878" s="111"/>
      <c r="K878" s="112"/>
      <c r="L878" s="112"/>
      <c r="M878" s="112"/>
      <c r="N878" s="112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</row>
    <row r="879" spans="1:30" ht="12" customHeight="1">
      <c r="A879" s="108"/>
      <c r="B879" s="108"/>
      <c r="C879" s="109"/>
      <c r="D879" s="109"/>
      <c r="E879" s="109"/>
      <c r="F879" s="109"/>
      <c r="G879" s="109"/>
      <c r="H879" s="109"/>
      <c r="I879" s="111"/>
      <c r="J879" s="111"/>
      <c r="K879" s="112"/>
      <c r="L879" s="112"/>
      <c r="M879" s="112"/>
      <c r="N879" s="112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</row>
    <row r="880" spans="1:30" ht="12" customHeight="1">
      <c r="A880" s="108"/>
      <c r="B880" s="108"/>
      <c r="C880" s="109"/>
      <c r="D880" s="109"/>
      <c r="E880" s="109"/>
      <c r="F880" s="109"/>
      <c r="G880" s="109"/>
      <c r="H880" s="109"/>
      <c r="I880" s="111"/>
      <c r="J880" s="111"/>
      <c r="K880" s="112"/>
      <c r="L880" s="112"/>
      <c r="M880" s="112"/>
      <c r="N880" s="112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</row>
    <row r="881" spans="1:30" ht="12" customHeight="1">
      <c r="A881" s="108"/>
      <c r="B881" s="108"/>
      <c r="C881" s="109"/>
      <c r="D881" s="109"/>
      <c r="E881" s="109"/>
      <c r="F881" s="109"/>
      <c r="G881" s="109"/>
      <c r="H881" s="109"/>
      <c r="I881" s="111"/>
      <c r="J881" s="111"/>
      <c r="K881" s="112"/>
      <c r="L881" s="112"/>
      <c r="M881" s="112"/>
      <c r="N881" s="112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</row>
    <row r="882" spans="1:30" ht="12" customHeight="1">
      <c r="A882" s="108"/>
      <c r="B882" s="108"/>
      <c r="C882" s="109"/>
      <c r="D882" s="109"/>
      <c r="E882" s="109"/>
      <c r="F882" s="109"/>
      <c r="G882" s="109"/>
      <c r="H882" s="109"/>
      <c r="I882" s="111"/>
      <c r="J882" s="111"/>
      <c r="K882" s="112"/>
      <c r="L882" s="112"/>
      <c r="M882" s="112"/>
      <c r="N882" s="112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</row>
    <row r="883" spans="1:30" ht="12" customHeight="1">
      <c r="A883" s="108"/>
      <c r="B883" s="108"/>
      <c r="C883" s="109"/>
      <c r="D883" s="109"/>
      <c r="E883" s="109"/>
      <c r="F883" s="109"/>
      <c r="G883" s="109"/>
      <c r="H883" s="109"/>
      <c r="I883" s="111"/>
      <c r="J883" s="111"/>
      <c r="K883" s="112"/>
      <c r="L883" s="112"/>
      <c r="M883" s="112"/>
      <c r="N883" s="112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</row>
    <row r="884" spans="1:30" ht="12" customHeight="1">
      <c r="A884" s="108"/>
      <c r="B884" s="108"/>
      <c r="C884" s="109"/>
      <c r="D884" s="109"/>
      <c r="E884" s="109"/>
      <c r="F884" s="109"/>
      <c r="G884" s="109"/>
      <c r="H884" s="109"/>
      <c r="I884" s="111"/>
      <c r="J884" s="111"/>
      <c r="K884" s="112"/>
      <c r="L884" s="112"/>
      <c r="M884" s="112"/>
      <c r="N884" s="112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</row>
    <row r="885" spans="1:30" ht="12" customHeight="1">
      <c r="A885" s="108"/>
      <c r="B885" s="108"/>
      <c r="C885" s="109"/>
      <c r="D885" s="109"/>
      <c r="E885" s="109"/>
      <c r="F885" s="109"/>
      <c r="G885" s="109"/>
      <c r="H885" s="109"/>
      <c r="I885" s="111"/>
      <c r="J885" s="111"/>
      <c r="K885" s="112"/>
      <c r="L885" s="112"/>
      <c r="M885" s="112"/>
      <c r="N885" s="112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</row>
    <row r="886" spans="1:30" ht="12" customHeight="1">
      <c r="A886" s="108"/>
      <c r="B886" s="108"/>
      <c r="C886" s="109"/>
      <c r="D886" s="109"/>
      <c r="E886" s="109"/>
      <c r="F886" s="109"/>
      <c r="G886" s="109"/>
      <c r="H886" s="109"/>
      <c r="I886" s="111"/>
      <c r="J886" s="111"/>
      <c r="K886" s="112"/>
      <c r="L886" s="112"/>
      <c r="M886" s="112"/>
      <c r="N886" s="112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</row>
    <row r="887" spans="1:30" ht="12" customHeight="1">
      <c r="A887" s="108"/>
      <c r="B887" s="108"/>
      <c r="C887" s="109"/>
      <c r="D887" s="109"/>
      <c r="E887" s="109"/>
      <c r="F887" s="109"/>
      <c r="G887" s="109"/>
      <c r="H887" s="109"/>
      <c r="I887" s="111"/>
      <c r="J887" s="111"/>
      <c r="K887" s="112"/>
      <c r="L887" s="112"/>
      <c r="M887" s="112"/>
      <c r="N887" s="112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</row>
    <row r="888" spans="1:30" ht="12" customHeight="1">
      <c r="A888" s="108"/>
      <c r="B888" s="108"/>
      <c r="C888" s="109"/>
      <c r="D888" s="109"/>
      <c r="E888" s="109"/>
      <c r="F888" s="109"/>
      <c r="G888" s="109"/>
      <c r="H888" s="109"/>
      <c r="I888" s="111"/>
      <c r="J888" s="111"/>
      <c r="K888" s="112"/>
      <c r="L888" s="112"/>
      <c r="M888" s="112"/>
      <c r="N888" s="112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</row>
    <row r="889" spans="1:30" ht="12" customHeight="1">
      <c r="A889" s="108"/>
      <c r="B889" s="108"/>
      <c r="C889" s="109"/>
      <c r="D889" s="109"/>
      <c r="E889" s="109"/>
      <c r="F889" s="109"/>
      <c r="G889" s="109"/>
      <c r="H889" s="109"/>
      <c r="I889" s="111"/>
      <c r="J889" s="111"/>
      <c r="K889" s="112"/>
      <c r="L889" s="112"/>
      <c r="M889" s="112"/>
      <c r="N889" s="112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</row>
    <row r="890" spans="1:30" ht="12" customHeight="1">
      <c r="A890" s="108"/>
      <c r="B890" s="108"/>
      <c r="C890" s="109"/>
      <c r="D890" s="109"/>
      <c r="E890" s="109"/>
      <c r="F890" s="109"/>
      <c r="G890" s="109"/>
      <c r="H890" s="109"/>
      <c r="I890" s="111"/>
      <c r="J890" s="111"/>
      <c r="K890" s="112"/>
      <c r="L890" s="112"/>
      <c r="M890" s="112"/>
      <c r="N890" s="112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</row>
    <row r="891" spans="1:30" ht="12" customHeight="1">
      <c r="A891" s="108"/>
      <c r="B891" s="108"/>
      <c r="C891" s="109"/>
      <c r="D891" s="109"/>
      <c r="E891" s="109"/>
      <c r="F891" s="109"/>
      <c r="G891" s="109"/>
      <c r="H891" s="109"/>
      <c r="I891" s="111"/>
      <c r="J891" s="111"/>
      <c r="K891" s="112"/>
      <c r="L891" s="112"/>
      <c r="M891" s="112"/>
      <c r="N891" s="112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</row>
    <row r="892" spans="1:30" ht="12" customHeight="1">
      <c r="A892" s="108"/>
      <c r="B892" s="108"/>
      <c r="C892" s="109"/>
      <c r="D892" s="109"/>
      <c r="E892" s="109"/>
      <c r="F892" s="109"/>
      <c r="G892" s="109"/>
      <c r="H892" s="109"/>
      <c r="I892" s="111"/>
      <c r="J892" s="111"/>
      <c r="K892" s="112"/>
      <c r="L892" s="112"/>
      <c r="M892" s="112"/>
      <c r="N892" s="112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</row>
    <row r="893" spans="1:30" ht="12" customHeight="1">
      <c r="A893" s="108"/>
      <c r="B893" s="108"/>
      <c r="C893" s="109"/>
      <c r="D893" s="109"/>
      <c r="E893" s="109"/>
      <c r="F893" s="109"/>
      <c r="G893" s="109"/>
      <c r="H893" s="109"/>
      <c r="I893" s="111"/>
      <c r="J893" s="111"/>
      <c r="K893" s="112"/>
      <c r="L893" s="112"/>
      <c r="M893" s="112"/>
      <c r="N893" s="112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</row>
    <row r="894" spans="1:30" ht="12" customHeight="1">
      <c r="A894" s="108"/>
      <c r="B894" s="108"/>
      <c r="C894" s="109"/>
      <c r="D894" s="109"/>
      <c r="E894" s="109"/>
      <c r="F894" s="109"/>
      <c r="G894" s="109"/>
      <c r="H894" s="109"/>
      <c r="I894" s="111"/>
      <c r="J894" s="111"/>
      <c r="K894" s="112"/>
      <c r="L894" s="112"/>
      <c r="M894" s="112"/>
      <c r="N894" s="112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</row>
    <row r="895" spans="1:30" ht="12" customHeight="1">
      <c r="A895" s="108"/>
      <c r="B895" s="108"/>
      <c r="C895" s="109"/>
      <c r="D895" s="109"/>
      <c r="E895" s="109"/>
      <c r="F895" s="109"/>
      <c r="G895" s="109"/>
      <c r="H895" s="109"/>
      <c r="I895" s="111"/>
      <c r="J895" s="111"/>
      <c r="K895" s="112"/>
      <c r="L895" s="112"/>
      <c r="M895" s="112"/>
      <c r="N895" s="112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</row>
    <row r="896" spans="1:30" ht="12" customHeight="1">
      <c r="A896" s="108"/>
      <c r="B896" s="108"/>
      <c r="C896" s="109"/>
      <c r="D896" s="109"/>
      <c r="E896" s="109"/>
      <c r="F896" s="109"/>
      <c r="G896" s="109"/>
      <c r="H896" s="109"/>
      <c r="I896" s="111"/>
      <c r="J896" s="111"/>
      <c r="K896" s="112"/>
      <c r="L896" s="112"/>
      <c r="M896" s="112"/>
      <c r="N896" s="112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</row>
    <row r="897" spans="1:30" ht="12" customHeight="1">
      <c r="A897" s="108"/>
      <c r="B897" s="108"/>
      <c r="C897" s="109"/>
      <c r="D897" s="109"/>
      <c r="E897" s="109"/>
      <c r="F897" s="109"/>
      <c r="G897" s="109"/>
      <c r="H897" s="109"/>
      <c r="I897" s="111"/>
      <c r="J897" s="111"/>
      <c r="K897" s="112"/>
      <c r="L897" s="112"/>
      <c r="M897" s="112"/>
      <c r="N897" s="112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</row>
    <row r="898" spans="1:30" ht="12" customHeight="1">
      <c r="A898" s="108"/>
      <c r="B898" s="108"/>
      <c r="C898" s="109"/>
      <c r="D898" s="109"/>
      <c r="E898" s="109"/>
      <c r="F898" s="109"/>
      <c r="G898" s="109"/>
      <c r="H898" s="109"/>
      <c r="I898" s="111"/>
      <c r="J898" s="111"/>
      <c r="K898" s="112"/>
      <c r="L898" s="112"/>
      <c r="M898" s="112"/>
      <c r="N898" s="112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</row>
    <row r="899" spans="1:30" ht="12" customHeight="1">
      <c r="A899" s="108"/>
      <c r="B899" s="108"/>
      <c r="C899" s="109"/>
      <c r="D899" s="109"/>
      <c r="E899" s="109"/>
      <c r="F899" s="109"/>
      <c r="G899" s="109"/>
      <c r="H899" s="109"/>
      <c r="I899" s="111"/>
      <c r="J899" s="111"/>
      <c r="K899" s="112"/>
      <c r="L899" s="112"/>
      <c r="M899" s="112"/>
      <c r="N899" s="112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</row>
    <row r="900" spans="1:30" ht="12" customHeight="1">
      <c r="A900" s="108"/>
      <c r="B900" s="108"/>
      <c r="C900" s="109"/>
      <c r="D900" s="109"/>
      <c r="E900" s="109"/>
      <c r="F900" s="109"/>
      <c r="G900" s="109"/>
      <c r="H900" s="109"/>
      <c r="I900" s="111"/>
      <c r="J900" s="111"/>
      <c r="K900" s="112"/>
      <c r="L900" s="112"/>
      <c r="M900" s="112"/>
      <c r="N900" s="112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</row>
    <row r="901" spans="1:30" ht="12" customHeight="1">
      <c r="A901" s="108"/>
      <c r="B901" s="108"/>
      <c r="C901" s="109"/>
      <c r="D901" s="109"/>
      <c r="E901" s="109"/>
      <c r="F901" s="109"/>
      <c r="G901" s="109"/>
      <c r="H901" s="109"/>
      <c r="I901" s="111"/>
      <c r="J901" s="111"/>
      <c r="K901" s="112"/>
      <c r="L901" s="112"/>
      <c r="M901" s="112"/>
      <c r="N901" s="112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</row>
    <row r="902" spans="1:30" ht="12" customHeight="1">
      <c r="A902" s="108"/>
      <c r="B902" s="108"/>
      <c r="C902" s="109"/>
      <c r="D902" s="109"/>
      <c r="E902" s="109"/>
      <c r="F902" s="109"/>
      <c r="G902" s="109"/>
      <c r="H902" s="109"/>
      <c r="I902" s="111"/>
      <c r="J902" s="111"/>
      <c r="K902" s="112"/>
      <c r="L902" s="112"/>
      <c r="M902" s="112"/>
      <c r="N902" s="112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</row>
    <row r="903" spans="1:30" ht="12" customHeight="1">
      <c r="A903" s="108"/>
      <c r="B903" s="108"/>
      <c r="C903" s="109"/>
      <c r="D903" s="109"/>
      <c r="E903" s="109"/>
      <c r="F903" s="109"/>
      <c r="G903" s="109"/>
      <c r="H903" s="109"/>
      <c r="I903" s="111"/>
      <c r="J903" s="111"/>
      <c r="K903" s="112"/>
      <c r="L903" s="112"/>
      <c r="M903" s="112"/>
      <c r="N903" s="112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</row>
    <row r="904" spans="1:30" ht="12" customHeight="1">
      <c r="A904" s="108"/>
      <c r="B904" s="108"/>
      <c r="C904" s="109"/>
      <c r="D904" s="109"/>
      <c r="E904" s="109"/>
      <c r="F904" s="109"/>
      <c r="G904" s="109"/>
      <c r="H904" s="109"/>
      <c r="I904" s="111"/>
      <c r="J904" s="111"/>
      <c r="K904" s="112"/>
      <c r="L904" s="112"/>
      <c r="M904" s="112"/>
      <c r="N904" s="112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</row>
    <row r="905" spans="1:30" ht="12" customHeight="1">
      <c r="A905" s="108"/>
      <c r="B905" s="108"/>
      <c r="C905" s="109"/>
      <c r="D905" s="109"/>
      <c r="E905" s="109"/>
      <c r="F905" s="109"/>
      <c r="G905" s="109"/>
      <c r="H905" s="109"/>
      <c r="I905" s="111"/>
      <c r="J905" s="111"/>
      <c r="K905" s="112"/>
      <c r="L905" s="112"/>
      <c r="M905" s="112"/>
      <c r="N905" s="112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</row>
    <row r="906" spans="1:30" ht="12" customHeight="1">
      <c r="A906" s="108"/>
      <c r="B906" s="108"/>
      <c r="C906" s="109"/>
      <c r="D906" s="109"/>
      <c r="E906" s="109"/>
      <c r="F906" s="109"/>
      <c r="G906" s="109"/>
      <c r="H906" s="109"/>
      <c r="I906" s="111"/>
      <c r="J906" s="111"/>
      <c r="K906" s="112"/>
      <c r="L906" s="112"/>
      <c r="M906" s="112"/>
      <c r="N906" s="112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</row>
    <row r="907" spans="1:30" ht="12" customHeight="1">
      <c r="A907" s="108"/>
      <c r="B907" s="108"/>
      <c r="C907" s="109"/>
      <c r="D907" s="109"/>
      <c r="E907" s="109"/>
      <c r="F907" s="109"/>
      <c r="G907" s="109"/>
      <c r="H907" s="109"/>
      <c r="I907" s="111"/>
      <c r="J907" s="111"/>
      <c r="K907" s="112"/>
      <c r="L907" s="112"/>
      <c r="M907" s="112"/>
      <c r="N907" s="112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</row>
    <row r="908" spans="1:30" ht="12" customHeight="1">
      <c r="A908" s="108"/>
      <c r="B908" s="108"/>
      <c r="C908" s="109"/>
      <c r="D908" s="109"/>
      <c r="E908" s="109"/>
      <c r="F908" s="109"/>
      <c r="G908" s="109"/>
      <c r="H908" s="109"/>
      <c r="I908" s="111"/>
      <c r="J908" s="111"/>
      <c r="K908" s="112"/>
      <c r="L908" s="112"/>
      <c r="M908" s="112"/>
      <c r="N908" s="112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</row>
    <row r="909" spans="1:30" ht="12" customHeight="1">
      <c r="A909" s="108"/>
      <c r="B909" s="108"/>
      <c r="C909" s="109"/>
      <c r="D909" s="109"/>
      <c r="E909" s="109"/>
      <c r="F909" s="109"/>
      <c r="G909" s="109"/>
      <c r="H909" s="109"/>
      <c r="I909" s="111"/>
      <c r="J909" s="111"/>
      <c r="K909" s="112"/>
      <c r="L909" s="112"/>
      <c r="M909" s="112"/>
      <c r="N909" s="112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</row>
    <row r="910" spans="1:30" ht="12" customHeight="1">
      <c r="A910" s="108"/>
      <c r="B910" s="108"/>
      <c r="C910" s="109"/>
      <c r="D910" s="109"/>
      <c r="E910" s="109"/>
      <c r="F910" s="109"/>
      <c r="G910" s="109"/>
      <c r="H910" s="109"/>
      <c r="I910" s="111"/>
      <c r="J910" s="111"/>
      <c r="K910" s="112"/>
      <c r="L910" s="112"/>
      <c r="M910" s="112"/>
      <c r="N910" s="112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</row>
    <row r="911" spans="1:30" ht="12" customHeight="1">
      <c r="A911" s="108"/>
      <c r="B911" s="108"/>
      <c r="C911" s="109"/>
      <c r="D911" s="109"/>
      <c r="E911" s="109"/>
      <c r="F911" s="109"/>
      <c r="G911" s="109"/>
      <c r="H911" s="109"/>
      <c r="I911" s="111"/>
      <c r="J911" s="111"/>
      <c r="K911" s="112"/>
      <c r="L911" s="112"/>
      <c r="M911" s="112"/>
      <c r="N911" s="112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</row>
    <row r="912" spans="1:30" ht="12" customHeight="1">
      <c r="A912" s="108"/>
      <c r="B912" s="108"/>
      <c r="C912" s="109"/>
      <c r="D912" s="109"/>
      <c r="E912" s="109"/>
      <c r="F912" s="109"/>
      <c r="G912" s="109"/>
      <c r="H912" s="109"/>
      <c r="I912" s="111"/>
      <c r="J912" s="111"/>
      <c r="K912" s="112"/>
      <c r="L912" s="112"/>
      <c r="M912" s="112"/>
      <c r="N912" s="112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</row>
    <row r="913" spans="1:30" ht="12" customHeight="1">
      <c r="A913" s="108"/>
      <c r="B913" s="108"/>
      <c r="C913" s="109"/>
      <c r="D913" s="109"/>
      <c r="E913" s="109"/>
      <c r="F913" s="109"/>
      <c r="G913" s="109"/>
      <c r="H913" s="109"/>
      <c r="I913" s="111"/>
      <c r="J913" s="111"/>
      <c r="K913" s="112"/>
      <c r="L913" s="112"/>
      <c r="M913" s="112"/>
      <c r="N913" s="112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</row>
    <row r="914" spans="1:30" ht="12" customHeight="1">
      <c r="A914" s="108"/>
      <c r="B914" s="108"/>
      <c r="C914" s="109"/>
      <c r="D914" s="109"/>
      <c r="E914" s="109"/>
      <c r="F914" s="109"/>
      <c r="G914" s="109"/>
      <c r="H914" s="109"/>
      <c r="I914" s="111"/>
      <c r="J914" s="111"/>
      <c r="K914" s="112"/>
      <c r="L914" s="112"/>
      <c r="M914" s="112"/>
      <c r="N914" s="112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</row>
    <row r="915" spans="1:30" ht="12" customHeight="1">
      <c r="A915" s="108"/>
      <c r="B915" s="108"/>
      <c r="C915" s="109"/>
      <c r="D915" s="109"/>
      <c r="E915" s="109"/>
      <c r="F915" s="109"/>
      <c r="G915" s="109"/>
      <c r="H915" s="109"/>
      <c r="I915" s="111"/>
      <c r="J915" s="111"/>
      <c r="K915" s="112"/>
      <c r="L915" s="112"/>
      <c r="M915" s="112"/>
      <c r="N915" s="112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</row>
    <row r="916" spans="1:30" ht="12" customHeight="1">
      <c r="A916" s="108"/>
      <c r="B916" s="108"/>
      <c r="C916" s="109"/>
      <c r="D916" s="109"/>
      <c r="E916" s="109"/>
      <c r="F916" s="109"/>
      <c r="G916" s="109"/>
      <c r="H916" s="109"/>
      <c r="I916" s="111"/>
      <c r="J916" s="111"/>
      <c r="K916" s="112"/>
      <c r="L916" s="112"/>
      <c r="M916" s="112"/>
      <c r="N916" s="112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</row>
    <row r="917" spans="1:30" ht="12" customHeight="1">
      <c r="A917" s="108"/>
      <c r="B917" s="108"/>
      <c r="C917" s="109"/>
      <c r="D917" s="109"/>
      <c r="E917" s="109"/>
      <c r="F917" s="109"/>
      <c r="G917" s="109"/>
      <c r="H917" s="109"/>
      <c r="I917" s="111"/>
      <c r="J917" s="111"/>
      <c r="K917" s="112"/>
      <c r="L917" s="112"/>
      <c r="M917" s="112"/>
      <c r="N917" s="112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</row>
    <row r="918" spans="1:30" ht="12" customHeight="1">
      <c r="A918" s="108"/>
      <c r="B918" s="108"/>
      <c r="C918" s="109"/>
      <c r="D918" s="109"/>
      <c r="E918" s="109"/>
      <c r="F918" s="109"/>
      <c r="G918" s="109"/>
      <c r="H918" s="109"/>
      <c r="I918" s="111"/>
      <c r="J918" s="111"/>
      <c r="K918" s="112"/>
      <c r="L918" s="112"/>
      <c r="M918" s="112"/>
      <c r="N918" s="112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</row>
    <row r="919" spans="1:30" ht="12" customHeight="1">
      <c r="A919" s="108"/>
      <c r="B919" s="108"/>
      <c r="C919" s="109"/>
      <c r="D919" s="109"/>
      <c r="E919" s="109"/>
      <c r="F919" s="109"/>
      <c r="G919" s="109"/>
      <c r="H919" s="109"/>
      <c r="I919" s="111"/>
      <c r="J919" s="111"/>
      <c r="K919" s="112"/>
      <c r="L919" s="112"/>
      <c r="M919" s="112"/>
      <c r="N919" s="112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</row>
    <row r="920" spans="1:30" ht="12" customHeight="1">
      <c r="A920" s="108"/>
      <c r="B920" s="108"/>
      <c r="C920" s="109"/>
      <c r="D920" s="109"/>
      <c r="E920" s="109"/>
      <c r="F920" s="109"/>
      <c r="G920" s="109"/>
      <c r="H920" s="109"/>
      <c r="I920" s="111"/>
      <c r="J920" s="111"/>
      <c r="K920" s="112"/>
      <c r="L920" s="112"/>
      <c r="M920" s="112"/>
      <c r="N920" s="112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</row>
    <row r="921" spans="1:30" ht="12" customHeight="1">
      <c r="A921" s="108"/>
      <c r="B921" s="108"/>
      <c r="C921" s="109"/>
      <c r="D921" s="109"/>
      <c r="E921" s="109"/>
      <c r="F921" s="109"/>
      <c r="G921" s="109"/>
      <c r="H921" s="109"/>
      <c r="I921" s="111"/>
      <c r="J921" s="111"/>
      <c r="K921" s="112"/>
      <c r="L921" s="112"/>
      <c r="M921" s="112"/>
      <c r="N921" s="112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</row>
    <row r="922" spans="1:30" ht="12" customHeight="1">
      <c r="A922" s="108"/>
      <c r="B922" s="108"/>
      <c r="C922" s="109"/>
      <c r="D922" s="109"/>
      <c r="E922" s="109"/>
      <c r="F922" s="109"/>
      <c r="G922" s="109"/>
      <c r="H922" s="109"/>
      <c r="I922" s="111"/>
      <c r="J922" s="111"/>
      <c r="K922" s="112"/>
      <c r="L922" s="112"/>
      <c r="M922" s="112"/>
      <c r="N922" s="112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</row>
    <row r="923" spans="1:30" ht="12" customHeight="1">
      <c r="A923" s="108"/>
      <c r="B923" s="108"/>
      <c r="C923" s="109"/>
      <c r="D923" s="109"/>
      <c r="E923" s="109"/>
      <c r="F923" s="109"/>
      <c r="G923" s="109"/>
      <c r="H923" s="109"/>
      <c r="I923" s="111"/>
      <c r="J923" s="111"/>
      <c r="K923" s="112"/>
      <c r="L923" s="112"/>
      <c r="M923" s="112"/>
      <c r="N923" s="112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</row>
    <row r="924" spans="1:30" ht="12" customHeight="1">
      <c r="A924" s="108"/>
      <c r="B924" s="108"/>
      <c r="C924" s="109"/>
      <c r="D924" s="109"/>
      <c r="E924" s="109"/>
      <c r="F924" s="109"/>
      <c r="G924" s="109"/>
      <c r="H924" s="109"/>
      <c r="I924" s="111"/>
      <c r="J924" s="111"/>
      <c r="K924" s="112"/>
      <c r="L924" s="112"/>
      <c r="M924" s="112"/>
      <c r="N924" s="112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</row>
    <row r="925" spans="1:30" ht="12" customHeight="1">
      <c r="A925" s="108"/>
      <c r="B925" s="108"/>
      <c r="C925" s="109"/>
      <c r="D925" s="109"/>
      <c r="E925" s="109"/>
      <c r="F925" s="109"/>
      <c r="G925" s="109"/>
      <c r="H925" s="109"/>
      <c r="I925" s="111"/>
      <c r="J925" s="111"/>
      <c r="K925" s="112"/>
      <c r="L925" s="112"/>
      <c r="M925" s="112"/>
      <c r="N925" s="112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</row>
    <row r="926" spans="1:30" ht="12" customHeight="1">
      <c r="A926" s="108"/>
      <c r="B926" s="108"/>
      <c r="C926" s="109"/>
      <c r="D926" s="109"/>
      <c r="E926" s="109"/>
      <c r="F926" s="109"/>
      <c r="G926" s="109"/>
      <c r="H926" s="109"/>
      <c r="I926" s="111"/>
      <c r="J926" s="111"/>
      <c r="K926" s="112"/>
      <c r="L926" s="112"/>
      <c r="M926" s="112"/>
      <c r="N926" s="112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</row>
    <row r="927" spans="1:30" ht="12" customHeight="1">
      <c r="A927" s="108"/>
      <c r="B927" s="108"/>
      <c r="C927" s="109"/>
      <c r="D927" s="109"/>
      <c r="E927" s="109"/>
      <c r="F927" s="109"/>
      <c r="G927" s="109"/>
      <c r="H927" s="109"/>
      <c r="I927" s="111"/>
      <c r="J927" s="111"/>
      <c r="K927" s="112"/>
      <c r="L927" s="112"/>
      <c r="M927" s="112"/>
      <c r="N927" s="112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</row>
    <row r="928" spans="1:30" ht="12" customHeight="1">
      <c r="A928" s="108"/>
      <c r="B928" s="108"/>
      <c r="C928" s="109"/>
      <c r="D928" s="109"/>
      <c r="E928" s="109"/>
      <c r="F928" s="109"/>
      <c r="G928" s="109"/>
      <c r="H928" s="109"/>
      <c r="I928" s="111"/>
      <c r="J928" s="111"/>
      <c r="K928" s="112"/>
      <c r="L928" s="112"/>
      <c r="M928" s="112"/>
      <c r="N928" s="112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</row>
    <row r="929" spans="1:30" ht="12" customHeight="1">
      <c r="A929" s="108"/>
      <c r="B929" s="108"/>
      <c r="C929" s="109"/>
      <c r="D929" s="109"/>
      <c r="E929" s="109"/>
      <c r="F929" s="109"/>
      <c r="G929" s="109"/>
      <c r="H929" s="109"/>
      <c r="I929" s="111"/>
      <c r="J929" s="111"/>
      <c r="K929" s="112"/>
      <c r="L929" s="112"/>
      <c r="M929" s="112"/>
      <c r="N929" s="112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</row>
    <row r="930" spans="1:30" ht="12" customHeight="1">
      <c r="A930" s="108"/>
      <c r="B930" s="108"/>
      <c r="C930" s="109"/>
      <c r="D930" s="109"/>
      <c r="E930" s="109"/>
      <c r="F930" s="109"/>
      <c r="G930" s="109"/>
      <c r="H930" s="109"/>
      <c r="I930" s="111"/>
      <c r="J930" s="111"/>
      <c r="K930" s="112"/>
      <c r="L930" s="112"/>
      <c r="M930" s="112"/>
      <c r="N930" s="112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</row>
    <row r="931" spans="1:30" ht="12" customHeight="1">
      <c r="A931" s="108"/>
      <c r="B931" s="108"/>
      <c r="C931" s="109"/>
      <c r="D931" s="109"/>
      <c r="E931" s="109"/>
      <c r="F931" s="109"/>
      <c r="G931" s="109"/>
      <c r="H931" s="109"/>
      <c r="I931" s="111"/>
      <c r="J931" s="111"/>
      <c r="K931" s="112"/>
      <c r="L931" s="112"/>
      <c r="M931" s="112"/>
      <c r="N931" s="112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</row>
    <row r="932" spans="1:30" ht="12" customHeight="1">
      <c r="A932" s="108"/>
      <c r="B932" s="108"/>
      <c r="C932" s="109"/>
      <c r="D932" s="109"/>
      <c r="E932" s="109"/>
      <c r="F932" s="109"/>
      <c r="G932" s="109"/>
      <c r="H932" s="109"/>
      <c r="I932" s="111"/>
      <c r="J932" s="111"/>
      <c r="K932" s="112"/>
      <c r="L932" s="112"/>
      <c r="M932" s="112"/>
      <c r="N932" s="112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</row>
    <row r="933" spans="1:30" ht="12" customHeight="1">
      <c r="A933" s="108"/>
      <c r="B933" s="108"/>
      <c r="C933" s="109"/>
      <c r="D933" s="109"/>
      <c r="E933" s="109"/>
      <c r="F933" s="109"/>
      <c r="G933" s="109"/>
      <c r="H933" s="109"/>
      <c r="I933" s="111"/>
      <c r="J933" s="111"/>
      <c r="K933" s="112"/>
      <c r="L933" s="112"/>
      <c r="M933" s="112"/>
      <c r="N933" s="112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</row>
    <row r="934" spans="1:30" ht="12" customHeight="1">
      <c r="A934" s="108"/>
      <c r="B934" s="108"/>
      <c r="C934" s="109"/>
      <c r="D934" s="109"/>
      <c r="E934" s="109"/>
      <c r="F934" s="109"/>
      <c r="G934" s="109"/>
      <c r="H934" s="109"/>
      <c r="I934" s="111"/>
      <c r="J934" s="111"/>
      <c r="K934" s="112"/>
      <c r="L934" s="112"/>
      <c r="M934" s="112"/>
      <c r="N934" s="112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</row>
    <row r="935" spans="1:30" ht="12" customHeight="1">
      <c r="A935" s="108"/>
      <c r="B935" s="108"/>
      <c r="C935" s="109"/>
      <c r="D935" s="109"/>
      <c r="E935" s="109"/>
      <c r="F935" s="109"/>
      <c r="G935" s="109"/>
      <c r="H935" s="109"/>
      <c r="I935" s="111"/>
      <c r="J935" s="111"/>
      <c r="K935" s="112"/>
      <c r="L935" s="112"/>
      <c r="M935" s="112"/>
      <c r="N935" s="112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</row>
    <row r="936" spans="1:30" ht="12" customHeight="1">
      <c r="A936" s="108"/>
      <c r="B936" s="108"/>
      <c r="C936" s="109"/>
      <c r="D936" s="109"/>
      <c r="E936" s="109"/>
      <c r="F936" s="109"/>
      <c r="G936" s="109"/>
      <c r="H936" s="109"/>
      <c r="I936" s="111"/>
      <c r="J936" s="111"/>
      <c r="K936" s="112"/>
      <c r="L936" s="112"/>
      <c r="M936" s="112"/>
      <c r="N936" s="112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</row>
    <row r="937" spans="1:30" ht="12" customHeight="1">
      <c r="A937" s="108"/>
      <c r="B937" s="108"/>
      <c r="C937" s="109"/>
      <c r="D937" s="109"/>
      <c r="E937" s="109"/>
      <c r="F937" s="109"/>
      <c r="G937" s="109"/>
      <c r="H937" s="109"/>
      <c r="I937" s="111"/>
      <c r="J937" s="111"/>
      <c r="K937" s="112"/>
      <c r="L937" s="112"/>
      <c r="M937" s="112"/>
      <c r="N937" s="112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</row>
    <row r="938" spans="1:30" ht="12" customHeight="1">
      <c r="A938" s="108"/>
      <c r="B938" s="108"/>
      <c r="C938" s="109"/>
      <c r="D938" s="109"/>
      <c r="E938" s="109"/>
      <c r="F938" s="109"/>
      <c r="G938" s="109"/>
      <c r="H938" s="109"/>
      <c r="I938" s="111"/>
      <c r="J938" s="111"/>
      <c r="K938" s="112"/>
      <c r="L938" s="112"/>
      <c r="M938" s="112"/>
      <c r="N938" s="112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</row>
    <row r="939" spans="1:30" ht="12" customHeight="1">
      <c r="A939" s="108"/>
      <c r="B939" s="108"/>
      <c r="C939" s="109"/>
      <c r="D939" s="109"/>
      <c r="E939" s="109"/>
      <c r="F939" s="109"/>
      <c r="G939" s="109"/>
      <c r="H939" s="109"/>
      <c r="I939" s="111"/>
      <c r="J939" s="111"/>
      <c r="K939" s="112"/>
      <c r="L939" s="112"/>
      <c r="M939" s="112"/>
      <c r="N939" s="112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</row>
    <row r="940" spans="1:30" ht="12" customHeight="1">
      <c r="A940" s="108"/>
      <c r="B940" s="108"/>
      <c r="C940" s="109"/>
      <c r="D940" s="109"/>
      <c r="E940" s="109"/>
      <c r="F940" s="109"/>
      <c r="G940" s="109"/>
      <c r="H940" s="109"/>
      <c r="I940" s="111"/>
      <c r="J940" s="111"/>
      <c r="K940" s="112"/>
      <c r="L940" s="112"/>
      <c r="M940" s="112"/>
      <c r="N940" s="112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</row>
    <row r="941" spans="1:30" ht="12" customHeight="1">
      <c r="A941" s="108"/>
      <c r="B941" s="108"/>
      <c r="C941" s="109"/>
      <c r="D941" s="109"/>
      <c r="E941" s="109"/>
      <c r="F941" s="109"/>
      <c r="G941" s="109"/>
      <c r="H941" s="109"/>
      <c r="I941" s="111"/>
      <c r="J941" s="111"/>
      <c r="K941" s="112"/>
      <c r="L941" s="112"/>
      <c r="M941" s="112"/>
      <c r="N941" s="112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</row>
    <row r="942" spans="1:30" ht="12" customHeight="1">
      <c r="A942" s="108"/>
      <c r="B942" s="108"/>
      <c r="C942" s="109"/>
      <c r="D942" s="109"/>
      <c r="E942" s="109"/>
      <c r="F942" s="109"/>
      <c r="G942" s="109"/>
      <c r="H942" s="109"/>
      <c r="I942" s="111"/>
      <c r="J942" s="111"/>
      <c r="K942" s="112"/>
      <c r="L942" s="112"/>
      <c r="M942" s="112"/>
      <c r="N942" s="112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</row>
    <row r="943" spans="1:30" ht="12" customHeight="1">
      <c r="A943" s="108"/>
      <c r="B943" s="108"/>
      <c r="C943" s="109"/>
      <c r="D943" s="109"/>
      <c r="E943" s="109"/>
      <c r="F943" s="109"/>
      <c r="G943" s="109"/>
      <c r="H943" s="109"/>
      <c r="I943" s="111"/>
      <c r="J943" s="111"/>
      <c r="K943" s="112"/>
      <c r="L943" s="112"/>
      <c r="M943" s="112"/>
      <c r="N943" s="112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</row>
    <row r="944" spans="1:30" ht="12" customHeight="1">
      <c r="A944" s="108"/>
      <c r="B944" s="108"/>
      <c r="C944" s="109"/>
      <c r="D944" s="109"/>
      <c r="E944" s="109"/>
      <c r="F944" s="109"/>
      <c r="G944" s="109"/>
      <c r="H944" s="109"/>
      <c r="I944" s="111"/>
      <c r="J944" s="111"/>
      <c r="K944" s="112"/>
      <c r="L944" s="112"/>
      <c r="M944" s="112"/>
      <c r="N944" s="112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</row>
    <row r="945" spans="1:30" ht="12" customHeight="1">
      <c r="A945" s="108"/>
      <c r="B945" s="108"/>
      <c r="C945" s="109"/>
      <c r="D945" s="109"/>
      <c r="E945" s="109"/>
      <c r="F945" s="109"/>
      <c r="G945" s="109"/>
      <c r="H945" s="109"/>
      <c r="I945" s="111"/>
      <c r="J945" s="111"/>
      <c r="K945" s="112"/>
      <c r="L945" s="112"/>
      <c r="M945" s="112"/>
      <c r="N945" s="112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</row>
    <row r="946" spans="1:30" ht="12" customHeight="1">
      <c r="A946" s="108"/>
      <c r="B946" s="108"/>
      <c r="C946" s="109"/>
      <c r="D946" s="109"/>
      <c r="E946" s="109"/>
      <c r="F946" s="109"/>
      <c r="G946" s="109"/>
      <c r="H946" s="109"/>
      <c r="I946" s="111"/>
      <c r="J946" s="111"/>
      <c r="K946" s="112"/>
      <c r="L946" s="112"/>
      <c r="M946" s="112"/>
      <c r="N946" s="112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</row>
    <row r="947" spans="1:30" ht="12" customHeight="1">
      <c r="A947" s="108"/>
      <c r="B947" s="108"/>
      <c r="C947" s="109"/>
      <c r="D947" s="109"/>
      <c r="E947" s="109"/>
      <c r="F947" s="109"/>
      <c r="G947" s="109"/>
      <c r="H947" s="109"/>
      <c r="I947" s="111"/>
      <c r="J947" s="111"/>
      <c r="K947" s="112"/>
      <c r="L947" s="112"/>
      <c r="M947" s="112"/>
      <c r="N947" s="112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</row>
    <row r="948" spans="1:30" ht="12" customHeight="1">
      <c r="A948" s="108"/>
      <c r="B948" s="108"/>
      <c r="C948" s="109"/>
      <c r="D948" s="109"/>
      <c r="E948" s="109"/>
      <c r="F948" s="109"/>
      <c r="G948" s="109"/>
      <c r="H948" s="109"/>
      <c r="I948" s="111"/>
      <c r="J948" s="111"/>
      <c r="K948" s="112"/>
      <c r="L948" s="112"/>
      <c r="M948" s="112"/>
      <c r="N948" s="112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</row>
    <row r="949" spans="1:30" ht="12" customHeight="1">
      <c r="A949" s="108"/>
      <c r="B949" s="108"/>
      <c r="C949" s="109"/>
      <c r="D949" s="109"/>
      <c r="E949" s="109"/>
      <c r="F949" s="109"/>
      <c r="G949" s="109"/>
      <c r="H949" s="109"/>
      <c r="I949" s="111"/>
      <c r="J949" s="111"/>
      <c r="K949" s="112"/>
      <c r="L949" s="112"/>
      <c r="M949" s="112"/>
      <c r="N949" s="112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</row>
    <row r="950" spans="1:30" ht="12" customHeight="1">
      <c r="A950" s="108"/>
      <c r="B950" s="108"/>
      <c r="C950" s="109"/>
      <c r="D950" s="109"/>
      <c r="E950" s="109"/>
      <c r="F950" s="109"/>
      <c r="G950" s="109"/>
      <c r="H950" s="109"/>
      <c r="I950" s="111"/>
      <c r="J950" s="111"/>
      <c r="K950" s="112"/>
      <c r="L950" s="112"/>
      <c r="M950" s="112"/>
      <c r="N950" s="112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</row>
    <row r="951" spans="1:30" ht="12" customHeight="1">
      <c r="A951" s="108"/>
      <c r="B951" s="108"/>
      <c r="C951" s="109"/>
      <c r="D951" s="109"/>
      <c r="E951" s="109"/>
      <c r="F951" s="109"/>
      <c r="G951" s="109"/>
      <c r="H951" s="109"/>
      <c r="I951" s="111"/>
      <c r="J951" s="111"/>
      <c r="K951" s="112"/>
      <c r="L951" s="112"/>
      <c r="M951" s="112"/>
      <c r="N951" s="112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</row>
    <row r="952" spans="1:30" ht="12" customHeight="1">
      <c r="A952" s="108"/>
      <c r="B952" s="108"/>
      <c r="C952" s="109"/>
      <c r="D952" s="109"/>
      <c r="E952" s="109"/>
      <c r="F952" s="109"/>
      <c r="G952" s="109"/>
      <c r="H952" s="109"/>
      <c r="I952" s="111"/>
      <c r="J952" s="111"/>
      <c r="K952" s="112"/>
      <c r="L952" s="112"/>
      <c r="M952" s="112"/>
      <c r="N952" s="112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</row>
    <row r="953" spans="1:30" ht="12" customHeight="1">
      <c r="A953" s="108"/>
      <c r="B953" s="108"/>
      <c r="C953" s="109"/>
      <c r="D953" s="109"/>
      <c r="E953" s="109"/>
      <c r="F953" s="109"/>
      <c r="G953" s="109"/>
      <c r="H953" s="109"/>
      <c r="I953" s="111"/>
      <c r="J953" s="111"/>
      <c r="K953" s="112"/>
      <c r="L953" s="112"/>
      <c r="M953" s="112"/>
      <c r="N953" s="112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</row>
    <row r="954" spans="1:30" ht="12" customHeight="1">
      <c r="A954" s="108"/>
      <c r="B954" s="108"/>
      <c r="C954" s="109"/>
      <c r="D954" s="109"/>
      <c r="E954" s="109"/>
      <c r="F954" s="109"/>
      <c r="G954" s="109"/>
      <c r="H954" s="109"/>
      <c r="I954" s="111"/>
      <c r="J954" s="111"/>
      <c r="K954" s="112"/>
      <c r="L954" s="112"/>
      <c r="M954" s="112"/>
      <c r="N954" s="112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</row>
    <row r="955" spans="1:30" ht="12" customHeight="1">
      <c r="A955" s="108"/>
      <c r="B955" s="108"/>
      <c r="C955" s="109"/>
      <c r="D955" s="109"/>
      <c r="E955" s="109"/>
      <c r="F955" s="109"/>
      <c r="G955" s="109"/>
      <c r="H955" s="109"/>
      <c r="I955" s="111"/>
      <c r="J955" s="111"/>
      <c r="K955" s="112"/>
      <c r="L955" s="112"/>
      <c r="M955" s="112"/>
      <c r="N955" s="112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</row>
    <row r="956" spans="1:30" ht="12" customHeight="1">
      <c r="A956" s="108"/>
      <c r="B956" s="108"/>
      <c r="C956" s="109"/>
      <c r="D956" s="109"/>
      <c r="E956" s="109"/>
      <c r="F956" s="109"/>
      <c r="G956" s="109"/>
      <c r="H956" s="109"/>
      <c r="I956" s="111"/>
      <c r="J956" s="111"/>
      <c r="K956" s="112"/>
      <c r="L956" s="112"/>
      <c r="M956" s="112"/>
      <c r="N956" s="112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</row>
    <row r="957" spans="1:30" ht="12" customHeight="1">
      <c r="A957" s="108"/>
      <c r="B957" s="108"/>
      <c r="C957" s="109"/>
      <c r="D957" s="109"/>
      <c r="E957" s="109"/>
      <c r="F957" s="109"/>
      <c r="G957" s="109"/>
      <c r="H957" s="109"/>
      <c r="I957" s="111"/>
      <c r="J957" s="111"/>
      <c r="K957" s="112"/>
      <c r="L957" s="112"/>
      <c r="M957" s="112"/>
      <c r="N957" s="112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</row>
    <row r="958" spans="1:30" ht="12" customHeight="1">
      <c r="A958" s="108"/>
      <c r="B958" s="108"/>
      <c r="C958" s="109"/>
      <c r="D958" s="109"/>
      <c r="E958" s="109"/>
      <c r="F958" s="109"/>
      <c r="G958" s="109"/>
      <c r="H958" s="109"/>
      <c r="I958" s="111"/>
      <c r="J958" s="111"/>
      <c r="K958" s="112"/>
      <c r="L958" s="112"/>
      <c r="M958" s="112"/>
      <c r="N958" s="112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</row>
    <row r="959" spans="1:30" ht="12" customHeight="1">
      <c r="A959" s="108"/>
      <c r="B959" s="108"/>
      <c r="C959" s="109"/>
      <c r="D959" s="109"/>
      <c r="E959" s="109"/>
      <c r="F959" s="109"/>
      <c r="G959" s="109"/>
      <c r="H959" s="109"/>
      <c r="I959" s="111"/>
      <c r="J959" s="111"/>
      <c r="K959" s="112"/>
      <c r="L959" s="112"/>
      <c r="M959" s="112"/>
      <c r="N959" s="112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</row>
    <row r="960" spans="1:30" ht="12" customHeight="1">
      <c r="A960" s="108"/>
      <c r="B960" s="108"/>
      <c r="C960" s="109"/>
      <c r="D960" s="109"/>
      <c r="E960" s="109"/>
      <c r="F960" s="109"/>
      <c r="G960" s="109"/>
      <c r="H960" s="109"/>
      <c r="I960" s="111"/>
      <c r="J960" s="111"/>
      <c r="K960" s="112"/>
      <c r="L960" s="112"/>
      <c r="M960" s="112"/>
      <c r="N960" s="112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</row>
    <row r="961" spans="1:30" ht="12" customHeight="1">
      <c r="A961" s="108"/>
      <c r="B961" s="108"/>
      <c r="C961" s="109"/>
      <c r="D961" s="109"/>
      <c r="E961" s="109"/>
      <c r="F961" s="109"/>
      <c r="G961" s="109"/>
      <c r="H961" s="109"/>
      <c r="I961" s="111"/>
      <c r="J961" s="111"/>
      <c r="K961" s="112"/>
      <c r="L961" s="112"/>
      <c r="M961" s="112"/>
      <c r="N961" s="112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</row>
    <row r="962" spans="1:30" ht="12" customHeight="1">
      <c r="A962" s="108"/>
      <c r="B962" s="108"/>
      <c r="C962" s="109"/>
      <c r="D962" s="109"/>
      <c r="E962" s="109"/>
      <c r="F962" s="109"/>
      <c r="G962" s="109"/>
      <c r="H962" s="109"/>
      <c r="I962" s="111"/>
      <c r="J962" s="111"/>
      <c r="K962" s="112"/>
      <c r="L962" s="112"/>
      <c r="M962" s="112"/>
      <c r="N962" s="112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</row>
    <row r="963" spans="1:30" ht="12" customHeight="1">
      <c r="A963" s="108"/>
      <c r="B963" s="108"/>
      <c r="C963" s="109"/>
      <c r="D963" s="109"/>
      <c r="E963" s="109"/>
      <c r="F963" s="109"/>
      <c r="G963" s="109"/>
      <c r="H963" s="109"/>
      <c r="I963" s="111"/>
      <c r="J963" s="111"/>
      <c r="K963" s="112"/>
      <c r="L963" s="112"/>
      <c r="M963" s="112"/>
      <c r="N963" s="112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</row>
    <row r="964" spans="1:30" ht="12" customHeight="1">
      <c r="A964" s="108"/>
      <c r="B964" s="108"/>
      <c r="C964" s="109"/>
      <c r="D964" s="109"/>
      <c r="E964" s="109"/>
      <c r="F964" s="109"/>
      <c r="G964" s="109"/>
      <c r="H964" s="109"/>
      <c r="I964" s="111"/>
      <c r="J964" s="111"/>
      <c r="K964" s="112"/>
      <c r="L964" s="112"/>
      <c r="M964" s="112"/>
      <c r="N964" s="112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</row>
    <row r="965" spans="1:30" ht="12" customHeight="1">
      <c r="A965" s="108"/>
      <c r="B965" s="108"/>
      <c r="C965" s="109"/>
      <c r="D965" s="109"/>
      <c r="E965" s="109"/>
      <c r="F965" s="109"/>
      <c r="G965" s="109"/>
      <c r="H965" s="109"/>
      <c r="I965" s="111"/>
      <c r="J965" s="111"/>
      <c r="K965" s="112"/>
      <c r="L965" s="112"/>
      <c r="M965" s="112"/>
      <c r="N965" s="112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</row>
    <row r="966" spans="1:30" ht="12" customHeight="1">
      <c r="A966" s="108"/>
      <c r="B966" s="108"/>
      <c r="C966" s="109"/>
      <c r="D966" s="109"/>
      <c r="E966" s="109"/>
      <c r="F966" s="109"/>
      <c r="G966" s="109"/>
      <c r="H966" s="109"/>
      <c r="I966" s="111"/>
      <c r="J966" s="111"/>
      <c r="K966" s="112"/>
      <c r="L966" s="112"/>
      <c r="M966" s="112"/>
      <c r="N966" s="112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</row>
    <row r="967" spans="1:30" ht="12" customHeight="1">
      <c r="A967" s="108"/>
      <c r="B967" s="108"/>
      <c r="C967" s="109"/>
      <c r="D967" s="109"/>
      <c r="E967" s="109"/>
      <c r="F967" s="109"/>
      <c r="G967" s="109"/>
      <c r="H967" s="109"/>
      <c r="I967" s="111"/>
      <c r="J967" s="111"/>
      <c r="K967" s="112"/>
      <c r="L967" s="112"/>
      <c r="M967" s="112"/>
      <c r="N967" s="112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</row>
    <row r="968" spans="1:30" ht="12" customHeight="1">
      <c r="A968" s="108"/>
      <c r="B968" s="108"/>
      <c r="C968" s="109"/>
      <c r="D968" s="109"/>
      <c r="E968" s="109"/>
      <c r="F968" s="109"/>
      <c r="G968" s="109"/>
      <c r="H968" s="109"/>
      <c r="I968" s="111"/>
      <c r="J968" s="111"/>
      <c r="K968" s="112"/>
      <c r="L968" s="112"/>
      <c r="M968" s="112"/>
      <c r="N968" s="112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</row>
    <row r="969" spans="1:30" ht="12" customHeight="1">
      <c r="A969" s="108"/>
      <c r="B969" s="108"/>
      <c r="C969" s="109"/>
      <c r="D969" s="109"/>
      <c r="E969" s="109"/>
      <c r="F969" s="109"/>
      <c r="G969" s="109"/>
      <c r="H969" s="109"/>
      <c r="I969" s="111"/>
      <c r="J969" s="111"/>
      <c r="K969" s="112"/>
      <c r="L969" s="112"/>
      <c r="M969" s="112"/>
      <c r="N969" s="112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</row>
    <row r="970" spans="1:30" ht="12" customHeight="1">
      <c r="A970" s="108"/>
      <c r="B970" s="108"/>
      <c r="C970" s="109"/>
      <c r="D970" s="109"/>
      <c r="E970" s="109"/>
      <c r="F970" s="109"/>
      <c r="G970" s="109"/>
      <c r="H970" s="109"/>
      <c r="I970" s="111"/>
      <c r="J970" s="111"/>
      <c r="K970" s="112"/>
      <c r="L970" s="112"/>
      <c r="M970" s="112"/>
      <c r="N970" s="112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</row>
    <row r="971" spans="1:30" ht="12" customHeight="1">
      <c r="A971" s="108"/>
      <c r="B971" s="108"/>
      <c r="C971" s="109"/>
      <c r="D971" s="109"/>
      <c r="E971" s="109"/>
      <c r="F971" s="109"/>
      <c r="G971" s="109"/>
      <c r="H971" s="109"/>
      <c r="I971" s="111"/>
      <c r="J971" s="111"/>
      <c r="K971" s="112"/>
      <c r="L971" s="112"/>
      <c r="M971" s="112"/>
      <c r="N971" s="112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</row>
    <row r="972" spans="1:30" ht="12" customHeight="1">
      <c r="A972" s="108"/>
      <c r="B972" s="108"/>
      <c r="C972" s="109"/>
      <c r="D972" s="109"/>
      <c r="E972" s="109"/>
      <c r="F972" s="109"/>
      <c r="G972" s="109"/>
      <c r="H972" s="109"/>
      <c r="I972" s="111"/>
      <c r="J972" s="111"/>
      <c r="K972" s="112"/>
      <c r="L972" s="112"/>
      <c r="M972" s="112"/>
      <c r="N972" s="112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</row>
    <row r="973" spans="1:30" ht="12" customHeight="1">
      <c r="A973" s="108"/>
      <c r="B973" s="108"/>
      <c r="C973" s="109"/>
      <c r="D973" s="109"/>
      <c r="E973" s="109"/>
      <c r="F973" s="109"/>
      <c r="G973" s="109"/>
      <c r="H973" s="109"/>
      <c r="I973" s="111"/>
      <c r="J973" s="111"/>
      <c r="K973" s="112"/>
      <c r="L973" s="112"/>
      <c r="M973" s="112"/>
      <c r="N973" s="112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</row>
    <row r="974" spans="1:30" ht="12" customHeight="1">
      <c r="A974" s="108"/>
      <c r="B974" s="108"/>
      <c r="C974" s="109"/>
      <c r="D974" s="109"/>
      <c r="E974" s="109"/>
      <c r="F974" s="109"/>
      <c r="G974" s="109"/>
      <c r="H974" s="109"/>
      <c r="I974" s="111"/>
      <c r="J974" s="111"/>
      <c r="K974" s="112"/>
      <c r="L974" s="112"/>
      <c r="M974" s="112"/>
      <c r="N974" s="112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</row>
    <row r="975" spans="1:30" ht="12" customHeight="1">
      <c r="A975" s="108"/>
      <c r="B975" s="108"/>
      <c r="C975" s="109"/>
      <c r="D975" s="109"/>
      <c r="E975" s="109"/>
      <c r="F975" s="109"/>
      <c r="G975" s="109"/>
      <c r="H975" s="109"/>
      <c r="I975" s="111"/>
      <c r="J975" s="111"/>
      <c r="K975" s="112"/>
      <c r="L975" s="112"/>
      <c r="M975" s="112"/>
      <c r="N975" s="112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</row>
    <row r="976" spans="1:30" ht="12" customHeight="1">
      <c r="A976" s="108"/>
      <c r="B976" s="108"/>
      <c r="C976" s="109"/>
      <c r="D976" s="109"/>
      <c r="E976" s="109"/>
      <c r="F976" s="109"/>
      <c r="G976" s="109"/>
      <c r="H976" s="109"/>
      <c r="I976" s="111"/>
      <c r="J976" s="111"/>
      <c r="K976" s="112"/>
      <c r="L976" s="112"/>
      <c r="M976" s="112"/>
      <c r="N976" s="112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</row>
    <row r="977" spans="1:30" ht="12" customHeight="1">
      <c r="A977" s="108"/>
      <c r="B977" s="108"/>
      <c r="C977" s="109"/>
      <c r="D977" s="109"/>
      <c r="E977" s="109"/>
      <c r="F977" s="109"/>
      <c r="G977" s="109"/>
      <c r="H977" s="109"/>
      <c r="I977" s="111"/>
      <c r="J977" s="111"/>
      <c r="K977" s="112"/>
      <c r="L977" s="112"/>
      <c r="M977" s="112"/>
      <c r="N977" s="112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</row>
    <row r="978" spans="1:30" ht="12" customHeight="1">
      <c r="A978" s="108"/>
      <c r="B978" s="108"/>
      <c r="C978" s="109"/>
      <c r="D978" s="109"/>
      <c r="E978" s="109"/>
      <c r="F978" s="109"/>
      <c r="G978" s="109"/>
      <c r="H978" s="109"/>
      <c r="I978" s="111"/>
      <c r="J978" s="111"/>
      <c r="K978" s="112"/>
      <c r="L978" s="112"/>
      <c r="M978" s="112"/>
      <c r="N978" s="112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</row>
    <row r="979" spans="1:30" ht="12" customHeight="1">
      <c r="A979" s="108"/>
      <c r="B979" s="108"/>
      <c r="C979" s="109"/>
      <c r="D979" s="109"/>
      <c r="E979" s="109"/>
      <c r="F979" s="109"/>
      <c r="G979" s="109"/>
      <c r="H979" s="109"/>
      <c r="I979" s="111"/>
      <c r="J979" s="111"/>
      <c r="K979" s="112"/>
      <c r="L979" s="112"/>
      <c r="M979" s="112"/>
      <c r="N979" s="112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</row>
    <row r="980" spans="1:30" ht="12" customHeight="1">
      <c r="A980" s="108"/>
      <c r="B980" s="108"/>
      <c r="C980" s="109"/>
      <c r="D980" s="109"/>
      <c r="E980" s="109"/>
      <c r="F980" s="109"/>
      <c r="G980" s="109"/>
      <c r="H980" s="109"/>
      <c r="I980" s="111"/>
      <c r="J980" s="111"/>
      <c r="K980" s="112"/>
      <c r="L980" s="112"/>
      <c r="M980" s="112"/>
      <c r="N980" s="112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</row>
    <row r="981" spans="1:30" ht="12" customHeight="1">
      <c r="A981" s="108"/>
      <c r="B981" s="108"/>
      <c r="C981" s="109"/>
      <c r="D981" s="109"/>
      <c r="E981" s="109"/>
      <c r="F981" s="109"/>
      <c r="G981" s="109"/>
      <c r="H981" s="109"/>
      <c r="I981" s="111"/>
      <c r="J981" s="111"/>
      <c r="K981" s="112"/>
      <c r="L981" s="112"/>
      <c r="M981" s="112"/>
      <c r="N981" s="112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</row>
    <row r="982" spans="1:30" ht="12" customHeight="1">
      <c r="A982" s="108"/>
      <c r="B982" s="108"/>
      <c r="C982" s="109"/>
      <c r="D982" s="109"/>
      <c r="E982" s="109"/>
      <c r="F982" s="109"/>
      <c r="G982" s="109"/>
      <c r="H982" s="109"/>
      <c r="I982" s="111"/>
      <c r="J982" s="111"/>
      <c r="K982" s="112"/>
      <c r="L982" s="112"/>
      <c r="M982" s="112"/>
      <c r="N982" s="112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</row>
    <row r="983" spans="1:30" ht="12" customHeight="1">
      <c r="A983" s="108"/>
      <c r="B983" s="108"/>
      <c r="C983" s="109"/>
      <c r="D983" s="109"/>
      <c r="E983" s="109"/>
      <c r="F983" s="109"/>
      <c r="G983" s="109"/>
      <c r="H983" s="109"/>
      <c r="I983" s="111"/>
      <c r="J983" s="111"/>
      <c r="K983" s="112"/>
      <c r="L983" s="112"/>
      <c r="M983" s="112"/>
      <c r="N983" s="112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</row>
    <row r="984" spans="1:30" ht="12" customHeight="1">
      <c r="A984" s="108"/>
      <c r="B984" s="108"/>
      <c r="C984" s="109"/>
      <c r="D984" s="109"/>
      <c r="E984" s="109"/>
      <c r="F984" s="109"/>
      <c r="G984" s="109"/>
      <c r="H984" s="109"/>
      <c r="I984" s="111"/>
      <c r="J984" s="111"/>
      <c r="K984" s="112"/>
      <c r="L984" s="112"/>
      <c r="M984" s="112"/>
      <c r="N984" s="112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</row>
    <row r="985" spans="1:30" ht="12" customHeight="1">
      <c r="A985" s="108"/>
      <c r="B985" s="108"/>
      <c r="C985" s="109"/>
      <c r="D985" s="109"/>
      <c r="E985" s="109"/>
      <c r="F985" s="109"/>
      <c r="G985" s="109"/>
      <c r="H985" s="109"/>
      <c r="I985" s="111"/>
      <c r="J985" s="111"/>
      <c r="K985" s="112"/>
      <c r="L985" s="112"/>
      <c r="M985" s="112"/>
      <c r="N985" s="112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</row>
    <row r="986" spans="1:30" ht="12" customHeight="1">
      <c r="A986" s="108"/>
      <c r="B986" s="108"/>
      <c r="C986" s="109"/>
      <c r="D986" s="109"/>
      <c r="E986" s="109"/>
      <c r="F986" s="109"/>
      <c r="G986" s="109"/>
      <c r="H986" s="109"/>
      <c r="I986" s="111"/>
      <c r="J986" s="111"/>
      <c r="K986" s="112"/>
      <c r="L986" s="112"/>
      <c r="M986" s="112"/>
      <c r="N986" s="112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</row>
    <row r="987" spans="1:30" ht="12" customHeight="1">
      <c r="A987" s="108"/>
      <c r="B987" s="108"/>
      <c r="C987" s="109"/>
      <c r="D987" s="109"/>
      <c r="E987" s="109"/>
      <c r="F987" s="109"/>
      <c r="G987" s="109"/>
      <c r="H987" s="109"/>
      <c r="I987" s="111"/>
      <c r="J987" s="111"/>
      <c r="K987" s="112"/>
      <c r="L987" s="112"/>
      <c r="M987" s="112"/>
      <c r="N987" s="112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</row>
    <row r="988" spans="1:30" ht="12" customHeight="1">
      <c r="A988" s="108"/>
      <c r="B988" s="108"/>
      <c r="C988" s="109"/>
      <c r="D988" s="109"/>
      <c r="E988" s="109"/>
      <c r="F988" s="109"/>
      <c r="G988" s="109"/>
      <c r="H988" s="109"/>
      <c r="I988" s="111"/>
      <c r="J988" s="111"/>
      <c r="K988" s="112"/>
      <c r="L988" s="112"/>
      <c r="M988" s="112"/>
      <c r="N988" s="112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</row>
    <row r="989" spans="1:30" ht="12" customHeight="1">
      <c r="A989" s="108"/>
      <c r="B989" s="108"/>
      <c r="C989" s="109"/>
      <c r="D989" s="109"/>
      <c r="E989" s="109"/>
      <c r="F989" s="109"/>
      <c r="G989" s="109"/>
      <c r="H989" s="109"/>
      <c r="I989" s="111"/>
      <c r="J989" s="111"/>
      <c r="K989" s="112"/>
      <c r="L989" s="112"/>
      <c r="M989" s="112"/>
      <c r="N989" s="112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</row>
    <row r="990" spans="1:30" ht="12" customHeight="1">
      <c r="A990" s="108"/>
      <c r="B990" s="108"/>
      <c r="C990" s="109"/>
      <c r="D990" s="109"/>
      <c r="E990" s="109"/>
      <c r="F990" s="109"/>
      <c r="G990" s="109"/>
      <c r="H990" s="109"/>
      <c r="I990" s="111"/>
      <c r="J990" s="111"/>
      <c r="K990" s="112"/>
      <c r="L990" s="112"/>
      <c r="M990" s="112"/>
      <c r="N990" s="112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</row>
    <row r="991" spans="1:30" ht="12" customHeight="1">
      <c r="A991" s="108"/>
      <c r="B991" s="108"/>
      <c r="C991" s="109"/>
      <c r="D991" s="109"/>
      <c r="E991" s="109"/>
      <c r="F991" s="109"/>
      <c r="G991" s="109"/>
      <c r="H991" s="109"/>
      <c r="I991" s="111"/>
      <c r="J991" s="111"/>
      <c r="K991" s="112"/>
      <c r="L991" s="112"/>
      <c r="M991" s="112"/>
      <c r="N991" s="112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</row>
    <row r="992" spans="1:30" ht="12" customHeight="1">
      <c r="A992" s="108"/>
      <c r="B992" s="108"/>
      <c r="C992" s="109"/>
      <c r="D992" s="109"/>
      <c r="E992" s="109"/>
      <c r="F992" s="109"/>
      <c r="G992" s="109"/>
      <c r="H992" s="109"/>
      <c r="I992" s="111"/>
      <c r="J992" s="111"/>
      <c r="K992" s="112"/>
      <c r="L992" s="112"/>
      <c r="M992" s="112"/>
      <c r="N992" s="112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</row>
    <row r="993" spans="1:30" ht="12" customHeight="1">
      <c r="A993" s="108"/>
      <c r="B993" s="108"/>
      <c r="C993" s="109"/>
      <c r="D993" s="109"/>
      <c r="E993" s="109"/>
      <c r="F993" s="109"/>
      <c r="G993" s="109"/>
      <c r="H993" s="109"/>
      <c r="I993" s="111"/>
      <c r="J993" s="111"/>
      <c r="K993" s="112"/>
      <c r="L993" s="112"/>
      <c r="M993" s="112"/>
      <c r="N993" s="112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</row>
    <row r="994" spans="1:30" ht="12" customHeight="1">
      <c r="A994" s="108"/>
      <c r="B994" s="108"/>
      <c r="C994" s="109"/>
      <c r="D994" s="109"/>
      <c r="E994" s="109"/>
      <c r="F994" s="109"/>
      <c r="G994" s="109"/>
      <c r="H994" s="109"/>
      <c r="I994" s="111"/>
      <c r="J994" s="111"/>
      <c r="K994" s="112"/>
      <c r="L994" s="112"/>
      <c r="M994" s="112"/>
      <c r="N994" s="112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</row>
    <row r="995" spans="1:30" ht="12" customHeight="1">
      <c r="A995" s="108"/>
      <c r="B995" s="108"/>
      <c r="C995" s="109"/>
      <c r="D995" s="109"/>
      <c r="E995" s="109"/>
      <c r="F995" s="109"/>
      <c r="G995" s="109"/>
      <c r="H995" s="109"/>
      <c r="I995" s="111"/>
      <c r="J995" s="111"/>
      <c r="K995" s="112"/>
      <c r="L995" s="112"/>
      <c r="M995" s="112"/>
      <c r="N995" s="112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</row>
    <row r="996" spans="1:30" ht="12" customHeight="1">
      <c r="A996" s="108"/>
      <c r="B996" s="108"/>
      <c r="C996" s="109"/>
      <c r="D996" s="109"/>
      <c r="E996" s="109"/>
      <c r="F996" s="109"/>
      <c r="G996" s="109"/>
      <c r="H996" s="109"/>
      <c r="I996" s="111"/>
      <c r="J996" s="111"/>
      <c r="K996" s="112"/>
      <c r="L996" s="112"/>
      <c r="M996" s="112"/>
      <c r="N996" s="112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</row>
    <row r="997" spans="1:30" ht="12" customHeight="1">
      <c r="A997" s="108"/>
      <c r="B997" s="108"/>
      <c r="C997" s="109"/>
      <c r="D997" s="109"/>
      <c r="E997" s="109"/>
      <c r="F997" s="109"/>
      <c r="G997" s="109"/>
      <c r="H997" s="109"/>
      <c r="I997" s="111"/>
      <c r="J997" s="111"/>
      <c r="K997" s="112"/>
      <c r="L997" s="112"/>
      <c r="M997" s="112"/>
      <c r="N997" s="112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</row>
    <row r="998" spans="1:30" ht="12" customHeight="1">
      <c r="A998" s="108"/>
      <c r="B998" s="108"/>
      <c r="C998" s="109"/>
      <c r="D998" s="109"/>
      <c r="E998" s="109"/>
      <c r="F998" s="109"/>
      <c r="G998" s="109"/>
      <c r="H998" s="109"/>
      <c r="I998" s="111"/>
      <c r="J998" s="111"/>
      <c r="K998" s="112"/>
      <c r="L998" s="112"/>
      <c r="M998" s="112"/>
      <c r="N998" s="112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</row>
    <row r="999" spans="1:30" ht="12" customHeight="1">
      <c r="A999" s="108"/>
      <c r="B999" s="108"/>
      <c r="C999" s="109"/>
      <c r="D999" s="109"/>
      <c r="E999" s="109"/>
      <c r="F999" s="109"/>
      <c r="G999" s="109"/>
      <c r="H999" s="109"/>
      <c r="I999" s="111"/>
      <c r="J999" s="111"/>
      <c r="K999" s="112"/>
      <c r="L999" s="112"/>
      <c r="M999" s="112"/>
      <c r="N999" s="112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</row>
    <row r="1000" spans="1:30" ht="12" customHeight="1">
      <c r="A1000" s="108"/>
      <c r="B1000" s="108"/>
      <c r="C1000" s="109"/>
      <c r="D1000" s="109"/>
      <c r="E1000" s="109"/>
      <c r="F1000" s="109"/>
      <c r="G1000" s="109"/>
      <c r="H1000" s="109"/>
      <c r="I1000" s="111"/>
      <c r="J1000" s="111"/>
      <c r="K1000" s="112"/>
      <c r="L1000" s="112"/>
      <c r="M1000" s="112"/>
      <c r="N1000" s="112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</row>
  </sheetData>
  <autoFilter ref="A1:N11" xr:uid="{00000000-0009-0000-0000-000003000000}"/>
  <phoneticPr fontId="24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2B1A-A24C-D64B-80C2-5199714DDA88}">
  <dimension ref="A1:AL981"/>
  <sheetViews>
    <sheetView topLeftCell="C1" zoomScale="120" zoomScaleNormal="120" workbookViewId="0">
      <selection activeCell="H4" sqref="H4"/>
    </sheetView>
  </sheetViews>
  <sheetFormatPr baseColWidth="10" defaultColWidth="12.6640625" defaultRowHeight="15" customHeight="1"/>
  <cols>
    <col min="1" max="1" width="16" bestFit="1" customWidth="1"/>
    <col min="2" max="2" width="11.5" bestFit="1" customWidth="1"/>
    <col min="3" max="3" width="60.33203125" bestFit="1" customWidth="1"/>
    <col min="4" max="4" width="12" bestFit="1" customWidth="1"/>
    <col min="5" max="5" width="7.5" bestFit="1" customWidth="1"/>
    <col min="6" max="6" width="7.5" customWidth="1"/>
    <col min="7" max="7" width="5" bestFit="1" customWidth="1"/>
    <col min="8" max="8" width="6.6640625" bestFit="1" customWidth="1"/>
    <col min="9" max="9" width="14" bestFit="1" customWidth="1"/>
    <col min="10" max="10" width="12.5" bestFit="1" customWidth="1"/>
    <col min="11" max="11" width="12.5" style="209" bestFit="1" customWidth="1"/>
    <col min="12" max="13" width="8" customWidth="1"/>
    <col min="14" max="15" width="8.33203125" customWidth="1"/>
    <col min="16" max="31" width="7.6640625" customWidth="1"/>
    <col min="32" max="32" width="12.83203125" bestFit="1" customWidth="1"/>
    <col min="33" max="33" width="14" bestFit="1" customWidth="1"/>
    <col min="36" max="38" width="12.83203125" bestFit="1" customWidth="1"/>
  </cols>
  <sheetData>
    <row r="1" spans="1:38" s="160" customFormat="1" ht="14">
      <c r="A1" s="327" t="s">
        <v>158</v>
      </c>
      <c r="B1" s="327" t="s">
        <v>131</v>
      </c>
      <c r="C1" s="327" t="s">
        <v>565</v>
      </c>
      <c r="D1" s="327" t="s">
        <v>655</v>
      </c>
      <c r="E1" s="327" t="s">
        <v>547</v>
      </c>
      <c r="F1" s="327" t="s">
        <v>159</v>
      </c>
      <c r="G1" s="327" t="s">
        <v>656</v>
      </c>
      <c r="H1" s="327" t="s">
        <v>557</v>
      </c>
      <c r="I1" s="327" t="s">
        <v>560</v>
      </c>
      <c r="J1" s="327" t="s">
        <v>657</v>
      </c>
      <c r="K1" s="327" t="s">
        <v>556</v>
      </c>
      <c r="L1" s="327" t="s">
        <v>658</v>
      </c>
      <c r="M1" s="327" t="s">
        <v>561</v>
      </c>
      <c r="N1" s="327" t="s">
        <v>549</v>
      </c>
      <c r="O1" s="327" t="s">
        <v>134</v>
      </c>
      <c r="P1" s="327" t="s">
        <v>659</v>
      </c>
      <c r="Q1" s="327" t="s">
        <v>660</v>
      </c>
      <c r="R1" s="327" t="s">
        <v>135</v>
      </c>
      <c r="S1" s="327" t="s">
        <v>661</v>
      </c>
      <c r="T1" s="327" t="s">
        <v>662</v>
      </c>
      <c r="U1" s="327" t="s">
        <v>663</v>
      </c>
      <c r="V1" s="327" t="s">
        <v>664</v>
      </c>
      <c r="W1" s="327" t="s">
        <v>665</v>
      </c>
      <c r="X1" s="327" t="s">
        <v>666</v>
      </c>
      <c r="Y1" s="327" t="s">
        <v>667</v>
      </c>
      <c r="Z1" s="327" t="s">
        <v>668</v>
      </c>
      <c r="AA1" s="327" t="s">
        <v>669</v>
      </c>
      <c r="AB1" s="327" t="s">
        <v>670</v>
      </c>
      <c r="AC1" s="327" t="s">
        <v>671</v>
      </c>
      <c r="AD1" s="327" t="s">
        <v>672</v>
      </c>
      <c r="AE1" s="327" t="s">
        <v>673</v>
      </c>
      <c r="AF1" s="327" t="s">
        <v>674</v>
      </c>
      <c r="AG1" s="327" t="s">
        <v>675</v>
      </c>
      <c r="AH1" s="327" t="s">
        <v>676</v>
      </c>
      <c r="AI1" s="327" t="s">
        <v>677</v>
      </c>
      <c r="AJ1" s="327" t="s">
        <v>678</v>
      </c>
      <c r="AK1" s="327" t="s">
        <v>679</v>
      </c>
      <c r="AL1" s="327" t="s">
        <v>680</v>
      </c>
    </row>
    <row r="2" spans="1:38" s="160" customFormat="1" ht="11">
      <c r="A2" s="328" t="s">
        <v>1073</v>
      </c>
      <c r="B2" s="328" t="s">
        <v>1074</v>
      </c>
      <c r="C2" s="329">
        <v>46163.075162037036</v>
      </c>
      <c r="D2" s="328" t="s">
        <v>113</v>
      </c>
      <c r="E2" s="328" t="s">
        <v>573</v>
      </c>
      <c r="F2" s="328" t="s">
        <v>1075</v>
      </c>
      <c r="G2" s="328" t="s">
        <v>1076</v>
      </c>
      <c r="H2" s="328" t="s">
        <v>1075</v>
      </c>
      <c r="I2" s="329">
        <v>46154.444837962961</v>
      </c>
      <c r="J2" s="328" t="s">
        <v>684</v>
      </c>
      <c r="K2" s="328" t="s">
        <v>685</v>
      </c>
      <c r="L2" s="328" t="s">
        <v>1077</v>
      </c>
      <c r="M2" s="329">
        <v>46155.469537037032</v>
      </c>
      <c r="N2" s="328" t="s">
        <v>1078</v>
      </c>
      <c r="O2" s="328" t="s">
        <v>704</v>
      </c>
      <c r="P2" s="328" t="s">
        <v>188</v>
      </c>
      <c r="Q2" s="329"/>
      <c r="R2" s="328">
        <v>1</v>
      </c>
      <c r="S2" s="330">
        <v>6800</v>
      </c>
      <c r="T2" s="330">
        <v>0</v>
      </c>
      <c r="U2" s="330">
        <v>0</v>
      </c>
      <c r="V2" s="330">
        <v>0</v>
      </c>
      <c r="W2" s="330">
        <v>6800</v>
      </c>
      <c r="X2" s="330"/>
      <c r="Y2" s="330"/>
      <c r="Z2" s="330"/>
      <c r="AA2" s="328" t="s">
        <v>1079</v>
      </c>
      <c r="AB2" s="328" t="s">
        <v>687</v>
      </c>
      <c r="AC2" s="328" t="s">
        <v>688</v>
      </c>
      <c r="AD2" s="330">
        <v>3000</v>
      </c>
      <c r="AE2" s="330">
        <v>0</v>
      </c>
      <c r="AF2" s="330">
        <v>0</v>
      </c>
      <c r="AG2" s="329">
        <v>46153.763425925921</v>
      </c>
      <c r="AH2" s="328" t="s">
        <v>689</v>
      </c>
      <c r="AI2" s="328" t="s">
        <v>690</v>
      </c>
      <c r="AJ2" s="328">
        <v>-185</v>
      </c>
      <c r="AK2" s="328">
        <v>-204</v>
      </c>
      <c r="AL2" s="330">
        <v>6411</v>
      </c>
    </row>
    <row r="3" spans="1:38" ht="12" customHeight="1">
      <c r="A3" s="123"/>
      <c r="B3" s="123"/>
      <c r="C3" s="207" t="s">
        <v>229</v>
      </c>
      <c r="D3" s="123"/>
      <c r="E3" s="206">
        <f>S2</f>
        <v>6800</v>
      </c>
      <c r="F3" s="206"/>
      <c r="G3" s="206">
        <f>R2</f>
        <v>1</v>
      </c>
      <c r="H3" s="206">
        <f>AD2</f>
        <v>3000</v>
      </c>
      <c r="I3" s="206"/>
      <c r="J3" s="125"/>
      <c r="K3" s="206">
        <f>SUM(K2:K2)</f>
        <v>0</v>
      </c>
      <c r="L3" s="124"/>
      <c r="M3" s="124"/>
      <c r="N3" s="112"/>
      <c r="O3" s="112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</row>
    <row r="4" spans="1:38" ht="12" customHeight="1">
      <c r="A4" s="126"/>
      <c r="B4" s="127"/>
      <c r="C4" s="127"/>
      <c r="D4" s="127"/>
      <c r="E4" s="124"/>
      <c r="F4" s="124"/>
      <c r="H4" s="127"/>
      <c r="I4" s="127"/>
      <c r="J4" s="123"/>
      <c r="K4" s="267"/>
      <c r="L4" s="124"/>
      <c r="M4" s="124"/>
      <c r="N4" s="112"/>
      <c r="O4" s="112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</row>
    <row r="5" spans="1:38" ht="12" customHeight="1">
      <c r="A5" s="126"/>
      <c r="B5" s="127"/>
      <c r="C5" s="127"/>
      <c r="D5" s="127"/>
      <c r="E5" s="124"/>
      <c r="F5" s="124"/>
      <c r="G5" s="127"/>
      <c r="H5" s="127"/>
      <c r="I5" s="127"/>
      <c r="J5" s="123"/>
      <c r="K5" s="267"/>
      <c r="L5" s="124"/>
      <c r="M5" s="124"/>
      <c r="N5" s="112"/>
      <c r="O5" s="112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</row>
    <row r="6" spans="1:38" ht="12" customHeight="1">
      <c r="A6" s="123"/>
      <c r="B6" s="127"/>
      <c r="C6" s="127"/>
      <c r="D6" s="127"/>
      <c r="E6" s="124"/>
      <c r="F6" s="124"/>
      <c r="G6" s="127"/>
      <c r="H6" s="127"/>
      <c r="I6" s="127"/>
      <c r="J6" s="123"/>
      <c r="K6" s="267"/>
      <c r="L6" s="124"/>
      <c r="M6" s="124"/>
      <c r="N6" s="112"/>
      <c r="O6" s="112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</row>
    <row r="7" spans="1:38" ht="12" customHeight="1">
      <c r="A7" s="125"/>
      <c r="B7" s="109"/>
      <c r="C7" s="123"/>
      <c r="D7" s="123"/>
      <c r="E7" s="112"/>
      <c r="F7" s="112"/>
      <c r="G7" s="123"/>
      <c r="H7" s="123"/>
      <c r="I7" s="123"/>
      <c r="J7" s="111"/>
      <c r="K7" s="267"/>
      <c r="L7" s="112"/>
      <c r="M7" s="112"/>
      <c r="N7" s="112"/>
      <c r="O7" s="112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</row>
    <row r="8" spans="1:38" ht="12" customHeight="1">
      <c r="A8" s="125"/>
      <c r="B8" s="109"/>
      <c r="C8" s="123"/>
      <c r="D8" s="123"/>
      <c r="E8" s="112"/>
      <c r="F8" s="112"/>
      <c r="G8" s="123"/>
      <c r="H8" s="123"/>
      <c r="I8" s="123"/>
      <c r="J8" s="111"/>
      <c r="K8" s="267"/>
      <c r="L8" s="112"/>
      <c r="M8" s="112"/>
      <c r="N8" s="112"/>
      <c r="O8" s="112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</row>
    <row r="9" spans="1:38" ht="12" customHeight="1">
      <c r="A9" s="108"/>
      <c r="B9" s="109"/>
      <c r="C9" s="109"/>
      <c r="D9" s="109"/>
      <c r="E9" s="112"/>
      <c r="F9" s="112"/>
      <c r="G9" s="109"/>
      <c r="H9" s="109"/>
      <c r="I9" s="109"/>
      <c r="J9" s="111"/>
      <c r="K9" s="268"/>
      <c r="L9" s="112"/>
      <c r="M9" s="112"/>
      <c r="N9" s="112"/>
      <c r="O9" s="112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</row>
    <row r="10" spans="1:38" ht="12" customHeight="1">
      <c r="A10" s="108"/>
      <c r="B10" s="109"/>
      <c r="C10" s="109"/>
      <c r="D10" s="109"/>
      <c r="E10" s="112"/>
      <c r="F10" s="112"/>
      <c r="G10" s="109"/>
      <c r="H10" s="109"/>
      <c r="I10" s="109"/>
      <c r="J10" s="111"/>
      <c r="K10" s="268"/>
      <c r="L10" s="112"/>
      <c r="M10" s="112"/>
      <c r="N10" s="112"/>
      <c r="O10" s="112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</row>
    <row r="11" spans="1:38" ht="12" customHeight="1">
      <c r="A11" s="108"/>
      <c r="B11" s="109"/>
      <c r="C11" s="109"/>
      <c r="D11" s="109"/>
      <c r="E11" s="112"/>
      <c r="F11" s="112"/>
      <c r="G11" s="109"/>
      <c r="H11" s="109"/>
      <c r="I11" s="109"/>
      <c r="J11" s="111"/>
      <c r="K11" s="268"/>
      <c r="L11" s="112"/>
      <c r="M11" s="112"/>
      <c r="N11" s="112"/>
      <c r="O11" s="112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</row>
    <row r="12" spans="1:38" ht="12" customHeight="1">
      <c r="A12" s="108"/>
      <c r="B12" s="109"/>
      <c r="C12" s="109"/>
      <c r="D12" s="109"/>
      <c r="E12" s="112"/>
      <c r="F12" s="112"/>
      <c r="G12" s="109"/>
      <c r="H12" s="109"/>
      <c r="I12" s="109"/>
      <c r="J12" s="111"/>
      <c r="K12" s="268"/>
      <c r="L12" s="112"/>
      <c r="M12" s="112"/>
      <c r="N12" s="112"/>
      <c r="O12" s="112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</row>
    <row r="13" spans="1:38" ht="12" customHeight="1">
      <c r="A13" s="108"/>
      <c r="B13" s="109"/>
      <c r="C13" s="109"/>
      <c r="D13" s="109"/>
      <c r="E13" s="112"/>
      <c r="F13" s="112"/>
      <c r="G13" s="109"/>
      <c r="H13" s="109"/>
      <c r="I13" s="109"/>
      <c r="J13" s="111"/>
      <c r="K13" s="268"/>
      <c r="L13" s="112"/>
      <c r="M13" s="112"/>
      <c r="N13" s="112"/>
      <c r="O13" s="112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</row>
    <row r="14" spans="1:38" ht="12" customHeight="1">
      <c r="A14" s="108"/>
      <c r="B14" s="109"/>
      <c r="C14" s="109"/>
      <c r="D14" s="109"/>
      <c r="E14" s="112"/>
      <c r="F14" s="112"/>
      <c r="G14" s="109"/>
      <c r="H14" s="109"/>
      <c r="I14" s="109"/>
      <c r="J14" s="111"/>
      <c r="K14" s="268"/>
      <c r="L14" s="112"/>
      <c r="M14" s="112"/>
      <c r="N14" s="112"/>
      <c r="O14" s="112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</row>
    <row r="15" spans="1:38" ht="12" customHeight="1">
      <c r="A15" s="108"/>
      <c r="B15" s="109"/>
      <c r="C15" s="109"/>
      <c r="D15" s="109"/>
      <c r="E15" s="112"/>
      <c r="F15" s="112"/>
      <c r="G15" s="109"/>
      <c r="H15" s="109"/>
      <c r="I15" s="109"/>
      <c r="J15" s="111"/>
      <c r="K15" s="268"/>
      <c r="L15" s="112"/>
      <c r="M15" s="112"/>
      <c r="N15" s="112"/>
      <c r="O15" s="112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</row>
    <row r="16" spans="1:38" ht="12" customHeight="1">
      <c r="A16" s="108"/>
      <c r="B16" s="109"/>
      <c r="C16" s="109"/>
      <c r="D16" s="109"/>
      <c r="E16" s="112"/>
      <c r="F16" s="112"/>
      <c r="G16" s="109"/>
      <c r="H16" s="109"/>
      <c r="I16" s="109"/>
      <c r="J16" s="111"/>
      <c r="K16" s="268"/>
      <c r="L16" s="112"/>
      <c r="M16" s="112"/>
      <c r="N16" s="112"/>
      <c r="O16" s="112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</row>
    <row r="17" spans="1:31" ht="12" customHeight="1">
      <c r="A17" s="108"/>
      <c r="B17" s="109"/>
      <c r="C17" s="109"/>
      <c r="D17" s="109"/>
      <c r="E17" s="112"/>
      <c r="F17" s="112"/>
      <c r="G17" s="109"/>
      <c r="H17" s="109"/>
      <c r="I17" s="109"/>
      <c r="J17" s="111"/>
      <c r="K17" s="268"/>
      <c r="L17" s="112"/>
      <c r="M17" s="112"/>
      <c r="N17" s="112"/>
      <c r="O17" s="112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</row>
    <row r="18" spans="1:31" ht="12" customHeight="1">
      <c r="A18" s="108"/>
      <c r="B18" s="109"/>
      <c r="C18" s="109"/>
      <c r="D18" s="109"/>
      <c r="E18" s="112"/>
      <c r="F18" s="112"/>
      <c r="G18" s="109"/>
      <c r="H18" s="109"/>
      <c r="I18" s="109"/>
      <c r="J18" s="111"/>
      <c r="K18" s="268"/>
      <c r="L18" s="112"/>
      <c r="M18" s="112"/>
      <c r="N18" s="112"/>
      <c r="O18" s="112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</row>
    <row r="19" spans="1:31" ht="12" customHeight="1">
      <c r="A19" s="108"/>
      <c r="B19" s="109"/>
      <c r="C19" s="109"/>
      <c r="D19" s="109"/>
      <c r="E19" s="112"/>
      <c r="F19" s="112"/>
      <c r="G19" s="109"/>
      <c r="H19" s="109"/>
      <c r="I19" s="109"/>
      <c r="J19" s="111"/>
      <c r="K19" s="268"/>
      <c r="L19" s="112"/>
      <c r="M19" s="112"/>
      <c r="N19" s="112"/>
      <c r="O19" s="112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</row>
    <row r="20" spans="1:31" ht="12" customHeight="1">
      <c r="A20" s="108"/>
      <c r="B20" s="109"/>
      <c r="C20" s="109"/>
      <c r="D20" s="109"/>
      <c r="E20" s="112"/>
      <c r="F20" s="112"/>
      <c r="G20" s="109"/>
      <c r="H20" s="109"/>
      <c r="I20" s="109"/>
      <c r="J20" s="111"/>
      <c r="K20" s="268"/>
      <c r="L20" s="112"/>
      <c r="M20" s="112"/>
      <c r="N20" s="112"/>
      <c r="O20" s="112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</row>
    <row r="21" spans="1:31" ht="12" customHeight="1">
      <c r="A21" s="108"/>
      <c r="B21" s="109"/>
      <c r="C21" s="109"/>
      <c r="D21" s="109"/>
      <c r="E21" s="112"/>
      <c r="F21" s="112"/>
      <c r="G21" s="109"/>
      <c r="H21" s="109"/>
      <c r="I21" s="109"/>
      <c r="J21" s="111"/>
      <c r="K21" s="268"/>
      <c r="L21" s="112"/>
      <c r="M21" s="112"/>
      <c r="N21" s="112"/>
      <c r="O21" s="112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</row>
    <row r="22" spans="1:31" ht="12" customHeight="1">
      <c r="A22" s="108"/>
      <c r="B22" s="109"/>
      <c r="C22" s="109"/>
      <c r="D22" s="109"/>
      <c r="E22" s="112"/>
      <c r="F22" s="112"/>
      <c r="G22" s="109"/>
      <c r="H22" s="109"/>
      <c r="I22" s="109"/>
      <c r="J22" s="111"/>
      <c r="K22" s="268"/>
      <c r="L22" s="112"/>
      <c r="M22" s="112"/>
      <c r="N22" s="112"/>
      <c r="O22" s="112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</row>
    <row r="23" spans="1:31" ht="12" customHeight="1">
      <c r="A23" s="108"/>
      <c r="B23" s="109"/>
      <c r="C23" s="109"/>
      <c r="D23" s="109"/>
      <c r="E23" s="112"/>
      <c r="F23" s="112"/>
      <c r="G23" s="109"/>
      <c r="H23" s="109"/>
      <c r="I23" s="109"/>
      <c r="J23" s="111"/>
      <c r="K23" s="268"/>
      <c r="L23" s="112"/>
      <c r="M23" s="112"/>
      <c r="N23" s="112"/>
      <c r="O23" s="112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</row>
    <row r="24" spans="1:31" ht="12" customHeight="1">
      <c r="A24" s="108"/>
      <c r="B24" s="109"/>
      <c r="C24" s="109"/>
      <c r="D24" s="109"/>
      <c r="E24" s="112"/>
      <c r="F24" s="112"/>
      <c r="G24" s="109"/>
      <c r="H24" s="109"/>
      <c r="I24" s="109"/>
      <c r="J24" s="111"/>
      <c r="K24" s="268"/>
      <c r="L24" s="112"/>
      <c r="M24" s="112"/>
      <c r="N24" s="112"/>
      <c r="O24" s="112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</row>
    <row r="25" spans="1:31" ht="12" customHeight="1">
      <c r="A25" s="108"/>
      <c r="B25" s="109"/>
      <c r="C25" s="109"/>
      <c r="D25" s="109"/>
      <c r="E25" s="112"/>
      <c r="F25" s="112"/>
      <c r="G25" s="109"/>
      <c r="H25" s="109"/>
      <c r="I25" s="109"/>
      <c r="J25" s="111"/>
      <c r="K25" s="268"/>
      <c r="L25" s="112"/>
      <c r="M25" s="112"/>
      <c r="N25" s="112"/>
      <c r="O25" s="112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</row>
    <row r="26" spans="1:31" ht="12" customHeight="1">
      <c r="A26" s="108"/>
      <c r="B26" s="109"/>
      <c r="C26" s="109"/>
      <c r="D26" s="109"/>
      <c r="E26" s="112"/>
      <c r="F26" s="112"/>
      <c r="G26" s="109"/>
      <c r="H26" s="109"/>
      <c r="I26" s="109"/>
      <c r="J26" s="111"/>
      <c r="K26" s="268"/>
      <c r="L26" s="112"/>
      <c r="M26" s="112"/>
      <c r="N26" s="112"/>
      <c r="O26" s="112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</row>
    <row r="27" spans="1:31" ht="12" customHeight="1">
      <c r="A27" s="108"/>
      <c r="B27" s="109"/>
      <c r="C27" s="109"/>
      <c r="D27" s="109"/>
      <c r="E27" s="112"/>
      <c r="F27" s="112"/>
      <c r="G27" s="109"/>
      <c r="H27" s="109"/>
      <c r="I27" s="109"/>
      <c r="J27" s="111"/>
      <c r="K27" s="268"/>
      <c r="L27" s="112"/>
      <c r="M27" s="112"/>
      <c r="N27" s="112"/>
      <c r="O27" s="112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</row>
    <row r="28" spans="1:31" ht="12" customHeight="1">
      <c r="A28" s="108"/>
      <c r="B28" s="109"/>
      <c r="C28" s="109"/>
      <c r="D28" s="109"/>
      <c r="E28" s="112"/>
      <c r="F28" s="112"/>
      <c r="G28" s="109"/>
      <c r="H28" s="109"/>
      <c r="I28" s="109"/>
      <c r="J28" s="111"/>
      <c r="K28" s="268"/>
      <c r="L28" s="112"/>
      <c r="M28" s="112"/>
      <c r="N28" s="112"/>
      <c r="O28" s="112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</row>
    <row r="29" spans="1:31" ht="12" customHeight="1">
      <c r="A29" s="108"/>
      <c r="B29" s="109"/>
      <c r="C29" s="109"/>
      <c r="D29" s="109"/>
      <c r="E29" s="112"/>
      <c r="F29" s="112"/>
      <c r="G29" s="109"/>
      <c r="H29" s="109"/>
      <c r="I29" s="109"/>
      <c r="J29" s="111"/>
      <c r="K29" s="268"/>
      <c r="L29" s="112"/>
      <c r="M29" s="112"/>
      <c r="N29" s="112"/>
      <c r="O29" s="112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</row>
    <row r="30" spans="1:31" ht="12" customHeight="1">
      <c r="A30" s="108"/>
      <c r="B30" s="109"/>
      <c r="C30" s="109"/>
      <c r="D30" s="109"/>
      <c r="E30" s="112"/>
      <c r="F30" s="112"/>
      <c r="G30" s="109"/>
      <c r="H30" s="109"/>
      <c r="I30" s="109"/>
      <c r="J30" s="111"/>
      <c r="K30" s="268"/>
      <c r="L30" s="112"/>
      <c r="M30" s="112"/>
      <c r="N30" s="112"/>
      <c r="O30" s="112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</row>
    <row r="31" spans="1:31" ht="12" customHeight="1">
      <c r="A31" s="108"/>
      <c r="B31" s="109"/>
      <c r="C31" s="109"/>
      <c r="D31" s="109"/>
      <c r="E31" s="112"/>
      <c r="F31" s="112"/>
      <c r="G31" s="109"/>
      <c r="H31" s="109"/>
      <c r="I31" s="109"/>
      <c r="J31" s="111"/>
      <c r="K31" s="268"/>
      <c r="L31" s="112"/>
      <c r="M31" s="112"/>
      <c r="N31" s="112"/>
      <c r="O31" s="112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</row>
    <row r="32" spans="1:31" ht="12" customHeight="1">
      <c r="A32" s="108"/>
      <c r="B32" s="109"/>
      <c r="C32" s="109"/>
      <c r="D32" s="109"/>
      <c r="E32" s="112"/>
      <c r="F32" s="112"/>
      <c r="G32" s="109"/>
      <c r="H32" s="109"/>
      <c r="I32" s="109"/>
      <c r="J32" s="111"/>
      <c r="K32" s="268"/>
      <c r="L32" s="112"/>
      <c r="M32" s="112"/>
      <c r="N32" s="112"/>
      <c r="O32" s="112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</row>
    <row r="33" spans="1:31" ht="12" customHeight="1">
      <c r="A33" s="108"/>
      <c r="B33" s="109"/>
      <c r="C33" s="109"/>
      <c r="D33" s="109"/>
      <c r="E33" s="112"/>
      <c r="F33" s="112"/>
      <c r="G33" s="109"/>
      <c r="H33" s="109"/>
      <c r="I33" s="109"/>
      <c r="J33" s="111"/>
      <c r="K33" s="268"/>
      <c r="L33" s="112"/>
      <c r="M33" s="112"/>
      <c r="N33" s="112"/>
      <c r="O33" s="112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</row>
    <row r="34" spans="1:31" ht="12" customHeight="1">
      <c r="A34" s="108"/>
      <c r="B34" s="109"/>
      <c r="C34" s="109"/>
      <c r="D34" s="109"/>
      <c r="E34" s="112"/>
      <c r="F34" s="112"/>
      <c r="G34" s="109"/>
      <c r="H34" s="109"/>
      <c r="I34" s="109"/>
      <c r="J34" s="111"/>
      <c r="K34" s="268"/>
      <c r="L34" s="112"/>
      <c r="M34" s="112"/>
      <c r="N34" s="112"/>
      <c r="O34" s="112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</row>
    <row r="35" spans="1:31" ht="12" customHeight="1">
      <c r="A35" s="108"/>
      <c r="B35" s="109"/>
      <c r="C35" s="109"/>
      <c r="D35" s="109"/>
      <c r="E35" s="112"/>
      <c r="F35" s="112"/>
      <c r="G35" s="109"/>
      <c r="H35" s="109"/>
      <c r="I35" s="109"/>
      <c r="J35" s="111"/>
      <c r="K35" s="268"/>
      <c r="L35" s="112"/>
      <c r="M35" s="112"/>
      <c r="N35" s="112"/>
      <c r="O35" s="112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</row>
    <row r="36" spans="1:31" ht="12" customHeight="1">
      <c r="A36" s="108"/>
      <c r="B36" s="109"/>
      <c r="C36" s="109"/>
      <c r="D36" s="109"/>
      <c r="E36" s="112"/>
      <c r="F36" s="112"/>
      <c r="G36" s="109"/>
      <c r="H36" s="109"/>
      <c r="I36" s="109"/>
      <c r="J36" s="111"/>
      <c r="K36" s="268"/>
      <c r="L36" s="112"/>
      <c r="M36" s="112"/>
      <c r="N36" s="112"/>
      <c r="O36" s="112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</row>
    <row r="37" spans="1:31" ht="12" customHeight="1">
      <c r="A37" s="108"/>
      <c r="B37" s="109"/>
      <c r="C37" s="109"/>
      <c r="D37" s="109"/>
      <c r="E37" s="112"/>
      <c r="F37" s="112"/>
      <c r="G37" s="109"/>
      <c r="H37" s="109"/>
      <c r="I37" s="109"/>
      <c r="J37" s="111"/>
      <c r="K37" s="268"/>
      <c r="L37" s="112"/>
      <c r="M37" s="112"/>
      <c r="N37" s="112"/>
      <c r="O37" s="112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</row>
    <row r="38" spans="1:31" ht="12" customHeight="1">
      <c r="A38" s="108"/>
      <c r="B38" s="109"/>
      <c r="C38" s="109"/>
      <c r="D38" s="109"/>
      <c r="E38" s="112"/>
      <c r="F38" s="112"/>
      <c r="G38" s="109"/>
      <c r="H38" s="109"/>
      <c r="I38" s="109"/>
      <c r="J38" s="111"/>
      <c r="K38" s="268"/>
      <c r="L38" s="112"/>
      <c r="M38" s="112"/>
      <c r="N38" s="112"/>
      <c r="O38" s="112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</row>
    <row r="39" spans="1:31" ht="12" customHeight="1">
      <c r="A39" s="108"/>
      <c r="B39" s="109"/>
      <c r="C39" s="109"/>
      <c r="D39" s="109"/>
      <c r="E39" s="112"/>
      <c r="F39" s="112"/>
      <c r="G39" s="109"/>
      <c r="H39" s="109"/>
      <c r="I39" s="109"/>
      <c r="J39" s="111"/>
      <c r="K39" s="268"/>
      <c r="L39" s="112"/>
      <c r="M39" s="112"/>
      <c r="N39" s="112"/>
      <c r="O39" s="112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</row>
    <row r="40" spans="1:31" ht="12" customHeight="1">
      <c r="A40" s="108"/>
      <c r="B40" s="109"/>
      <c r="C40" s="109"/>
      <c r="D40" s="109"/>
      <c r="E40" s="112"/>
      <c r="F40" s="112"/>
      <c r="G40" s="109"/>
      <c r="H40" s="109"/>
      <c r="I40" s="109"/>
      <c r="J40" s="111"/>
      <c r="K40" s="268"/>
      <c r="L40" s="112"/>
      <c r="M40" s="112"/>
      <c r="N40" s="112"/>
      <c r="O40" s="112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</row>
    <row r="41" spans="1:31" ht="12" customHeight="1">
      <c r="A41" s="108"/>
      <c r="B41" s="109"/>
      <c r="C41" s="109"/>
      <c r="D41" s="109"/>
      <c r="E41" s="112"/>
      <c r="F41" s="112"/>
      <c r="G41" s="109"/>
      <c r="H41" s="109"/>
      <c r="I41" s="109"/>
      <c r="J41" s="111"/>
      <c r="K41" s="268"/>
      <c r="L41" s="112"/>
      <c r="M41" s="112"/>
      <c r="N41" s="112"/>
      <c r="O41" s="112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</row>
    <row r="42" spans="1:31" ht="12" customHeight="1">
      <c r="A42" s="108"/>
      <c r="B42" s="109"/>
      <c r="C42" s="109"/>
      <c r="D42" s="109"/>
      <c r="E42" s="112"/>
      <c r="F42" s="112"/>
      <c r="G42" s="109"/>
      <c r="H42" s="109"/>
      <c r="I42" s="109"/>
      <c r="J42" s="111"/>
      <c r="K42" s="268"/>
      <c r="L42" s="112"/>
      <c r="M42" s="112"/>
      <c r="N42" s="112"/>
      <c r="O42" s="112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</row>
    <row r="43" spans="1:31" ht="12" customHeight="1">
      <c r="A43" s="108"/>
      <c r="B43" s="109"/>
      <c r="C43" s="109"/>
      <c r="D43" s="109"/>
      <c r="E43" s="112"/>
      <c r="F43" s="112"/>
      <c r="G43" s="109"/>
      <c r="H43" s="109"/>
      <c r="I43" s="109"/>
      <c r="J43" s="111"/>
      <c r="K43" s="268"/>
      <c r="L43" s="112"/>
      <c r="M43" s="112"/>
      <c r="N43" s="112"/>
      <c r="O43" s="112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</row>
    <row r="44" spans="1:31" ht="12" customHeight="1">
      <c r="A44" s="108"/>
      <c r="B44" s="109"/>
      <c r="C44" s="109"/>
      <c r="D44" s="109"/>
      <c r="E44" s="112"/>
      <c r="F44" s="112"/>
      <c r="G44" s="109"/>
      <c r="H44" s="109"/>
      <c r="I44" s="109"/>
      <c r="J44" s="111"/>
      <c r="K44" s="268"/>
      <c r="L44" s="112"/>
      <c r="M44" s="112"/>
      <c r="N44" s="112"/>
      <c r="O44" s="112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</row>
    <row r="45" spans="1:31" ht="12" customHeight="1">
      <c r="A45" s="108"/>
      <c r="B45" s="109"/>
      <c r="C45" s="109"/>
      <c r="D45" s="109"/>
      <c r="E45" s="112"/>
      <c r="F45" s="112"/>
      <c r="G45" s="109"/>
      <c r="H45" s="109"/>
      <c r="I45" s="109"/>
      <c r="J45" s="111"/>
      <c r="K45" s="268"/>
      <c r="L45" s="112"/>
      <c r="M45" s="112"/>
      <c r="N45" s="112"/>
      <c r="O45" s="112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</row>
    <row r="46" spans="1:31" ht="12" customHeight="1">
      <c r="A46" s="108"/>
      <c r="B46" s="109"/>
      <c r="C46" s="109"/>
      <c r="D46" s="109"/>
      <c r="E46" s="112"/>
      <c r="F46" s="112"/>
      <c r="G46" s="109"/>
      <c r="H46" s="109"/>
      <c r="I46" s="109"/>
      <c r="J46" s="111"/>
      <c r="K46" s="268"/>
      <c r="L46" s="112"/>
      <c r="M46" s="112"/>
      <c r="N46" s="112"/>
      <c r="O46" s="112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</row>
    <row r="47" spans="1:31" ht="12" customHeight="1">
      <c r="A47" s="108"/>
      <c r="B47" s="109"/>
      <c r="C47" s="109"/>
      <c r="D47" s="109"/>
      <c r="E47" s="112"/>
      <c r="F47" s="112"/>
      <c r="G47" s="109"/>
      <c r="H47" s="109"/>
      <c r="I47" s="109"/>
      <c r="J47" s="111"/>
      <c r="K47" s="268"/>
      <c r="L47" s="112"/>
      <c r="M47" s="112"/>
      <c r="N47" s="112"/>
      <c r="O47" s="112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</row>
    <row r="48" spans="1:31" ht="12" customHeight="1">
      <c r="A48" s="108"/>
      <c r="B48" s="109"/>
      <c r="C48" s="109"/>
      <c r="D48" s="109"/>
      <c r="E48" s="112"/>
      <c r="F48" s="112"/>
      <c r="G48" s="109"/>
      <c r="H48" s="109"/>
      <c r="I48" s="109"/>
      <c r="J48" s="111"/>
      <c r="K48" s="268"/>
      <c r="L48" s="112"/>
      <c r="M48" s="112"/>
      <c r="N48" s="112"/>
      <c r="O48" s="112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</row>
    <row r="49" spans="1:31" ht="12" customHeight="1">
      <c r="A49" s="108"/>
      <c r="B49" s="109"/>
      <c r="C49" s="109"/>
      <c r="D49" s="109"/>
      <c r="E49" s="112"/>
      <c r="F49" s="112"/>
      <c r="G49" s="109"/>
      <c r="H49" s="109"/>
      <c r="I49" s="109"/>
      <c r="J49" s="111"/>
      <c r="K49" s="268"/>
      <c r="L49" s="112"/>
      <c r="M49" s="112"/>
      <c r="N49" s="112"/>
      <c r="O49" s="112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</row>
    <row r="50" spans="1:31" ht="12" customHeight="1">
      <c r="A50" s="108"/>
      <c r="B50" s="109"/>
      <c r="C50" s="109"/>
      <c r="D50" s="109"/>
      <c r="E50" s="112"/>
      <c r="F50" s="112"/>
      <c r="G50" s="109"/>
      <c r="H50" s="109"/>
      <c r="I50" s="109"/>
      <c r="J50" s="111"/>
      <c r="K50" s="268"/>
      <c r="L50" s="112"/>
      <c r="M50" s="112"/>
      <c r="N50" s="112"/>
      <c r="O50" s="112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</row>
    <row r="51" spans="1:31" ht="12" customHeight="1">
      <c r="A51" s="108"/>
      <c r="B51" s="109"/>
      <c r="C51" s="109"/>
      <c r="D51" s="109"/>
      <c r="E51" s="112"/>
      <c r="F51" s="112"/>
      <c r="G51" s="109"/>
      <c r="H51" s="109"/>
      <c r="I51" s="109"/>
      <c r="J51" s="111"/>
      <c r="K51" s="268"/>
      <c r="L51" s="112"/>
      <c r="M51" s="112"/>
      <c r="N51" s="112"/>
      <c r="O51" s="112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</row>
    <row r="52" spans="1:31" ht="12" customHeight="1">
      <c r="A52" s="108"/>
      <c r="B52" s="109"/>
      <c r="C52" s="109"/>
      <c r="D52" s="109"/>
      <c r="E52" s="112"/>
      <c r="F52" s="112"/>
      <c r="G52" s="109"/>
      <c r="H52" s="109"/>
      <c r="I52" s="109"/>
      <c r="J52" s="111"/>
      <c r="K52" s="268"/>
      <c r="L52" s="112"/>
      <c r="M52" s="112"/>
      <c r="N52" s="112"/>
      <c r="O52" s="112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</row>
    <row r="53" spans="1:31" ht="12" customHeight="1">
      <c r="A53" s="108"/>
      <c r="B53" s="109"/>
      <c r="C53" s="109"/>
      <c r="D53" s="109"/>
      <c r="E53" s="112"/>
      <c r="F53" s="112"/>
      <c r="G53" s="109"/>
      <c r="H53" s="109"/>
      <c r="I53" s="109"/>
      <c r="J53" s="111"/>
      <c r="K53" s="268"/>
      <c r="L53" s="112"/>
      <c r="M53" s="112"/>
      <c r="N53" s="112"/>
      <c r="O53" s="112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</row>
    <row r="54" spans="1:31" ht="12" customHeight="1">
      <c r="A54" s="108"/>
      <c r="B54" s="109"/>
      <c r="C54" s="109"/>
      <c r="D54" s="109"/>
      <c r="E54" s="112"/>
      <c r="F54" s="112"/>
      <c r="G54" s="109"/>
      <c r="H54" s="109"/>
      <c r="I54" s="109"/>
      <c r="J54" s="111"/>
      <c r="K54" s="268"/>
      <c r="L54" s="112"/>
      <c r="M54" s="112"/>
      <c r="N54" s="112"/>
      <c r="O54" s="112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</row>
    <row r="55" spans="1:31" ht="12" customHeight="1">
      <c r="A55" s="108"/>
      <c r="B55" s="109"/>
      <c r="C55" s="109"/>
      <c r="D55" s="109"/>
      <c r="E55" s="112"/>
      <c r="F55" s="112"/>
      <c r="G55" s="109"/>
      <c r="H55" s="109"/>
      <c r="I55" s="109"/>
      <c r="J55" s="111"/>
      <c r="K55" s="268"/>
      <c r="L55" s="112"/>
      <c r="M55" s="112"/>
      <c r="N55" s="112"/>
      <c r="O55" s="112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</row>
    <row r="56" spans="1:31" ht="12" customHeight="1">
      <c r="A56" s="108"/>
      <c r="B56" s="109"/>
      <c r="C56" s="109"/>
      <c r="D56" s="109"/>
      <c r="E56" s="112"/>
      <c r="F56" s="112"/>
      <c r="G56" s="109"/>
      <c r="H56" s="109"/>
      <c r="I56" s="109"/>
      <c r="J56" s="111"/>
      <c r="K56" s="268"/>
      <c r="L56" s="112"/>
      <c r="M56" s="112"/>
      <c r="N56" s="112"/>
      <c r="O56" s="112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</row>
    <row r="57" spans="1:31" ht="12" customHeight="1">
      <c r="A57" s="108"/>
      <c r="B57" s="109"/>
      <c r="C57" s="109"/>
      <c r="D57" s="109"/>
      <c r="E57" s="112"/>
      <c r="F57" s="112"/>
      <c r="G57" s="109"/>
      <c r="H57" s="109"/>
      <c r="I57" s="109"/>
      <c r="J57" s="111"/>
      <c r="K57" s="268"/>
      <c r="L57" s="112"/>
      <c r="M57" s="112"/>
      <c r="N57" s="112"/>
      <c r="O57" s="112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</row>
    <row r="58" spans="1:31" ht="12" customHeight="1">
      <c r="A58" s="108"/>
      <c r="B58" s="109"/>
      <c r="C58" s="109"/>
      <c r="D58" s="109"/>
      <c r="E58" s="112"/>
      <c r="F58" s="112"/>
      <c r="G58" s="109"/>
      <c r="H58" s="109"/>
      <c r="I58" s="109"/>
      <c r="J58" s="111"/>
      <c r="K58" s="268"/>
      <c r="L58" s="112"/>
      <c r="M58" s="112"/>
      <c r="N58" s="112"/>
      <c r="O58" s="112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</row>
    <row r="59" spans="1:31" ht="12" customHeight="1">
      <c r="A59" s="108"/>
      <c r="B59" s="109"/>
      <c r="C59" s="109"/>
      <c r="D59" s="109"/>
      <c r="E59" s="112"/>
      <c r="F59" s="112"/>
      <c r="G59" s="109"/>
      <c r="H59" s="109"/>
      <c r="I59" s="109"/>
      <c r="J59" s="111"/>
      <c r="K59" s="268"/>
      <c r="L59" s="112"/>
      <c r="M59" s="112"/>
      <c r="N59" s="112"/>
      <c r="O59" s="112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</row>
    <row r="60" spans="1:31" ht="12" customHeight="1">
      <c r="A60" s="108"/>
      <c r="B60" s="109"/>
      <c r="C60" s="109"/>
      <c r="D60" s="109"/>
      <c r="E60" s="112"/>
      <c r="F60" s="112"/>
      <c r="G60" s="109"/>
      <c r="H60" s="109"/>
      <c r="I60" s="109"/>
      <c r="J60" s="111"/>
      <c r="K60" s="268"/>
      <c r="L60" s="112"/>
      <c r="M60" s="112"/>
      <c r="N60" s="112"/>
      <c r="O60" s="112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</row>
    <row r="61" spans="1:31" ht="12" customHeight="1">
      <c r="A61" s="108"/>
      <c r="B61" s="109"/>
      <c r="C61" s="109"/>
      <c r="D61" s="109"/>
      <c r="E61" s="112"/>
      <c r="F61" s="112"/>
      <c r="G61" s="109"/>
      <c r="H61" s="109"/>
      <c r="I61" s="109"/>
      <c r="J61" s="111"/>
      <c r="K61" s="268"/>
      <c r="L61" s="112"/>
      <c r="M61" s="112"/>
      <c r="N61" s="112"/>
      <c r="O61" s="112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</row>
    <row r="62" spans="1:31" ht="12" customHeight="1">
      <c r="A62" s="108"/>
      <c r="B62" s="109"/>
      <c r="C62" s="109"/>
      <c r="D62" s="109"/>
      <c r="E62" s="112"/>
      <c r="F62" s="112"/>
      <c r="G62" s="109"/>
      <c r="H62" s="109"/>
      <c r="I62" s="109"/>
      <c r="J62" s="111"/>
      <c r="K62" s="268"/>
      <c r="L62" s="112"/>
      <c r="M62" s="112"/>
      <c r="N62" s="112"/>
      <c r="O62" s="112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</row>
    <row r="63" spans="1:31" ht="12" customHeight="1">
      <c r="A63" s="108"/>
      <c r="B63" s="109"/>
      <c r="C63" s="109"/>
      <c r="D63" s="109"/>
      <c r="E63" s="112"/>
      <c r="F63" s="112"/>
      <c r="G63" s="109"/>
      <c r="H63" s="109"/>
      <c r="I63" s="109"/>
      <c r="J63" s="111"/>
      <c r="K63" s="268"/>
      <c r="L63" s="112"/>
      <c r="M63" s="112"/>
      <c r="N63" s="112"/>
      <c r="O63" s="112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</row>
    <row r="64" spans="1:31" ht="12" customHeight="1">
      <c r="A64" s="108"/>
      <c r="B64" s="109"/>
      <c r="C64" s="109"/>
      <c r="D64" s="109"/>
      <c r="E64" s="112"/>
      <c r="F64" s="112"/>
      <c r="G64" s="109"/>
      <c r="H64" s="109"/>
      <c r="I64" s="109"/>
      <c r="J64" s="111"/>
      <c r="K64" s="268"/>
      <c r="L64" s="112"/>
      <c r="M64" s="112"/>
      <c r="N64" s="112"/>
      <c r="O64" s="112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</row>
    <row r="65" spans="1:31" ht="12" customHeight="1">
      <c r="A65" s="108"/>
      <c r="B65" s="109"/>
      <c r="C65" s="109"/>
      <c r="D65" s="109"/>
      <c r="E65" s="112"/>
      <c r="F65" s="112"/>
      <c r="G65" s="109"/>
      <c r="H65" s="109"/>
      <c r="I65" s="109"/>
      <c r="J65" s="111"/>
      <c r="K65" s="268"/>
      <c r="L65" s="112"/>
      <c r="M65" s="112"/>
      <c r="N65" s="112"/>
      <c r="O65" s="112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</row>
    <row r="66" spans="1:31" ht="12" customHeight="1">
      <c r="A66" s="108"/>
      <c r="B66" s="109"/>
      <c r="C66" s="109"/>
      <c r="D66" s="109"/>
      <c r="E66" s="112"/>
      <c r="F66" s="112"/>
      <c r="G66" s="109"/>
      <c r="H66" s="109"/>
      <c r="I66" s="109"/>
      <c r="J66" s="111"/>
      <c r="K66" s="268"/>
      <c r="L66" s="112"/>
      <c r="M66" s="112"/>
      <c r="N66" s="112"/>
      <c r="O66" s="112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</row>
    <row r="67" spans="1:31" ht="12" customHeight="1">
      <c r="A67" s="108"/>
      <c r="B67" s="109"/>
      <c r="C67" s="109"/>
      <c r="D67" s="109"/>
      <c r="E67" s="112"/>
      <c r="F67" s="112"/>
      <c r="G67" s="109"/>
      <c r="H67" s="109"/>
      <c r="I67" s="109"/>
      <c r="J67" s="111"/>
      <c r="K67" s="268"/>
      <c r="L67" s="112"/>
      <c r="M67" s="112"/>
      <c r="N67" s="112"/>
      <c r="O67" s="112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</row>
    <row r="68" spans="1:31" ht="12" customHeight="1">
      <c r="A68" s="108"/>
      <c r="B68" s="109"/>
      <c r="C68" s="109"/>
      <c r="D68" s="109"/>
      <c r="E68" s="112"/>
      <c r="F68" s="112"/>
      <c r="G68" s="109"/>
      <c r="H68" s="109"/>
      <c r="I68" s="109"/>
      <c r="J68" s="111"/>
      <c r="K68" s="268"/>
      <c r="L68" s="112"/>
      <c r="M68" s="112"/>
      <c r="N68" s="112"/>
      <c r="O68" s="112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</row>
    <row r="69" spans="1:31" ht="12" customHeight="1">
      <c r="A69" s="108"/>
      <c r="B69" s="109"/>
      <c r="C69" s="109"/>
      <c r="D69" s="109"/>
      <c r="E69" s="112"/>
      <c r="F69" s="112"/>
      <c r="G69" s="109"/>
      <c r="H69" s="109"/>
      <c r="I69" s="109"/>
      <c r="J69" s="111"/>
      <c r="K69" s="268"/>
      <c r="L69" s="112"/>
      <c r="M69" s="112"/>
      <c r="N69" s="112"/>
      <c r="O69" s="112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</row>
    <row r="70" spans="1:31" ht="12" customHeight="1">
      <c r="A70" s="108"/>
      <c r="B70" s="109"/>
      <c r="C70" s="109"/>
      <c r="D70" s="109"/>
      <c r="E70" s="112"/>
      <c r="F70" s="112"/>
      <c r="G70" s="109"/>
      <c r="H70" s="109"/>
      <c r="I70" s="109"/>
      <c r="J70" s="111"/>
      <c r="K70" s="268"/>
      <c r="L70" s="112"/>
      <c r="M70" s="112"/>
      <c r="N70" s="112"/>
      <c r="O70" s="112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</row>
    <row r="71" spans="1:31" ht="12" customHeight="1">
      <c r="A71" s="108"/>
      <c r="B71" s="109"/>
      <c r="C71" s="109"/>
      <c r="D71" s="109"/>
      <c r="E71" s="112"/>
      <c r="F71" s="112"/>
      <c r="G71" s="109"/>
      <c r="H71" s="109"/>
      <c r="I71" s="109"/>
      <c r="J71" s="111"/>
      <c r="K71" s="268"/>
      <c r="L71" s="112"/>
      <c r="M71" s="112"/>
      <c r="N71" s="112"/>
      <c r="O71" s="112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</row>
    <row r="72" spans="1:31" ht="12" customHeight="1">
      <c r="A72" s="108"/>
      <c r="B72" s="109"/>
      <c r="C72" s="109"/>
      <c r="D72" s="109"/>
      <c r="E72" s="112"/>
      <c r="F72" s="112"/>
      <c r="G72" s="109"/>
      <c r="H72" s="109"/>
      <c r="I72" s="109"/>
      <c r="J72" s="111"/>
      <c r="K72" s="268"/>
      <c r="L72" s="112"/>
      <c r="M72" s="112"/>
      <c r="N72" s="112"/>
      <c r="O72" s="112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</row>
    <row r="73" spans="1:31" ht="12" customHeight="1">
      <c r="A73" s="108"/>
      <c r="B73" s="109"/>
      <c r="C73" s="109"/>
      <c r="D73" s="109"/>
      <c r="E73" s="112"/>
      <c r="F73" s="112"/>
      <c r="G73" s="109"/>
      <c r="H73" s="109"/>
      <c r="I73" s="109"/>
      <c r="J73" s="111"/>
      <c r="K73" s="268"/>
      <c r="L73" s="112"/>
      <c r="M73" s="112"/>
      <c r="N73" s="112"/>
      <c r="O73" s="112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</row>
    <row r="74" spans="1:31" ht="12" customHeight="1">
      <c r="A74" s="108"/>
      <c r="B74" s="109"/>
      <c r="C74" s="109"/>
      <c r="D74" s="109"/>
      <c r="E74" s="112"/>
      <c r="F74" s="112"/>
      <c r="G74" s="109"/>
      <c r="H74" s="109"/>
      <c r="I74" s="109"/>
      <c r="J74" s="111"/>
      <c r="K74" s="268"/>
      <c r="L74" s="112"/>
      <c r="M74" s="112"/>
      <c r="N74" s="112"/>
      <c r="O74" s="112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</row>
    <row r="75" spans="1:31" ht="12" customHeight="1">
      <c r="A75" s="108"/>
      <c r="B75" s="109"/>
      <c r="C75" s="109"/>
      <c r="D75" s="109"/>
      <c r="E75" s="112"/>
      <c r="F75" s="112"/>
      <c r="G75" s="109"/>
      <c r="H75" s="109"/>
      <c r="I75" s="109"/>
      <c r="J75" s="111"/>
      <c r="K75" s="268"/>
      <c r="L75" s="112"/>
      <c r="M75" s="112"/>
      <c r="N75" s="112"/>
      <c r="O75" s="112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</row>
    <row r="76" spans="1:31" ht="12" customHeight="1">
      <c r="A76" s="108"/>
      <c r="B76" s="109"/>
      <c r="C76" s="109"/>
      <c r="D76" s="109"/>
      <c r="E76" s="112"/>
      <c r="F76" s="112"/>
      <c r="G76" s="109"/>
      <c r="H76" s="109"/>
      <c r="I76" s="109"/>
      <c r="J76" s="111"/>
      <c r="K76" s="268"/>
      <c r="L76" s="112"/>
      <c r="M76" s="112"/>
      <c r="N76" s="112"/>
      <c r="O76" s="112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</row>
    <row r="77" spans="1:31" ht="12" customHeight="1">
      <c r="A77" s="108"/>
      <c r="B77" s="109"/>
      <c r="C77" s="109"/>
      <c r="D77" s="109"/>
      <c r="E77" s="112"/>
      <c r="F77" s="112"/>
      <c r="G77" s="109"/>
      <c r="H77" s="109"/>
      <c r="I77" s="109"/>
      <c r="J77" s="111"/>
      <c r="K77" s="268"/>
      <c r="L77" s="112"/>
      <c r="M77" s="112"/>
      <c r="N77" s="112"/>
      <c r="O77" s="112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</row>
    <row r="78" spans="1:31" ht="12" customHeight="1">
      <c r="A78" s="108"/>
      <c r="B78" s="109"/>
      <c r="C78" s="109"/>
      <c r="D78" s="109"/>
      <c r="E78" s="112"/>
      <c r="F78" s="112"/>
      <c r="G78" s="109"/>
      <c r="H78" s="109"/>
      <c r="I78" s="109"/>
      <c r="J78" s="111"/>
      <c r="K78" s="268"/>
      <c r="L78" s="112"/>
      <c r="M78" s="112"/>
      <c r="N78" s="112"/>
      <c r="O78" s="112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</row>
    <row r="79" spans="1:31" ht="12" customHeight="1">
      <c r="A79" s="108"/>
      <c r="B79" s="109"/>
      <c r="C79" s="109"/>
      <c r="D79" s="109"/>
      <c r="E79" s="112"/>
      <c r="F79" s="112"/>
      <c r="G79" s="109"/>
      <c r="H79" s="109"/>
      <c r="I79" s="109"/>
      <c r="J79" s="111"/>
      <c r="K79" s="268"/>
      <c r="L79" s="112"/>
      <c r="M79" s="112"/>
      <c r="N79" s="112"/>
      <c r="O79" s="112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</row>
    <row r="80" spans="1:31" ht="12" customHeight="1">
      <c r="A80" s="108"/>
      <c r="B80" s="109"/>
      <c r="C80" s="109"/>
      <c r="D80" s="109"/>
      <c r="E80" s="112"/>
      <c r="F80" s="112"/>
      <c r="G80" s="109"/>
      <c r="H80" s="109"/>
      <c r="I80" s="109"/>
      <c r="J80" s="111"/>
      <c r="K80" s="268"/>
      <c r="L80" s="112"/>
      <c r="M80" s="112"/>
      <c r="N80" s="112"/>
      <c r="O80" s="112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</row>
    <row r="81" spans="1:31" ht="12" customHeight="1">
      <c r="A81" s="108"/>
      <c r="B81" s="109"/>
      <c r="C81" s="109"/>
      <c r="D81" s="109"/>
      <c r="E81" s="112"/>
      <c r="F81" s="112"/>
      <c r="G81" s="109"/>
      <c r="H81" s="109"/>
      <c r="I81" s="109"/>
      <c r="J81" s="111"/>
      <c r="K81" s="268"/>
      <c r="L81" s="112"/>
      <c r="M81" s="112"/>
      <c r="N81" s="112"/>
      <c r="O81" s="112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</row>
    <row r="82" spans="1:31" ht="12" customHeight="1">
      <c r="A82" s="108"/>
      <c r="B82" s="109"/>
      <c r="C82" s="109"/>
      <c r="D82" s="109"/>
      <c r="E82" s="112"/>
      <c r="F82" s="112"/>
      <c r="G82" s="109"/>
      <c r="H82" s="109"/>
      <c r="I82" s="109"/>
      <c r="J82" s="111"/>
      <c r="K82" s="268"/>
      <c r="L82" s="112"/>
      <c r="M82" s="112"/>
      <c r="N82" s="112"/>
      <c r="O82" s="112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</row>
    <row r="83" spans="1:31" ht="12" customHeight="1">
      <c r="A83" s="108"/>
      <c r="B83" s="109"/>
      <c r="C83" s="109"/>
      <c r="D83" s="109"/>
      <c r="E83" s="112"/>
      <c r="F83" s="112"/>
      <c r="G83" s="109"/>
      <c r="H83" s="109"/>
      <c r="I83" s="109"/>
      <c r="J83" s="111"/>
      <c r="K83" s="268"/>
      <c r="L83" s="112"/>
      <c r="M83" s="112"/>
      <c r="N83" s="112"/>
      <c r="O83" s="112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</row>
    <row r="84" spans="1:31" ht="12" customHeight="1">
      <c r="A84" s="108"/>
      <c r="B84" s="109"/>
      <c r="C84" s="109"/>
      <c r="D84" s="109"/>
      <c r="E84" s="112"/>
      <c r="F84" s="112"/>
      <c r="G84" s="109"/>
      <c r="H84" s="109"/>
      <c r="I84" s="109"/>
      <c r="J84" s="111"/>
      <c r="K84" s="268"/>
      <c r="L84" s="112"/>
      <c r="M84" s="112"/>
      <c r="N84" s="112"/>
      <c r="O84" s="112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</row>
    <row r="85" spans="1:31" ht="12" customHeight="1">
      <c r="A85" s="108"/>
      <c r="B85" s="109"/>
      <c r="C85" s="109"/>
      <c r="D85" s="109"/>
      <c r="E85" s="112"/>
      <c r="F85" s="112"/>
      <c r="G85" s="109"/>
      <c r="H85" s="109"/>
      <c r="I85" s="109"/>
      <c r="J85" s="111"/>
      <c r="K85" s="268"/>
      <c r="L85" s="112"/>
      <c r="M85" s="112"/>
      <c r="N85" s="112"/>
      <c r="O85" s="112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</row>
    <row r="86" spans="1:31" ht="12" customHeight="1">
      <c r="A86" s="108"/>
      <c r="B86" s="109"/>
      <c r="C86" s="109"/>
      <c r="D86" s="109"/>
      <c r="E86" s="112"/>
      <c r="F86" s="112"/>
      <c r="G86" s="109"/>
      <c r="H86" s="109"/>
      <c r="I86" s="109"/>
      <c r="J86" s="111"/>
      <c r="K86" s="268"/>
      <c r="L86" s="112"/>
      <c r="M86" s="112"/>
      <c r="N86" s="112"/>
      <c r="O86" s="112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</row>
    <row r="87" spans="1:31" ht="12" customHeight="1">
      <c r="A87" s="108"/>
      <c r="B87" s="109"/>
      <c r="C87" s="109"/>
      <c r="D87" s="109"/>
      <c r="E87" s="112"/>
      <c r="F87" s="112"/>
      <c r="G87" s="109"/>
      <c r="H87" s="109"/>
      <c r="I87" s="109"/>
      <c r="J87" s="111"/>
      <c r="K87" s="268"/>
      <c r="L87" s="112"/>
      <c r="M87" s="112"/>
      <c r="N87" s="112"/>
      <c r="O87" s="112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</row>
    <row r="88" spans="1:31" ht="12" customHeight="1">
      <c r="A88" s="108"/>
      <c r="B88" s="109"/>
      <c r="C88" s="109"/>
      <c r="D88" s="109"/>
      <c r="E88" s="112"/>
      <c r="F88" s="112"/>
      <c r="G88" s="109"/>
      <c r="H88" s="109"/>
      <c r="I88" s="109"/>
      <c r="J88" s="111"/>
      <c r="K88" s="268"/>
      <c r="L88" s="112"/>
      <c r="M88" s="112"/>
      <c r="N88" s="112"/>
      <c r="O88" s="112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</row>
    <row r="89" spans="1:31" ht="12" customHeight="1">
      <c r="A89" s="108"/>
      <c r="B89" s="109"/>
      <c r="C89" s="109"/>
      <c r="D89" s="109"/>
      <c r="E89" s="112"/>
      <c r="F89" s="112"/>
      <c r="G89" s="109"/>
      <c r="H89" s="109"/>
      <c r="I89" s="109"/>
      <c r="J89" s="111"/>
      <c r="K89" s="268"/>
      <c r="L89" s="112"/>
      <c r="M89" s="112"/>
      <c r="N89" s="112"/>
      <c r="O89" s="112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</row>
    <row r="90" spans="1:31" ht="12" customHeight="1">
      <c r="A90" s="108"/>
      <c r="B90" s="109"/>
      <c r="C90" s="109"/>
      <c r="D90" s="109"/>
      <c r="E90" s="112"/>
      <c r="F90" s="112"/>
      <c r="G90" s="109"/>
      <c r="H90" s="109"/>
      <c r="I90" s="109"/>
      <c r="J90" s="111"/>
      <c r="K90" s="268"/>
      <c r="L90" s="112"/>
      <c r="M90" s="112"/>
      <c r="N90" s="112"/>
      <c r="O90" s="112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</row>
    <row r="91" spans="1:31" ht="12" customHeight="1">
      <c r="A91" s="108"/>
      <c r="B91" s="109"/>
      <c r="C91" s="109"/>
      <c r="D91" s="109"/>
      <c r="E91" s="112"/>
      <c r="F91" s="112"/>
      <c r="G91" s="109"/>
      <c r="H91" s="109"/>
      <c r="I91" s="109"/>
      <c r="J91" s="111"/>
      <c r="K91" s="268"/>
      <c r="L91" s="112"/>
      <c r="M91" s="112"/>
      <c r="N91" s="112"/>
      <c r="O91" s="112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</row>
    <row r="92" spans="1:31" ht="12" customHeight="1">
      <c r="A92" s="108"/>
      <c r="B92" s="109"/>
      <c r="C92" s="109"/>
      <c r="D92" s="109"/>
      <c r="E92" s="112"/>
      <c r="F92" s="112"/>
      <c r="G92" s="109"/>
      <c r="H92" s="109"/>
      <c r="I92" s="109"/>
      <c r="J92" s="111"/>
      <c r="K92" s="268"/>
      <c r="L92" s="112"/>
      <c r="M92" s="112"/>
      <c r="N92" s="112"/>
      <c r="O92" s="112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</row>
    <row r="93" spans="1:31" ht="12" customHeight="1">
      <c r="A93" s="108"/>
      <c r="B93" s="109"/>
      <c r="C93" s="109"/>
      <c r="D93" s="109"/>
      <c r="E93" s="112"/>
      <c r="F93" s="112"/>
      <c r="G93" s="109"/>
      <c r="H93" s="109"/>
      <c r="I93" s="109"/>
      <c r="J93" s="111"/>
      <c r="K93" s="268"/>
      <c r="L93" s="112"/>
      <c r="M93" s="112"/>
      <c r="N93" s="112"/>
      <c r="O93" s="112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</row>
    <row r="94" spans="1:31" ht="12" customHeight="1">
      <c r="A94" s="108"/>
      <c r="B94" s="109"/>
      <c r="C94" s="109"/>
      <c r="D94" s="109"/>
      <c r="E94" s="112"/>
      <c r="F94" s="112"/>
      <c r="G94" s="109"/>
      <c r="H94" s="109"/>
      <c r="I94" s="109"/>
      <c r="J94" s="111"/>
      <c r="K94" s="268"/>
      <c r="L94" s="112"/>
      <c r="M94" s="112"/>
      <c r="N94" s="112"/>
      <c r="O94" s="112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</row>
    <row r="95" spans="1:31" ht="12" customHeight="1">
      <c r="A95" s="108"/>
      <c r="B95" s="109"/>
      <c r="C95" s="109"/>
      <c r="D95" s="109"/>
      <c r="E95" s="112"/>
      <c r="F95" s="112"/>
      <c r="G95" s="109"/>
      <c r="H95" s="109"/>
      <c r="I95" s="109"/>
      <c r="J95" s="111"/>
      <c r="K95" s="268"/>
      <c r="L95" s="112"/>
      <c r="M95" s="112"/>
      <c r="N95" s="112"/>
      <c r="O95" s="112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</row>
    <row r="96" spans="1:31" ht="12" customHeight="1">
      <c r="A96" s="108"/>
      <c r="B96" s="109"/>
      <c r="C96" s="109"/>
      <c r="D96" s="109"/>
      <c r="E96" s="112"/>
      <c r="F96" s="112"/>
      <c r="G96" s="109"/>
      <c r="H96" s="109"/>
      <c r="I96" s="109"/>
      <c r="J96" s="111"/>
      <c r="K96" s="268"/>
      <c r="L96" s="112"/>
      <c r="M96" s="112"/>
      <c r="N96" s="112"/>
      <c r="O96" s="112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</row>
    <row r="97" spans="1:31" ht="12" customHeight="1">
      <c r="A97" s="108"/>
      <c r="B97" s="109"/>
      <c r="C97" s="109"/>
      <c r="D97" s="109"/>
      <c r="E97" s="112"/>
      <c r="F97" s="112"/>
      <c r="G97" s="109"/>
      <c r="H97" s="109"/>
      <c r="I97" s="109"/>
      <c r="J97" s="111"/>
      <c r="K97" s="268"/>
      <c r="L97" s="112"/>
      <c r="M97" s="112"/>
      <c r="N97" s="112"/>
      <c r="O97" s="112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</row>
    <row r="98" spans="1:31" ht="12" customHeight="1">
      <c r="A98" s="108"/>
      <c r="B98" s="109"/>
      <c r="C98" s="109"/>
      <c r="D98" s="109"/>
      <c r="E98" s="112"/>
      <c r="F98" s="112"/>
      <c r="G98" s="109"/>
      <c r="H98" s="109"/>
      <c r="I98" s="109"/>
      <c r="J98" s="111"/>
      <c r="K98" s="268"/>
      <c r="L98" s="112"/>
      <c r="M98" s="112"/>
      <c r="N98" s="112"/>
      <c r="O98" s="112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</row>
    <row r="99" spans="1:31" ht="12" customHeight="1">
      <c r="A99" s="108"/>
      <c r="B99" s="109"/>
      <c r="C99" s="109"/>
      <c r="D99" s="109"/>
      <c r="E99" s="112"/>
      <c r="F99" s="112"/>
      <c r="G99" s="109"/>
      <c r="H99" s="109"/>
      <c r="I99" s="109"/>
      <c r="J99" s="111"/>
      <c r="K99" s="268"/>
      <c r="L99" s="112"/>
      <c r="M99" s="112"/>
      <c r="N99" s="112"/>
      <c r="O99" s="112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</row>
    <row r="100" spans="1:31" ht="12" customHeight="1">
      <c r="A100" s="108"/>
      <c r="B100" s="109"/>
      <c r="C100" s="109"/>
      <c r="D100" s="109"/>
      <c r="E100" s="112"/>
      <c r="F100" s="112"/>
      <c r="G100" s="109"/>
      <c r="H100" s="109"/>
      <c r="I100" s="109"/>
      <c r="J100" s="111"/>
      <c r="K100" s="268"/>
      <c r="L100" s="112"/>
      <c r="M100" s="112"/>
      <c r="N100" s="112"/>
      <c r="O100" s="112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</row>
    <row r="101" spans="1:31" ht="12" customHeight="1">
      <c r="A101" s="108"/>
      <c r="B101" s="109"/>
      <c r="C101" s="109"/>
      <c r="D101" s="109"/>
      <c r="E101" s="112"/>
      <c r="F101" s="112"/>
      <c r="G101" s="109"/>
      <c r="H101" s="109"/>
      <c r="I101" s="109"/>
      <c r="J101" s="111"/>
      <c r="K101" s="268"/>
      <c r="L101" s="112"/>
      <c r="M101" s="112"/>
      <c r="N101" s="112"/>
      <c r="O101" s="112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</row>
    <row r="102" spans="1:31" ht="12" customHeight="1">
      <c r="A102" s="108"/>
      <c r="B102" s="109"/>
      <c r="C102" s="109"/>
      <c r="D102" s="109"/>
      <c r="E102" s="112"/>
      <c r="F102" s="112"/>
      <c r="G102" s="109"/>
      <c r="H102" s="109"/>
      <c r="I102" s="109"/>
      <c r="J102" s="111"/>
      <c r="K102" s="268"/>
      <c r="L102" s="112"/>
      <c r="M102" s="112"/>
      <c r="N102" s="112"/>
      <c r="O102" s="112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</row>
    <row r="103" spans="1:31" ht="12" customHeight="1">
      <c r="A103" s="108"/>
      <c r="B103" s="109"/>
      <c r="C103" s="109"/>
      <c r="D103" s="109"/>
      <c r="E103" s="112"/>
      <c r="F103" s="112"/>
      <c r="G103" s="109"/>
      <c r="H103" s="109"/>
      <c r="I103" s="109"/>
      <c r="J103" s="111"/>
      <c r="K103" s="268"/>
      <c r="L103" s="112"/>
      <c r="M103" s="112"/>
      <c r="N103" s="112"/>
      <c r="O103" s="112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</row>
    <row r="104" spans="1:31" ht="12" customHeight="1">
      <c r="A104" s="108"/>
      <c r="B104" s="109"/>
      <c r="C104" s="109"/>
      <c r="D104" s="109"/>
      <c r="E104" s="112"/>
      <c r="F104" s="112"/>
      <c r="G104" s="109"/>
      <c r="H104" s="109"/>
      <c r="I104" s="109"/>
      <c r="J104" s="111"/>
      <c r="K104" s="268"/>
      <c r="L104" s="112"/>
      <c r="M104" s="112"/>
      <c r="N104" s="112"/>
      <c r="O104" s="112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</row>
    <row r="105" spans="1:31" ht="12" customHeight="1">
      <c r="A105" s="108"/>
      <c r="B105" s="109"/>
      <c r="C105" s="109"/>
      <c r="D105" s="109"/>
      <c r="E105" s="112"/>
      <c r="F105" s="112"/>
      <c r="G105" s="109"/>
      <c r="H105" s="109"/>
      <c r="I105" s="109"/>
      <c r="J105" s="111"/>
      <c r="K105" s="268"/>
      <c r="L105" s="112"/>
      <c r="M105" s="112"/>
      <c r="N105" s="112"/>
      <c r="O105" s="112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</row>
    <row r="106" spans="1:31" ht="12" customHeight="1">
      <c r="A106" s="108"/>
      <c r="B106" s="109"/>
      <c r="C106" s="109"/>
      <c r="D106" s="109"/>
      <c r="E106" s="112"/>
      <c r="F106" s="112"/>
      <c r="G106" s="109"/>
      <c r="H106" s="109"/>
      <c r="I106" s="109"/>
      <c r="J106" s="111"/>
      <c r="K106" s="268"/>
      <c r="L106" s="112"/>
      <c r="M106" s="112"/>
      <c r="N106" s="112"/>
      <c r="O106" s="112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</row>
    <row r="107" spans="1:31" ht="12" customHeight="1">
      <c r="A107" s="108"/>
      <c r="B107" s="109"/>
      <c r="C107" s="109"/>
      <c r="D107" s="109"/>
      <c r="E107" s="112"/>
      <c r="F107" s="112"/>
      <c r="G107" s="109"/>
      <c r="H107" s="109"/>
      <c r="I107" s="109"/>
      <c r="J107" s="111"/>
      <c r="K107" s="268"/>
      <c r="L107" s="112"/>
      <c r="M107" s="112"/>
      <c r="N107" s="112"/>
      <c r="O107" s="112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</row>
    <row r="108" spans="1:31" ht="12" customHeight="1">
      <c r="A108" s="108"/>
      <c r="B108" s="109"/>
      <c r="C108" s="109"/>
      <c r="D108" s="109"/>
      <c r="E108" s="112"/>
      <c r="F108" s="112"/>
      <c r="G108" s="109"/>
      <c r="H108" s="109"/>
      <c r="I108" s="109"/>
      <c r="J108" s="111"/>
      <c r="K108" s="268"/>
      <c r="L108" s="112"/>
      <c r="M108" s="112"/>
      <c r="N108" s="112"/>
      <c r="O108" s="112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</row>
    <row r="109" spans="1:31" ht="12" customHeight="1">
      <c r="A109" s="108"/>
      <c r="B109" s="109"/>
      <c r="C109" s="109"/>
      <c r="D109" s="109"/>
      <c r="E109" s="112"/>
      <c r="F109" s="112"/>
      <c r="G109" s="109"/>
      <c r="H109" s="109"/>
      <c r="I109" s="109"/>
      <c r="J109" s="111"/>
      <c r="K109" s="268"/>
      <c r="L109" s="112"/>
      <c r="M109" s="112"/>
      <c r="N109" s="112"/>
      <c r="O109" s="112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</row>
    <row r="110" spans="1:31" ht="12" customHeight="1">
      <c r="A110" s="108"/>
      <c r="B110" s="109"/>
      <c r="C110" s="109"/>
      <c r="D110" s="109"/>
      <c r="E110" s="112"/>
      <c r="F110" s="112"/>
      <c r="G110" s="109"/>
      <c r="H110" s="109"/>
      <c r="I110" s="109"/>
      <c r="J110" s="111"/>
      <c r="K110" s="268"/>
      <c r="L110" s="112"/>
      <c r="M110" s="112"/>
      <c r="N110" s="112"/>
      <c r="O110" s="112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</row>
    <row r="111" spans="1:31" ht="12" customHeight="1">
      <c r="A111" s="108"/>
      <c r="B111" s="109"/>
      <c r="C111" s="109"/>
      <c r="D111" s="109"/>
      <c r="E111" s="112"/>
      <c r="F111" s="112"/>
      <c r="G111" s="109"/>
      <c r="H111" s="109"/>
      <c r="I111" s="109"/>
      <c r="J111" s="111"/>
      <c r="K111" s="268"/>
      <c r="L111" s="112"/>
      <c r="M111" s="112"/>
      <c r="N111" s="112"/>
      <c r="O111" s="112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</row>
    <row r="112" spans="1:31" ht="12" customHeight="1">
      <c r="A112" s="108"/>
      <c r="B112" s="109"/>
      <c r="C112" s="109"/>
      <c r="D112" s="109"/>
      <c r="E112" s="112"/>
      <c r="F112" s="112"/>
      <c r="G112" s="109"/>
      <c r="H112" s="109"/>
      <c r="I112" s="109"/>
      <c r="J112" s="111"/>
      <c r="K112" s="268"/>
      <c r="L112" s="112"/>
      <c r="M112" s="112"/>
      <c r="N112" s="112"/>
      <c r="O112" s="112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</row>
    <row r="113" spans="1:31" ht="12" customHeight="1">
      <c r="A113" s="108"/>
      <c r="B113" s="109"/>
      <c r="C113" s="109"/>
      <c r="D113" s="109"/>
      <c r="E113" s="112"/>
      <c r="F113" s="112"/>
      <c r="G113" s="109"/>
      <c r="H113" s="109"/>
      <c r="I113" s="109"/>
      <c r="J113" s="111"/>
      <c r="K113" s="268"/>
      <c r="L113" s="112"/>
      <c r="M113" s="112"/>
      <c r="N113" s="112"/>
      <c r="O113" s="112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</row>
    <row r="114" spans="1:31" ht="12" customHeight="1">
      <c r="A114" s="108"/>
      <c r="B114" s="109"/>
      <c r="C114" s="109"/>
      <c r="D114" s="109"/>
      <c r="E114" s="112"/>
      <c r="F114" s="112"/>
      <c r="G114" s="109"/>
      <c r="H114" s="109"/>
      <c r="I114" s="109"/>
      <c r="J114" s="111"/>
      <c r="K114" s="268"/>
      <c r="L114" s="112"/>
      <c r="M114" s="112"/>
      <c r="N114" s="112"/>
      <c r="O114" s="112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</row>
    <row r="115" spans="1:31" ht="12" customHeight="1">
      <c r="A115" s="108"/>
      <c r="B115" s="109"/>
      <c r="C115" s="109"/>
      <c r="D115" s="109"/>
      <c r="E115" s="112"/>
      <c r="F115" s="112"/>
      <c r="G115" s="109"/>
      <c r="H115" s="109"/>
      <c r="I115" s="109"/>
      <c r="J115" s="111"/>
      <c r="K115" s="268"/>
      <c r="L115" s="112"/>
      <c r="M115" s="112"/>
      <c r="N115" s="112"/>
      <c r="O115" s="112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</row>
    <row r="116" spans="1:31" ht="12" customHeight="1">
      <c r="A116" s="108"/>
      <c r="B116" s="109"/>
      <c r="C116" s="109"/>
      <c r="D116" s="109"/>
      <c r="E116" s="112"/>
      <c r="F116" s="112"/>
      <c r="G116" s="109"/>
      <c r="H116" s="109"/>
      <c r="I116" s="109"/>
      <c r="J116" s="111"/>
      <c r="K116" s="268"/>
      <c r="L116" s="112"/>
      <c r="M116" s="112"/>
      <c r="N116" s="112"/>
      <c r="O116" s="112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</row>
    <row r="117" spans="1:31" ht="12" customHeight="1">
      <c r="A117" s="108"/>
      <c r="B117" s="109"/>
      <c r="C117" s="109"/>
      <c r="D117" s="109"/>
      <c r="E117" s="112"/>
      <c r="F117" s="112"/>
      <c r="G117" s="109"/>
      <c r="H117" s="109"/>
      <c r="I117" s="109"/>
      <c r="J117" s="111"/>
      <c r="K117" s="268"/>
      <c r="L117" s="112"/>
      <c r="M117" s="112"/>
      <c r="N117" s="112"/>
      <c r="O117" s="112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</row>
    <row r="118" spans="1:31" ht="12" customHeight="1">
      <c r="A118" s="108"/>
      <c r="B118" s="109"/>
      <c r="C118" s="109"/>
      <c r="D118" s="109"/>
      <c r="E118" s="112"/>
      <c r="F118" s="112"/>
      <c r="G118" s="109"/>
      <c r="H118" s="109"/>
      <c r="I118" s="109"/>
      <c r="J118" s="111"/>
      <c r="K118" s="268"/>
      <c r="L118" s="112"/>
      <c r="M118" s="112"/>
      <c r="N118" s="112"/>
      <c r="O118" s="112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</row>
    <row r="119" spans="1:31" ht="12" customHeight="1">
      <c r="A119" s="108"/>
      <c r="B119" s="109"/>
      <c r="C119" s="109"/>
      <c r="D119" s="109"/>
      <c r="E119" s="112"/>
      <c r="F119" s="112"/>
      <c r="G119" s="109"/>
      <c r="H119" s="109"/>
      <c r="I119" s="109"/>
      <c r="J119" s="111"/>
      <c r="K119" s="268"/>
      <c r="L119" s="112"/>
      <c r="M119" s="112"/>
      <c r="N119" s="112"/>
      <c r="O119" s="112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</row>
    <row r="120" spans="1:31" ht="12" customHeight="1">
      <c r="A120" s="108"/>
      <c r="B120" s="109"/>
      <c r="C120" s="109"/>
      <c r="D120" s="109"/>
      <c r="E120" s="112"/>
      <c r="F120" s="112"/>
      <c r="G120" s="109"/>
      <c r="H120" s="109"/>
      <c r="I120" s="109"/>
      <c r="J120" s="111"/>
      <c r="K120" s="268"/>
      <c r="L120" s="112"/>
      <c r="M120" s="112"/>
      <c r="N120" s="112"/>
      <c r="O120" s="112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</row>
    <row r="121" spans="1:31" ht="12" customHeight="1">
      <c r="A121" s="108"/>
      <c r="B121" s="109"/>
      <c r="C121" s="109"/>
      <c r="D121" s="109"/>
      <c r="E121" s="112"/>
      <c r="F121" s="112"/>
      <c r="G121" s="109"/>
      <c r="H121" s="109"/>
      <c r="I121" s="109"/>
      <c r="J121" s="111"/>
      <c r="K121" s="268"/>
      <c r="L121" s="112"/>
      <c r="M121" s="112"/>
      <c r="N121" s="112"/>
      <c r="O121" s="112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</row>
    <row r="122" spans="1:31" ht="12" customHeight="1">
      <c r="A122" s="108"/>
      <c r="B122" s="109"/>
      <c r="C122" s="109"/>
      <c r="D122" s="109"/>
      <c r="E122" s="112"/>
      <c r="F122" s="112"/>
      <c r="G122" s="109"/>
      <c r="H122" s="109"/>
      <c r="I122" s="109"/>
      <c r="J122" s="111"/>
      <c r="K122" s="268"/>
      <c r="L122" s="112"/>
      <c r="M122" s="112"/>
      <c r="N122" s="112"/>
      <c r="O122" s="112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</row>
    <row r="123" spans="1:31" ht="12" customHeight="1">
      <c r="A123" s="108"/>
      <c r="B123" s="109"/>
      <c r="C123" s="109"/>
      <c r="D123" s="109"/>
      <c r="E123" s="112"/>
      <c r="F123" s="112"/>
      <c r="G123" s="109"/>
      <c r="H123" s="109"/>
      <c r="I123" s="109"/>
      <c r="J123" s="111"/>
      <c r="K123" s="268"/>
      <c r="L123" s="112"/>
      <c r="M123" s="112"/>
      <c r="N123" s="112"/>
      <c r="O123" s="112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</row>
    <row r="124" spans="1:31" ht="12" customHeight="1">
      <c r="A124" s="108"/>
      <c r="B124" s="109"/>
      <c r="C124" s="109"/>
      <c r="D124" s="109"/>
      <c r="E124" s="112"/>
      <c r="F124" s="112"/>
      <c r="G124" s="109"/>
      <c r="H124" s="109"/>
      <c r="I124" s="109"/>
      <c r="J124" s="111"/>
      <c r="K124" s="268"/>
      <c r="L124" s="112"/>
      <c r="M124" s="112"/>
      <c r="N124" s="112"/>
      <c r="O124" s="112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</row>
    <row r="125" spans="1:31" ht="12" customHeight="1">
      <c r="A125" s="108"/>
      <c r="B125" s="109"/>
      <c r="C125" s="109"/>
      <c r="D125" s="109"/>
      <c r="E125" s="112"/>
      <c r="F125" s="112"/>
      <c r="G125" s="109"/>
      <c r="H125" s="109"/>
      <c r="I125" s="109"/>
      <c r="J125" s="111"/>
      <c r="K125" s="268"/>
      <c r="L125" s="112"/>
      <c r="M125" s="112"/>
      <c r="N125" s="112"/>
      <c r="O125" s="112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</row>
    <row r="126" spans="1:31" ht="12" customHeight="1">
      <c r="A126" s="108"/>
      <c r="B126" s="109"/>
      <c r="C126" s="109"/>
      <c r="D126" s="109"/>
      <c r="E126" s="112"/>
      <c r="F126" s="112"/>
      <c r="G126" s="109"/>
      <c r="H126" s="109"/>
      <c r="I126" s="109"/>
      <c r="J126" s="111"/>
      <c r="K126" s="268"/>
      <c r="L126" s="112"/>
      <c r="M126" s="112"/>
      <c r="N126" s="112"/>
      <c r="O126" s="112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</row>
    <row r="127" spans="1:31" ht="12" customHeight="1">
      <c r="A127" s="108"/>
      <c r="B127" s="109"/>
      <c r="C127" s="109"/>
      <c r="D127" s="109"/>
      <c r="E127" s="112"/>
      <c r="F127" s="112"/>
      <c r="G127" s="109"/>
      <c r="H127" s="109"/>
      <c r="I127" s="109"/>
      <c r="J127" s="111"/>
      <c r="K127" s="268"/>
      <c r="L127" s="112"/>
      <c r="M127" s="112"/>
      <c r="N127" s="112"/>
      <c r="O127" s="112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</row>
    <row r="128" spans="1:31" ht="12" customHeight="1">
      <c r="A128" s="108"/>
      <c r="B128" s="109"/>
      <c r="C128" s="109"/>
      <c r="D128" s="109"/>
      <c r="E128" s="112"/>
      <c r="F128" s="112"/>
      <c r="G128" s="109"/>
      <c r="H128" s="109"/>
      <c r="I128" s="109"/>
      <c r="J128" s="111"/>
      <c r="K128" s="268"/>
      <c r="L128" s="112"/>
      <c r="M128" s="112"/>
      <c r="N128" s="112"/>
      <c r="O128" s="112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</row>
    <row r="129" spans="1:31" ht="12" customHeight="1">
      <c r="A129" s="108"/>
      <c r="B129" s="109"/>
      <c r="C129" s="109"/>
      <c r="D129" s="109"/>
      <c r="E129" s="112"/>
      <c r="F129" s="112"/>
      <c r="G129" s="109"/>
      <c r="H129" s="109"/>
      <c r="I129" s="109"/>
      <c r="J129" s="111"/>
      <c r="K129" s="268"/>
      <c r="L129" s="112"/>
      <c r="M129" s="112"/>
      <c r="N129" s="112"/>
      <c r="O129" s="112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</row>
    <row r="130" spans="1:31" ht="12" customHeight="1">
      <c r="A130" s="108"/>
      <c r="B130" s="109"/>
      <c r="C130" s="109"/>
      <c r="D130" s="109"/>
      <c r="E130" s="112"/>
      <c r="F130" s="112"/>
      <c r="G130" s="109"/>
      <c r="H130" s="109"/>
      <c r="I130" s="109"/>
      <c r="J130" s="111"/>
      <c r="K130" s="268"/>
      <c r="L130" s="112"/>
      <c r="M130" s="112"/>
      <c r="N130" s="112"/>
      <c r="O130" s="112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</row>
    <row r="131" spans="1:31" ht="12" customHeight="1">
      <c r="A131" s="108"/>
      <c r="B131" s="109"/>
      <c r="C131" s="109"/>
      <c r="D131" s="109"/>
      <c r="E131" s="112"/>
      <c r="F131" s="112"/>
      <c r="G131" s="109"/>
      <c r="H131" s="109"/>
      <c r="I131" s="109"/>
      <c r="J131" s="111"/>
      <c r="K131" s="268"/>
      <c r="L131" s="112"/>
      <c r="M131" s="112"/>
      <c r="N131" s="112"/>
      <c r="O131" s="112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</row>
    <row r="132" spans="1:31" ht="12" customHeight="1">
      <c r="A132" s="108"/>
      <c r="B132" s="109"/>
      <c r="C132" s="109"/>
      <c r="D132" s="109"/>
      <c r="E132" s="112"/>
      <c r="F132" s="112"/>
      <c r="G132" s="109"/>
      <c r="H132" s="109"/>
      <c r="I132" s="109"/>
      <c r="J132" s="111"/>
      <c r="K132" s="268"/>
      <c r="L132" s="112"/>
      <c r="M132" s="112"/>
      <c r="N132" s="112"/>
      <c r="O132" s="112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</row>
    <row r="133" spans="1:31" ht="12" customHeight="1">
      <c r="A133" s="108"/>
      <c r="B133" s="109"/>
      <c r="C133" s="109"/>
      <c r="D133" s="109"/>
      <c r="E133" s="112"/>
      <c r="F133" s="112"/>
      <c r="G133" s="109"/>
      <c r="H133" s="109"/>
      <c r="I133" s="109"/>
      <c r="J133" s="111"/>
      <c r="K133" s="268"/>
      <c r="L133" s="112"/>
      <c r="M133" s="112"/>
      <c r="N133" s="112"/>
      <c r="O133" s="112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</row>
    <row r="134" spans="1:31" ht="12" customHeight="1">
      <c r="A134" s="108"/>
      <c r="B134" s="109"/>
      <c r="C134" s="109"/>
      <c r="D134" s="109"/>
      <c r="E134" s="112"/>
      <c r="F134" s="112"/>
      <c r="G134" s="109"/>
      <c r="H134" s="109"/>
      <c r="I134" s="109"/>
      <c r="J134" s="111"/>
      <c r="K134" s="268"/>
      <c r="L134" s="112"/>
      <c r="M134" s="112"/>
      <c r="N134" s="112"/>
      <c r="O134" s="112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</row>
    <row r="135" spans="1:31" ht="12" customHeight="1">
      <c r="A135" s="108"/>
      <c r="B135" s="109"/>
      <c r="C135" s="109"/>
      <c r="D135" s="109"/>
      <c r="E135" s="112"/>
      <c r="F135" s="112"/>
      <c r="G135" s="109"/>
      <c r="H135" s="109"/>
      <c r="I135" s="109"/>
      <c r="J135" s="111"/>
      <c r="K135" s="268"/>
      <c r="L135" s="112"/>
      <c r="M135" s="112"/>
      <c r="N135" s="112"/>
      <c r="O135" s="112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</row>
    <row r="136" spans="1:31" ht="12" customHeight="1">
      <c r="A136" s="108"/>
      <c r="B136" s="109"/>
      <c r="C136" s="109"/>
      <c r="D136" s="109"/>
      <c r="E136" s="112"/>
      <c r="F136" s="112"/>
      <c r="G136" s="109"/>
      <c r="H136" s="109"/>
      <c r="I136" s="109"/>
      <c r="J136" s="111"/>
      <c r="K136" s="268"/>
      <c r="L136" s="112"/>
      <c r="M136" s="112"/>
      <c r="N136" s="112"/>
      <c r="O136" s="112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</row>
    <row r="137" spans="1:31" ht="12" customHeight="1">
      <c r="A137" s="108"/>
      <c r="B137" s="109"/>
      <c r="C137" s="109"/>
      <c r="D137" s="109"/>
      <c r="E137" s="112"/>
      <c r="F137" s="112"/>
      <c r="G137" s="109"/>
      <c r="H137" s="109"/>
      <c r="I137" s="109"/>
      <c r="J137" s="111"/>
      <c r="K137" s="268"/>
      <c r="L137" s="112"/>
      <c r="M137" s="112"/>
      <c r="N137" s="112"/>
      <c r="O137" s="112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</row>
    <row r="138" spans="1:31" ht="12" customHeight="1">
      <c r="A138" s="108"/>
      <c r="B138" s="109"/>
      <c r="C138" s="109"/>
      <c r="D138" s="109"/>
      <c r="E138" s="112"/>
      <c r="F138" s="112"/>
      <c r="G138" s="109"/>
      <c r="H138" s="109"/>
      <c r="I138" s="109"/>
      <c r="J138" s="111"/>
      <c r="K138" s="268"/>
      <c r="L138" s="112"/>
      <c r="M138" s="112"/>
      <c r="N138" s="112"/>
      <c r="O138" s="112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</row>
    <row r="139" spans="1:31" ht="12" customHeight="1">
      <c r="A139" s="108"/>
      <c r="B139" s="109"/>
      <c r="C139" s="109"/>
      <c r="D139" s="109"/>
      <c r="E139" s="112"/>
      <c r="F139" s="112"/>
      <c r="G139" s="109"/>
      <c r="H139" s="109"/>
      <c r="I139" s="109"/>
      <c r="J139" s="111"/>
      <c r="K139" s="268"/>
      <c r="L139" s="112"/>
      <c r="M139" s="112"/>
      <c r="N139" s="112"/>
      <c r="O139" s="112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</row>
    <row r="140" spans="1:31" ht="12" customHeight="1">
      <c r="A140" s="108"/>
      <c r="B140" s="109"/>
      <c r="C140" s="109"/>
      <c r="D140" s="109"/>
      <c r="E140" s="112"/>
      <c r="F140" s="112"/>
      <c r="G140" s="109"/>
      <c r="H140" s="109"/>
      <c r="I140" s="109"/>
      <c r="J140" s="111"/>
      <c r="K140" s="268"/>
      <c r="L140" s="112"/>
      <c r="M140" s="112"/>
      <c r="N140" s="112"/>
      <c r="O140" s="112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</row>
    <row r="141" spans="1:31" ht="12" customHeight="1">
      <c r="A141" s="108"/>
      <c r="B141" s="109"/>
      <c r="C141" s="109"/>
      <c r="D141" s="109"/>
      <c r="E141" s="112"/>
      <c r="F141" s="112"/>
      <c r="G141" s="109"/>
      <c r="H141" s="109"/>
      <c r="I141" s="109"/>
      <c r="J141" s="111"/>
      <c r="K141" s="268"/>
      <c r="L141" s="112"/>
      <c r="M141" s="112"/>
      <c r="N141" s="112"/>
      <c r="O141" s="112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</row>
    <row r="142" spans="1:31" ht="12" customHeight="1">
      <c r="A142" s="108"/>
      <c r="B142" s="109"/>
      <c r="C142" s="109"/>
      <c r="D142" s="109"/>
      <c r="E142" s="112"/>
      <c r="F142" s="112"/>
      <c r="G142" s="109"/>
      <c r="H142" s="109"/>
      <c r="I142" s="109"/>
      <c r="J142" s="111"/>
      <c r="K142" s="268"/>
      <c r="L142" s="112"/>
      <c r="M142" s="112"/>
      <c r="N142" s="112"/>
      <c r="O142" s="112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</row>
    <row r="143" spans="1:31" ht="12" customHeight="1">
      <c r="A143" s="108"/>
      <c r="B143" s="109"/>
      <c r="C143" s="109"/>
      <c r="D143" s="109"/>
      <c r="E143" s="112"/>
      <c r="F143" s="112"/>
      <c r="G143" s="109"/>
      <c r="H143" s="109"/>
      <c r="I143" s="109"/>
      <c r="J143" s="111"/>
      <c r="K143" s="268"/>
      <c r="L143" s="112"/>
      <c r="M143" s="112"/>
      <c r="N143" s="112"/>
      <c r="O143" s="112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</row>
    <row r="144" spans="1:31" ht="12" customHeight="1">
      <c r="A144" s="108"/>
      <c r="B144" s="109"/>
      <c r="C144" s="109"/>
      <c r="D144" s="109"/>
      <c r="E144" s="112"/>
      <c r="F144" s="112"/>
      <c r="G144" s="109"/>
      <c r="H144" s="109"/>
      <c r="I144" s="109"/>
      <c r="J144" s="111"/>
      <c r="K144" s="268"/>
      <c r="L144" s="112"/>
      <c r="M144" s="112"/>
      <c r="N144" s="112"/>
      <c r="O144" s="112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</row>
    <row r="145" spans="1:31" ht="12" customHeight="1">
      <c r="A145" s="108"/>
      <c r="B145" s="109"/>
      <c r="C145" s="109"/>
      <c r="D145" s="109"/>
      <c r="E145" s="112"/>
      <c r="F145" s="112"/>
      <c r="G145" s="109"/>
      <c r="H145" s="109"/>
      <c r="I145" s="109"/>
      <c r="J145" s="111"/>
      <c r="K145" s="268"/>
      <c r="L145" s="112"/>
      <c r="M145" s="112"/>
      <c r="N145" s="112"/>
      <c r="O145" s="112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</row>
    <row r="146" spans="1:31" ht="12" customHeight="1">
      <c r="A146" s="108"/>
      <c r="B146" s="109"/>
      <c r="C146" s="109"/>
      <c r="D146" s="109"/>
      <c r="E146" s="112"/>
      <c r="F146" s="112"/>
      <c r="G146" s="109"/>
      <c r="H146" s="109"/>
      <c r="I146" s="109"/>
      <c r="J146" s="111"/>
      <c r="K146" s="268"/>
      <c r="L146" s="112"/>
      <c r="M146" s="112"/>
      <c r="N146" s="112"/>
      <c r="O146" s="112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</row>
    <row r="147" spans="1:31" ht="12" customHeight="1">
      <c r="A147" s="108"/>
      <c r="B147" s="109"/>
      <c r="C147" s="109"/>
      <c r="D147" s="109"/>
      <c r="E147" s="112"/>
      <c r="F147" s="112"/>
      <c r="G147" s="109"/>
      <c r="H147" s="109"/>
      <c r="I147" s="109"/>
      <c r="J147" s="111"/>
      <c r="K147" s="268"/>
      <c r="L147" s="112"/>
      <c r="M147" s="112"/>
      <c r="N147" s="112"/>
      <c r="O147" s="112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</row>
    <row r="148" spans="1:31" ht="12" customHeight="1">
      <c r="A148" s="108"/>
      <c r="B148" s="109"/>
      <c r="C148" s="109"/>
      <c r="D148" s="109"/>
      <c r="E148" s="112"/>
      <c r="F148" s="112"/>
      <c r="G148" s="109"/>
      <c r="H148" s="109"/>
      <c r="I148" s="109"/>
      <c r="J148" s="111"/>
      <c r="K148" s="268"/>
      <c r="L148" s="112"/>
      <c r="M148" s="112"/>
      <c r="N148" s="112"/>
      <c r="O148" s="112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</row>
    <row r="149" spans="1:31" ht="12" customHeight="1">
      <c r="A149" s="108"/>
      <c r="B149" s="109"/>
      <c r="C149" s="109"/>
      <c r="D149" s="109"/>
      <c r="E149" s="112"/>
      <c r="F149" s="112"/>
      <c r="G149" s="109"/>
      <c r="H149" s="109"/>
      <c r="I149" s="109"/>
      <c r="J149" s="111"/>
      <c r="K149" s="268"/>
      <c r="L149" s="112"/>
      <c r="M149" s="112"/>
      <c r="N149" s="112"/>
      <c r="O149" s="112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</row>
    <row r="150" spans="1:31" ht="12" customHeight="1">
      <c r="A150" s="108"/>
      <c r="B150" s="109"/>
      <c r="C150" s="109"/>
      <c r="D150" s="109"/>
      <c r="E150" s="112"/>
      <c r="F150" s="112"/>
      <c r="G150" s="109"/>
      <c r="H150" s="109"/>
      <c r="I150" s="109"/>
      <c r="J150" s="111"/>
      <c r="K150" s="268"/>
      <c r="L150" s="112"/>
      <c r="M150" s="112"/>
      <c r="N150" s="112"/>
      <c r="O150" s="112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</row>
    <row r="151" spans="1:31" ht="12" customHeight="1">
      <c r="A151" s="108"/>
      <c r="B151" s="109"/>
      <c r="C151" s="109"/>
      <c r="D151" s="109"/>
      <c r="E151" s="112"/>
      <c r="F151" s="112"/>
      <c r="G151" s="109"/>
      <c r="H151" s="109"/>
      <c r="I151" s="109"/>
      <c r="J151" s="111"/>
      <c r="K151" s="268"/>
      <c r="L151" s="112"/>
      <c r="M151" s="112"/>
      <c r="N151" s="112"/>
      <c r="O151" s="112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</row>
    <row r="152" spans="1:31" ht="12" customHeight="1">
      <c r="A152" s="108"/>
      <c r="B152" s="109"/>
      <c r="C152" s="109"/>
      <c r="D152" s="109"/>
      <c r="E152" s="112"/>
      <c r="F152" s="112"/>
      <c r="G152" s="109"/>
      <c r="H152" s="109"/>
      <c r="I152" s="109"/>
      <c r="J152" s="111"/>
      <c r="K152" s="268"/>
      <c r="L152" s="112"/>
      <c r="M152" s="112"/>
      <c r="N152" s="112"/>
      <c r="O152" s="112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</row>
    <row r="153" spans="1:31" ht="12" customHeight="1">
      <c r="A153" s="108"/>
      <c r="B153" s="109"/>
      <c r="C153" s="109"/>
      <c r="D153" s="109"/>
      <c r="E153" s="112"/>
      <c r="F153" s="112"/>
      <c r="G153" s="109"/>
      <c r="H153" s="109"/>
      <c r="I153" s="109"/>
      <c r="J153" s="111"/>
      <c r="K153" s="268"/>
      <c r="L153" s="112"/>
      <c r="M153" s="112"/>
      <c r="N153" s="112"/>
      <c r="O153" s="112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</row>
    <row r="154" spans="1:31" ht="12" customHeight="1">
      <c r="A154" s="108"/>
      <c r="B154" s="109"/>
      <c r="C154" s="109"/>
      <c r="D154" s="109"/>
      <c r="E154" s="112"/>
      <c r="F154" s="112"/>
      <c r="G154" s="109"/>
      <c r="H154" s="109"/>
      <c r="I154" s="109"/>
      <c r="J154" s="111"/>
      <c r="K154" s="268"/>
      <c r="L154" s="112"/>
      <c r="M154" s="112"/>
      <c r="N154" s="112"/>
      <c r="O154" s="112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</row>
    <row r="155" spans="1:31" ht="12" customHeight="1">
      <c r="A155" s="108"/>
      <c r="B155" s="109"/>
      <c r="C155" s="109"/>
      <c r="D155" s="109"/>
      <c r="E155" s="112"/>
      <c r="F155" s="112"/>
      <c r="G155" s="109"/>
      <c r="H155" s="109"/>
      <c r="I155" s="109"/>
      <c r="J155" s="111"/>
      <c r="K155" s="268"/>
      <c r="L155" s="112"/>
      <c r="M155" s="112"/>
      <c r="N155" s="112"/>
      <c r="O155" s="112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</row>
    <row r="156" spans="1:31" ht="12" customHeight="1">
      <c r="A156" s="108"/>
      <c r="B156" s="109"/>
      <c r="C156" s="109"/>
      <c r="D156" s="109"/>
      <c r="E156" s="112"/>
      <c r="F156" s="112"/>
      <c r="G156" s="109"/>
      <c r="H156" s="109"/>
      <c r="I156" s="109"/>
      <c r="J156" s="111"/>
      <c r="K156" s="268"/>
      <c r="L156" s="112"/>
      <c r="M156" s="112"/>
      <c r="N156" s="112"/>
      <c r="O156" s="112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</row>
    <row r="157" spans="1:31" ht="12" customHeight="1">
      <c r="A157" s="108"/>
      <c r="B157" s="109"/>
      <c r="C157" s="109"/>
      <c r="D157" s="109"/>
      <c r="E157" s="112"/>
      <c r="F157" s="112"/>
      <c r="G157" s="109"/>
      <c r="H157" s="109"/>
      <c r="I157" s="109"/>
      <c r="J157" s="111"/>
      <c r="K157" s="268"/>
      <c r="L157" s="112"/>
      <c r="M157" s="112"/>
      <c r="N157" s="112"/>
      <c r="O157" s="112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</row>
    <row r="158" spans="1:31" ht="12" customHeight="1">
      <c r="A158" s="108"/>
      <c r="B158" s="109"/>
      <c r="C158" s="109"/>
      <c r="D158" s="109"/>
      <c r="E158" s="112"/>
      <c r="F158" s="112"/>
      <c r="G158" s="109"/>
      <c r="H158" s="109"/>
      <c r="I158" s="109"/>
      <c r="J158" s="111"/>
      <c r="K158" s="268"/>
      <c r="L158" s="112"/>
      <c r="M158" s="112"/>
      <c r="N158" s="112"/>
      <c r="O158" s="112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</row>
    <row r="159" spans="1:31" ht="12" customHeight="1">
      <c r="A159" s="108"/>
      <c r="B159" s="109"/>
      <c r="C159" s="109"/>
      <c r="D159" s="109"/>
      <c r="E159" s="112"/>
      <c r="F159" s="112"/>
      <c r="G159" s="109"/>
      <c r="H159" s="109"/>
      <c r="I159" s="109"/>
      <c r="J159" s="111"/>
      <c r="K159" s="268"/>
      <c r="L159" s="112"/>
      <c r="M159" s="112"/>
      <c r="N159" s="112"/>
      <c r="O159" s="112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</row>
    <row r="160" spans="1:31" ht="12" customHeight="1">
      <c r="A160" s="108"/>
      <c r="B160" s="109"/>
      <c r="C160" s="109"/>
      <c r="D160" s="109"/>
      <c r="E160" s="112"/>
      <c r="F160" s="112"/>
      <c r="G160" s="109"/>
      <c r="H160" s="109"/>
      <c r="I160" s="109"/>
      <c r="J160" s="111"/>
      <c r="K160" s="268"/>
      <c r="L160" s="112"/>
      <c r="M160" s="112"/>
      <c r="N160" s="112"/>
      <c r="O160" s="112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</row>
    <row r="161" spans="1:31" ht="12" customHeight="1">
      <c r="A161" s="108"/>
      <c r="B161" s="109"/>
      <c r="C161" s="109"/>
      <c r="D161" s="109"/>
      <c r="E161" s="112"/>
      <c r="F161" s="112"/>
      <c r="G161" s="109"/>
      <c r="H161" s="109"/>
      <c r="I161" s="109"/>
      <c r="J161" s="111"/>
      <c r="K161" s="268"/>
      <c r="L161" s="112"/>
      <c r="M161" s="112"/>
      <c r="N161" s="112"/>
      <c r="O161" s="112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</row>
    <row r="162" spans="1:31" ht="12" customHeight="1">
      <c r="A162" s="108"/>
      <c r="B162" s="109"/>
      <c r="C162" s="109"/>
      <c r="D162" s="109"/>
      <c r="E162" s="112"/>
      <c r="F162" s="112"/>
      <c r="G162" s="109"/>
      <c r="H162" s="109"/>
      <c r="I162" s="109"/>
      <c r="J162" s="111"/>
      <c r="K162" s="268"/>
      <c r="L162" s="112"/>
      <c r="M162" s="112"/>
      <c r="N162" s="112"/>
      <c r="O162" s="112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</row>
    <row r="163" spans="1:31" ht="12" customHeight="1">
      <c r="A163" s="108"/>
      <c r="B163" s="109"/>
      <c r="C163" s="109"/>
      <c r="D163" s="109"/>
      <c r="E163" s="112"/>
      <c r="F163" s="112"/>
      <c r="G163" s="109"/>
      <c r="H163" s="109"/>
      <c r="I163" s="109"/>
      <c r="J163" s="111"/>
      <c r="K163" s="268"/>
      <c r="L163" s="112"/>
      <c r="M163" s="112"/>
      <c r="N163" s="112"/>
      <c r="O163" s="112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</row>
    <row r="164" spans="1:31" ht="12" customHeight="1">
      <c r="A164" s="108"/>
      <c r="B164" s="109"/>
      <c r="C164" s="109"/>
      <c r="D164" s="109"/>
      <c r="E164" s="112"/>
      <c r="F164" s="112"/>
      <c r="G164" s="109"/>
      <c r="H164" s="109"/>
      <c r="I164" s="109"/>
      <c r="J164" s="111"/>
      <c r="K164" s="268"/>
      <c r="L164" s="112"/>
      <c r="M164" s="112"/>
      <c r="N164" s="112"/>
      <c r="O164" s="112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</row>
    <row r="165" spans="1:31" ht="12" customHeight="1">
      <c r="A165" s="108"/>
      <c r="B165" s="109"/>
      <c r="C165" s="109"/>
      <c r="D165" s="109"/>
      <c r="E165" s="112"/>
      <c r="F165" s="112"/>
      <c r="G165" s="109"/>
      <c r="H165" s="109"/>
      <c r="I165" s="109"/>
      <c r="J165" s="111"/>
      <c r="K165" s="268"/>
      <c r="L165" s="112"/>
      <c r="M165" s="112"/>
      <c r="N165" s="112"/>
      <c r="O165" s="112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</row>
    <row r="166" spans="1:31" ht="12" customHeight="1">
      <c r="A166" s="108"/>
      <c r="B166" s="109"/>
      <c r="C166" s="109"/>
      <c r="D166" s="109"/>
      <c r="E166" s="112"/>
      <c r="F166" s="112"/>
      <c r="G166" s="109"/>
      <c r="H166" s="109"/>
      <c r="I166" s="109"/>
      <c r="J166" s="111"/>
      <c r="K166" s="268"/>
      <c r="L166" s="112"/>
      <c r="M166" s="112"/>
      <c r="N166" s="112"/>
      <c r="O166" s="112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</row>
    <row r="167" spans="1:31" ht="12" customHeight="1">
      <c r="A167" s="108"/>
      <c r="B167" s="109"/>
      <c r="C167" s="109"/>
      <c r="D167" s="109"/>
      <c r="E167" s="112"/>
      <c r="F167" s="112"/>
      <c r="G167" s="109"/>
      <c r="H167" s="109"/>
      <c r="I167" s="109"/>
      <c r="J167" s="111"/>
      <c r="K167" s="268"/>
      <c r="L167" s="112"/>
      <c r="M167" s="112"/>
      <c r="N167" s="112"/>
      <c r="O167" s="112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</row>
    <row r="168" spans="1:31" ht="12" customHeight="1">
      <c r="A168" s="108"/>
      <c r="B168" s="109"/>
      <c r="C168" s="109"/>
      <c r="D168" s="109"/>
      <c r="E168" s="112"/>
      <c r="F168" s="112"/>
      <c r="G168" s="109"/>
      <c r="H168" s="109"/>
      <c r="I168" s="109"/>
      <c r="J168" s="111"/>
      <c r="K168" s="268"/>
      <c r="L168" s="112"/>
      <c r="M168" s="112"/>
      <c r="N168" s="112"/>
      <c r="O168" s="112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</row>
    <row r="169" spans="1:31" ht="12" customHeight="1">
      <c r="A169" s="108"/>
      <c r="B169" s="109"/>
      <c r="C169" s="109"/>
      <c r="D169" s="109"/>
      <c r="E169" s="112"/>
      <c r="F169" s="112"/>
      <c r="G169" s="109"/>
      <c r="H169" s="109"/>
      <c r="I169" s="109"/>
      <c r="J169" s="111"/>
      <c r="K169" s="268"/>
      <c r="L169" s="112"/>
      <c r="M169" s="112"/>
      <c r="N169" s="112"/>
      <c r="O169" s="112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</row>
    <row r="170" spans="1:31" ht="12" customHeight="1">
      <c r="A170" s="108"/>
      <c r="B170" s="109"/>
      <c r="C170" s="109"/>
      <c r="D170" s="109"/>
      <c r="E170" s="112"/>
      <c r="F170" s="112"/>
      <c r="G170" s="109"/>
      <c r="H170" s="109"/>
      <c r="I170" s="109"/>
      <c r="J170" s="111"/>
      <c r="K170" s="268"/>
      <c r="L170" s="112"/>
      <c r="M170" s="112"/>
      <c r="N170" s="112"/>
      <c r="O170" s="112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</row>
    <row r="171" spans="1:31" ht="12" customHeight="1">
      <c r="A171" s="108"/>
      <c r="B171" s="109"/>
      <c r="C171" s="109"/>
      <c r="D171" s="109"/>
      <c r="E171" s="112"/>
      <c r="F171" s="112"/>
      <c r="G171" s="109"/>
      <c r="H171" s="109"/>
      <c r="I171" s="109"/>
      <c r="J171" s="111"/>
      <c r="K171" s="268"/>
      <c r="L171" s="112"/>
      <c r="M171" s="112"/>
      <c r="N171" s="112"/>
      <c r="O171" s="112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</row>
    <row r="172" spans="1:31" ht="12" customHeight="1">
      <c r="A172" s="108"/>
      <c r="B172" s="109"/>
      <c r="C172" s="109"/>
      <c r="D172" s="109"/>
      <c r="E172" s="112"/>
      <c r="F172" s="112"/>
      <c r="G172" s="109"/>
      <c r="H172" s="109"/>
      <c r="I172" s="109"/>
      <c r="J172" s="111"/>
      <c r="K172" s="268"/>
      <c r="L172" s="112"/>
      <c r="M172" s="112"/>
      <c r="N172" s="112"/>
      <c r="O172" s="112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</row>
    <row r="173" spans="1:31" ht="12" customHeight="1">
      <c r="A173" s="108"/>
      <c r="B173" s="109"/>
      <c r="C173" s="109"/>
      <c r="D173" s="109"/>
      <c r="E173" s="112"/>
      <c r="F173" s="112"/>
      <c r="G173" s="109"/>
      <c r="H173" s="109"/>
      <c r="I173" s="109"/>
      <c r="J173" s="111"/>
      <c r="K173" s="268"/>
      <c r="L173" s="112"/>
      <c r="M173" s="112"/>
      <c r="N173" s="112"/>
      <c r="O173" s="112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</row>
    <row r="174" spans="1:31" ht="12" customHeight="1">
      <c r="A174" s="108"/>
      <c r="B174" s="109"/>
      <c r="C174" s="109"/>
      <c r="D174" s="109"/>
      <c r="E174" s="112"/>
      <c r="F174" s="112"/>
      <c r="G174" s="109"/>
      <c r="H174" s="109"/>
      <c r="I174" s="109"/>
      <c r="J174" s="111"/>
      <c r="K174" s="268"/>
      <c r="L174" s="112"/>
      <c r="M174" s="112"/>
      <c r="N174" s="112"/>
      <c r="O174" s="112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</row>
    <row r="175" spans="1:31" ht="12" customHeight="1">
      <c r="A175" s="108"/>
      <c r="B175" s="109"/>
      <c r="C175" s="109"/>
      <c r="D175" s="109"/>
      <c r="E175" s="112"/>
      <c r="F175" s="112"/>
      <c r="G175" s="109"/>
      <c r="H175" s="109"/>
      <c r="I175" s="109"/>
      <c r="J175" s="111"/>
      <c r="K175" s="268"/>
      <c r="L175" s="112"/>
      <c r="M175" s="112"/>
      <c r="N175" s="112"/>
      <c r="O175" s="112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</row>
    <row r="176" spans="1:31" ht="12" customHeight="1">
      <c r="A176" s="108"/>
      <c r="B176" s="109"/>
      <c r="C176" s="109"/>
      <c r="D176" s="109"/>
      <c r="E176" s="112"/>
      <c r="F176" s="112"/>
      <c r="G176" s="109"/>
      <c r="H176" s="109"/>
      <c r="I176" s="109"/>
      <c r="J176" s="111"/>
      <c r="K176" s="268"/>
      <c r="L176" s="112"/>
      <c r="M176" s="112"/>
      <c r="N176" s="112"/>
      <c r="O176" s="112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</row>
    <row r="177" spans="1:31" ht="12" customHeight="1">
      <c r="A177" s="108"/>
      <c r="B177" s="109"/>
      <c r="C177" s="109"/>
      <c r="D177" s="109"/>
      <c r="E177" s="112"/>
      <c r="F177" s="112"/>
      <c r="G177" s="109"/>
      <c r="H177" s="109"/>
      <c r="I177" s="109"/>
      <c r="J177" s="111"/>
      <c r="K177" s="268"/>
      <c r="L177" s="112"/>
      <c r="M177" s="112"/>
      <c r="N177" s="112"/>
      <c r="O177" s="112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</row>
    <row r="178" spans="1:31" ht="12" customHeight="1">
      <c r="A178" s="108"/>
      <c r="B178" s="109"/>
      <c r="C178" s="109"/>
      <c r="D178" s="109"/>
      <c r="E178" s="112"/>
      <c r="F178" s="112"/>
      <c r="G178" s="109"/>
      <c r="H178" s="109"/>
      <c r="I178" s="109"/>
      <c r="J178" s="111"/>
      <c r="K178" s="268"/>
      <c r="L178" s="112"/>
      <c r="M178" s="112"/>
      <c r="N178" s="112"/>
      <c r="O178" s="112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</row>
    <row r="179" spans="1:31" ht="12" customHeight="1">
      <c r="A179" s="108"/>
      <c r="B179" s="109"/>
      <c r="C179" s="109"/>
      <c r="D179" s="109"/>
      <c r="E179" s="112"/>
      <c r="F179" s="112"/>
      <c r="G179" s="109"/>
      <c r="H179" s="109"/>
      <c r="I179" s="109"/>
      <c r="J179" s="111"/>
      <c r="K179" s="268"/>
      <c r="L179" s="112"/>
      <c r="M179" s="112"/>
      <c r="N179" s="112"/>
      <c r="O179" s="112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</row>
    <row r="180" spans="1:31" ht="12" customHeight="1">
      <c r="A180" s="108"/>
      <c r="B180" s="109"/>
      <c r="C180" s="109"/>
      <c r="D180" s="109"/>
      <c r="E180" s="112"/>
      <c r="F180" s="112"/>
      <c r="G180" s="109"/>
      <c r="H180" s="109"/>
      <c r="I180" s="109"/>
      <c r="J180" s="111"/>
      <c r="K180" s="268"/>
      <c r="L180" s="112"/>
      <c r="M180" s="112"/>
      <c r="N180" s="112"/>
      <c r="O180" s="112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</row>
    <row r="181" spans="1:31" ht="12" customHeight="1">
      <c r="A181" s="108"/>
      <c r="B181" s="109"/>
      <c r="C181" s="109"/>
      <c r="D181" s="109"/>
      <c r="E181" s="112"/>
      <c r="F181" s="112"/>
      <c r="G181" s="109"/>
      <c r="H181" s="109"/>
      <c r="I181" s="109"/>
      <c r="J181" s="111"/>
      <c r="K181" s="268"/>
      <c r="L181" s="112"/>
      <c r="M181" s="112"/>
      <c r="N181" s="112"/>
      <c r="O181" s="112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</row>
    <row r="182" spans="1:31" ht="12" customHeight="1">
      <c r="A182" s="108"/>
      <c r="B182" s="109"/>
      <c r="C182" s="109"/>
      <c r="D182" s="109"/>
      <c r="E182" s="112"/>
      <c r="F182" s="112"/>
      <c r="G182" s="109"/>
      <c r="H182" s="109"/>
      <c r="I182" s="109"/>
      <c r="J182" s="111"/>
      <c r="K182" s="268"/>
      <c r="L182" s="112"/>
      <c r="M182" s="112"/>
      <c r="N182" s="112"/>
      <c r="O182" s="112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</row>
    <row r="183" spans="1:31" ht="12" customHeight="1">
      <c r="A183" s="108"/>
      <c r="B183" s="109"/>
      <c r="C183" s="109"/>
      <c r="D183" s="109"/>
      <c r="E183" s="112"/>
      <c r="F183" s="112"/>
      <c r="G183" s="109"/>
      <c r="H183" s="109"/>
      <c r="I183" s="109"/>
      <c r="J183" s="111"/>
      <c r="K183" s="268"/>
      <c r="L183" s="112"/>
      <c r="M183" s="112"/>
      <c r="N183" s="112"/>
      <c r="O183" s="112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</row>
    <row r="184" spans="1:31" ht="12" customHeight="1">
      <c r="A184" s="108"/>
      <c r="B184" s="109"/>
      <c r="C184" s="109"/>
      <c r="D184" s="109"/>
      <c r="E184" s="112"/>
      <c r="F184" s="112"/>
      <c r="G184" s="109"/>
      <c r="H184" s="109"/>
      <c r="I184" s="109"/>
      <c r="J184" s="111"/>
      <c r="K184" s="268"/>
      <c r="L184" s="112"/>
      <c r="M184" s="112"/>
      <c r="N184" s="112"/>
      <c r="O184" s="112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</row>
    <row r="185" spans="1:31" ht="12" customHeight="1">
      <c r="A185" s="108"/>
      <c r="B185" s="109"/>
      <c r="C185" s="109"/>
      <c r="D185" s="109"/>
      <c r="E185" s="112"/>
      <c r="F185" s="112"/>
      <c r="G185" s="109"/>
      <c r="H185" s="109"/>
      <c r="I185" s="109"/>
      <c r="J185" s="111"/>
      <c r="K185" s="268"/>
      <c r="L185" s="112"/>
      <c r="M185" s="112"/>
      <c r="N185" s="112"/>
      <c r="O185" s="112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</row>
    <row r="186" spans="1:31" ht="12" customHeight="1">
      <c r="A186" s="108"/>
      <c r="B186" s="109"/>
      <c r="C186" s="109"/>
      <c r="D186" s="109"/>
      <c r="E186" s="112"/>
      <c r="F186" s="112"/>
      <c r="G186" s="109"/>
      <c r="H186" s="109"/>
      <c r="I186" s="109"/>
      <c r="J186" s="111"/>
      <c r="K186" s="268"/>
      <c r="L186" s="112"/>
      <c r="M186" s="112"/>
      <c r="N186" s="112"/>
      <c r="O186" s="112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</row>
    <row r="187" spans="1:31" ht="12" customHeight="1">
      <c r="A187" s="108"/>
      <c r="B187" s="109"/>
      <c r="C187" s="109"/>
      <c r="D187" s="109"/>
      <c r="E187" s="112"/>
      <c r="F187" s="112"/>
      <c r="G187" s="109"/>
      <c r="H187" s="109"/>
      <c r="I187" s="109"/>
      <c r="J187" s="111"/>
      <c r="K187" s="268"/>
      <c r="L187" s="112"/>
      <c r="M187" s="112"/>
      <c r="N187" s="112"/>
      <c r="O187" s="112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</row>
    <row r="188" spans="1:31" ht="12" customHeight="1">
      <c r="A188" s="108"/>
      <c r="B188" s="109"/>
      <c r="C188" s="109"/>
      <c r="D188" s="109"/>
      <c r="E188" s="112"/>
      <c r="F188" s="112"/>
      <c r="G188" s="109"/>
      <c r="H188" s="109"/>
      <c r="I188" s="109"/>
      <c r="J188" s="111"/>
      <c r="K188" s="268"/>
      <c r="L188" s="112"/>
      <c r="M188" s="112"/>
      <c r="N188" s="112"/>
      <c r="O188" s="112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</row>
    <row r="189" spans="1:31" ht="12" customHeight="1">
      <c r="A189" s="108"/>
      <c r="B189" s="109"/>
      <c r="C189" s="109"/>
      <c r="D189" s="109"/>
      <c r="E189" s="112"/>
      <c r="F189" s="112"/>
      <c r="G189" s="109"/>
      <c r="H189" s="109"/>
      <c r="I189" s="109"/>
      <c r="J189" s="111"/>
      <c r="K189" s="268"/>
      <c r="L189" s="112"/>
      <c r="M189" s="112"/>
      <c r="N189" s="112"/>
      <c r="O189" s="112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</row>
    <row r="190" spans="1:31" ht="12" customHeight="1">
      <c r="A190" s="108"/>
      <c r="B190" s="109"/>
      <c r="C190" s="109"/>
      <c r="D190" s="109"/>
      <c r="E190" s="112"/>
      <c r="F190" s="112"/>
      <c r="G190" s="109"/>
      <c r="H190" s="109"/>
      <c r="I190" s="109"/>
      <c r="J190" s="111"/>
      <c r="K190" s="268"/>
      <c r="L190" s="112"/>
      <c r="M190" s="112"/>
      <c r="N190" s="112"/>
      <c r="O190" s="112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</row>
    <row r="191" spans="1:31" ht="12" customHeight="1">
      <c r="A191" s="108"/>
      <c r="B191" s="109"/>
      <c r="C191" s="109"/>
      <c r="D191" s="109"/>
      <c r="E191" s="112"/>
      <c r="F191" s="112"/>
      <c r="G191" s="109"/>
      <c r="H191" s="109"/>
      <c r="I191" s="109"/>
      <c r="J191" s="111"/>
      <c r="K191" s="268"/>
      <c r="L191" s="112"/>
      <c r="M191" s="112"/>
      <c r="N191" s="112"/>
      <c r="O191" s="112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</row>
    <row r="192" spans="1:31" ht="12" customHeight="1">
      <c r="A192" s="108"/>
      <c r="B192" s="109"/>
      <c r="C192" s="109"/>
      <c r="D192" s="109"/>
      <c r="E192" s="112"/>
      <c r="F192" s="112"/>
      <c r="G192" s="109"/>
      <c r="H192" s="109"/>
      <c r="I192" s="109"/>
      <c r="J192" s="111"/>
      <c r="K192" s="268"/>
      <c r="L192" s="112"/>
      <c r="M192" s="112"/>
      <c r="N192" s="112"/>
      <c r="O192" s="112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</row>
    <row r="193" spans="1:31" ht="12" customHeight="1">
      <c r="A193" s="108"/>
      <c r="B193" s="109"/>
      <c r="C193" s="109"/>
      <c r="D193" s="109"/>
      <c r="E193" s="112"/>
      <c r="F193" s="112"/>
      <c r="G193" s="109"/>
      <c r="H193" s="109"/>
      <c r="I193" s="109"/>
      <c r="J193" s="111"/>
      <c r="K193" s="268"/>
      <c r="L193" s="112"/>
      <c r="M193" s="112"/>
      <c r="N193" s="112"/>
      <c r="O193" s="112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</row>
    <row r="194" spans="1:31" ht="12" customHeight="1">
      <c r="A194" s="108"/>
      <c r="B194" s="109"/>
      <c r="C194" s="109"/>
      <c r="D194" s="109"/>
      <c r="E194" s="112"/>
      <c r="F194" s="112"/>
      <c r="G194" s="109"/>
      <c r="H194" s="109"/>
      <c r="I194" s="109"/>
      <c r="J194" s="111"/>
      <c r="K194" s="268"/>
      <c r="L194" s="112"/>
      <c r="M194" s="112"/>
      <c r="N194" s="112"/>
      <c r="O194" s="112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</row>
    <row r="195" spans="1:31" ht="12" customHeight="1">
      <c r="A195" s="108"/>
      <c r="B195" s="109"/>
      <c r="C195" s="109"/>
      <c r="D195" s="109"/>
      <c r="E195" s="112"/>
      <c r="F195" s="112"/>
      <c r="G195" s="109"/>
      <c r="H195" s="109"/>
      <c r="I195" s="109"/>
      <c r="J195" s="111"/>
      <c r="K195" s="268"/>
      <c r="L195" s="112"/>
      <c r="M195" s="112"/>
      <c r="N195" s="112"/>
      <c r="O195" s="112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</row>
    <row r="196" spans="1:31" ht="12" customHeight="1">
      <c r="A196" s="108"/>
      <c r="B196" s="109"/>
      <c r="C196" s="109"/>
      <c r="D196" s="109"/>
      <c r="E196" s="112"/>
      <c r="F196" s="112"/>
      <c r="G196" s="109"/>
      <c r="H196" s="109"/>
      <c r="I196" s="109"/>
      <c r="J196" s="111"/>
      <c r="K196" s="268"/>
      <c r="L196" s="112"/>
      <c r="M196" s="112"/>
      <c r="N196" s="112"/>
      <c r="O196" s="112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</row>
    <row r="197" spans="1:31" ht="12" customHeight="1">
      <c r="A197" s="108"/>
      <c r="B197" s="109"/>
      <c r="C197" s="109"/>
      <c r="D197" s="109"/>
      <c r="E197" s="112"/>
      <c r="F197" s="112"/>
      <c r="G197" s="109"/>
      <c r="H197" s="109"/>
      <c r="I197" s="109"/>
      <c r="J197" s="111"/>
      <c r="K197" s="268"/>
      <c r="L197" s="112"/>
      <c r="M197" s="112"/>
      <c r="N197" s="112"/>
      <c r="O197" s="112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</row>
    <row r="198" spans="1:31" ht="12" customHeight="1">
      <c r="A198" s="108"/>
      <c r="B198" s="109"/>
      <c r="C198" s="109"/>
      <c r="D198" s="109"/>
      <c r="E198" s="112"/>
      <c r="F198" s="112"/>
      <c r="G198" s="109"/>
      <c r="H198" s="109"/>
      <c r="I198" s="109"/>
      <c r="J198" s="111"/>
      <c r="K198" s="268"/>
      <c r="L198" s="112"/>
      <c r="M198" s="112"/>
      <c r="N198" s="112"/>
      <c r="O198" s="112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</row>
    <row r="199" spans="1:31" ht="12" customHeight="1">
      <c r="A199" s="108"/>
      <c r="B199" s="109"/>
      <c r="C199" s="109"/>
      <c r="D199" s="109"/>
      <c r="E199" s="112"/>
      <c r="F199" s="112"/>
      <c r="G199" s="109"/>
      <c r="H199" s="109"/>
      <c r="I199" s="109"/>
      <c r="J199" s="111"/>
      <c r="K199" s="268"/>
      <c r="L199" s="112"/>
      <c r="M199" s="112"/>
      <c r="N199" s="112"/>
      <c r="O199" s="112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</row>
    <row r="200" spans="1:31" ht="12" customHeight="1">
      <c r="A200" s="108"/>
      <c r="B200" s="109"/>
      <c r="C200" s="109"/>
      <c r="D200" s="109"/>
      <c r="E200" s="112"/>
      <c r="F200" s="112"/>
      <c r="G200" s="109"/>
      <c r="H200" s="109"/>
      <c r="I200" s="109"/>
      <c r="J200" s="111"/>
      <c r="K200" s="268"/>
      <c r="L200" s="112"/>
      <c r="M200" s="112"/>
      <c r="N200" s="112"/>
      <c r="O200" s="112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</row>
    <row r="201" spans="1:31" ht="12" customHeight="1">
      <c r="A201" s="108"/>
      <c r="B201" s="109"/>
      <c r="C201" s="109"/>
      <c r="D201" s="109"/>
      <c r="E201" s="112"/>
      <c r="F201" s="112"/>
      <c r="G201" s="109"/>
      <c r="H201" s="109"/>
      <c r="I201" s="109"/>
      <c r="J201" s="111"/>
      <c r="K201" s="268"/>
      <c r="L201" s="112"/>
      <c r="M201" s="112"/>
      <c r="N201" s="112"/>
      <c r="O201" s="112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</row>
    <row r="202" spans="1:31" ht="12" customHeight="1">
      <c r="A202" s="108"/>
      <c r="B202" s="109"/>
      <c r="C202" s="109"/>
      <c r="D202" s="109"/>
      <c r="E202" s="112"/>
      <c r="F202" s="112"/>
      <c r="G202" s="109"/>
      <c r="H202" s="109"/>
      <c r="I202" s="109"/>
      <c r="J202" s="111"/>
      <c r="K202" s="268"/>
      <c r="L202" s="112"/>
      <c r="M202" s="112"/>
      <c r="N202" s="112"/>
      <c r="O202" s="112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</row>
    <row r="203" spans="1:31" ht="12" customHeight="1">
      <c r="A203" s="108"/>
      <c r="B203" s="109"/>
      <c r="C203" s="109"/>
      <c r="D203" s="109"/>
      <c r="E203" s="112"/>
      <c r="F203" s="112"/>
      <c r="G203" s="109"/>
      <c r="H203" s="109"/>
      <c r="I203" s="109"/>
      <c r="J203" s="111"/>
      <c r="K203" s="268"/>
      <c r="L203" s="112"/>
      <c r="M203" s="112"/>
      <c r="N203" s="112"/>
      <c r="O203" s="112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</row>
    <row r="204" spans="1:31" ht="12" customHeight="1">
      <c r="A204" s="108"/>
      <c r="B204" s="109"/>
      <c r="C204" s="109"/>
      <c r="D204" s="109"/>
      <c r="E204" s="112"/>
      <c r="F204" s="112"/>
      <c r="G204" s="109"/>
      <c r="H204" s="109"/>
      <c r="I204" s="109"/>
      <c r="J204" s="111"/>
      <c r="K204" s="268"/>
      <c r="L204" s="112"/>
      <c r="M204" s="112"/>
      <c r="N204" s="112"/>
      <c r="O204" s="112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</row>
    <row r="205" spans="1:31" ht="12" customHeight="1">
      <c r="A205" s="108"/>
      <c r="B205" s="109"/>
      <c r="C205" s="109"/>
      <c r="D205" s="109"/>
      <c r="E205" s="112"/>
      <c r="F205" s="112"/>
      <c r="G205" s="109"/>
      <c r="H205" s="109"/>
      <c r="I205" s="109"/>
      <c r="J205" s="111"/>
      <c r="K205" s="268"/>
      <c r="L205" s="112"/>
      <c r="M205" s="112"/>
      <c r="N205" s="112"/>
      <c r="O205" s="112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</row>
    <row r="206" spans="1:31" ht="12" customHeight="1">
      <c r="A206" s="108"/>
      <c r="B206" s="109"/>
      <c r="C206" s="109"/>
      <c r="D206" s="109"/>
      <c r="E206" s="112"/>
      <c r="F206" s="112"/>
      <c r="G206" s="109"/>
      <c r="H206" s="109"/>
      <c r="I206" s="109"/>
      <c r="J206" s="111"/>
      <c r="K206" s="268"/>
      <c r="L206" s="112"/>
      <c r="M206" s="112"/>
      <c r="N206" s="112"/>
      <c r="O206" s="112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</row>
    <row r="207" spans="1:31" ht="12" customHeight="1">
      <c r="A207" s="108"/>
      <c r="B207" s="109"/>
      <c r="C207" s="109"/>
      <c r="D207" s="109"/>
      <c r="E207" s="112"/>
      <c r="F207" s="112"/>
      <c r="G207" s="109"/>
      <c r="H207" s="109"/>
      <c r="I207" s="109"/>
      <c r="J207" s="111"/>
      <c r="K207" s="268"/>
      <c r="L207" s="112"/>
      <c r="M207" s="112"/>
      <c r="N207" s="112"/>
      <c r="O207" s="112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</row>
    <row r="208" spans="1:31" ht="12" customHeight="1">
      <c r="A208" s="108"/>
      <c r="B208" s="109"/>
      <c r="C208" s="109"/>
      <c r="D208" s="109"/>
      <c r="E208" s="112"/>
      <c r="F208" s="112"/>
      <c r="G208" s="109"/>
      <c r="H208" s="109"/>
      <c r="I208" s="109"/>
      <c r="J208" s="111"/>
      <c r="K208" s="268"/>
      <c r="L208" s="112"/>
      <c r="M208" s="112"/>
      <c r="N208" s="112"/>
      <c r="O208" s="112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</row>
    <row r="209" spans="1:31" ht="12" customHeight="1">
      <c r="A209" s="108"/>
      <c r="B209" s="109"/>
      <c r="C209" s="109"/>
      <c r="D209" s="109"/>
      <c r="E209" s="112"/>
      <c r="F209" s="112"/>
      <c r="G209" s="109"/>
      <c r="H209" s="109"/>
      <c r="I209" s="109"/>
      <c r="J209" s="111"/>
      <c r="K209" s="268"/>
      <c r="L209" s="112"/>
      <c r="M209" s="112"/>
      <c r="N209" s="112"/>
      <c r="O209" s="112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</row>
    <row r="210" spans="1:31" ht="12" customHeight="1">
      <c r="A210" s="108"/>
      <c r="B210" s="109"/>
      <c r="C210" s="109"/>
      <c r="D210" s="109"/>
      <c r="E210" s="112"/>
      <c r="F210" s="112"/>
      <c r="G210" s="109"/>
      <c r="H210" s="109"/>
      <c r="I210" s="109"/>
      <c r="J210" s="111"/>
      <c r="K210" s="268"/>
      <c r="L210" s="112"/>
      <c r="M210" s="112"/>
      <c r="N210" s="112"/>
      <c r="O210" s="112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</row>
    <row r="211" spans="1:31" ht="12" customHeight="1">
      <c r="A211" s="108"/>
      <c r="B211" s="109"/>
      <c r="C211" s="109"/>
      <c r="D211" s="109"/>
      <c r="E211" s="112"/>
      <c r="F211" s="112"/>
      <c r="G211" s="109"/>
      <c r="H211" s="109"/>
      <c r="I211" s="109"/>
      <c r="J211" s="111"/>
      <c r="K211" s="268"/>
      <c r="L211" s="112"/>
      <c r="M211" s="112"/>
      <c r="N211" s="112"/>
      <c r="O211" s="112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</row>
    <row r="212" spans="1:31" ht="12" customHeight="1">
      <c r="A212" s="108"/>
      <c r="B212" s="109"/>
      <c r="C212" s="109"/>
      <c r="D212" s="109"/>
      <c r="E212" s="112"/>
      <c r="F212" s="112"/>
      <c r="G212" s="109"/>
      <c r="H212" s="109"/>
      <c r="I212" s="109"/>
      <c r="J212" s="111"/>
      <c r="K212" s="268"/>
      <c r="L212" s="112"/>
      <c r="M212" s="112"/>
      <c r="N212" s="112"/>
      <c r="O212" s="112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</row>
    <row r="213" spans="1:31" ht="12" customHeight="1">
      <c r="A213" s="108"/>
      <c r="B213" s="109"/>
      <c r="C213" s="109"/>
      <c r="D213" s="109"/>
      <c r="E213" s="112"/>
      <c r="F213" s="112"/>
      <c r="G213" s="109"/>
      <c r="H213" s="109"/>
      <c r="I213" s="109"/>
      <c r="J213" s="111"/>
      <c r="K213" s="268"/>
      <c r="L213" s="112"/>
      <c r="M213" s="112"/>
      <c r="N213" s="112"/>
      <c r="O213" s="112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</row>
    <row r="214" spans="1:31" ht="12" customHeight="1">
      <c r="A214" s="108"/>
      <c r="B214" s="109"/>
      <c r="C214" s="109"/>
      <c r="D214" s="109"/>
      <c r="E214" s="112"/>
      <c r="F214" s="112"/>
      <c r="G214" s="109"/>
      <c r="H214" s="109"/>
      <c r="I214" s="109"/>
      <c r="J214" s="111"/>
      <c r="K214" s="268"/>
      <c r="L214" s="112"/>
      <c r="M214" s="112"/>
      <c r="N214" s="112"/>
      <c r="O214" s="112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</row>
    <row r="215" spans="1:31" ht="12" customHeight="1">
      <c r="A215" s="108"/>
      <c r="B215" s="109"/>
      <c r="C215" s="109"/>
      <c r="D215" s="109"/>
      <c r="E215" s="112"/>
      <c r="F215" s="112"/>
      <c r="G215" s="109"/>
      <c r="H215" s="109"/>
      <c r="I215" s="109"/>
      <c r="J215" s="111"/>
      <c r="K215" s="268"/>
      <c r="L215" s="112"/>
      <c r="M215" s="112"/>
      <c r="N215" s="112"/>
      <c r="O215" s="112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</row>
    <row r="216" spans="1:31" ht="12" customHeight="1">
      <c r="A216" s="108"/>
      <c r="B216" s="109"/>
      <c r="C216" s="109"/>
      <c r="D216" s="109"/>
      <c r="E216" s="112"/>
      <c r="F216" s="112"/>
      <c r="G216" s="109"/>
      <c r="H216" s="109"/>
      <c r="I216" s="109"/>
      <c r="J216" s="111"/>
      <c r="K216" s="268"/>
      <c r="L216" s="112"/>
      <c r="M216" s="112"/>
      <c r="N216" s="112"/>
      <c r="O216" s="112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</row>
    <row r="217" spans="1:31" ht="12" customHeight="1">
      <c r="A217" s="108"/>
      <c r="B217" s="109"/>
      <c r="C217" s="109"/>
      <c r="D217" s="109"/>
      <c r="E217" s="112"/>
      <c r="F217" s="112"/>
      <c r="G217" s="109"/>
      <c r="H217" s="109"/>
      <c r="I217" s="109"/>
      <c r="J217" s="111"/>
      <c r="K217" s="268"/>
      <c r="L217" s="112"/>
      <c r="M217" s="112"/>
      <c r="N217" s="112"/>
      <c r="O217" s="112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</row>
    <row r="218" spans="1:31" ht="12" customHeight="1">
      <c r="A218" s="108"/>
      <c r="B218" s="109"/>
      <c r="C218" s="109"/>
      <c r="D218" s="109"/>
      <c r="E218" s="112"/>
      <c r="F218" s="112"/>
      <c r="G218" s="109"/>
      <c r="H218" s="109"/>
      <c r="I218" s="109"/>
      <c r="J218" s="111"/>
      <c r="K218" s="268"/>
      <c r="L218" s="112"/>
      <c r="M218" s="112"/>
      <c r="N218" s="112"/>
      <c r="O218" s="112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</row>
    <row r="219" spans="1:31" ht="12" customHeight="1">
      <c r="A219" s="108"/>
      <c r="B219" s="109"/>
      <c r="C219" s="109"/>
      <c r="D219" s="109"/>
      <c r="E219" s="112"/>
      <c r="F219" s="112"/>
      <c r="G219" s="109"/>
      <c r="H219" s="109"/>
      <c r="I219" s="109"/>
      <c r="J219" s="111"/>
      <c r="K219" s="268"/>
      <c r="L219" s="112"/>
      <c r="M219" s="112"/>
      <c r="N219" s="112"/>
      <c r="O219" s="112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</row>
    <row r="220" spans="1:31" ht="12" customHeight="1">
      <c r="A220" s="108"/>
      <c r="B220" s="109"/>
      <c r="C220" s="109"/>
      <c r="D220" s="109"/>
      <c r="E220" s="112"/>
      <c r="F220" s="112"/>
      <c r="G220" s="109"/>
      <c r="H220" s="109"/>
      <c r="I220" s="109"/>
      <c r="J220" s="111"/>
      <c r="K220" s="268"/>
      <c r="L220" s="112"/>
      <c r="M220" s="112"/>
      <c r="N220" s="112"/>
      <c r="O220" s="112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</row>
    <row r="221" spans="1:31" ht="12" customHeight="1">
      <c r="A221" s="108"/>
      <c r="B221" s="109"/>
      <c r="C221" s="109"/>
      <c r="D221" s="109"/>
      <c r="E221" s="112"/>
      <c r="F221" s="112"/>
      <c r="G221" s="109"/>
      <c r="H221" s="109"/>
      <c r="I221" s="109"/>
      <c r="J221" s="111"/>
      <c r="K221" s="268"/>
      <c r="L221" s="112"/>
      <c r="M221" s="112"/>
      <c r="N221" s="112"/>
      <c r="O221" s="112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</row>
    <row r="222" spans="1:31" ht="12" customHeight="1">
      <c r="A222" s="108"/>
      <c r="B222" s="109"/>
      <c r="C222" s="109"/>
      <c r="D222" s="109"/>
      <c r="E222" s="112"/>
      <c r="F222" s="112"/>
      <c r="G222" s="109"/>
      <c r="H222" s="109"/>
      <c r="I222" s="109"/>
      <c r="J222" s="111"/>
      <c r="K222" s="268"/>
      <c r="L222" s="112"/>
      <c r="M222" s="112"/>
      <c r="N222" s="112"/>
      <c r="O222" s="112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</row>
    <row r="223" spans="1:31" ht="12" customHeight="1">
      <c r="A223" s="108"/>
      <c r="B223" s="109"/>
      <c r="C223" s="109"/>
      <c r="D223" s="109"/>
      <c r="E223" s="112"/>
      <c r="F223" s="112"/>
      <c r="G223" s="109"/>
      <c r="H223" s="109"/>
      <c r="I223" s="109"/>
      <c r="J223" s="111"/>
      <c r="K223" s="268"/>
      <c r="L223" s="112"/>
      <c r="M223" s="112"/>
      <c r="N223" s="112"/>
      <c r="O223" s="112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</row>
    <row r="224" spans="1:31" ht="12" customHeight="1">
      <c r="A224" s="108"/>
      <c r="B224" s="109"/>
      <c r="C224" s="109"/>
      <c r="D224" s="109"/>
      <c r="E224" s="112"/>
      <c r="F224" s="112"/>
      <c r="G224" s="109"/>
      <c r="H224" s="109"/>
      <c r="I224" s="109"/>
      <c r="J224" s="111"/>
      <c r="K224" s="268"/>
      <c r="L224" s="112"/>
      <c r="M224" s="112"/>
      <c r="N224" s="112"/>
      <c r="O224" s="112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</row>
    <row r="225" spans="1:31" ht="12" customHeight="1">
      <c r="A225" s="108"/>
      <c r="B225" s="109"/>
      <c r="C225" s="109"/>
      <c r="D225" s="109"/>
      <c r="E225" s="112"/>
      <c r="F225" s="112"/>
      <c r="G225" s="109"/>
      <c r="H225" s="109"/>
      <c r="I225" s="109"/>
      <c r="J225" s="111"/>
      <c r="K225" s="268"/>
      <c r="L225" s="112"/>
      <c r="M225" s="112"/>
      <c r="N225" s="112"/>
      <c r="O225" s="112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</row>
    <row r="226" spans="1:31" ht="12" customHeight="1">
      <c r="A226" s="108"/>
      <c r="B226" s="109"/>
      <c r="C226" s="109"/>
      <c r="D226" s="109"/>
      <c r="E226" s="112"/>
      <c r="F226" s="112"/>
      <c r="G226" s="109"/>
      <c r="H226" s="109"/>
      <c r="I226" s="109"/>
      <c r="J226" s="111"/>
      <c r="K226" s="268"/>
      <c r="L226" s="112"/>
      <c r="M226" s="112"/>
      <c r="N226" s="112"/>
      <c r="O226" s="112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</row>
    <row r="227" spans="1:31" ht="12" customHeight="1">
      <c r="A227" s="108"/>
      <c r="B227" s="109"/>
      <c r="C227" s="109"/>
      <c r="D227" s="109"/>
      <c r="E227" s="112"/>
      <c r="F227" s="112"/>
      <c r="G227" s="109"/>
      <c r="H227" s="109"/>
      <c r="I227" s="109"/>
      <c r="J227" s="111"/>
      <c r="K227" s="268"/>
      <c r="L227" s="112"/>
      <c r="M227" s="112"/>
      <c r="N227" s="112"/>
      <c r="O227" s="112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</row>
    <row r="228" spans="1:31" ht="12" customHeight="1">
      <c r="A228" s="108"/>
      <c r="B228" s="109"/>
      <c r="C228" s="109"/>
      <c r="D228" s="109"/>
      <c r="E228" s="112"/>
      <c r="F228" s="112"/>
      <c r="G228" s="109"/>
      <c r="H228" s="109"/>
      <c r="I228" s="109"/>
      <c r="J228" s="111"/>
      <c r="K228" s="268"/>
      <c r="L228" s="112"/>
      <c r="M228" s="112"/>
      <c r="N228" s="112"/>
      <c r="O228" s="112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</row>
    <row r="229" spans="1:31" ht="12" customHeight="1">
      <c r="A229" s="108"/>
      <c r="B229" s="109"/>
      <c r="C229" s="109"/>
      <c r="D229" s="109"/>
      <c r="E229" s="112"/>
      <c r="F229" s="112"/>
      <c r="G229" s="109"/>
      <c r="H229" s="109"/>
      <c r="I229" s="109"/>
      <c r="J229" s="111"/>
      <c r="K229" s="268"/>
      <c r="L229" s="112"/>
      <c r="M229" s="112"/>
      <c r="N229" s="112"/>
      <c r="O229" s="112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</row>
    <row r="230" spans="1:31" ht="12" customHeight="1">
      <c r="A230" s="108"/>
      <c r="B230" s="109"/>
      <c r="C230" s="109"/>
      <c r="D230" s="109"/>
      <c r="E230" s="112"/>
      <c r="F230" s="112"/>
      <c r="G230" s="109"/>
      <c r="H230" s="109"/>
      <c r="I230" s="109"/>
      <c r="J230" s="111"/>
      <c r="K230" s="268"/>
      <c r="L230" s="112"/>
      <c r="M230" s="112"/>
      <c r="N230" s="112"/>
      <c r="O230" s="112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</row>
    <row r="231" spans="1:31" ht="12" customHeight="1">
      <c r="A231" s="108"/>
      <c r="B231" s="109"/>
      <c r="C231" s="109"/>
      <c r="D231" s="109"/>
      <c r="E231" s="112"/>
      <c r="F231" s="112"/>
      <c r="G231" s="109"/>
      <c r="H231" s="109"/>
      <c r="I231" s="109"/>
      <c r="J231" s="111"/>
      <c r="K231" s="268"/>
      <c r="L231" s="112"/>
      <c r="M231" s="112"/>
      <c r="N231" s="112"/>
      <c r="O231" s="112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</row>
    <row r="232" spans="1:31" ht="12" customHeight="1">
      <c r="A232" s="108"/>
      <c r="B232" s="109"/>
      <c r="C232" s="109"/>
      <c r="D232" s="109"/>
      <c r="E232" s="112"/>
      <c r="F232" s="112"/>
      <c r="G232" s="109"/>
      <c r="H232" s="109"/>
      <c r="I232" s="109"/>
      <c r="J232" s="111"/>
      <c r="K232" s="268"/>
      <c r="L232" s="112"/>
      <c r="M232" s="112"/>
      <c r="N232" s="112"/>
      <c r="O232" s="112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</row>
    <row r="233" spans="1:31" ht="12" customHeight="1">
      <c r="A233" s="108"/>
      <c r="B233" s="109"/>
      <c r="C233" s="109"/>
      <c r="D233" s="109"/>
      <c r="E233" s="112"/>
      <c r="F233" s="112"/>
      <c r="G233" s="109"/>
      <c r="H233" s="109"/>
      <c r="I233" s="109"/>
      <c r="J233" s="111"/>
      <c r="K233" s="268"/>
      <c r="L233" s="112"/>
      <c r="M233" s="112"/>
      <c r="N233" s="112"/>
      <c r="O233" s="112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</row>
    <row r="234" spans="1:31" ht="12" customHeight="1">
      <c r="A234" s="108"/>
      <c r="B234" s="109"/>
      <c r="C234" s="109"/>
      <c r="D234" s="109"/>
      <c r="E234" s="112"/>
      <c r="F234" s="112"/>
      <c r="G234" s="109"/>
      <c r="H234" s="109"/>
      <c r="I234" s="109"/>
      <c r="J234" s="111"/>
      <c r="K234" s="268"/>
      <c r="L234" s="112"/>
      <c r="M234" s="112"/>
      <c r="N234" s="112"/>
      <c r="O234" s="112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</row>
    <row r="235" spans="1:31" ht="12" customHeight="1">
      <c r="A235" s="108"/>
      <c r="B235" s="109"/>
      <c r="C235" s="109"/>
      <c r="D235" s="109"/>
      <c r="E235" s="112"/>
      <c r="F235" s="112"/>
      <c r="G235" s="109"/>
      <c r="H235" s="109"/>
      <c r="I235" s="109"/>
      <c r="J235" s="111"/>
      <c r="K235" s="268"/>
      <c r="L235" s="112"/>
      <c r="M235" s="112"/>
      <c r="N235" s="112"/>
      <c r="O235" s="112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</row>
    <row r="236" spans="1:31" ht="12" customHeight="1">
      <c r="A236" s="108"/>
      <c r="B236" s="109"/>
      <c r="C236" s="109"/>
      <c r="D236" s="109"/>
      <c r="E236" s="112"/>
      <c r="F236" s="112"/>
      <c r="G236" s="109"/>
      <c r="H236" s="109"/>
      <c r="I236" s="109"/>
      <c r="J236" s="111"/>
      <c r="K236" s="268"/>
      <c r="L236" s="112"/>
      <c r="M236" s="112"/>
      <c r="N236" s="112"/>
      <c r="O236" s="112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</row>
    <row r="237" spans="1:31" ht="12" customHeight="1">
      <c r="A237" s="108"/>
      <c r="B237" s="109"/>
      <c r="C237" s="109"/>
      <c r="D237" s="109"/>
      <c r="E237" s="112"/>
      <c r="F237" s="112"/>
      <c r="G237" s="109"/>
      <c r="H237" s="109"/>
      <c r="I237" s="109"/>
      <c r="J237" s="111"/>
      <c r="K237" s="268"/>
      <c r="L237" s="112"/>
      <c r="M237" s="112"/>
      <c r="N237" s="112"/>
      <c r="O237" s="112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</row>
    <row r="238" spans="1:31" ht="12" customHeight="1">
      <c r="A238" s="108"/>
      <c r="B238" s="109"/>
      <c r="C238" s="109"/>
      <c r="D238" s="109"/>
      <c r="E238" s="112"/>
      <c r="F238" s="112"/>
      <c r="G238" s="109"/>
      <c r="H238" s="109"/>
      <c r="I238" s="109"/>
      <c r="J238" s="111"/>
      <c r="K238" s="268"/>
      <c r="L238" s="112"/>
      <c r="M238" s="112"/>
      <c r="N238" s="112"/>
      <c r="O238" s="112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</row>
    <row r="239" spans="1:31" ht="12" customHeight="1">
      <c r="A239" s="108"/>
      <c r="B239" s="109"/>
      <c r="C239" s="109"/>
      <c r="D239" s="109"/>
      <c r="E239" s="112"/>
      <c r="F239" s="112"/>
      <c r="G239" s="109"/>
      <c r="H239" s="109"/>
      <c r="I239" s="109"/>
      <c r="J239" s="111"/>
      <c r="K239" s="268"/>
      <c r="L239" s="112"/>
      <c r="M239" s="112"/>
      <c r="N239" s="112"/>
      <c r="O239" s="112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</row>
    <row r="240" spans="1:31" ht="12" customHeight="1">
      <c r="A240" s="108"/>
      <c r="B240" s="109"/>
      <c r="C240" s="109"/>
      <c r="D240" s="109"/>
      <c r="E240" s="112"/>
      <c r="F240" s="112"/>
      <c r="G240" s="109"/>
      <c r="H240" s="109"/>
      <c r="I240" s="109"/>
      <c r="J240" s="111"/>
      <c r="K240" s="268"/>
      <c r="L240" s="112"/>
      <c r="M240" s="112"/>
      <c r="N240" s="112"/>
      <c r="O240" s="112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</row>
    <row r="241" spans="1:31" ht="12" customHeight="1">
      <c r="A241" s="108"/>
      <c r="B241" s="109"/>
      <c r="C241" s="109"/>
      <c r="D241" s="109"/>
      <c r="E241" s="112"/>
      <c r="F241" s="112"/>
      <c r="G241" s="109"/>
      <c r="H241" s="109"/>
      <c r="I241" s="109"/>
      <c r="J241" s="111"/>
      <c r="K241" s="268"/>
      <c r="L241" s="112"/>
      <c r="M241" s="112"/>
      <c r="N241" s="112"/>
      <c r="O241" s="112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</row>
    <row r="242" spans="1:31" ht="12" customHeight="1">
      <c r="A242" s="108"/>
      <c r="B242" s="109"/>
      <c r="C242" s="109"/>
      <c r="D242" s="109"/>
      <c r="E242" s="112"/>
      <c r="F242" s="112"/>
      <c r="G242" s="109"/>
      <c r="H242" s="109"/>
      <c r="I242" s="109"/>
      <c r="J242" s="111"/>
      <c r="K242" s="268"/>
      <c r="L242" s="112"/>
      <c r="M242" s="112"/>
      <c r="N242" s="112"/>
      <c r="O242" s="112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</row>
    <row r="243" spans="1:31" ht="12" customHeight="1">
      <c r="A243" s="108"/>
      <c r="B243" s="109"/>
      <c r="C243" s="109"/>
      <c r="D243" s="109"/>
      <c r="E243" s="112"/>
      <c r="F243" s="112"/>
      <c r="G243" s="109"/>
      <c r="H243" s="109"/>
      <c r="I243" s="109"/>
      <c r="J243" s="111"/>
      <c r="K243" s="268"/>
      <c r="L243" s="112"/>
      <c r="M243" s="112"/>
      <c r="N243" s="112"/>
      <c r="O243" s="112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</row>
    <row r="244" spans="1:31" ht="12" customHeight="1">
      <c r="A244" s="108"/>
      <c r="B244" s="109"/>
      <c r="C244" s="109"/>
      <c r="D244" s="109"/>
      <c r="E244" s="112"/>
      <c r="F244" s="112"/>
      <c r="G244" s="109"/>
      <c r="H244" s="109"/>
      <c r="I244" s="109"/>
      <c r="J244" s="111"/>
      <c r="K244" s="268"/>
      <c r="L244" s="112"/>
      <c r="M244" s="112"/>
      <c r="N244" s="112"/>
      <c r="O244" s="112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</row>
    <row r="245" spans="1:31" ht="12" customHeight="1">
      <c r="A245" s="108"/>
      <c r="B245" s="109"/>
      <c r="C245" s="109"/>
      <c r="D245" s="109"/>
      <c r="E245" s="112"/>
      <c r="F245" s="112"/>
      <c r="G245" s="109"/>
      <c r="H245" s="109"/>
      <c r="I245" s="109"/>
      <c r="J245" s="111"/>
      <c r="K245" s="268"/>
      <c r="L245" s="112"/>
      <c r="M245" s="112"/>
      <c r="N245" s="112"/>
      <c r="O245" s="112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</row>
    <row r="246" spans="1:31" ht="12" customHeight="1">
      <c r="A246" s="108"/>
      <c r="B246" s="109"/>
      <c r="C246" s="109"/>
      <c r="D246" s="109"/>
      <c r="E246" s="112"/>
      <c r="F246" s="112"/>
      <c r="G246" s="109"/>
      <c r="H246" s="109"/>
      <c r="I246" s="109"/>
      <c r="J246" s="111"/>
      <c r="K246" s="268"/>
      <c r="L246" s="112"/>
      <c r="M246" s="112"/>
      <c r="N246" s="112"/>
      <c r="O246" s="112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</row>
    <row r="247" spans="1:31" ht="12" customHeight="1">
      <c r="A247" s="108"/>
      <c r="B247" s="109"/>
      <c r="C247" s="109"/>
      <c r="D247" s="109"/>
      <c r="E247" s="112"/>
      <c r="F247" s="112"/>
      <c r="G247" s="109"/>
      <c r="H247" s="109"/>
      <c r="I247" s="109"/>
      <c r="J247" s="111"/>
      <c r="K247" s="268"/>
      <c r="L247" s="112"/>
      <c r="M247" s="112"/>
      <c r="N247" s="112"/>
      <c r="O247" s="112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</row>
    <row r="248" spans="1:31" ht="12" customHeight="1">
      <c r="A248" s="108"/>
      <c r="B248" s="109"/>
      <c r="C248" s="109"/>
      <c r="D248" s="109"/>
      <c r="E248" s="112"/>
      <c r="F248" s="112"/>
      <c r="G248" s="109"/>
      <c r="H248" s="109"/>
      <c r="I248" s="109"/>
      <c r="J248" s="111"/>
      <c r="K248" s="268"/>
      <c r="L248" s="112"/>
      <c r="M248" s="112"/>
      <c r="N248" s="112"/>
      <c r="O248" s="112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</row>
    <row r="249" spans="1:31" ht="12" customHeight="1">
      <c r="A249" s="108"/>
      <c r="B249" s="109"/>
      <c r="C249" s="109"/>
      <c r="D249" s="109"/>
      <c r="E249" s="112"/>
      <c r="F249" s="112"/>
      <c r="G249" s="109"/>
      <c r="H249" s="109"/>
      <c r="I249" s="109"/>
      <c r="J249" s="111"/>
      <c r="K249" s="268"/>
      <c r="L249" s="112"/>
      <c r="M249" s="112"/>
      <c r="N249" s="112"/>
      <c r="O249" s="112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</row>
    <row r="250" spans="1:31" ht="12" customHeight="1">
      <c r="A250" s="108"/>
      <c r="B250" s="109"/>
      <c r="C250" s="109"/>
      <c r="D250" s="109"/>
      <c r="E250" s="112"/>
      <c r="F250" s="112"/>
      <c r="G250" s="109"/>
      <c r="H250" s="109"/>
      <c r="I250" s="109"/>
      <c r="J250" s="111"/>
      <c r="K250" s="268"/>
      <c r="L250" s="112"/>
      <c r="M250" s="112"/>
      <c r="N250" s="112"/>
      <c r="O250" s="112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</row>
    <row r="251" spans="1:31" ht="12" customHeight="1">
      <c r="A251" s="108"/>
      <c r="B251" s="109"/>
      <c r="C251" s="109"/>
      <c r="D251" s="109"/>
      <c r="E251" s="112"/>
      <c r="F251" s="112"/>
      <c r="G251" s="109"/>
      <c r="H251" s="109"/>
      <c r="I251" s="109"/>
      <c r="J251" s="111"/>
      <c r="K251" s="268"/>
      <c r="L251" s="112"/>
      <c r="M251" s="112"/>
      <c r="N251" s="112"/>
      <c r="O251" s="112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</row>
    <row r="252" spans="1:31" ht="12" customHeight="1">
      <c r="A252" s="108"/>
      <c r="B252" s="109"/>
      <c r="C252" s="109"/>
      <c r="D252" s="109"/>
      <c r="E252" s="112"/>
      <c r="F252" s="112"/>
      <c r="G252" s="109"/>
      <c r="H252" s="109"/>
      <c r="I252" s="109"/>
      <c r="J252" s="111"/>
      <c r="K252" s="268"/>
      <c r="L252" s="112"/>
      <c r="M252" s="112"/>
      <c r="N252" s="112"/>
      <c r="O252" s="112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</row>
    <row r="253" spans="1:31" ht="12" customHeight="1">
      <c r="A253" s="108"/>
      <c r="B253" s="109"/>
      <c r="C253" s="109"/>
      <c r="D253" s="109"/>
      <c r="E253" s="112"/>
      <c r="F253" s="112"/>
      <c r="G253" s="109"/>
      <c r="H253" s="109"/>
      <c r="I253" s="109"/>
      <c r="J253" s="111"/>
      <c r="K253" s="268"/>
      <c r="L253" s="112"/>
      <c r="M253" s="112"/>
      <c r="N253" s="112"/>
      <c r="O253" s="112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</row>
    <row r="254" spans="1:31" ht="12" customHeight="1">
      <c r="A254" s="108"/>
      <c r="B254" s="109"/>
      <c r="C254" s="109"/>
      <c r="D254" s="109"/>
      <c r="E254" s="112"/>
      <c r="F254" s="112"/>
      <c r="G254" s="109"/>
      <c r="H254" s="109"/>
      <c r="I254" s="109"/>
      <c r="J254" s="111"/>
      <c r="K254" s="268"/>
      <c r="L254" s="112"/>
      <c r="M254" s="112"/>
      <c r="N254" s="112"/>
      <c r="O254" s="112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</row>
    <row r="255" spans="1:31" ht="12" customHeight="1">
      <c r="A255" s="108"/>
      <c r="B255" s="109"/>
      <c r="C255" s="109"/>
      <c r="D255" s="109"/>
      <c r="E255" s="112"/>
      <c r="F255" s="112"/>
      <c r="G255" s="109"/>
      <c r="H255" s="109"/>
      <c r="I255" s="109"/>
      <c r="J255" s="111"/>
      <c r="K255" s="268"/>
      <c r="L255" s="112"/>
      <c r="M255" s="112"/>
      <c r="N255" s="112"/>
      <c r="O255" s="112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</row>
    <row r="256" spans="1:31" ht="12" customHeight="1">
      <c r="A256" s="108"/>
      <c r="B256" s="109"/>
      <c r="C256" s="109"/>
      <c r="D256" s="109"/>
      <c r="E256" s="112"/>
      <c r="F256" s="112"/>
      <c r="G256" s="109"/>
      <c r="H256" s="109"/>
      <c r="I256" s="109"/>
      <c r="J256" s="111"/>
      <c r="K256" s="268"/>
      <c r="L256" s="112"/>
      <c r="M256" s="112"/>
      <c r="N256" s="112"/>
      <c r="O256" s="112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</row>
    <row r="257" spans="1:31" ht="12" customHeight="1">
      <c r="A257" s="108"/>
      <c r="B257" s="109"/>
      <c r="C257" s="109"/>
      <c r="D257" s="109"/>
      <c r="E257" s="112"/>
      <c r="F257" s="112"/>
      <c r="G257" s="109"/>
      <c r="H257" s="109"/>
      <c r="I257" s="109"/>
      <c r="J257" s="111"/>
      <c r="K257" s="268"/>
      <c r="L257" s="112"/>
      <c r="M257" s="112"/>
      <c r="N257" s="112"/>
      <c r="O257" s="112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</row>
    <row r="258" spans="1:31" ht="12" customHeight="1">
      <c r="A258" s="108"/>
      <c r="B258" s="109"/>
      <c r="C258" s="109"/>
      <c r="D258" s="109"/>
      <c r="E258" s="112"/>
      <c r="F258" s="112"/>
      <c r="G258" s="109"/>
      <c r="H258" s="109"/>
      <c r="I258" s="109"/>
      <c r="J258" s="111"/>
      <c r="K258" s="268"/>
      <c r="L258" s="112"/>
      <c r="M258" s="112"/>
      <c r="N258" s="112"/>
      <c r="O258" s="112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</row>
    <row r="259" spans="1:31" ht="12" customHeight="1">
      <c r="A259" s="108"/>
      <c r="B259" s="109"/>
      <c r="C259" s="109"/>
      <c r="D259" s="109"/>
      <c r="E259" s="112"/>
      <c r="F259" s="112"/>
      <c r="G259" s="109"/>
      <c r="H259" s="109"/>
      <c r="I259" s="109"/>
      <c r="J259" s="111"/>
      <c r="K259" s="268"/>
      <c r="L259" s="112"/>
      <c r="M259" s="112"/>
      <c r="N259" s="112"/>
      <c r="O259" s="112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</row>
    <row r="260" spans="1:31" ht="12" customHeight="1">
      <c r="A260" s="108"/>
      <c r="B260" s="109"/>
      <c r="C260" s="109"/>
      <c r="D260" s="109"/>
      <c r="E260" s="112"/>
      <c r="F260" s="112"/>
      <c r="G260" s="109"/>
      <c r="H260" s="109"/>
      <c r="I260" s="109"/>
      <c r="J260" s="111"/>
      <c r="K260" s="268"/>
      <c r="L260" s="112"/>
      <c r="M260" s="112"/>
      <c r="N260" s="112"/>
      <c r="O260" s="112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</row>
    <row r="261" spans="1:31" ht="12" customHeight="1">
      <c r="A261" s="108"/>
      <c r="B261" s="109"/>
      <c r="C261" s="109"/>
      <c r="D261" s="109"/>
      <c r="E261" s="112"/>
      <c r="F261" s="112"/>
      <c r="G261" s="109"/>
      <c r="H261" s="109"/>
      <c r="I261" s="109"/>
      <c r="J261" s="111"/>
      <c r="K261" s="268"/>
      <c r="L261" s="112"/>
      <c r="M261" s="112"/>
      <c r="N261" s="112"/>
      <c r="O261" s="112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</row>
    <row r="262" spans="1:31" ht="12" customHeight="1">
      <c r="A262" s="108"/>
      <c r="B262" s="109"/>
      <c r="C262" s="109"/>
      <c r="D262" s="109"/>
      <c r="E262" s="112"/>
      <c r="F262" s="112"/>
      <c r="G262" s="109"/>
      <c r="H262" s="109"/>
      <c r="I262" s="109"/>
      <c r="J262" s="111"/>
      <c r="K262" s="268"/>
      <c r="L262" s="112"/>
      <c r="M262" s="112"/>
      <c r="N262" s="112"/>
      <c r="O262" s="112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</row>
    <row r="263" spans="1:31" ht="12" customHeight="1">
      <c r="A263" s="108"/>
      <c r="B263" s="109"/>
      <c r="C263" s="109"/>
      <c r="D263" s="109"/>
      <c r="E263" s="112"/>
      <c r="F263" s="112"/>
      <c r="G263" s="109"/>
      <c r="H263" s="109"/>
      <c r="I263" s="109"/>
      <c r="J263" s="111"/>
      <c r="K263" s="268"/>
      <c r="L263" s="112"/>
      <c r="M263" s="112"/>
      <c r="N263" s="112"/>
      <c r="O263" s="112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</row>
    <row r="264" spans="1:31" ht="12" customHeight="1">
      <c r="A264" s="108"/>
      <c r="B264" s="109"/>
      <c r="C264" s="109"/>
      <c r="D264" s="109"/>
      <c r="E264" s="112"/>
      <c r="F264" s="112"/>
      <c r="G264" s="109"/>
      <c r="H264" s="109"/>
      <c r="I264" s="109"/>
      <c r="J264" s="111"/>
      <c r="K264" s="268"/>
      <c r="L264" s="112"/>
      <c r="M264" s="112"/>
      <c r="N264" s="112"/>
      <c r="O264" s="112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</row>
    <row r="265" spans="1:31" ht="12" customHeight="1">
      <c r="A265" s="108"/>
      <c r="B265" s="109"/>
      <c r="C265" s="109"/>
      <c r="D265" s="109"/>
      <c r="E265" s="112"/>
      <c r="F265" s="112"/>
      <c r="G265" s="109"/>
      <c r="H265" s="109"/>
      <c r="I265" s="109"/>
      <c r="J265" s="111"/>
      <c r="K265" s="268"/>
      <c r="L265" s="112"/>
      <c r="M265" s="112"/>
      <c r="N265" s="112"/>
      <c r="O265" s="112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</row>
    <row r="266" spans="1:31" ht="12" customHeight="1">
      <c r="A266" s="108"/>
      <c r="B266" s="109"/>
      <c r="C266" s="109"/>
      <c r="D266" s="109"/>
      <c r="E266" s="112"/>
      <c r="F266" s="112"/>
      <c r="G266" s="109"/>
      <c r="H266" s="109"/>
      <c r="I266" s="109"/>
      <c r="J266" s="111"/>
      <c r="K266" s="268"/>
      <c r="L266" s="112"/>
      <c r="M266" s="112"/>
      <c r="N266" s="112"/>
      <c r="O266" s="112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</row>
    <row r="267" spans="1:31" ht="12" customHeight="1">
      <c r="A267" s="108"/>
      <c r="B267" s="109"/>
      <c r="C267" s="109"/>
      <c r="D267" s="109"/>
      <c r="E267" s="112"/>
      <c r="F267" s="112"/>
      <c r="G267" s="109"/>
      <c r="H267" s="109"/>
      <c r="I267" s="109"/>
      <c r="J267" s="111"/>
      <c r="K267" s="268"/>
      <c r="L267" s="112"/>
      <c r="M267" s="112"/>
      <c r="N267" s="112"/>
      <c r="O267" s="112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</row>
    <row r="268" spans="1:31" ht="12" customHeight="1">
      <c r="A268" s="108"/>
      <c r="B268" s="109"/>
      <c r="C268" s="109"/>
      <c r="D268" s="109"/>
      <c r="E268" s="112"/>
      <c r="F268" s="112"/>
      <c r="G268" s="109"/>
      <c r="H268" s="109"/>
      <c r="I268" s="109"/>
      <c r="J268" s="111"/>
      <c r="K268" s="268"/>
      <c r="L268" s="112"/>
      <c r="M268" s="112"/>
      <c r="N268" s="112"/>
      <c r="O268" s="112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</row>
    <row r="269" spans="1:31" ht="12" customHeight="1">
      <c r="A269" s="108"/>
      <c r="B269" s="109"/>
      <c r="C269" s="109"/>
      <c r="D269" s="109"/>
      <c r="E269" s="112"/>
      <c r="F269" s="112"/>
      <c r="G269" s="109"/>
      <c r="H269" s="109"/>
      <c r="I269" s="109"/>
      <c r="J269" s="111"/>
      <c r="K269" s="268"/>
      <c r="L269" s="112"/>
      <c r="M269" s="112"/>
      <c r="N269" s="112"/>
      <c r="O269" s="112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</row>
    <row r="270" spans="1:31" ht="12" customHeight="1">
      <c r="A270" s="108"/>
      <c r="B270" s="109"/>
      <c r="C270" s="109"/>
      <c r="D270" s="109"/>
      <c r="E270" s="112"/>
      <c r="F270" s="112"/>
      <c r="G270" s="109"/>
      <c r="H270" s="109"/>
      <c r="I270" s="109"/>
      <c r="J270" s="111"/>
      <c r="K270" s="268"/>
      <c r="L270" s="112"/>
      <c r="M270" s="112"/>
      <c r="N270" s="112"/>
      <c r="O270" s="112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</row>
    <row r="271" spans="1:31" ht="12" customHeight="1">
      <c r="A271" s="108"/>
      <c r="B271" s="109"/>
      <c r="C271" s="109"/>
      <c r="D271" s="109"/>
      <c r="E271" s="112"/>
      <c r="F271" s="112"/>
      <c r="G271" s="109"/>
      <c r="H271" s="109"/>
      <c r="I271" s="109"/>
      <c r="J271" s="111"/>
      <c r="K271" s="268"/>
      <c r="L271" s="112"/>
      <c r="M271" s="112"/>
      <c r="N271" s="112"/>
      <c r="O271" s="112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</row>
    <row r="272" spans="1:31" ht="12" customHeight="1">
      <c r="A272" s="108"/>
      <c r="B272" s="109"/>
      <c r="C272" s="109"/>
      <c r="D272" s="109"/>
      <c r="E272" s="112"/>
      <c r="F272" s="112"/>
      <c r="G272" s="109"/>
      <c r="H272" s="109"/>
      <c r="I272" s="109"/>
      <c r="J272" s="111"/>
      <c r="K272" s="268"/>
      <c r="L272" s="112"/>
      <c r="M272" s="112"/>
      <c r="N272" s="112"/>
      <c r="O272" s="112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</row>
    <row r="273" spans="1:31" ht="12" customHeight="1">
      <c r="A273" s="108"/>
      <c r="B273" s="109"/>
      <c r="C273" s="109"/>
      <c r="D273" s="109"/>
      <c r="E273" s="112"/>
      <c r="F273" s="112"/>
      <c r="G273" s="109"/>
      <c r="H273" s="109"/>
      <c r="I273" s="109"/>
      <c r="J273" s="111"/>
      <c r="K273" s="268"/>
      <c r="L273" s="112"/>
      <c r="M273" s="112"/>
      <c r="N273" s="112"/>
      <c r="O273" s="112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</row>
    <row r="274" spans="1:31" ht="12" customHeight="1">
      <c r="A274" s="108"/>
      <c r="B274" s="109"/>
      <c r="C274" s="109"/>
      <c r="D274" s="109"/>
      <c r="E274" s="112"/>
      <c r="F274" s="112"/>
      <c r="G274" s="109"/>
      <c r="H274" s="109"/>
      <c r="I274" s="109"/>
      <c r="J274" s="111"/>
      <c r="K274" s="268"/>
      <c r="L274" s="112"/>
      <c r="M274" s="112"/>
      <c r="N274" s="112"/>
      <c r="O274" s="112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</row>
    <row r="275" spans="1:31" ht="12" customHeight="1">
      <c r="A275" s="108"/>
      <c r="B275" s="109"/>
      <c r="C275" s="109"/>
      <c r="D275" s="109"/>
      <c r="E275" s="112"/>
      <c r="F275" s="112"/>
      <c r="G275" s="109"/>
      <c r="H275" s="109"/>
      <c r="I275" s="109"/>
      <c r="J275" s="111"/>
      <c r="K275" s="268"/>
      <c r="L275" s="112"/>
      <c r="M275" s="112"/>
      <c r="N275" s="112"/>
      <c r="O275" s="112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</row>
    <row r="276" spans="1:31" ht="12" customHeight="1">
      <c r="A276" s="108"/>
      <c r="B276" s="109"/>
      <c r="C276" s="109"/>
      <c r="D276" s="109"/>
      <c r="E276" s="112"/>
      <c r="F276" s="112"/>
      <c r="G276" s="109"/>
      <c r="H276" s="109"/>
      <c r="I276" s="109"/>
      <c r="J276" s="111"/>
      <c r="K276" s="268"/>
      <c r="L276" s="112"/>
      <c r="M276" s="112"/>
      <c r="N276" s="112"/>
      <c r="O276" s="112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</row>
    <row r="277" spans="1:31" ht="12" customHeight="1">
      <c r="A277" s="108"/>
      <c r="B277" s="109"/>
      <c r="C277" s="109"/>
      <c r="D277" s="109"/>
      <c r="E277" s="112"/>
      <c r="F277" s="112"/>
      <c r="G277" s="109"/>
      <c r="H277" s="109"/>
      <c r="I277" s="109"/>
      <c r="J277" s="111"/>
      <c r="K277" s="268"/>
      <c r="L277" s="112"/>
      <c r="M277" s="112"/>
      <c r="N277" s="112"/>
      <c r="O277" s="112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</row>
    <row r="278" spans="1:31" ht="12" customHeight="1">
      <c r="A278" s="108"/>
      <c r="B278" s="109"/>
      <c r="C278" s="109"/>
      <c r="D278" s="109"/>
      <c r="E278" s="112"/>
      <c r="F278" s="112"/>
      <c r="G278" s="109"/>
      <c r="H278" s="109"/>
      <c r="I278" s="109"/>
      <c r="J278" s="111"/>
      <c r="K278" s="268"/>
      <c r="L278" s="112"/>
      <c r="M278" s="112"/>
      <c r="N278" s="112"/>
      <c r="O278" s="112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</row>
    <row r="279" spans="1:31" ht="12" customHeight="1">
      <c r="A279" s="108"/>
      <c r="B279" s="109"/>
      <c r="C279" s="109"/>
      <c r="D279" s="109"/>
      <c r="E279" s="112"/>
      <c r="F279" s="112"/>
      <c r="G279" s="109"/>
      <c r="H279" s="109"/>
      <c r="I279" s="109"/>
      <c r="J279" s="111"/>
      <c r="K279" s="268"/>
      <c r="L279" s="112"/>
      <c r="M279" s="112"/>
      <c r="N279" s="112"/>
      <c r="O279" s="112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</row>
    <row r="280" spans="1:31" ht="12" customHeight="1">
      <c r="A280" s="108"/>
      <c r="B280" s="109"/>
      <c r="C280" s="109"/>
      <c r="D280" s="109"/>
      <c r="E280" s="112"/>
      <c r="F280" s="112"/>
      <c r="G280" s="109"/>
      <c r="H280" s="109"/>
      <c r="I280" s="109"/>
      <c r="J280" s="111"/>
      <c r="K280" s="268"/>
      <c r="L280" s="112"/>
      <c r="M280" s="112"/>
      <c r="N280" s="112"/>
      <c r="O280" s="112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</row>
    <row r="281" spans="1:31" ht="12" customHeight="1">
      <c r="A281" s="108"/>
      <c r="B281" s="109"/>
      <c r="C281" s="109"/>
      <c r="D281" s="109"/>
      <c r="E281" s="112"/>
      <c r="F281" s="112"/>
      <c r="G281" s="109"/>
      <c r="H281" s="109"/>
      <c r="I281" s="109"/>
      <c r="J281" s="111"/>
      <c r="K281" s="268"/>
      <c r="L281" s="112"/>
      <c r="M281" s="112"/>
      <c r="N281" s="112"/>
      <c r="O281" s="112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</row>
    <row r="282" spans="1:31" ht="12" customHeight="1">
      <c r="A282" s="108"/>
      <c r="B282" s="109"/>
      <c r="C282" s="109"/>
      <c r="D282" s="109"/>
      <c r="E282" s="112"/>
      <c r="F282" s="112"/>
      <c r="G282" s="109"/>
      <c r="H282" s="109"/>
      <c r="I282" s="109"/>
      <c r="J282" s="111"/>
      <c r="K282" s="268"/>
      <c r="L282" s="112"/>
      <c r="M282" s="112"/>
      <c r="N282" s="112"/>
      <c r="O282" s="112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</row>
    <row r="283" spans="1:31" ht="12" customHeight="1">
      <c r="A283" s="108"/>
      <c r="B283" s="109"/>
      <c r="C283" s="109"/>
      <c r="D283" s="109"/>
      <c r="E283" s="112"/>
      <c r="F283" s="112"/>
      <c r="G283" s="109"/>
      <c r="H283" s="109"/>
      <c r="I283" s="109"/>
      <c r="J283" s="111"/>
      <c r="K283" s="268"/>
      <c r="L283" s="112"/>
      <c r="M283" s="112"/>
      <c r="N283" s="112"/>
      <c r="O283" s="112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</row>
    <row r="284" spans="1:31" ht="12" customHeight="1">
      <c r="A284" s="108"/>
      <c r="B284" s="109"/>
      <c r="C284" s="109"/>
      <c r="D284" s="109"/>
      <c r="E284" s="112"/>
      <c r="F284" s="112"/>
      <c r="G284" s="109"/>
      <c r="H284" s="109"/>
      <c r="I284" s="109"/>
      <c r="J284" s="111"/>
      <c r="K284" s="268"/>
      <c r="L284" s="112"/>
      <c r="M284" s="112"/>
      <c r="N284" s="112"/>
      <c r="O284" s="112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</row>
    <row r="285" spans="1:31" ht="12" customHeight="1">
      <c r="A285" s="108"/>
      <c r="B285" s="109"/>
      <c r="C285" s="109"/>
      <c r="D285" s="109"/>
      <c r="E285" s="112"/>
      <c r="F285" s="112"/>
      <c r="G285" s="109"/>
      <c r="H285" s="109"/>
      <c r="I285" s="109"/>
      <c r="J285" s="111"/>
      <c r="K285" s="268"/>
      <c r="L285" s="112"/>
      <c r="M285" s="112"/>
      <c r="N285" s="112"/>
      <c r="O285" s="112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</row>
    <row r="286" spans="1:31" ht="12" customHeight="1">
      <c r="A286" s="108"/>
      <c r="B286" s="109"/>
      <c r="C286" s="109"/>
      <c r="D286" s="109"/>
      <c r="E286" s="112"/>
      <c r="F286" s="112"/>
      <c r="G286" s="109"/>
      <c r="H286" s="109"/>
      <c r="I286" s="109"/>
      <c r="J286" s="111"/>
      <c r="K286" s="268"/>
      <c r="L286" s="112"/>
      <c r="M286" s="112"/>
      <c r="N286" s="112"/>
      <c r="O286" s="112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</row>
    <row r="287" spans="1:31" ht="12" customHeight="1">
      <c r="A287" s="108"/>
      <c r="B287" s="109"/>
      <c r="C287" s="109"/>
      <c r="D287" s="109"/>
      <c r="E287" s="112"/>
      <c r="F287" s="112"/>
      <c r="G287" s="109"/>
      <c r="H287" s="109"/>
      <c r="I287" s="109"/>
      <c r="J287" s="111"/>
      <c r="K287" s="268"/>
      <c r="L287" s="112"/>
      <c r="M287" s="112"/>
      <c r="N287" s="112"/>
      <c r="O287" s="112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</row>
    <row r="288" spans="1:31" ht="12" customHeight="1">
      <c r="A288" s="108"/>
      <c r="B288" s="109"/>
      <c r="C288" s="109"/>
      <c r="D288" s="109"/>
      <c r="E288" s="112"/>
      <c r="F288" s="112"/>
      <c r="G288" s="109"/>
      <c r="H288" s="109"/>
      <c r="I288" s="109"/>
      <c r="J288" s="111"/>
      <c r="K288" s="268"/>
      <c r="L288" s="112"/>
      <c r="M288" s="112"/>
      <c r="N288" s="112"/>
      <c r="O288" s="112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</row>
    <row r="289" spans="1:31" ht="12" customHeight="1">
      <c r="A289" s="108"/>
      <c r="B289" s="109"/>
      <c r="C289" s="109"/>
      <c r="D289" s="109"/>
      <c r="E289" s="112"/>
      <c r="F289" s="112"/>
      <c r="G289" s="109"/>
      <c r="H289" s="109"/>
      <c r="I289" s="109"/>
      <c r="J289" s="111"/>
      <c r="K289" s="268"/>
      <c r="L289" s="112"/>
      <c r="M289" s="112"/>
      <c r="N289" s="112"/>
      <c r="O289" s="112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</row>
    <row r="290" spans="1:31" ht="12" customHeight="1">
      <c r="A290" s="108"/>
      <c r="B290" s="109"/>
      <c r="C290" s="109"/>
      <c r="D290" s="109"/>
      <c r="E290" s="112"/>
      <c r="F290" s="112"/>
      <c r="G290" s="109"/>
      <c r="H290" s="109"/>
      <c r="I290" s="109"/>
      <c r="J290" s="111"/>
      <c r="K290" s="268"/>
      <c r="L290" s="112"/>
      <c r="M290" s="112"/>
      <c r="N290" s="112"/>
      <c r="O290" s="112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</row>
    <row r="291" spans="1:31" ht="12" customHeight="1">
      <c r="A291" s="108"/>
      <c r="B291" s="109"/>
      <c r="C291" s="109"/>
      <c r="D291" s="109"/>
      <c r="E291" s="112"/>
      <c r="F291" s="112"/>
      <c r="G291" s="109"/>
      <c r="H291" s="109"/>
      <c r="I291" s="109"/>
      <c r="J291" s="111"/>
      <c r="K291" s="268"/>
      <c r="L291" s="112"/>
      <c r="M291" s="112"/>
      <c r="N291" s="112"/>
      <c r="O291" s="112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</row>
    <row r="292" spans="1:31" ht="12" customHeight="1">
      <c r="A292" s="108"/>
      <c r="B292" s="109"/>
      <c r="C292" s="109"/>
      <c r="D292" s="109"/>
      <c r="E292" s="112"/>
      <c r="F292" s="112"/>
      <c r="G292" s="109"/>
      <c r="H292" s="109"/>
      <c r="I292" s="109"/>
      <c r="J292" s="111"/>
      <c r="K292" s="268"/>
      <c r="L292" s="112"/>
      <c r="M292" s="112"/>
      <c r="N292" s="112"/>
      <c r="O292" s="112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</row>
    <row r="293" spans="1:31" ht="12" customHeight="1">
      <c r="A293" s="108"/>
      <c r="B293" s="109"/>
      <c r="C293" s="109"/>
      <c r="D293" s="109"/>
      <c r="E293" s="112"/>
      <c r="F293" s="112"/>
      <c r="G293" s="109"/>
      <c r="H293" s="109"/>
      <c r="I293" s="109"/>
      <c r="J293" s="111"/>
      <c r="K293" s="268"/>
      <c r="L293" s="112"/>
      <c r="M293" s="112"/>
      <c r="N293" s="112"/>
      <c r="O293" s="112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</row>
    <row r="294" spans="1:31" ht="12" customHeight="1">
      <c r="A294" s="108"/>
      <c r="B294" s="109"/>
      <c r="C294" s="109"/>
      <c r="D294" s="109"/>
      <c r="E294" s="112"/>
      <c r="F294" s="112"/>
      <c r="G294" s="109"/>
      <c r="H294" s="109"/>
      <c r="I294" s="109"/>
      <c r="J294" s="111"/>
      <c r="K294" s="268"/>
      <c r="L294" s="112"/>
      <c r="M294" s="112"/>
      <c r="N294" s="112"/>
      <c r="O294" s="112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</row>
    <row r="295" spans="1:31" ht="12" customHeight="1">
      <c r="A295" s="108"/>
      <c r="B295" s="109"/>
      <c r="C295" s="109"/>
      <c r="D295" s="109"/>
      <c r="E295" s="112"/>
      <c r="F295" s="112"/>
      <c r="G295" s="109"/>
      <c r="H295" s="109"/>
      <c r="I295" s="109"/>
      <c r="J295" s="111"/>
      <c r="K295" s="268"/>
      <c r="L295" s="112"/>
      <c r="M295" s="112"/>
      <c r="N295" s="112"/>
      <c r="O295" s="112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</row>
    <row r="296" spans="1:31" ht="12" customHeight="1">
      <c r="A296" s="108"/>
      <c r="B296" s="109"/>
      <c r="C296" s="109"/>
      <c r="D296" s="109"/>
      <c r="E296" s="112"/>
      <c r="F296" s="112"/>
      <c r="G296" s="109"/>
      <c r="H296" s="109"/>
      <c r="I296" s="109"/>
      <c r="J296" s="111"/>
      <c r="K296" s="268"/>
      <c r="L296" s="112"/>
      <c r="M296" s="112"/>
      <c r="N296" s="112"/>
      <c r="O296" s="112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</row>
    <row r="297" spans="1:31" ht="12" customHeight="1">
      <c r="A297" s="108"/>
      <c r="B297" s="109"/>
      <c r="C297" s="109"/>
      <c r="D297" s="109"/>
      <c r="E297" s="112"/>
      <c r="F297" s="112"/>
      <c r="G297" s="109"/>
      <c r="H297" s="109"/>
      <c r="I297" s="109"/>
      <c r="J297" s="111"/>
      <c r="K297" s="268"/>
      <c r="L297" s="112"/>
      <c r="M297" s="112"/>
      <c r="N297" s="112"/>
      <c r="O297" s="112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</row>
    <row r="298" spans="1:31" ht="12" customHeight="1">
      <c r="A298" s="108"/>
      <c r="B298" s="109"/>
      <c r="C298" s="109"/>
      <c r="D298" s="109"/>
      <c r="E298" s="112"/>
      <c r="F298" s="112"/>
      <c r="G298" s="109"/>
      <c r="H298" s="109"/>
      <c r="I298" s="109"/>
      <c r="J298" s="111"/>
      <c r="K298" s="268"/>
      <c r="L298" s="112"/>
      <c r="M298" s="112"/>
      <c r="N298" s="112"/>
      <c r="O298" s="112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</row>
    <row r="299" spans="1:31" ht="12" customHeight="1">
      <c r="A299" s="108"/>
      <c r="B299" s="109"/>
      <c r="C299" s="109"/>
      <c r="D299" s="109"/>
      <c r="E299" s="112"/>
      <c r="F299" s="112"/>
      <c r="G299" s="109"/>
      <c r="H299" s="109"/>
      <c r="I299" s="109"/>
      <c r="J299" s="111"/>
      <c r="K299" s="268"/>
      <c r="L299" s="112"/>
      <c r="M299" s="112"/>
      <c r="N299" s="112"/>
      <c r="O299" s="112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</row>
    <row r="300" spans="1:31" ht="12" customHeight="1">
      <c r="A300" s="108"/>
      <c r="B300" s="109"/>
      <c r="C300" s="109"/>
      <c r="D300" s="109"/>
      <c r="E300" s="112"/>
      <c r="F300" s="112"/>
      <c r="G300" s="109"/>
      <c r="H300" s="109"/>
      <c r="I300" s="109"/>
      <c r="J300" s="111"/>
      <c r="K300" s="268"/>
      <c r="L300" s="112"/>
      <c r="M300" s="112"/>
      <c r="N300" s="112"/>
      <c r="O300" s="112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</row>
    <row r="301" spans="1:31" ht="12" customHeight="1">
      <c r="A301" s="108"/>
      <c r="B301" s="109"/>
      <c r="C301" s="109"/>
      <c r="D301" s="109"/>
      <c r="E301" s="112"/>
      <c r="F301" s="112"/>
      <c r="G301" s="109"/>
      <c r="H301" s="109"/>
      <c r="I301" s="109"/>
      <c r="J301" s="111"/>
      <c r="K301" s="268"/>
      <c r="L301" s="112"/>
      <c r="M301" s="112"/>
      <c r="N301" s="112"/>
      <c r="O301" s="112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</row>
    <row r="302" spans="1:31" ht="12" customHeight="1">
      <c r="A302" s="108"/>
      <c r="B302" s="109"/>
      <c r="C302" s="109"/>
      <c r="D302" s="109"/>
      <c r="E302" s="112"/>
      <c r="F302" s="112"/>
      <c r="G302" s="109"/>
      <c r="H302" s="109"/>
      <c r="I302" s="109"/>
      <c r="J302" s="111"/>
      <c r="K302" s="268"/>
      <c r="L302" s="112"/>
      <c r="M302" s="112"/>
      <c r="N302" s="112"/>
      <c r="O302" s="112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</row>
    <row r="303" spans="1:31" ht="12" customHeight="1">
      <c r="A303" s="108"/>
      <c r="B303" s="109"/>
      <c r="C303" s="109"/>
      <c r="D303" s="109"/>
      <c r="E303" s="112"/>
      <c r="F303" s="112"/>
      <c r="G303" s="109"/>
      <c r="H303" s="109"/>
      <c r="I303" s="109"/>
      <c r="J303" s="111"/>
      <c r="K303" s="268"/>
      <c r="L303" s="112"/>
      <c r="M303" s="112"/>
      <c r="N303" s="112"/>
      <c r="O303" s="112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</row>
    <row r="304" spans="1:31" ht="12" customHeight="1">
      <c r="A304" s="108"/>
      <c r="B304" s="109"/>
      <c r="C304" s="109"/>
      <c r="D304" s="109"/>
      <c r="E304" s="112"/>
      <c r="F304" s="112"/>
      <c r="G304" s="109"/>
      <c r="H304" s="109"/>
      <c r="I304" s="109"/>
      <c r="J304" s="111"/>
      <c r="K304" s="268"/>
      <c r="L304" s="112"/>
      <c r="M304" s="112"/>
      <c r="N304" s="112"/>
      <c r="O304" s="112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</row>
    <row r="305" spans="1:31" ht="12" customHeight="1">
      <c r="A305" s="108"/>
      <c r="B305" s="109"/>
      <c r="C305" s="109"/>
      <c r="D305" s="109"/>
      <c r="E305" s="112"/>
      <c r="F305" s="112"/>
      <c r="G305" s="109"/>
      <c r="H305" s="109"/>
      <c r="I305" s="109"/>
      <c r="J305" s="111"/>
      <c r="K305" s="268"/>
      <c r="L305" s="112"/>
      <c r="M305" s="112"/>
      <c r="N305" s="112"/>
      <c r="O305" s="112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</row>
    <row r="306" spans="1:31" ht="12" customHeight="1">
      <c r="A306" s="108"/>
      <c r="B306" s="109"/>
      <c r="C306" s="109"/>
      <c r="D306" s="109"/>
      <c r="E306" s="112"/>
      <c r="F306" s="112"/>
      <c r="G306" s="109"/>
      <c r="H306" s="109"/>
      <c r="I306" s="109"/>
      <c r="J306" s="111"/>
      <c r="K306" s="268"/>
      <c r="L306" s="112"/>
      <c r="M306" s="112"/>
      <c r="N306" s="112"/>
      <c r="O306" s="112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</row>
    <row r="307" spans="1:31" ht="12" customHeight="1">
      <c r="A307" s="108"/>
      <c r="B307" s="109"/>
      <c r="C307" s="109"/>
      <c r="D307" s="109"/>
      <c r="E307" s="112"/>
      <c r="F307" s="112"/>
      <c r="G307" s="109"/>
      <c r="H307" s="109"/>
      <c r="I307" s="109"/>
      <c r="J307" s="111"/>
      <c r="K307" s="268"/>
      <c r="L307" s="112"/>
      <c r="M307" s="112"/>
      <c r="N307" s="112"/>
      <c r="O307" s="112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</row>
    <row r="308" spans="1:31" ht="12" customHeight="1">
      <c r="A308" s="108"/>
      <c r="B308" s="109"/>
      <c r="C308" s="109"/>
      <c r="D308" s="109"/>
      <c r="E308" s="112"/>
      <c r="F308" s="112"/>
      <c r="G308" s="109"/>
      <c r="H308" s="109"/>
      <c r="I308" s="109"/>
      <c r="J308" s="111"/>
      <c r="K308" s="268"/>
      <c r="L308" s="112"/>
      <c r="M308" s="112"/>
      <c r="N308" s="112"/>
      <c r="O308" s="112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</row>
    <row r="309" spans="1:31" ht="12" customHeight="1">
      <c r="A309" s="108"/>
      <c r="B309" s="109"/>
      <c r="C309" s="109"/>
      <c r="D309" s="109"/>
      <c r="E309" s="112"/>
      <c r="F309" s="112"/>
      <c r="G309" s="109"/>
      <c r="H309" s="109"/>
      <c r="I309" s="109"/>
      <c r="J309" s="111"/>
      <c r="K309" s="268"/>
      <c r="L309" s="112"/>
      <c r="M309" s="112"/>
      <c r="N309" s="112"/>
      <c r="O309" s="112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</row>
    <row r="310" spans="1:31" ht="12" customHeight="1">
      <c r="A310" s="108"/>
      <c r="B310" s="109"/>
      <c r="C310" s="109"/>
      <c r="D310" s="109"/>
      <c r="E310" s="112"/>
      <c r="F310" s="112"/>
      <c r="G310" s="109"/>
      <c r="H310" s="109"/>
      <c r="I310" s="109"/>
      <c r="J310" s="111"/>
      <c r="K310" s="268"/>
      <c r="L310" s="112"/>
      <c r="M310" s="112"/>
      <c r="N310" s="112"/>
      <c r="O310" s="112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</row>
    <row r="311" spans="1:31" ht="12" customHeight="1">
      <c r="A311" s="108"/>
      <c r="B311" s="109"/>
      <c r="C311" s="109"/>
      <c r="D311" s="109"/>
      <c r="E311" s="112"/>
      <c r="F311" s="112"/>
      <c r="G311" s="109"/>
      <c r="H311" s="109"/>
      <c r="I311" s="109"/>
      <c r="J311" s="111"/>
      <c r="K311" s="268"/>
      <c r="L311" s="112"/>
      <c r="M311" s="112"/>
      <c r="N311" s="112"/>
      <c r="O311" s="112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</row>
    <row r="312" spans="1:31" ht="12" customHeight="1">
      <c r="A312" s="108"/>
      <c r="B312" s="109"/>
      <c r="C312" s="109"/>
      <c r="D312" s="109"/>
      <c r="E312" s="112"/>
      <c r="F312" s="112"/>
      <c r="G312" s="109"/>
      <c r="H312" s="109"/>
      <c r="I312" s="109"/>
      <c r="J312" s="111"/>
      <c r="K312" s="268"/>
      <c r="L312" s="112"/>
      <c r="M312" s="112"/>
      <c r="N312" s="112"/>
      <c r="O312" s="112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</row>
    <row r="313" spans="1:31" ht="12" customHeight="1">
      <c r="A313" s="108"/>
      <c r="B313" s="109"/>
      <c r="C313" s="109"/>
      <c r="D313" s="109"/>
      <c r="E313" s="112"/>
      <c r="F313" s="112"/>
      <c r="G313" s="109"/>
      <c r="H313" s="109"/>
      <c r="I313" s="109"/>
      <c r="J313" s="111"/>
      <c r="K313" s="268"/>
      <c r="L313" s="112"/>
      <c r="M313" s="112"/>
      <c r="N313" s="112"/>
      <c r="O313" s="112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</row>
    <row r="314" spans="1:31" ht="12" customHeight="1">
      <c r="A314" s="108"/>
      <c r="B314" s="109"/>
      <c r="C314" s="109"/>
      <c r="D314" s="109"/>
      <c r="E314" s="112"/>
      <c r="F314" s="112"/>
      <c r="G314" s="109"/>
      <c r="H314" s="109"/>
      <c r="I314" s="109"/>
      <c r="J314" s="111"/>
      <c r="K314" s="268"/>
      <c r="L314" s="112"/>
      <c r="M314" s="112"/>
      <c r="N314" s="112"/>
      <c r="O314" s="112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</row>
    <row r="315" spans="1:31" ht="12" customHeight="1">
      <c r="A315" s="108"/>
      <c r="B315" s="109"/>
      <c r="C315" s="109"/>
      <c r="D315" s="109"/>
      <c r="E315" s="112"/>
      <c r="F315" s="112"/>
      <c r="G315" s="109"/>
      <c r="H315" s="109"/>
      <c r="I315" s="109"/>
      <c r="J315" s="111"/>
      <c r="K315" s="268"/>
      <c r="L315" s="112"/>
      <c r="M315" s="112"/>
      <c r="N315" s="112"/>
      <c r="O315" s="112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</row>
    <row r="316" spans="1:31" ht="12" customHeight="1">
      <c r="A316" s="108"/>
      <c r="B316" s="109"/>
      <c r="C316" s="109"/>
      <c r="D316" s="109"/>
      <c r="E316" s="112"/>
      <c r="F316" s="112"/>
      <c r="G316" s="109"/>
      <c r="H316" s="109"/>
      <c r="I316" s="109"/>
      <c r="J316" s="111"/>
      <c r="K316" s="268"/>
      <c r="L316" s="112"/>
      <c r="M316" s="112"/>
      <c r="N316" s="112"/>
      <c r="O316" s="112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</row>
    <row r="317" spans="1:31" ht="12" customHeight="1">
      <c r="A317" s="108"/>
      <c r="B317" s="109"/>
      <c r="C317" s="109"/>
      <c r="D317" s="109"/>
      <c r="E317" s="112"/>
      <c r="F317" s="112"/>
      <c r="G317" s="109"/>
      <c r="H317" s="109"/>
      <c r="I317" s="109"/>
      <c r="J317" s="111"/>
      <c r="K317" s="268"/>
      <c r="L317" s="112"/>
      <c r="M317" s="112"/>
      <c r="N317" s="112"/>
      <c r="O317" s="112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</row>
    <row r="318" spans="1:31" ht="12" customHeight="1">
      <c r="A318" s="108"/>
      <c r="B318" s="109"/>
      <c r="C318" s="109"/>
      <c r="D318" s="109"/>
      <c r="E318" s="112"/>
      <c r="F318" s="112"/>
      <c r="G318" s="109"/>
      <c r="H318" s="109"/>
      <c r="I318" s="109"/>
      <c r="J318" s="111"/>
      <c r="K318" s="268"/>
      <c r="L318" s="112"/>
      <c r="M318" s="112"/>
      <c r="N318" s="112"/>
      <c r="O318" s="112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</row>
    <row r="319" spans="1:31" ht="12" customHeight="1">
      <c r="A319" s="108"/>
      <c r="B319" s="109"/>
      <c r="C319" s="109"/>
      <c r="D319" s="109"/>
      <c r="E319" s="112"/>
      <c r="F319" s="112"/>
      <c r="G319" s="109"/>
      <c r="H319" s="109"/>
      <c r="I319" s="109"/>
      <c r="J319" s="111"/>
      <c r="K319" s="268"/>
      <c r="L319" s="112"/>
      <c r="M319" s="112"/>
      <c r="N319" s="112"/>
      <c r="O319" s="112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</row>
    <row r="320" spans="1:31" ht="12" customHeight="1">
      <c r="A320" s="108"/>
      <c r="B320" s="109"/>
      <c r="C320" s="109"/>
      <c r="D320" s="109"/>
      <c r="E320" s="112"/>
      <c r="F320" s="112"/>
      <c r="G320" s="109"/>
      <c r="H320" s="109"/>
      <c r="I320" s="109"/>
      <c r="J320" s="111"/>
      <c r="K320" s="268"/>
      <c r="L320" s="112"/>
      <c r="M320" s="112"/>
      <c r="N320" s="112"/>
      <c r="O320" s="112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</row>
    <row r="321" spans="1:31" ht="12" customHeight="1">
      <c r="A321" s="108"/>
      <c r="B321" s="109"/>
      <c r="C321" s="109"/>
      <c r="D321" s="109"/>
      <c r="E321" s="112"/>
      <c r="F321" s="112"/>
      <c r="G321" s="109"/>
      <c r="H321" s="109"/>
      <c r="I321" s="109"/>
      <c r="J321" s="111"/>
      <c r="K321" s="268"/>
      <c r="L321" s="112"/>
      <c r="M321" s="112"/>
      <c r="N321" s="112"/>
      <c r="O321" s="112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</row>
    <row r="322" spans="1:31" ht="12" customHeight="1">
      <c r="A322" s="108"/>
      <c r="B322" s="109"/>
      <c r="C322" s="109"/>
      <c r="D322" s="109"/>
      <c r="E322" s="112"/>
      <c r="F322" s="112"/>
      <c r="G322" s="109"/>
      <c r="H322" s="109"/>
      <c r="I322" s="109"/>
      <c r="J322" s="111"/>
      <c r="K322" s="268"/>
      <c r="L322" s="112"/>
      <c r="M322" s="112"/>
      <c r="N322" s="112"/>
      <c r="O322" s="112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</row>
    <row r="323" spans="1:31" ht="12" customHeight="1">
      <c r="A323" s="108"/>
      <c r="B323" s="109"/>
      <c r="C323" s="109"/>
      <c r="D323" s="109"/>
      <c r="E323" s="112"/>
      <c r="F323" s="112"/>
      <c r="G323" s="109"/>
      <c r="H323" s="109"/>
      <c r="I323" s="109"/>
      <c r="J323" s="111"/>
      <c r="K323" s="268"/>
      <c r="L323" s="112"/>
      <c r="M323" s="112"/>
      <c r="N323" s="112"/>
      <c r="O323" s="112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</row>
    <row r="324" spans="1:31" ht="12" customHeight="1">
      <c r="A324" s="108"/>
      <c r="B324" s="109"/>
      <c r="C324" s="109"/>
      <c r="D324" s="109"/>
      <c r="E324" s="112"/>
      <c r="F324" s="112"/>
      <c r="G324" s="109"/>
      <c r="H324" s="109"/>
      <c r="I324" s="109"/>
      <c r="J324" s="111"/>
      <c r="K324" s="268"/>
      <c r="L324" s="112"/>
      <c r="M324" s="112"/>
      <c r="N324" s="112"/>
      <c r="O324" s="112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</row>
    <row r="325" spans="1:31" ht="12" customHeight="1">
      <c r="A325" s="108"/>
      <c r="B325" s="109"/>
      <c r="C325" s="109"/>
      <c r="D325" s="109"/>
      <c r="E325" s="112"/>
      <c r="F325" s="112"/>
      <c r="G325" s="109"/>
      <c r="H325" s="109"/>
      <c r="I325" s="109"/>
      <c r="J325" s="111"/>
      <c r="K325" s="268"/>
      <c r="L325" s="112"/>
      <c r="M325" s="112"/>
      <c r="N325" s="112"/>
      <c r="O325" s="112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</row>
    <row r="326" spans="1:31" ht="12" customHeight="1">
      <c r="A326" s="108"/>
      <c r="B326" s="109"/>
      <c r="C326" s="109"/>
      <c r="D326" s="109"/>
      <c r="E326" s="112"/>
      <c r="F326" s="112"/>
      <c r="G326" s="109"/>
      <c r="H326" s="109"/>
      <c r="I326" s="109"/>
      <c r="J326" s="111"/>
      <c r="K326" s="268"/>
      <c r="L326" s="112"/>
      <c r="M326" s="112"/>
      <c r="N326" s="112"/>
      <c r="O326" s="112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</row>
    <row r="327" spans="1:31" ht="12" customHeight="1">
      <c r="A327" s="108"/>
      <c r="B327" s="109"/>
      <c r="C327" s="109"/>
      <c r="D327" s="109"/>
      <c r="E327" s="112"/>
      <c r="F327" s="112"/>
      <c r="G327" s="109"/>
      <c r="H327" s="109"/>
      <c r="I327" s="109"/>
      <c r="J327" s="111"/>
      <c r="K327" s="268"/>
      <c r="L327" s="112"/>
      <c r="M327" s="112"/>
      <c r="N327" s="112"/>
      <c r="O327" s="112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</row>
    <row r="328" spans="1:31" ht="12" customHeight="1">
      <c r="A328" s="108"/>
      <c r="B328" s="109"/>
      <c r="C328" s="109"/>
      <c r="D328" s="109"/>
      <c r="E328" s="112"/>
      <c r="F328" s="112"/>
      <c r="G328" s="109"/>
      <c r="H328" s="109"/>
      <c r="I328" s="109"/>
      <c r="J328" s="111"/>
      <c r="K328" s="268"/>
      <c r="L328" s="112"/>
      <c r="M328" s="112"/>
      <c r="N328" s="112"/>
      <c r="O328" s="112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</row>
    <row r="329" spans="1:31" ht="12" customHeight="1">
      <c r="A329" s="108"/>
      <c r="B329" s="109"/>
      <c r="C329" s="109"/>
      <c r="D329" s="109"/>
      <c r="E329" s="112"/>
      <c r="F329" s="112"/>
      <c r="G329" s="109"/>
      <c r="H329" s="109"/>
      <c r="I329" s="109"/>
      <c r="J329" s="111"/>
      <c r="K329" s="268"/>
      <c r="L329" s="112"/>
      <c r="M329" s="112"/>
      <c r="N329" s="112"/>
      <c r="O329" s="112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</row>
    <row r="330" spans="1:31" ht="12" customHeight="1">
      <c r="A330" s="108"/>
      <c r="B330" s="109"/>
      <c r="C330" s="109"/>
      <c r="D330" s="109"/>
      <c r="E330" s="112"/>
      <c r="F330" s="112"/>
      <c r="G330" s="109"/>
      <c r="H330" s="109"/>
      <c r="I330" s="109"/>
      <c r="J330" s="111"/>
      <c r="K330" s="268"/>
      <c r="L330" s="112"/>
      <c r="M330" s="112"/>
      <c r="N330" s="112"/>
      <c r="O330" s="112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</row>
    <row r="331" spans="1:31" ht="12" customHeight="1">
      <c r="A331" s="108"/>
      <c r="B331" s="109"/>
      <c r="C331" s="109"/>
      <c r="D331" s="109"/>
      <c r="E331" s="112"/>
      <c r="F331" s="112"/>
      <c r="G331" s="109"/>
      <c r="H331" s="109"/>
      <c r="I331" s="109"/>
      <c r="J331" s="111"/>
      <c r="K331" s="268"/>
      <c r="L331" s="112"/>
      <c r="M331" s="112"/>
      <c r="N331" s="112"/>
      <c r="O331" s="112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</row>
    <row r="332" spans="1:31" ht="12" customHeight="1">
      <c r="A332" s="108"/>
      <c r="B332" s="109"/>
      <c r="C332" s="109"/>
      <c r="D332" s="109"/>
      <c r="E332" s="112"/>
      <c r="F332" s="112"/>
      <c r="G332" s="109"/>
      <c r="H332" s="109"/>
      <c r="I332" s="109"/>
      <c r="J332" s="111"/>
      <c r="K332" s="268"/>
      <c r="L332" s="112"/>
      <c r="M332" s="112"/>
      <c r="N332" s="112"/>
      <c r="O332" s="112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</row>
    <row r="333" spans="1:31" ht="12" customHeight="1">
      <c r="A333" s="108"/>
      <c r="B333" s="109"/>
      <c r="C333" s="109"/>
      <c r="D333" s="109"/>
      <c r="E333" s="112"/>
      <c r="F333" s="112"/>
      <c r="G333" s="109"/>
      <c r="H333" s="109"/>
      <c r="I333" s="109"/>
      <c r="J333" s="111"/>
      <c r="K333" s="268"/>
      <c r="L333" s="112"/>
      <c r="M333" s="112"/>
      <c r="N333" s="112"/>
      <c r="O333" s="112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</row>
    <row r="334" spans="1:31" ht="12" customHeight="1">
      <c r="A334" s="108"/>
      <c r="B334" s="109"/>
      <c r="C334" s="109"/>
      <c r="D334" s="109"/>
      <c r="E334" s="112"/>
      <c r="F334" s="112"/>
      <c r="G334" s="109"/>
      <c r="H334" s="109"/>
      <c r="I334" s="109"/>
      <c r="J334" s="111"/>
      <c r="K334" s="268"/>
      <c r="L334" s="112"/>
      <c r="M334" s="112"/>
      <c r="N334" s="112"/>
      <c r="O334" s="112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</row>
    <row r="335" spans="1:31" ht="12" customHeight="1">
      <c r="A335" s="108"/>
      <c r="B335" s="109"/>
      <c r="C335" s="109"/>
      <c r="D335" s="109"/>
      <c r="E335" s="112"/>
      <c r="F335" s="112"/>
      <c r="G335" s="109"/>
      <c r="H335" s="109"/>
      <c r="I335" s="109"/>
      <c r="J335" s="111"/>
      <c r="K335" s="268"/>
      <c r="L335" s="112"/>
      <c r="M335" s="112"/>
      <c r="N335" s="112"/>
      <c r="O335" s="112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</row>
    <row r="336" spans="1:31" ht="12" customHeight="1">
      <c r="A336" s="108"/>
      <c r="B336" s="109"/>
      <c r="C336" s="109"/>
      <c r="D336" s="109"/>
      <c r="E336" s="112"/>
      <c r="F336" s="112"/>
      <c r="G336" s="109"/>
      <c r="H336" s="109"/>
      <c r="I336" s="109"/>
      <c r="J336" s="111"/>
      <c r="K336" s="268"/>
      <c r="L336" s="112"/>
      <c r="M336" s="112"/>
      <c r="N336" s="112"/>
      <c r="O336" s="112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</row>
    <row r="337" spans="1:31" ht="12" customHeight="1">
      <c r="A337" s="108"/>
      <c r="B337" s="109"/>
      <c r="C337" s="109"/>
      <c r="D337" s="109"/>
      <c r="E337" s="112"/>
      <c r="F337" s="112"/>
      <c r="G337" s="109"/>
      <c r="H337" s="109"/>
      <c r="I337" s="109"/>
      <c r="J337" s="111"/>
      <c r="K337" s="268"/>
      <c r="L337" s="112"/>
      <c r="M337" s="112"/>
      <c r="N337" s="112"/>
      <c r="O337" s="112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</row>
    <row r="338" spans="1:31" ht="12" customHeight="1">
      <c r="A338" s="108"/>
      <c r="B338" s="109"/>
      <c r="C338" s="109"/>
      <c r="D338" s="109"/>
      <c r="E338" s="112"/>
      <c r="F338" s="112"/>
      <c r="G338" s="109"/>
      <c r="H338" s="109"/>
      <c r="I338" s="109"/>
      <c r="J338" s="111"/>
      <c r="K338" s="268"/>
      <c r="L338" s="112"/>
      <c r="M338" s="112"/>
      <c r="N338" s="112"/>
      <c r="O338" s="112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</row>
    <row r="339" spans="1:31" ht="12" customHeight="1">
      <c r="A339" s="108"/>
      <c r="B339" s="109"/>
      <c r="C339" s="109"/>
      <c r="D339" s="109"/>
      <c r="E339" s="112"/>
      <c r="F339" s="112"/>
      <c r="G339" s="109"/>
      <c r="H339" s="109"/>
      <c r="I339" s="109"/>
      <c r="J339" s="111"/>
      <c r="K339" s="268"/>
      <c r="L339" s="112"/>
      <c r="M339" s="112"/>
      <c r="N339" s="112"/>
      <c r="O339" s="112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</row>
    <row r="340" spans="1:31" ht="12" customHeight="1">
      <c r="A340" s="108"/>
      <c r="B340" s="109"/>
      <c r="C340" s="109"/>
      <c r="D340" s="109"/>
      <c r="E340" s="112"/>
      <c r="F340" s="112"/>
      <c r="G340" s="109"/>
      <c r="H340" s="109"/>
      <c r="I340" s="109"/>
      <c r="J340" s="111"/>
      <c r="K340" s="268"/>
      <c r="L340" s="112"/>
      <c r="M340" s="112"/>
      <c r="N340" s="112"/>
      <c r="O340" s="112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</row>
    <row r="341" spans="1:31" ht="12" customHeight="1">
      <c r="A341" s="108"/>
      <c r="B341" s="109"/>
      <c r="C341" s="109"/>
      <c r="D341" s="109"/>
      <c r="E341" s="112"/>
      <c r="F341" s="112"/>
      <c r="G341" s="109"/>
      <c r="H341" s="109"/>
      <c r="I341" s="109"/>
      <c r="J341" s="111"/>
      <c r="K341" s="268"/>
      <c r="L341" s="112"/>
      <c r="M341" s="112"/>
      <c r="N341" s="112"/>
      <c r="O341" s="112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</row>
    <row r="342" spans="1:31" ht="12" customHeight="1">
      <c r="A342" s="108"/>
      <c r="B342" s="109"/>
      <c r="C342" s="109"/>
      <c r="D342" s="109"/>
      <c r="E342" s="112"/>
      <c r="F342" s="112"/>
      <c r="G342" s="109"/>
      <c r="H342" s="109"/>
      <c r="I342" s="109"/>
      <c r="J342" s="111"/>
      <c r="K342" s="268"/>
      <c r="L342" s="112"/>
      <c r="M342" s="112"/>
      <c r="N342" s="112"/>
      <c r="O342" s="112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</row>
    <row r="343" spans="1:31" ht="12" customHeight="1">
      <c r="A343" s="108"/>
      <c r="B343" s="109"/>
      <c r="C343" s="109"/>
      <c r="D343" s="109"/>
      <c r="E343" s="112"/>
      <c r="F343" s="112"/>
      <c r="G343" s="109"/>
      <c r="H343" s="109"/>
      <c r="I343" s="109"/>
      <c r="J343" s="111"/>
      <c r="K343" s="268"/>
      <c r="L343" s="112"/>
      <c r="M343" s="112"/>
      <c r="N343" s="112"/>
      <c r="O343" s="112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</row>
    <row r="344" spans="1:31" ht="12" customHeight="1">
      <c r="A344" s="108"/>
      <c r="B344" s="109"/>
      <c r="C344" s="109"/>
      <c r="D344" s="109"/>
      <c r="E344" s="112"/>
      <c r="F344" s="112"/>
      <c r="G344" s="109"/>
      <c r="H344" s="109"/>
      <c r="I344" s="109"/>
      <c r="J344" s="111"/>
      <c r="K344" s="268"/>
      <c r="L344" s="112"/>
      <c r="M344" s="112"/>
      <c r="N344" s="112"/>
      <c r="O344" s="112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</row>
    <row r="345" spans="1:31" ht="12" customHeight="1">
      <c r="A345" s="108"/>
      <c r="B345" s="109"/>
      <c r="C345" s="109"/>
      <c r="D345" s="109"/>
      <c r="E345" s="112"/>
      <c r="F345" s="112"/>
      <c r="G345" s="109"/>
      <c r="H345" s="109"/>
      <c r="I345" s="109"/>
      <c r="J345" s="111"/>
      <c r="K345" s="268"/>
      <c r="L345" s="112"/>
      <c r="M345" s="112"/>
      <c r="N345" s="112"/>
      <c r="O345" s="112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</row>
    <row r="346" spans="1:31" ht="12" customHeight="1">
      <c r="A346" s="108"/>
      <c r="B346" s="109"/>
      <c r="C346" s="109"/>
      <c r="D346" s="109"/>
      <c r="E346" s="112"/>
      <c r="F346" s="112"/>
      <c r="G346" s="109"/>
      <c r="H346" s="109"/>
      <c r="I346" s="109"/>
      <c r="J346" s="111"/>
      <c r="K346" s="268"/>
      <c r="L346" s="112"/>
      <c r="M346" s="112"/>
      <c r="N346" s="112"/>
      <c r="O346" s="112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</row>
    <row r="347" spans="1:31" ht="12" customHeight="1">
      <c r="A347" s="108"/>
      <c r="B347" s="109"/>
      <c r="C347" s="109"/>
      <c r="D347" s="109"/>
      <c r="E347" s="112"/>
      <c r="F347" s="112"/>
      <c r="G347" s="109"/>
      <c r="H347" s="109"/>
      <c r="I347" s="109"/>
      <c r="J347" s="111"/>
      <c r="K347" s="268"/>
      <c r="L347" s="112"/>
      <c r="M347" s="112"/>
      <c r="N347" s="112"/>
      <c r="O347" s="112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</row>
    <row r="348" spans="1:31" ht="12" customHeight="1">
      <c r="A348" s="108"/>
      <c r="B348" s="109"/>
      <c r="C348" s="109"/>
      <c r="D348" s="109"/>
      <c r="E348" s="112"/>
      <c r="F348" s="112"/>
      <c r="G348" s="109"/>
      <c r="H348" s="109"/>
      <c r="I348" s="109"/>
      <c r="J348" s="111"/>
      <c r="K348" s="268"/>
      <c r="L348" s="112"/>
      <c r="M348" s="112"/>
      <c r="N348" s="112"/>
      <c r="O348" s="112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</row>
    <row r="349" spans="1:31" ht="12" customHeight="1">
      <c r="A349" s="108"/>
      <c r="B349" s="109"/>
      <c r="C349" s="109"/>
      <c r="D349" s="109"/>
      <c r="E349" s="112"/>
      <c r="F349" s="112"/>
      <c r="G349" s="109"/>
      <c r="H349" s="109"/>
      <c r="I349" s="109"/>
      <c r="J349" s="111"/>
      <c r="K349" s="268"/>
      <c r="L349" s="112"/>
      <c r="M349" s="112"/>
      <c r="N349" s="112"/>
      <c r="O349" s="112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</row>
    <row r="350" spans="1:31" ht="12" customHeight="1">
      <c r="A350" s="108"/>
      <c r="B350" s="109"/>
      <c r="C350" s="109"/>
      <c r="D350" s="109"/>
      <c r="E350" s="112"/>
      <c r="F350" s="112"/>
      <c r="G350" s="109"/>
      <c r="H350" s="109"/>
      <c r="I350" s="109"/>
      <c r="J350" s="111"/>
      <c r="K350" s="268"/>
      <c r="L350" s="112"/>
      <c r="M350" s="112"/>
      <c r="N350" s="112"/>
      <c r="O350" s="112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</row>
    <row r="351" spans="1:31" ht="12" customHeight="1">
      <c r="A351" s="108"/>
      <c r="B351" s="109"/>
      <c r="C351" s="109"/>
      <c r="D351" s="109"/>
      <c r="E351" s="112"/>
      <c r="F351" s="112"/>
      <c r="G351" s="109"/>
      <c r="H351" s="109"/>
      <c r="I351" s="109"/>
      <c r="J351" s="111"/>
      <c r="K351" s="268"/>
      <c r="L351" s="112"/>
      <c r="M351" s="112"/>
      <c r="N351" s="112"/>
      <c r="O351" s="112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</row>
    <row r="352" spans="1:31" ht="12" customHeight="1">
      <c r="A352" s="108"/>
      <c r="B352" s="109"/>
      <c r="C352" s="109"/>
      <c r="D352" s="109"/>
      <c r="E352" s="112"/>
      <c r="F352" s="112"/>
      <c r="G352" s="109"/>
      <c r="H352" s="109"/>
      <c r="I352" s="109"/>
      <c r="J352" s="111"/>
      <c r="K352" s="268"/>
      <c r="L352" s="112"/>
      <c r="M352" s="112"/>
      <c r="N352" s="112"/>
      <c r="O352" s="112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</row>
    <row r="353" spans="1:31" ht="12" customHeight="1">
      <c r="A353" s="108"/>
      <c r="B353" s="109"/>
      <c r="C353" s="109"/>
      <c r="D353" s="109"/>
      <c r="E353" s="112"/>
      <c r="F353" s="112"/>
      <c r="G353" s="109"/>
      <c r="H353" s="109"/>
      <c r="I353" s="109"/>
      <c r="J353" s="111"/>
      <c r="K353" s="268"/>
      <c r="L353" s="112"/>
      <c r="M353" s="112"/>
      <c r="N353" s="112"/>
      <c r="O353" s="112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</row>
    <row r="354" spans="1:31" ht="12" customHeight="1">
      <c r="A354" s="108"/>
      <c r="B354" s="109"/>
      <c r="C354" s="109"/>
      <c r="D354" s="109"/>
      <c r="E354" s="112"/>
      <c r="F354" s="112"/>
      <c r="G354" s="109"/>
      <c r="H354" s="109"/>
      <c r="I354" s="109"/>
      <c r="J354" s="111"/>
      <c r="K354" s="268"/>
      <c r="L354" s="112"/>
      <c r="M354" s="112"/>
      <c r="N354" s="112"/>
      <c r="O354" s="112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</row>
    <row r="355" spans="1:31" ht="12" customHeight="1">
      <c r="A355" s="108"/>
      <c r="B355" s="109"/>
      <c r="C355" s="109"/>
      <c r="D355" s="109"/>
      <c r="E355" s="112"/>
      <c r="F355" s="112"/>
      <c r="G355" s="109"/>
      <c r="H355" s="109"/>
      <c r="I355" s="109"/>
      <c r="J355" s="111"/>
      <c r="K355" s="268"/>
      <c r="L355" s="112"/>
      <c r="M355" s="112"/>
      <c r="N355" s="112"/>
      <c r="O355" s="112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</row>
    <row r="356" spans="1:31" ht="12" customHeight="1">
      <c r="A356" s="108"/>
      <c r="B356" s="109"/>
      <c r="C356" s="109"/>
      <c r="D356" s="109"/>
      <c r="E356" s="112"/>
      <c r="F356" s="112"/>
      <c r="G356" s="109"/>
      <c r="H356" s="109"/>
      <c r="I356" s="109"/>
      <c r="J356" s="111"/>
      <c r="K356" s="268"/>
      <c r="L356" s="112"/>
      <c r="M356" s="112"/>
      <c r="N356" s="112"/>
      <c r="O356" s="112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</row>
    <row r="357" spans="1:31" ht="12" customHeight="1">
      <c r="A357" s="108"/>
      <c r="B357" s="109"/>
      <c r="C357" s="109"/>
      <c r="D357" s="109"/>
      <c r="E357" s="112"/>
      <c r="F357" s="112"/>
      <c r="G357" s="109"/>
      <c r="H357" s="109"/>
      <c r="I357" s="109"/>
      <c r="J357" s="111"/>
      <c r="K357" s="268"/>
      <c r="L357" s="112"/>
      <c r="M357" s="112"/>
      <c r="N357" s="112"/>
      <c r="O357" s="112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</row>
    <row r="358" spans="1:31" ht="12" customHeight="1">
      <c r="A358" s="108"/>
      <c r="B358" s="109"/>
      <c r="C358" s="109"/>
      <c r="D358" s="109"/>
      <c r="E358" s="112"/>
      <c r="F358" s="112"/>
      <c r="G358" s="109"/>
      <c r="H358" s="109"/>
      <c r="I358" s="109"/>
      <c r="J358" s="111"/>
      <c r="K358" s="268"/>
      <c r="L358" s="112"/>
      <c r="M358" s="112"/>
      <c r="N358" s="112"/>
      <c r="O358" s="112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</row>
    <row r="359" spans="1:31" ht="12" customHeight="1">
      <c r="A359" s="108"/>
      <c r="B359" s="109"/>
      <c r="C359" s="109"/>
      <c r="D359" s="109"/>
      <c r="E359" s="112"/>
      <c r="F359" s="112"/>
      <c r="G359" s="109"/>
      <c r="H359" s="109"/>
      <c r="I359" s="109"/>
      <c r="J359" s="111"/>
      <c r="K359" s="268"/>
      <c r="L359" s="112"/>
      <c r="M359" s="112"/>
      <c r="N359" s="112"/>
      <c r="O359" s="112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</row>
    <row r="360" spans="1:31" ht="12" customHeight="1">
      <c r="A360" s="108"/>
      <c r="B360" s="109"/>
      <c r="C360" s="109"/>
      <c r="D360" s="109"/>
      <c r="E360" s="112"/>
      <c r="F360" s="112"/>
      <c r="G360" s="109"/>
      <c r="H360" s="109"/>
      <c r="I360" s="109"/>
      <c r="J360" s="111"/>
      <c r="K360" s="268"/>
      <c r="L360" s="112"/>
      <c r="M360" s="112"/>
      <c r="N360" s="112"/>
      <c r="O360" s="112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</row>
    <row r="361" spans="1:31" ht="12" customHeight="1">
      <c r="A361" s="108"/>
      <c r="B361" s="109"/>
      <c r="C361" s="109"/>
      <c r="D361" s="109"/>
      <c r="E361" s="112"/>
      <c r="F361" s="112"/>
      <c r="G361" s="109"/>
      <c r="H361" s="109"/>
      <c r="I361" s="109"/>
      <c r="J361" s="111"/>
      <c r="K361" s="268"/>
      <c r="L361" s="112"/>
      <c r="M361" s="112"/>
      <c r="N361" s="112"/>
      <c r="O361" s="112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</row>
    <row r="362" spans="1:31" ht="12" customHeight="1">
      <c r="A362" s="108"/>
      <c r="B362" s="109"/>
      <c r="C362" s="109"/>
      <c r="D362" s="109"/>
      <c r="E362" s="112"/>
      <c r="F362" s="112"/>
      <c r="G362" s="109"/>
      <c r="H362" s="109"/>
      <c r="I362" s="109"/>
      <c r="J362" s="111"/>
      <c r="K362" s="268"/>
      <c r="L362" s="112"/>
      <c r="M362" s="112"/>
      <c r="N362" s="112"/>
      <c r="O362" s="112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</row>
    <row r="363" spans="1:31" ht="12" customHeight="1">
      <c r="A363" s="108"/>
      <c r="B363" s="109"/>
      <c r="C363" s="109"/>
      <c r="D363" s="109"/>
      <c r="E363" s="112"/>
      <c r="F363" s="112"/>
      <c r="G363" s="109"/>
      <c r="H363" s="109"/>
      <c r="I363" s="109"/>
      <c r="J363" s="111"/>
      <c r="K363" s="268"/>
      <c r="L363" s="112"/>
      <c r="M363" s="112"/>
      <c r="N363" s="112"/>
      <c r="O363" s="112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</row>
    <row r="364" spans="1:31" ht="12" customHeight="1">
      <c r="A364" s="108"/>
      <c r="B364" s="109"/>
      <c r="C364" s="109"/>
      <c r="D364" s="109"/>
      <c r="E364" s="112"/>
      <c r="F364" s="112"/>
      <c r="G364" s="109"/>
      <c r="H364" s="109"/>
      <c r="I364" s="109"/>
      <c r="J364" s="111"/>
      <c r="K364" s="268"/>
      <c r="L364" s="112"/>
      <c r="M364" s="112"/>
      <c r="N364" s="112"/>
      <c r="O364" s="112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</row>
    <row r="365" spans="1:31" ht="12" customHeight="1">
      <c r="A365" s="108"/>
      <c r="B365" s="109"/>
      <c r="C365" s="109"/>
      <c r="D365" s="109"/>
      <c r="E365" s="112"/>
      <c r="F365" s="112"/>
      <c r="G365" s="109"/>
      <c r="H365" s="109"/>
      <c r="I365" s="109"/>
      <c r="J365" s="111"/>
      <c r="K365" s="268"/>
      <c r="L365" s="112"/>
      <c r="M365" s="112"/>
      <c r="N365" s="112"/>
      <c r="O365" s="112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</row>
    <row r="366" spans="1:31" ht="12" customHeight="1">
      <c r="A366" s="108"/>
      <c r="B366" s="109"/>
      <c r="C366" s="109"/>
      <c r="D366" s="109"/>
      <c r="E366" s="112"/>
      <c r="F366" s="112"/>
      <c r="G366" s="109"/>
      <c r="H366" s="109"/>
      <c r="I366" s="109"/>
      <c r="J366" s="111"/>
      <c r="K366" s="268"/>
      <c r="L366" s="112"/>
      <c r="M366" s="112"/>
      <c r="N366" s="112"/>
      <c r="O366" s="112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</row>
    <row r="367" spans="1:31" ht="12" customHeight="1">
      <c r="A367" s="108"/>
      <c r="B367" s="109"/>
      <c r="C367" s="109"/>
      <c r="D367" s="109"/>
      <c r="E367" s="112"/>
      <c r="F367" s="112"/>
      <c r="G367" s="109"/>
      <c r="H367" s="109"/>
      <c r="I367" s="109"/>
      <c r="J367" s="111"/>
      <c r="K367" s="268"/>
      <c r="L367" s="112"/>
      <c r="M367" s="112"/>
      <c r="N367" s="112"/>
      <c r="O367" s="112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</row>
    <row r="368" spans="1:31" ht="12" customHeight="1">
      <c r="A368" s="108"/>
      <c r="B368" s="109"/>
      <c r="C368" s="109"/>
      <c r="D368" s="109"/>
      <c r="E368" s="112"/>
      <c r="F368" s="112"/>
      <c r="G368" s="109"/>
      <c r="H368" s="109"/>
      <c r="I368" s="109"/>
      <c r="J368" s="111"/>
      <c r="K368" s="268"/>
      <c r="L368" s="112"/>
      <c r="M368" s="112"/>
      <c r="N368" s="112"/>
      <c r="O368" s="112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</row>
    <row r="369" spans="1:31" ht="12" customHeight="1">
      <c r="A369" s="108"/>
      <c r="B369" s="109"/>
      <c r="C369" s="109"/>
      <c r="D369" s="109"/>
      <c r="E369" s="112"/>
      <c r="F369" s="112"/>
      <c r="G369" s="109"/>
      <c r="H369" s="109"/>
      <c r="I369" s="109"/>
      <c r="J369" s="111"/>
      <c r="K369" s="268"/>
      <c r="L369" s="112"/>
      <c r="M369" s="112"/>
      <c r="N369" s="112"/>
      <c r="O369" s="112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</row>
    <row r="370" spans="1:31" ht="12" customHeight="1">
      <c r="A370" s="108"/>
      <c r="B370" s="109"/>
      <c r="C370" s="109"/>
      <c r="D370" s="109"/>
      <c r="E370" s="112"/>
      <c r="F370" s="112"/>
      <c r="G370" s="109"/>
      <c r="H370" s="109"/>
      <c r="I370" s="109"/>
      <c r="J370" s="111"/>
      <c r="K370" s="268"/>
      <c r="L370" s="112"/>
      <c r="M370" s="112"/>
      <c r="N370" s="112"/>
      <c r="O370" s="112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</row>
    <row r="371" spans="1:31" ht="12" customHeight="1">
      <c r="A371" s="108"/>
      <c r="B371" s="109"/>
      <c r="C371" s="109"/>
      <c r="D371" s="109"/>
      <c r="E371" s="112"/>
      <c r="F371" s="112"/>
      <c r="G371" s="109"/>
      <c r="H371" s="109"/>
      <c r="I371" s="109"/>
      <c r="J371" s="111"/>
      <c r="K371" s="268"/>
      <c r="L371" s="112"/>
      <c r="M371" s="112"/>
      <c r="N371" s="112"/>
      <c r="O371" s="112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</row>
    <row r="372" spans="1:31" ht="12" customHeight="1">
      <c r="A372" s="108"/>
      <c r="B372" s="109"/>
      <c r="C372" s="109"/>
      <c r="D372" s="109"/>
      <c r="E372" s="112"/>
      <c r="F372" s="112"/>
      <c r="G372" s="109"/>
      <c r="H372" s="109"/>
      <c r="I372" s="109"/>
      <c r="J372" s="111"/>
      <c r="K372" s="268"/>
      <c r="L372" s="112"/>
      <c r="M372" s="112"/>
      <c r="N372" s="112"/>
      <c r="O372" s="112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</row>
    <row r="373" spans="1:31" ht="12" customHeight="1">
      <c r="A373" s="108"/>
      <c r="B373" s="109"/>
      <c r="C373" s="109"/>
      <c r="D373" s="109"/>
      <c r="E373" s="112"/>
      <c r="F373" s="112"/>
      <c r="G373" s="109"/>
      <c r="H373" s="109"/>
      <c r="I373" s="109"/>
      <c r="J373" s="111"/>
      <c r="K373" s="268"/>
      <c r="L373" s="112"/>
      <c r="M373" s="112"/>
      <c r="N373" s="112"/>
      <c r="O373" s="112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</row>
    <row r="374" spans="1:31" ht="12" customHeight="1">
      <c r="A374" s="108"/>
      <c r="B374" s="109"/>
      <c r="C374" s="109"/>
      <c r="D374" s="109"/>
      <c r="E374" s="112"/>
      <c r="F374" s="112"/>
      <c r="G374" s="109"/>
      <c r="H374" s="109"/>
      <c r="I374" s="109"/>
      <c r="J374" s="111"/>
      <c r="K374" s="268"/>
      <c r="L374" s="112"/>
      <c r="M374" s="112"/>
      <c r="N374" s="112"/>
      <c r="O374" s="112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</row>
    <row r="375" spans="1:31" ht="12" customHeight="1">
      <c r="A375" s="108"/>
      <c r="B375" s="109"/>
      <c r="C375" s="109"/>
      <c r="D375" s="109"/>
      <c r="E375" s="112"/>
      <c r="F375" s="112"/>
      <c r="G375" s="109"/>
      <c r="H375" s="109"/>
      <c r="I375" s="109"/>
      <c r="J375" s="111"/>
      <c r="K375" s="268"/>
      <c r="L375" s="112"/>
      <c r="M375" s="112"/>
      <c r="N375" s="112"/>
      <c r="O375" s="112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</row>
    <row r="376" spans="1:31" ht="12" customHeight="1">
      <c r="A376" s="108"/>
      <c r="B376" s="109"/>
      <c r="C376" s="109"/>
      <c r="D376" s="109"/>
      <c r="E376" s="112"/>
      <c r="F376" s="112"/>
      <c r="G376" s="109"/>
      <c r="H376" s="109"/>
      <c r="I376" s="109"/>
      <c r="J376" s="111"/>
      <c r="K376" s="268"/>
      <c r="L376" s="112"/>
      <c r="M376" s="112"/>
      <c r="N376" s="112"/>
      <c r="O376" s="112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</row>
    <row r="377" spans="1:31" ht="12" customHeight="1">
      <c r="A377" s="108"/>
      <c r="B377" s="109"/>
      <c r="C377" s="109"/>
      <c r="D377" s="109"/>
      <c r="E377" s="112"/>
      <c r="F377" s="112"/>
      <c r="G377" s="109"/>
      <c r="H377" s="109"/>
      <c r="I377" s="109"/>
      <c r="J377" s="111"/>
      <c r="K377" s="268"/>
      <c r="L377" s="112"/>
      <c r="M377" s="112"/>
      <c r="N377" s="112"/>
      <c r="O377" s="112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</row>
    <row r="378" spans="1:31" ht="12" customHeight="1">
      <c r="A378" s="108"/>
      <c r="B378" s="109"/>
      <c r="C378" s="109"/>
      <c r="D378" s="109"/>
      <c r="E378" s="112"/>
      <c r="F378" s="112"/>
      <c r="G378" s="109"/>
      <c r="H378" s="109"/>
      <c r="I378" s="109"/>
      <c r="J378" s="111"/>
      <c r="K378" s="268"/>
      <c r="L378" s="112"/>
      <c r="M378" s="112"/>
      <c r="N378" s="112"/>
      <c r="O378" s="112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</row>
    <row r="379" spans="1:31" ht="12" customHeight="1">
      <c r="A379" s="108"/>
      <c r="B379" s="109"/>
      <c r="C379" s="109"/>
      <c r="D379" s="109"/>
      <c r="E379" s="112"/>
      <c r="F379" s="112"/>
      <c r="G379" s="109"/>
      <c r="H379" s="109"/>
      <c r="I379" s="109"/>
      <c r="J379" s="111"/>
      <c r="K379" s="268"/>
      <c r="L379" s="112"/>
      <c r="M379" s="112"/>
      <c r="N379" s="112"/>
      <c r="O379" s="112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</row>
    <row r="380" spans="1:31" ht="12" customHeight="1">
      <c r="A380" s="108"/>
      <c r="B380" s="109"/>
      <c r="C380" s="109"/>
      <c r="D380" s="109"/>
      <c r="E380" s="112"/>
      <c r="F380" s="112"/>
      <c r="G380" s="109"/>
      <c r="H380" s="109"/>
      <c r="I380" s="109"/>
      <c r="J380" s="111"/>
      <c r="K380" s="268"/>
      <c r="L380" s="112"/>
      <c r="M380" s="112"/>
      <c r="N380" s="112"/>
      <c r="O380" s="112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</row>
    <row r="381" spans="1:31" ht="12" customHeight="1">
      <c r="A381" s="108"/>
      <c r="B381" s="109"/>
      <c r="C381" s="109"/>
      <c r="D381" s="109"/>
      <c r="E381" s="112"/>
      <c r="F381" s="112"/>
      <c r="G381" s="109"/>
      <c r="H381" s="109"/>
      <c r="I381" s="109"/>
      <c r="J381" s="111"/>
      <c r="K381" s="268"/>
      <c r="L381" s="112"/>
      <c r="M381" s="112"/>
      <c r="N381" s="112"/>
      <c r="O381" s="112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</row>
    <row r="382" spans="1:31" ht="12" customHeight="1">
      <c r="A382" s="108"/>
      <c r="B382" s="109"/>
      <c r="C382" s="109"/>
      <c r="D382" s="109"/>
      <c r="E382" s="112"/>
      <c r="F382" s="112"/>
      <c r="G382" s="109"/>
      <c r="H382" s="109"/>
      <c r="I382" s="109"/>
      <c r="J382" s="111"/>
      <c r="K382" s="268"/>
      <c r="L382" s="112"/>
      <c r="M382" s="112"/>
      <c r="N382" s="112"/>
      <c r="O382" s="112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</row>
    <row r="383" spans="1:31" ht="12" customHeight="1">
      <c r="A383" s="108"/>
      <c r="B383" s="109"/>
      <c r="C383" s="109"/>
      <c r="D383" s="109"/>
      <c r="E383" s="112"/>
      <c r="F383" s="112"/>
      <c r="G383" s="109"/>
      <c r="H383" s="109"/>
      <c r="I383" s="109"/>
      <c r="J383" s="111"/>
      <c r="K383" s="268"/>
      <c r="L383" s="112"/>
      <c r="M383" s="112"/>
      <c r="N383" s="112"/>
      <c r="O383" s="112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</row>
    <row r="384" spans="1:31" ht="12" customHeight="1">
      <c r="A384" s="108"/>
      <c r="B384" s="109"/>
      <c r="C384" s="109"/>
      <c r="D384" s="109"/>
      <c r="E384" s="112"/>
      <c r="F384" s="112"/>
      <c r="G384" s="109"/>
      <c r="H384" s="109"/>
      <c r="I384" s="109"/>
      <c r="J384" s="111"/>
      <c r="K384" s="268"/>
      <c r="L384" s="112"/>
      <c r="M384" s="112"/>
      <c r="N384" s="112"/>
      <c r="O384" s="112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</row>
    <row r="385" spans="1:31" ht="12" customHeight="1">
      <c r="A385" s="108"/>
      <c r="B385" s="109"/>
      <c r="C385" s="109"/>
      <c r="D385" s="109"/>
      <c r="E385" s="112"/>
      <c r="F385" s="112"/>
      <c r="G385" s="109"/>
      <c r="H385" s="109"/>
      <c r="I385" s="109"/>
      <c r="J385" s="111"/>
      <c r="K385" s="268"/>
      <c r="L385" s="112"/>
      <c r="M385" s="112"/>
      <c r="N385" s="112"/>
      <c r="O385" s="112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</row>
    <row r="386" spans="1:31" ht="12" customHeight="1">
      <c r="A386" s="108"/>
      <c r="B386" s="109"/>
      <c r="C386" s="109"/>
      <c r="D386" s="109"/>
      <c r="E386" s="112"/>
      <c r="F386" s="112"/>
      <c r="G386" s="109"/>
      <c r="H386" s="109"/>
      <c r="I386" s="109"/>
      <c r="J386" s="111"/>
      <c r="K386" s="268"/>
      <c r="L386" s="112"/>
      <c r="M386" s="112"/>
      <c r="N386" s="112"/>
      <c r="O386" s="112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</row>
    <row r="387" spans="1:31" ht="12" customHeight="1">
      <c r="A387" s="108"/>
      <c r="B387" s="109"/>
      <c r="C387" s="109"/>
      <c r="D387" s="109"/>
      <c r="E387" s="112"/>
      <c r="F387" s="112"/>
      <c r="G387" s="109"/>
      <c r="H387" s="109"/>
      <c r="I387" s="109"/>
      <c r="J387" s="111"/>
      <c r="K387" s="268"/>
      <c r="L387" s="112"/>
      <c r="M387" s="112"/>
      <c r="N387" s="112"/>
      <c r="O387" s="112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</row>
    <row r="388" spans="1:31" ht="12" customHeight="1">
      <c r="A388" s="108"/>
      <c r="B388" s="109"/>
      <c r="C388" s="109"/>
      <c r="D388" s="109"/>
      <c r="E388" s="112"/>
      <c r="F388" s="112"/>
      <c r="G388" s="109"/>
      <c r="H388" s="109"/>
      <c r="I388" s="109"/>
      <c r="J388" s="111"/>
      <c r="K388" s="268"/>
      <c r="L388" s="112"/>
      <c r="M388" s="112"/>
      <c r="N388" s="112"/>
      <c r="O388" s="112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</row>
    <row r="389" spans="1:31" ht="12" customHeight="1">
      <c r="A389" s="108"/>
      <c r="B389" s="109"/>
      <c r="C389" s="109"/>
      <c r="D389" s="109"/>
      <c r="E389" s="112"/>
      <c r="F389" s="112"/>
      <c r="G389" s="109"/>
      <c r="H389" s="109"/>
      <c r="I389" s="109"/>
      <c r="J389" s="111"/>
      <c r="K389" s="268"/>
      <c r="L389" s="112"/>
      <c r="M389" s="112"/>
      <c r="N389" s="112"/>
      <c r="O389" s="112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</row>
    <row r="390" spans="1:31" ht="12" customHeight="1">
      <c r="A390" s="108"/>
      <c r="B390" s="109"/>
      <c r="C390" s="109"/>
      <c r="D390" s="109"/>
      <c r="E390" s="112"/>
      <c r="F390" s="112"/>
      <c r="G390" s="109"/>
      <c r="H390" s="109"/>
      <c r="I390" s="109"/>
      <c r="J390" s="111"/>
      <c r="K390" s="268"/>
      <c r="L390" s="112"/>
      <c r="M390" s="112"/>
      <c r="N390" s="112"/>
      <c r="O390" s="112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</row>
    <row r="391" spans="1:31" ht="12" customHeight="1">
      <c r="A391" s="108"/>
      <c r="B391" s="109"/>
      <c r="C391" s="109"/>
      <c r="D391" s="109"/>
      <c r="E391" s="112"/>
      <c r="F391" s="112"/>
      <c r="G391" s="109"/>
      <c r="H391" s="109"/>
      <c r="I391" s="109"/>
      <c r="J391" s="111"/>
      <c r="K391" s="268"/>
      <c r="L391" s="112"/>
      <c r="M391" s="112"/>
      <c r="N391" s="112"/>
      <c r="O391" s="112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</row>
    <row r="392" spans="1:31" ht="12" customHeight="1">
      <c r="A392" s="108"/>
      <c r="B392" s="109"/>
      <c r="C392" s="109"/>
      <c r="D392" s="109"/>
      <c r="E392" s="112"/>
      <c r="F392" s="112"/>
      <c r="G392" s="109"/>
      <c r="H392" s="109"/>
      <c r="I392" s="109"/>
      <c r="J392" s="111"/>
      <c r="K392" s="268"/>
      <c r="L392" s="112"/>
      <c r="M392" s="112"/>
      <c r="N392" s="112"/>
      <c r="O392" s="112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</row>
    <row r="393" spans="1:31" ht="12" customHeight="1">
      <c r="A393" s="108"/>
      <c r="B393" s="109"/>
      <c r="C393" s="109"/>
      <c r="D393" s="109"/>
      <c r="E393" s="112"/>
      <c r="F393" s="112"/>
      <c r="G393" s="109"/>
      <c r="H393" s="109"/>
      <c r="I393" s="109"/>
      <c r="J393" s="111"/>
      <c r="K393" s="268"/>
      <c r="L393" s="112"/>
      <c r="M393" s="112"/>
      <c r="N393" s="112"/>
      <c r="O393" s="112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</row>
    <row r="394" spans="1:31" ht="12" customHeight="1">
      <c r="A394" s="108"/>
      <c r="B394" s="109"/>
      <c r="C394" s="109"/>
      <c r="D394" s="109"/>
      <c r="E394" s="112"/>
      <c r="F394" s="112"/>
      <c r="G394" s="109"/>
      <c r="H394" s="109"/>
      <c r="I394" s="109"/>
      <c r="J394" s="111"/>
      <c r="K394" s="268"/>
      <c r="L394" s="112"/>
      <c r="M394" s="112"/>
      <c r="N394" s="112"/>
      <c r="O394" s="112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</row>
    <row r="395" spans="1:31" ht="12" customHeight="1">
      <c r="A395" s="108"/>
      <c r="B395" s="109"/>
      <c r="C395" s="109"/>
      <c r="D395" s="109"/>
      <c r="E395" s="112"/>
      <c r="F395" s="112"/>
      <c r="G395" s="109"/>
      <c r="H395" s="109"/>
      <c r="I395" s="109"/>
      <c r="J395" s="111"/>
      <c r="K395" s="268"/>
      <c r="L395" s="112"/>
      <c r="M395" s="112"/>
      <c r="N395" s="112"/>
      <c r="O395" s="112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</row>
    <row r="396" spans="1:31" ht="12" customHeight="1">
      <c r="A396" s="108"/>
      <c r="B396" s="109"/>
      <c r="C396" s="109"/>
      <c r="D396" s="109"/>
      <c r="E396" s="112"/>
      <c r="F396" s="112"/>
      <c r="G396" s="109"/>
      <c r="H396" s="109"/>
      <c r="I396" s="109"/>
      <c r="J396" s="111"/>
      <c r="K396" s="268"/>
      <c r="L396" s="112"/>
      <c r="M396" s="112"/>
      <c r="N396" s="112"/>
      <c r="O396" s="112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</row>
    <row r="397" spans="1:31" ht="12" customHeight="1">
      <c r="A397" s="108"/>
      <c r="B397" s="109"/>
      <c r="C397" s="109"/>
      <c r="D397" s="109"/>
      <c r="E397" s="112"/>
      <c r="F397" s="112"/>
      <c r="G397" s="109"/>
      <c r="H397" s="109"/>
      <c r="I397" s="109"/>
      <c r="J397" s="111"/>
      <c r="K397" s="268"/>
      <c r="L397" s="112"/>
      <c r="M397" s="112"/>
      <c r="N397" s="112"/>
      <c r="O397" s="112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</row>
    <row r="398" spans="1:31" ht="12" customHeight="1">
      <c r="A398" s="108"/>
      <c r="B398" s="109"/>
      <c r="C398" s="109"/>
      <c r="D398" s="109"/>
      <c r="E398" s="112"/>
      <c r="F398" s="112"/>
      <c r="G398" s="109"/>
      <c r="H398" s="109"/>
      <c r="I398" s="109"/>
      <c r="J398" s="111"/>
      <c r="K398" s="268"/>
      <c r="L398" s="112"/>
      <c r="M398" s="112"/>
      <c r="N398" s="112"/>
      <c r="O398" s="112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</row>
    <row r="399" spans="1:31" ht="12" customHeight="1">
      <c r="A399" s="108"/>
      <c r="B399" s="109"/>
      <c r="C399" s="109"/>
      <c r="D399" s="109"/>
      <c r="E399" s="112"/>
      <c r="F399" s="112"/>
      <c r="G399" s="109"/>
      <c r="H399" s="109"/>
      <c r="I399" s="109"/>
      <c r="J399" s="111"/>
      <c r="K399" s="268"/>
      <c r="L399" s="112"/>
      <c r="M399" s="112"/>
      <c r="N399" s="112"/>
      <c r="O399" s="112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</row>
    <row r="400" spans="1:31" ht="12" customHeight="1">
      <c r="A400" s="108"/>
      <c r="B400" s="109"/>
      <c r="C400" s="109"/>
      <c r="D400" s="109"/>
      <c r="E400" s="112"/>
      <c r="F400" s="112"/>
      <c r="G400" s="109"/>
      <c r="H400" s="109"/>
      <c r="I400" s="109"/>
      <c r="J400" s="111"/>
      <c r="K400" s="268"/>
      <c r="L400" s="112"/>
      <c r="M400" s="112"/>
      <c r="N400" s="112"/>
      <c r="O400" s="112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</row>
    <row r="401" spans="1:31" ht="12" customHeight="1">
      <c r="A401" s="108"/>
      <c r="B401" s="109"/>
      <c r="C401" s="109"/>
      <c r="D401" s="109"/>
      <c r="E401" s="112"/>
      <c r="F401" s="112"/>
      <c r="G401" s="109"/>
      <c r="H401" s="109"/>
      <c r="I401" s="109"/>
      <c r="J401" s="111"/>
      <c r="K401" s="268"/>
      <c r="L401" s="112"/>
      <c r="M401" s="112"/>
      <c r="N401" s="112"/>
      <c r="O401" s="112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</row>
    <row r="402" spans="1:31" ht="12" customHeight="1">
      <c r="A402" s="108"/>
      <c r="B402" s="109"/>
      <c r="C402" s="109"/>
      <c r="D402" s="109"/>
      <c r="E402" s="112"/>
      <c r="F402" s="112"/>
      <c r="G402" s="109"/>
      <c r="H402" s="109"/>
      <c r="I402" s="109"/>
      <c r="J402" s="111"/>
      <c r="K402" s="268"/>
      <c r="L402" s="112"/>
      <c r="M402" s="112"/>
      <c r="N402" s="112"/>
      <c r="O402" s="112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</row>
    <row r="403" spans="1:31" ht="12" customHeight="1">
      <c r="A403" s="108"/>
      <c r="B403" s="109"/>
      <c r="C403" s="109"/>
      <c r="D403" s="109"/>
      <c r="E403" s="112"/>
      <c r="F403" s="112"/>
      <c r="G403" s="109"/>
      <c r="H403" s="109"/>
      <c r="I403" s="109"/>
      <c r="J403" s="111"/>
      <c r="K403" s="268"/>
      <c r="L403" s="112"/>
      <c r="M403" s="112"/>
      <c r="N403" s="112"/>
      <c r="O403" s="112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</row>
    <row r="404" spans="1:31" ht="12" customHeight="1">
      <c r="A404" s="108"/>
      <c r="B404" s="109"/>
      <c r="C404" s="109"/>
      <c r="D404" s="109"/>
      <c r="E404" s="112"/>
      <c r="F404" s="112"/>
      <c r="G404" s="109"/>
      <c r="H404" s="109"/>
      <c r="I404" s="109"/>
      <c r="J404" s="111"/>
      <c r="K404" s="268"/>
      <c r="L404" s="112"/>
      <c r="M404" s="112"/>
      <c r="N404" s="112"/>
      <c r="O404" s="112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</row>
    <row r="405" spans="1:31" ht="12" customHeight="1">
      <c r="A405" s="108"/>
      <c r="B405" s="109"/>
      <c r="C405" s="109"/>
      <c r="D405" s="109"/>
      <c r="E405" s="112"/>
      <c r="F405" s="112"/>
      <c r="G405" s="109"/>
      <c r="H405" s="109"/>
      <c r="I405" s="109"/>
      <c r="J405" s="111"/>
      <c r="K405" s="268"/>
      <c r="L405" s="112"/>
      <c r="M405" s="112"/>
      <c r="N405" s="112"/>
      <c r="O405" s="112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</row>
    <row r="406" spans="1:31" ht="12" customHeight="1">
      <c r="A406" s="108"/>
      <c r="B406" s="109"/>
      <c r="C406" s="109"/>
      <c r="D406" s="109"/>
      <c r="E406" s="112"/>
      <c r="F406" s="112"/>
      <c r="G406" s="109"/>
      <c r="H406" s="109"/>
      <c r="I406" s="109"/>
      <c r="J406" s="111"/>
      <c r="K406" s="268"/>
      <c r="L406" s="112"/>
      <c r="M406" s="112"/>
      <c r="N406" s="112"/>
      <c r="O406" s="112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</row>
    <row r="407" spans="1:31" ht="12" customHeight="1">
      <c r="A407" s="108"/>
      <c r="B407" s="109"/>
      <c r="C407" s="109"/>
      <c r="D407" s="109"/>
      <c r="E407" s="112"/>
      <c r="F407" s="112"/>
      <c r="G407" s="109"/>
      <c r="H407" s="109"/>
      <c r="I407" s="109"/>
      <c r="J407" s="111"/>
      <c r="K407" s="268"/>
      <c r="L407" s="112"/>
      <c r="M407" s="112"/>
      <c r="N407" s="112"/>
      <c r="O407" s="112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</row>
    <row r="408" spans="1:31" ht="12" customHeight="1">
      <c r="A408" s="108"/>
      <c r="B408" s="109"/>
      <c r="C408" s="109"/>
      <c r="D408" s="109"/>
      <c r="E408" s="112"/>
      <c r="F408" s="112"/>
      <c r="G408" s="109"/>
      <c r="H408" s="109"/>
      <c r="I408" s="109"/>
      <c r="J408" s="111"/>
      <c r="K408" s="268"/>
      <c r="L408" s="112"/>
      <c r="M408" s="112"/>
      <c r="N408" s="112"/>
      <c r="O408" s="112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</row>
    <row r="409" spans="1:31" ht="12" customHeight="1">
      <c r="A409" s="108"/>
      <c r="B409" s="109"/>
      <c r="C409" s="109"/>
      <c r="D409" s="109"/>
      <c r="E409" s="112"/>
      <c r="F409" s="112"/>
      <c r="G409" s="109"/>
      <c r="H409" s="109"/>
      <c r="I409" s="109"/>
      <c r="J409" s="111"/>
      <c r="K409" s="268"/>
      <c r="L409" s="112"/>
      <c r="M409" s="112"/>
      <c r="N409" s="112"/>
      <c r="O409" s="112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</row>
    <row r="410" spans="1:31" ht="12" customHeight="1">
      <c r="A410" s="108"/>
      <c r="B410" s="109"/>
      <c r="C410" s="109"/>
      <c r="D410" s="109"/>
      <c r="E410" s="112"/>
      <c r="F410" s="112"/>
      <c r="G410" s="109"/>
      <c r="H410" s="109"/>
      <c r="I410" s="109"/>
      <c r="J410" s="111"/>
      <c r="K410" s="268"/>
      <c r="L410" s="112"/>
      <c r="M410" s="112"/>
      <c r="N410" s="112"/>
      <c r="O410" s="112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</row>
    <row r="411" spans="1:31" ht="12" customHeight="1">
      <c r="A411" s="108"/>
      <c r="B411" s="109"/>
      <c r="C411" s="109"/>
      <c r="D411" s="109"/>
      <c r="E411" s="112"/>
      <c r="F411" s="112"/>
      <c r="G411" s="109"/>
      <c r="H411" s="109"/>
      <c r="I411" s="109"/>
      <c r="J411" s="111"/>
      <c r="K411" s="268"/>
      <c r="L411" s="112"/>
      <c r="M411" s="112"/>
      <c r="N411" s="112"/>
      <c r="O411" s="112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</row>
    <row r="412" spans="1:31" ht="12" customHeight="1">
      <c r="A412" s="108"/>
      <c r="B412" s="109"/>
      <c r="C412" s="109"/>
      <c r="D412" s="109"/>
      <c r="E412" s="112"/>
      <c r="F412" s="112"/>
      <c r="G412" s="109"/>
      <c r="H412" s="109"/>
      <c r="I412" s="109"/>
      <c r="J412" s="111"/>
      <c r="K412" s="268"/>
      <c r="L412" s="112"/>
      <c r="M412" s="112"/>
      <c r="N412" s="112"/>
      <c r="O412" s="112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</row>
    <row r="413" spans="1:31" ht="12" customHeight="1">
      <c r="A413" s="108"/>
      <c r="B413" s="109"/>
      <c r="C413" s="109"/>
      <c r="D413" s="109"/>
      <c r="E413" s="112"/>
      <c r="F413" s="112"/>
      <c r="G413" s="109"/>
      <c r="H413" s="109"/>
      <c r="I413" s="109"/>
      <c r="J413" s="111"/>
      <c r="K413" s="268"/>
      <c r="L413" s="112"/>
      <c r="M413" s="112"/>
      <c r="N413" s="112"/>
      <c r="O413" s="112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</row>
    <row r="414" spans="1:31" ht="12" customHeight="1">
      <c r="A414" s="108"/>
      <c r="B414" s="109"/>
      <c r="C414" s="109"/>
      <c r="D414" s="109"/>
      <c r="E414" s="112"/>
      <c r="F414" s="112"/>
      <c r="G414" s="109"/>
      <c r="H414" s="109"/>
      <c r="I414" s="109"/>
      <c r="J414" s="111"/>
      <c r="K414" s="268"/>
      <c r="L414" s="112"/>
      <c r="M414" s="112"/>
      <c r="N414" s="112"/>
      <c r="O414" s="112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</row>
    <row r="415" spans="1:31" ht="12" customHeight="1">
      <c r="A415" s="108"/>
      <c r="B415" s="109"/>
      <c r="C415" s="109"/>
      <c r="D415" s="109"/>
      <c r="E415" s="112"/>
      <c r="F415" s="112"/>
      <c r="G415" s="109"/>
      <c r="H415" s="109"/>
      <c r="I415" s="109"/>
      <c r="J415" s="111"/>
      <c r="K415" s="268"/>
      <c r="L415" s="112"/>
      <c r="M415" s="112"/>
      <c r="N415" s="112"/>
      <c r="O415" s="112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</row>
    <row r="416" spans="1:31" ht="12" customHeight="1">
      <c r="A416" s="108"/>
      <c r="B416" s="109"/>
      <c r="C416" s="109"/>
      <c r="D416" s="109"/>
      <c r="E416" s="112"/>
      <c r="F416" s="112"/>
      <c r="G416" s="109"/>
      <c r="H416" s="109"/>
      <c r="I416" s="109"/>
      <c r="J416" s="111"/>
      <c r="K416" s="268"/>
      <c r="L416" s="112"/>
      <c r="M416" s="112"/>
      <c r="N416" s="112"/>
      <c r="O416" s="112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</row>
    <row r="417" spans="1:31" ht="12" customHeight="1">
      <c r="A417" s="108"/>
      <c r="B417" s="109"/>
      <c r="C417" s="109"/>
      <c r="D417" s="109"/>
      <c r="E417" s="112"/>
      <c r="F417" s="112"/>
      <c r="G417" s="109"/>
      <c r="H417" s="109"/>
      <c r="I417" s="109"/>
      <c r="J417" s="111"/>
      <c r="K417" s="268"/>
      <c r="L417" s="112"/>
      <c r="M417" s="112"/>
      <c r="N417" s="112"/>
      <c r="O417" s="112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</row>
    <row r="418" spans="1:31" ht="12" customHeight="1">
      <c r="A418" s="108"/>
      <c r="B418" s="109"/>
      <c r="C418" s="109"/>
      <c r="D418" s="109"/>
      <c r="E418" s="112"/>
      <c r="F418" s="112"/>
      <c r="G418" s="109"/>
      <c r="H418" s="109"/>
      <c r="I418" s="109"/>
      <c r="J418" s="111"/>
      <c r="K418" s="268"/>
      <c r="L418" s="112"/>
      <c r="M418" s="112"/>
      <c r="N418" s="112"/>
      <c r="O418" s="112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</row>
    <row r="419" spans="1:31" ht="12" customHeight="1">
      <c r="A419" s="108"/>
      <c r="B419" s="109"/>
      <c r="C419" s="109"/>
      <c r="D419" s="109"/>
      <c r="E419" s="112"/>
      <c r="F419" s="112"/>
      <c r="G419" s="109"/>
      <c r="H419" s="109"/>
      <c r="I419" s="109"/>
      <c r="J419" s="111"/>
      <c r="K419" s="268"/>
      <c r="L419" s="112"/>
      <c r="M419" s="112"/>
      <c r="N419" s="112"/>
      <c r="O419" s="112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</row>
    <row r="420" spans="1:31" ht="12" customHeight="1">
      <c r="A420" s="108"/>
      <c r="B420" s="109"/>
      <c r="C420" s="109"/>
      <c r="D420" s="109"/>
      <c r="E420" s="112"/>
      <c r="F420" s="112"/>
      <c r="G420" s="109"/>
      <c r="H420" s="109"/>
      <c r="I420" s="109"/>
      <c r="J420" s="111"/>
      <c r="K420" s="268"/>
      <c r="L420" s="112"/>
      <c r="M420" s="112"/>
      <c r="N420" s="112"/>
      <c r="O420" s="112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</row>
    <row r="421" spans="1:31" ht="12" customHeight="1">
      <c r="A421" s="108"/>
      <c r="B421" s="109"/>
      <c r="C421" s="109"/>
      <c r="D421" s="109"/>
      <c r="E421" s="112"/>
      <c r="F421" s="112"/>
      <c r="G421" s="109"/>
      <c r="H421" s="109"/>
      <c r="I421" s="109"/>
      <c r="J421" s="111"/>
      <c r="K421" s="268"/>
      <c r="L421" s="112"/>
      <c r="M421" s="112"/>
      <c r="N421" s="112"/>
      <c r="O421" s="112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</row>
    <row r="422" spans="1:31" ht="12" customHeight="1">
      <c r="A422" s="108"/>
      <c r="B422" s="109"/>
      <c r="C422" s="109"/>
      <c r="D422" s="109"/>
      <c r="E422" s="112"/>
      <c r="F422" s="112"/>
      <c r="G422" s="109"/>
      <c r="H422" s="109"/>
      <c r="I422" s="109"/>
      <c r="J422" s="111"/>
      <c r="K422" s="268"/>
      <c r="L422" s="112"/>
      <c r="M422" s="112"/>
      <c r="N422" s="112"/>
      <c r="O422" s="112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</row>
    <row r="423" spans="1:31" ht="12" customHeight="1">
      <c r="A423" s="108"/>
      <c r="B423" s="109"/>
      <c r="C423" s="109"/>
      <c r="D423" s="109"/>
      <c r="E423" s="112"/>
      <c r="F423" s="112"/>
      <c r="G423" s="109"/>
      <c r="H423" s="109"/>
      <c r="I423" s="109"/>
      <c r="J423" s="111"/>
      <c r="K423" s="268"/>
      <c r="L423" s="112"/>
      <c r="M423" s="112"/>
      <c r="N423" s="112"/>
      <c r="O423" s="112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</row>
    <row r="424" spans="1:31" ht="12" customHeight="1">
      <c r="A424" s="108"/>
      <c r="B424" s="109"/>
      <c r="C424" s="109"/>
      <c r="D424" s="109"/>
      <c r="E424" s="112"/>
      <c r="F424" s="112"/>
      <c r="G424" s="109"/>
      <c r="H424" s="109"/>
      <c r="I424" s="109"/>
      <c r="J424" s="111"/>
      <c r="K424" s="268"/>
      <c r="L424" s="112"/>
      <c r="M424" s="112"/>
      <c r="N424" s="112"/>
      <c r="O424" s="112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</row>
    <row r="425" spans="1:31" ht="12" customHeight="1">
      <c r="A425" s="108"/>
      <c r="B425" s="109"/>
      <c r="C425" s="109"/>
      <c r="D425" s="109"/>
      <c r="E425" s="112"/>
      <c r="F425" s="112"/>
      <c r="G425" s="109"/>
      <c r="H425" s="109"/>
      <c r="I425" s="109"/>
      <c r="J425" s="111"/>
      <c r="K425" s="268"/>
      <c r="L425" s="112"/>
      <c r="M425" s="112"/>
      <c r="N425" s="112"/>
      <c r="O425" s="112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</row>
    <row r="426" spans="1:31" ht="12" customHeight="1">
      <c r="A426" s="108"/>
      <c r="B426" s="109"/>
      <c r="C426" s="109"/>
      <c r="D426" s="109"/>
      <c r="E426" s="112"/>
      <c r="F426" s="112"/>
      <c r="G426" s="109"/>
      <c r="H426" s="109"/>
      <c r="I426" s="109"/>
      <c r="J426" s="111"/>
      <c r="K426" s="268"/>
      <c r="L426" s="112"/>
      <c r="M426" s="112"/>
      <c r="N426" s="112"/>
      <c r="O426" s="112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</row>
    <row r="427" spans="1:31" ht="12" customHeight="1">
      <c r="A427" s="108"/>
      <c r="B427" s="109"/>
      <c r="C427" s="109"/>
      <c r="D427" s="109"/>
      <c r="E427" s="112"/>
      <c r="F427" s="112"/>
      <c r="G427" s="109"/>
      <c r="H427" s="109"/>
      <c r="I427" s="109"/>
      <c r="J427" s="111"/>
      <c r="K427" s="268"/>
      <c r="L427" s="112"/>
      <c r="M427" s="112"/>
      <c r="N427" s="112"/>
      <c r="O427" s="112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</row>
    <row r="428" spans="1:31" ht="12" customHeight="1">
      <c r="A428" s="108"/>
      <c r="B428" s="109"/>
      <c r="C428" s="109"/>
      <c r="D428" s="109"/>
      <c r="E428" s="112"/>
      <c r="F428" s="112"/>
      <c r="G428" s="109"/>
      <c r="H428" s="109"/>
      <c r="I428" s="109"/>
      <c r="J428" s="111"/>
      <c r="K428" s="268"/>
      <c r="L428" s="112"/>
      <c r="M428" s="112"/>
      <c r="N428" s="112"/>
      <c r="O428" s="112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</row>
    <row r="429" spans="1:31" ht="12" customHeight="1">
      <c r="A429" s="108"/>
      <c r="B429" s="109"/>
      <c r="C429" s="109"/>
      <c r="D429" s="109"/>
      <c r="E429" s="112"/>
      <c r="F429" s="112"/>
      <c r="G429" s="109"/>
      <c r="H429" s="109"/>
      <c r="I429" s="109"/>
      <c r="J429" s="111"/>
      <c r="K429" s="268"/>
      <c r="L429" s="112"/>
      <c r="M429" s="112"/>
      <c r="N429" s="112"/>
      <c r="O429" s="112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</row>
    <row r="430" spans="1:31" ht="12" customHeight="1">
      <c r="A430" s="108"/>
      <c r="B430" s="109"/>
      <c r="C430" s="109"/>
      <c r="D430" s="109"/>
      <c r="E430" s="112"/>
      <c r="F430" s="112"/>
      <c r="G430" s="109"/>
      <c r="H430" s="109"/>
      <c r="I430" s="109"/>
      <c r="J430" s="111"/>
      <c r="K430" s="268"/>
      <c r="L430" s="112"/>
      <c r="M430" s="112"/>
      <c r="N430" s="112"/>
      <c r="O430" s="112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</row>
    <row r="431" spans="1:31" ht="12" customHeight="1">
      <c r="A431" s="108"/>
      <c r="B431" s="109"/>
      <c r="C431" s="109"/>
      <c r="D431" s="109"/>
      <c r="E431" s="112"/>
      <c r="F431" s="112"/>
      <c r="G431" s="109"/>
      <c r="H431" s="109"/>
      <c r="I431" s="109"/>
      <c r="J431" s="111"/>
      <c r="K431" s="268"/>
      <c r="L431" s="112"/>
      <c r="M431" s="112"/>
      <c r="N431" s="112"/>
      <c r="O431" s="112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</row>
    <row r="432" spans="1:31" ht="12" customHeight="1">
      <c r="A432" s="108"/>
      <c r="B432" s="109"/>
      <c r="C432" s="109"/>
      <c r="D432" s="109"/>
      <c r="E432" s="112"/>
      <c r="F432" s="112"/>
      <c r="G432" s="109"/>
      <c r="H432" s="109"/>
      <c r="I432" s="109"/>
      <c r="J432" s="111"/>
      <c r="K432" s="268"/>
      <c r="L432" s="112"/>
      <c r="M432" s="112"/>
      <c r="N432" s="112"/>
      <c r="O432" s="112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</row>
    <row r="433" spans="1:31" ht="12" customHeight="1">
      <c r="A433" s="108"/>
      <c r="B433" s="109"/>
      <c r="C433" s="109"/>
      <c r="D433" s="109"/>
      <c r="E433" s="112"/>
      <c r="F433" s="112"/>
      <c r="G433" s="109"/>
      <c r="H433" s="109"/>
      <c r="I433" s="109"/>
      <c r="J433" s="111"/>
      <c r="K433" s="268"/>
      <c r="L433" s="112"/>
      <c r="M433" s="112"/>
      <c r="N433" s="112"/>
      <c r="O433" s="112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</row>
    <row r="434" spans="1:31" ht="12" customHeight="1">
      <c r="A434" s="108"/>
      <c r="B434" s="109"/>
      <c r="C434" s="109"/>
      <c r="D434" s="109"/>
      <c r="E434" s="112"/>
      <c r="F434" s="112"/>
      <c r="G434" s="109"/>
      <c r="H434" s="109"/>
      <c r="I434" s="109"/>
      <c r="J434" s="111"/>
      <c r="K434" s="268"/>
      <c r="L434" s="112"/>
      <c r="M434" s="112"/>
      <c r="N434" s="112"/>
      <c r="O434" s="112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</row>
    <row r="435" spans="1:31" ht="12" customHeight="1">
      <c r="A435" s="108"/>
      <c r="B435" s="109"/>
      <c r="C435" s="109"/>
      <c r="D435" s="109"/>
      <c r="E435" s="112"/>
      <c r="F435" s="112"/>
      <c r="G435" s="109"/>
      <c r="H435" s="109"/>
      <c r="I435" s="109"/>
      <c r="J435" s="111"/>
      <c r="K435" s="268"/>
      <c r="L435" s="112"/>
      <c r="M435" s="112"/>
      <c r="N435" s="112"/>
      <c r="O435" s="112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</row>
    <row r="436" spans="1:31" ht="12" customHeight="1">
      <c r="A436" s="108"/>
      <c r="B436" s="109"/>
      <c r="C436" s="109"/>
      <c r="D436" s="109"/>
      <c r="E436" s="112"/>
      <c r="F436" s="112"/>
      <c r="G436" s="109"/>
      <c r="H436" s="109"/>
      <c r="I436" s="109"/>
      <c r="J436" s="111"/>
      <c r="K436" s="268"/>
      <c r="L436" s="112"/>
      <c r="M436" s="112"/>
      <c r="N436" s="112"/>
      <c r="O436" s="112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</row>
    <row r="437" spans="1:31" ht="12" customHeight="1">
      <c r="A437" s="108"/>
      <c r="B437" s="109"/>
      <c r="C437" s="109"/>
      <c r="D437" s="109"/>
      <c r="E437" s="112"/>
      <c r="F437" s="112"/>
      <c r="G437" s="109"/>
      <c r="H437" s="109"/>
      <c r="I437" s="109"/>
      <c r="J437" s="111"/>
      <c r="K437" s="268"/>
      <c r="L437" s="112"/>
      <c r="M437" s="112"/>
      <c r="N437" s="112"/>
      <c r="O437" s="112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</row>
    <row r="438" spans="1:31" ht="12" customHeight="1">
      <c r="A438" s="108"/>
      <c r="B438" s="109"/>
      <c r="C438" s="109"/>
      <c r="D438" s="109"/>
      <c r="E438" s="112"/>
      <c r="F438" s="112"/>
      <c r="G438" s="109"/>
      <c r="H438" s="109"/>
      <c r="I438" s="109"/>
      <c r="J438" s="111"/>
      <c r="K438" s="268"/>
      <c r="L438" s="112"/>
      <c r="M438" s="112"/>
      <c r="N438" s="112"/>
      <c r="O438" s="112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</row>
    <row r="439" spans="1:31" ht="12" customHeight="1">
      <c r="A439" s="108"/>
      <c r="B439" s="109"/>
      <c r="C439" s="109"/>
      <c r="D439" s="109"/>
      <c r="E439" s="112"/>
      <c r="F439" s="112"/>
      <c r="G439" s="109"/>
      <c r="H439" s="109"/>
      <c r="I439" s="109"/>
      <c r="J439" s="111"/>
      <c r="K439" s="268"/>
      <c r="L439" s="112"/>
      <c r="M439" s="112"/>
      <c r="N439" s="112"/>
      <c r="O439" s="112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</row>
    <row r="440" spans="1:31" ht="12" customHeight="1">
      <c r="A440" s="108"/>
      <c r="B440" s="109"/>
      <c r="C440" s="109"/>
      <c r="D440" s="109"/>
      <c r="E440" s="112"/>
      <c r="F440" s="112"/>
      <c r="G440" s="109"/>
      <c r="H440" s="109"/>
      <c r="I440" s="109"/>
      <c r="J440" s="111"/>
      <c r="K440" s="268"/>
      <c r="L440" s="112"/>
      <c r="M440" s="112"/>
      <c r="N440" s="112"/>
      <c r="O440" s="112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</row>
    <row r="441" spans="1:31" ht="12" customHeight="1">
      <c r="A441" s="108"/>
      <c r="B441" s="109"/>
      <c r="C441" s="109"/>
      <c r="D441" s="109"/>
      <c r="E441" s="112"/>
      <c r="F441" s="112"/>
      <c r="G441" s="109"/>
      <c r="H441" s="109"/>
      <c r="I441" s="109"/>
      <c r="J441" s="111"/>
      <c r="K441" s="268"/>
      <c r="L441" s="112"/>
      <c r="M441" s="112"/>
      <c r="N441" s="112"/>
      <c r="O441" s="112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</row>
    <row r="442" spans="1:31" ht="12" customHeight="1">
      <c r="A442" s="108"/>
      <c r="B442" s="109"/>
      <c r="C442" s="109"/>
      <c r="D442" s="109"/>
      <c r="E442" s="112"/>
      <c r="F442" s="112"/>
      <c r="G442" s="109"/>
      <c r="H442" s="109"/>
      <c r="I442" s="109"/>
      <c r="J442" s="111"/>
      <c r="K442" s="268"/>
      <c r="L442" s="112"/>
      <c r="M442" s="112"/>
      <c r="N442" s="112"/>
      <c r="O442" s="112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</row>
    <row r="443" spans="1:31" ht="12" customHeight="1">
      <c r="A443" s="108"/>
      <c r="B443" s="109"/>
      <c r="C443" s="109"/>
      <c r="D443" s="109"/>
      <c r="E443" s="112"/>
      <c r="F443" s="112"/>
      <c r="G443" s="109"/>
      <c r="H443" s="109"/>
      <c r="I443" s="109"/>
      <c r="J443" s="111"/>
      <c r="K443" s="268"/>
      <c r="L443" s="112"/>
      <c r="M443" s="112"/>
      <c r="N443" s="112"/>
      <c r="O443" s="112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</row>
    <row r="444" spans="1:31" ht="12" customHeight="1">
      <c r="A444" s="108"/>
      <c r="B444" s="109"/>
      <c r="C444" s="109"/>
      <c r="D444" s="109"/>
      <c r="E444" s="112"/>
      <c r="F444" s="112"/>
      <c r="G444" s="109"/>
      <c r="H444" s="109"/>
      <c r="I444" s="109"/>
      <c r="J444" s="111"/>
      <c r="K444" s="268"/>
      <c r="L444" s="112"/>
      <c r="M444" s="112"/>
      <c r="N444" s="112"/>
      <c r="O444" s="112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</row>
    <row r="445" spans="1:31" ht="12" customHeight="1">
      <c r="A445" s="108"/>
      <c r="B445" s="109"/>
      <c r="C445" s="109"/>
      <c r="D445" s="109"/>
      <c r="E445" s="112"/>
      <c r="F445" s="112"/>
      <c r="G445" s="109"/>
      <c r="H445" s="109"/>
      <c r="I445" s="109"/>
      <c r="J445" s="111"/>
      <c r="K445" s="268"/>
      <c r="L445" s="112"/>
      <c r="M445" s="112"/>
      <c r="N445" s="112"/>
      <c r="O445" s="112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</row>
    <row r="446" spans="1:31" ht="12" customHeight="1">
      <c r="A446" s="108"/>
      <c r="B446" s="109"/>
      <c r="C446" s="109"/>
      <c r="D446" s="109"/>
      <c r="E446" s="112"/>
      <c r="F446" s="112"/>
      <c r="G446" s="109"/>
      <c r="H446" s="109"/>
      <c r="I446" s="109"/>
      <c r="J446" s="111"/>
      <c r="K446" s="268"/>
      <c r="L446" s="112"/>
      <c r="M446" s="112"/>
      <c r="N446" s="112"/>
      <c r="O446" s="112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</row>
    <row r="447" spans="1:31" ht="12" customHeight="1">
      <c r="A447" s="108"/>
      <c r="B447" s="109"/>
      <c r="C447" s="109"/>
      <c r="D447" s="109"/>
      <c r="E447" s="112"/>
      <c r="F447" s="112"/>
      <c r="G447" s="109"/>
      <c r="H447" s="109"/>
      <c r="I447" s="109"/>
      <c r="J447" s="111"/>
      <c r="K447" s="268"/>
      <c r="L447" s="112"/>
      <c r="M447" s="112"/>
      <c r="N447" s="112"/>
      <c r="O447" s="112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</row>
    <row r="448" spans="1:31" ht="12" customHeight="1">
      <c r="A448" s="108"/>
      <c r="B448" s="109"/>
      <c r="C448" s="109"/>
      <c r="D448" s="109"/>
      <c r="E448" s="112"/>
      <c r="F448" s="112"/>
      <c r="G448" s="109"/>
      <c r="H448" s="109"/>
      <c r="I448" s="109"/>
      <c r="J448" s="111"/>
      <c r="K448" s="268"/>
      <c r="L448" s="112"/>
      <c r="M448" s="112"/>
      <c r="N448" s="112"/>
      <c r="O448" s="112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</row>
    <row r="449" spans="1:31" ht="12" customHeight="1">
      <c r="A449" s="108"/>
      <c r="B449" s="109"/>
      <c r="C449" s="109"/>
      <c r="D449" s="109"/>
      <c r="E449" s="112"/>
      <c r="F449" s="112"/>
      <c r="G449" s="109"/>
      <c r="H449" s="109"/>
      <c r="I449" s="109"/>
      <c r="J449" s="111"/>
      <c r="K449" s="268"/>
      <c r="L449" s="112"/>
      <c r="M449" s="112"/>
      <c r="N449" s="112"/>
      <c r="O449" s="112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</row>
    <row r="450" spans="1:31" ht="12" customHeight="1">
      <c r="A450" s="108"/>
      <c r="B450" s="109"/>
      <c r="C450" s="109"/>
      <c r="D450" s="109"/>
      <c r="E450" s="112"/>
      <c r="F450" s="112"/>
      <c r="G450" s="109"/>
      <c r="H450" s="109"/>
      <c r="I450" s="109"/>
      <c r="J450" s="111"/>
      <c r="K450" s="268"/>
      <c r="L450" s="112"/>
      <c r="M450" s="112"/>
      <c r="N450" s="112"/>
      <c r="O450" s="112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</row>
    <row r="451" spans="1:31" ht="12" customHeight="1">
      <c r="A451" s="108"/>
      <c r="B451" s="109"/>
      <c r="C451" s="109"/>
      <c r="D451" s="109"/>
      <c r="E451" s="112"/>
      <c r="F451" s="112"/>
      <c r="G451" s="109"/>
      <c r="H451" s="109"/>
      <c r="I451" s="109"/>
      <c r="J451" s="111"/>
      <c r="K451" s="268"/>
      <c r="L451" s="112"/>
      <c r="M451" s="112"/>
      <c r="N451" s="112"/>
      <c r="O451" s="112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</row>
    <row r="452" spans="1:31" ht="12" customHeight="1">
      <c r="A452" s="108"/>
      <c r="B452" s="109"/>
      <c r="C452" s="109"/>
      <c r="D452" s="109"/>
      <c r="E452" s="112"/>
      <c r="F452" s="112"/>
      <c r="G452" s="109"/>
      <c r="H452" s="109"/>
      <c r="I452" s="109"/>
      <c r="J452" s="111"/>
      <c r="K452" s="268"/>
      <c r="L452" s="112"/>
      <c r="M452" s="112"/>
      <c r="N452" s="112"/>
      <c r="O452" s="112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</row>
    <row r="453" spans="1:31" ht="12" customHeight="1">
      <c r="A453" s="108"/>
      <c r="B453" s="109"/>
      <c r="C453" s="109"/>
      <c r="D453" s="109"/>
      <c r="E453" s="112"/>
      <c r="F453" s="112"/>
      <c r="G453" s="109"/>
      <c r="H453" s="109"/>
      <c r="I453" s="109"/>
      <c r="J453" s="111"/>
      <c r="K453" s="268"/>
      <c r="L453" s="112"/>
      <c r="M453" s="112"/>
      <c r="N453" s="112"/>
      <c r="O453" s="112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</row>
    <row r="454" spans="1:31" ht="12" customHeight="1">
      <c r="A454" s="108"/>
      <c r="B454" s="109"/>
      <c r="C454" s="109"/>
      <c r="D454" s="109"/>
      <c r="E454" s="112"/>
      <c r="F454" s="112"/>
      <c r="G454" s="109"/>
      <c r="H454" s="109"/>
      <c r="I454" s="109"/>
      <c r="J454" s="111"/>
      <c r="K454" s="268"/>
      <c r="L454" s="112"/>
      <c r="M454" s="112"/>
      <c r="N454" s="112"/>
      <c r="O454" s="112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</row>
    <row r="455" spans="1:31" ht="12" customHeight="1">
      <c r="A455" s="108"/>
      <c r="B455" s="109"/>
      <c r="C455" s="109"/>
      <c r="D455" s="109"/>
      <c r="E455" s="112"/>
      <c r="F455" s="112"/>
      <c r="G455" s="109"/>
      <c r="H455" s="109"/>
      <c r="I455" s="109"/>
      <c r="J455" s="111"/>
      <c r="K455" s="268"/>
      <c r="L455" s="112"/>
      <c r="M455" s="112"/>
      <c r="N455" s="112"/>
      <c r="O455" s="112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</row>
    <row r="456" spans="1:31" ht="12" customHeight="1">
      <c r="A456" s="108"/>
      <c r="B456" s="109"/>
      <c r="C456" s="109"/>
      <c r="D456" s="109"/>
      <c r="E456" s="112"/>
      <c r="F456" s="112"/>
      <c r="G456" s="109"/>
      <c r="H456" s="109"/>
      <c r="I456" s="109"/>
      <c r="J456" s="111"/>
      <c r="K456" s="268"/>
      <c r="L456" s="112"/>
      <c r="M456" s="112"/>
      <c r="N456" s="112"/>
      <c r="O456" s="112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</row>
    <row r="457" spans="1:31" ht="12" customHeight="1">
      <c r="A457" s="108"/>
      <c r="B457" s="109"/>
      <c r="C457" s="109"/>
      <c r="D457" s="109"/>
      <c r="E457" s="112"/>
      <c r="F457" s="112"/>
      <c r="G457" s="109"/>
      <c r="H457" s="109"/>
      <c r="I457" s="109"/>
      <c r="J457" s="111"/>
      <c r="K457" s="268"/>
      <c r="L457" s="112"/>
      <c r="M457" s="112"/>
      <c r="N457" s="112"/>
      <c r="O457" s="112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</row>
    <row r="458" spans="1:31" ht="12" customHeight="1">
      <c r="A458" s="108"/>
      <c r="B458" s="109"/>
      <c r="C458" s="109"/>
      <c r="D458" s="109"/>
      <c r="E458" s="112"/>
      <c r="F458" s="112"/>
      <c r="G458" s="109"/>
      <c r="H458" s="109"/>
      <c r="I458" s="109"/>
      <c r="J458" s="111"/>
      <c r="K458" s="268"/>
      <c r="L458" s="112"/>
      <c r="M458" s="112"/>
      <c r="N458" s="112"/>
      <c r="O458" s="112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</row>
    <row r="459" spans="1:31" ht="12" customHeight="1">
      <c r="A459" s="108"/>
      <c r="B459" s="109"/>
      <c r="C459" s="109"/>
      <c r="D459" s="109"/>
      <c r="E459" s="112"/>
      <c r="F459" s="112"/>
      <c r="G459" s="109"/>
      <c r="H459" s="109"/>
      <c r="I459" s="109"/>
      <c r="J459" s="111"/>
      <c r="K459" s="268"/>
      <c r="L459" s="112"/>
      <c r="M459" s="112"/>
      <c r="N459" s="112"/>
      <c r="O459" s="112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</row>
    <row r="460" spans="1:31" ht="12" customHeight="1">
      <c r="A460" s="108"/>
      <c r="B460" s="109"/>
      <c r="C460" s="109"/>
      <c r="D460" s="109"/>
      <c r="E460" s="112"/>
      <c r="F460" s="112"/>
      <c r="G460" s="109"/>
      <c r="H460" s="109"/>
      <c r="I460" s="109"/>
      <c r="J460" s="111"/>
      <c r="K460" s="268"/>
      <c r="L460" s="112"/>
      <c r="M460" s="112"/>
      <c r="N460" s="112"/>
      <c r="O460" s="112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</row>
    <row r="461" spans="1:31" ht="12" customHeight="1">
      <c r="A461" s="108"/>
      <c r="B461" s="109"/>
      <c r="C461" s="109"/>
      <c r="D461" s="109"/>
      <c r="E461" s="112"/>
      <c r="F461" s="112"/>
      <c r="G461" s="109"/>
      <c r="H461" s="109"/>
      <c r="I461" s="109"/>
      <c r="J461" s="111"/>
      <c r="K461" s="268"/>
      <c r="L461" s="112"/>
      <c r="M461" s="112"/>
      <c r="N461" s="112"/>
      <c r="O461" s="112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</row>
    <row r="462" spans="1:31" ht="12" customHeight="1">
      <c r="A462" s="108"/>
      <c r="B462" s="109"/>
      <c r="C462" s="109"/>
      <c r="D462" s="109"/>
      <c r="E462" s="112"/>
      <c r="F462" s="112"/>
      <c r="G462" s="109"/>
      <c r="H462" s="109"/>
      <c r="I462" s="109"/>
      <c r="J462" s="111"/>
      <c r="K462" s="268"/>
      <c r="L462" s="112"/>
      <c r="M462" s="112"/>
      <c r="N462" s="112"/>
      <c r="O462" s="112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</row>
    <row r="463" spans="1:31" ht="12" customHeight="1">
      <c r="A463" s="108"/>
      <c r="B463" s="109"/>
      <c r="C463" s="109"/>
      <c r="D463" s="109"/>
      <c r="E463" s="112"/>
      <c r="F463" s="112"/>
      <c r="G463" s="109"/>
      <c r="H463" s="109"/>
      <c r="I463" s="109"/>
      <c r="J463" s="111"/>
      <c r="K463" s="268"/>
      <c r="L463" s="112"/>
      <c r="M463" s="112"/>
      <c r="N463" s="112"/>
      <c r="O463" s="112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</row>
    <row r="464" spans="1:31" ht="12" customHeight="1">
      <c r="A464" s="108"/>
      <c r="B464" s="109"/>
      <c r="C464" s="109"/>
      <c r="D464" s="109"/>
      <c r="E464" s="112"/>
      <c r="F464" s="112"/>
      <c r="G464" s="109"/>
      <c r="H464" s="109"/>
      <c r="I464" s="109"/>
      <c r="J464" s="111"/>
      <c r="K464" s="268"/>
      <c r="L464" s="112"/>
      <c r="M464" s="112"/>
      <c r="N464" s="112"/>
      <c r="O464" s="112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</row>
    <row r="465" spans="1:31" ht="12" customHeight="1">
      <c r="A465" s="108"/>
      <c r="B465" s="109"/>
      <c r="C465" s="109"/>
      <c r="D465" s="109"/>
      <c r="E465" s="112"/>
      <c r="F465" s="112"/>
      <c r="G465" s="109"/>
      <c r="H465" s="109"/>
      <c r="I465" s="109"/>
      <c r="J465" s="111"/>
      <c r="K465" s="268"/>
      <c r="L465" s="112"/>
      <c r="M465" s="112"/>
      <c r="N465" s="112"/>
      <c r="O465" s="112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</row>
    <row r="466" spans="1:31" ht="12" customHeight="1">
      <c r="A466" s="108"/>
      <c r="B466" s="109"/>
      <c r="C466" s="109"/>
      <c r="D466" s="109"/>
      <c r="E466" s="112"/>
      <c r="F466" s="112"/>
      <c r="G466" s="109"/>
      <c r="H466" s="109"/>
      <c r="I466" s="109"/>
      <c r="J466" s="111"/>
      <c r="K466" s="268"/>
      <c r="L466" s="112"/>
      <c r="M466" s="112"/>
      <c r="N466" s="112"/>
      <c r="O466" s="112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</row>
    <row r="467" spans="1:31" ht="12" customHeight="1">
      <c r="A467" s="108"/>
      <c r="B467" s="109"/>
      <c r="C467" s="109"/>
      <c r="D467" s="109"/>
      <c r="E467" s="112"/>
      <c r="F467" s="112"/>
      <c r="G467" s="109"/>
      <c r="H467" s="109"/>
      <c r="I467" s="109"/>
      <c r="J467" s="111"/>
      <c r="K467" s="268"/>
      <c r="L467" s="112"/>
      <c r="M467" s="112"/>
      <c r="N467" s="112"/>
      <c r="O467" s="112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</row>
    <row r="468" spans="1:31" ht="12" customHeight="1">
      <c r="A468" s="108"/>
      <c r="B468" s="109"/>
      <c r="C468" s="109"/>
      <c r="D468" s="109"/>
      <c r="E468" s="112"/>
      <c r="F468" s="112"/>
      <c r="G468" s="109"/>
      <c r="H468" s="109"/>
      <c r="I468" s="109"/>
      <c r="J468" s="111"/>
      <c r="K468" s="268"/>
      <c r="L468" s="112"/>
      <c r="M468" s="112"/>
      <c r="N468" s="112"/>
      <c r="O468" s="112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</row>
    <row r="469" spans="1:31" ht="12" customHeight="1">
      <c r="A469" s="108"/>
      <c r="B469" s="109"/>
      <c r="C469" s="109"/>
      <c r="D469" s="109"/>
      <c r="E469" s="112"/>
      <c r="F469" s="112"/>
      <c r="G469" s="109"/>
      <c r="H469" s="109"/>
      <c r="I469" s="109"/>
      <c r="J469" s="111"/>
      <c r="K469" s="268"/>
      <c r="L469" s="112"/>
      <c r="M469" s="112"/>
      <c r="N469" s="112"/>
      <c r="O469" s="112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</row>
    <row r="470" spans="1:31" ht="12" customHeight="1">
      <c r="A470" s="108"/>
      <c r="B470" s="109"/>
      <c r="C470" s="109"/>
      <c r="D470" s="109"/>
      <c r="E470" s="112"/>
      <c r="F470" s="112"/>
      <c r="G470" s="109"/>
      <c r="H470" s="109"/>
      <c r="I470" s="109"/>
      <c r="J470" s="111"/>
      <c r="K470" s="268"/>
      <c r="L470" s="112"/>
      <c r="M470" s="112"/>
      <c r="N470" s="112"/>
      <c r="O470" s="112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</row>
    <row r="471" spans="1:31" ht="12" customHeight="1">
      <c r="A471" s="108"/>
      <c r="B471" s="109"/>
      <c r="C471" s="109"/>
      <c r="D471" s="109"/>
      <c r="E471" s="112"/>
      <c r="F471" s="112"/>
      <c r="G471" s="109"/>
      <c r="H471" s="109"/>
      <c r="I471" s="109"/>
      <c r="J471" s="111"/>
      <c r="K471" s="268"/>
      <c r="L471" s="112"/>
      <c r="M471" s="112"/>
      <c r="N471" s="112"/>
      <c r="O471" s="112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</row>
    <row r="472" spans="1:31" ht="12" customHeight="1">
      <c r="A472" s="108"/>
      <c r="B472" s="109"/>
      <c r="C472" s="109"/>
      <c r="D472" s="109"/>
      <c r="E472" s="112"/>
      <c r="F472" s="112"/>
      <c r="G472" s="109"/>
      <c r="H472" s="109"/>
      <c r="I472" s="109"/>
      <c r="J472" s="111"/>
      <c r="K472" s="268"/>
      <c r="L472" s="112"/>
      <c r="M472" s="112"/>
      <c r="N472" s="112"/>
      <c r="O472" s="112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</row>
    <row r="473" spans="1:31" ht="12" customHeight="1">
      <c r="A473" s="108"/>
      <c r="B473" s="109"/>
      <c r="C473" s="109"/>
      <c r="D473" s="109"/>
      <c r="E473" s="112"/>
      <c r="F473" s="112"/>
      <c r="G473" s="109"/>
      <c r="H473" s="109"/>
      <c r="I473" s="109"/>
      <c r="J473" s="111"/>
      <c r="K473" s="268"/>
      <c r="L473" s="112"/>
      <c r="M473" s="112"/>
      <c r="N473" s="112"/>
      <c r="O473" s="112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</row>
    <row r="474" spans="1:31" ht="12" customHeight="1">
      <c r="A474" s="108"/>
      <c r="B474" s="109"/>
      <c r="C474" s="109"/>
      <c r="D474" s="109"/>
      <c r="E474" s="112"/>
      <c r="F474" s="112"/>
      <c r="G474" s="109"/>
      <c r="H474" s="109"/>
      <c r="I474" s="109"/>
      <c r="J474" s="111"/>
      <c r="K474" s="268"/>
      <c r="L474" s="112"/>
      <c r="M474" s="112"/>
      <c r="N474" s="112"/>
      <c r="O474" s="112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</row>
    <row r="475" spans="1:31" ht="12" customHeight="1">
      <c r="A475" s="108"/>
      <c r="B475" s="109"/>
      <c r="C475" s="109"/>
      <c r="D475" s="109"/>
      <c r="E475" s="112"/>
      <c r="F475" s="112"/>
      <c r="G475" s="109"/>
      <c r="H475" s="109"/>
      <c r="I475" s="109"/>
      <c r="J475" s="111"/>
      <c r="K475" s="268"/>
      <c r="L475" s="112"/>
      <c r="M475" s="112"/>
      <c r="N475" s="112"/>
      <c r="O475" s="112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</row>
    <row r="476" spans="1:31" ht="12" customHeight="1">
      <c r="A476" s="108"/>
      <c r="B476" s="109"/>
      <c r="C476" s="109"/>
      <c r="D476" s="109"/>
      <c r="E476" s="112"/>
      <c r="F476" s="112"/>
      <c r="G476" s="109"/>
      <c r="H476" s="109"/>
      <c r="I476" s="109"/>
      <c r="J476" s="111"/>
      <c r="K476" s="268"/>
      <c r="L476" s="112"/>
      <c r="M476" s="112"/>
      <c r="N476" s="112"/>
      <c r="O476" s="112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</row>
    <row r="477" spans="1:31" ht="12" customHeight="1">
      <c r="A477" s="108"/>
      <c r="B477" s="109"/>
      <c r="C477" s="109"/>
      <c r="D477" s="109"/>
      <c r="E477" s="112"/>
      <c r="F477" s="112"/>
      <c r="G477" s="109"/>
      <c r="H477" s="109"/>
      <c r="I477" s="109"/>
      <c r="J477" s="111"/>
      <c r="K477" s="268"/>
      <c r="L477" s="112"/>
      <c r="M477" s="112"/>
      <c r="N477" s="112"/>
      <c r="O477" s="112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</row>
    <row r="478" spans="1:31" ht="12" customHeight="1">
      <c r="A478" s="108"/>
      <c r="B478" s="109"/>
      <c r="C478" s="109"/>
      <c r="D478" s="109"/>
      <c r="E478" s="112"/>
      <c r="F478" s="112"/>
      <c r="G478" s="109"/>
      <c r="H478" s="109"/>
      <c r="I478" s="109"/>
      <c r="J478" s="111"/>
      <c r="K478" s="268"/>
      <c r="L478" s="112"/>
      <c r="M478" s="112"/>
      <c r="N478" s="112"/>
      <c r="O478" s="112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</row>
    <row r="479" spans="1:31" ht="12" customHeight="1">
      <c r="A479" s="108"/>
      <c r="B479" s="109"/>
      <c r="C479" s="109"/>
      <c r="D479" s="109"/>
      <c r="E479" s="112"/>
      <c r="F479" s="112"/>
      <c r="G479" s="109"/>
      <c r="H479" s="109"/>
      <c r="I479" s="109"/>
      <c r="J479" s="111"/>
      <c r="K479" s="268"/>
      <c r="L479" s="112"/>
      <c r="M479" s="112"/>
      <c r="N479" s="112"/>
      <c r="O479" s="112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</row>
    <row r="480" spans="1:31" ht="12" customHeight="1">
      <c r="A480" s="108"/>
      <c r="B480" s="109"/>
      <c r="C480" s="109"/>
      <c r="D480" s="109"/>
      <c r="E480" s="112"/>
      <c r="F480" s="112"/>
      <c r="G480" s="109"/>
      <c r="H480" s="109"/>
      <c r="I480" s="109"/>
      <c r="J480" s="111"/>
      <c r="K480" s="268"/>
      <c r="L480" s="112"/>
      <c r="M480" s="112"/>
      <c r="N480" s="112"/>
      <c r="O480" s="112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</row>
    <row r="481" spans="1:31" ht="12" customHeight="1">
      <c r="A481" s="108"/>
      <c r="B481" s="109"/>
      <c r="C481" s="109"/>
      <c r="D481" s="109"/>
      <c r="E481" s="112"/>
      <c r="F481" s="112"/>
      <c r="G481" s="109"/>
      <c r="H481" s="109"/>
      <c r="I481" s="109"/>
      <c r="J481" s="111"/>
      <c r="K481" s="268"/>
      <c r="L481" s="112"/>
      <c r="M481" s="112"/>
      <c r="N481" s="112"/>
      <c r="O481" s="112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</row>
    <row r="482" spans="1:31" ht="12" customHeight="1">
      <c r="A482" s="108"/>
      <c r="B482" s="109"/>
      <c r="C482" s="109"/>
      <c r="D482" s="109"/>
      <c r="E482" s="112"/>
      <c r="F482" s="112"/>
      <c r="G482" s="109"/>
      <c r="H482" s="109"/>
      <c r="I482" s="109"/>
      <c r="J482" s="111"/>
      <c r="K482" s="268"/>
      <c r="L482" s="112"/>
      <c r="M482" s="112"/>
      <c r="N482" s="112"/>
      <c r="O482" s="112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</row>
    <row r="483" spans="1:31" ht="12" customHeight="1">
      <c r="A483" s="108"/>
      <c r="B483" s="109"/>
      <c r="C483" s="109"/>
      <c r="D483" s="109"/>
      <c r="E483" s="112"/>
      <c r="F483" s="112"/>
      <c r="G483" s="109"/>
      <c r="H483" s="109"/>
      <c r="I483" s="109"/>
      <c r="J483" s="111"/>
      <c r="K483" s="268"/>
      <c r="L483" s="112"/>
      <c r="M483" s="112"/>
      <c r="N483" s="112"/>
      <c r="O483" s="112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</row>
    <row r="484" spans="1:31" ht="12" customHeight="1">
      <c r="A484" s="108"/>
      <c r="B484" s="109"/>
      <c r="C484" s="109"/>
      <c r="D484" s="109"/>
      <c r="E484" s="112"/>
      <c r="F484" s="112"/>
      <c r="G484" s="109"/>
      <c r="H484" s="109"/>
      <c r="I484" s="109"/>
      <c r="J484" s="111"/>
      <c r="K484" s="268"/>
      <c r="L484" s="112"/>
      <c r="M484" s="112"/>
      <c r="N484" s="112"/>
      <c r="O484" s="112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</row>
    <row r="485" spans="1:31" ht="12" customHeight="1">
      <c r="A485" s="108"/>
      <c r="B485" s="109"/>
      <c r="C485" s="109"/>
      <c r="D485" s="109"/>
      <c r="E485" s="112"/>
      <c r="F485" s="112"/>
      <c r="G485" s="109"/>
      <c r="H485" s="109"/>
      <c r="I485" s="109"/>
      <c r="J485" s="111"/>
      <c r="K485" s="268"/>
      <c r="L485" s="112"/>
      <c r="M485" s="112"/>
      <c r="N485" s="112"/>
      <c r="O485" s="112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</row>
    <row r="486" spans="1:31" ht="12" customHeight="1">
      <c r="A486" s="108"/>
      <c r="B486" s="109"/>
      <c r="C486" s="109"/>
      <c r="D486" s="109"/>
      <c r="E486" s="112"/>
      <c r="F486" s="112"/>
      <c r="G486" s="109"/>
      <c r="H486" s="109"/>
      <c r="I486" s="109"/>
      <c r="J486" s="111"/>
      <c r="K486" s="268"/>
      <c r="L486" s="112"/>
      <c r="M486" s="112"/>
      <c r="N486" s="112"/>
      <c r="O486" s="112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</row>
    <row r="487" spans="1:31" ht="12" customHeight="1">
      <c r="A487" s="108"/>
      <c r="B487" s="109"/>
      <c r="C487" s="109"/>
      <c r="D487" s="109"/>
      <c r="E487" s="112"/>
      <c r="F487" s="112"/>
      <c r="G487" s="109"/>
      <c r="H487" s="109"/>
      <c r="I487" s="109"/>
      <c r="J487" s="111"/>
      <c r="K487" s="268"/>
      <c r="L487" s="112"/>
      <c r="M487" s="112"/>
      <c r="N487" s="112"/>
      <c r="O487" s="112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</row>
    <row r="488" spans="1:31" ht="12" customHeight="1">
      <c r="A488" s="108"/>
      <c r="B488" s="109"/>
      <c r="C488" s="109"/>
      <c r="D488" s="109"/>
      <c r="E488" s="112"/>
      <c r="F488" s="112"/>
      <c r="G488" s="109"/>
      <c r="H488" s="109"/>
      <c r="I488" s="109"/>
      <c r="J488" s="111"/>
      <c r="K488" s="268"/>
      <c r="L488" s="112"/>
      <c r="M488" s="112"/>
      <c r="N488" s="112"/>
      <c r="O488" s="112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</row>
    <row r="489" spans="1:31" ht="12" customHeight="1">
      <c r="A489" s="108"/>
      <c r="B489" s="109"/>
      <c r="C489" s="109"/>
      <c r="D489" s="109"/>
      <c r="E489" s="112"/>
      <c r="F489" s="112"/>
      <c r="G489" s="109"/>
      <c r="H489" s="109"/>
      <c r="I489" s="109"/>
      <c r="J489" s="111"/>
      <c r="K489" s="268"/>
      <c r="L489" s="112"/>
      <c r="M489" s="112"/>
      <c r="N489" s="112"/>
      <c r="O489" s="112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</row>
    <row r="490" spans="1:31" ht="12" customHeight="1">
      <c r="A490" s="108"/>
      <c r="B490" s="109"/>
      <c r="C490" s="109"/>
      <c r="D490" s="109"/>
      <c r="E490" s="112"/>
      <c r="F490" s="112"/>
      <c r="G490" s="109"/>
      <c r="H490" s="109"/>
      <c r="I490" s="109"/>
      <c r="J490" s="111"/>
      <c r="K490" s="268"/>
      <c r="L490" s="112"/>
      <c r="M490" s="112"/>
      <c r="N490" s="112"/>
      <c r="O490" s="112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</row>
    <row r="491" spans="1:31" ht="12" customHeight="1">
      <c r="A491" s="108"/>
      <c r="B491" s="109"/>
      <c r="C491" s="109"/>
      <c r="D491" s="109"/>
      <c r="E491" s="112"/>
      <c r="F491" s="112"/>
      <c r="G491" s="109"/>
      <c r="H491" s="109"/>
      <c r="I491" s="109"/>
      <c r="J491" s="111"/>
      <c r="K491" s="268"/>
      <c r="L491" s="112"/>
      <c r="M491" s="112"/>
      <c r="N491" s="112"/>
      <c r="O491" s="112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</row>
    <row r="492" spans="1:31" ht="12" customHeight="1">
      <c r="A492" s="108"/>
      <c r="B492" s="109"/>
      <c r="C492" s="109"/>
      <c r="D492" s="109"/>
      <c r="E492" s="112"/>
      <c r="F492" s="112"/>
      <c r="G492" s="109"/>
      <c r="H492" s="109"/>
      <c r="I492" s="109"/>
      <c r="J492" s="111"/>
      <c r="K492" s="268"/>
      <c r="L492" s="112"/>
      <c r="M492" s="112"/>
      <c r="N492" s="112"/>
      <c r="O492" s="112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</row>
    <row r="493" spans="1:31" ht="12" customHeight="1">
      <c r="A493" s="108"/>
      <c r="B493" s="109"/>
      <c r="C493" s="109"/>
      <c r="D493" s="109"/>
      <c r="E493" s="112"/>
      <c r="F493" s="112"/>
      <c r="G493" s="109"/>
      <c r="H493" s="109"/>
      <c r="I493" s="109"/>
      <c r="J493" s="111"/>
      <c r="K493" s="268"/>
      <c r="L493" s="112"/>
      <c r="M493" s="112"/>
      <c r="N493" s="112"/>
      <c r="O493" s="112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</row>
    <row r="494" spans="1:31" ht="12" customHeight="1">
      <c r="A494" s="108"/>
      <c r="B494" s="109"/>
      <c r="C494" s="109"/>
      <c r="D494" s="109"/>
      <c r="E494" s="112"/>
      <c r="F494" s="112"/>
      <c r="G494" s="109"/>
      <c r="H494" s="109"/>
      <c r="I494" s="109"/>
      <c r="J494" s="111"/>
      <c r="K494" s="268"/>
      <c r="L494" s="112"/>
      <c r="M494" s="112"/>
      <c r="N494" s="112"/>
      <c r="O494" s="112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</row>
    <row r="495" spans="1:31" ht="12" customHeight="1">
      <c r="A495" s="108"/>
      <c r="B495" s="109"/>
      <c r="C495" s="109"/>
      <c r="D495" s="109"/>
      <c r="E495" s="112"/>
      <c r="F495" s="112"/>
      <c r="G495" s="109"/>
      <c r="H495" s="109"/>
      <c r="I495" s="109"/>
      <c r="J495" s="111"/>
      <c r="K495" s="268"/>
      <c r="L495" s="112"/>
      <c r="M495" s="112"/>
      <c r="N495" s="112"/>
      <c r="O495" s="112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</row>
    <row r="496" spans="1:31" ht="12" customHeight="1">
      <c r="A496" s="108"/>
      <c r="B496" s="109"/>
      <c r="C496" s="109"/>
      <c r="D496" s="109"/>
      <c r="E496" s="112"/>
      <c r="F496" s="112"/>
      <c r="G496" s="109"/>
      <c r="H496" s="109"/>
      <c r="I496" s="109"/>
      <c r="J496" s="111"/>
      <c r="K496" s="268"/>
      <c r="L496" s="112"/>
      <c r="M496" s="112"/>
      <c r="N496" s="112"/>
      <c r="O496" s="112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</row>
    <row r="497" spans="1:31" ht="12" customHeight="1">
      <c r="A497" s="108"/>
      <c r="B497" s="109"/>
      <c r="C497" s="109"/>
      <c r="D497" s="109"/>
      <c r="E497" s="112"/>
      <c r="F497" s="112"/>
      <c r="G497" s="109"/>
      <c r="H497" s="109"/>
      <c r="I497" s="109"/>
      <c r="J497" s="111"/>
      <c r="K497" s="268"/>
      <c r="L497" s="112"/>
      <c r="M497" s="112"/>
      <c r="N497" s="112"/>
      <c r="O497" s="112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</row>
    <row r="498" spans="1:31" ht="12" customHeight="1">
      <c r="A498" s="108"/>
      <c r="B498" s="109"/>
      <c r="C498" s="109"/>
      <c r="D498" s="109"/>
      <c r="E498" s="112"/>
      <c r="F498" s="112"/>
      <c r="G498" s="109"/>
      <c r="H498" s="109"/>
      <c r="I498" s="109"/>
      <c r="J498" s="111"/>
      <c r="K498" s="268"/>
      <c r="L498" s="112"/>
      <c r="M498" s="112"/>
      <c r="N498" s="112"/>
      <c r="O498" s="112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</row>
    <row r="499" spans="1:31" ht="12" customHeight="1">
      <c r="A499" s="108"/>
      <c r="B499" s="109"/>
      <c r="C499" s="109"/>
      <c r="D499" s="109"/>
      <c r="E499" s="112"/>
      <c r="F499" s="112"/>
      <c r="G499" s="109"/>
      <c r="H499" s="109"/>
      <c r="I499" s="109"/>
      <c r="J499" s="111"/>
      <c r="K499" s="268"/>
      <c r="L499" s="112"/>
      <c r="M499" s="112"/>
      <c r="N499" s="112"/>
      <c r="O499" s="112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</row>
    <row r="500" spans="1:31" ht="12" customHeight="1">
      <c r="A500" s="108"/>
      <c r="B500" s="109"/>
      <c r="C500" s="109"/>
      <c r="D500" s="109"/>
      <c r="E500" s="112"/>
      <c r="F500" s="112"/>
      <c r="G500" s="109"/>
      <c r="H500" s="109"/>
      <c r="I500" s="109"/>
      <c r="J500" s="111"/>
      <c r="K500" s="268"/>
      <c r="L500" s="112"/>
      <c r="M500" s="112"/>
      <c r="N500" s="112"/>
      <c r="O500" s="112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</row>
    <row r="501" spans="1:31" ht="12" customHeight="1">
      <c r="A501" s="108"/>
      <c r="B501" s="109"/>
      <c r="C501" s="109"/>
      <c r="D501" s="109"/>
      <c r="E501" s="112"/>
      <c r="F501" s="112"/>
      <c r="G501" s="109"/>
      <c r="H501" s="109"/>
      <c r="I501" s="109"/>
      <c r="J501" s="111"/>
      <c r="K501" s="268"/>
      <c r="L501" s="112"/>
      <c r="M501" s="112"/>
      <c r="N501" s="112"/>
      <c r="O501" s="112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</row>
    <row r="502" spans="1:31" ht="12" customHeight="1">
      <c r="A502" s="108"/>
      <c r="B502" s="109"/>
      <c r="C502" s="109"/>
      <c r="D502" s="109"/>
      <c r="E502" s="112"/>
      <c r="F502" s="112"/>
      <c r="G502" s="109"/>
      <c r="H502" s="109"/>
      <c r="I502" s="109"/>
      <c r="J502" s="111"/>
      <c r="K502" s="268"/>
      <c r="L502" s="112"/>
      <c r="M502" s="112"/>
      <c r="N502" s="112"/>
      <c r="O502" s="112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</row>
    <row r="503" spans="1:31" ht="12" customHeight="1">
      <c r="A503" s="108"/>
      <c r="B503" s="109"/>
      <c r="C503" s="109"/>
      <c r="D503" s="109"/>
      <c r="E503" s="112"/>
      <c r="F503" s="112"/>
      <c r="G503" s="109"/>
      <c r="H503" s="109"/>
      <c r="I503" s="109"/>
      <c r="J503" s="111"/>
      <c r="K503" s="268"/>
      <c r="L503" s="112"/>
      <c r="M503" s="112"/>
      <c r="N503" s="112"/>
      <c r="O503" s="112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</row>
    <row r="504" spans="1:31" ht="12" customHeight="1">
      <c r="A504" s="108"/>
      <c r="B504" s="109"/>
      <c r="C504" s="109"/>
      <c r="D504" s="109"/>
      <c r="E504" s="112"/>
      <c r="F504" s="112"/>
      <c r="G504" s="109"/>
      <c r="H504" s="109"/>
      <c r="I504" s="109"/>
      <c r="J504" s="111"/>
      <c r="K504" s="268"/>
      <c r="L504" s="112"/>
      <c r="M504" s="112"/>
      <c r="N504" s="112"/>
      <c r="O504" s="112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</row>
    <row r="505" spans="1:31" ht="12" customHeight="1">
      <c r="A505" s="108"/>
      <c r="B505" s="109"/>
      <c r="C505" s="109"/>
      <c r="D505" s="109"/>
      <c r="E505" s="112"/>
      <c r="F505" s="112"/>
      <c r="G505" s="109"/>
      <c r="H505" s="109"/>
      <c r="I505" s="109"/>
      <c r="J505" s="111"/>
      <c r="K505" s="268"/>
      <c r="L505" s="112"/>
      <c r="M505" s="112"/>
      <c r="N505" s="112"/>
      <c r="O505" s="112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</row>
    <row r="506" spans="1:31" ht="12" customHeight="1">
      <c r="A506" s="108"/>
      <c r="B506" s="109"/>
      <c r="C506" s="109"/>
      <c r="D506" s="109"/>
      <c r="E506" s="112"/>
      <c r="F506" s="112"/>
      <c r="G506" s="109"/>
      <c r="H506" s="109"/>
      <c r="I506" s="109"/>
      <c r="J506" s="111"/>
      <c r="K506" s="268"/>
      <c r="L506" s="112"/>
      <c r="M506" s="112"/>
      <c r="N506" s="112"/>
      <c r="O506" s="112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</row>
    <row r="507" spans="1:31" ht="12" customHeight="1">
      <c r="A507" s="108"/>
      <c r="B507" s="109"/>
      <c r="C507" s="109"/>
      <c r="D507" s="109"/>
      <c r="E507" s="112"/>
      <c r="F507" s="112"/>
      <c r="G507" s="109"/>
      <c r="H507" s="109"/>
      <c r="I507" s="109"/>
      <c r="J507" s="111"/>
      <c r="K507" s="268"/>
      <c r="L507" s="112"/>
      <c r="M507" s="112"/>
      <c r="N507" s="112"/>
      <c r="O507" s="112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</row>
    <row r="508" spans="1:31" ht="12" customHeight="1">
      <c r="A508" s="108"/>
      <c r="B508" s="109"/>
      <c r="C508" s="109"/>
      <c r="D508" s="109"/>
      <c r="E508" s="112"/>
      <c r="F508" s="112"/>
      <c r="G508" s="109"/>
      <c r="H508" s="109"/>
      <c r="I508" s="109"/>
      <c r="J508" s="111"/>
      <c r="K508" s="268"/>
      <c r="L508" s="112"/>
      <c r="M508" s="112"/>
      <c r="N508" s="112"/>
      <c r="O508" s="112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</row>
    <row r="509" spans="1:31" ht="12" customHeight="1">
      <c r="A509" s="108"/>
      <c r="B509" s="109"/>
      <c r="C509" s="109"/>
      <c r="D509" s="109"/>
      <c r="E509" s="112"/>
      <c r="F509" s="112"/>
      <c r="G509" s="109"/>
      <c r="H509" s="109"/>
      <c r="I509" s="109"/>
      <c r="J509" s="111"/>
      <c r="K509" s="268"/>
      <c r="L509" s="112"/>
      <c r="M509" s="112"/>
      <c r="N509" s="112"/>
      <c r="O509" s="112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</row>
    <row r="510" spans="1:31" ht="12" customHeight="1">
      <c r="A510" s="108"/>
      <c r="B510" s="109"/>
      <c r="C510" s="109"/>
      <c r="D510" s="109"/>
      <c r="E510" s="112"/>
      <c r="F510" s="112"/>
      <c r="G510" s="109"/>
      <c r="H510" s="109"/>
      <c r="I510" s="109"/>
      <c r="J510" s="111"/>
      <c r="K510" s="268"/>
      <c r="L510" s="112"/>
      <c r="M510" s="112"/>
      <c r="N510" s="112"/>
      <c r="O510" s="112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</row>
    <row r="511" spans="1:31" ht="12" customHeight="1">
      <c r="A511" s="108"/>
      <c r="B511" s="109"/>
      <c r="C511" s="109"/>
      <c r="D511" s="109"/>
      <c r="E511" s="112"/>
      <c r="F511" s="112"/>
      <c r="G511" s="109"/>
      <c r="H511" s="109"/>
      <c r="I511" s="109"/>
      <c r="J511" s="111"/>
      <c r="K511" s="268"/>
      <c r="L511" s="112"/>
      <c r="M511" s="112"/>
      <c r="N511" s="112"/>
      <c r="O511" s="112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</row>
    <row r="512" spans="1:31" ht="12" customHeight="1">
      <c r="A512" s="108"/>
      <c r="B512" s="109"/>
      <c r="C512" s="109"/>
      <c r="D512" s="109"/>
      <c r="E512" s="112"/>
      <c r="F512" s="112"/>
      <c r="G512" s="109"/>
      <c r="H512" s="109"/>
      <c r="I512" s="109"/>
      <c r="J512" s="111"/>
      <c r="K512" s="268"/>
      <c r="L512" s="112"/>
      <c r="M512" s="112"/>
      <c r="N512" s="112"/>
      <c r="O512" s="112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</row>
    <row r="513" spans="1:31" ht="12" customHeight="1">
      <c r="A513" s="108"/>
      <c r="B513" s="109"/>
      <c r="C513" s="109"/>
      <c r="D513" s="109"/>
      <c r="E513" s="112"/>
      <c r="F513" s="112"/>
      <c r="G513" s="109"/>
      <c r="H513" s="109"/>
      <c r="I513" s="109"/>
      <c r="J513" s="111"/>
      <c r="K513" s="268"/>
      <c r="L513" s="112"/>
      <c r="M513" s="112"/>
      <c r="N513" s="112"/>
      <c r="O513" s="112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</row>
    <row r="514" spans="1:31" ht="12" customHeight="1">
      <c r="A514" s="108"/>
      <c r="B514" s="109"/>
      <c r="C514" s="109"/>
      <c r="D514" s="109"/>
      <c r="E514" s="112"/>
      <c r="F514" s="112"/>
      <c r="G514" s="109"/>
      <c r="H514" s="109"/>
      <c r="I514" s="109"/>
      <c r="J514" s="111"/>
      <c r="K514" s="268"/>
      <c r="L514" s="112"/>
      <c r="M514" s="112"/>
      <c r="N514" s="112"/>
      <c r="O514" s="112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</row>
    <row r="515" spans="1:31" ht="12" customHeight="1">
      <c r="A515" s="108"/>
      <c r="B515" s="109"/>
      <c r="C515" s="109"/>
      <c r="D515" s="109"/>
      <c r="E515" s="112"/>
      <c r="F515" s="112"/>
      <c r="G515" s="109"/>
      <c r="H515" s="109"/>
      <c r="I515" s="109"/>
      <c r="J515" s="111"/>
      <c r="K515" s="268"/>
      <c r="L515" s="112"/>
      <c r="M515" s="112"/>
      <c r="N515" s="112"/>
      <c r="O515" s="112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</row>
    <row r="516" spans="1:31" ht="12" customHeight="1">
      <c r="A516" s="108"/>
      <c r="B516" s="109"/>
      <c r="C516" s="109"/>
      <c r="D516" s="109"/>
      <c r="E516" s="112"/>
      <c r="F516" s="112"/>
      <c r="G516" s="109"/>
      <c r="H516" s="109"/>
      <c r="I516" s="109"/>
      <c r="J516" s="111"/>
      <c r="K516" s="268"/>
      <c r="L516" s="112"/>
      <c r="M516" s="112"/>
      <c r="N516" s="112"/>
      <c r="O516" s="112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</row>
    <row r="517" spans="1:31" ht="12" customHeight="1">
      <c r="A517" s="108"/>
      <c r="B517" s="109"/>
      <c r="C517" s="109"/>
      <c r="D517" s="109"/>
      <c r="E517" s="112"/>
      <c r="F517" s="112"/>
      <c r="G517" s="109"/>
      <c r="H517" s="109"/>
      <c r="I517" s="109"/>
      <c r="J517" s="111"/>
      <c r="K517" s="268"/>
      <c r="L517" s="112"/>
      <c r="M517" s="112"/>
      <c r="N517" s="112"/>
      <c r="O517" s="112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</row>
    <row r="518" spans="1:31" ht="12" customHeight="1">
      <c r="A518" s="108"/>
      <c r="B518" s="109"/>
      <c r="C518" s="109"/>
      <c r="D518" s="109"/>
      <c r="E518" s="112"/>
      <c r="F518" s="112"/>
      <c r="G518" s="109"/>
      <c r="H518" s="109"/>
      <c r="I518" s="109"/>
      <c r="J518" s="111"/>
      <c r="K518" s="268"/>
      <c r="L518" s="112"/>
      <c r="M518" s="112"/>
      <c r="N518" s="112"/>
      <c r="O518" s="112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</row>
    <row r="519" spans="1:31" ht="12" customHeight="1">
      <c r="A519" s="108"/>
      <c r="B519" s="109"/>
      <c r="C519" s="109"/>
      <c r="D519" s="109"/>
      <c r="E519" s="112"/>
      <c r="F519" s="112"/>
      <c r="G519" s="109"/>
      <c r="H519" s="109"/>
      <c r="I519" s="109"/>
      <c r="J519" s="111"/>
      <c r="K519" s="268"/>
      <c r="L519" s="112"/>
      <c r="M519" s="112"/>
      <c r="N519" s="112"/>
      <c r="O519" s="112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</row>
    <row r="520" spans="1:31" ht="12" customHeight="1">
      <c r="A520" s="108"/>
      <c r="B520" s="109"/>
      <c r="C520" s="109"/>
      <c r="D520" s="109"/>
      <c r="E520" s="112"/>
      <c r="F520" s="112"/>
      <c r="G520" s="109"/>
      <c r="H520" s="109"/>
      <c r="I520" s="109"/>
      <c r="J520" s="111"/>
      <c r="K520" s="268"/>
      <c r="L520" s="112"/>
      <c r="M520" s="112"/>
      <c r="N520" s="112"/>
      <c r="O520" s="112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</row>
    <row r="521" spans="1:31" ht="12" customHeight="1">
      <c r="A521" s="108"/>
      <c r="B521" s="109"/>
      <c r="C521" s="109"/>
      <c r="D521" s="109"/>
      <c r="E521" s="112"/>
      <c r="F521" s="112"/>
      <c r="G521" s="109"/>
      <c r="H521" s="109"/>
      <c r="I521" s="109"/>
      <c r="J521" s="111"/>
      <c r="K521" s="268"/>
      <c r="L521" s="112"/>
      <c r="M521" s="112"/>
      <c r="N521" s="112"/>
      <c r="O521" s="112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</row>
    <row r="522" spans="1:31" ht="12" customHeight="1">
      <c r="A522" s="108"/>
      <c r="B522" s="109"/>
      <c r="C522" s="109"/>
      <c r="D522" s="109"/>
      <c r="E522" s="112"/>
      <c r="F522" s="112"/>
      <c r="G522" s="109"/>
      <c r="H522" s="109"/>
      <c r="I522" s="109"/>
      <c r="J522" s="111"/>
      <c r="K522" s="268"/>
      <c r="L522" s="112"/>
      <c r="M522" s="112"/>
      <c r="N522" s="112"/>
      <c r="O522" s="112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</row>
    <row r="523" spans="1:31" ht="12" customHeight="1">
      <c r="A523" s="108"/>
      <c r="B523" s="109"/>
      <c r="C523" s="109"/>
      <c r="D523" s="109"/>
      <c r="E523" s="112"/>
      <c r="F523" s="112"/>
      <c r="G523" s="109"/>
      <c r="H523" s="109"/>
      <c r="I523" s="109"/>
      <c r="J523" s="111"/>
      <c r="K523" s="268"/>
      <c r="L523" s="112"/>
      <c r="M523" s="112"/>
      <c r="N523" s="112"/>
      <c r="O523" s="112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</row>
    <row r="524" spans="1:31" ht="12" customHeight="1">
      <c r="A524" s="108"/>
      <c r="B524" s="109"/>
      <c r="C524" s="109"/>
      <c r="D524" s="109"/>
      <c r="E524" s="112"/>
      <c r="F524" s="112"/>
      <c r="G524" s="109"/>
      <c r="H524" s="109"/>
      <c r="I524" s="109"/>
      <c r="J524" s="111"/>
      <c r="K524" s="268"/>
      <c r="L524" s="112"/>
      <c r="M524" s="112"/>
      <c r="N524" s="112"/>
      <c r="O524" s="112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</row>
    <row r="525" spans="1:31" ht="12" customHeight="1">
      <c r="A525" s="108"/>
      <c r="B525" s="109"/>
      <c r="C525" s="109"/>
      <c r="D525" s="109"/>
      <c r="E525" s="112"/>
      <c r="F525" s="112"/>
      <c r="G525" s="109"/>
      <c r="H525" s="109"/>
      <c r="I525" s="109"/>
      <c r="J525" s="111"/>
      <c r="K525" s="268"/>
      <c r="L525" s="112"/>
      <c r="M525" s="112"/>
      <c r="N525" s="112"/>
      <c r="O525" s="112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</row>
    <row r="526" spans="1:31" ht="12" customHeight="1">
      <c r="A526" s="108"/>
      <c r="B526" s="109"/>
      <c r="C526" s="109"/>
      <c r="D526" s="109"/>
      <c r="E526" s="112"/>
      <c r="F526" s="112"/>
      <c r="G526" s="109"/>
      <c r="H526" s="109"/>
      <c r="I526" s="109"/>
      <c r="J526" s="111"/>
      <c r="K526" s="268"/>
      <c r="L526" s="112"/>
      <c r="M526" s="112"/>
      <c r="N526" s="112"/>
      <c r="O526" s="112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</row>
    <row r="527" spans="1:31" ht="12" customHeight="1">
      <c r="A527" s="108"/>
      <c r="B527" s="109"/>
      <c r="C527" s="109"/>
      <c r="D527" s="109"/>
      <c r="E527" s="112"/>
      <c r="F527" s="112"/>
      <c r="G527" s="109"/>
      <c r="H527" s="109"/>
      <c r="I527" s="109"/>
      <c r="J527" s="111"/>
      <c r="K527" s="268"/>
      <c r="L527" s="112"/>
      <c r="M527" s="112"/>
      <c r="N527" s="112"/>
      <c r="O527" s="112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</row>
    <row r="528" spans="1:31" ht="12" customHeight="1">
      <c r="A528" s="108"/>
      <c r="B528" s="109"/>
      <c r="C528" s="109"/>
      <c r="D528" s="109"/>
      <c r="E528" s="112"/>
      <c r="F528" s="112"/>
      <c r="G528" s="109"/>
      <c r="H528" s="109"/>
      <c r="I528" s="109"/>
      <c r="J528" s="111"/>
      <c r="K528" s="268"/>
      <c r="L528" s="112"/>
      <c r="M528" s="112"/>
      <c r="N528" s="112"/>
      <c r="O528" s="112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</row>
    <row r="529" spans="1:31" ht="12" customHeight="1">
      <c r="A529" s="108"/>
      <c r="B529" s="109"/>
      <c r="C529" s="109"/>
      <c r="D529" s="109"/>
      <c r="E529" s="112"/>
      <c r="F529" s="112"/>
      <c r="G529" s="109"/>
      <c r="H529" s="109"/>
      <c r="I529" s="109"/>
      <c r="J529" s="111"/>
      <c r="K529" s="268"/>
      <c r="L529" s="112"/>
      <c r="M529" s="112"/>
      <c r="N529" s="112"/>
      <c r="O529" s="112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</row>
    <row r="530" spans="1:31" ht="12" customHeight="1">
      <c r="A530" s="108"/>
      <c r="B530" s="109"/>
      <c r="C530" s="109"/>
      <c r="D530" s="109"/>
      <c r="E530" s="112"/>
      <c r="F530" s="112"/>
      <c r="G530" s="109"/>
      <c r="H530" s="109"/>
      <c r="I530" s="109"/>
      <c r="J530" s="111"/>
      <c r="K530" s="268"/>
      <c r="L530" s="112"/>
      <c r="M530" s="112"/>
      <c r="N530" s="112"/>
      <c r="O530" s="112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</row>
    <row r="531" spans="1:31" ht="12" customHeight="1">
      <c r="A531" s="108"/>
      <c r="B531" s="109"/>
      <c r="C531" s="109"/>
      <c r="D531" s="109"/>
      <c r="E531" s="112"/>
      <c r="F531" s="112"/>
      <c r="G531" s="109"/>
      <c r="H531" s="109"/>
      <c r="I531" s="109"/>
      <c r="J531" s="111"/>
      <c r="K531" s="268"/>
      <c r="L531" s="112"/>
      <c r="M531" s="112"/>
      <c r="N531" s="112"/>
      <c r="O531" s="112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</row>
    <row r="532" spans="1:31" ht="12" customHeight="1">
      <c r="A532" s="108"/>
      <c r="B532" s="109"/>
      <c r="C532" s="109"/>
      <c r="D532" s="109"/>
      <c r="E532" s="112"/>
      <c r="F532" s="112"/>
      <c r="G532" s="109"/>
      <c r="H532" s="109"/>
      <c r="I532" s="109"/>
      <c r="J532" s="111"/>
      <c r="K532" s="268"/>
      <c r="L532" s="112"/>
      <c r="M532" s="112"/>
      <c r="N532" s="112"/>
      <c r="O532" s="112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</row>
    <row r="533" spans="1:31" ht="12" customHeight="1">
      <c r="A533" s="108"/>
      <c r="B533" s="109"/>
      <c r="C533" s="109"/>
      <c r="D533" s="109"/>
      <c r="E533" s="112"/>
      <c r="F533" s="112"/>
      <c r="G533" s="109"/>
      <c r="H533" s="109"/>
      <c r="I533" s="109"/>
      <c r="J533" s="111"/>
      <c r="K533" s="268"/>
      <c r="L533" s="112"/>
      <c r="M533" s="112"/>
      <c r="N533" s="112"/>
      <c r="O533" s="112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</row>
    <row r="534" spans="1:31" ht="12" customHeight="1">
      <c r="A534" s="108"/>
      <c r="B534" s="109"/>
      <c r="C534" s="109"/>
      <c r="D534" s="109"/>
      <c r="E534" s="112"/>
      <c r="F534" s="112"/>
      <c r="G534" s="109"/>
      <c r="H534" s="109"/>
      <c r="I534" s="109"/>
      <c r="J534" s="111"/>
      <c r="K534" s="268"/>
      <c r="L534" s="112"/>
      <c r="M534" s="112"/>
      <c r="N534" s="112"/>
      <c r="O534" s="112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</row>
    <row r="535" spans="1:31" ht="12" customHeight="1">
      <c r="A535" s="108"/>
      <c r="B535" s="109"/>
      <c r="C535" s="109"/>
      <c r="D535" s="109"/>
      <c r="E535" s="112"/>
      <c r="F535" s="112"/>
      <c r="G535" s="109"/>
      <c r="H535" s="109"/>
      <c r="I535" s="109"/>
      <c r="J535" s="111"/>
      <c r="K535" s="268"/>
      <c r="L535" s="112"/>
      <c r="M535" s="112"/>
      <c r="N535" s="112"/>
      <c r="O535" s="112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</row>
    <row r="536" spans="1:31" ht="12" customHeight="1">
      <c r="A536" s="108"/>
      <c r="B536" s="109"/>
      <c r="C536" s="109"/>
      <c r="D536" s="109"/>
      <c r="E536" s="112"/>
      <c r="F536" s="112"/>
      <c r="G536" s="109"/>
      <c r="H536" s="109"/>
      <c r="I536" s="109"/>
      <c r="J536" s="111"/>
      <c r="K536" s="268"/>
      <c r="L536" s="112"/>
      <c r="M536" s="112"/>
      <c r="N536" s="112"/>
      <c r="O536" s="112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</row>
    <row r="537" spans="1:31" ht="12" customHeight="1">
      <c r="A537" s="108"/>
      <c r="B537" s="109"/>
      <c r="C537" s="109"/>
      <c r="D537" s="109"/>
      <c r="E537" s="112"/>
      <c r="F537" s="112"/>
      <c r="G537" s="109"/>
      <c r="H537" s="109"/>
      <c r="I537" s="109"/>
      <c r="J537" s="111"/>
      <c r="K537" s="268"/>
      <c r="L537" s="112"/>
      <c r="M537" s="112"/>
      <c r="N537" s="112"/>
      <c r="O537" s="112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</row>
    <row r="538" spans="1:31" ht="12" customHeight="1">
      <c r="A538" s="108"/>
      <c r="B538" s="109"/>
      <c r="C538" s="109"/>
      <c r="D538" s="109"/>
      <c r="E538" s="112"/>
      <c r="F538" s="112"/>
      <c r="G538" s="109"/>
      <c r="H538" s="109"/>
      <c r="I538" s="109"/>
      <c r="J538" s="111"/>
      <c r="K538" s="268"/>
      <c r="L538" s="112"/>
      <c r="M538" s="112"/>
      <c r="N538" s="112"/>
      <c r="O538" s="112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</row>
    <row r="539" spans="1:31" ht="12" customHeight="1">
      <c r="A539" s="108"/>
      <c r="B539" s="109"/>
      <c r="C539" s="109"/>
      <c r="D539" s="109"/>
      <c r="E539" s="112"/>
      <c r="F539" s="112"/>
      <c r="G539" s="109"/>
      <c r="H539" s="109"/>
      <c r="I539" s="109"/>
      <c r="J539" s="111"/>
      <c r="K539" s="268"/>
      <c r="L539" s="112"/>
      <c r="M539" s="112"/>
      <c r="N539" s="112"/>
      <c r="O539" s="112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</row>
    <row r="540" spans="1:31" ht="12" customHeight="1">
      <c r="A540" s="108"/>
      <c r="B540" s="109"/>
      <c r="C540" s="109"/>
      <c r="D540" s="109"/>
      <c r="E540" s="112"/>
      <c r="F540" s="112"/>
      <c r="G540" s="109"/>
      <c r="H540" s="109"/>
      <c r="I540" s="109"/>
      <c r="J540" s="111"/>
      <c r="K540" s="268"/>
      <c r="L540" s="112"/>
      <c r="M540" s="112"/>
      <c r="N540" s="112"/>
      <c r="O540" s="112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</row>
    <row r="541" spans="1:31" ht="12" customHeight="1">
      <c r="A541" s="108"/>
      <c r="B541" s="109"/>
      <c r="C541" s="109"/>
      <c r="D541" s="109"/>
      <c r="E541" s="112"/>
      <c r="F541" s="112"/>
      <c r="G541" s="109"/>
      <c r="H541" s="109"/>
      <c r="I541" s="109"/>
      <c r="J541" s="111"/>
      <c r="K541" s="268"/>
      <c r="L541" s="112"/>
      <c r="M541" s="112"/>
      <c r="N541" s="112"/>
      <c r="O541" s="112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</row>
    <row r="542" spans="1:31" ht="12" customHeight="1">
      <c r="A542" s="108"/>
      <c r="B542" s="109"/>
      <c r="C542" s="109"/>
      <c r="D542" s="109"/>
      <c r="E542" s="112"/>
      <c r="F542" s="112"/>
      <c r="G542" s="109"/>
      <c r="H542" s="109"/>
      <c r="I542" s="109"/>
      <c r="J542" s="111"/>
      <c r="K542" s="268"/>
      <c r="L542" s="112"/>
      <c r="M542" s="112"/>
      <c r="N542" s="112"/>
      <c r="O542" s="112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</row>
    <row r="543" spans="1:31" ht="12" customHeight="1">
      <c r="A543" s="108"/>
      <c r="B543" s="109"/>
      <c r="C543" s="109"/>
      <c r="D543" s="109"/>
      <c r="E543" s="112"/>
      <c r="F543" s="112"/>
      <c r="G543" s="109"/>
      <c r="H543" s="109"/>
      <c r="I543" s="109"/>
      <c r="J543" s="111"/>
      <c r="K543" s="268"/>
      <c r="L543" s="112"/>
      <c r="M543" s="112"/>
      <c r="N543" s="112"/>
      <c r="O543" s="112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</row>
    <row r="544" spans="1:31" ht="12" customHeight="1">
      <c r="A544" s="108"/>
      <c r="B544" s="109"/>
      <c r="C544" s="109"/>
      <c r="D544" s="109"/>
      <c r="E544" s="112"/>
      <c r="F544" s="112"/>
      <c r="G544" s="109"/>
      <c r="H544" s="109"/>
      <c r="I544" s="109"/>
      <c r="J544" s="111"/>
      <c r="K544" s="268"/>
      <c r="L544" s="112"/>
      <c r="M544" s="112"/>
      <c r="N544" s="112"/>
      <c r="O544" s="112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</row>
    <row r="545" spans="1:31" ht="12" customHeight="1">
      <c r="A545" s="108"/>
      <c r="B545" s="109"/>
      <c r="C545" s="109"/>
      <c r="D545" s="109"/>
      <c r="E545" s="112"/>
      <c r="F545" s="112"/>
      <c r="G545" s="109"/>
      <c r="H545" s="109"/>
      <c r="I545" s="109"/>
      <c r="J545" s="111"/>
      <c r="K545" s="268"/>
      <c r="L545" s="112"/>
      <c r="M545" s="112"/>
      <c r="N545" s="112"/>
      <c r="O545" s="112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</row>
    <row r="546" spans="1:31" ht="12" customHeight="1">
      <c r="A546" s="108"/>
      <c r="B546" s="109"/>
      <c r="C546" s="109"/>
      <c r="D546" s="109"/>
      <c r="E546" s="112"/>
      <c r="F546" s="112"/>
      <c r="G546" s="109"/>
      <c r="H546" s="109"/>
      <c r="I546" s="109"/>
      <c r="J546" s="111"/>
      <c r="K546" s="268"/>
      <c r="L546" s="112"/>
      <c r="M546" s="112"/>
      <c r="N546" s="112"/>
      <c r="O546" s="112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</row>
    <row r="547" spans="1:31" ht="12" customHeight="1">
      <c r="A547" s="108"/>
      <c r="B547" s="109"/>
      <c r="C547" s="109"/>
      <c r="D547" s="109"/>
      <c r="E547" s="112"/>
      <c r="F547" s="112"/>
      <c r="G547" s="109"/>
      <c r="H547" s="109"/>
      <c r="I547" s="109"/>
      <c r="J547" s="111"/>
      <c r="K547" s="268"/>
      <c r="L547" s="112"/>
      <c r="M547" s="112"/>
      <c r="N547" s="112"/>
      <c r="O547" s="112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</row>
    <row r="548" spans="1:31" ht="12" customHeight="1">
      <c r="A548" s="108"/>
      <c r="B548" s="109"/>
      <c r="C548" s="109"/>
      <c r="D548" s="109"/>
      <c r="E548" s="112"/>
      <c r="F548" s="112"/>
      <c r="G548" s="109"/>
      <c r="H548" s="109"/>
      <c r="I548" s="109"/>
      <c r="J548" s="111"/>
      <c r="K548" s="268"/>
      <c r="L548" s="112"/>
      <c r="M548" s="112"/>
      <c r="N548" s="112"/>
      <c r="O548" s="112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</row>
    <row r="549" spans="1:31" ht="12" customHeight="1">
      <c r="A549" s="108"/>
      <c r="B549" s="109"/>
      <c r="C549" s="109"/>
      <c r="D549" s="109"/>
      <c r="E549" s="112"/>
      <c r="F549" s="112"/>
      <c r="G549" s="109"/>
      <c r="H549" s="109"/>
      <c r="I549" s="109"/>
      <c r="J549" s="111"/>
      <c r="K549" s="268"/>
      <c r="L549" s="112"/>
      <c r="M549" s="112"/>
      <c r="N549" s="112"/>
      <c r="O549" s="112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</row>
    <row r="550" spans="1:31" ht="12" customHeight="1">
      <c r="A550" s="108"/>
      <c r="B550" s="109"/>
      <c r="C550" s="109"/>
      <c r="D550" s="109"/>
      <c r="E550" s="112"/>
      <c r="F550" s="112"/>
      <c r="G550" s="109"/>
      <c r="H550" s="109"/>
      <c r="I550" s="109"/>
      <c r="J550" s="111"/>
      <c r="K550" s="268"/>
      <c r="L550" s="112"/>
      <c r="M550" s="112"/>
      <c r="N550" s="112"/>
      <c r="O550" s="112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</row>
    <row r="551" spans="1:31" ht="12" customHeight="1">
      <c r="A551" s="108"/>
      <c r="B551" s="109"/>
      <c r="C551" s="109"/>
      <c r="D551" s="109"/>
      <c r="E551" s="112"/>
      <c r="F551" s="112"/>
      <c r="G551" s="109"/>
      <c r="H551" s="109"/>
      <c r="I551" s="109"/>
      <c r="J551" s="111"/>
      <c r="K551" s="268"/>
      <c r="L551" s="112"/>
      <c r="M551" s="112"/>
      <c r="N551" s="112"/>
      <c r="O551" s="112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</row>
    <row r="552" spans="1:31" ht="12" customHeight="1">
      <c r="A552" s="108"/>
      <c r="B552" s="109"/>
      <c r="C552" s="109"/>
      <c r="D552" s="109"/>
      <c r="E552" s="112"/>
      <c r="F552" s="112"/>
      <c r="G552" s="109"/>
      <c r="H552" s="109"/>
      <c r="I552" s="109"/>
      <c r="J552" s="111"/>
      <c r="K552" s="268"/>
      <c r="L552" s="112"/>
      <c r="M552" s="112"/>
      <c r="N552" s="112"/>
      <c r="O552" s="112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</row>
    <row r="553" spans="1:31" ht="12" customHeight="1">
      <c r="A553" s="108"/>
      <c r="B553" s="109"/>
      <c r="C553" s="109"/>
      <c r="D553" s="109"/>
      <c r="E553" s="112"/>
      <c r="F553" s="112"/>
      <c r="G553" s="109"/>
      <c r="H553" s="109"/>
      <c r="I553" s="109"/>
      <c r="J553" s="111"/>
      <c r="K553" s="268"/>
      <c r="L553" s="112"/>
      <c r="M553" s="112"/>
      <c r="N553" s="112"/>
      <c r="O553" s="112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</row>
    <row r="554" spans="1:31" ht="12" customHeight="1">
      <c r="A554" s="108"/>
      <c r="B554" s="109"/>
      <c r="C554" s="109"/>
      <c r="D554" s="109"/>
      <c r="E554" s="112"/>
      <c r="F554" s="112"/>
      <c r="G554" s="109"/>
      <c r="H554" s="109"/>
      <c r="I554" s="109"/>
      <c r="J554" s="111"/>
      <c r="K554" s="268"/>
      <c r="L554" s="112"/>
      <c r="M554" s="112"/>
      <c r="N554" s="112"/>
      <c r="O554" s="112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</row>
    <row r="555" spans="1:31" ht="12" customHeight="1">
      <c r="A555" s="108"/>
      <c r="B555" s="109"/>
      <c r="C555" s="109"/>
      <c r="D555" s="109"/>
      <c r="E555" s="112"/>
      <c r="F555" s="112"/>
      <c r="G555" s="109"/>
      <c r="H555" s="109"/>
      <c r="I555" s="109"/>
      <c r="J555" s="111"/>
      <c r="K555" s="268"/>
      <c r="L555" s="112"/>
      <c r="M555" s="112"/>
      <c r="N555" s="112"/>
      <c r="O555" s="112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</row>
    <row r="556" spans="1:31" ht="12" customHeight="1">
      <c r="A556" s="108"/>
      <c r="B556" s="109"/>
      <c r="C556" s="109"/>
      <c r="D556" s="109"/>
      <c r="E556" s="112"/>
      <c r="F556" s="112"/>
      <c r="G556" s="109"/>
      <c r="H556" s="109"/>
      <c r="I556" s="109"/>
      <c r="J556" s="111"/>
      <c r="K556" s="268"/>
      <c r="L556" s="112"/>
      <c r="M556" s="112"/>
      <c r="N556" s="112"/>
      <c r="O556" s="112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</row>
    <row r="557" spans="1:31" ht="12" customHeight="1">
      <c r="A557" s="108"/>
      <c r="B557" s="109"/>
      <c r="C557" s="109"/>
      <c r="D557" s="109"/>
      <c r="E557" s="112"/>
      <c r="F557" s="112"/>
      <c r="G557" s="109"/>
      <c r="H557" s="109"/>
      <c r="I557" s="109"/>
      <c r="J557" s="111"/>
      <c r="K557" s="268"/>
      <c r="L557" s="112"/>
      <c r="M557" s="112"/>
      <c r="N557" s="112"/>
      <c r="O557" s="112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</row>
    <row r="558" spans="1:31" ht="12" customHeight="1">
      <c r="A558" s="108"/>
      <c r="B558" s="109"/>
      <c r="C558" s="109"/>
      <c r="D558" s="109"/>
      <c r="E558" s="112"/>
      <c r="F558" s="112"/>
      <c r="G558" s="109"/>
      <c r="H558" s="109"/>
      <c r="I558" s="109"/>
      <c r="J558" s="111"/>
      <c r="K558" s="268"/>
      <c r="L558" s="112"/>
      <c r="M558" s="112"/>
      <c r="N558" s="112"/>
      <c r="O558" s="112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</row>
    <row r="559" spans="1:31" ht="12" customHeight="1">
      <c r="A559" s="108"/>
      <c r="B559" s="109"/>
      <c r="C559" s="109"/>
      <c r="D559" s="109"/>
      <c r="E559" s="112"/>
      <c r="F559" s="112"/>
      <c r="G559" s="109"/>
      <c r="H559" s="109"/>
      <c r="I559" s="109"/>
      <c r="J559" s="111"/>
      <c r="K559" s="268"/>
      <c r="L559" s="112"/>
      <c r="M559" s="112"/>
      <c r="N559" s="112"/>
      <c r="O559" s="112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</row>
    <row r="560" spans="1:31" ht="12" customHeight="1">
      <c r="A560" s="108"/>
      <c r="B560" s="109"/>
      <c r="C560" s="109"/>
      <c r="D560" s="109"/>
      <c r="E560" s="112"/>
      <c r="F560" s="112"/>
      <c r="G560" s="109"/>
      <c r="H560" s="109"/>
      <c r="I560" s="109"/>
      <c r="J560" s="111"/>
      <c r="K560" s="268"/>
      <c r="L560" s="112"/>
      <c r="M560" s="112"/>
      <c r="N560" s="112"/>
      <c r="O560" s="112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</row>
    <row r="561" spans="1:31" ht="12" customHeight="1">
      <c r="A561" s="108"/>
      <c r="B561" s="109"/>
      <c r="C561" s="109"/>
      <c r="D561" s="109"/>
      <c r="E561" s="112"/>
      <c r="F561" s="112"/>
      <c r="G561" s="109"/>
      <c r="H561" s="109"/>
      <c r="I561" s="109"/>
      <c r="J561" s="111"/>
      <c r="K561" s="268"/>
      <c r="L561" s="112"/>
      <c r="M561" s="112"/>
      <c r="N561" s="112"/>
      <c r="O561" s="112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</row>
    <row r="562" spans="1:31" ht="12" customHeight="1">
      <c r="A562" s="108"/>
      <c r="B562" s="109"/>
      <c r="C562" s="109"/>
      <c r="D562" s="109"/>
      <c r="E562" s="112"/>
      <c r="F562" s="112"/>
      <c r="G562" s="109"/>
      <c r="H562" s="109"/>
      <c r="I562" s="109"/>
      <c r="J562" s="111"/>
      <c r="K562" s="268"/>
      <c r="L562" s="112"/>
      <c r="M562" s="112"/>
      <c r="N562" s="112"/>
      <c r="O562" s="112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</row>
    <row r="563" spans="1:31" ht="12" customHeight="1">
      <c r="A563" s="108"/>
      <c r="B563" s="109"/>
      <c r="C563" s="109"/>
      <c r="D563" s="109"/>
      <c r="E563" s="112"/>
      <c r="F563" s="112"/>
      <c r="G563" s="109"/>
      <c r="H563" s="109"/>
      <c r="I563" s="109"/>
      <c r="J563" s="111"/>
      <c r="K563" s="268"/>
      <c r="L563" s="112"/>
      <c r="M563" s="112"/>
      <c r="N563" s="112"/>
      <c r="O563" s="112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</row>
    <row r="564" spans="1:31" ht="12" customHeight="1">
      <c r="A564" s="108"/>
      <c r="B564" s="109"/>
      <c r="C564" s="109"/>
      <c r="D564" s="109"/>
      <c r="E564" s="112"/>
      <c r="F564" s="112"/>
      <c r="G564" s="109"/>
      <c r="H564" s="109"/>
      <c r="I564" s="109"/>
      <c r="J564" s="111"/>
      <c r="K564" s="268"/>
      <c r="L564" s="112"/>
      <c r="M564" s="112"/>
      <c r="N564" s="112"/>
      <c r="O564" s="112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</row>
    <row r="565" spans="1:31" ht="12" customHeight="1">
      <c r="A565" s="108"/>
      <c r="B565" s="109"/>
      <c r="C565" s="109"/>
      <c r="D565" s="109"/>
      <c r="E565" s="112"/>
      <c r="F565" s="112"/>
      <c r="G565" s="109"/>
      <c r="H565" s="109"/>
      <c r="I565" s="109"/>
      <c r="J565" s="111"/>
      <c r="K565" s="268"/>
      <c r="L565" s="112"/>
      <c r="M565" s="112"/>
      <c r="N565" s="112"/>
      <c r="O565" s="112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</row>
    <row r="566" spans="1:31" ht="12" customHeight="1">
      <c r="A566" s="108"/>
      <c r="B566" s="109"/>
      <c r="C566" s="109"/>
      <c r="D566" s="109"/>
      <c r="E566" s="112"/>
      <c r="F566" s="112"/>
      <c r="G566" s="109"/>
      <c r="H566" s="109"/>
      <c r="I566" s="109"/>
      <c r="J566" s="111"/>
      <c r="K566" s="268"/>
      <c r="L566" s="112"/>
      <c r="M566" s="112"/>
      <c r="N566" s="112"/>
      <c r="O566" s="112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</row>
    <row r="567" spans="1:31" ht="12" customHeight="1">
      <c r="A567" s="108"/>
      <c r="B567" s="109"/>
      <c r="C567" s="109"/>
      <c r="D567" s="109"/>
      <c r="E567" s="112"/>
      <c r="F567" s="112"/>
      <c r="G567" s="109"/>
      <c r="H567" s="109"/>
      <c r="I567" s="109"/>
      <c r="J567" s="111"/>
      <c r="K567" s="268"/>
      <c r="L567" s="112"/>
      <c r="M567" s="112"/>
      <c r="N567" s="112"/>
      <c r="O567" s="112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</row>
    <row r="568" spans="1:31" ht="12" customHeight="1">
      <c r="A568" s="108"/>
      <c r="B568" s="109"/>
      <c r="C568" s="109"/>
      <c r="D568" s="109"/>
      <c r="E568" s="112"/>
      <c r="F568" s="112"/>
      <c r="G568" s="109"/>
      <c r="H568" s="109"/>
      <c r="I568" s="109"/>
      <c r="J568" s="111"/>
      <c r="K568" s="268"/>
      <c r="L568" s="112"/>
      <c r="M568" s="112"/>
      <c r="N568" s="112"/>
      <c r="O568" s="112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</row>
    <row r="569" spans="1:31" ht="12" customHeight="1">
      <c r="A569" s="108"/>
      <c r="B569" s="109"/>
      <c r="C569" s="109"/>
      <c r="D569" s="109"/>
      <c r="E569" s="112"/>
      <c r="F569" s="112"/>
      <c r="G569" s="109"/>
      <c r="H569" s="109"/>
      <c r="I569" s="109"/>
      <c r="J569" s="111"/>
      <c r="K569" s="268"/>
      <c r="L569" s="112"/>
      <c r="M569" s="112"/>
      <c r="N569" s="112"/>
      <c r="O569" s="112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</row>
    <row r="570" spans="1:31" ht="12" customHeight="1">
      <c r="A570" s="108"/>
      <c r="B570" s="109"/>
      <c r="C570" s="109"/>
      <c r="D570" s="109"/>
      <c r="E570" s="112"/>
      <c r="F570" s="112"/>
      <c r="G570" s="109"/>
      <c r="H570" s="109"/>
      <c r="I570" s="109"/>
      <c r="J570" s="111"/>
      <c r="K570" s="268"/>
      <c r="L570" s="112"/>
      <c r="M570" s="112"/>
      <c r="N570" s="112"/>
      <c r="O570" s="112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</row>
    <row r="571" spans="1:31" ht="12" customHeight="1">
      <c r="A571" s="108"/>
      <c r="B571" s="109"/>
      <c r="C571" s="109"/>
      <c r="D571" s="109"/>
      <c r="E571" s="112"/>
      <c r="F571" s="112"/>
      <c r="G571" s="109"/>
      <c r="H571" s="109"/>
      <c r="I571" s="109"/>
      <c r="J571" s="111"/>
      <c r="K571" s="268"/>
      <c r="L571" s="112"/>
      <c r="M571" s="112"/>
      <c r="N571" s="112"/>
      <c r="O571" s="112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</row>
    <row r="572" spans="1:31" ht="12" customHeight="1">
      <c r="A572" s="108"/>
      <c r="B572" s="109"/>
      <c r="C572" s="109"/>
      <c r="D572" s="109"/>
      <c r="E572" s="112"/>
      <c r="F572" s="112"/>
      <c r="G572" s="109"/>
      <c r="H572" s="109"/>
      <c r="I572" s="109"/>
      <c r="J572" s="111"/>
      <c r="K572" s="268"/>
      <c r="L572" s="112"/>
      <c r="M572" s="112"/>
      <c r="N572" s="112"/>
      <c r="O572" s="112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</row>
    <row r="573" spans="1:31" ht="12" customHeight="1">
      <c r="A573" s="108"/>
      <c r="B573" s="109"/>
      <c r="C573" s="109"/>
      <c r="D573" s="109"/>
      <c r="E573" s="112"/>
      <c r="F573" s="112"/>
      <c r="G573" s="109"/>
      <c r="H573" s="109"/>
      <c r="I573" s="109"/>
      <c r="J573" s="111"/>
      <c r="K573" s="268"/>
      <c r="L573" s="112"/>
      <c r="M573" s="112"/>
      <c r="N573" s="112"/>
      <c r="O573" s="112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</row>
    <row r="574" spans="1:31" ht="12" customHeight="1">
      <c r="A574" s="108"/>
      <c r="B574" s="109"/>
      <c r="C574" s="109"/>
      <c r="D574" s="109"/>
      <c r="E574" s="112"/>
      <c r="F574" s="112"/>
      <c r="G574" s="109"/>
      <c r="H574" s="109"/>
      <c r="I574" s="109"/>
      <c r="J574" s="111"/>
      <c r="K574" s="268"/>
      <c r="L574" s="112"/>
      <c r="M574" s="112"/>
      <c r="N574" s="112"/>
      <c r="O574" s="112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</row>
    <row r="575" spans="1:31" ht="12" customHeight="1">
      <c r="A575" s="108"/>
      <c r="B575" s="109"/>
      <c r="C575" s="109"/>
      <c r="D575" s="109"/>
      <c r="E575" s="112"/>
      <c r="F575" s="112"/>
      <c r="G575" s="109"/>
      <c r="H575" s="109"/>
      <c r="I575" s="109"/>
      <c r="J575" s="111"/>
      <c r="K575" s="268"/>
      <c r="L575" s="112"/>
      <c r="M575" s="112"/>
      <c r="N575" s="112"/>
      <c r="O575" s="112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</row>
    <row r="576" spans="1:31" ht="12" customHeight="1">
      <c r="A576" s="108"/>
      <c r="B576" s="109"/>
      <c r="C576" s="109"/>
      <c r="D576" s="109"/>
      <c r="E576" s="112"/>
      <c r="F576" s="112"/>
      <c r="G576" s="109"/>
      <c r="H576" s="109"/>
      <c r="I576" s="109"/>
      <c r="J576" s="111"/>
      <c r="K576" s="268"/>
      <c r="L576" s="112"/>
      <c r="M576" s="112"/>
      <c r="N576" s="112"/>
      <c r="O576" s="112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</row>
    <row r="577" spans="1:31" ht="12" customHeight="1">
      <c r="A577" s="108"/>
      <c r="B577" s="109"/>
      <c r="C577" s="109"/>
      <c r="D577" s="109"/>
      <c r="E577" s="112"/>
      <c r="F577" s="112"/>
      <c r="G577" s="109"/>
      <c r="H577" s="109"/>
      <c r="I577" s="109"/>
      <c r="J577" s="111"/>
      <c r="K577" s="268"/>
      <c r="L577" s="112"/>
      <c r="M577" s="112"/>
      <c r="N577" s="112"/>
      <c r="O577" s="112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</row>
    <row r="578" spans="1:31" ht="12" customHeight="1">
      <c r="A578" s="108"/>
      <c r="B578" s="109"/>
      <c r="C578" s="109"/>
      <c r="D578" s="109"/>
      <c r="E578" s="112"/>
      <c r="F578" s="112"/>
      <c r="G578" s="109"/>
      <c r="H578" s="109"/>
      <c r="I578" s="109"/>
      <c r="J578" s="111"/>
      <c r="K578" s="268"/>
      <c r="L578" s="112"/>
      <c r="M578" s="112"/>
      <c r="N578" s="112"/>
      <c r="O578" s="112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</row>
    <row r="579" spans="1:31" ht="12" customHeight="1">
      <c r="A579" s="108"/>
      <c r="B579" s="109"/>
      <c r="C579" s="109"/>
      <c r="D579" s="109"/>
      <c r="E579" s="112"/>
      <c r="F579" s="112"/>
      <c r="G579" s="109"/>
      <c r="H579" s="109"/>
      <c r="I579" s="109"/>
      <c r="J579" s="111"/>
      <c r="K579" s="268"/>
      <c r="L579" s="112"/>
      <c r="M579" s="112"/>
      <c r="N579" s="112"/>
      <c r="O579" s="112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</row>
    <row r="580" spans="1:31" ht="12" customHeight="1">
      <c r="A580" s="108"/>
      <c r="B580" s="109"/>
      <c r="C580" s="109"/>
      <c r="D580" s="109"/>
      <c r="E580" s="112"/>
      <c r="F580" s="112"/>
      <c r="G580" s="109"/>
      <c r="H580" s="109"/>
      <c r="I580" s="109"/>
      <c r="J580" s="111"/>
      <c r="K580" s="268"/>
      <c r="L580" s="112"/>
      <c r="M580" s="112"/>
      <c r="N580" s="112"/>
      <c r="O580" s="112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</row>
    <row r="581" spans="1:31" ht="12" customHeight="1">
      <c r="A581" s="108"/>
      <c r="B581" s="109"/>
      <c r="C581" s="109"/>
      <c r="D581" s="109"/>
      <c r="E581" s="112"/>
      <c r="F581" s="112"/>
      <c r="G581" s="109"/>
      <c r="H581" s="109"/>
      <c r="I581" s="109"/>
      <c r="J581" s="111"/>
      <c r="K581" s="268"/>
      <c r="L581" s="112"/>
      <c r="M581" s="112"/>
      <c r="N581" s="112"/>
      <c r="O581" s="112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</row>
    <row r="582" spans="1:31" ht="12" customHeight="1">
      <c r="A582" s="108"/>
      <c r="B582" s="109"/>
      <c r="C582" s="109"/>
      <c r="D582" s="109"/>
      <c r="E582" s="112"/>
      <c r="F582" s="112"/>
      <c r="G582" s="109"/>
      <c r="H582" s="109"/>
      <c r="I582" s="109"/>
      <c r="J582" s="111"/>
      <c r="K582" s="268"/>
      <c r="L582" s="112"/>
      <c r="M582" s="112"/>
      <c r="N582" s="112"/>
      <c r="O582" s="112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</row>
    <row r="583" spans="1:31" ht="12" customHeight="1">
      <c r="A583" s="108"/>
      <c r="B583" s="109"/>
      <c r="C583" s="109"/>
      <c r="D583" s="109"/>
      <c r="E583" s="112"/>
      <c r="F583" s="112"/>
      <c r="G583" s="109"/>
      <c r="H583" s="109"/>
      <c r="I583" s="109"/>
      <c r="J583" s="111"/>
      <c r="K583" s="268"/>
      <c r="L583" s="112"/>
      <c r="M583" s="112"/>
      <c r="N583" s="112"/>
      <c r="O583" s="112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</row>
    <row r="584" spans="1:31" ht="12" customHeight="1">
      <c r="A584" s="108"/>
      <c r="B584" s="109"/>
      <c r="C584" s="109"/>
      <c r="D584" s="109"/>
      <c r="E584" s="112"/>
      <c r="F584" s="112"/>
      <c r="G584" s="109"/>
      <c r="H584" s="109"/>
      <c r="I584" s="109"/>
      <c r="J584" s="111"/>
      <c r="K584" s="268"/>
      <c r="L584" s="112"/>
      <c r="M584" s="112"/>
      <c r="N584" s="112"/>
      <c r="O584" s="112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</row>
    <row r="585" spans="1:31" ht="12" customHeight="1">
      <c r="A585" s="108"/>
      <c r="B585" s="109"/>
      <c r="C585" s="109"/>
      <c r="D585" s="109"/>
      <c r="E585" s="112"/>
      <c r="F585" s="112"/>
      <c r="G585" s="109"/>
      <c r="H585" s="109"/>
      <c r="I585" s="109"/>
      <c r="J585" s="111"/>
      <c r="K585" s="268"/>
      <c r="L585" s="112"/>
      <c r="M585" s="112"/>
      <c r="N585" s="112"/>
      <c r="O585" s="112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</row>
    <row r="586" spans="1:31" ht="12" customHeight="1">
      <c r="A586" s="108"/>
      <c r="B586" s="109"/>
      <c r="C586" s="109"/>
      <c r="D586" s="109"/>
      <c r="E586" s="112"/>
      <c r="F586" s="112"/>
      <c r="G586" s="109"/>
      <c r="H586" s="109"/>
      <c r="I586" s="109"/>
      <c r="J586" s="111"/>
      <c r="K586" s="268"/>
      <c r="L586" s="112"/>
      <c r="M586" s="112"/>
      <c r="N586" s="112"/>
      <c r="O586" s="112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</row>
    <row r="587" spans="1:31" ht="12" customHeight="1">
      <c r="A587" s="108"/>
      <c r="B587" s="109"/>
      <c r="C587" s="109"/>
      <c r="D587" s="109"/>
      <c r="E587" s="112"/>
      <c r="F587" s="112"/>
      <c r="G587" s="109"/>
      <c r="H587" s="109"/>
      <c r="I587" s="109"/>
      <c r="J587" s="111"/>
      <c r="K587" s="268"/>
      <c r="L587" s="112"/>
      <c r="M587" s="112"/>
      <c r="N587" s="112"/>
      <c r="O587" s="112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</row>
    <row r="588" spans="1:31" ht="12" customHeight="1">
      <c r="A588" s="108"/>
      <c r="B588" s="109"/>
      <c r="C588" s="109"/>
      <c r="D588" s="109"/>
      <c r="E588" s="112"/>
      <c r="F588" s="112"/>
      <c r="G588" s="109"/>
      <c r="H588" s="109"/>
      <c r="I588" s="109"/>
      <c r="J588" s="111"/>
      <c r="K588" s="268"/>
      <c r="L588" s="112"/>
      <c r="M588" s="112"/>
      <c r="N588" s="112"/>
      <c r="O588" s="112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</row>
    <row r="589" spans="1:31" ht="12" customHeight="1">
      <c r="A589" s="108"/>
      <c r="B589" s="109"/>
      <c r="C589" s="109"/>
      <c r="D589" s="109"/>
      <c r="E589" s="112"/>
      <c r="F589" s="112"/>
      <c r="G589" s="109"/>
      <c r="H589" s="109"/>
      <c r="I589" s="109"/>
      <c r="J589" s="111"/>
      <c r="K589" s="268"/>
      <c r="L589" s="112"/>
      <c r="M589" s="112"/>
      <c r="N589" s="112"/>
      <c r="O589" s="112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</row>
    <row r="590" spans="1:31" ht="12" customHeight="1">
      <c r="A590" s="108"/>
      <c r="B590" s="109"/>
      <c r="C590" s="109"/>
      <c r="D590" s="109"/>
      <c r="E590" s="112"/>
      <c r="F590" s="112"/>
      <c r="G590" s="109"/>
      <c r="H590" s="109"/>
      <c r="I590" s="109"/>
      <c r="J590" s="111"/>
      <c r="K590" s="268"/>
      <c r="L590" s="112"/>
      <c r="M590" s="112"/>
      <c r="N590" s="112"/>
      <c r="O590" s="112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</row>
    <row r="591" spans="1:31" ht="12" customHeight="1">
      <c r="A591" s="108"/>
      <c r="B591" s="109"/>
      <c r="C591" s="109"/>
      <c r="D591" s="109"/>
      <c r="E591" s="112"/>
      <c r="F591" s="112"/>
      <c r="G591" s="109"/>
      <c r="H591" s="109"/>
      <c r="I591" s="109"/>
      <c r="J591" s="111"/>
      <c r="K591" s="268"/>
      <c r="L591" s="112"/>
      <c r="M591" s="112"/>
      <c r="N591" s="112"/>
      <c r="O591" s="112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</row>
    <row r="592" spans="1:31" ht="12" customHeight="1">
      <c r="A592" s="108"/>
      <c r="B592" s="109"/>
      <c r="C592" s="109"/>
      <c r="D592" s="109"/>
      <c r="E592" s="112"/>
      <c r="F592" s="112"/>
      <c r="G592" s="109"/>
      <c r="H592" s="109"/>
      <c r="I592" s="109"/>
      <c r="J592" s="111"/>
      <c r="K592" s="268"/>
      <c r="L592" s="112"/>
      <c r="M592" s="112"/>
      <c r="N592" s="112"/>
      <c r="O592" s="112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</row>
    <row r="593" spans="1:31" ht="12" customHeight="1">
      <c r="A593" s="108"/>
      <c r="B593" s="109"/>
      <c r="C593" s="109"/>
      <c r="D593" s="109"/>
      <c r="E593" s="112"/>
      <c r="F593" s="112"/>
      <c r="G593" s="109"/>
      <c r="H593" s="109"/>
      <c r="I593" s="109"/>
      <c r="J593" s="111"/>
      <c r="K593" s="268"/>
      <c r="L593" s="112"/>
      <c r="M593" s="112"/>
      <c r="N593" s="112"/>
      <c r="O593" s="112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</row>
    <row r="594" spans="1:31" ht="12" customHeight="1">
      <c r="A594" s="108"/>
      <c r="B594" s="109"/>
      <c r="C594" s="109"/>
      <c r="D594" s="109"/>
      <c r="E594" s="112"/>
      <c r="F594" s="112"/>
      <c r="G594" s="109"/>
      <c r="H594" s="109"/>
      <c r="I594" s="109"/>
      <c r="J594" s="111"/>
      <c r="K594" s="268"/>
      <c r="L594" s="112"/>
      <c r="M594" s="112"/>
      <c r="N594" s="112"/>
      <c r="O594" s="112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</row>
    <row r="595" spans="1:31" ht="12" customHeight="1">
      <c r="A595" s="108"/>
      <c r="B595" s="109"/>
      <c r="C595" s="109"/>
      <c r="D595" s="109"/>
      <c r="E595" s="112"/>
      <c r="F595" s="112"/>
      <c r="G595" s="109"/>
      <c r="H595" s="109"/>
      <c r="I595" s="109"/>
      <c r="J595" s="111"/>
      <c r="K595" s="268"/>
      <c r="L595" s="112"/>
      <c r="M595" s="112"/>
      <c r="N595" s="112"/>
      <c r="O595" s="112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</row>
    <row r="596" spans="1:31" ht="12" customHeight="1">
      <c r="A596" s="108"/>
      <c r="B596" s="109"/>
      <c r="C596" s="109"/>
      <c r="D596" s="109"/>
      <c r="E596" s="112"/>
      <c r="F596" s="112"/>
      <c r="G596" s="109"/>
      <c r="H596" s="109"/>
      <c r="I596" s="109"/>
      <c r="J596" s="111"/>
      <c r="K596" s="268"/>
      <c r="L596" s="112"/>
      <c r="M596" s="112"/>
      <c r="N596" s="112"/>
      <c r="O596" s="112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</row>
    <row r="597" spans="1:31" ht="12" customHeight="1">
      <c r="A597" s="108"/>
      <c r="B597" s="109"/>
      <c r="C597" s="109"/>
      <c r="D597" s="109"/>
      <c r="E597" s="112"/>
      <c r="F597" s="112"/>
      <c r="G597" s="109"/>
      <c r="H597" s="109"/>
      <c r="I597" s="109"/>
      <c r="J597" s="111"/>
      <c r="K597" s="268"/>
      <c r="L597" s="112"/>
      <c r="M597" s="112"/>
      <c r="N597" s="112"/>
      <c r="O597" s="112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</row>
    <row r="598" spans="1:31" ht="12" customHeight="1">
      <c r="A598" s="108"/>
      <c r="B598" s="109"/>
      <c r="C598" s="109"/>
      <c r="D598" s="109"/>
      <c r="E598" s="112"/>
      <c r="F598" s="112"/>
      <c r="G598" s="109"/>
      <c r="H598" s="109"/>
      <c r="I598" s="109"/>
      <c r="J598" s="111"/>
      <c r="K598" s="268"/>
      <c r="L598" s="112"/>
      <c r="M598" s="112"/>
      <c r="N598" s="112"/>
      <c r="O598" s="112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</row>
    <row r="599" spans="1:31" ht="12" customHeight="1">
      <c r="A599" s="108"/>
      <c r="B599" s="109"/>
      <c r="C599" s="109"/>
      <c r="D599" s="109"/>
      <c r="E599" s="112"/>
      <c r="F599" s="112"/>
      <c r="G599" s="109"/>
      <c r="H599" s="109"/>
      <c r="I599" s="109"/>
      <c r="J599" s="111"/>
      <c r="K599" s="268"/>
      <c r="L599" s="112"/>
      <c r="M599" s="112"/>
      <c r="N599" s="112"/>
      <c r="O599" s="112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</row>
    <row r="600" spans="1:31" ht="12" customHeight="1">
      <c r="A600" s="108"/>
      <c r="B600" s="109"/>
      <c r="C600" s="109"/>
      <c r="D600" s="109"/>
      <c r="E600" s="112"/>
      <c r="F600" s="112"/>
      <c r="G600" s="109"/>
      <c r="H600" s="109"/>
      <c r="I600" s="109"/>
      <c r="J600" s="111"/>
      <c r="K600" s="268"/>
      <c r="L600" s="112"/>
      <c r="M600" s="112"/>
      <c r="N600" s="112"/>
      <c r="O600" s="112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</row>
    <row r="601" spans="1:31" ht="12" customHeight="1">
      <c r="A601" s="108"/>
      <c r="B601" s="109"/>
      <c r="C601" s="109"/>
      <c r="D601" s="109"/>
      <c r="E601" s="112"/>
      <c r="F601" s="112"/>
      <c r="G601" s="109"/>
      <c r="H601" s="109"/>
      <c r="I601" s="109"/>
      <c r="J601" s="111"/>
      <c r="K601" s="268"/>
      <c r="L601" s="112"/>
      <c r="M601" s="112"/>
      <c r="N601" s="112"/>
      <c r="O601" s="112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</row>
    <row r="602" spans="1:31" ht="12" customHeight="1">
      <c r="A602" s="108"/>
      <c r="B602" s="109"/>
      <c r="C602" s="109"/>
      <c r="D602" s="109"/>
      <c r="E602" s="112"/>
      <c r="F602" s="112"/>
      <c r="G602" s="109"/>
      <c r="H602" s="109"/>
      <c r="I602" s="109"/>
      <c r="J602" s="111"/>
      <c r="K602" s="268"/>
      <c r="L602" s="112"/>
      <c r="M602" s="112"/>
      <c r="N602" s="112"/>
      <c r="O602" s="112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</row>
    <row r="603" spans="1:31" ht="12" customHeight="1">
      <c r="A603" s="108"/>
      <c r="B603" s="109"/>
      <c r="C603" s="109"/>
      <c r="D603" s="109"/>
      <c r="E603" s="112"/>
      <c r="F603" s="112"/>
      <c r="G603" s="109"/>
      <c r="H603" s="109"/>
      <c r="I603" s="109"/>
      <c r="J603" s="111"/>
      <c r="K603" s="268"/>
      <c r="L603" s="112"/>
      <c r="M603" s="112"/>
      <c r="N603" s="112"/>
      <c r="O603" s="112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</row>
    <row r="604" spans="1:31" ht="12" customHeight="1">
      <c r="A604" s="108"/>
      <c r="B604" s="109"/>
      <c r="C604" s="109"/>
      <c r="D604" s="109"/>
      <c r="E604" s="112"/>
      <c r="F604" s="112"/>
      <c r="G604" s="109"/>
      <c r="H604" s="109"/>
      <c r="I604" s="109"/>
      <c r="J604" s="111"/>
      <c r="K604" s="268"/>
      <c r="L604" s="112"/>
      <c r="M604" s="112"/>
      <c r="N604" s="112"/>
      <c r="O604" s="112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</row>
    <row r="605" spans="1:31" ht="12" customHeight="1">
      <c r="A605" s="108"/>
      <c r="B605" s="109"/>
      <c r="C605" s="109"/>
      <c r="D605" s="109"/>
      <c r="E605" s="112"/>
      <c r="F605" s="112"/>
      <c r="G605" s="109"/>
      <c r="H605" s="109"/>
      <c r="I605" s="109"/>
      <c r="J605" s="111"/>
      <c r="K605" s="268"/>
      <c r="L605" s="112"/>
      <c r="M605" s="112"/>
      <c r="N605" s="112"/>
      <c r="O605" s="112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</row>
    <row r="606" spans="1:31" ht="12" customHeight="1">
      <c r="A606" s="108"/>
      <c r="B606" s="109"/>
      <c r="C606" s="109"/>
      <c r="D606" s="109"/>
      <c r="E606" s="112"/>
      <c r="F606" s="112"/>
      <c r="G606" s="109"/>
      <c r="H606" s="109"/>
      <c r="I606" s="109"/>
      <c r="J606" s="111"/>
      <c r="K606" s="268"/>
      <c r="L606" s="112"/>
      <c r="M606" s="112"/>
      <c r="N606" s="112"/>
      <c r="O606" s="112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</row>
    <row r="607" spans="1:31" ht="12" customHeight="1">
      <c r="A607" s="108"/>
      <c r="B607" s="109"/>
      <c r="C607" s="109"/>
      <c r="D607" s="109"/>
      <c r="E607" s="112"/>
      <c r="F607" s="112"/>
      <c r="G607" s="109"/>
      <c r="H607" s="109"/>
      <c r="I607" s="109"/>
      <c r="J607" s="111"/>
      <c r="K607" s="268"/>
      <c r="L607" s="112"/>
      <c r="M607" s="112"/>
      <c r="N607" s="112"/>
      <c r="O607" s="112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</row>
    <row r="608" spans="1:31" ht="12" customHeight="1">
      <c r="A608" s="108"/>
      <c r="B608" s="109"/>
      <c r="C608" s="109"/>
      <c r="D608" s="109"/>
      <c r="E608" s="112"/>
      <c r="F608" s="112"/>
      <c r="G608" s="109"/>
      <c r="H608" s="109"/>
      <c r="I608" s="109"/>
      <c r="J608" s="111"/>
      <c r="K608" s="268"/>
      <c r="L608" s="112"/>
      <c r="M608" s="112"/>
      <c r="N608" s="112"/>
      <c r="O608" s="112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</row>
    <row r="609" spans="1:31" ht="12" customHeight="1">
      <c r="A609" s="108"/>
      <c r="B609" s="109"/>
      <c r="C609" s="109"/>
      <c r="D609" s="109"/>
      <c r="E609" s="112"/>
      <c r="F609" s="112"/>
      <c r="G609" s="109"/>
      <c r="H609" s="109"/>
      <c r="I609" s="109"/>
      <c r="J609" s="111"/>
      <c r="K609" s="268"/>
      <c r="L609" s="112"/>
      <c r="M609" s="112"/>
      <c r="N609" s="112"/>
      <c r="O609" s="112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</row>
    <row r="610" spans="1:31" ht="12" customHeight="1">
      <c r="A610" s="108"/>
      <c r="B610" s="109"/>
      <c r="C610" s="109"/>
      <c r="D610" s="109"/>
      <c r="E610" s="112"/>
      <c r="F610" s="112"/>
      <c r="G610" s="109"/>
      <c r="H610" s="109"/>
      <c r="I610" s="109"/>
      <c r="J610" s="111"/>
      <c r="K610" s="268"/>
      <c r="L610" s="112"/>
      <c r="M610" s="112"/>
      <c r="N610" s="112"/>
      <c r="O610" s="112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</row>
    <row r="611" spans="1:31" ht="12" customHeight="1">
      <c r="A611" s="108"/>
      <c r="B611" s="109"/>
      <c r="C611" s="109"/>
      <c r="D611" s="109"/>
      <c r="E611" s="112"/>
      <c r="F611" s="112"/>
      <c r="G611" s="109"/>
      <c r="H611" s="109"/>
      <c r="I611" s="109"/>
      <c r="J611" s="111"/>
      <c r="K611" s="268"/>
      <c r="L611" s="112"/>
      <c r="M611" s="112"/>
      <c r="N611" s="112"/>
      <c r="O611" s="112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</row>
    <row r="612" spans="1:31" ht="12" customHeight="1">
      <c r="A612" s="108"/>
      <c r="B612" s="109"/>
      <c r="C612" s="109"/>
      <c r="D612" s="109"/>
      <c r="E612" s="112"/>
      <c r="F612" s="112"/>
      <c r="G612" s="109"/>
      <c r="H612" s="109"/>
      <c r="I612" s="109"/>
      <c r="J612" s="111"/>
      <c r="K612" s="268"/>
      <c r="L612" s="112"/>
      <c r="M612" s="112"/>
      <c r="N612" s="112"/>
      <c r="O612" s="112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</row>
    <row r="613" spans="1:31" ht="12" customHeight="1">
      <c r="A613" s="108"/>
      <c r="B613" s="109"/>
      <c r="C613" s="109"/>
      <c r="D613" s="109"/>
      <c r="E613" s="112"/>
      <c r="F613" s="112"/>
      <c r="G613" s="109"/>
      <c r="H613" s="109"/>
      <c r="I613" s="109"/>
      <c r="J613" s="111"/>
      <c r="K613" s="268"/>
      <c r="L613" s="112"/>
      <c r="M613" s="112"/>
      <c r="N613" s="112"/>
      <c r="O613" s="112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</row>
    <row r="614" spans="1:31" ht="12" customHeight="1">
      <c r="A614" s="108"/>
      <c r="B614" s="109"/>
      <c r="C614" s="109"/>
      <c r="D614" s="109"/>
      <c r="E614" s="112"/>
      <c r="F614" s="112"/>
      <c r="G614" s="109"/>
      <c r="H614" s="109"/>
      <c r="I614" s="109"/>
      <c r="J614" s="111"/>
      <c r="K614" s="268"/>
      <c r="L614" s="112"/>
      <c r="M614" s="112"/>
      <c r="N614" s="112"/>
      <c r="O614" s="112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</row>
    <row r="615" spans="1:31" ht="12" customHeight="1">
      <c r="A615" s="108"/>
      <c r="B615" s="109"/>
      <c r="C615" s="109"/>
      <c r="D615" s="109"/>
      <c r="E615" s="112"/>
      <c r="F615" s="112"/>
      <c r="G615" s="109"/>
      <c r="H615" s="109"/>
      <c r="I615" s="109"/>
      <c r="J615" s="111"/>
      <c r="K615" s="268"/>
      <c r="L615" s="112"/>
      <c r="M615" s="112"/>
      <c r="N615" s="112"/>
      <c r="O615" s="112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</row>
    <row r="616" spans="1:31" ht="12" customHeight="1">
      <c r="A616" s="108"/>
      <c r="B616" s="109"/>
      <c r="C616" s="109"/>
      <c r="D616" s="109"/>
      <c r="E616" s="112"/>
      <c r="F616" s="112"/>
      <c r="G616" s="109"/>
      <c r="H616" s="109"/>
      <c r="I616" s="109"/>
      <c r="J616" s="111"/>
      <c r="K616" s="268"/>
      <c r="L616" s="112"/>
      <c r="M616" s="112"/>
      <c r="N616" s="112"/>
      <c r="O616" s="112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</row>
    <row r="617" spans="1:31" ht="12" customHeight="1">
      <c r="A617" s="108"/>
      <c r="B617" s="109"/>
      <c r="C617" s="109"/>
      <c r="D617" s="109"/>
      <c r="E617" s="112"/>
      <c r="F617" s="112"/>
      <c r="G617" s="109"/>
      <c r="H617" s="109"/>
      <c r="I617" s="109"/>
      <c r="J617" s="111"/>
      <c r="K617" s="268"/>
      <c r="L617" s="112"/>
      <c r="M617" s="112"/>
      <c r="N617" s="112"/>
      <c r="O617" s="112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</row>
    <row r="618" spans="1:31" ht="12" customHeight="1">
      <c r="A618" s="108"/>
      <c r="B618" s="109"/>
      <c r="C618" s="109"/>
      <c r="D618" s="109"/>
      <c r="E618" s="112"/>
      <c r="F618" s="112"/>
      <c r="G618" s="109"/>
      <c r="H618" s="109"/>
      <c r="I618" s="109"/>
      <c r="J618" s="111"/>
      <c r="K618" s="268"/>
      <c r="L618" s="112"/>
      <c r="M618" s="112"/>
      <c r="N618" s="112"/>
      <c r="O618" s="112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</row>
    <row r="619" spans="1:31" ht="12" customHeight="1">
      <c r="A619" s="108"/>
      <c r="B619" s="109"/>
      <c r="C619" s="109"/>
      <c r="D619" s="109"/>
      <c r="E619" s="112"/>
      <c r="F619" s="112"/>
      <c r="G619" s="109"/>
      <c r="H619" s="109"/>
      <c r="I619" s="109"/>
      <c r="J619" s="111"/>
      <c r="K619" s="268"/>
      <c r="L619" s="112"/>
      <c r="M619" s="112"/>
      <c r="N619" s="112"/>
      <c r="O619" s="112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</row>
    <row r="620" spans="1:31" ht="12" customHeight="1">
      <c r="A620" s="108"/>
      <c r="B620" s="109"/>
      <c r="C620" s="109"/>
      <c r="D620" s="109"/>
      <c r="E620" s="112"/>
      <c r="F620" s="112"/>
      <c r="G620" s="109"/>
      <c r="H620" s="109"/>
      <c r="I620" s="109"/>
      <c r="J620" s="111"/>
      <c r="K620" s="268"/>
      <c r="L620" s="112"/>
      <c r="M620" s="112"/>
      <c r="N620" s="112"/>
      <c r="O620" s="112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</row>
    <row r="621" spans="1:31" ht="12" customHeight="1">
      <c r="A621" s="108"/>
      <c r="B621" s="109"/>
      <c r="C621" s="109"/>
      <c r="D621" s="109"/>
      <c r="E621" s="112"/>
      <c r="F621" s="112"/>
      <c r="G621" s="109"/>
      <c r="H621" s="109"/>
      <c r="I621" s="109"/>
      <c r="J621" s="111"/>
      <c r="K621" s="268"/>
      <c r="L621" s="112"/>
      <c r="M621" s="112"/>
      <c r="N621" s="112"/>
      <c r="O621" s="112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</row>
    <row r="622" spans="1:31" ht="12" customHeight="1">
      <c r="A622" s="108"/>
      <c r="B622" s="109"/>
      <c r="C622" s="109"/>
      <c r="D622" s="109"/>
      <c r="E622" s="112"/>
      <c r="F622" s="112"/>
      <c r="G622" s="109"/>
      <c r="H622" s="109"/>
      <c r="I622" s="109"/>
      <c r="J622" s="111"/>
      <c r="K622" s="268"/>
      <c r="L622" s="112"/>
      <c r="M622" s="112"/>
      <c r="N622" s="112"/>
      <c r="O622" s="112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</row>
    <row r="623" spans="1:31" ht="12" customHeight="1">
      <c r="A623" s="108"/>
      <c r="B623" s="109"/>
      <c r="C623" s="109"/>
      <c r="D623" s="109"/>
      <c r="E623" s="112"/>
      <c r="F623" s="112"/>
      <c r="G623" s="109"/>
      <c r="H623" s="109"/>
      <c r="I623" s="109"/>
      <c r="J623" s="111"/>
      <c r="K623" s="268"/>
      <c r="L623" s="112"/>
      <c r="M623" s="112"/>
      <c r="N623" s="112"/>
      <c r="O623" s="112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</row>
    <row r="624" spans="1:31" ht="12" customHeight="1">
      <c r="A624" s="108"/>
      <c r="B624" s="109"/>
      <c r="C624" s="109"/>
      <c r="D624" s="109"/>
      <c r="E624" s="112"/>
      <c r="F624" s="112"/>
      <c r="G624" s="109"/>
      <c r="H624" s="109"/>
      <c r="I624" s="109"/>
      <c r="J624" s="111"/>
      <c r="K624" s="268"/>
      <c r="L624" s="112"/>
      <c r="M624" s="112"/>
      <c r="N624" s="112"/>
      <c r="O624" s="112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</row>
    <row r="625" spans="1:31" ht="12" customHeight="1">
      <c r="A625" s="108"/>
      <c r="B625" s="109"/>
      <c r="C625" s="109"/>
      <c r="D625" s="109"/>
      <c r="E625" s="112"/>
      <c r="F625" s="112"/>
      <c r="G625" s="109"/>
      <c r="H625" s="109"/>
      <c r="I625" s="109"/>
      <c r="J625" s="111"/>
      <c r="K625" s="268"/>
      <c r="L625" s="112"/>
      <c r="M625" s="112"/>
      <c r="N625" s="112"/>
      <c r="O625" s="112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</row>
    <row r="626" spans="1:31" ht="12" customHeight="1">
      <c r="A626" s="108"/>
      <c r="B626" s="109"/>
      <c r="C626" s="109"/>
      <c r="D626" s="109"/>
      <c r="E626" s="112"/>
      <c r="F626" s="112"/>
      <c r="G626" s="109"/>
      <c r="H626" s="109"/>
      <c r="I626" s="109"/>
      <c r="J626" s="111"/>
      <c r="K626" s="268"/>
      <c r="L626" s="112"/>
      <c r="M626" s="112"/>
      <c r="N626" s="112"/>
      <c r="O626" s="112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</row>
    <row r="627" spans="1:31" ht="12" customHeight="1">
      <c r="A627" s="108"/>
      <c r="B627" s="109"/>
      <c r="C627" s="109"/>
      <c r="D627" s="109"/>
      <c r="E627" s="112"/>
      <c r="F627" s="112"/>
      <c r="G627" s="109"/>
      <c r="H627" s="109"/>
      <c r="I627" s="109"/>
      <c r="J627" s="111"/>
      <c r="K627" s="268"/>
      <c r="L627" s="112"/>
      <c r="M627" s="112"/>
      <c r="N627" s="112"/>
      <c r="O627" s="112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</row>
    <row r="628" spans="1:31" ht="12" customHeight="1">
      <c r="A628" s="108"/>
      <c r="B628" s="109"/>
      <c r="C628" s="109"/>
      <c r="D628" s="109"/>
      <c r="E628" s="112"/>
      <c r="F628" s="112"/>
      <c r="G628" s="109"/>
      <c r="H628" s="109"/>
      <c r="I628" s="109"/>
      <c r="J628" s="111"/>
      <c r="K628" s="268"/>
      <c r="L628" s="112"/>
      <c r="M628" s="112"/>
      <c r="N628" s="112"/>
      <c r="O628" s="112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</row>
    <row r="629" spans="1:31" ht="12" customHeight="1">
      <c r="A629" s="108"/>
      <c r="B629" s="109"/>
      <c r="C629" s="109"/>
      <c r="D629" s="109"/>
      <c r="E629" s="112"/>
      <c r="F629" s="112"/>
      <c r="G629" s="109"/>
      <c r="H629" s="109"/>
      <c r="I629" s="109"/>
      <c r="J629" s="111"/>
      <c r="K629" s="268"/>
      <c r="L629" s="112"/>
      <c r="M629" s="112"/>
      <c r="N629" s="112"/>
      <c r="O629" s="112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</row>
    <row r="630" spans="1:31" ht="12" customHeight="1">
      <c r="A630" s="108"/>
      <c r="B630" s="109"/>
      <c r="C630" s="109"/>
      <c r="D630" s="109"/>
      <c r="E630" s="112"/>
      <c r="F630" s="112"/>
      <c r="G630" s="109"/>
      <c r="H630" s="109"/>
      <c r="I630" s="109"/>
      <c r="J630" s="111"/>
      <c r="K630" s="268"/>
      <c r="L630" s="112"/>
      <c r="M630" s="112"/>
      <c r="N630" s="112"/>
      <c r="O630" s="112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</row>
    <row r="631" spans="1:31" ht="12" customHeight="1">
      <c r="A631" s="108"/>
      <c r="B631" s="109"/>
      <c r="C631" s="109"/>
      <c r="D631" s="109"/>
      <c r="E631" s="112"/>
      <c r="F631" s="112"/>
      <c r="G631" s="109"/>
      <c r="H631" s="109"/>
      <c r="I631" s="109"/>
      <c r="J631" s="111"/>
      <c r="K631" s="268"/>
      <c r="L631" s="112"/>
      <c r="M631" s="112"/>
      <c r="N631" s="112"/>
      <c r="O631" s="112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</row>
    <row r="632" spans="1:31" ht="12" customHeight="1">
      <c r="A632" s="108"/>
      <c r="B632" s="109"/>
      <c r="C632" s="109"/>
      <c r="D632" s="109"/>
      <c r="E632" s="112"/>
      <c r="F632" s="112"/>
      <c r="G632" s="109"/>
      <c r="H632" s="109"/>
      <c r="I632" s="109"/>
      <c r="J632" s="111"/>
      <c r="K632" s="268"/>
      <c r="L632" s="112"/>
      <c r="M632" s="112"/>
      <c r="N632" s="112"/>
      <c r="O632" s="112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</row>
    <row r="633" spans="1:31" ht="12" customHeight="1">
      <c r="A633" s="108"/>
      <c r="B633" s="109"/>
      <c r="C633" s="109"/>
      <c r="D633" s="109"/>
      <c r="E633" s="112"/>
      <c r="F633" s="112"/>
      <c r="G633" s="109"/>
      <c r="H633" s="109"/>
      <c r="I633" s="109"/>
      <c r="J633" s="111"/>
      <c r="K633" s="268"/>
      <c r="L633" s="112"/>
      <c r="M633" s="112"/>
      <c r="N633" s="112"/>
      <c r="O633" s="112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</row>
    <row r="634" spans="1:31" ht="12" customHeight="1">
      <c r="A634" s="108"/>
      <c r="B634" s="109"/>
      <c r="C634" s="109"/>
      <c r="D634" s="109"/>
      <c r="E634" s="112"/>
      <c r="F634" s="112"/>
      <c r="G634" s="109"/>
      <c r="H634" s="109"/>
      <c r="I634" s="109"/>
      <c r="J634" s="111"/>
      <c r="K634" s="268"/>
      <c r="L634" s="112"/>
      <c r="M634" s="112"/>
      <c r="N634" s="112"/>
      <c r="O634" s="112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</row>
    <row r="635" spans="1:31" ht="12" customHeight="1">
      <c r="A635" s="108"/>
      <c r="B635" s="109"/>
      <c r="C635" s="109"/>
      <c r="D635" s="109"/>
      <c r="E635" s="112"/>
      <c r="F635" s="112"/>
      <c r="G635" s="109"/>
      <c r="H635" s="109"/>
      <c r="I635" s="109"/>
      <c r="J635" s="111"/>
      <c r="K635" s="268"/>
      <c r="L635" s="112"/>
      <c r="M635" s="112"/>
      <c r="N635" s="112"/>
      <c r="O635" s="112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</row>
    <row r="636" spans="1:31" ht="12" customHeight="1">
      <c r="A636" s="108"/>
      <c r="B636" s="109"/>
      <c r="C636" s="109"/>
      <c r="D636" s="109"/>
      <c r="E636" s="112"/>
      <c r="F636" s="112"/>
      <c r="G636" s="109"/>
      <c r="H636" s="109"/>
      <c r="I636" s="109"/>
      <c r="J636" s="111"/>
      <c r="K636" s="268"/>
      <c r="L636" s="112"/>
      <c r="M636" s="112"/>
      <c r="N636" s="112"/>
      <c r="O636" s="112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</row>
    <row r="637" spans="1:31" ht="12" customHeight="1">
      <c r="A637" s="108"/>
      <c r="B637" s="109"/>
      <c r="C637" s="109"/>
      <c r="D637" s="109"/>
      <c r="E637" s="112"/>
      <c r="F637" s="112"/>
      <c r="G637" s="109"/>
      <c r="H637" s="109"/>
      <c r="I637" s="109"/>
      <c r="J637" s="111"/>
      <c r="K637" s="268"/>
      <c r="L637" s="112"/>
      <c r="M637" s="112"/>
      <c r="N637" s="112"/>
      <c r="O637" s="112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</row>
    <row r="638" spans="1:31" ht="12" customHeight="1">
      <c r="A638" s="108"/>
      <c r="B638" s="109"/>
      <c r="C638" s="109"/>
      <c r="D638" s="109"/>
      <c r="E638" s="112"/>
      <c r="F638" s="112"/>
      <c r="G638" s="109"/>
      <c r="H638" s="109"/>
      <c r="I638" s="109"/>
      <c r="J638" s="111"/>
      <c r="K638" s="268"/>
      <c r="L638" s="112"/>
      <c r="M638" s="112"/>
      <c r="N638" s="112"/>
      <c r="O638" s="112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</row>
    <row r="639" spans="1:31" ht="12" customHeight="1">
      <c r="A639" s="108"/>
      <c r="B639" s="109"/>
      <c r="C639" s="109"/>
      <c r="D639" s="109"/>
      <c r="E639" s="112"/>
      <c r="F639" s="112"/>
      <c r="G639" s="109"/>
      <c r="H639" s="109"/>
      <c r="I639" s="109"/>
      <c r="J639" s="111"/>
      <c r="K639" s="268"/>
      <c r="L639" s="112"/>
      <c r="M639" s="112"/>
      <c r="N639" s="112"/>
      <c r="O639" s="112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</row>
    <row r="640" spans="1:31" ht="12" customHeight="1">
      <c r="A640" s="108"/>
      <c r="B640" s="109"/>
      <c r="C640" s="109"/>
      <c r="D640" s="109"/>
      <c r="E640" s="112"/>
      <c r="F640" s="112"/>
      <c r="G640" s="109"/>
      <c r="H640" s="109"/>
      <c r="I640" s="109"/>
      <c r="J640" s="111"/>
      <c r="K640" s="268"/>
      <c r="L640" s="112"/>
      <c r="M640" s="112"/>
      <c r="N640" s="112"/>
      <c r="O640" s="112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</row>
    <row r="641" spans="1:31" ht="12" customHeight="1">
      <c r="A641" s="108"/>
      <c r="B641" s="109"/>
      <c r="C641" s="109"/>
      <c r="D641" s="109"/>
      <c r="E641" s="112"/>
      <c r="F641" s="112"/>
      <c r="G641" s="109"/>
      <c r="H641" s="109"/>
      <c r="I641" s="109"/>
      <c r="J641" s="111"/>
      <c r="K641" s="268"/>
      <c r="L641" s="112"/>
      <c r="M641" s="112"/>
      <c r="N641" s="112"/>
      <c r="O641" s="112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</row>
    <row r="642" spans="1:31" ht="12" customHeight="1">
      <c r="A642" s="108"/>
      <c r="B642" s="109"/>
      <c r="C642" s="109"/>
      <c r="D642" s="109"/>
      <c r="E642" s="112"/>
      <c r="F642" s="112"/>
      <c r="G642" s="109"/>
      <c r="H642" s="109"/>
      <c r="I642" s="109"/>
      <c r="J642" s="111"/>
      <c r="K642" s="268"/>
      <c r="L642" s="112"/>
      <c r="M642" s="112"/>
      <c r="N642" s="112"/>
      <c r="O642" s="112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</row>
    <row r="643" spans="1:31" ht="12" customHeight="1">
      <c r="A643" s="108"/>
      <c r="B643" s="109"/>
      <c r="C643" s="109"/>
      <c r="D643" s="109"/>
      <c r="E643" s="112"/>
      <c r="F643" s="112"/>
      <c r="G643" s="109"/>
      <c r="H643" s="109"/>
      <c r="I643" s="109"/>
      <c r="J643" s="111"/>
      <c r="K643" s="268"/>
      <c r="L643" s="112"/>
      <c r="M643" s="112"/>
      <c r="N643" s="112"/>
      <c r="O643" s="112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</row>
    <row r="644" spans="1:31" ht="12" customHeight="1">
      <c r="A644" s="108"/>
      <c r="B644" s="109"/>
      <c r="C644" s="109"/>
      <c r="D644" s="109"/>
      <c r="E644" s="112"/>
      <c r="F644" s="112"/>
      <c r="G644" s="109"/>
      <c r="H644" s="109"/>
      <c r="I644" s="109"/>
      <c r="J644" s="111"/>
      <c r="K644" s="268"/>
      <c r="L644" s="112"/>
      <c r="M644" s="112"/>
      <c r="N644" s="112"/>
      <c r="O644" s="112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</row>
    <row r="645" spans="1:31" ht="12" customHeight="1">
      <c r="A645" s="108"/>
      <c r="B645" s="109"/>
      <c r="C645" s="109"/>
      <c r="D645" s="109"/>
      <c r="E645" s="112"/>
      <c r="F645" s="112"/>
      <c r="G645" s="109"/>
      <c r="H645" s="109"/>
      <c r="I645" s="109"/>
      <c r="J645" s="111"/>
      <c r="K645" s="268"/>
      <c r="L645" s="112"/>
      <c r="M645" s="112"/>
      <c r="N645" s="112"/>
      <c r="O645" s="112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</row>
    <row r="646" spans="1:31" ht="12" customHeight="1">
      <c r="A646" s="108"/>
      <c r="B646" s="109"/>
      <c r="C646" s="109"/>
      <c r="D646" s="109"/>
      <c r="E646" s="112"/>
      <c r="F646" s="112"/>
      <c r="G646" s="109"/>
      <c r="H646" s="109"/>
      <c r="I646" s="109"/>
      <c r="J646" s="111"/>
      <c r="K646" s="268"/>
      <c r="L646" s="112"/>
      <c r="M646" s="112"/>
      <c r="N646" s="112"/>
      <c r="O646" s="112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</row>
    <row r="647" spans="1:31" ht="12" customHeight="1">
      <c r="A647" s="108"/>
      <c r="B647" s="109"/>
      <c r="C647" s="109"/>
      <c r="D647" s="109"/>
      <c r="E647" s="112"/>
      <c r="F647" s="112"/>
      <c r="G647" s="109"/>
      <c r="H647" s="109"/>
      <c r="I647" s="109"/>
      <c r="J647" s="111"/>
      <c r="K647" s="268"/>
      <c r="L647" s="112"/>
      <c r="M647" s="112"/>
      <c r="N647" s="112"/>
      <c r="O647" s="112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</row>
    <row r="648" spans="1:31" ht="12" customHeight="1">
      <c r="A648" s="108"/>
      <c r="B648" s="109"/>
      <c r="C648" s="109"/>
      <c r="D648" s="109"/>
      <c r="E648" s="112"/>
      <c r="F648" s="112"/>
      <c r="G648" s="109"/>
      <c r="H648" s="109"/>
      <c r="I648" s="109"/>
      <c r="J648" s="111"/>
      <c r="K648" s="268"/>
      <c r="L648" s="112"/>
      <c r="M648" s="112"/>
      <c r="N648" s="112"/>
      <c r="O648" s="112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</row>
    <row r="649" spans="1:31" ht="12" customHeight="1">
      <c r="A649" s="108"/>
      <c r="B649" s="109"/>
      <c r="C649" s="109"/>
      <c r="D649" s="109"/>
      <c r="E649" s="112"/>
      <c r="F649" s="112"/>
      <c r="G649" s="109"/>
      <c r="H649" s="109"/>
      <c r="I649" s="109"/>
      <c r="J649" s="111"/>
      <c r="K649" s="268"/>
      <c r="L649" s="112"/>
      <c r="M649" s="112"/>
      <c r="N649" s="112"/>
      <c r="O649" s="112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</row>
    <row r="650" spans="1:31" ht="12" customHeight="1">
      <c r="A650" s="108"/>
      <c r="B650" s="109"/>
      <c r="C650" s="109"/>
      <c r="D650" s="109"/>
      <c r="E650" s="112"/>
      <c r="F650" s="112"/>
      <c r="G650" s="109"/>
      <c r="H650" s="109"/>
      <c r="I650" s="109"/>
      <c r="J650" s="111"/>
      <c r="K650" s="268"/>
      <c r="L650" s="112"/>
      <c r="M650" s="112"/>
      <c r="N650" s="112"/>
      <c r="O650" s="112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</row>
    <row r="651" spans="1:31" ht="12" customHeight="1">
      <c r="A651" s="108"/>
      <c r="B651" s="109"/>
      <c r="C651" s="109"/>
      <c r="D651" s="109"/>
      <c r="E651" s="112"/>
      <c r="F651" s="112"/>
      <c r="G651" s="109"/>
      <c r="H651" s="109"/>
      <c r="I651" s="109"/>
      <c r="J651" s="111"/>
      <c r="K651" s="268"/>
      <c r="L651" s="112"/>
      <c r="M651" s="112"/>
      <c r="N651" s="112"/>
      <c r="O651" s="112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</row>
    <row r="652" spans="1:31" ht="12" customHeight="1">
      <c r="A652" s="108"/>
      <c r="B652" s="109"/>
      <c r="C652" s="109"/>
      <c r="D652" s="109"/>
      <c r="E652" s="112"/>
      <c r="F652" s="112"/>
      <c r="G652" s="109"/>
      <c r="H652" s="109"/>
      <c r="I652" s="109"/>
      <c r="J652" s="111"/>
      <c r="K652" s="268"/>
      <c r="L652" s="112"/>
      <c r="M652" s="112"/>
      <c r="N652" s="112"/>
      <c r="O652" s="112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</row>
    <row r="653" spans="1:31" ht="12" customHeight="1">
      <c r="A653" s="108"/>
      <c r="B653" s="109"/>
      <c r="C653" s="109"/>
      <c r="D653" s="109"/>
      <c r="E653" s="112"/>
      <c r="F653" s="112"/>
      <c r="G653" s="109"/>
      <c r="H653" s="109"/>
      <c r="I653" s="109"/>
      <c r="J653" s="111"/>
      <c r="K653" s="268"/>
      <c r="L653" s="112"/>
      <c r="M653" s="112"/>
      <c r="N653" s="112"/>
      <c r="O653" s="112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</row>
    <row r="654" spans="1:31" ht="12" customHeight="1">
      <c r="A654" s="108"/>
      <c r="B654" s="109"/>
      <c r="C654" s="109"/>
      <c r="D654" s="109"/>
      <c r="E654" s="112"/>
      <c r="F654" s="112"/>
      <c r="G654" s="109"/>
      <c r="H654" s="109"/>
      <c r="I654" s="109"/>
      <c r="J654" s="111"/>
      <c r="K654" s="268"/>
      <c r="L654" s="112"/>
      <c r="M654" s="112"/>
      <c r="N654" s="112"/>
      <c r="O654" s="112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</row>
    <row r="655" spans="1:31" ht="12" customHeight="1">
      <c r="A655" s="108"/>
      <c r="B655" s="109"/>
      <c r="C655" s="109"/>
      <c r="D655" s="109"/>
      <c r="E655" s="112"/>
      <c r="F655" s="112"/>
      <c r="G655" s="109"/>
      <c r="H655" s="109"/>
      <c r="I655" s="109"/>
      <c r="J655" s="111"/>
      <c r="K655" s="268"/>
      <c r="L655" s="112"/>
      <c r="M655" s="112"/>
      <c r="N655" s="112"/>
      <c r="O655" s="112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</row>
    <row r="656" spans="1:31" ht="12" customHeight="1">
      <c r="A656" s="108"/>
      <c r="B656" s="109"/>
      <c r="C656" s="109"/>
      <c r="D656" s="109"/>
      <c r="E656" s="112"/>
      <c r="F656" s="112"/>
      <c r="G656" s="109"/>
      <c r="H656" s="109"/>
      <c r="I656" s="109"/>
      <c r="J656" s="111"/>
      <c r="K656" s="268"/>
      <c r="L656" s="112"/>
      <c r="M656" s="112"/>
      <c r="N656" s="112"/>
      <c r="O656" s="112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</row>
    <row r="657" spans="1:31" ht="12" customHeight="1">
      <c r="A657" s="108"/>
      <c r="B657" s="109"/>
      <c r="C657" s="109"/>
      <c r="D657" s="109"/>
      <c r="E657" s="112"/>
      <c r="F657" s="112"/>
      <c r="G657" s="109"/>
      <c r="H657" s="109"/>
      <c r="I657" s="109"/>
      <c r="J657" s="111"/>
      <c r="K657" s="268"/>
      <c r="L657" s="112"/>
      <c r="M657" s="112"/>
      <c r="N657" s="112"/>
      <c r="O657" s="112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</row>
    <row r="658" spans="1:31" ht="12" customHeight="1">
      <c r="A658" s="108"/>
      <c r="B658" s="109"/>
      <c r="C658" s="109"/>
      <c r="D658" s="109"/>
      <c r="E658" s="112"/>
      <c r="F658" s="112"/>
      <c r="G658" s="109"/>
      <c r="H658" s="109"/>
      <c r="I658" s="109"/>
      <c r="J658" s="111"/>
      <c r="K658" s="268"/>
      <c r="L658" s="112"/>
      <c r="M658" s="112"/>
      <c r="N658" s="112"/>
      <c r="O658" s="112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</row>
    <row r="659" spans="1:31" ht="12" customHeight="1">
      <c r="A659" s="108"/>
      <c r="B659" s="109"/>
      <c r="C659" s="109"/>
      <c r="D659" s="109"/>
      <c r="E659" s="112"/>
      <c r="F659" s="112"/>
      <c r="G659" s="109"/>
      <c r="H659" s="109"/>
      <c r="I659" s="109"/>
      <c r="J659" s="111"/>
      <c r="K659" s="268"/>
      <c r="L659" s="112"/>
      <c r="M659" s="112"/>
      <c r="N659" s="112"/>
      <c r="O659" s="112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</row>
    <row r="660" spans="1:31" ht="12" customHeight="1">
      <c r="A660" s="108"/>
      <c r="B660" s="109"/>
      <c r="C660" s="109"/>
      <c r="D660" s="109"/>
      <c r="E660" s="112"/>
      <c r="F660" s="112"/>
      <c r="G660" s="109"/>
      <c r="H660" s="109"/>
      <c r="I660" s="109"/>
      <c r="J660" s="111"/>
      <c r="K660" s="268"/>
      <c r="L660" s="112"/>
      <c r="M660" s="112"/>
      <c r="N660" s="112"/>
      <c r="O660" s="112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</row>
    <row r="661" spans="1:31" ht="12" customHeight="1">
      <c r="A661" s="108"/>
      <c r="B661" s="109"/>
      <c r="C661" s="109"/>
      <c r="D661" s="109"/>
      <c r="E661" s="112"/>
      <c r="F661" s="112"/>
      <c r="G661" s="109"/>
      <c r="H661" s="109"/>
      <c r="I661" s="109"/>
      <c r="J661" s="111"/>
      <c r="K661" s="268"/>
      <c r="L661" s="112"/>
      <c r="M661" s="112"/>
      <c r="N661" s="112"/>
      <c r="O661" s="112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</row>
    <row r="662" spans="1:31" ht="12" customHeight="1">
      <c r="A662" s="108"/>
      <c r="B662" s="109"/>
      <c r="C662" s="109"/>
      <c r="D662" s="109"/>
      <c r="E662" s="112"/>
      <c r="F662" s="112"/>
      <c r="G662" s="109"/>
      <c r="H662" s="109"/>
      <c r="I662" s="109"/>
      <c r="J662" s="111"/>
      <c r="K662" s="268"/>
      <c r="L662" s="112"/>
      <c r="M662" s="112"/>
      <c r="N662" s="112"/>
      <c r="O662" s="112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</row>
    <row r="663" spans="1:31" ht="12" customHeight="1">
      <c r="A663" s="108"/>
      <c r="B663" s="109"/>
      <c r="C663" s="109"/>
      <c r="D663" s="109"/>
      <c r="E663" s="112"/>
      <c r="F663" s="112"/>
      <c r="G663" s="109"/>
      <c r="H663" s="109"/>
      <c r="I663" s="109"/>
      <c r="J663" s="111"/>
      <c r="K663" s="268"/>
      <c r="L663" s="112"/>
      <c r="M663" s="112"/>
      <c r="N663" s="112"/>
      <c r="O663" s="112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</row>
    <row r="664" spans="1:31" ht="12" customHeight="1">
      <c r="A664" s="108"/>
      <c r="B664" s="109"/>
      <c r="C664" s="109"/>
      <c r="D664" s="109"/>
      <c r="E664" s="112"/>
      <c r="F664" s="112"/>
      <c r="G664" s="109"/>
      <c r="H664" s="109"/>
      <c r="I664" s="109"/>
      <c r="J664" s="111"/>
      <c r="K664" s="268"/>
      <c r="L664" s="112"/>
      <c r="M664" s="112"/>
      <c r="N664" s="112"/>
      <c r="O664" s="112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</row>
    <row r="665" spans="1:31" ht="12" customHeight="1">
      <c r="A665" s="108"/>
      <c r="B665" s="109"/>
      <c r="C665" s="109"/>
      <c r="D665" s="109"/>
      <c r="E665" s="112"/>
      <c r="F665" s="112"/>
      <c r="G665" s="109"/>
      <c r="H665" s="109"/>
      <c r="I665" s="109"/>
      <c r="J665" s="111"/>
      <c r="K665" s="268"/>
      <c r="L665" s="112"/>
      <c r="M665" s="112"/>
      <c r="N665" s="112"/>
      <c r="O665" s="112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</row>
    <row r="666" spans="1:31" ht="12" customHeight="1">
      <c r="A666" s="108"/>
      <c r="B666" s="109"/>
      <c r="C666" s="109"/>
      <c r="D666" s="109"/>
      <c r="E666" s="112"/>
      <c r="F666" s="112"/>
      <c r="G666" s="109"/>
      <c r="H666" s="109"/>
      <c r="I666" s="109"/>
      <c r="J666" s="111"/>
      <c r="K666" s="268"/>
      <c r="L666" s="112"/>
      <c r="M666" s="112"/>
      <c r="N666" s="112"/>
      <c r="O666" s="112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</row>
    <row r="667" spans="1:31" ht="12" customHeight="1">
      <c r="A667" s="108"/>
      <c r="B667" s="109"/>
      <c r="C667" s="109"/>
      <c r="D667" s="109"/>
      <c r="E667" s="112"/>
      <c r="F667" s="112"/>
      <c r="G667" s="109"/>
      <c r="H667" s="109"/>
      <c r="I667" s="109"/>
      <c r="J667" s="111"/>
      <c r="K667" s="268"/>
      <c r="L667" s="112"/>
      <c r="M667" s="112"/>
      <c r="N667" s="112"/>
      <c r="O667" s="112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</row>
    <row r="668" spans="1:31" ht="12" customHeight="1">
      <c r="A668" s="108"/>
      <c r="B668" s="109"/>
      <c r="C668" s="109"/>
      <c r="D668" s="109"/>
      <c r="E668" s="112"/>
      <c r="F668" s="112"/>
      <c r="G668" s="109"/>
      <c r="H668" s="109"/>
      <c r="I668" s="109"/>
      <c r="J668" s="111"/>
      <c r="K668" s="268"/>
      <c r="L668" s="112"/>
      <c r="M668" s="112"/>
      <c r="N668" s="112"/>
      <c r="O668" s="112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</row>
    <row r="669" spans="1:31" ht="12" customHeight="1">
      <c r="A669" s="108"/>
      <c r="B669" s="109"/>
      <c r="C669" s="109"/>
      <c r="D669" s="109"/>
      <c r="E669" s="112"/>
      <c r="F669" s="112"/>
      <c r="G669" s="109"/>
      <c r="H669" s="109"/>
      <c r="I669" s="109"/>
      <c r="J669" s="111"/>
      <c r="K669" s="268"/>
      <c r="L669" s="112"/>
      <c r="M669" s="112"/>
      <c r="N669" s="112"/>
      <c r="O669" s="112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</row>
    <row r="670" spans="1:31" ht="12" customHeight="1">
      <c r="A670" s="108"/>
      <c r="B670" s="109"/>
      <c r="C670" s="109"/>
      <c r="D670" s="109"/>
      <c r="E670" s="112"/>
      <c r="F670" s="112"/>
      <c r="G670" s="109"/>
      <c r="H670" s="109"/>
      <c r="I670" s="109"/>
      <c r="J670" s="111"/>
      <c r="K670" s="268"/>
      <c r="L670" s="112"/>
      <c r="M670" s="112"/>
      <c r="N670" s="112"/>
      <c r="O670" s="112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</row>
    <row r="671" spans="1:31" ht="12" customHeight="1">
      <c r="A671" s="108"/>
      <c r="B671" s="109"/>
      <c r="C671" s="109"/>
      <c r="D671" s="109"/>
      <c r="E671" s="112"/>
      <c r="F671" s="112"/>
      <c r="G671" s="109"/>
      <c r="H671" s="109"/>
      <c r="I671" s="109"/>
      <c r="J671" s="111"/>
      <c r="K671" s="268"/>
      <c r="L671" s="112"/>
      <c r="M671" s="112"/>
      <c r="N671" s="112"/>
      <c r="O671" s="112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</row>
    <row r="672" spans="1:31" ht="12" customHeight="1">
      <c r="A672" s="108"/>
      <c r="B672" s="109"/>
      <c r="C672" s="109"/>
      <c r="D672" s="109"/>
      <c r="E672" s="112"/>
      <c r="F672" s="112"/>
      <c r="G672" s="109"/>
      <c r="H672" s="109"/>
      <c r="I672" s="109"/>
      <c r="J672" s="111"/>
      <c r="K672" s="268"/>
      <c r="L672" s="112"/>
      <c r="M672" s="112"/>
      <c r="N672" s="112"/>
      <c r="O672" s="112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</row>
    <row r="673" spans="1:31" ht="12" customHeight="1">
      <c r="A673" s="108"/>
      <c r="B673" s="109"/>
      <c r="C673" s="109"/>
      <c r="D673" s="109"/>
      <c r="E673" s="112"/>
      <c r="F673" s="112"/>
      <c r="G673" s="109"/>
      <c r="H673" s="109"/>
      <c r="I673" s="109"/>
      <c r="J673" s="111"/>
      <c r="K673" s="268"/>
      <c r="L673" s="112"/>
      <c r="M673" s="112"/>
      <c r="N673" s="112"/>
      <c r="O673" s="112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</row>
    <row r="674" spans="1:31" ht="12" customHeight="1">
      <c r="A674" s="108"/>
      <c r="B674" s="109"/>
      <c r="C674" s="109"/>
      <c r="D674" s="109"/>
      <c r="E674" s="112"/>
      <c r="F674" s="112"/>
      <c r="G674" s="109"/>
      <c r="H674" s="109"/>
      <c r="I674" s="109"/>
      <c r="J674" s="111"/>
      <c r="K674" s="268"/>
      <c r="L674" s="112"/>
      <c r="M674" s="112"/>
      <c r="N674" s="112"/>
      <c r="O674" s="112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</row>
    <row r="675" spans="1:31" ht="12" customHeight="1">
      <c r="A675" s="108"/>
      <c r="B675" s="109"/>
      <c r="C675" s="109"/>
      <c r="D675" s="109"/>
      <c r="E675" s="112"/>
      <c r="F675" s="112"/>
      <c r="G675" s="109"/>
      <c r="H675" s="109"/>
      <c r="I675" s="109"/>
      <c r="J675" s="111"/>
      <c r="K675" s="268"/>
      <c r="L675" s="112"/>
      <c r="M675" s="112"/>
      <c r="N675" s="112"/>
      <c r="O675" s="112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</row>
    <row r="676" spans="1:31" ht="12" customHeight="1">
      <c r="A676" s="108"/>
      <c r="B676" s="109"/>
      <c r="C676" s="109"/>
      <c r="D676" s="109"/>
      <c r="E676" s="112"/>
      <c r="F676" s="112"/>
      <c r="G676" s="109"/>
      <c r="H676" s="109"/>
      <c r="I676" s="109"/>
      <c r="J676" s="111"/>
      <c r="K676" s="268"/>
      <c r="L676" s="112"/>
      <c r="M676" s="112"/>
      <c r="N676" s="112"/>
      <c r="O676" s="112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</row>
    <row r="677" spans="1:31" ht="12" customHeight="1">
      <c r="A677" s="108"/>
      <c r="B677" s="109"/>
      <c r="C677" s="109"/>
      <c r="D677" s="109"/>
      <c r="E677" s="112"/>
      <c r="F677" s="112"/>
      <c r="G677" s="109"/>
      <c r="H677" s="109"/>
      <c r="I677" s="109"/>
      <c r="J677" s="111"/>
      <c r="K677" s="268"/>
      <c r="L677" s="112"/>
      <c r="M677" s="112"/>
      <c r="N677" s="112"/>
      <c r="O677" s="112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</row>
    <row r="678" spans="1:31" ht="12" customHeight="1">
      <c r="A678" s="108"/>
      <c r="B678" s="109"/>
      <c r="C678" s="109"/>
      <c r="D678" s="109"/>
      <c r="E678" s="112"/>
      <c r="F678" s="112"/>
      <c r="G678" s="109"/>
      <c r="H678" s="109"/>
      <c r="I678" s="109"/>
      <c r="J678" s="111"/>
      <c r="K678" s="268"/>
      <c r="L678" s="112"/>
      <c r="M678" s="112"/>
      <c r="N678" s="112"/>
      <c r="O678" s="112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</row>
    <row r="679" spans="1:31" ht="12" customHeight="1">
      <c r="A679" s="108"/>
      <c r="B679" s="109"/>
      <c r="C679" s="109"/>
      <c r="D679" s="109"/>
      <c r="E679" s="112"/>
      <c r="F679" s="112"/>
      <c r="G679" s="109"/>
      <c r="H679" s="109"/>
      <c r="I679" s="109"/>
      <c r="J679" s="111"/>
      <c r="K679" s="268"/>
      <c r="L679" s="112"/>
      <c r="M679" s="112"/>
      <c r="N679" s="112"/>
      <c r="O679" s="112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</row>
    <row r="680" spans="1:31" ht="12" customHeight="1">
      <c r="A680" s="108"/>
      <c r="B680" s="109"/>
      <c r="C680" s="109"/>
      <c r="D680" s="109"/>
      <c r="E680" s="112"/>
      <c r="F680" s="112"/>
      <c r="G680" s="109"/>
      <c r="H680" s="109"/>
      <c r="I680" s="109"/>
      <c r="J680" s="111"/>
      <c r="K680" s="268"/>
      <c r="L680" s="112"/>
      <c r="M680" s="112"/>
      <c r="N680" s="112"/>
      <c r="O680" s="112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</row>
    <row r="681" spans="1:31" ht="12" customHeight="1">
      <c r="A681" s="108"/>
      <c r="B681" s="109"/>
      <c r="C681" s="109"/>
      <c r="D681" s="109"/>
      <c r="E681" s="112"/>
      <c r="F681" s="112"/>
      <c r="G681" s="109"/>
      <c r="H681" s="109"/>
      <c r="I681" s="109"/>
      <c r="J681" s="111"/>
      <c r="K681" s="268"/>
      <c r="L681" s="112"/>
      <c r="M681" s="112"/>
      <c r="N681" s="112"/>
      <c r="O681" s="112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</row>
    <row r="682" spans="1:31" ht="12" customHeight="1">
      <c r="A682" s="108"/>
      <c r="B682" s="109"/>
      <c r="C682" s="109"/>
      <c r="D682" s="109"/>
      <c r="E682" s="112"/>
      <c r="F682" s="112"/>
      <c r="G682" s="109"/>
      <c r="H682" s="109"/>
      <c r="I682" s="109"/>
      <c r="J682" s="111"/>
      <c r="K682" s="268"/>
      <c r="L682" s="112"/>
      <c r="M682" s="112"/>
      <c r="N682" s="112"/>
      <c r="O682" s="112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</row>
    <row r="683" spans="1:31" ht="12" customHeight="1">
      <c r="A683" s="108"/>
      <c r="B683" s="109"/>
      <c r="C683" s="109"/>
      <c r="D683" s="109"/>
      <c r="E683" s="112"/>
      <c r="F683" s="112"/>
      <c r="G683" s="109"/>
      <c r="H683" s="109"/>
      <c r="I683" s="109"/>
      <c r="J683" s="111"/>
      <c r="K683" s="268"/>
      <c r="L683" s="112"/>
      <c r="M683" s="112"/>
      <c r="N683" s="112"/>
      <c r="O683" s="112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</row>
    <row r="684" spans="1:31" ht="12" customHeight="1">
      <c r="A684" s="108"/>
      <c r="B684" s="109"/>
      <c r="C684" s="109"/>
      <c r="D684" s="109"/>
      <c r="E684" s="112"/>
      <c r="F684" s="112"/>
      <c r="G684" s="109"/>
      <c r="H684" s="109"/>
      <c r="I684" s="109"/>
      <c r="J684" s="111"/>
      <c r="K684" s="268"/>
      <c r="L684" s="112"/>
      <c r="M684" s="112"/>
      <c r="N684" s="112"/>
      <c r="O684" s="112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</row>
    <row r="685" spans="1:31" ht="12" customHeight="1">
      <c r="A685" s="108"/>
      <c r="B685" s="109"/>
      <c r="C685" s="109"/>
      <c r="D685" s="109"/>
      <c r="E685" s="112"/>
      <c r="F685" s="112"/>
      <c r="G685" s="109"/>
      <c r="H685" s="109"/>
      <c r="I685" s="109"/>
      <c r="J685" s="111"/>
      <c r="K685" s="268"/>
      <c r="L685" s="112"/>
      <c r="M685" s="112"/>
      <c r="N685" s="112"/>
      <c r="O685" s="112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</row>
    <row r="686" spans="1:31" ht="12" customHeight="1">
      <c r="A686" s="108"/>
      <c r="B686" s="109"/>
      <c r="C686" s="109"/>
      <c r="D686" s="109"/>
      <c r="E686" s="112"/>
      <c r="F686" s="112"/>
      <c r="G686" s="109"/>
      <c r="H686" s="109"/>
      <c r="I686" s="109"/>
      <c r="J686" s="111"/>
      <c r="K686" s="268"/>
      <c r="L686" s="112"/>
      <c r="M686" s="112"/>
      <c r="N686" s="112"/>
      <c r="O686" s="112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</row>
    <row r="687" spans="1:31" ht="12" customHeight="1">
      <c r="A687" s="108"/>
      <c r="B687" s="109"/>
      <c r="C687" s="109"/>
      <c r="D687" s="109"/>
      <c r="E687" s="112"/>
      <c r="F687" s="112"/>
      <c r="G687" s="109"/>
      <c r="H687" s="109"/>
      <c r="I687" s="109"/>
      <c r="J687" s="111"/>
      <c r="K687" s="268"/>
      <c r="L687" s="112"/>
      <c r="M687" s="112"/>
      <c r="N687" s="112"/>
      <c r="O687" s="112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</row>
    <row r="688" spans="1:31" ht="12" customHeight="1">
      <c r="A688" s="108"/>
      <c r="B688" s="109"/>
      <c r="C688" s="109"/>
      <c r="D688" s="109"/>
      <c r="E688" s="112"/>
      <c r="F688" s="112"/>
      <c r="G688" s="109"/>
      <c r="H688" s="109"/>
      <c r="I688" s="109"/>
      <c r="J688" s="111"/>
      <c r="K688" s="268"/>
      <c r="L688" s="112"/>
      <c r="M688" s="112"/>
      <c r="N688" s="112"/>
      <c r="O688" s="112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</row>
    <row r="689" spans="1:31" ht="12" customHeight="1">
      <c r="A689" s="108"/>
      <c r="B689" s="109"/>
      <c r="C689" s="109"/>
      <c r="D689" s="109"/>
      <c r="E689" s="112"/>
      <c r="F689" s="112"/>
      <c r="G689" s="109"/>
      <c r="H689" s="109"/>
      <c r="I689" s="109"/>
      <c r="J689" s="111"/>
      <c r="K689" s="268"/>
      <c r="L689" s="112"/>
      <c r="M689" s="112"/>
      <c r="N689" s="112"/>
      <c r="O689" s="112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</row>
    <row r="690" spans="1:31" ht="12" customHeight="1">
      <c r="A690" s="108"/>
      <c r="B690" s="109"/>
      <c r="C690" s="109"/>
      <c r="D690" s="109"/>
      <c r="E690" s="112"/>
      <c r="F690" s="112"/>
      <c r="G690" s="109"/>
      <c r="H690" s="109"/>
      <c r="I690" s="109"/>
      <c r="J690" s="111"/>
      <c r="K690" s="268"/>
      <c r="L690" s="112"/>
      <c r="M690" s="112"/>
      <c r="N690" s="112"/>
      <c r="O690" s="112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</row>
    <row r="691" spans="1:31" ht="12" customHeight="1">
      <c r="A691" s="108"/>
      <c r="B691" s="109"/>
      <c r="C691" s="109"/>
      <c r="D691" s="109"/>
      <c r="E691" s="112"/>
      <c r="F691" s="112"/>
      <c r="G691" s="109"/>
      <c r="H691" s="109"/>
      <c r="I691" s="109"/>
      <c r="J691" s="111"/>
      <c r="K691" s="268"/>
      <c r="L691" s="112"/>
      <c r="M691" s="112"/>
      <c r="N691" s="112"/>
      <c r="O691" s="112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</row>
    <row r="692" spans="1:31" ht="12" customHeight="1">
      <c r="A692" s="108"/>
      <c r="B692" s="109"/>
      <c r="C692" s="109"/>
      <c r="D692" s="109"/>
      <c r="E692" s="112"/>
      <c r="F692" s="112"/>
      <c r="G692" s="109"/>
      <c r="H692" s="109"/>
      <c r="I692" s="109"/>
      <c r="J692" s="111"/>
      <c r="K692" s="268"/>
      <c r="L692" s="112"/>
      <c r="M692" s="112"/>
      <c r="N692" s="112"/>
      <c r="O692" s="112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</row>
    <row r="693" spans="1:31" ht="12" customHeight="1">
      <c r="A693" s="108"/>
      <c r="B693" s="109"/>
      <c r="C693" s="109"/>
      <c r="D693" s="109"/>
      <c r="E693" s="112"/>
      <c r="F693" s="112"/>
      <c r="G693" s="109"/>
      <c r="H693" s="109"/>
      <c r="I693" s="109"/>
      <c r="J693" s="111"/>
      <c r="K693" s="268"/>
      <c r="L693" s="112"/>
      <c r="M693" s="112"/>
      <c r="N693" s="112"/>
      <c r="O693" s="112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</row>
    <row r="694" spans="1:31" ht="12" customHeight="1">
      <c r="A694" s="108"/>
      <c r="B694" s="109"/>
      <c r="C694" s="109"/>
      <c r="D694" s="109"/>
      <c r="E694" s="112"/>
      <c r="F694" s="112"/>
      <c r="G694" s="109"/>
      <c r="H694" s="109"/>
      <c r="I694" s="109"/>
      <c r="J694" s="111"/>
      <c r="K694" s="268"/>
      <c r="L694" s="112"/>
      <c r="M694" s="112"/>
      <c r="N694" s="112"/>
      <c r="O694" s="112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</row>
    <row r="695" spans="1:31" ht="12" customHeight="1">
      <c r="A695" s="108"/>
      <c r="B695" s="109"/>
      <c r="C695" s="109"/>
      <c r="D695" s="109"/>
      <c r="E695" s="112"/>
      <c r="F695" s="112"/>
      <c r="G695" s="109"/>
      <c r="H695" s="109"/>
      <c r="I695" s="109"/>
      <c r="J695" s="111"/>
      <c r="K695" s="268"/>
      <c r="L695" s="112"/>
      <c r="M695" s="112"/>
      <c r="N695" s="112"/>
      <c r="O695" s="112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</row>
    <row r="696" spans="1:31" ht="12" customHeight="1">
      <c r="A696" s="108"/>
      <c r="B696" s="109"/>
      <c r="C696" s="109"/>
      <c r="D696" s="109"/>
      <c r="E696" s="112"/>
      <c r="F696" s="112"/>
      <c r="G696" s="109"/>
      <c r="H696" s="109"/>
      <c r="I696" s="109"/>
      <c r="J696" s="111"/>
      <c r="K696" s="268"/>
      <c r="L696" s="112"/>
      <c r="M696" s="112"/>
      <c r="N696" s="112"/>
      <c r="O696" s="112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</row>
    <row r="697" spans="1:31" ht="12" customHeight="1">
      <c r="A697" s="108"/>
      <c r="B697" s="109"/>
      <c r="C697" s="109"/>
      <c r="D697" s="109"/>
      <c r="E697" s="112"/>
      <c r="F697" s="112"/>
      <c r="G697" s="109"/>
      <c r="H697" s="109"/>
      <c r="I697" s="109"/>
      <c r="J697" s="111"/>
      <c r="K697" s="268"/>
      <c r="L697" s="112"/>
      <c r="M697" s="112"/>
      <c r="N697" s="112"/>
      <c r="O697" s="112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</row>
    <row r="698" spans="1:31" ht="12" customHeight="1">
      <c r="A698" s="108"/>
      <c r="B698" s="109"/>
      <c r="C698" s="109"/>
      <c r="D698" s="109"/>
      <c r="E698" s="112"/>
      <c r="F698" s="112"/>
      <c r="G698" s="109"/>
      <c r="H698" s="109"/>
      <c r="I698" s="109"/>
      <c r="J698" s="111"/>
      <c r="K698" s="268"/>
      <c r="L698" s="112"/>
      <c r="M698" s="112"/>
      <c r="N698" s="112"/>
      <c r="O698" s="112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</row>
    <row r="699" spans="1:31" ht="12" customHeight="1">
      <c r="A699" s="108"/>
      <c r="B699" s="109"/>
      <c r="C699" s="109"/>
      <c r="D699" s="109"/>
      <c r="E699" s="112"/>
      <c r="F699" s="112"/>
      <c r="G699" s="109"/>
      <c r="H699" s="109"/>
      <c r="I699" s="109"/>
      <c r="J699" s="111"/>
      <c r="K699" s="268"/>
      <c r="L699" s="112"/>
      <c r="M699" s="112"/>
      <c r="N699" s="112"/>
      <c r="O699" s="112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</row>
    <row r="700" spans="1:31" ht="12" customHeight="1">
      <c r="A700" s="108"/>
      <c r="B700" s="109"/>
      <c r="C700" s="109"/>
      <c r="D700" s="109"/>
      <c r="E700" s="112"/>
      <c r="F700" s="112"/>
      <c r="G700" s="109"/>
      <c r="H700" s="109"/>
      <c r="I700" s="109"/>
      <c r="J700" s="111"/>
      <c r="K700" s="268"/>
      <c r="L700" s="112"/>
      <c r="M700" s="112"/>
      <c r="N700" s="112"/>
      <c r="O700" s="112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</row>
    <row r="701" spans="1:31" ht="12" customHeight="1">
      <c r="A701" s="108"/>
      <c r="B701" s="109"/>
      <c r="C701" s="109"/>
      <c r="D701" s="109"/>
      <c r="E701" s="112"/>
      <c r="F701" s="112"/>
      <c r="G701" s="109"/>
      <c r="H701" s="109"/>
      <c r="I701" s="109"/>
      <c r="J701" s="111"/>
      <c r="K701" s="268"/>
      <c r="L701" s="112"/>
      <c r="M701" s="112"/>
      <c r="N701" s="112"/>
      <c r="O701" s="112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</row>
    <row r="702" spans="1:31" ht="12" customHeight="1">
      <c r="A702" s="108"/>
      <c r="B702" s="109"/>
      <c r="C702" s="109"/>
      <c r="D702" s="109"/>
      <c r="E702" s="112"/>
      <c r="F702" s="112"/>
      <c r="G702" s="109"/>
      <c r="H702" s="109"/>
      <c r="I702" s="109"/>
      <c r="J702" s="111"/>
      <c r="K702" s="268"/>
      <c r="L702" s="112"/>
      <c r="M702" s="112"/>
      <c r="N702" s="112"/>
      <c r="O702" s="112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</row>
    <row r="703" spans="1:31" ht="12" customHeight="1">
      <c r="A703" s="108"/>
      <c r="B703" s="109"/>
      <c r="C703" s="109"/>
      <c r="D703" s="109"/>
      <c r="E703" s="112"/>
      <c r="F703" s="112"/>
      <c r="G703" s="109"/>
      <c r="H703" s="109"/>
      <c r="I703" s="109"/>
      <c r="J703" s="111"/>
      <c r="K703" s="268"/>
      <c r="L703" s="112"/>
      <c r="M703" s="112"/>
      <c r="N703" s="112"/>
      <c r="O703" s="112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</row>
    <row r="704" spans="1:31" ht="12" customHeight="1">
      <c r="A704" s="108"/>
      <c r="B704" s="109"/>
      <c r="C704" s="109"/>
      <c r="D704" s="109"/>
      <c r="E704" s="112"/>
      <c r="F704" s="112"/>
      <c r="G704" s="109"/>
      <c r="H704" s="109"/>
      <c r="I704" s="109"/>
      <c r="J704" s="111"/>
      <c r="K704" s="268"/>
      <c r="L704" s="112"/>
      <c r="M704" s="112"/>
      <c r="N704" s="112"/>
      <c r="O704" s="112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</row>
    <row r="705" spans="1:31" ht="12" customHeight="1">
      <c r="A705" s="108"/>
      <c r="B705" s="109"/>
      <c r="C705" s="109"/>
      <c r="D705" s="109"/>
      <c r="E705" s="112"/>
      <c r="F705" s="112"/>
      <c r="G705" s="109"/>
      <c r="H705" s="109"/>
      <c r="I705" s="109"/>
      <c r="J705" s="111"/>
      <c r="K705" s="268"/>
      <c r="L705" s="112"/>
      <c r="M705" s="112"/>
      <c r="N705" s="112"/>
      <c r="O705" s="112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</row>
    <row r="706" spans="1:31" ht="12" customHeight="1">
      <c r="A706" s="108"/>
      <c r="B706" s="109"/>
      <c r="C706" s="109"/>
      <c r="D706" s="109"/>
      <c r="E706" s="112"/>
      <c r="F706" s="112"/>
      <c r="G706" s="109"/>
      <c r="H706" s="109"/>
      <c r="I706" s="109"/>
      <c r="J706" s="111"/>
      <c r="K706" s="268"/>
      <c r="L706" s="112"/>
      <c r="M706" s="112"/>
      <c r="N706" s="112"/>
      <c r="O706" s="112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</row>
    <row r="707" spans="1:31" ht="12" customHeight="1">
      <c r="A707" s="108"/>
      <c r="B707" s="109"/>
      <c r="C707" s="109"/>
      <c r="D707" s="109"/>
      <c r="E707" s="112"/>
      <c r="F707" s="112"/>
      <c r="G707" s="109"/>
      <c r="H707" s="109"/>
      <c r="I707" s="109"/>
      <c r="J707" s="111"/>
      <c r="K707" s="268"/>
      <c r="L707" s="112"/>
      <c r="M707" s="112"/>
      <c r="N707" s="112"/>
      <c r="O707" s="112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</row>
    <row r="708" spans="1:31" ht="12" customHeight="1">
      <c r="A708" s="108"/>
      <c r="B708" s="109"/>
      <c r="C708" s="109"/>
      <c r="D708" s="109"/>
      <c r="E708" s="112"/>
      <c r="F708" s="112"/>
      <c r="G708" s="109"/>
      <c r="H708" s="109"/>
      <c r="I708" s="109"/>
      <c r="J708" s="111"/>
      <c r="K708" s="268"/>
      <c r="L708" s="112"/>
      <c r="M708" s="112"/>
      <c r="N708" s="112"/>
      <c r="O708" s="112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</row>
    <row r="709" spans="1:31" ht="12" customHeight="1">
      <c r="A709" s="108"/>
      <c r="B709" s="109"/>
      <c r="C709" s="109"/>
      <c r="D709" s="109"/>
      <c r="E709" s="112"/>
      <c r="F709" s="112"/>
      <c r="G709" s="109"/>
      <c r="H709" s="109"/>
      <c r="I709" s="109"/>
      <c r="J709" s="111"/>
      <c r="K709" s="268"/>
      <c r="L709" s="112"/>
      <c r="M709" s="112"/>
      <c r="N709" s="112"/>
      <c r="O709" s="112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</row>
    <row r="710" spans="1:31" ht="12" customHeight="1">
      <c r="A710" s="108"/>
      <c r="B710" s="109"/>
      <c r="C710" s="109"/>
      <c r="D710" s="109"/>
      <c r="E710" s="112"/>
      <c r="F710" s="112"/>
      <c r="G710" s="109"/>
      <c r="H710" s="109"/>
      <c r="I710" s="109"/>
      <c r="J710" s="111"/>
      <c r="K710" s="268"/>
      <c r="L710" s="112"/>
      <c r="M710" s="112"/>
      <c r="N710" s="112"/>
      <c r="O710" s="112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</row>
    <row r="711" spans="1:31" ht="12" customHeight="1">
      <c r="A711" s="108"/>
      <c r="B711" s="109"/>
      <c r="C711" s="109"/>
      <c r="D711" s="109"/>
      <c r="E711" s="112"/>
      <c r="F711" s="112"/>
      <c r="G711" s="109"/>
      <c r="H711" s="109"/>
      <c r="I711" s="109"/>
      <c r="J711" s="111"/>
      <c r="K711" s="268"/>
      <c r="L711" s="112"/>
      <c r="M711" s="112"/>
      <c r="N711" s="112"/>
      <c r="O711" s="112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</row>
    <row r="712" spans="1:31" ht="12" customHeight="1">
      <c r="A712" s="108"/>
      <c r="B712" s="109"/>
      <c r="C712" s="109"/>
      <c r="D712" s="109"/>
      <c r="E712" s="112"/>
      <c r="F712" s="112"/>
      <c r="G712" s="109"/>
      <c r="H712" s="109"/>
      <c r="I712" s="109"/>
      <c r="J712" s="111"/>
      <c r="K712" s="268"/>
      <c r="L712" s="112"/>
      <c r="M712" s="112"/>
      <c r="N712" s="112"/>
      <c r="O712" s="112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</row>
    <row r="713" spans="1:31" ht="12" customHeight="1">
      <c r="A713" s="108"/>
      <c r="B713" s="109"/>
      <c r="C713" s="109"/>
      <c r="D713" s="109"/>
      <c r="E713" s="112"/>
      <c r="F713" s="112"/>
      <c r="G713" s="109"/>
      <c r="H713" s="109"/>
      <c r="I713" s="109"/>
      <c r="J713" s="111"/>
      <c r="K713" s="268"/>
      <c r="L713" s="112"/>
      <c r="M713" s="112"/>
      <c r="N713" s="112"/>
      <c r="O713" s="112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</row>
    <row r="714" spans="1:31" ht="12" customHeight="1">
      <c r="A714" s="108"/>
      <c r="B714" s="109"/>
      <c r="C714" s="109"/>
      <c r="D714" s="109"/>
      <c r="E714" s="112"/>
      <c r="F714" s="112"/>
      <c r="G714" s="109"/>
      <c r="H714" s="109"/>
      <c r="I714" s="109"/>
      <c r="J714" s="111"/>
      <c r="K714" s="268"/>
      <c r="L714" s="112"/>
      <c r="M714" s="112"/>
      <c r="N714" s="112"/>
      <c r="O714" s="112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</row>
    <row r="715" spans="1:31" ht="12" customHeight="1">
      <c r="A715" s="108"/>
      <c r="B715" s="109"/>
      <c r="C715" s="109"/>
      <c r="D715" s="109"/>
      <c r="E715" s="112"/>
      <c r="F715" s="112"/>
      <c r="G715" s="109"/>
      <c r="H715" s="109"/>
      <c r="I715" s="109"/>
      <c r="J715" s="111"/>
      <c r="K715" s="268"/>
      <c r="L715" s="112"/>
      <c r="M715" s="112"/>
      <c r="N715" s="112"/>
      <c r="O715" s="112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</row>
    <row r="716" spans="1:31" ht="12" customHeight="1">
      <c r="A716" s="108"/>
      <c r="B716" s="109"/>
      <c r="C716" s="109"/>
      <c r="D716" s="109"/>
      <c r="E716" s="112"/>
      <c r="F716" s="112"/>
      <c r="G716" s="109"/>
      <c r="H716" s="109"/>
      <c r="I716" s="109"/>
      <c r="J716" s="111"/>
      <c r="K716" s="268"/>
      <c r="L716" s="112"/>
      <c r="M716" s="112"/>
      <c r="N716" s="112"/>
      <c r="O716" s="112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</row>
    <row r="717" spans="1:31" ht="12" customHeight="1">
      <c r="A717" s="108"/>
      <c r="B717" s="109"/>
      <c r="C717" s="109"/>
      <c r="D717" s="109"/>
      <c r="E717" s="112"/>
      <c r="F717" s="112"/>
      <c r="G717" s="109"/>
      <c r="H717" s="109"/>
      <c r="I717" s="109"/>
      <c r="J717" s="111"/>
      <c r="K717" s="268"/>
      <c r="L717" s="112"/>
      <c r="M717" s="112"/>
      <c r="N717" s="112"/>
      <c r="O717" s="112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</row>
    <row r="718" spans="1:31" ht="12" customHeight="1">
      <c r="A718" s="108"/>
      <c r="B718" s="109"/>
      <c r="C718" s="109"/>
      <c r="D718" s="109"/>
      <c r="E718" s="112"/>
      <c r="F718" s="112"/>
      <c r="G718" s="109"/>
      <c r="H718" s="109"/>
      <c r="I718" s="109"/>
      <c r="J718" s="111"/>
      <c r="K718" s="268"/>
      <c r="L718" s="112"/>
      <c r="M718" s="112"/>
      <c r="N718" s="112"/>
      <c r="O718" s="112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</row>
    <row r="719" spans="1:31" ht="12" customHeight="1">
      <c r="A719" s="108"/>
      <c r="B719" s="109"/>
      <c r="C719" s="109"/>
      <c r="D719" s="109"/>
      <c r="E719" s="112"/>
      <c r="F719" s="112"/>
      <c r="G719" s="109"/>
      <c r="H719" s="109"/>
      <c r="I719" s="109"/>
      <c r="J719" s="111"/>
      <c r="K719" s="268"/>
      <c r="L719" s="112"/>
      <c r="M719" s="112"/>
      <c r="N719" s="112"/>
      <c r="O719" s="112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</row>
    <row r="720" spans="1:31" ht="12" customHeight="1">
      <c r="A720" s="108"/>
      <c r="B720" s="109"/>
      <c r="C720" s="109"/>
      <c r="D720" s="109"/>
      <c r="E720" s="112"/>
      <c r="F720" s="112"/>
      <c r="G720" s="109"/>
      <c r="H720" s="109"/>
      <c r="I720" s="109"/>
      <c r="J720" s="111"/>
      <c r="K720" s="268"/>
      <c r="L720" s="112"/>
      <c r="M720" s="112"/>
      <c r="N720" s="112"/>
      <c r="O720" s="112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</row>
    <row r="721" spans="1:31" ht="12" customHeight="1">
      <c r="A721" s="108"/>
      <c r="B721" s="109"/>
      <c r="C721" s="109"/>
      <c r="D721" s="109"/>
      <c r="E721" s="112"/>
      <c r="F721" s="112"/>
      <c r="G721" s="109"/>
      <c r="H721" s="109"/>
      <c r="I721" s="109"/>
      <c r="J721" s="111"/>
      <c r="K721" s="268"/>
      <c r="L721" s="112"/>
      <c r="M721" s="112"/>
      <c r="N721" s="112"/>
      <c r="O721" s="112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</row>
    <row r="722" spans="1:31" ht="12" customHeight="1">
      <c r="A722" s="108"/>
      <c r="B722" s="109"/>
      <c r="C722" s="109"/>
      <c r="D722" s="109"/>
      <c r="E722" s="112"/>
      <c r="F722" s="112"/>
      <c r="G722" s="109"/>
      <c r="H722" s="109"/>
      <c r="I722" s="109"/>
      <c r="J722" s="111"/>
      <c r="K722" s="268"/>
      <c r="L722" s="112"/>
      <c r="M722" s="112"/>
      <c r="N722" s="112"/>
      <c r="O722" s="112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</row>
    <row r="723" spans="1:31" ht="12" customHeight="1">
      <c r="A723" s="108"/>
      <c r="B723" s="109"/>
      <c r="C723" s="109"/>
      <c r="D723" s="109"/>
      <c r="E723" s="112"/>
      <c r="F723" s="112"/>
      <c r="G723" s="109"/>
      <c r="H723" s="109"/>
      <c r="I723" s="109"/>
      <c r="J723" s="111"/>
      <c r="K723" s="268"/>
      <c r="L723" s="112"/>
      <c r="M723" s="112"/>
      <c r="N723" s="112"/>
      <c r="O723" s="112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</row>
    <row r="724" spans="1:31" ht="12" customHeight="1">
      <c r="A724" s="108"/>
      <c r="B724" s="109"/>
      <c r="C724" s="109"/>
      <c r="D724" s="109"/>
      <c r="E724" s="112"/>
      <c r="F724" s="112"/>
      <c r="G724" s="109"/>
      <c r="H724" s="109"/>
      <c r="I724" s="109"/>
      <c r="J724" s="111"/>
      <c r="K724" s="268"/>
      <c r="L724" s="112"/>
      <c r="M724" s="112"/>
      <c r="N724" s="112"/>
      <c r="O724" s="112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</row>
    <row r="725" spans="1:31" ht="12" customHeight="1">
      <c r="A725" s="108"/>
      <c r="B725" s="109"/>
      <c r="C725" s="109"/>
      <c r="D725" s="109"/>
      <c r="E725" s="112"/>
      <c r="F725" s="112"/>
      <c r="G725" s="109"/>
      <c r="H725" s="109"/>
      <c r="I725" s="109"/>
      <c r="J725" s="111"/>
      <c r="K725" s="268"/>
      <c r="L725" s="112"/>
      <c r="M725" s="112"/>
      <c r="N725" s="112"/>
      <c r="O725" s="112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</row>
    <row r="726" spans="1:31" ht="12" customHeight="1">
      <c r="A726" s="108"/>
      <c r="B726" s="109"/>
      <c r="C726" s="109"/>
      <c r="D726" s="109"/>
      <c r="E726" s="112"/>
      <c r="F726" s="112"/>
      <c r="G726" s="109"/>
      <c r="H726" s="109"/>
      <c r="I726" s="109"/>
      <c r="J726" s="111"/>
      <c r="K726" s="268"/>
      <c r="L726" s="112"/>
      <c r="M726" s="112"/>
      <c r="N726" s="112"/>
      <c r="O726" s="112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</row>
    <row r="727" spans="1:31" ht="12" customHeight="1">
      <c r="A727" s="108"/>
      <c r="B727" s="109"/>
      <c r="C727" s="109"/>
      <c r="D727" s="109"/>
      <c r="E727" s="112"/>
      <c r="F727" s="112"/>
      <c r="G727" s="109"/>
      <c r="H727" s="109"/>
      <c r="I727" s="109"/>
      <c r="J727" s="111"/>
      <c r="K727" s="268"/>
      <c r="L727" s="112"/>
      <c r="M727" s="112"/>
      <c r="N727" s="112"/>
      <c r="O727" s="112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</row>
    <row r="728" spans="1:31" ht="12" customHeight="1">
      <c r="A728" s="108"/>
      <c r="B728" s="109"/>
      <c r="C728" s="109"/>
      <c r="D728" s="109"/>
      <c r="E728" s="112"/>
      <c r="F728" s="112"/>
      <c r="G728" s="109"/>
      <c r="H728" s="109"/>
      <c r="I728" s="109"/>
      <c r="J728" s="111"/>
      <c r="K728" s="268"/>
      <c r="L728" s="112"/>
      <c r="M728" s="112"/>
      <c r="N728" s="112"/>
      <c r="O728" s="112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</row>
    <row r="729" spans="1:31" ht="12" customHeight="1">
      <c r="A729" s="108"/>
      <c r="B729" s="109"/>
      <c r="C729" s="109"/>
      <c r="D729" s="109"/>
      <c r="E729" s="112"/>
      <c r="F729" s="112"/>
      <c r="G729" s="109"/>
      <c r="H729" s="109"/>
      <c r="I729" s="109"/>
      <c r="J729" s="111"/>
      <c r="K729" s="268"/>
      <c r="L729" s="112"/>
      <c r="M729" s="112"/>
      <c r="N729" s="112"/>
      <c r="O729" s="112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</row>
    <row r="730" spans="1:31" ht="12" customHeight="1">
      <c r="A730" s="108"/>
      <c r="B730" s="109"/>
      <c r="C730" s="109"/>
      <c r="D730" s="109"/>
      <c r="E730" s="112"/>
      <c r="F730" s="112"/>
      <c r="G730" s="109"/>
      <c r="H730" s="109"/>
      <c r="I730" s="109"/>
      <c r="J730" s="111"/>
      <c r="K730" s="268"/>
      <c r="L730" s="112"/>
      <c r="M730" s="112"/>
      <c r="N730" s="112"/>
      <c r="O730" s="112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</row>
    <row r="731" spans="1:31" ht="12" customHeight="1">
      <c r="A731" s="108"/>
      <c r="B731" s="109"/>
      <c r="C731" s="109"/>
      <c r="D731" s="109"/>
      <c r="E731" s="112"/>
      <c r="F731" s="112"/>
      <c r="G731" s="109"/>
      <c r="H731" s="109"/>
      <c r="I731" s="109"/>
      <c r="J731" s="111"/>
      <c r="K731" s="268"/>
      <c r="L731" s="112"/>
      <c r="M731" s="112"/>
      <c r="N731" s="112"/>
      <c r="O731" s="112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</row>
    <row r="732" spans="1:31" ht="12" customHeight="1">
      <c r="A732" s="108"/>
      <c r="B732" s="109"/>
      <c r="C732" s="109"/>
      <c r="D732" s="109"/>
      <c r="E732" s="112"/>
      <c r="F732" s="112"/>
      <c r="G732" s="109"/>
      <c r="H732" s="109"/>
      <c r="I732" s="109"/>
      <c r="J732" s="111"/>
      <c r="K732" s="268"/>
      <c r="L732" s="112"/>
      <c r="M732" s="112"/>
      <c r="N732" s="112"/>
      <c r="O732" s="112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</row>
    <row r="733" spans="1:31" ht="12" customHeight="1">
      <c r="A733" s="108"/>
      <c r="B733" s="109"/>
      <c r="C733" s="109"/>
      <c r="D733" s="109"/>
      <c r="E733" s="112"/>
      <c r="F733" s="112"/>
      <c r="G733" s="109"/>
      <c r="H733" s="109"/>
      <c r="I733" s="109"/>
      <c r="J733" s="111"/>
      <c r="K733" s="268"/>
      <c r="L733" s="112"/>
      <c r="M733" s="112"/>
      <c r="N733" s="112"/>
      <c r="O733" s="112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</row>
    <row r="734" spans="1:31" ht="12" customHeight="1">
      <c r="A734" s="108"/>
      <c r="B734" s="109"/>
      <c r="C734" s="109"/>
      <c r="D734" s="109"/>
      <c r="E734" s="112"/>
      <c r="F734" s="112"/>
      <c r="G734" s="109"/>
      <c r="H734" s="109"/>
      <c r="I734" s="109"/>
      <c r="J734" s="111"/>
      <c r="K734" s="268"/>
      <c r="L734" s="112"/>
      <c r="M734" s="112"/>
      <c r="N734" s="112"/>
      <c r="O734" s="112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</row>
    <row r="735" spans="1:31" ht="12" customHeight="1">
      <c r="A735" s="108"/>
      <c r="B735" s="109"/>
      <c r="C735" s="109"/>
      <c r="D735" s="109"/>
      <c r="E735" s="112"/>
      <c r="F735" s="112"/>
      <c r="G735" s="109"/>
      <c r="H735" s="109"/>
      <c r="I735" s="109"/>
      <c r="J735" s="111"/>
      <c r="K735" s="268"/>
      <c r="L735" s="112"/>
      <c r="M735" s="112"/>
      <c r="N735" s="112"/>
      <c r="O735" s="112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</row>
    <row r="736" spans="1:31" ht="12" customHeight="1">
      <c r="A736" s="108"/>
      <c r="B736" s="109"/>
      <c r="C736" s="109"/>
      <c r="D736" s="109"/>
      <c r="E736" s="112"/>
      <c r="F736" s="112"/>
      <c r="G736" s="109"/>
      <c r="H736" s="109"/>
      <c r="I736" s="109"/>
      <c r="J736" s="111"/>
      <c r="K736" s="268"/>
      <c r="L736" s="112"/>
      <c r="M736" s="112"/>
      <c r="N736" s="112"/>
      <c r="O736" s="112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</row>
    <row r="737" spans="1:31" ht="12" customHeight="1">
      <c r="A737" s="108"/>
      <c r="B737" s="109"/>
      <c r="C737" s="109"/>
      <c r="D737" s="109"/>
      <c r="E737" s="112"/>
      <c r="F737" s="112"/>
      <c r="G737" s="109"/>
      <c r="H737" s="109"/>
      <c r="I737" s="109"/>
      <c r="J737" s="111"/>
      <c r="K737" s="268"/>
      <c r="L737" s="112"/>
      <c r="M737" s="112"/>
      <c r="N737" s="112"/>
      <c r="O737" s="112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</row>
    <row r="738" spans="1:31" ht="12" customHeight="1">
      <c r="A738" s="108"/>
      <c r="B738" s="109"/>
      <c r="C738" s="109"/>
      <c r="D738" s="109"/>
      <c r="E738" s="112"/>
      <c r="F738" s="112"/>
      <c r="G738" s="109"/>
      <c r="H738" s="109"/>
      <c r="I738" s="109"/>
      <c r="J738" s="111"/>
      <c r="K738" s="268"/>
      <c r="L738" s="112"/>
      <c r="M738" s="112"/>
      <c r="N738" s="112"/>
      <c r="O738" s="112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</row>
    <row r="739" spans="1:31" ht="12" customHeight="1">
      <c r="A739" s="108"/>
      <c r="B739" s="109"/>
      <c r="C739" s="109"/>
      <c r="D739" s="109"/>
      <c r="E739" s="112"/>
      <c r="F739" s="112"/>
      <c r="G739" s="109"/>
      <c r="H739" s="109"/>
      <c r="I739" s="109"/>
      <c r="J739" s="111"/>
      <c r="K739" s="268"/>
      <c r="L739" s="112"/>
      <c r="M739" s="112"/>
      <c r="N739" s="112"/>
      <c r="O739" s="112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</row>
    <row r="740" spans="1:31" ht="12" customHeight="1">
      <c r="A740" s="108"/>
      <c r="B740" s="109"/>
      <c r="C740" s="109"/>
      <c r="D740" s="109"/>
      <c r="E740" s="112"/>
      <c r="F740" s="112"/>
      <c r="G740" s="109"/>
      <c r="H740" s="109"/>
      <c r="I740" s="109"/>
      <c r="J740" s="111"/>
      <c r="K740" s="268"/>
      <c r="L740" s="112"/>
      <c r="M740" s="112"/>
      <c r="N740" s="112"/>
      <c r="O740" s="112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</row>
    <row r="741" spans="1:31" ht="12" customHeight="1">
      <c r="A741" s="108"/>
      <c r="B741" s="109"/>
      <c r="C741" s="109"/>
      <c r="D741" s="109"/>
      <c r="E741" s="112"/>
      <c r="F741" s="112"/>
      <c r="G741" s="109"/>
      <c r="H741" s="109"/>
      <c r="I741" s="109"/>
      <c r="J741" s="111"/>
      <c r="K741" s="268"/>
      <c r="L741" s="112"/>
      <c r="M741" s="112"/>
      <c r="N741" s="112"/>
      <c r="O741" s="112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</row>
    <row r="742" spans="1:31" ht="12" customHeight="1">
      <c r="A742" s="108"/>
      <c r="B742" s="109"/>
      <c r="C742" s="109"/>
      <c r="D742" s="109"/>
      <c r="E742" s="112"/>
      <c r="F742" s="112"/>
      <c r="G742" s="109"/>
      <c r="H742" s="109"/>
      <c r="I742" s="109"/>
      <c r="J742" s="111"/>
      <c r="K742" s="268"/>
      <c r="L742" s="112"/>
      <c r="M742" s="112"/>
      <c r="N742" s="112"/>
      <c r="O742" s="112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</row>
    <row r="743" spans="1:31" ht="12" customHeight="1">
      <c r="A743" s="108"/>
      <c r="B743" s="109"/>
      <c r="C743" s="109"/>
      <c r="D743" s="109"/>
      <c r="E743" s="112"/>
      <c r="F743" s="112"/>
      <c r="G743" s="109"/>
      <c r="H743" s="109"/>
      <c r="I743" s="109"/>
      <c r="J743" s="111"/>
      <c r="K743" s="268"/>
      <c r="L743" s="112"/>
      <c r="M743" s="112"/>
      <c r="N743" s="112"/>
      <c r="O743" s="112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</row>
    <row r="744" spans="1:31" ht="12" customHeight="1">
      <c r="A744" s="108"/>
      <c r="B744" s="109"/>
      <c r="C744" s="109"/>
      <c r="D744" s="109"/>
      <c r="E744" s="112"/>
      <c r="F744" s="112"/>
      <c r="G744" s="109"/>
      <c r="H744" s="109"/>
      <c r="I744" s="109"/>
      <c r="J744" s="111"/>
      <c r="K744" s="268"/>
      <c r="L744" s="112"/>
      <c r="M744" s="112"/>
      <c r="N744" s="112"/>
      <c r="O744" s="112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</row>
    <row r="745" spans="1:31" ht="12" customHeight="1">
      <c r="A745" s="108"/>
      <c r="B745" s="109"/>
      <c r="C745" s="109"/>
      <c r="D745" s="109"/>
      <c r="E745" s="112"/>
      <c r="F745" s="112"/>
      <c r="G745" s="109"/>
      <c r="H745" s="109"/>
      <c r="I745" s="109"/>
      <c r="J745" s="111"/>
      <c r="K745" s="268"/>
      <c r="L745" s="112"/>
      <c r="M745" s="112"/>
      <c r="N745" s="112"/>
      <c r="O745" s="112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</row>
    <row r="746" spans="1:31" ht="12" customHeight="1">
      <c r="A746" s="108"/>
      <c r="B746" s="109"/>
      <c r="C746" s="109"/>
      <c r="D746" s="109"/>
      <c r="E746" s="112"/>
      <c r="F746" s="112"/>
      <c r="G746" s="109"/>
      <c r="H746" s="109"/>
      <c r="I746" s="109"/>
      <c r="J746" s="111"/>
      <c r="K746" s="268"/>
      <c r="L746" s="112"/>
      <c r="M746" s="112"/>
      <c r="N746" s="112"/>
      <c r="O746" s="112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</row>
    <row r="747" spans="1:31" ht="12" customHeight="1">
      <c r="A747" s="108"/>
      <c r="B747" s="109"/>
      <c r="C747" s="109"/>
      <c r="D747" s="109"/>
      <c r="E747" s="112"/>
      <c r="F747" s="112"/>
      <c r="G747" s="109"/>
      <c r="H747" s="109"/>
      <c r="I747" s="109"/>
      <c r="J747" s="111"/>
      <c r="K747" s="268"/>
      <c r="L747" s="112"/>
      <c r="M747" s="112"/>
      <c r="N747" s="112"/>
      <c r="O747" s="112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</row>
    <row r="748" spans="1:31" ht="12" customHeight="1">
      <c r="A748" s="108"/>
      <c r="B748" s="109"/>
      <c r="C748" s="109"/>
      <c r="D748" s="109"/>
      <c r="E748" s="112"/>
      <c r="F748" s="112"/>
      <c r="G748" s="109"/>
      <c r="H748" s="109"/>
      <c r="I748" s="109"/>
      <c r="J748" s="111"/>
      <c r="K748" s="268"/>
      <c r="L748" s="112"/>
      <c r="M748" s="112"/>
      <c r="N748" s="112"/>
      <c r="O748" s="112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</row>
    <row r="749" spans="1:31" ht="12" customHeight="1">
      <c r="A749" s="108"/>
      <c r="B749" s="109"/>
      <c r="C749" s="109"/>
      <c r="D749" s="109"/>
      <c r="E749" s="112"/>
      <c r="F749" s="112"/>
      <c r="G749" s="109"/>
      <c r="H749" s="109"/>
      <c r="I749" s="109"/>
      <c r="J749" s="111"/>
      <c r="K749" s="268"/>
      <c r="L749" s="112"/>
      <c r="M749" s="112"/>
      <c r="N749" s="112"/>
      <c r="O749" s="112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</row>
    <row r="750" spans="1:31" ht="12" customHeight="1">
      <c r="A750" s="108"/>
      <c r="B750" s="109"/>
      <c r="C750" s="109"/>
      <c r="D750" s="109"/>
      <c r="E750" s="112"/>
      <c r="F750" s="112"/>
      <c r="G750" s="109"/>
      <c r="H750" s="109"/>
      <c r="I750" s="109"/>
      <c r="J750" s="111"/>
      <c r="K750" s="268"/>
      <c r="L750" s="112"/>
      <c r="M750" s="112"/>
      <c r="N750" s="112"/>
      <c r="O750" s="112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</row>
    <row r="751" spans="1:31" ht="12" customHeight="1">
      <c r="A751" s="108"/>
      <c r="B751" s="109"/>
      <c r="C751" s="109"/>
      <c r="D751" s="109"/>
      <c r="E751" s="112"/>
      <c r="F751" s="112"/>
      <c r="G751" s="109"/>
      <c r="H751" s="109"/>
      <c r="I751" s="109"/>
      <c r="J751" s="111"/>
      <c r="K751" s="268"/>
      <c r="L751" s="112"/>
      <c r="M751" s="112"/>
      <c r="N751" s="112"/>
      <c r="O751" s="112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</row>
    <row r="752" spans="1:31" ht="12" customHeight="1">
      <c r="A752" s="108"/>
      <c r="B752" s="109"/>
      <c r="C752" s="109"/>
      <c r="D752" s="109"/>
      <c r="E752" s="112"/>
      <c r="F752" s="112"/>
      <c r="G752" s="109"/>
      <c r="H752" s="109"/>
      <c r="I752" s="109"/>
      <c r="J752" s="111"/>
      <c r="K752" s="268"/>
      <c r="L752" s="112"/>
      <c r="M752" s="112"/>
      <c r="N752" s="112"/>
      <c r="O752" s="112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</row>
    <row r="753" spans="1:31" ht="12" customHeight="1">
      <c r="A753" s="108"/>
      <c r="B753" s="109"/>
      <c r="C753" s="109"/>
      <c r="D753" s="109"/>
      <c r="E753" s="112"/>
      <c r="F753" s="112"/>
      <c r="G753" s="109"/>
      <c r="H753" s="109"/>
      <c r="I753" s="109"/>
      <c r="J753" s="111"/>
      <c r="K753" s="268"/>
      <c r="L753" s="112"/>
      <c r="M753" s="112"/>
      <c r="N753" s="112"/>
      <c r="O753" s="112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</row>
    <row r="754" spans="1:31" ht="12" customHeight="1">
      <c r="A754" s="108"/>
      <c r="B754" s="109"/>
      <c r="C754" s="109"/>
      <c r="D754" s="109"/>
      <c r="E754" s="112"/>
      <c r="F754" s="112"/>
      <c r="G754" s="109"/>
      <c r="H754" s="109"/>
      <c r="I754" s="109"/>
      <c r="J754" s="111"/>
      <c r="K754" s="268"/>
      <c r="L754" s="112"/>
      <c r="M754" s="112"/>
      <c r="N754" s="112"/>
      <c r="O754" s="112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</row>
    <row r="755" spans="1:31" ht="12" customHeight="1">
      <c r="A755" s="108"/>
      <c r="B755" s="109"/>
      <c r="C755" s="109"/>
      <c r="D755" s="109"/>
      <c r="E755" s="112"/>
      <c r="F755" s="112"/>
      <c r="G755" s="109"/>
      <c r="H755" s="109"/>
      <c r="I755" s="109"/>
      <c r="J755" s="111"/>
      <c r="K755" s="268"/>
      <c r="L755" s="112"/>
      <c r="M755" s="112"/>
      <c r="N755" s="112"/>
      <c r="O755" s="112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</row>
    <row r="756" spans="1:31" ht="12" customHeight="1">
      <c r="A756" s="108"/>
      <c r="B756" s="109"/>
      <c r="C756" s="109"/>
      <c r="D756" s="109"/>
      <c r="E756" s="112"/>
      <c r="F756" s="112"/>
      <c r="G756" s="109"/>
      <c r="H756" s="109"/>
      <c r="I756" s="109"/>
      <c r="J756" s="111"/>
      <c r="K756" s="268"/>
      <c r="L756" s="112"/>
      <c r="M756" s="112"/>
      <c r="N756" s="112"/>
      <c r="O756" s="112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</row>
    <row r="757" spans="1:31" ht="12" customHeight="1">
      <c r="A757" s="108"/>
      <c r="B757" s="109"/>
      <c r="C757" s="109"/>
      <c r="D757" s="109"/>
      <c r="E757" s="112"/>
      <c r="F757" s="112"/>
      <c r="G757" s="109"/>
      <c r="H757" s="109"/>
      <c r="I757" s="109"/>
      <c r="J757" s="111"/>
      <c r="K757" s="268"/>
      <c r="L757" s="112"/>
      <c r="M757" s="112"/>
      <c r="N757" s="112"/>
      <c r="O757" s="112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</row>
    <row r="758" spans="1:31" ht="12" customHeight="1">
      <c r="A758" s="108"/>
      <c r="B758" s="109"/>
      <c r="C758" s="109"/>
      <c r="D758" s="109"/>
      <c r="E758" s="112"/>
      <c r="F758" s="112"/>
      <c r="G758" s="109"/>
      <c r="H758" s="109"/>
      <c r="I758" s="109"/>
      <c r="J758" s="111"/>
      <c r="K758" s="268"/>
      <c r="L758" s="112"/>
      <c r="M758" s="112"/>
      <c r="N758" s="112"/>
      <c r="O758" s="112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</row>
    <row r="759" spans="1:31" ht="12" customHeight="1">
      <c r="A759" s="108"/>
      <c r="B759" s="109"/>
      <c r="C759" s="109"/>
      <c r="D759" s="109"/>
      <c r="E759" s="112"/>
      <c r="F759" s="112"/>
      <c r="G759" s="109"/>
      <c r="H759" s="109"/>
      <c r="I759" s="109"/>
      <c r="J759" s="111"/>
      <c r="K759" s="268"/>
      <c r="L759" s="112"/>
      <c r="M759" s="112"/>
      <c r="N759" s="112"/>
      <c r="O759" s="112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</row>
    <row r="760" spans="1:31" ht="12" customHeight="1">
      <c r="A760" s="108"/>
      <c r="B760" s="109"/>
      <c r="C760" s="109"/>
      <c r="D760" s="109"/>
      <c r="E760" s="112"/>
      <c r="F760" s="112"/>
      <c r="G760" s="109"/>
      <c r="H760" s="109"/>
      <c r="I760" s="109"/>
      <c r="J760" s="111"/>
      <c r="K760" s="268"/>
      <c r="L760" s="112"/>
      <c r="M760" s="112"/>
      <c r="N760" s="112"/>
      <c r="O760" s="112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</row>
    <row r="761" spans="1:31" ht="12" customHeight="1">
      <c r="A761" s="108"/>
      <c r="B761" s="109"/>
      <c r="C761" s="109"/>
      <c r="D761" s="109"/>
      <c r="E761" s="112"/>
      <c r="F761" s="112"/>
      <c r="G761" s="109"/>
      <c r="H761" s="109"/>
      <c r="I761" s="109"/>
      <c r="J761" s="111"/>
      <c r="K761" s="268"/>
      <c r="L761" s="112"/>
      <c r="M761" s="112"/>
      <c r="N761" s="112"/>
      <c r="O761" s="112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</row>
    <row r="762" spans="1:31" ht="12" customHeight="1">
      <c r="A762" s="108"/>
      <c r="B762" s="109"/>
      <c r="C762" s="109"/>
      <c r="D762" s="109"/>
      <c r="E762" s="112"/>
      <c r="F762" s="112"/>
      <c r="G762" s="109"/>
      <c r="H762" s="109"/>
      <c r="I762" s="109"/>
      <c r="J762" s="111"/>
      <c r="K762" s="268"/>
      <c r="L762" s="112"/>
      <c r="M762" s="112"/>
      <c r="N762" s="112"/>
      <c r="O762" s="112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</row>
    <row r="763" spans="1:31" ht="12" customHeight="1">
      <c r="A763" s="108"/>
      <c r="B763" s="109"/>
      <c r="C763" s="109"/>
      <c r="D763" s="109"/>
      <c r="E763" s="112"/>
      <c r="F763" s="112"/>
      <c r="G763" s="109"/>
      <c r="H763" s="109"/>
      <c r="I763" s="109"/>
      <c r="J763" s="111"/>
      <c r="K763" s="268"/>
      <c r="L763" s="112"/>
      <c r="M763" s="112"/>
      <c r="N763" s="112"/>
      <c r="O763" s="112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</row>
    <row r="764" spans="1:31" ht="12" customHeight="1">
      <c r="A764" s="108"/>
      <c r="B764" s="109"/>
      <c r="C764" s="109"/>
      <c r="D764" s="109"/>
      <c r="E764" s="112"/>
      <c r="F764" s="112"/>
      <c r="G764" s="109"/>
      <c r="H764" s="109"/>
      <c r="I764" s="109"/>
      <c r="J764" s="111"/>
      <c r="K764" s="268"/>
      <c r="L764" s="112"/>
      <c r="M764" s="112"/>
      <c r="N764" s="112"/>
      <c r="O764" s="112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</row>
    <row r="765" spans="1:31" ht="12" customHeight="1">
      <c r="A765" s="108"/>
      <c r="B765" s="109"/>
      <c r="C765" s="109"/>
      <c r="D765" s="109"/>
      <c r="E765" s="112"/>
      <c r="F765" s="112"/>
      <c r="G765" s="109"/>
      <c r="H765" s="109"/>
      <c r="I765" s="109"/>
      <c r="J765" s="111"/>
      <c r="K765" s="268"/>
      <c r="L765" s="112"/>
      <c r="M765" s="112"/>
      <c r="N765" s="112"/>
      <c r="O765" s="112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</row>
    <row r="766" spans="1:31" ht="12" customHeight="1">
      <c r="A766" s="108"/>
      <c r="B766" s="109"/>
      <c r="C766" s="109"/>
      <c r="D766" s="109"/>
      <c r="E766" s="112"/>
      <c r="F766" s="112"/>
      <c r="G766" s="109"/>
      <c r="H766" s="109"/>
      <c r="I766" s="109"/>
      <c r="J766" s="111"/>
      <c r="K766" s="268"/>
      <c r="L766" s="112"/>
      <c r="M766" s="112"/>
      <c r="N766" s="112"/>
      <c r="O766" s="112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</row>
    <row r="767" spans="1:31" ht="12" customHeight="1">
      <c r="A767" s="108"/>
      <c r="B767" s="109"/>
      <c r="C767" s="109"/>
      <c r="D767" s="109"/>
      <c r="E767" s="112"/>
      <c r="F767" s="112"/>
      <c r="G767" s="109"/>
      <c r="H767" s="109"/>
      <c r="I767" s="109"/>
      <c r="J767" s="111"/>
      <c r="K767" s="268"/>
      <c r="L767" s="112"/>
      <c r="M767" s="112"/>
      <c r="N767" s="112"/>
      <c r="O767" s="112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</row>
    <row r="768" spans="1:31" ht="12" customHeight="1">
      <c r="A768" s="108"/>
      <c r="B768" s="109"/>
      <c r="C768" s="109"/>
      <c r="D768" s="109"/>
      <c r="E768" s="112"/>
      <c r="F768" s="112"/>
      <c r="G768" s="109"/>
      <c r="H768" s="109"/>
      <c r="I768" s="109"/>
      <c r="J768" s="111"/>
      <c r="K768" s="268"/>
      <c r="L768" s="112"/>
      <c r="M768" s="112"/>
      <c r="N768" s="112"/>
      <c r="O768" s="112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</row>
    <row r="769" spans="1:31" ht="12" customHeight="1">
      <c r="A769" s="108"/>
      <c r="B769" s="109"/>
      <c r="C769" s="109"/>
      <c r="D769" s="109"/>
      <c r="E769" s="112"/>
      <c r="F769" s="112"/>
      <c r="G769" s="109"/>
      <c r="H769" s="109"/>
      <c r="I769" s="109"/>
      <c r="J769" s="111"/>
      <c r="K769" s="268"/>
      <c r="L769" s="112"/>
      <c r="M769" s="112"/>
      <c r="N769" s="112"/>
      <c r="O769" s="112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</row>
    <row r="770" spans="1:31" ht="12" customHeight="1">
      <c r="A770" s="108"/>
      <c r="B770" s="109"/>
      <c r="C770" s="109"/>
      <c r="D770" s="109"/>
      <c r="E770" s="112"/>
      <c r="F770" s="112"/>
      <c r="G770" s="109"/>
      <c r="H770" s="109"/>
      <c r="I770" s="109"/>
      <c r="J770" s="111"/>
      <c r="K770" s="268"/>
      <c r="L770" s="112"/>
      <c r="M770" s="112"/>
      <c r="N770" s="112"/>
      <c r="O770" s="112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</row>
    <row r="771" spans="1:31" ht="12" customHeight="1">
      <c r="A771" s="108"/>
      <c r="B771" s="109"/>
      <c r="C771" s="109"/>
      <c r="D771" s="109"/>
      <c r="E771" s="112"/>
      <c r="F771" s="112"/>
      <c r="G771" s="109"/>
      <c r="H771" s="109"/>
      <c r="I771" s="109"/>
      <c r="J771" s="111"/>
      <c r="K771" s="268"/>
      <c r="L771" s="112"/>
      <c r="M771" s="112"/>
      <c r="N771" s="112"/>
      <c r="O771" s="112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</row>
    <row r="772" spans="1:31" ht="12" customHeight="1">
      <c r="A772" s="108"/>
      <c r="B772" s="109"/>
      <c r="C772" s="109"/>
      <c r="D772" s="109"/>
      <c r="E772" s="112"/>
      <c r="F772" s="112"/>
      <c r="G772" s="109"/>
      <c r="H772" s="109"/>
      <c r="I772" s="109"/>
      <c r="J772" s="111"/>
      <c r="K772" s="268"/>
      <c r="L772" s="112"/>
      <c r="M772" s="112"/>
      <c r="N772" s="112"/>
      <c r="O772" s="112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</row>
    <row r="773" spans="1:31" ht="12" customHeight="1">
      <c r="A773" s="108"/>
      <c r="B773" s="109"/>
      <c r="C773" s="109"/>
      <c r="D773" s="109"/>
      <c r="E773" s="112"/>
      <c r="F773" s="112"/>
      <c r="G773" s="109"/>
      <c r="H773" s="109"/>
      <c r="I773" s="109"/>
      <c r="J773" s="111"/>
      <c r="K773" s="268"/>
      <c r="L773" s="112"/>
      <c r="M773" s="112"/>
      <c r="N773" s="112"/>
      <c r="O773" s="112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</row>
    <row r="774" spans="1:31" ht="12" customHeight="1">
      <c r="A774" s="108"/>
      <c r="B774" s="109"/>
      <c r="C774" s="109"/>
      <c r="D774" s="109"/>
      <c r="E774" s="112"/>
      <c r="F774" s="112"/>
      <c r="G774" s="109"/>
      <c r="H774" s="109"/>
      <c r="I774" s="109"/>
      <c r="J774" s="111"/>
      <c r="K774" s="268"/>
      <c r="L774" s="112"/>
      <c r="M774" s="112"/>
      <c r="N774" s="112"/>
      <c r="O774" s="112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</row>
    <row r="775" spans="1:31" ht="12" customHeight="1">
      <c r="A775" s="108"/>
      <c r="B775" s="109"/>
      <c r="C775" s="109"/>
      <c r="D775" s="109"/>
      <c r="E775" s="112"/>
      <c r="F775" s="112"/>
      <c r="G775" s="109"/>
      <c r="H775" s="109"/>
      <c r="I775" s="109"/>
      <c r="J775" s="111"/>
      <c r="K775" s="268"/>
      <c r="L775" s="112"/>
      <c r="M775" s="112"/>
      <c r="N775" s="112"/>
      <c r="O775" s="112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</row>
    <row r="776" spans="1:31" ht="12" customHeight="1">
      <c r="A776" s="108"/>
      <c r="B776" s="109"/>
      <c r="C776" s="109"/>
      <c r="D776" s="109"/>
      <c r="E776" s="112"/>
      <c r="F776" s="112"/>
      <c r="G776" s="109"/>
      <c r="H776" s="109"/>
      <c r="I776" s="109"/>
      <c r="J776" s="111"/>
      <c r="K776" s="268"/>
      <c r="L776" s="112"/>
      <c r="M776" s="112"/>
      <c r="N776" s="112"/>
      <c r="O776" s="112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</row>
    <row r="777" spans="1:31" ht="12" customHeight="1">
      <c r="A777" s="108"/>
      <c r="B777" s="109"/>
      <c r="C777" s="109"/>
      <c r="D777" s="109"/>
      <c r="E777" s="112"/>
      <c r="F777" s="112"/>
      <c r="G777" s="109"/>
      <c r="H777" s="109"/>
      <c r="I777" s="109"/>
      <c r="J777" s="111"/>
      <c r="K777" s="268"/>
      <c r="L777" s="112"/>
      <c r="M777" s="112"/>
      <c r="N777" s="112"/>
      <c r="O777" s="112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</row>
    <row r="778" spans="1:31" ht="12" customHeight="1">
      <c r="A778" s="108"/>
      <c r="B778" s="109"/>
      <c r="C778" s="109"/>
      <c r="D778" s="109"/>
      <c r="E778" s="112"/>
      <c r="F778" s="112"/>
      <c r="G778" s="109"/>
      <c r="H778" s="109"/>
      <c r="I778" s="109"/>
      <c r="J778" s="111"/>
      <c r="K778" s="268"/>
      <c r="L778" s="112"/>
      <c r="M778" s="112"/>
      <c r="N778" s="112"/>
      <c r="O778" s="112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</row>
    <row r="779" spans="1:31" ht="12" customHeight="1">
      <c r="A779" s="108"/>
      <c r="B779" s="109"/>
      <c r="C779" s="109"/>
      <c r="D779" s="109"/>
      <c r="E779" s="112"/>
      <c r="F779" s="112"/>
      <c r="G779" s="109"/>
      <c r="H779" s="109"/>
      <c r="I779" s="109"/>
      <c r="J779" s="111"/>
      <c r="K779" s="268"/>
      <c r="L779" s="112"/>
      <c r="M779" s="112"/>
      <c r="N779" s="112"/>
      <c r="O779" s="112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</row>
    <row r="780" spans="1:31" ht="12" customHeight="1">
      <c r="A780" s="108"/>
      <c r="B780" s="109"/>
      <c r="C780" s="109"/>
      <c r="D780" s="109"/>
      <c r="E780" s="112"/>
      <c r="F780" s="112"/>
      <c r="G780" s="109"/>
      <c r="H780" s="109"/>
      <c r="I780" s="109"/>
      <c r="J780" s="111"/>
      <c r="K780" s="268"/>
      <c r="L780" s="112"/>
      <c r="M780" s="112"/>
      <c r="N780" s="112"/>
      <c r="O780" s="112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</row>
    <row r="781" spans="1:31" ht="12" customHeight="1">
      <c r="A781" s="108"/>
      <c r="B781" s="109"/>
      <c r="C781" s="109"/>
      <c r="D781" s="109"/>
      <c r="E781" s="112"/>
      <c r="F781" s="112"/>
      <c r="G781" s="109"/>
      <c r="H781" s="109"/>
      <c r="I781" s="109"/>
      <c r="J781" s="111"/>
      <c r="K781" s="268"/>
      <c r="L781" s="112"/>
      <c r="M781" s="112"/>
      <c r="N781" s="112"/>
      <c r="O781" s="112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</row>
    <row r="782" spans="1:31" ht="12" customHeight="1">
      <c r="A782" s="108"/>
      <c r="B782" s="109"/>
      <c r="C782" s="109"/>
      <c r="D782" s="109"/>
      <c r="E782" s="112"/>
      <c r="F782" s="112"/>
      <c r="G782" s="109"/>
      <c r="H782" s="109"/>
      <c r="I782" s="109"/>
      <c r="J782" s="111"/>
      <c r="K782" s="268"/>
      <c r="L782" s="112"/>
      <c r="M782" s="112"/>
      <c r="N782" s="112"/>
      <c r="O782" s="112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</row>
    <row r="783" spans="1:31" ht="12" customHeight="1">
      <c r="A783" s="108"/>
      <c r="B783" s="109"/>
      <c r="C783" s="109"/>
      <c r="D783" s="109"/>
      <c r="E783" s="112"/>
      <c r="F783" s="112"/>
      <c r="G783" s="109"/>
      <c r="H783" s="109"/>
      <c r="I783" s="109"/>
      <c r="J783" s="111"/>
      <c r="K783" s="268"/>
      <c r="L783" s="112"/>
      <c r="M783" s="112"/>
      <c r="N783" s="112"/>
      <c r="O783" s="112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</row>
    <row r="784" spans="1:31" ht="12" customHeight="1">
      <c r="A784" s="108"/>
      <c r="B784" s="109"/>
      <c r="C784" s="109"/>
      <c r="D784" s="109"/>
      <c r="E784" s="112"/>
      <c r="F784" s="112"/>
      <c r="G784" s="109"/>
      <c r="H784" s="109"/>
      <c r="I784" s="109"/>
      <c r="J784" s="111"/>
      <c r="K784" s="268"/>
      <c r="L784" s="112"/>
      <c r="M784" s="112"/>
      <c r="N784" s="112"/>
      <c r="O784" s="112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</row>
    <row r="785" spans="1:31" ht="12" customHeight="1">
      <c r="A785" s="108"/>
      <c r="B785" s="109"/>
      <c r="C785" s="109"/>
      <c r="D785" s="109"/>
      <c r="E785" s="112"/>
      <c r="F785" s="112"/>
      <c r="G785" s="109"/>
      <c r="H785" s="109"/>
      <c r="I785" s="109"/>
      <c r="J785" s="111"/>
      <c r="K785" s="268"/>
      <c r="L785" s="112"/>
      <c r="M785" s="112"/>
      <c r="N785" s="112"/>
      <c r="O785" s="112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</row>
    <row r="786" spans="1:31" ht="12" customHeight="1">
      <c r="A786" s="108"/>
      <c r="B786" s="109"/>
      <c r="C786" s="109"/>
      <c r="D786" s="109"/>
      <c r="E786" s="112"/>
      <c r="F786" s="112"/>
      <c r="G786" s="109"/>
      <c r="H786" s="109"/>
      <c r="I786" s="109"/>
      <c r="J786" s="111"/>
      <c r="K786" s="268"/>
      <c r="L786" s="112"/>
      <c r="M786" s="112"/>
      <c r="N786" s="112"/>
      <c r="O786" s="112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</row>
    <row r="787" spans="1:31" ht="12" customHeight="1">
      <c r="A787" s="108"/>
      <c r="B787" s="109"/>
      <c r="C787" s="109"/>
      <c r="D787" s="109"/>
      <c r="E787" s="112"/>
      <c r="F787" s="112"/>
      <c r="G787" s="109"/>
      <c r="H787" s="109"/>
      <c r="I787" s="109"/>
      <c r="J787" s="111"/>
      <c r="K787" s="268"/>
      <c r="L787" s="112"/>
      <c r="M787" s="112"/>
      <c r="N787" s="112"/>
      <c r="O787" s="112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</row>
    <row r="788" spans="1:31" ht="12" customHeight="1">
      <c r="A788" s="108"/>
      <c r="B788" s="109"/>
      <c r="C788" s="109"/>
      <c r="D788" s="109"/>
      <c r="E788" s="112"/>
      <c r="F788" s="112"/>
      <c r="G788" s="109"/>
      <c r="H788" s="109"/>
      <c r="I788" s="109"/>
      <c r="J788" s="111"/>
      <c r="K788" s="268"/>
      <c r="L788" s="112"/>
      <c r="M788" s="112"/>
      <c r="N788" s="112"/>
      <c r="O788" s="112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</row>
    <row r="789" spans="1:31" ht="12" customHeight="1">
      <c r="A789" s="108"/>
      <c r="B789" s="109"/>
      <c r="C789" s="109"/>
      <c r="D789" s="109"/>
      <c r="E789" s="112"/>
      <c r="F789" s="112"/>
      <c r="G789" s="109"/>
      <c r="H789" s="109"/>
      <c r="I789" s="109"/>
      <c r="J789" s="111"/>
      <c r="K789" s="268"/>
      <c r="L789" s="112"/>
      <c r="M789" s="112"/>
      <c r="N789" s="112"/>
      <c r="O789" s="112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</row>
    <row r="790" spans="1:31" ht="12" customHeight="1">
      <c r="A790" s="108"/>
      <c r="B790" s="109"/>
      <c r="C790" s="109"/>
      <c r="D790" s="109"/>
      <c r="E790" s="112"/>
      <c r="F790" s="112"/>
      <c r="G790" s="109"/>
      <c r="H790" s="109"/>
      <c r="I790" s="109"/>
      <c r="J790" s="111"/>
      <c r="K790" s="268"/>
      <c r="L790" s="112"/>
      <c r="M790" s="112"/>
      <c r="N790" s="112"/>
      <c r="O790" s="112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</row>
    <row r="791" spans="1:31" ht="12" customHeight="1">
      <c r="A791" s="108"/>
      <c r="B791" s="109"/>
      <c r="C791" s="109"/>
      <c r="D791" s="109"/>
      <c r="E791" s="112"/>
      <c r="F791" s="112"/>
      <c r="G791" s="109"/>
      <c r="H791" s="109"/>
      <c r="I791" s="109"/>
      <c r="J791" s="111"/>
      <c r="K791" s="268"/>
      <c r="L791" s="112"/>
      <c r="M791" s="112"/>
      <c r="N791" s="112"/>
      <c r="O791" s="112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</row>
    <row r="792" spans="1:31" ht="12" customHeight="1">
      <c r="A792" s="108"/>
      <c r="B792" s="109"/>
      <c r="C792" s="109"/>
      <c r="D792" s="109"/>
      <c r="E792" s="112"/>
      <c r="F792" s="112"/>
      <c r="G792" s="109"/>
      <c r="H792" s="109"/>
      <c r="I792" s="109"/>
      <c r="J792" s="111"/>
      <c r="K792" s="268"/>
      <c r="L792" s="112"/>
      <c r="M792" s="112"/>
      <c r="N792" s="112"/>
      <c r="O792" s="112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</row>
    <row r="793" spans="1:31" ht="12" customHeight="1">
      <c r="A793" s="108"/>
      <c r="B793" s="109"/>
      <c r="C793" s="109"/>
      <c r="D793" s="109"/>
      <c r="E793" s="112"/>
      <c r="F793" s="112"/>
      <c r="G793" s="109"/>
      <c r="H793" s="109"/>
      <c r="I793" s="109"/>
      <c r="J793" s="111"/>
      <c r="K793" s="268"/>
      <c r="L793" s="112"/>
      <c r="M793" s="112"/>
      <c r="N793" s="112"/>
      <c r="O793" s="112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</row>
    <row r="794" spans="1:31" ht="12" customHeight="1">
      <c r="A794" s="108"/>
      <c r="B794" s="109"/>
      <c r="C794" s="109"/>
      <c r="D794" s="109"/>
      <c r="E794" s="112"/>
      <c r="F794" s="112"/>
      <c r="G794" s="109"/>
      <c r="H794" s="109"/>
      <c r="I794" s="109"/>
      <c r="J794" s="111"/>
      <c r="K794" s="268"/>
      <c r="L794" s="112"/>
      <c r="M794" s="112"/>
      <c r="N794" s="112"/>
      <c r="O794" s="112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</row>
    <row r="795" spans="1:31" ht="12" customHeight="1">
      <c r="A795" s="108"/>
      <c r="B795" s="109"/>
      <c r="C795" s="109"/>
      <c r="D795" s="109"/>
      <c r="E795" s="112"/>
      <c r="F795" s="112"/>
      <c r="G795" s="109"/>
      <c r="H795" s="109"/>
      <c r="I795" s="109"/>
      <c r="J795" s="111"/>
      <c r="K795" s="268"/>
      <c r="L795" s="112"/>
      <c r="M795" s="112"/>
      <c r="N795" s="112"/>
      <c r="O795" s="112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</row>
    <row r="796" spans="1:31" ht="12" customHeight="1">
      <c r="A796" s="108"/>
      <c r="B796" s="109"/>
      <c r="C796" s="109"/>
      <c r="D796" s="109"/>
      <c r="E796" s="112"/>
      <c r="F796" s="112"/>
      <c r="G796" s="109"/>
      <c r="H796" s="109"/>
      <c r="I796" s="109"/>
      <c r="J796" s="111"/>
      <c r="K796" s="268"/>
      <c r="L796" s="112"/>
      <c r="M796" s="112"/>
      <c r="N796" s="112"/>
      <c r="O796" s="112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</row>
    <row r="797" spans="1:31" ht="12" customHeight="1">
      <c r="A797" s="108"/>
      <c r="B797" s="109"/>
      <c r="C797" s="109"/>
      <c r="D797" s="109"/>
      <c r="E797" s="112"/>
      <c r="F797" s="112"/>
      <c r="G797" s="109"/>
      <c r="H797" s="109"/>
      <c r="I797" s="109"/>
      <c r="J797" s="111"/>
      <c r="K797" s="268"/>
      <c r="L797" s="112"/>
      <c r="M797" s="112"/>
      <c r="N797" s="112"/>
      <c r="O797" s="112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</row>
    <row r="798" spans="1:31" ht="12" customHeight="1">
      <c r="A798" s="108"/>
      <c r="B798" s="109"/>
      <c r="C798" s="109"/>
      <c r="D798" s="109"/>
      <c r="E798" s="112"/>
      <c r="F798" s="112"/>
      <c r="G798" s="109"/>
      <c r="H798" s="109"/>
      <c r="I798" s="109"/>
      <c r="J798" s="111"/>
      <c r="K798" s="268"/>
      <c r="L798" s="112"/>
      <c r="M798" s="112"/>
      <c r="N798" s="112"/>
      <c r="O798" s="112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</row>
    <row r="799" spans="1:31" ht="12" customHeight="1">
      <c r="A799" s="108"/>
      <c r="B799" s="109"/>
      <c r="C799" s="109"/>
      <c r="D799" s="109"/>
      <c r="E799" s="112"/>
      <c r="F799" s="112"/>
      <c r="G799" s="109"/>
      <c r="H799" s="109"/>
      <c r="I799" s="109"/>
      <c r="J799" s="111"/>
      <c r="K799" s="268"/>
      <c r="L799" s="112"/>
      <c r="M799" s="112"/>
      <c r="N799" s="112"/>
      <c r="O799" s="112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</row>
    <row r="800" spans="1:31" ht="12" customHeight="1">
      <c r="A800" s="108"/>
      <c r="B800" s="109"/>
      <c r="C800" s="109"/>
      <c r="D800" s="109"/>
      <c r="E800" s="112"/>
      <c r="F800" s="112"/>
      <c r="G800" s="109"/>
      <c r="H800" s="109"/>
      <c r="I800" s="109"/>
      <c r="J800" s="111"/>
      <c r="K800" s="268"/>
      <c r="L800" s="112"/>
      <c r="M800" s="112"/>
      <c r="N800" s="112"/>
      <c r="O800" s="112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</row>
    <row r="801" spans="1:31" ht="12" customHeight="1">
      <c r="A801" s="108"/>
      <c r="B801" s="109"/>
      <c r="C801" s="109"/>
      <c r="D801" s="109"/>
      <c r="E801" s="112"/>
      <c r="F801" s="112"/>
      <c r="G801" s="109"/>
      <c r="H801" s="109"/>
      <c r="I801" s="109"/>
      <c r="J801" s="111"/>
      <c r="K801" s="268"/>
      <c r="L801" s="112"/>
      <c r="M801" s="112"/>
      <c r="N801" s="112"/>
      <c r="O801" s="112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</row>
    <row r="802" spans="1:31" ht="12" customHeight="1">
      <c r="A802" s="108"/>
      <c r="B802" s="109"/>
      <c r="C802" s="109"/>
      <c r="D802" s="109"/>
      <c r="E802" s="112"/>
      <c r="F802" s="112"/>
      <c r="G802" s="109"/>
      <c r="H802" s="109"/>
      <c r="I802" s="109"/>
      <c r="J802" s="111"/>
      <c r="K802" s="268"/>
      <c r="L802" s="112"/>
      <c r="M802" s="112"/>
      <c r="N802" s="112"/>
      <c r="O802" s="112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</row>
    <row r="803" spans="1:31" ht="12" customHeight="1">
      <c r="A803" s="108"/>
      <c r="B803" s="109"/>
      <c r="C803" s="109"/>
      <c r="D803" s="109"/>
      <c r="E803" s="112"/>
      <c r="F803" s="112"/>
      <c r="G803" s="109"/>
      <c r="H803" s="109"/>
      <c r="I803" s="109"/>
      <c r="J803" s="111"/>
      <c r="K803" s="268"/>
      <c r="L803" s="112"/>
      <c r="M803" s="112"/>
      <c r="N803" s="112"/>
      <c r="O803" s="112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</row>
    <row r="804" spans="1:31" ht="12" customHeight="1">
      <c r="A804" s="108"/>
      <c r="B804" s="109"/>
      <c r="C804" s="109"/>
      <c r="D804" s="109"/>
      <c r="E804" s="112"/>
      <c r="F804" s="112"/>
      <c r="G804" s="109"/>
      <c r="H804" s="109"/>
      <c r="I804" s="109"/>
      <c r="J804" s="111"/>
      <c r="K804" s="268"/>
      <c r="L804" s="112"/>
      <c r="M804" s="112"/>
      <c r="N804" s="112"/>
      <c r="O804" s="112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</row>
    <row r="805" spans="1:31" ht="12" customHeight="1">
      <c r="A805" s="108"/>
      <c r="B805" s="109"/>
      <c r="C805" s="109"/>
      <c r="D805" s="109"/>
      <c r="E805" s="112"/>
      <c r="F805" s="112"/>
      <c r="G805" s="109"/>
      <c r="H805" s="109"/>
      <c r="I805" s="109"/>
      <c r="J805" s="111"/>
      <c r="K805" s="268"/>
      <c r="L805" s="112"/>
      <c r="M805" s="112"/>
      <c r="N805" s="112"/>
      <c r="O805" s="112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</row>
    <row r="806" spans="1:31" ht="12" customHeight="1">
      <c r="A806" s="108"/>
      <c r="B806" s="109"/>
      <c r="C806" s="109"/>
      <c r="D806" s="109"/>
      <c r="E806" s="112"/>
      <c r="F806" s="112"/>
      <c r="G806" s="109"/>
      <c r="H806" s="109"/>
      <c r="I806" s="109"/>
      <c r="J806" s="111"/>
      <c r="K806" s="268"/>
      <c r="L806" s="112"/>
      <c r="M806" s="112"/>
      <c r="N806" s="112"/>
      <c r="O806" s="112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</row>
    <row r="807" spans="1:31" ht="12" customHeight="1">
      <c r="A807" s="108"/>
      <c r="B807" s="109"/>
      <c r="C807" s="109"/>
      <c r="D807" s="109"/>
      <c r="E807" s="112"/>
      <c r="F807" s="112"/>
      <c r="G807" s="109"/>
      <c r="H807" s="109"/>
      <c r="I807" s="109"/>
      <c r="J807" s="111"/>
      <c r="K807" s="268"/>
      <c r="L807" s="112"/>
      <c r="M807" s="112"/>
      <c r="N807" s="112"/>
      <c r="O807" s="112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</row>
    <row r="808" spans="1:31" ht="12" customHeight="1">
      <c r="A808" s="108"/>
      <c r="B808" s="109"/>
      <c r="C808" s="109"/>
      <c r="D808" s="109"/>
      <c r="E808" s="112"/>
      <c r="F808" s="112"/>
      <c r="G808" s="109"/>
      <c r="H808" s="109"/>
      <c r="I808" s="109"/>
      <c r="J808" s="111"/>
      <c r="K808" s="268"/>
      <c r="L808" s="112"/>
      <c r="M808" s="112"/>
      <c r="N808" s="112"/>
      <c r="O808" s="112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</row>
    <row r="809" spans="1:31" ht="12" customHeight="1">
      <c r="A809" s="108"/>
      <c r="B809" s="109"/>
      <c r="C809" s="109"/>
      <c r="D809" s="109"/>
      <c r="E809" s="112"/>
      <c r="F809" s="112"/>
      <c r="G809" s="109"/>
      <c r="H809" s="109"/>
      <c r="I809" s="109"/>
      <c r="J809" s="111"/>
      <c r="K809" s="268"/>
      <c r="L809" s="112"/>
      <c r="M809" s="112"/>
      <c r="N809" s="112"/>
      <c r="O809" s="112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</row>
    <row r="810" spans="1:31" ht="12" customHeight="1">
      <c r="A810" s="108"/>
      <c r="B810" s="109"/>
      <c r="C810" s="109"/>
      <c r="D810" s="109"/>
      <c r="E810" s="112"/>
      <c r="F810" s="112"/>
      <c r="G810" s="109"/>
      <c r="H810" s="109"/>
      <c r="I810" s="109"/>
      <c r="J810" s="111"/>
      <c r="K810" s="268"/>
      <c r="L810" s="112"/>
      <c r="M810" s="112"/>
      <c r="N810" s="112"/>
      <c r="O810" s="112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</row>
    <row r="811" spans="1:31" ht="12" customHeight="1">
      <c r="A811" s="108"/>
      <c r="B811" s="109"/>
      <c r="C811" s="109"/>
      <c r="D811" s="109"/>
      <c r="E811" s="112"/>
      <c r="F811" s="112"/>
      <c r="G811" s="109"/>
      <c r="H811" s="109"/>
      <c r="I811" s="109"/>
      <c r="J811" s="111"/>
      <c r="K811" s="268"/>
      <c r="L811" s="112"/>
      <c r="M811" s="112"/>
      <c r="N811" s="112"/>
      <c r="O811" s="112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</row>
    <row r="812" spans="1:31" ht="12" customHeight="1">
      <c r="A812" s="108"/>
      <c r="B812" s="109"/>
      <c r="C812" s="109"/>
      <c r="D812" s="109"/>
      <c r="E812" s="112"/>
      <c r="F812" s="112"/>
      <c r="G812" s="109"/>
      <c r="H812" s="109"/>
      <c r="I812" s="109"/>
      <c r="J812" s="111"/>
      <c r="K812" s="268"/>
      <c r="L812" s="112"/>
      <c r="M812" s="112"/>
      <c r="N812" s="112"/>
      <c r="O812" s="112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</row>
    <row r="813" spans="1:31" ht="12" customHeight="1">
      <c r="A813" s="108"/>
      <c r="B813" s="109"/>
      <c r="C813" s="109"/>
      <c r="D813" s="109"/>
      <c r="E813" s="112"/>
      <c r="F813" s="112"/>
      <c r="G813" s="109"/>
      <c r="H813" s="109"/>
      <c r="I813" s="109"/>
      <c r="J813" s="111"/>
      <c r="K813" s="268"/>
      <c r="L813" s="112"/>
      <c r="M813" s="112"/>
      <c r="N813" s="112"/>
      <c r="O813" s="112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</row>
    <row r="814" spans="1:31" ht="12" customHeight="1">
      <c r="A814" s="108"/>
      <c r="B814" s="109"/>
      <c r="C814" s="109"/>
      <c r="D814" s="109"/>
      <c r="E814" s="112"/>
      <c r="F814" s="112"/>
      <c r="G814" s="109"/>
      <c r="H814" s="109"/>
      <c r="I814" s="109"/>
      <c r="J814" s="111"/>
      <c r="K814" s="268"/>
      <c r="L814" s="112"/>
      <c r="M814" s="112"/>
      <c r="N814" s="112"/>
      <c r="O814" s="112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</row>
    <row r="815" spans="1:31" ht="12" customHeight="1">
      <c r="A815" s="108"/>
      <c r="B815" s="109"/>
      <c r="C815" s="109"/>
      <c r="D815" s="109"/>
      <c r="E815" s="112"/>
      <c r="F815" s="112"/>
      <c r="G815" s="109"/>
      <c r="H815" s="109"/>
      <c r="I815" s="109"/>
      <c r="J815" s="111"/>
      <c r="K815" s="268"/>
      <c r="L815" s="112"/>
      <c r="M815" s="112"/>
      <c r="N815" s="112"/>
      <c r="O815" s="112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</row>
    <row r="816" spans="1:31" ht="12" customHeight="1">
      <c r="A816" s="108"/>
      <c r="B816" s="109"/>
      <c r="C816" s="109"/>
      <c r="D816" s="109"/>
      <c r="E816" s="112"/>
      <c r="F816" s="112"/>
      <c r="G816" s="109"/>
      <c r="H816" s="109"/>
      <c r="I816" s="109"/>
      <c r="J816" s="111"/>
      <c r="K816" s="268"/>
      <c r="L816" s="112"/>
      <c r="M816" s="112"/>
      <c r="N816" s="112"/>
      <c r="O816" s="112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</row>
    <row r="817" spans="1:31" ht="12" customHeight="1">
      <c r="A817" s="108"/>
      <c r="B817" s="109"/>
      <c r="C817" s="109"/>
      <c r="D817" s="109"/>
      <c r="E817" s="112"/>
      <c r="F817" s="112"/>
      <c r="G817" s="109"/>
      <c r="H817" s="109"/>
      <c r="I817" s="109"/>
      <c r="J817" s="111"/>
      <c r="K817" s="268"/>
      <c r="L817" s="112"/>
      <c r="M817" s="112"/>
      <c r="N817" s="112"/>
      <c r="O817" s="112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</row>
    <row r="818" spans="1:31" ht="12" customHeight="1">
      <c r="A818" s="108"/>
      <c r="B818" s="109"/>
      <c r="C818" s="109"/>
      <c r="D818" s="109"/>
      <c r="E818" s="112"/>
      <c r="F818" s="112"/>
      <c r="G818" s="109"/>
      <c r="H818" s="109"/>
      <c r="I818" s="109"/>
      <c r="J818" s="111"/>
      <c r="K818" s="268"/>
      <c r="L818" s="112"/>
      <c r="M818" s="112"/>
      <c r="N818" s="112"/>
      <c r="O818" s="112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</row>
    <row r="819" spans="1:31" ht="12" customHeight="1">
      <c r="A819" s="108"/>
      <c r="B819" s="109"/>
      <c r="C819" s="109"/>
      <c r="D819" s="109"/>
      <c r="E819" s="112"/>
      <c r="F819" s="112"/>
      <c r="G819" s="109"/>
      <c r="H819" s="109"/>
      <c r="I819" s="109"/>
      <c r="J819" s="111"/>
      <c r="K819" s="268"/>
      <c r="L819" s="112"/>
      <c r="M819" s="112"/>
      <c r="N819" s="112"/>
      <c r="O819" s="112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</row>
    <row r="820" spans="1:31" ht="12" customHeight="1">
      <c r="A820" s="108"/>
      <c r="B820" s="109"/>
      <c r="C820" s="109"/>
      <c r="D820" s="109"/>
      <c r="E820" s="112"/>
      <c r="F820" s="112"/>
      <c r="G820" s="109"/>
      <c r="H820" s="109"/>
      <c r="I820" s="109"/>
      <c r="J820" s="111"/>
      <c r="K820" s="268"/>
      <c r="L820" s="112"/>
      <c r="M820" s="112"/>
      <c r="N820" s="112"/>
      <c r="O820" s="112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</row>
    <row r="821" spans="1:31" ht="12" customHeight="1">
      <c r="A821" s="108"/>
      <c r="B821" s="109"/>
      <c r="C821" s="109"/>
      <c r="D821" s="109"/>
      <c r="E821" s="112"/>
      <c r="F821" s="112"/>
      <c r="G821" s="109"/>
      <c r="H821" s="109"/>
      <c r="I821" s="109"/>
      <c r="J821" s="111"/>
      <c r="K821" s="268"/>
      <c r="L821" s="112"/>
      <c r="M821" s="112"/>
      <c r="N821" s="112"/>
      <c r="O821" s="112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</row>
    <row r="822" spans="1:31" ht="12" customHeight="1">
      <c r="A822" s="108"/>
      <c r="B822" s="109"/>
      <c r="C822" s="109"/>
      <c r="D822" s="109"/>
      <c r="E822" s="112"/>
      <c r="F822" s="112"/>
      <c r="G822" s="109"/>
      <c r="H822" s="109"/>
      <c r="I822" s="109"/>
      <c r="J822" s="111"/>
      <c r="K822" s="268"/>
      <c r="L822" s="112"/>
      <c r="M822" s="112"/>
      <c r="N822" s="112"/>
      <c r="O822" s="112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</row>
    <row r="823" spans="1:31" ht="12" customHeight="1">
      <c r="A823" s="108"/>
      <c r="B823" s="109"/>
      <c r="C823" s="109"/>
      <c r="D823" s="109"/>
      <c r="E823" s="112"/>
      <c r="F823" s="112"/>
      <c r="G823" s="109"/>
      <c r="H823" s="109"/>
      <c r="I823" s="109"/>
      <c r="J823" s="111"/>
      <c r="K823" s="268"/>
      <c r="L823" s="112"/>
      <c r="M823" s="112"/>
      <c r="N823" s="112"/>
      <c r="O823" s="112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</row>
    <row r="824" spans="1:31" ht="12" customHeight="1">
      <c r="A824" s="108"/>
      <c r="B824" s="109"/>
      <c r="C824" s="109"/>
      <c r="D824" s="109"/>
      <c r="E824" s="112"/>
      <c r="F824" s="112"/>
      <c r="G824" s="109"/>
      <c r="H824" s="109"/>
      <c r="I824" s="109"/>
      <c r="J824" s="111"/>
      <c r="K824" s="268"/>
      <c r="L824" s="112"/>
      <c r="M824" s="112"/>
      <c r="N824" s="112"/>
      <c r="O824" s="112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</row>
    <row r="825" spans="1:31" ht="12" customHeight="1">
      <c r="A825" s="108"/>
      <c r="B825" s="109"/>
      <c r="C825" s="109"/>
      <c r="D825" s="109"/>
      <c r="E825" s="112"/>
      <c r="F825" s="112"/>
      <c r="G825" s="109"/>
      <c r="H825" s="109"/>
      <c r="I825" s="109"/>
      <c r="J825" s="111"/>
      <c r="K825" s="268"/>
      <c r="L825" s="112"/>
      <c r="M825" s="112"/>
      <c r="N825" s="112"/>
      <c r="O825" s="112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</row>
    <row r="826" spans="1:31" ht="12" customHeight="1">
      <c r="A826" s="108"/>
      <c r="B826" s="109"/>
      <c r="C826" s="109"/>
      <c r="D826" s="109"/>
      <c r="E826" s="112"/>
      <c r="F826" s="112"/>
      <c r="G826" s="109"/>
      <c r="H826" s="109"/>
      <c r="I826" s="109"/>
      <c r="J826" s="111"/>
      <c r="K826" s="268"/>
      <c r="L826" s="112"/>
      <c r="M826" s="112"/>
      <c r="N826" s="112"/>
      <c r="O826" s="112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</row>
    <row r="827" spans="1:31" ht="12" customHeight="1">
      <c r="A827" s="108"/>
      <c r="B827" s="109"/>
      <c r="C827" s="109"/>
      <c r="D827" s="109"/>
      <c r="E827" s="112"/>
      <c r="F827" s="112"/>
      <c r="G827" s="109"/>
      <c r="H827" s="109"/>
      <c r="I827" s="109"/>
      <c r="J827" s="111"/>
      <c r="K827" s="268"/>
      <c r="L827" s="112"/>
      <c r="M827" s="112"/>
      <c r="N827" s="112"/>
      <c r="O827" s="112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</row>
    <row r="828" spans="1:31" ht="12" customHeight="1">
      <c r="A828" s="108"/>
      <c r="B828" s="109"/>
      <c r="C828" s="109"/>
      <c r="D828" s="109"/>
      <c r="E828" s="112"/>
      <c r="F828" s="112"/>
      <c r="G828" s="109"/>
      <c r="H828" s="109"/>
      <c r="I828" s="109"/>
      <c r="J828" s="111"/>
      <c r="K828" s="268"/>
      <c r="L828" s="112"/>
      <c r="M828" s="112"/>
      <c r="N828" s="112"/>
      <c r="O828" s="112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</row>
    <row r="829" spans="1:31" ht="12" customHeight="1">
      <c r="A829" s="108"/>
      <c r="B829" s="109"/>
      <c r="C829" s="109"/>
      <c r="D829" s="109"/>
      <c r="E829" s="112"/>
      <c r="F829" s="112"/>
      <c r="G829" s="109"/>
      <c r="H829" s="109"/>
      <c r="I829" s="109"/>
      <c r="J829" s="111"/>
      <c r="K829" s="268"/>
      <c r="L829" s="112"/>
      <c r="M829" s="112"/>
      <c r="N829" s="112"/>
      <c r="O829" s="112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</row>
    <row r="830" spans="1:31" ht="12" customHeight="1">
      <c r="A830" s="108"/>
      <c r="B830" s="109"/>
      <c r="C830" s="109"/>
      <c r="D830" s="109"/>
      <c r="E830" s="112"/>
      <c r="F830" s="112"/>
      <c r="G830" s="109"/>
      <c r="H830" s="109"/>
      <c r="I830" s="109"/>
      <c r="J830" s="111"/>
      <c r="K830" s="268"/>
      <c r="L830" s="112"/>
      <c r="M830" s="112"/>
      <c r="N830" s="112"/>
      <c r="O830" s="112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</row>
    <row r="831" spans="1:31" ht="12" customHeight="1">
      <c r="A831" s="108"/>
      <c r="B831" s="109"/>
      <c r="C831" s="109"/>
      <c r="D831" s="109"/>
      <c r="E831" s="112"/>
      <c r="F831" s="112"/>
      <c r="G831" s="109"/>
      <c r="H831" s="109"/>
      <c r="I831" s="109"/>
      <c r="J831" s="111"/>
      <c r="K831" s="268"/>
      <c r="L831" s="112"/>
      <c r="M831" s="112"/>
      <c r="N831" s="112"/>
      <c r="O831" s="112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</row>
    <row r="832" spans="1:31" ht="12" customHeight="1">
      <c r="A832" s="108"/>
      <c r="B832" s="109"/>
      <c r="C832" s="109"/>
      <c r="D832" s="109"/>
      <c r="E832" s="112"/>
      <c r="F832" s="112"/>
      <c r="G832" s="109"/>
      <c r="H832" s="109"/>
      <c r="I832" s="109"/>
      <c r="J832" s="111"/>
      <c r="K832" s="268"/>
      <c r="L832" s="112"/>
      <c r="M832" s="112"/>
      <c r="N832" s="112"/>
      <c r="O832" s="112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</row>
    <row r="833" spans="1:31" ht="12" customHeight="1">
      <c r="A833" s="108"/>
      <c r="B833" s="109"/>
      <c r="C833" s="109"/>
      <c r="D833" s="109"/>
      <c r="E833" s="112"/>
      <c r="F833" s="112"/>
      <c r="G833" s="109"/>
      <c r="H833" s="109"/>
      <c r="I833" s="109"/>
      <c r="J833" s="111"/>
      <c r="K833" s="268"/>
      <c r="L833" s="112"/>
      <c r="M833" s="112"/>
      <c r="N833" s="112"/>
      <c r="O833" s="112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</row>
    <row r="834" spans="1:31" ht="12" customHeight="1">
      <c r="A834" s="108"/>
      <c r="B834" s="109"/>
      <c r="C834" s="109"/>
      <c r="D834" s="109"/>
      <c r="E834" s="112"/>
      <c r="F834" s="112"/>
      <c r="G834" s="109"/>
      <c r="H834" s="109"/>
      <c r="I834" s="109"/>
      <c r="J834" s="111"/>
      <c r="K834" s="268"/>
      <c r="L834" s="112"/>
      <c r="M834" s="112"/>
      <c r="N834" s="112"/>
      <c r="O834" s="112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</row>
    <row r="835" spans="1:31" ht="12" customHeight="1">
      <c r="A835" s="108"/>
      <c r="B835" s="109"/>
      <c r="C835" s="109"/>
      <c r="D835" s="109"/>
      <c r="E835" s="112"/>
      <c r="F835" s="112"/>
      <c r="G835" s="109"/>
      <c r="H835" s="109"/>
      <c r="I835" s="109"/>
      <c r="J835" s="111"/>
      <c r="K835" s="268"/>
      <c r="L835" s="112"/>
      <c r="M835" s="112"/>
      <c r="N835" s="112"/>
      <c r="O835" s="112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</row>
    <row r="836" spans="1:31" ht="12" customHeight="1">
      <c r="A836" s="108"/>
      <c r="B836" s="109"/>
      <c r="C836" s="109"/>
      <c r="D836" s="109"/>
      <c r="E836" s="112"/>
      <c r="F836" s="112"/>
      <c r="G836" s="109"/>
      <c r="H836" s="109"/>
      <c r="I836" s="109"/>
      <c r="J836" s="111"/>
      <c r="K836" s="268"/>
      <c r="L836" s="112"/>
      <c r="M836" s="112"/>
      <c r="N836" s="112"/>
      <c r="O836" s="112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</row>
    <row r="837" spans="1:31" ht="12" customHeight="1">
      <c r="A837" s="108"/>
      <c r="B837" s="109"/>
      <c r="C837" s="109"/>
      <c r="D837" s="109"/>
      <c r="E837" s="112"/>
      <c r="F837" s="112"/>
      <c r="G837" s="109"/>
      <c r="H837" s="109"/>
      <c r="I837" s="109"/>
      <c r="J837" s="111"/>
      <c r="K837" s="268"/>
      <c r="L837" s="112"/>
      <c r="M837" s="112"/>
      <c r="N837" s="112"/>
      <c r="O837" s="112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</row>
    <row r="838" spans="1:31" ht="12" customHeight="1">
      <c r="A838" s="108"/>
      <c r="B838" s="109"/>
      <c r="C838" s="109"/>
      <c r="D838" s="109"/>
      <c r="E838" s="112"/>
      <c r="F838" s="112"/>
      <c r="G838" s="109"/>
      <c r="H838" s="109"/>
      <c r="I838" s="109"/>
      <c r="J838" s="111"/>
      <c r="K838" s="268"/>
      <c r="L838" s="112"/>
      <c r="M838" s="112"/>
      <c r="N838" s="112"/>
      <c r="O838" s="112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</row>
    <row r="839" spans="1:31" ht="12" customHeight="1">
      <c r="A839" s="108"/>
      <c r="B839" s="109"/>
      <c r="C839" s="109"/>
      <c r="D839" s="109"/>
      <c r="E839" s="112"/>
      <c r="F839" s="112"/>
      <c r="G839" s="109"/>
      <c r="H839" s="109"/>
      <c r="I839" s="109"/>
      <c r="J839" s="111"/>
      <c r="K839" s="268"/>
      <c r="L839" s="112"/>
      <c r="M839" s="112"/>
      <c r="N839" s="112"/>
      <c r="O839" s="112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</row>
    <row r="840" spans="1:31" ht="12" customHeight="1">
      <c r="A840" s="108"/>
      <c r="B840" s="109"/>
      <c r="C840" s="109"/>
      <c r="D840" s="109"/>
      <c r="E840" s="112"/>
      <c r="F840" s="112"/>
      <c r="G840" s="109"/>
      <c r="H840" s="109"/>
      <c r="I840" s="109"/>
      <c r="J840" s="111"/>
      <c r="K840" s="268"/>
      <c r="L840" s="112"/>
      <c r="M840" s="112"/>
      <c r="N840" s="112"/>
      <c r="O840" s="112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</row>
    <row r="841" spans="1:31" ht="12" customHeight="1">
      <c r="A841" s="108"/>
      <c r="B841" s="109"/>
      <c r="C841" s="109"/>
      <c r="D841" s="109"/>
      <c r="E841" s="112"/>
      <c r="F841" s="112"/>
      <c r="G841" s="109"/>
      <c r="H841" s="109"/>
      <c r="I841" s="109"/>
      <c r="J841" s="111"/>
      <c r="K841" s="268"/>
      <c r="L841" s="112"/>
      <c r="M841" s="112"/>
      <c r="N841" s="112"/>
      <c r="O841" s="112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</row>
    <row r="842" spans="1:31" ht="12" customHeight="1">
      <c r="A842" s="108"/>
      <c r="B842" s="109"/>
      <c r="C842" s="109"/>
      <c r="D842" s="109"/>
      <c r="E842" s="112"/>
      <c r="F842" s="112"/>
      <c r="G842" s="109"/>
      <c r="H842" s="109"/>
      <c r="I842" s="109"/>
      <c r="J842" s="111"/>
      <c r="K842" s="268"/>
      <c r="L842" s="112"/>
      <c r="M842" s="112"/>
      <c r="N842" s="112"/>
      <c r="O842" s="112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</row>
    <row r="843" spans="1:31" ht="12" customHeight="1">
      <c r="A843" s="108"/>
      <c r="B843" s="109"/>
      <c r="C843" s="109"/>
      <c r="D843" s="109"/>
      <c r="E843" s="112"/>
      <c r="F843" s="112"/>
      <c r="G843" s="109"/>
      <c r="H843" s="109"/>
      <c r="I843" s="109"/>
      <c r="J843" s="111"/>
      <c r="K843" s="268"/>
      <c r="L843" s="112"/>
      <c r="M843" s="112"/>
      <c r="N843" s="112"/>
      <c r="O843" s="112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</row>
    <row r="844" spans="1:31" ht="12" customHeight="1">
      <c r="A844" s="108"/>
      <c r="B844" s="109"/>
      <c r="C844" s="109"/>
      <c r="D844" s="109"/>
      <c r="E844" s="112"/>
      <c r="F844" s="112"/>
      <c r="G844" s="109"/>
      <c r="H844" s="109"/>
      <c r="I844" s="109"/>
      <c r="J844" s="111"/>
      <c r="K844" s="268"/>
      <c r="L844" s="112"/>
      <c r="M844" s="112"/>
      <c r="N844" s="112"/>
      <c r="O844" s="112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</row>
    <row r="845" spans="1:31" ht="12" customHeight="1">
      <c r="A845" s="108"/>
      <c r="B845" s="109"/>
      <c r="C845" s="109"/>
      <c r="D845" s="109"/>
      <c r="E845" s="112"/>
      <c r="F845" s="112"/>
      <c r="G845" s="109"/>
      <c r="H845" s="109"/>
      <c r="I845" s="109"/>
      <c r="J845" s="111"/>
      <c r="K845" s="268"/>
      <c r="L845" s="112"/>
      <c r="M845" s="112"/>
      <c r="N845" s="112"/>
      <c r="O845" s="112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</row>
    <row r="846" spans="1:31" ht="12" customHeight="1">
      <c r="A846" s="108"/>
      <c r="B846" s="109"/>
      <c r="C846" s="109"/>
      <c r="D846" s="109"/>
      <c r="E846" s="112"/>
      <c r="F846" s="112"/>
      <c r="G846" s="109"/>
      <c r="H846" s="109"/>
      <c r="I846" s="109"/>
      <c r="J846" s="111"/>
      <c r="K846" s="268"/>
      <c r="L846" s="112"/>
      <c r="M846" s="112"/>
      <c r="N846" s="112"/>
      <c r="O846" s="112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</row>
    <row r="847" spans="1:31" ht="12" customHeight="1">
      <c r="A847" s="108"/>
      <c r="B847" s="109"/>
      <c r="C847" s="109"/>
      <c r="D847" s="109"/>
      <c r="E847" s="112"/>
      <c r="F847" s="112"/>
      <c r="G847" s="109"/>
      <c r="H847" s="109"/>
      <c r="I847" s="109"/>
      <c r="J847" s="111"/>
      <c r="K847" s="268"/>
      <c r="L847" s="112"/>
      <c r="M847" s="112"/>
      <c r="N847" s="112"/>
      <c r="O847" s="112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</row>
    <row r="848" spans="1:31" ht="12" customHeight="1">
      <c r="A848" s="108"/>
      <c r="B848" s="109"/>
      <c r="C848" s="109"/>
      <c r="D848" s="109"/>
      <c r="E848" s="112"/>
      <c r="F848" s="112"/>
      <c r="G848" s="109"/>
      <c r="H848" s="109"/>
      <c r="I848" s="109"/>
      <c r="J848" s="111"/>
      <c r="K848" s="268"/>
      <c r="L848" s="112"/>
      <c r="M848" s="112"/>
      <c r="N848" s="112"/>
      <c r="O848" s="112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</row>
    <row r="849" spans="1:31" ht="12" customHeight="1">
      <c r="A849" s="108"/>
      <c r="B849" s="109"/>
      <c r="C849" s="109"/>
      <c r="D849" s="109"/>
      <c r="E849" s="112"/>
      <c r="F849" s="112"/>
      <c r="G849" s="109"/>
      <c r="H849" s="109"/>
      <c r="I849" s="109"/>
      <c r="J849" s="111"/>
      <c r="K849" s="268"/>
      <c r="L849" s="112"/>
      <c r="M849" s="112"/>
      <c r="N849" s="112"/>
      <c r="O849" s="112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</row>
    <row r="850" spans="1:31" ht="12" customHeight="1">
      <c r="A850" s="108"/>
      <c r="B850" s="109"/>
      <c r="C850" s="109"/>
      <c r="D850" s="109"/>
      <c r="E850" s="112"/>
      <c r="F850" s="112"/>
      <c r="G850" s="109"/>
      <c r="H850" s="109"/>
      <c r="I850" s="109"/>
      <c r="J850" s="111"/>
      <c r="K850" s="268"/>
      <c r="L850" s="112"/>
      <c r="M850" s="112"/>
      <c r="N850" s="112"/>
      <c r="O850" s="112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</row>
    <row r="851" spans="1:31" ht="12" customHeight="1">
      <c r="A851" s="108"/>
      <c r="B851" s="109"/>
      <c r="C851" s="109"/>
      <c r="D851" s="109"/>
      <c r="E851" s="112"/>
      <c r="F851" s="112"/>
      <c r="G851" s="109"/>
      <c r="H851" s="109"/>
      <c r="I851" s="109"/>
      <c r="J851" s="111"/>
      <c r="K851" s="268"/>
      <c r="L851" s="112"/>
      <c r="M851" s="112"/>
      <c r="N851" s="112"/>
      <c r="O851" s="112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</row>
    <row r="852" spans="1:31" ht="12" customHeight="1">
      <c r="A852" s="108"/>
      <c r="B852" s="109"/>
      <c r="C852" s="109"/>
      <c r="D852" s="109"/>
      <c r="E852" s="112"/>
      <c r="F852" s="112"/>
      <c r="G852" s="109"/>
      <c r="H852" s="109"/>
      <c r="I852" s="109"/>
      <c r="J852" s="111"/>
      <c r="K852" s="268"/>
      <c r="L852" s="112"/>
      <c r="M852" s="112"/>
      <c r="N852" s="112"/>
      <c r="O852" s="112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</row>
    <row r="853" spans="1:31" ht="12" customHeight="1">
      <c r="A853" s="108"/>
      <c r="B853" s="109"/>
      <c r="C853" s="109"/>
      <c r="D853" s="109"/>
      <c r="E853" s="112"/>
      <c r="F853" s="112"/>
      <c r="G853" s="109"/>
      <c r="H853" s="109"/>
      <c r="I853" s="109"/>
      <c r="J853" s="111"/>
      <c r="K853" s="268"/>
      <c r="L853" s="112"/>
      <c r="M853" s="112"/>
      <c r="N853" s="112"/>
      <c r="O853" s="112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</row>
    <row r="854" spans="1:31" ht="12" customHeight="1">
      <c r="A854" s="108"/>
      <c r="B854" s="109"/>
      <c r="C854" s="109"/>
      <c r="D854" s="109"/>
      <c r="E854" s="112"/>
      <c r="F854" s="112"/>
      <c r="G854" s="109"/>
      <c r="H854" s="109"/>
      <c r="I854" s="109"/>
      <c r="J854" s="111"/>
      <c r="K854" s="268"/>
      <c r="L854" s="112"/>
      <c r="M854" s="112"/>
      <c r="N854" s="112"/>
      <c r="O854" s="112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</row>
    <row r="855" spans="1:31" ht="12" customHeight="1">
      <c r="A855" s="108"/>
      <c r="B855" s="109"/>
      <c r="C855" s="109"/>
      <c r="D855" s="109"/>
      <c r="E855" s="112"/>
      <c r="F855" s="112"/>
      <c r="G855" s="109"/>
      <c r="H855" s="109"/>
      <c r="I855" s="109"/>
      <c r="J855" s="111"/>
      <c r="K855" s="268"/>
      <c r="L855" s="112"/>
      <c r="M855" s="112"/>
      <c r="N855" s="112"/>
      <c r="O855" s="112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</row>
    <row r="856" spans="1:31" ht="12" customHeight="1">
      <c r="A856" s="108"/>
      <c r="B856" s="109"/>
      <c r="C856" s="109"/>
      <c r="D856" s="109"/>
      <c r="E856" s="112"/>
      <c r="F856" s="112"/>
      <c r="G856" s="109"/>
      <c r="H856" s="109"/>
      <c r="I856" s="109"/>
      <c r="J856" s="111"/>
      <c r="K856" s="268"/>
      <c r="L856" s="112"/>
      <c r="M856" s="112"/>
      <c r="N856" s="112"/>
      <c r="O856" s="112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</row>
    <row r="857" spans="1:31" ht="12" customHeight="1">
      <c r="A857" s="108"/>
      <c r="B857" s="109"/>
      <c r="C857" s="109"/>
      <c r="D857" s="109"/>
      <c r="E857" s="112"/>
      <c r="F857" s="112"/>
      <c r="G857" s="109"/>
      <c r="H857" s="109"/>
      <c r="I857" s="109"/>
      <c r="J857" s="111"/>
      <c r="K857" s="268"/>
      <c r="L857" s="112"/>
      <c r="M857" s="112"/>
      <c r="N857" s="112"/>
      <c r="O857" s="112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</row>
    <row r="858" spans="1:31" ht="12" customHeight="1">
      <c r="A858" s="108"/>
      <c r="B858" s="109"/>
      <c r="C858" s="109"/>
      <c r="D858" s="109"/>
      <c r="E858" s="112"/>
      <c r="F858" s="112"/>
      <c r="G858" s="109"/>
      <c r="H858" s="109"/>
      <c r="I858" s="109"/>
      <c r="J858" s="111"/>
      <c r="K858" s="268"/>
      <c r="L858" s="112"/>
      <c r="M858" s="112"/>
      <c r="N858" s="112"/>
      <c r="O858" s="112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</row>
    <row r="859" spans="1:31" ht="12" customHeight="1">
      <c r="A859" s="108"/>
      <c r="B859" s="109"/>
      <c r="C859" s="109"/>
      <c r="D859" s="109"/>
      <c r="E859" s="112"/>
      <c r="F859" s="112"/>
      <c r="G859" s="109"/>
      <c r="H859" s="109"/>
      <c r="I859" s="109"/>
      <c r="J859" s="111"/>
      <c r="K859" s="268"/>
      <c r="L859" s="112"/>
      <c r="M859" s="112"/>
      <c r="N859" s="112"/>
      <c r="O859" s="112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</row>
    <row r="860" spans="1:31" ht="12" customHeight="1">
      <c r="A860" s="108"/>
      <c r="B860" s="109"/>
      <c r="C860" s="109"/>
      <c r="D860" s="109"/>
      <c r="E860" s="112"/>
      <c r="F860" s="112"/>
      <c r="G860" s="109"/>
      <c r="H860" s="109"/>
      <c r="I860" s="109"/>
      <c r="J860" s="111"/>
      <c r="K860" s="268"/>
      <c r="L860" s="112"/>
      <c r="M860" s="112"/>
      <c r="N860" s="112"/>
      <c r="O860" s="112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</row>
    <row r="861" spans="1:31" ht="12" customHeight="1">
      <c r="A861" s="108"/>
      <c r="B861" s="109"/>
      <c r="C861" s="109"/>
      <c r="D861" s="109"/>
      <c r="E861" s="112"/>
      <c r="F861" s="112"/>
      <c r="G861" s="109"/>
      <c r="H861" s="109"/>
      <c r="I861" s="109"/>
      <c r="J861" s="111"/>
      <c r="K861" s="268"/>
      <c r="L861" s="112"/>
      <c r="M861" s="112"/>
      <c r="N861" s="112"/>
      <c r="O861" s="112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</row>
    <row r="862" spans="1:31" ht="12" customHeight="1">
      <c r="A862" s="108"/>
      <c r="B862" s="109"/>
      <c r="C862" s="109"/>
      <c r="D862" s="109"/>
      <c r="E862" s="112"/>
      <c r="F862" s="112"/>
      <c r="G862" s="109"/>
      <c r="H862" s="109"/>
      <c r="I862" s="109"/>
      <c r="J862" s="111"/>
      <c r="K862" s="268"/>
      <c r="L862" s="112"/>
      <c r="M862" s="112"/>
      <c r="N862" s="112"/>
      <c r="O862" s="112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</row>
    <row r="863" spans="1:31" ht="12" customHeight="1">
      <c r="A863" s="108"/>
      <c r="B863" s="109"/>
      <c r="C863" s="109"/>
      <c r="D863" s="109"/>
      <c r="E863" s="112"/>
      <c r="F863" s="112"/>
      <c r="G863" s="109"/>
      <c r="H863" s="109"/>
      <c r="I863" s="109"/>
      <c r="J863" s="111"/>
      <c r="K863" s="268"/>
      <c r="L863" s="112"/>
      <c r="M863" s="112"/>
      <c r="N863" s="112"/>
      <c r="O863" s="112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</row>
    <row r="864" spans="1:31" ht="12" customHeight="1">
      <c r="A864" s="108"/>
      <c r="B864" s="109"/>
      <c r="C864" s="109"/>
      <c r="D864" s="109"/>
      <c r="E864" s="112"/>
      <c r="F864" s="112"/>
      <c r="G864" s="109"/>
      <c r="H864" s="109"/>
      <c r="I864" s="109"/>
      <c r="J864" s="111"/>
      <c r="K864" s="268"/>
      <c r="L864" s="112"/>
      <c r="M864" s="112"/>
      <c r="N864" s="112"/>
      <c r="O864" s="112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</row>
    <row r="865" spans="1:31" ht="12" customHeight="1">
      <c r="A865" s="108"/>
      <c r="B865" s="109"/>
      <c r="C865" s="109"/>
      <c r="D865" s="109"/>
      <c r="E865" s="112"/>
      <c r="F865" s="112"/>
      <c r="G865" s="109"/>
      <c r="H865" s="109"/>
      <c r="I865" s="109"/>
      <c r="J865" s="111"/>
      <c r="K865" s="268"/>
      <c r="L865" s="112"/>
      <c r="M865" s="112"/>
      <c r="N865" s="112"/>
      <c r="O865" s="112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</row>
    <row r="866" spans="1:31" ht="12" customHeight="1">
      <c r="A866" s="108"/>
      <c r="B866" s="109"/>
      <c r="C866" s="109"/>
      <c r="D866" s="109"/>
      <c r="E866" s="112"/>
      <c r="F866" s="112"/>
      <c r="G866" s="109"/>
      <c r="H866" s="109"/>
      <c r="I866" s="109"/>
      <c r="J866" s="111"/>
      <c r="K866" s="268"/>
      <c r="L866" s="112"/>
      <c r="M866" s="112"/>
      <c r="N866" s="112"/>
      <c r="O866" s="112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</row>
    <row r="867" spans="1:31" ht="12" customHeight="1">
      <c r="A867" s="108"/>
      <c r="B867" s="109"/>
      <c r="C867" s="109"/>
      <c r="D867" s="109"/>
      <c r="E867" s="112"/>
      <c r="F867" s="112"/>
      <c r="G867" s="109"/>
      <c r="H867" s="109"/>
      <c r="I867" s="109"/>
      <c r="J867" s="111"/>
      <c r="K867" s="268"/>
      <c r="L867" s="112"/>
      <c r="M867" s="112"/>
      <c r="N867" s="112"/>
      <c r="O867" s="112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</row>
    <row r="868" spans="1:31" ht="12" customHeight="1">
      <c r="A868" s="108"/>
      <c r="B868" s="109"/>
      <c r="C868" s="109"/>
      <c r="D868" s="109"/>
      <c r="E868" s="112"/>
      <c r="F868" s="112"/>
      <c r="G868" s="109"/>
      <c r="H868" s="109"/>
      <c r="I868" s="109"/>
      <c r="J868" s="111"/>
      <c r="K868" s="268"/>
      <c r="L868" s="112"/>
      <c r="M868" s="112"/>
      <c r="N868" s="112"/>
      <c r="O868" s="112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</row>
    <row r="869" spans="1:31" ht="12" customHeight="1">
      <c r="A869" s="108"/>
      <c r="B869" s="109"/>
      <c r="C869" s="109"/>
      <c r="D869" s="109"/>
      <c r="E869" s="112"/>
      <c r="F869" s="112"/>
      <c r="G869" s="109"/>
      <c r="H869" s="109"/>
      <c r="I869" s="109"/>
      <c r="J869" s="111"/>
      <c r="K869" s="268"/>
      <c r="L869" s="112"/>
      <c r="M869" s="112"/>
      <c r="N869" s="112"/>
      <c r="O869" s="112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</row>
    <row r="870" spans="1:31" ht="12" customHeight="1">
      <c r="A870" s="108"/>
      <c r="B870" s="109"/>
      <c r="C870" s="109"/>
      <c r="D870" s="109"/>
      <c r="E870" s="112"/>
      <c r="F870" s="112"/>
      <c r="G870" s="109"/>
      <c r="H870" s="109"/>
      <c r="I870" s="109"/>
      <c r="J870" s="111"/>
      <c r="K870" s="268"/>
      <c r="L870" s="112"/>
      <c r="M870" s="112"/>
      <c r="N870" s="112"/>
      <c r="O870" s="112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</row>
    <row r="871" spans="1:31" ht="12" customHeight="1">
      <c r="A871" s="108"/>
      <c r="B871" s="109"/>
      <c r="C871" s="109"/>
      <c r="D871" s="109"/>
      <c r="E871" s="112"/>
      <c r="F871" s="112"/>
      <c r="G871" s="109"/>
      <c r="H871" s="109"/>
      <c r="I871" s="109"/>
      <c r="J871" s="111"/>
      <c r="K871" s="268"/>
      <c r="L871" s="112"/>
      <c r="M871" s="112"/>
      <c r="N871" s="112"/>
      <c r="O871" s="112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</row>
    <row r="872" spans="1:31" ht="12" customHeight="1">
      <c r="A872" s="108"/>
      <c r="B872" s="109"/>
      <c r="C872" s="109"/>
      <c r="D872" s="109"/>
      <c r="E872" s="112"/>
      <c r="F872" s="112"/>
      <c r="G872" s="109"/>
      <c r="H872" s="109"/>
      <c r="I872" s="109"/>
      <c r="J872" s="111"/>
      <c r="K872" s="268"/>
      <c r="L872" s="112"/>
      <c r="M872" s="112"/>
      <c r="N872" s="112"/>
      <c r="O872" s="112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</row>
    <row r="873" spans="1:31" ht="12" customHeight="1">
      <c r="A873" s="108"/>
      <c r="B873" s="109"/>
      <c r="C873" s="109"/>
      <c r="D873" s="109"/>
      <c r="E873" s="112"/>
      <c r="F873" s="112"/>
      <c r="G873" s="109"/>
      <c r="H873" s="109"/>
      <c r="I873" s="109"/>
      <c r="J873" s="111"/>
      <c r="K873" s="268"/>
      <c r="L873" s="112"/>
      <c r="M873" s="112"/>
      <c r="N873" s="112"/>
      <c r="O873" s="112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</row>
    <row r="874" spans="1:31" ht="12" customHeight="1">
      <c r="A874" s="108"/>
      <c r="B874" s="109"/>
      <c r="C874" s="109"/>
      <c r="D874" s="109"/>
      <c r="E874" s="112"/>
      <c r="F874" s="112"/>
      <c r="G874" s="109"/>
      <c r="H874" s="109"/>
      <c r="I874" s="109"/>
      <c r="J874" s="111"/>
      <c r="K874" s="268"/>
      <c r="L874" s="112"/>
      <c r="M874" s="112"/>
      <c r="N874" s="112"/>
      <c r="O874" s="112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</row>
    <row r="875" spans="1:31" ht="12" customHeight="1">
      <c r="A875" s="108"/>
      <c r="B875" s="109"/>
      <c r="C875" s="109"/>
      <c r="D875" s="109"/>
      <c r="E875" s="112"/>
      <c r="F875" s="112"/>
      <c r="G875" s="109"/>
      <c r="H875" s="109"/>
      <c r="I875" s="109"/>
      <c r="J875" s="111"/>
      <c r="K875" s="268"/>
      <c r="L875" s="112"/>
      <c r="M875" s="112"/>
      <c r="N875" s="112"/>
      <c r="O875" s="112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</row>
    <row r="876" spans="1:31" ht="12" customHeight="1">
      <c r="A876" s="108"/>
      <c r="B876" s="109"/>
      <c r="C876" s="109"/>
      <c r="D876" s="109"/>
      <c r="E876" s="112"/>
      <c r="F876" s="112"/>
      <c r="G876" s="109"/>
      <c r="H876" s="109"/>
      <c r="I876" s="109"/>
      <c r="J876" s="111"/>
      <c r="K876" s="268"/>
      <c r="L876" s="112"/>
      <c r="M876" s="112"/>
      <c r="N876" s="112"/>
      <c r="O876" s="112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</row>
    <row r="877" spans="1:31" ht="12" customHeight="1">
      <c r="A877" s="108"/>
      <c r="B877" s="109"/>
      <c r="C877" s="109"/>
      <c r="D877" s="109"/>
      <c r="E877" s="112"/>
      <c r="F877" s="112"/>
      <c r="G877" s="109"/>
      <c r="H877" s="109"/>
      <c r="I877" s="109"/>
      <c r="J877" s="111"/>
      <c r="K877" s="268"/>
      <c r="L877" s="112"/>
      <c r="M877" s="112"/>
      <c r="N877" s="112"/>
      <c r="O877" s="112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</row>
    <row r="878" spans="1:31" ht="12" customHeight="1">
      <c r="A878" s="108"/>
      <c r="B878" s="109"/>
      <c r="C878" s="109"/>
      <c r="D878" s="109"/>
      <c r="E878" s="112"/>
      <c r="F878" s="112"/>
      <c r="G878" s="109"/>
      <c r="H878" s="109"/>
      <c r="I878" s="109"/>
      <c r="J878" s="111"/>
      <c r="K878" s="268"/>
      <c r="L878" s="112"/>
      <c r="M878" s="112"/>
      <c r="N878" s="112"/>
      <c r="O878" s="112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</row>
    <row r="879" spans="1:31" ht="12" customHeight="1">
      <c r="A879" s="108"/>
      <c r="B879" s="109"/>
      <c r="C879" s="109"/>
      <c r="D879" s="109"/>
      <c r="E879" s="112"/>
      <c r="F879" s="112"/>
      <c r="G879" s="109"/>
      <c r="H879" s="109"/>
      <c r="I879" s="109"/>
      <c r="J879" s="111"/>
      <c r="K879" s="268"/>
      <c r="L879" s="112"/>
      <c r="M879" s="112"/>
      <c r="N879" s="112"/>
      <c r="O879" s="112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</row>
    <row r="880" spans="1:31" ht="12" customHeight="1">
      <c r="A880" s="108"/>
      <c r="B880" s="109"/>
      <c r="C880" s="109"/>
      <c r="D880" s="109"/>
      <c r="E880" s="112"/>
      <c r="F880" s="112"/>
      <c r="G880" s="109"/>
      <c r="H880" s="109"/>
      <c r="I880" s="109"/>
      <c r="J880" s="111"/>
      <c r="K880" s="268"/>
      <c r="L880" s="112"/>
      <c r="M880" s="112"/>
      <c r="N880" s="112"/>
      <c r="O880" s="112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</row>
    <row r="881" spans="1:31" ht="12" customHeight="1">
      <c r="A881" s="108"/>
      <c r="B881" s="109"/>
      <c r="C881" s="109"/>
      <c r="D881" s="109"/>
      <c r="E881" s="112"/>
      <c r="F881" s="112"/>
      <c r="G881" s="109"/>
      <c r="H881" s="109"/>
      <c r="I881" s="109"/>
      <c r="J881" s="111"/>
      <c r="K881" s="268"/>
      <c r="L881" s="112"/>
      <c r="M881" s="112"/>
      <c r="N881" s="112"/>
      <c r="O881" s="112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</row>
    <row r="882" spans="1:31" ht="12" customHeight="1">
      <c r="A882" s="108"/>
      <c r="B882" s="109"/>
      <c r="C882" s="109"/>
      <c r="D882" s="109"/>
      <c r="E882" s="112"/>
      <c r="F882" s="112"/>
      <c r="G882" s="109"/>
      <c r="H882" s="109"/>
      <c r="I882" s="109"/>
      <c r="J882" s="111"/>
      <c r="K882" s="268"/>
      <c r="L882" s="112"/>
      <c r="M882" s="112"/>
      <c r="N882" s="112"/>
      <c r="O882" s="112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</row>
    <row r="883" spans="1:31" ht="12" customHeight="1">
      <c r="A883" s="108"/>
      <c r="B883" s="109"/>
      <c r="C883" s="109"/>
      <c r="D883" s="109"/>
      <c r="E883" s="112"/>
      <c r="F883" s="112"/>
      <c r="G883" s="109"/>
      <c r="H883" s="109"/>
      <c r="I883" s="109"/>
      <c r="J883" s="111"/>
      <c r="K883" s="268"/>
      <c r="L883" s="112"/>
      <c r="M883" s="112"/>
      <c r="N883" s="112"/>
      <c r="O883" s="112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</row>
    <row r="884" spans="1:31" ht="12" customHeight="1">
      <c r="A884" s="108"/>
      <c r="B884" s="109"/>
      <c r="C884" s="109"/>
      <c r="D884" s="109"/>
      <c r="E884" s="112"/>
      <c r="F884" s="112"/>
      <c r="G884" s="109"/>
      <c r="H884" s="109"/>
      <c r="I884" s="109"/>
      <c r="J884" s="111"/>
      <c r="K884" s="268"/>
      <c r="L884" s="112"/>
      <c r="M884" s="112"/>
      <c r="N884" s="112"/>
      <c r="O884" s="112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</row>
    <row r="885" spans="1:31" ht="12" customHeight="1">
      <c r="A885" s="108"/>
      <c r="B885" s="109"/>
      <c r="C885" s="109"/>
      <c r="D885" s="109"/>
      <c r="E885" s="112"/>
      <c r="F885" s="112"/>
      <c r="G885" s="109"/>
      <c r="H885" s="109"/>
      <c r="I885" s="109"/>
      <c r="J885" s="111"/>
      <c r="K885" s="268"/>
      <c r="L885" s="112"/>
      <c r="M885" s="112"/>
      <c r="N885" s="112"/>
      <c r="O885" s="112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</row>
    <row r="886" spans="1:31" ht="12" customHeight="1">
      <c r="A886" s="108"/>
      <c r="B886" s="109"/>
      <c r="C886" s="109"/>
      <c r="D886" s="109"/>
      <c r="E886" s="112"/>
      <c r="F886" s="112"/>
      <c r="G886" s="109"/>
      <c r="H886" s="109"/>
      <c r="I886" s="109"/>
      <c r="J886" s="111"/>
      <c r="K886" s="268"/>
      <c r="L886" s="112"/>
      <c r="M886" s="112"/>
      <c r="N886" s="112"/>
      <c r="O886" s="112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</row>
    <row r="887" spans="1:31" ht="12" customHeight="1">
      <c r="A887" s="108"/>
      <c r="B887" s="109"/>
      <c r="C887" s="109"/>
      <c r="D887" s="109"/>
      <c r="E887" s="112"/>
      <c r="F887" s="112"/>
      <c r="G887" s="109"/>
      <c r="H887" s="109"/>
      <c r="I887" s="109"/>
      <c r="J887" s="111"/>
      <c r="K887" s="268"/>
      <c r="L887" s="112"/>
      <c r="M887" s="112"/>
      <c r="N887" s="112"/>
      <c r="O887" s="112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</row>
    <row r="888" spans="1:31" ht="12" customHeight="1">
      <c r="A888" s="108"/>
      <c r="B888" s="109"/>
      <c r="C888" s="109"/>
      <c r="D888" s="109"/>
      <c r="E888" s="112"/>
      <c r="F888" s="112"/>
      <c r="G888" s="109"/>
      <c r="H888" s="109"/>
      <c r="I888" s="109"/>
      <c r="J888" s="111"/>
      <c r="K888" s="268"/>
      <c r="L888" s="112"/>
      <c r="M888" s="112"/>
      <c r="N888" s="112"/>
      <c r="O888" s="112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</row>
    <row r="889" spans="1:31" ht="12" customHeight="1">
      <c r="A889" s="108"/>
      <c r="B889" s="109"/>
      <c r="C889" s="109"/>
      <c r="D889" s="109"/>
      <c r="E889" s="112"/>
      <c r="F889" s="112"/>
      <c r="G889" s="109"/>
      <c r="H889" s="109"/>
      <c r="I889" s="109"/>
      <c r="J889" s="111"/>
      <c r="K889" s="268"/>
      <c r="L889" s="112"/>
      <c r="M889" s="112"/>
      <c r="N889" s="112"/>
      <c r="O889" s="112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</row>
    <row r="890" spans="1:31" ht="12" customHeight="1">
      <c r="A890" s="108"/>
      <c r="B890" s="109"/>
      <c r="C890" s="109"/>
      <c r="D890" s="109"/>
      <c r="E890" s="112"/>
      <c r="F890" s="112"/>
      <c r="G890" s="109"/>
      <c r="H890" s="109"/>
      <c r="I890" s="109"/>
      <c r="J890" s="111"/>
      <c r="K890" s="268"/>
      <c r="L890" s="112"/>
      <c r="M890" s="112"/>
      <c r="N890" s="112"/>
      <c r="O890" s="112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</row>
    <row r="891" spans="1:31" ht="12" customHeight="1">
      <c r="A891" s="108"/>
      <c r="B891" s="109"/>
      <c r="C891" s="109"/>
      <c r="D891" s="109"/>
      <c r="E891" s="112"/>
      <c r="F891" s="112"/>
      <c r="G891" s="109"/>
      <c r="H891" s="109"/>
      <c r="I891" s="109"/>
      <c r="J891" s="111"/>
      <c r="K891" s="268"/>
      <c r="L891" s="112"/>
      <c r="M891" s="112"/>
      <c r="N891" s="112"/>
      <c r="O891" s="112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</row>
    <row r="892" spans="1:31" ht="12" customHeight="1">
      <c r="A892" s="108"/>
      <c r="B892" s="109"/>
      <c r="C892" s="109"/>
      <c r="D892" s="109"/>
      <c r="E892" s="112"/>
      <c r="F892" s="112"/>
      <c r="G892" s="109"/>
      <c r="H892" s="109"/>
      <c r="I892" s="109"/>
      <c r="J892" s="111"/>
      <c r="K892" s="268"/>
      <c r="L892" s="112"/>
      <c r="M892" s="112"/>
      <c r="N892" s="112"/>
      <c r="O892" s="112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</row>
    <row r="893" spans="1:31" ht="12" customHeight="1">
      <c r="A893" s="108"/>
      <c r="B893" s="109"/>
      <c r="C893" s="109"/>
      <c r="D893" s="109"/>
      <c r="E893" s="112"/>
      <c r="F893" s="112"/>
      <c r="G893" s="109"/>
      <c r="H893" s="109"/>
      <c r="I893" s="109"/>
      <c r="J893" s="111"/>
      <c r="K893" s="268"/>
      <c r="L893" s="112"/>
      <c r="M893" s="112"/>
      <c r="N893" s="112"/>
      <c r="O893" s="112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</row>
    <row r="894" spans="1:31" ht="12" customHeight="1">
      <c r="A894" s="108"/>
      <c r="B894" s="109"/>
      <c r="C894" s="109"/>
      <c r="D894" s="109"/>
      <c r="E894" s="112"/>
      <c r="F894" s="112"/>
      <c r="G894" s="109"/>
      <c r="H894" s="109"/>
      <c r="I894" s="109"/>
      <c r="J894" s="111"/>
      <c r="K894" s="268"/>
      <c r="L894" s="112"/>
      <c r="M894" s="112"/>
      <c r="N894" s="112"/>
      <c r="O894" s="112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</row>
    <row r="895" spans="1:31" ht="12" customHeight="1">
      <c r="A895" s="108"/>
      <c r="B895" s="109"/>
      <c r="C895" s="109"/>
      <c r="D895" s="109"/>
      <c r="E895" s="112"/>
      <c r="F895" s="112"/>
      <c r="G895" s="109"/>
      <c r="H895" s="109"/>
      <c r="I895" s="109"/>
      <c r="J895" s="111"/>
      <c r="K895" s="268"/>
      <c r="L895" s="112"/>
      <c r="M895" s="112"/>
      <c r="N895" s="112"/>
      <c r="O895" s="112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</row>
    <row r="896" spans="1:31" ht="12" customHeight="1">
      <c r="A896" s="108"/>
      <c r="B896" s="109"/>
      <c r="C896" s="109"/>
      <c r="D896" s="109"/>
      <c r="E896" s="112"/>
      <c r="F896" s="112"/>
      <c r="G896" s="109"/>
      <c r="H896" s="109"/>
      <c r="I896" s="109"/>
      <c r="J896" s="111"/>
      <c r="K896" s="268"/>
      <c r="L896" s="112"/>
      <c r="M896" s="112"/>
      <c r="N896" s="112"/>
      <c r="O896" s="112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</row>
    <row r="897" spans="1:31" ht="12" customHeight="1">
      <c r="A897" s="108"/>
      <c r="B897" s="109"/>
      <c r="C897" s="109"/>
      <c r="D897" s="109"/>
      <c r="E897" s="112"/>
      <c r="F897" s="112"/>
      <c r="G897" s="109"/>
      <c r="H897" s="109"/>
      <c r="I897" s="109"/>
      <c r="J897" s="111"/>
      <c r="K897" s="268"/>
      <c r="L897" s="112"/>
      <c r="M897" s="112"/>
      <c r="N897" s="112"/>
      <c r="O897" s="112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</row>
    <row r="898" spans="1:31" ht="12" customHeight="1">
      <c r="A898" s="108"/>
      <c r="B898" s="109"/>
      <c r="C898" s="109"/>
      <c r="D898" s="109"/>
      <c r="E898" s="112"/>
      <c r="F898" s="112"/>
      <c r="G898" s="109"/>
      <c r="H898" s="109"/>
      <c r="I898" s="109"/>
      <c r="J898" s="111"/>
      <c r="K898" s="268"/>
      <c r="L898" s="112"/>
      <c r="M898" s="112"/>
      <c r="N898" s="112"/>
      <c r="O898" s="112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</row>
    <row r="899" spans="1:31" ht="12" customHeight="1">
      <c r="A899" s="108"/>
      <c r="B899" s="109"/>
      <c r="C899" s="109"/>
      <c r="D899" s="109"/>
      <c r="E899" s="112"/>
      <c r="F899" s="112"/>
      <c r="G899" s="109"/>
      <c r="H899" s="109"/>
      <c r="I899" s="109"/>
      <c r="J899" s="111"/>
      <c r="K899" s="268"/>
      <c r="L899" s="112"/>
      <c r="M899" s="112"/>
      <c r="N899" s="112"/>
      <c r="O899" s="112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</row>
    <row r="900" spans="1:31" ht="12" customHeight="1">
      <c r="A900" s="108"/>
      <c r="B900" s="109"/>
      <c r="C900" s="109"/>
      <c r="D900" s="109"/>
      <c r="E900" s="112"/>
      <c r="F900" s="112"/>
      <c r="G900" s="109"/>
      <c r="H900" s="109"/>
      <c r="I900" s="109"/>
      <c r="J900" s="111"/>
      <c r="K900" s="268"/>
      <c r="L900" s="112"/>
      <c r="M900" s="112"/>
      <c r="N900" s="112"/>
      <c r="O900" s="112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</row>
    <row r="901" spans="1:31" ht="12" customHeight="1">
      <c r="A901" s="108"/>
      <c r="B901" s="109"/>
      <c r="C901" s="109"/>
      <c r="D901" s="109"/>
      <c r="E901" s="112"/>
      <c r="F901" s="112"/>
      <c r="G901" s="109"/>
      <c r="H901" s="109"/>
      <c r="I901" s="109"/>
      <c r="J901" s="111"/>
      <c r="K901" s="268"/>
      <c r="L901" s="112"/>
      <c r="M901" s="112"/>
      <c r="N901" s="112"/>
      <c r="O901" s="112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</row>
    <row r="902" spans="1:31" ht="12" customHeight="1">
      <c r="A902" s="108"/>
      <c r="B902" s="109"/>
      <c r="C902" s="109"/>
      <c r="D902" s="109"/>
      <c r="E902" s="112"/>
      <c r="F902" s="112"/>
      <c r="G902" s="109"/>
      <c r="H902" s="109"/>
      <c r="I902" s="109"/>
      <c r="J902" s="111"/>
      <c r="K902" s="268"/>
      <c r="L902" s="112"/>
      <c r="M902" s="112"/>
      <c r="N902" s="112"/>
      <c r="O902" s="112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</row>
    <row r="903" spans="1:31" ht="12" customHeight="1">
      <c r="A903" s="108"/>
      <c r="B903" s="109"/>
      <c r="C903" s="109"/>
      <c r="D903" s="109"/>
      <c r="E903" s="112"/>
      <c r="F903" s="112"/>
      <c r="G903" s="109"/>
      <c r="H903" s="109"/>
      <c r="I903" s="109"/>
      <c r="J903" s="111"/>
      <c r="K903" s="268"/>
      <c r="L903" s="112"/>
      <c r="M903" s="112"/>
      <c r="N903" s="112"/>
      <c r="O903" s="112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</row>
    <row r="904" spans="1:31" ht="12" customHeight="1">
      <c r="A904" s="108"/>
      <c r="B904" s="109"/>
      <c r="C904" s="109"/>
      <c r="D904" s="109"/>
      <c r="E904" s="112"/>
      <c r="F904" s="112"/>
      <c r="G904" s="109"/>
      <c r="H904" s="109"/>
      <c r="I904" s="109"/>
      <c r="J904" s="111"/>
      <c r="K904" s="268"/>
      <c r="L904" s="112"/>
      <c r="M904" s="112"/>
      <c r="N904" s="112"/>
      <c r="O904" s="112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</row>
    <row r="905" spans="1:31" ht="12" customHeight="1">
      <c r="A905" s="108"/>
      <c r="B905" s="109"/>
      <c r="C905" s="109"/>
      <c r="D905" s="109"/>
      <c r="E905" s="112"/>
      <c r="F905" s="112"/>
      <c r="G905" s="109"/>
      <c r="H905" s="109"/>
      <c r="I905" s="109"/>
      <c r="J905" s="111"/>
      <c r="K905" s="268"/>
      <c r="L905" s="112"/>
      <c r="M905" s="112"/>
      <c r="N905" s="112"/>
      <c r="O905" s="112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</row>
    <row r="906" spans="1:31" ht="12" customHeight="1">
      <c r="A906" s="108"/>
      <c r="B906" s="109"/>
      <c r="C906" s="109"/>
      <c r="D906" s="109"/>
      <c r="E906" s="112"/>
      <c r="F906" s="112"/>
      <c r="G906" s="109"/>
      <c r="H906" s="109"/>
      <c r="I906" s="109"/>
      <c r="J906" s="111"/>
      <c r="K906" s="268"/>
      <c r="L906" s="112"/>
      <c r="M906" s="112"/>
      <c r="N906" s="112"/>
      <c r="O906" s="112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</row>
    <row r="907" spans="1:31" ht="12" customHeight="1">
      <c r="A907" s="108"/>
      <c r="B907" s="109"/>
      <c r="C907" s="109"/>
      <c r="D907" s="109"/>
      <c r="E907" s="112"/>
      <c r="F907" s="112"/>
      <c r="G907" s="109"/>
      <c r="H907" s="109"/>
      <c r="I907" s="109"/>
      <c r="J907" s="111"/>
      <c r="K907" s="268"/>
      <c r="L907" s="112"/>
      <c r="M907" s="112"/>
      <c r="N907" s="112"/>
      <c r="O907" s="112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</row>
    <row r="908" spans="1:31" ht="12" customHeight="1">
      <c r="A908" s="108"/>
      <c r="B908" s="109"/>
      <c r="C908" s="109"/>
      <c r="D908" s="109"/>
      <c r="E908" s="112"/>
      <c r="F908" s="112"/>
      <c r="G908" s="109"/>
      <c r="H908" s="109"/>
      <c r="I908" s="109"/>
      <c r="J908" s="111"/>
      <c r="K908" s="268"/>
      <c r="L908" s="112"/>
      <c r="M908" s="112"/>
      <c r="N908" s="112"/>
      <c r="O908" s="112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</row>
    <row r="909" spans="1:31" ht="12" customHeight="1">
      <c r="A909" s="108"/>
      <c r="B909" s="109"/>
      <c r="C909" s="109"/>
      <c r="D909" s="109"/>
      <c r="E909" s="112"/>
      <c r="F909" s="112"/>
      <c r="G909" s="109"/>
      <c r="H909" s="109"/>
      <c r="I909" s="109"/>
      <c r="J909" s="111"/>
      <c r="K909" s="268"/>
      <c r="L909" s="112"/>
      <c r="M909" s="112"/>
      <c r="N909" s="112"/>
      <c r="O909" s="112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</row>
    <row r="910" spans="1:31" ht="12" customHeight="1">
      <c r="A910" s="108"/>
      <c r="B910" s="109"/>
      <c r="C910" s="109"/>
      <c r="D910" s="109"/>
      <c r="E910" s="112"/>
      <c r="F910" s="112"/>
      <c r="G910" s="109"/>
      <c r="H910" s="109"/>
      <c r="I910" s="109"/>
      <c r="J910" s="111"/>
      <c r="K910" s="268"/>
      <c r="L910" s="112"/>
      <c r="M910" s="112"/>
      <c r="N910" s="112"/>
      <c r="O910" s="112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</row>
    <row r="911" spans="1:31" ht="12" customHeight="1">
      <c r="A911" s="108"/>
      <c r="B911" s="109"/>
      <c r="C911" s="109"/>
      <c r="D911" s="109"/>
      <c r="E911" s="112"/>
      <c r="F911" s="112"/>
      <c r="G911" s="109"/>
      <c r="H911" s="109"/>
      <c r="I911" s="109"/>
      <c r="J911" s="111"/>
      <c r="K911" s="268"/>
      <c r="L911" s="112"/>
      <c r="M911" s="112"/>
      <c r="N911" s="112"/>
      <c r="O911" s="112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</row>
    <row r="912" spans="1:31" ht="12" customHeight="1">
      <c r="A912" s="108"/>
      <c r="B912" s="109"/>
      <c r="C912" s="109"/>
      <c r="D912" s="109"/>
      <c r="E912" s="112"/>
      <c r="F912" s="112"/>
      <c r="G912" s="109"/>
      <c r="H912" s="109"/>
      <c r="I912" s="109"/>
      <c r="J912" s="111"/>
      <c r="K912" s="268"/>
      <c r="L912" s="112"/>
      <c r="M912" s="112"/>
      <c r="N912" s="112"/>
      <c r="O912" s="112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</row>
    <row r="913" spans="1:31" ht="12" customHeight="1">
      <c r="A913" s="108"/>
      <c r="B913" s="109"/>
      <c r="C913" s="109"/>
      <c r="D913" s="109"/>
      <c r="E913" s="112"/>
      <c r="F913" s="112"/>
      <c r="G913" s="109"/>
      <c r="H913" s="109"/>
      <c r="I913" s="109"/>
      <c r="J913" s="111"/>
      <c r="K913" s="268"/>
      <c r="L913" s="112"/>
      <c r="M913" s="112"/>
      <c r="N913" s="112"/>
      <c r="O913" s="112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</row>
    <row r="914" spans="1:31" ht="12" customHeight="1">
      <c r="A914" s="108"/>
      <c r="B914" s="109"/>
      <c r="C914" s="109"/>
      <c r="D914" s="109"/>
      <c r="E914" s="112"/>
      <c r="F914" s="112"/>
      <c r="G914" s="109"/>
      <c r="H914" s="109"/>
      <c r="I914" s="109"/>
      <c r="J914" s="111"/>
      <c r="K914" s="268"/>
      <c r="L914" s="112"/>
      <c r="M914" s="112"/>
      <c r="N914" s="112"/>
      <c r="O914" s="112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</row>
    <row r="915" spans="1:31" ht="12" customHeight="1">
      <c r="A915" s="108"/>
      <c r="B915" s="109"/>
      <c r="C915" s="109"/>
      <c r="D915" s="109"/>
      <c r="E915" s="112"/>
      <c r="F915" s="112"/>
      <c r="G915" s="109"/>
      <c r="H915" s="109"/>
      <c r="I915" s="109"/>
      <c r="J915" s="111"/>
      <c r="K915" s="268"/>
      <c r="L915" s="112"/>
      <c r="M915" s="112"/>
      <c r="N915" s="112"/>
      <c r="O915" s="112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</row>
    <row r="916" spans="1:31" ht="12" customHeight="1">
      <c r="A916" s="108"/>
      <c r="B916" s="109"/>
      <c r="C916" s="109"/>
      <c r="D916" s="109"/>
      <c r="E916" s="112"/>
      <c r="F916" s="112"/>
      <c r="G916" s="109"/>
      <c r="H916" s="109"/>
      <c r="I916" s="109"/>
      <c r="J916" s="111"/>
      <c r="K916" s="268"/>
      <c r="L916" s="112"/>
      <c r="M916" s="112"/>
      <c r="N916" s="112"/>
      <c r="O916" s="112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</row>
    <row r="917" spans="1:31" ht="12" customHeight="1">
      <c r="A917" s="108"/>
      <c r="B917" s="109"/>
      <c r="C917" s="109"/>
      <c r="D917" s="109"/>
      <c r="E917" s="112"/>
      <c r="F917" s="112"/>
      <c r="G917" s="109"/>
      <c r="H917" s="109"/>
      <c r="I917" s="109"/>
      <c r="J917" s="111"/>
      <c r="K917" s="268"/>
      <c r="L917" s="112"/>
      <c r="M917" s="112"/>
      <c r="N917" s="112"/>
      <c r="O917" s="112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</row>
    <row r="918" spans="1:31" ht="12" customHeight="1">
      <c r="A918" s="108"/>
      <c r="B918" s="109"/>
      <c r="C918" s="109"/>
      <c r="D918" s="109"/>
      <c r="E918" s="112"/>
      <c r="F918" s="112"/>
      <c r="G918" s="109"/>
      <c r="H918" s="109"/>
      <c r="I918" s="109"/>
      <c r="J918" s="111"/>
      <c r="K918" s="268"/>
      <c r="L918" s="112"/>
      <c r="M918" s="112"/>
      <c r="N918" s="112"/>
      <c r="O918" s="112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</row>
    <row r="919" spans="1:31" ht="12" customHeight="1">
      <c r="A919" s="108"/>
      <c r="B919" s="109"/>
      <c r="C919" s="109"/>
      <c r="D919" s="109"/>
      <c r="E919" s="112"/>
      <c r="F919" s="112"/>
      <c r="G919" s="109"/>
      <c r="H919" s="109"/>
      <c r="I919" s="109"/>
      <c r="J919" s="111"/>
      <c r="K919" s="268"/>
      <c r="L919" s="112"/>
      <c r="M919" s="112"/>
      <c r="N919" s="112"/>
      <c r="O919" s="112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</row>
    <row r="920" spans="1:31" ht="12" customHeight="1">
      <c r="A920" s="108"/>
      <c r="B920" s="109"/>
      <c r="C920" s="109"/>
      <c r="D920" s="109"/>
      <c r="E920" s="112"/>
      <c r="F920" s="112"/>
      <c r="G920" s="109"/>
      <c r="H920" s="109"/>
      <c r="I920" s="109"/>
      <c r="J920" s="111"/>
      <c r="K920" s="268"/>
      <c r="L920" s="112"/>
      <c r="M920" s="112"/>
      <c r="N920" s="112"/>
      <c r="O920" s="112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</row>
    <row r="921" spans="1:31" ht="12" customHeight="1">
      <c r="A921" s="108"/>
      <c r="B921" s="109"/>
      <c r="C921" s="109"/>
      <c r="D921" s="109"/>
      <c r="E921" s="112"/>
      <c r="F921" s="112"/>
      <c r="G921" s="109"/>
      <c r="H921" s="109"/>
      <c r="I921" s="109"/>
      <c r="J921" s="111"/>
      <c r="K921" s="268"/>
      <c r="L921" s="112"/>
      <c r="M921" s="112"/>
      <c r="N921" s="112"/>
      <c r="O921" s="112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</row>
    <row r="922" spans="1:31" ht="12" customHeight="1">
      <c r="A922" s="108"/>
      <c r="B922" s="109"/>
      <c r="C922" s="109"/>
      <c r="D922" s="109"/>
      <c r="E922" s="112"/>
      <c r="F922" s="112"/>
      <c r="G922" s="109"/>
      <c r="H922" s="109"/>
      <c r="I922" s="109"/>
      <c r="J922" s="111"/>
      <c r="K922" s="268"/>
      <c r="L922" s="112"/>
      <c r="M922" s="112"/>
      <c r="N922" s="112"/>
      <c r="O922" s="112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</row>
    <row r="923" spans="1:31" ht="12" customHeight="1">
      <c r="A923" s="108"/>
      <c r="B923" s="109"/>
      <c r="C923" s="109"/>
      <c r="D923" s="109"/>
      <c r="E923" s="112"/>
      <c r="F923" s="112"/>
      <c r="G923" s="109"/>
      <c r="H923" s="109"/>
      <c r="I923" s="109"/>
      <c r="J923" s="111"/>
      <c r="K923" s="268"/>
      <c r="L923" s="112"/>
      <c r="M923" s="112"/>
      <c r="N923" s="112"/>
      <c r="O923" s="112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</row>
    <row r="924" spans="1:31" ht="12" customHeight="1">
      <c r="A924" s="108"/>
      <c r="B924" s="109"/>
      <c r="C924" s="109"/>
      <c r="D924" s="109"/>
      <c r="E924" s="112"/>
      <c r="F924" s="112"/>
      <c r="G924" s="109"/>
      <c r="H924" s="109"/>
      <c r="I924" s="109"/>
      <c r="J924" s="111"/>
      <c r="K924" s="268"/>
      <c r="L924" s="112"/>
      <c r="M924" s="112"/>
      <c r="N924" s="112"/>
      <c r="O924" s="112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</row>
    <row r="925" spans="1:31" ht="12" customHeight="1">
      <c r="A925" s="108"/>
      <c r="B925" s="109"/>
      <c r="C925" s="109"/>
      <c r="D925" s="109"/>
      <c r="E925" s="112"/>
      <c r="F925" s="112"/>
      <c r="G925" s="109"/>
      <c r="H925" s="109"/>
      <c r="I925" s="109"/>
      <c r="J925" s="111"/>
      <c r="K925" s="268"/>
      <c r="L925" s="112"/>
      <c r="M925" s="112"/>
      <c r="N925" s="112"/>
      <c r="O925" s="112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</row>
    <row r="926" spans="1:31" ht="12" customHeight="1">
      <c r="A926" s="108"/>
      <c r="B926" s="109"/>
      <c r="C926" s="109"/>
      <c r="D926" s="109"/>
      <c r="E926" s="112"/>
      <c r="F926" s="112"/>
      <c r="G926" s="109"/>
      <c r="H926" s="109"/>
      <c r="I926" s="109"/>
      <c r="J926" s="111"/>
      <c r="K926" s="268"/>
      <c r="L926" s="112"/>
      <c r="M926" s="112"/>
      <c r="N926" s="112"/>
      <c r="O926" s="112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</row>
    <row r="927" spans="1:31" ht="12" customHeight="1">
      <c r="A927" s="108"/>
      <c r="B927" s="109"/>
      <c r="C927" s="109"/>
      <c r="D927" s="109"/>
      <c r="E927" s="112"/>
      <c r="F927" s="112"/>
      <c r="G927" s="109"/>
      <c r="H927" s="109"/>
      <c r="I927" s="109"/>
      <c r="J927" s="111"/>
      <c r="K927" s="268"/>
      <c r="L927" s="112"/>
      <c r="M927" s="112"/>
      <c r="N927" s="112"/>
      <c r="O927" s="112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</row>
    <row r="928" spans="1:31" ht="12" customHeight="1">
      <c r="A928" s="108"/>
      <c r="B928" s="109"/>
      <c r="C928" s="109"/>
      <c r="D928" s="109"/>
      <c r="E928" s="112"/>
      <c r="F928" s="112"/>
      <c r="G928" s="109"/>
      <c r="H928" s="109"/>
      <c r="I928" s="109"/>
      <c r="J928" s="111"/>
      <c r="K928" s="268"/>
      <c r="L928" s="112"/>
      <c r="M928" s="112"/>
      <c r="N928" s="112"/>
      <c r="O928" s="112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</row>
    <row r="929" spans="1:31" ht="12" customHeight="1">
      <c r="A929" s="108"/>
      <c r="B929" s="109"/>
      <c r="C929" s="109"/>
      <c r="D929" s="109"/>
      <c r="E929" s="112"/>
      <c r="F929" s="112"/>
      <c r="G929" s="109"/>
      <c r="H929" s="109"/>
      <c r="I929" s="109"/>
      <c r="J929" s="111"/>
      <c r="K929" s="268"/>
      <c r="L929" s="112"/>
      <c r="M929" s="112"/>
      <c r="N929" s="112"/>
      <c r="O929" s="112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</row>
    <row r="930" spans="1:31" ht="12" customHeight="1">
      <c r="A930" s="108"/>
      <c r="B930" s="109"/>
      <c r="C930" s="109"/>
      <c r="D930" s="109"/>
      <c r="E930" s="112"/>
      <c r="F930" s="112"/>
      <c r="G930" s="109"/>
      <c r="H930" s="109"/>
      <c r="I930" s="109"/>
      <c r="J930" s="111"/>
      <c r="K930" s="268"/>
      <c r="L930" s="112"/>
      <c r="M930" s="112"/>
      <c r="N930" s="112"/>
      <c r="O930" s="112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</row>
    <row r="931" spans="1:31" ht="12" customHeight="1">
      <c r="A931" s="108"/>
      <c r="B931" s="109"/>
      <c r="C931" s="109"/>
      <c r="D931" s="109"/>
      <c r="E931" s="112"/>
      <c r="F931" s="112"/>
      <c r="G931" s="109"/>
      <c r="H931" s="109"/>
      <c r="I931" s="109"/>
      <c r="J931" s="111"/>
      <c r="K931" s="268"/>
      <c r="L931" s="112"/>
      <c r="M931" s="112"/>
      <c r="N931" s="112"/>
      <c r="O931" s="112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</row>
    <row r="932" spans="1:31" ht="12" customHeight="1">
      <c r="A932" s="108"/>
      <c r="B932" s="109"/>
      <c r="C932" s="109"/>
      <c r="D932" s="109"/>
      <c r="E932" s="112"/>
      <c r="F932" s="112"/>
      <c r="G932" s="109"/>
      <c r="H932" s="109"/>
      <c r="I932" s="109"/>
      <c r="J932" s="111"/>
      <c r="K932" s="268"/>
      <c r="L932" s="112"/>
      <c r="M932" s="112"/>
      <c r="N932" s="112"/>
      <c r="O932" s="112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</row>
    <row r="933" spans="1:31" ht="12" customHeight="1">
      <c r="A933" s="108"/>
      <c r="B933" s="109"/>
      <c r="C933" s="109"/>
      <c r="D933" s="109"/>
      <c r="E933" s="112"/>
      <c r="F933" s="112"/>
      <c r="G933" s="109"/>
      <c r="H933" s="109"/>
      <c r="I933" s="109"/>
      <c r="J933" s="111"/>
      <c r="K933" s="268"/>
      <c r="L933" s="112"/>
      <c r="M933" s="112"/>
      <c r="N933" s="112"/>
      <c r="O933" s="112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</row>
    <row r="934" spans="1:31" ht="12" customHeight="1">
      <c r="A934" s="108"/>
      <c r="B934" s="109"/>
      <c r="C934" s="109"/>
      <c r="D934" s="109"/>
      <c r="E934" s="112"/>
      <c r="F934" s="112"/>
      <c r="G934" s="109"/>
      <c r="H934" s="109"/>
      <c r="I934" s="109"/>
      <c r="J934" s="111"/>
      <c r="K934" s="268"/>
      <c r="L934" s="112"/>
      <c r="M934" s="112"/>
      <c r="N934" s="112"/>
      <c r="O934" s="112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</row>
    <row r="935" spans="1:31" ht="12" customHeight="1">
      <c r="A935" s="108"/>
      <c r="B935" s="109"/>
      <c r="C935" s="109"/>
      <c r="D935" s="109"/>
      <c r="E935" s="112"/>
      <c r="F935" s="112"/>
      <c r="G935" s="109"/>
      <c r="H935" s="109"/>
      <c r="I935" s="109"/>
      <c r="J935" s="111"/>
      <c r="K935" s="268"/>
      <c r="L935" s="112"/>
      <c r="M935" s="112"/>
      <c r="N935" s="112"/>
      <c r="O935" s="112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</row>
    <row r="936" spans="1:31" ht="12" customHeight="1">
      <c r="A936" s="108"/>
      <c r="B936" s="109"/>
      <c r="C936" s="109"/>
      <c r="D936" s="109"/>
      <c r="E936" s="112"/>
      <c r="F936" s="112"/>
      <c r="G936" s="109"/>
      <c r="H936" s="109"/>
      <c r="I936" s="109"/>
      <c r="J936" s="111"/>
      <c r="K936" s="268"/>
      <c r="L936" s="112"/>
      <c r="M936" s="112"/>
      <c r="N936" s="112"/>
      <c r="O936" s="112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</row>
    <row r="937" spans="1:31" ht="12" customHeight="1">
      <c r="A937" s="108"/>
      <c r="B937" s="109"/>
      <c r="C937" s="109"/>
      <c r="D937" s="109"/>
      <c r="E937" s="112"/>
      <c r="F937" s="112"/>
      <c r="G937" s="109"/>
      <c r="H937" s="109"/>
      <c r="I937" s="109"/>
      <c r="J937" s="111"/>
      <c r="K937" s="268"/>
      <c r="L937" s="112"/>
      <c r="M937" s="112"/>
      <c r="N937" s="112"/>
      <c r="O937" s="112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</row>
    <row r="938" spans="1:31" ht="12" customHeight="1">
      <c r="A938" s="108"/>
      <c r="B938" s="109"/>
      <c r="C938" s="109"/>
      <c r="D938" s="109"/>
      <c r="E938" s="112"/>
      <c r="F938" s="112"/>
      <c r="G938" s="109"/>
      <c r="H938" s="109"/>
      <c r="I938" s="109"/>
      <c r="J938" s="111"/>
      <c r="K938" s="268"/>
      <c r="L938" s="112"/>
      <c r="M938" s="112"/>
      <c r="N938" s="112"/>
      <c r="O938" s="112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</row>
    <row r="939" spans="1:31" ht="12" customHeight="1">
      <c r="A939" s="108"/>
      <c r="B939" s="109"/>
      <c r="C939" s="109"/>
      <c r="D939" s="109"/>
      <c r="E939" s="112"/>
      <c r="F939" s="112"/>
      <c r="G939" s="109"/>
      <c r="H939" s="109"/>
      <c r="I939" s="109"/>
      <c r="J939" s="111"/>
      <c r="K939" s="268"/>
      <c r="L939" s="112"/>
      <c r="M939" s="112"/>
      <c r="N939" s="112"/>
      <c r="O939" s="112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</row>
    <row r="940" spans="1:31" ht="12" customHeight="1">
      <c r="A940" s="108"/>
      <c r="B940" s="109"/>
      <c r="C940" s="109"/>
      <c r="D940" s="109"/>
      <c r="E940" s="112"/>
      <c r="F940" s="112"/>
      <c r="G940" s="109"/>
      <c r="H940" s="109"/>
      <c r="I940" s="109"/>
      <c r="J940" s="111"/>
      <c r="K940" s="268"/>
      <c r="L940" s="112"/>
      <c r="M940" s="112"/>
      <c r="N940" s="112"/>
      <c r="O940" s="112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</row>
    <row r="941" spans="1:31" ht="12" customHeight="1">
      <c r="A941" s="108"/>
      <c r="B941" s="109"/>
      <c r="C941" s="109"/>
      <c r="D941" s="109"/>
      <c r="E941" s="112"/>
      <c r="F941" s="112"/>
      <c r="G941" s="109"/>
      <c r="H941" s="109"/>
      <c r="I941" s="109"/>
      <c r="J941" s="111"/>
      <c r="K941" s="268"/>
      <c r="L941" s="112"/>
      <c r="M941" s="112"/>
      <c r="N941" s="112"/>
      <c r="O941" s="112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</row>
    <row r="942" spans="1:31" ht="12" customHeight="1">
      <c r="A942" s="108"/>
      <c r="B942" s="109"/>
      <c r="C942" s="109"/>
      <c r="D942" s="109"/>
      <c r="E942" s="112"/>
      <c r="F942" s="112"/>
      <c r="G942" s="109"/>
      <c r="H942" s="109"/>
      <c r="I942" s="109"/>
      <c r="J942" s="111"/>
      <c r="K942" s="268"/>
      <c r="L942" s="112"/>
      <c r="M942" s="112"/>
      <c r="N942" s="112"/>
      <c r="O942" s="112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</row>
    <row r="943" spans="1:31" ht="12" customHeight="1">
      <c r="A943" s="108"/>
      <c r="B943" s="109"/>
      <c r="C943" s="109"/>
      <c r="D943" s="109"/>
      <c r="E943" s="112"/>
      <c r="F943" s="112"/>
      <c r="G943" s="109"/>
      <c r="H943" s="109"/>
      <c r="I943" s="109"/>
      <c r="J943" s="111"/>
      <c r="K943" s="268"/>
      <c r="L943" s="112"/>
      <c r="M943" s="112"/>
      <c r="N943" s="112"/>
      <c r="O943" s="112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</row>
    <row r="944" spans="1:31" ht="12" customHeight="1">
      <c r="A944" s="108"/>
      <c r="B944" s="109"/>
      <c r="C944" s="109"/>
      <c r="D944" s="109"/>
      <c r="E944" s="112"/>
      <c r="F944" s="112"/>
      <c r="G944" s="109"/>
      <c r="H944" s="109"/>
      <c r="I944" s="109"/>
      <c r="J944" s="111"/>
      <c r="K944" s="268"/>
      <c r="L944" s="112"/>
      <c r="M944" s="112"/>
      <c r="N944" s="112"/>
      <c r="O944" s="112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</row>
    <row r="945" spans="1:31" ht="12" customHeight="1">
      <c r="A945" s="108"/>
      <c r="B945" s="109"/>
      <c r="C945" s="109"/>
      <c r="D945" s="109"/>
      <c r="E945" s="112"/>
      <c r="F945" s="112"/>
      <c r="G945" s="109"/>
      <c r="H945" s="109"/>
      <c r="I945" s="109"/>
      <c r="J945" s="111"/>
      <c r="K945" s="268"/>
      <c r="L945" s="112"/>
      <c r="M945" s="112"/>
      <c r="N945" s="112"/>
      <c r="O945" s="112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</row>
    <row r="946" spans="1:31" ht="12" customHeight="1">
      <c r="A946" s="108"/>
      <c r="B946" s="109"/>
      <c r="C946" s="109"/>
      <c r="D946" s="109"/>
      <c r="E946" s="112"/>
      <c r="F946" s="112"/>
      <c r="G946" s="109"/>
      <c r="H946" s="109"/>
      <c r="I946" s="109"/>
      <c r="J946" s="111"/>
      <c r="K946" s="268"/>
      <c r="L946" s="112"/>
      <c r="M946" s="112"/>
      <c r="N946" s="112"/>
      <c r="O946" s="112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</row>
    <row r="947" spans="1:31" ht="12" customHeight="1">
      <c r="A947" s="108"/>
      <c r="B947" s="109"/>
      <c r="C947" s="109"/>
      <c r="D947" s="109"/>
      <c r="E947" s="112"/>
      <c r="F947" s="112"/>
      <c r="G947" s="109"/>
      <c r="H947" s="109"/>
      <c r="I947" s="109"/>
      <c r="J947" s="111"/>
      <c r="K947" s="268"/>
      <c r="L947" s="112"/>
      <c r="M947" s="112"/>
      <c r="N947" s="112"/>
      <c r="O947" s="112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</row>
    <row r="948" spans="1:31" ht="12" customHeight="1">
      <c r="A948" s="108"/>
      <c r="B948" s="109"/>
      <c r="C948" s="109"/>
      <c r="D948" s="109"/>
      <c r="E948" s="112"/>
      <c r="F948" s="112"/>
      <c r="G948" s="109"/>
      <c r="H948" s="109"/>
      <c r="I948" s="109"/>
      <c r="J948" s="111"/>
      <c r="K948" s="268"/>
      <c r="L948" s="112"/>
      <c r="M948" s="112"/>
      <c r="N948" s="112"/>
      <c r="O948" s="112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</row>
    <row r="949" spans="1:31" ht="12" customHeight="1">
      <c r="A949" s="108"/>
      <c r="B949" s="109"/>
      <c r="C949" s="109"/>
      <c r="D949" s="109"/>
      <c r="E949" s="112"/>
      <c r="F949" s="112"/>
      <c r="G949" s="109"/>
      <c r="H949" s="109"/>
      <c r="I949" s="109"/>
      <c r="J949" s="111"/>
      <c r="K949" s="268"/>
      <c r="L949" s="112"/>
      <c r="M949" s="112"/>
      <c r="N949" s="112"/>
      <c r="O949" s="112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</row>
    <row r="950" spans="1:31" ht="12" customHeight="1">
      <c r="A950" s="108"/>
      <c r="B950" s="109"/>
      <c r="C950" s="109"/>
      <c r="D950" s="109"/>
      <c r="E950" s="112"/>
      <c r="F950" s="112"/>
      <c r="G950" s="109"/>
      <c r="H950" s="109"/>
      <c r="I950" s="109"/>
      <c r="J950" s="111"/>
      <c r="K950" s="268"/>
      <c r="L950" s="112"/>
      <c r="M950" s="112"/>
      <c r="N950" s="112"/>
      <c r="O950" s="112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</row>
    <row r="951" spans="1:31" ht="12" customHeight="1">
      <c r="A951" s="108"/>
      <c r="B951" s="109"/>
      <c r="C951" s="109"/>
      <c r="D951" s="109"/>
      <c r="E951" s="112"/>
      <c r="F951" s="112"/>
      <c r="G951" s="109"/>
      <c r="H951" s="109"/>
      <c r="I951" s="109"/>
      <c r="J951" s="111"/>
      <c r="K951" s="268"/>
      <c r="L951" s="112"/>
      <c r="M951" s="112"/>
      <c r="N951" s="112"/>
      <c r="O951" s="112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</row>
    <row r="952" spans="1:31" ht="12" customHeight="1">
      <c r="A952" s="108"/>
      <c r="B952" s="109"/>
      <c r="C952" s="109"/>
      <c r="D952" s="109"/>
      <c r="E952" s="112"/>
      <c r="F952" s="112"/>
      <c r="G952" s="109"/>
      <c r="H952" s="109"/>
      <c r="I952" s="109"/>
      <c r="J952" s="111"/>
      <c r="K952" s="268"/>
      <c r="L952" s="112"/>
      <c r="M952" s="112"/>
      <c r="N952" s="112"/>
      <c r="O952" s="112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</row>
    <row r="953" spans="1:31" ht="12" customHeight="1">
      <c r="A953" s="108"/>
      <c r="B953" s="109"/>
      <c r="C953" s="109"/>
      <c r="D953" s="109"/>
      <c r="E953" s="112"/>
      <c r="F953" s="112"/>
      <c r="G953" s="109"/>
      <c r="H953" s="109"/>
      <c r="I953" s="109"/>
      <c r="J953" s="111"/>
      <c r="K953" s="268"/>
      <c r="L953" s="112"/>
      <c r="M953" s="112"/>
      <c r="N953" s="112"/>
      <c r="O953" s="112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</row>
    <row r="954" spans="1:31" ht="12" customHeight="1">
      <c r="A954" s="108"/>
      <c r="B954" s="109"/>
      <c r="C954" s="109"/>
      <c r="D954" s="109"/>
      <c r="E954" s="112"/>
      <c r="F954" s="112"/>
      <c r="G954" s="109"/>
      <c r="H954" s="109"/>
      <c r="I954" s="109"/>
      <c r="J954" s="111"/>
      <c r="K954" s="268"/>
      <c r="L954" s="112"/>
      <c r="M954" s="112"/>
      <c r="N954" s="112"/>
      <c r="O954" s="112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</row>
    <row r="955" spans="1:31" ht="12" customHeight="1">
      <c r="A955" s="108"/>
      <c r="B955" s="109"/>
      <c r="C955" s="109"/>
      <c r="D955" s="109"/>
      <c r="E955" s="112"/>
      <c r="F955" s="112"/>
      <c r="G955" s="109"/>
      <c r="H955" s="109"/>
      <c r="I955" s="109"/>
      <c r="J955" s="111"/>
      <c r="K955" s="268"/>
      <c r="L955" s="112"/>
      <c r="M955" s="112"/>
      <c r="N955" s="112"/>
      <c r="O955" s="112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</row>
    <row r="956" spans="1:31" ht="12" customHeight="1">
      <c r="A956" s="108"/>
      <c r="B956" s="109"/>
      <c r="C956" s="109"/>
      <c r="D956" s="109"/>
      <c r="E956" s="112"/>
      <c r="F956" s="112"/>
      <c r="G956" s="109"/>
      <c r="H956" s="109"/>
      <c r="I956" s="109"/>
      <c r="J956" s="111"/>
      <c r="K956" s="268"/>
      <c r="L956" s="112"/>
      <c r="M956" s="112"/>
      <c r="N956" s="112"/>
      <c r="O956" s="112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</row>
    <row r="957" spans="1:31" ht="12" customHeight="1">
      <c r="A957" s="108"/>
      <c r="B957" s="109"/>
      <c r="C957" s="109"/>
      <c r="D957" s="109"/>
      <c r="E957" s="112"/>
      <c r="F957" s="112"/>
      <c r="G957" s="109"/>
      <c r="H957" s="109"/>
      <c r="I957" s="109"/>
      <c r="J957" s="111"/>
      <c r="K957" s="268"/>
      <c r="L957" s="112"/>
      <c r="M957" s="112"/>
      <c r="N957" s="112"/>
      <c r="O957" s="112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</row>
    <row r="958" spans="1:31" ht="12" customHeight="1">
      <c r="A958" s="108"/>
      <c r="B958" s="109"/>
      <c r="C958" s="109"/>
      <c r="D958" s="109"/>
      <c r="E958" s="112"/>
      <c r="F958" s="112"/>
      <c r="G958" s="109"/>
      <c r="H958" s="109"/>
      <c r="I958" s="109"/>
      <c r="J958" s="111"/>
      <c r="K958" s="268"/>
      <c r="L958" s="112"/>
      <c r="M958" s="112"/>
      <c r="N958" s="112"/>
      <c r="O958" s="112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</row>
    <row r="959" spans="1:31" ht="12" customHeight="1">
      <c r="A959" s="108"/>
      <c r="B959" s="109"/>
      <c r="C959" s="109"/>
      <c r="D959" s="109"/>
      <c r="E959" s="112"/>
      <c r="F959" s="112"/>
      <c r="G959" s="109"/>
      <c r="H959" s="109"/>
      <c r="I959" s="109"/>
      <c r="J959" s="111"/>
      <c r="K959" s="268"/>
      <c r="L959" s="112"/>
      <c r="M959" s="112"/>
      <c r="N959" s="112"/>
      <c r="O959" s="112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</row>
    <row r="960" spans="1:31" ht="12" customHeight="1">
      <c r="A960" s="108"/>
      <c r="B960" s="109"/>
      <c r="C960" s="109"/>
      <c r="D960" s="109"/>
      <c r="E960" s="112"/>
      <c r="F960" s="112"/>
      <c r="G960" s="109"/>
      <c r="H960" s="109"/>
      <c r="I960" s="109"/>
      <c r="J960" s="111"/>
      <c r="K960" s="268"/>
      <c r="L960" s="112"/>
      <c r="M960" s="112"/>
      <c r="N960" s="112"/>
      <c r="O960" s="112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</row>
    <row r="961" spans="1:31" ht="12" customHeight="1">
      <c r="A961" s="108"/>
      <c r="B961" s="109"/>
      <c r="C961" s="109"/>
      <c r="D961" s="109"/>
      <c r="E961" s="112"/>
      <c r="F961" s="112"/>
      <c r="G961" s="109"/>
      <c r="H961" s="109"/>
      <c r="I961" s="109"/>
      <c r="J961" s="111"/>
      <c r="K961" s="268"/>
      <c r="L961" s="112"/>
      <c r="M961" s="112"/>
      <c r="N961" s="112"/>
      <c r="O961" s="112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</row>
    <row r="962" spans="1:31" ht="12" customHeight="1">
      <c r="A962" s="108"/>
      <c r="B962" s="109"/>
      <c r="C962" s="109"/>
      <c r="D962" s="109"/>
      <c r="E962" s="112"/>
      <c r="F962" s="112"/>
      <c r="G962" s="109"/>
      <c r="H962" s="109"/>
      <c r="I962" s="109"/>
      <c r="J962" s="111"/>
      <c r="K962" s="268"/>
      <c r="L962" s="112"/>
      <c r="M962" s="112"/>
      <c r="N962" s="112"/>
      <c r="O962" s="112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</row>
    <row r="963" spans="1:31" ht="12" customHeight="1">
      <c r="A963" s="108"/>
      <c r="B963" s="109"/>
      <c r="C963" s="109"/>
      <c r="D963" s="109"/>
      <c r="E963" s="112"/>
      <c r="F963" s="112"/>
      <c r="G963" s="109"/>
      <c r="H963" s="109"/>
      <c r="I963" s="109"/>
      <c r="J963" s="111"/>
      <c r="K963" s="268"/>
      <c r="L963" s="112"/>
      <c r="M963" s="112"/>
      <c r="N963" s="112"/>
      <c r="O963" s="112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</row>
    <row r="964" spans="1:31" ht="12" customHeight="1">
      <c r="A964" s="108"/>
      <c r="B964" s="109"/>
      <c r="C964" s="109"/>
      <c r="D964" s="109"/>
      <c r="E964" s="112"/>
      <c r="F964" s="112"/>
      <c r="G964" s="109"/>
      <c r="H964" s="109"/>
      <c r="I964" s="109"/>
      <c r="J964" s="111"/>
      <c r="K964" s="268"/>
      <c r="L964" s="112"/>
      <c r="M964" s="112"/>
      <c r="N964" s="112"/>
      <c r="O964" s="112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</row>
    <row r="965" spans="1:31" ht="12" customHeight="1">
      <c r="A965" s="108"/>
      <c r="B965" s="109"/>
      <c r="C965" s="109"/>
      <c r="D965" s="109"/>
      <c r="E965" s="112"/>
      <c r="F965" s="112"/>
      <c r="G965" s="109"/>
      <c r="H965" s="109"/>
      <c r="I965" s="109"/>
      <c r="J965" s="111"/>
      <c r="K965" s="268"/>
      <c r="L965" s="112"/>
      <c r="M965" s="112"/>
      <c r="N965" s="112"/>
      <c r="O965" s="112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</row>
    <row r="966" spans="1:31" ht="12" customHeight="1">
      <c r="A966" s="108"/>
      <c r="B966" s="109"/>
      <c r="C966" s="109"/>
      <c r="D966" s="109"/>
      <c r="E966" s="112"/>
      <c r="F966" s="112"/>
      <c r="G966" s="109"/>
      <c r="H966" s="109"/>
      <c r="I966" s="109"/>
      <c r="J966" s="111"/>
      <c r="K966" s="268"/>
      <c r="L966" s="112"/>
      <c r="M966" s="112"/>
      <c r="N966" s="112"/>
      <c r="O966" s="112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</row>
    <row r="967" spans="1:31" ht="12" customHeight="1">
      <c r="A967" s="108"/>
      <c r="B967" s="109"/>
      <c r="C967" s="109"/>
      <c r="D967" s="109"/>
      <c r="E967" s="112"/>
      <c r="F967" s="112"/>
      <c r="G967" s="109"/>
      <c r="H967" s="109"/>
      <c r="I967" s="109"/>
      <c r="J967" s="111"/>
      <c r="K967" s="268"/>
      <c r="L967" s="112"/>
      <c r="M967" s="112"/>
      <c r="N967" s="112"/>
      <c r="O967" s="112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</row>
    <row r="968" spans="1:31" ht="12" customHeight="1">
      <c r="A968" s="108"/>
      <c r="B968" s="109"/>
      <c r="C968" s="109"/>
      <c r="D968" s="109"/>
      <c r="E968" s="112"/>
      <c r="F968" s="112"/>
      <c r="G968" s="109"/>
      <c r="H968" s="109"/>
      <c r="I968" s="109"/>
      <c r="J968" s="111"/>
      <c r="K968" s="268"/>
      <c r="L968" s="112"/>
      <c r="M968" s="112"/>
      <c r="N968" s="112"/>
      <c r="O968" s="112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</row>
    <row r="969" spans="1:31" ht="12" customHeight="1">
      <c r="A969" s="108"/>
      <c r="B969" s="109"/>
      <c r="C969" s="109"/>
      <c r="D969" s="109"/>
      <c r="E969" s="112"/>
      <c r="F969" s="112"/>
      <c r="G969" s="109"/>
      <c r="H969" s="109"/>
      <c r="I969" s="109"/>
      <c r="J969" s="111"/>
      <c r="K969" s="268"/>
      <c r="L969" s="112"/>
      <c r="M969" s="112"/>
      <c r="N969" s="112"/>
      <c r="O969" s="112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</row>
    <row r="970" spans="1:31" ht="12" customHeight="1">
      <c r="A970" s="108"/>
      <c r="B970" s="109"/>
      <c r="C970" s="109"/>
      <c r="D970" s="109"/>
      <c r="E970" s="112"/>
      <c r="F970" s="112"/>
      <c r="G970" s="109"/>
      <c r="H970" s="109"/>
      <c r="I970" s="109"/>
      <c r="J970" s="111"/>
      <c r="K970" s="268"/>
      <c r="L970" s="112"/>
      <c r="M970" s="112"/>
      <c r="N970" s="112"/>
      <c r="O970" s="112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</row>
    <row r="971" spans="1:31" ht="12" customHeight="1">
      <c r="A971" s="108"/>
      <c r="B971" s="109"/>
      <c r="C971" s="109"/>
      <c r="D971" s="109"/>
      <c r="E971" s="112"/>
      <c r="F971" s="112"/>
      <c r="G971" s="109"/>
      <c r="H971" s="109"/>
      <c r="I971" s="109"/>
      <c r="J971" s="111"/>
      <c r="K971" s="268"/>
      <c r="L971" s="112"/>
      <c r="M971" s="112"/>
      <c r="N971" s="112"/>
      <c r="O971" s="112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</row>
    <row r="972" spans="1:31" ht="12" customHeight="1">
      <c r="A972" s="108"/>
      <c r="B972" s="109"/>
      <c r="C972" s="109"/>
      <c r="D972" s="109"/>
      <c r="E972" s="112"/>
      <c r="F972" s="112"/>
      <c r="G972" s="109"/>
      <c r="H972" s="109"/>
      <c r="I972" s="109"/>
      <c r="J972" s="111"/>
      <c r="K972" s="268"/>
      <c r="L972" s="112"/>
      <c r="M972" s="112"/>
      <c r="N972" s="112"/>
      <c r="O972" s="112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</row>
    <row r="973" spans="1:31" ht="12" customHeight="1">
      <c r="A973" s="108"/>
      <c r="B973" s="109"/>
      <c r="C973" s="109"/>
      <c r="D973" s="109"/>
      <c r="E973" s="112"/>
      <c r="F973" s="112"/>
      <c r="G973" s="109"/>
      <c r="H973" s="109"/>
      <c r="I973" s="109"/>
      <c r="J973" s="111"/>
      <c r="K973" s="268"/>
      <c r="L973" s="112"/>
      <c r="M973" s="112"/>
      <c r="N973" s="112"/>
      <c r="O973" s="112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</row>
    <row r="974" spans="1:31" ht="12" customHeight="1">
      <c r="A974" s="108"/>
      <c r="B974" s="109"/>
      <c r="C974" s="109"/>
      <c r="D974" s="109"/>
      <c r="E974" s="112"/>
      <c r="F974" s="112"/>
      <c r="G974" s="109"/>
      <c r="H974" s="109"/>
      <c r="I974" s="109"/>
      <c r="J974" s="111"/>
      <c r="K974" s="268"/>
      <c r="L974" s="112"/>
      <c r="M974" s="112"/>
      <c r="N974" s="112"/>
      <c r="O974" s="112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</row>
    <row r="975" spans="1:31" ht="12" customHeight="1">
      <c r="A975" s="108"/>
      <c r="B975" s="109"/>
      <c r="C975" s="109"/>
      <c r="D975" s="109"/>
      <c r="E975" s="112"/>
      <c r="F975" s="112"/>
      <c r="G975" s="109"/>
      <c r="H975" s="109"/>
      <c r="I975" s="109"/>
      <c r="J975" s="111"/>
      <c r="K975" s="268"/>
      <c r="L975" s="112"/>
      <c r="M975" s="112"/>
      <c r="N975" s="112"/>
      <c r="O975" s="112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</row>
    <row r="976" spans="1:31" ht="12" customHeight="1">
      <c r="A976" s="108"/>
      <c r="B976" s="109"/>
      <c r="C976" s="109"/>
      <c r="D976" s="109"/>
      <c r="E976" s="112"/>
      <c r="F976" s="112"/>
      <c r="G976" s="109"/>
      <c r="H976" s="109"/>
      <c r="I976" s="109"/>
      <c r="J976" s="111"/>
      <c r="K976" s="268"/>
      <c r="L976" s="112"/>
      <c r="M976" s="112"/>
      <c r="N976" s="112"/>
      <c r="O976" s="112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</row>
    <row r="977" spans="1:31" ht="12" customHeight="1">
      <c r="A977" s="108"/>
      <c r="B977" s="109"/>
      <c r="C977" s="109"/>
      <c r="D977" s="109"/>
      <c r="E977" s="112"/>
      <c r="F977" s="112"/>
      <c r="G977" s="109"/>
      <c r="H977" s="109"/>
      <c r="I977" s="109"/>
      <c r="J977" s="111"/>
      <c r="K977" s="268"/>
      <c r="L977" s="112"/>
      <c r="M977" s="112"/>
      <c r="N977" s="112"/>
      <c r="O977" s="112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</row>
    <row r="978" spans="1:31" ht="12" customHeight="1">
      <c r="A978" s="108"/>
      <c r="B978" s="109"/>
      <c r="C978" s="109"/>
      <c r="D978" s="109"/>
      <c r="E978" s="112"/>
      <c r="F978" s="112"/>
      <c r="G978" s="109"/>
      <c r="H978" s="109"/>
      <c r="I978" s="109"/>
      <c r="J978" s="111"/>
      <c r="K978" s="268"/>
      <c r="L978" s="112"/>
      <c r="M978" s="112"/>
      <c r="N978" s="112"/>
      <c r="O978" s="112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</row>
    <row r="979" spans="1:31" ht="12" customHeight="1">
      <c r="A979" s="108"/>
      <c r="B979" s="109"/>
      <c r="C979" s="109"/>
      <c r="D979" s="109"/>
      <c r="E979" s="112"/>
      <c r="F979" s="112"/>
      <c r="G979" s="109"/>
      <c r="H979" s="109"/>
      <c r="I979" s="109"/>
      <c r="J979" s="111"/>
      <c r="K979" s="268"/>
      <c r="L979" s="112"/>
      <c r="M979" s="112"/>
      <c r="N979" s="112"/>
      <c r="O979" s="112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</row>
    <row r="980" spans="1:31" ht="12" customHeight="1">
      <c r="A980" s="108"/>
      <c r="B980" s="109"/>
      <c r="C980" s="109"/>
      <c r="D980" s="109"/>
      <c r="E980" s="112"/>
      <c r="F980" s="112"/>
      <c r="G980" s="109"/>
      <c r="H980" s="109"/>
      <c r="I980" s="109"/>
      <c r="J980" s="111"/>
      <c r="K980" s="268"/>
      <c r="L980" s="112"/>
      <c r="M980" s="112"/>
      <c r="N980" s="112"/>
      <c r="O980" s="112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</row>
    <row r="981" spans="1:31" ht="12" customHeight="1">
      <c r="A981" s="108"/>
      <c r="B981" s="109"/>
      <c r="C981" s="109"/>
      <c r="D981" s="109"/>
      <c r="E981" s="112"/>
      <c r="F981" s="112"/>
      <c r="G981" s="109"/>
      <c r="H981" s="109"/>
      <c r="I981" s="109"/>
      <c r="J981" s="111"/>
      <c r="K981" s="268"/>
      <c r="L981" s="112"/>
      <c r="M981" s="112"/>
      <c r="N981" s="112"/>
      <c r="O981" s="112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</row>
  </sheetData>
  <phoneticPr fontId="24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AF54-4F8F-984A-83B4-F7452BC66076}">
  <dimension ref="A1:AC983"/>
  <sheetViews>
    <sheetView zoomScale="120" zoomScaleNormal="120" workbookViewId="0">
      <selection activeCell="F48" sqref="F48"/>
    </sheetView>
  </sheetViews>
  <sheetFormatPr baseColWidth="10" defaultColWidth="12.6640625" defaultRowHeight="15" customHeight="1"/>
  <cols>
    <col min="1" max="1" width="16" bestFit="1" customWidth="1"/>
    <col min="2" max="2" width="11.5" bestFit="1" customWidth="1"/>
    <col min="3" max="3" width="12.5" bestFit="1" customWidth="1"/>
    <col min="4" max="4" width="10.83203125" bestFit="1" customWidth="1"/>
    <col min="5" max="5" width="11.1640625" bestFit="1" customWidth="1"/>
    <col min="6" max="6" width="12.5" bestFit="1" customWidth="1"/>
    <col min="7" max="7" width="7.5" bestFit="1" customWidth="1"/>
    <col min="8" max="8" width="66" bestFit="1" customWidth="1"/>
    <col min="9" max="9" width="12.5" style="209" bestFit="1" customWidth="1"/>
    <col min="10" max="11" width="8" customWidth="1"/>
    <col min="12" max="13" width="8.33203125" customWidth="1"/>
    <col min="14" max="26" width="7.6640625" customWidth="1"/>
    <col min="27" max="27" width="24.83203125" customWidth="1"/>
    <col min="28" max="29" width="7.6640625" customWidth="1"/>
  </cols>
  <sheetData>
    <row r="1" spans="1:29" s="160" customFormat="1" ht="11">
      <c r="A1" s="322" t="s">
        <v>1035</v>
      </c>
      <c r="B1" s="322" t="s">
        <v>1036</v>
      </c>
      <c r="C1" s="322" t="s">
        <v>1037</v>
      </c>
      <c r="D1" s="322" t="s">
        <v>1038</v>
      </c>
      <c r="E1" s="322" t="s">
        <v>1039</v>
      </c>
      <c r="F1" s="322" t="s">
        <v>1040</v>
      </c>
      <c r="G1" s="322" t="s">
        <v>1041</v>
      </c>
      <c r="H1" s="322" t="s">
        <v>1042</v>
      </c>
      <c r="I1" s="322" t="s">
        <v>1043</v>
      </c>
      <c r="J1" s="322" t="s">
        <v>1044</v>
      </c>
      <c r="K1" s="322" t="s">
        <v>1045</v>
      </c>
      <c r="L1" s="326" t="s">
        <v>229</v>
      </c>
      <c r="M1" s="322" t="s">
        <v>1046</v>
      </c>
      <c r="N1" s="322" t="s">
        <v>1047</v>
      </c>
      <c r="O1" s="322" t="s">
        <v>1048</v>
      </c>
      <c r="P1" s="322" t="s">
        <v>1049</v>
      </c>
      <c r="Q1" s="322" t="s">
        <v>1050</v>
      </c>
      <c r="R1" s="322" t="s">
        <v>1051</v>
      </c>
      <c r="S1" s="322" t="s">
        <v>1052</v>
      </c>
      <c r="T1" s="322" t="s">
        <v>1053</v>
      </c>
      <c r="U1" s="322" t="s">
        <v>1054</v>
      </c>
      <c r="V1" s="322" t="s">
        <v>1055</v>
      </c>
      <c r="W1" s="322" t="s">
        <v>1056</v>
      </c>
      <c r="X1" s="322" t="s">
        <v>1057</v>
      </c>
      <c r="Y1" s="322" t="s">
        <v>1058</v>
      </c>
      <c r="Z1" s="322" t="s">
        <v>1059</v>
      </c>
      <c r="AA1" s="322" t="s">
        <v>1060</v>
      </c>
    </row>
    <row r="2" spans="1:29" s="160" customFormat="1" ht="11">
      <c r="A2" s="322" t="s">
        <v>1028</v>
      </c>
      <c r="B2" s="322" t="s">
        <v>1029</v>
      </c>
      <c r="C2" s="323">
        <v>46146.490879629629</v>
      </c>
      <c r="D2" s="323">
        <v>46146.680810185186</v>
      </c>
      <c r="E2" s="322">
        <v>92234714202</v>
      </c>
      <c r="F2" s="323">
        <v>46148.543252314812</v>
      </c>
      <c r="G2" s="322"/>
      <c r="H2" s="322" t="s">
        <v>1061</v>
      </c>
      <c r="I2" s="322" t="s">
        <v>1062</v>
      </c>
      <c r="J2" s="322">
        <v>20</v>
      </c>
      <c r="K2" s="322">
        <v>4420</v>
      </c>
      <c r="L2" s="322">
        <f>J2*K2</f>
        <v>88400</v>
      </c>
      <c r="M2" s="322">
        <v>0</v>
      </c>
      <c r="N2" s="322"/>
      <c r="O2" s="322">
        <v>0</v>
      </c>
      <c r="P2" s="322">
        <v>0</v>
      </c>
      <c r="Q2" s="322">
        <v>0</v>
      </c>
      <c r="R2" s="322"/>
      <c r="S2" s="322" t="s">
        <v>1063</v>
      </c>
      <c r="T2" s="322"/>
      <c r="U2" s="322"/>
      <c r="V2" s="322" t="s">
        <v>1064</v>
      </c>
      <c r="W2" s="322">
        <v>4420</v>
      </c>
      <c r="X2" s="322" t="s">
        <v>1065</v>
      </c>
      <c r="Y2" s="322">
        <v>0</v>
      </c>
      <c r="Z2" s="322"/>
      <c r="AA2" s="324" t="s">
        <v>1069</v>
      </c>
    </row>
    <row r="3" spans="1:29">
      <c r="A3" s="322" t="s">
        <v>1028</v>
      </c>
      <c r="B3" s="322" t="s">
        <v>1030</v>
      </c>
      <c r="C3" s="323">
        <v>46146.490879629629</v>
      </c>
      <c r="D3" s="323">
        <v>46146.680810185186</v>
      </c>
      <c r="E3" s="322">
        <v>92234714202</v>
      </c>
      <c r="F3" s="323">
        <v>46148.543252314812</v>
      </c>
      <c r="G3" s="322"/>
      <c r="H3" s="322" t="s">
        <v>1066</v>
      </c>
      <c r="I3" s="322" t="s">
        <v>1062</v>
      </c>
      <c r="J3" s="322">
        <v>15</v>
      </c>
      <c r="K3" s="322">
        <v>4420</v>
      </c>
      <c r="L3" s="322">
        <f t="shared" ref="L3:L5" si="0">J3*K3</f>
        <v>66300</v>
      </c>
      <c r="M3" s="322">
        <v>0</v>
      </c>
      <c r="N3" s="322"/>
      <c r="O3" s="322">
        <v>0</v>
      </c>
      <c r="P3" s="322">
        <v>0</v>
      </c>
      <c r="Q3" s="322">
        <v>0</v>
      </c>
      <c r="R3" s="322"/>
      <c r="S3" s="322" t="s">
        <v>1063</v>
      </c>
      <c r="T3" s="322"/>
      <c r="U3" s="322"/>
      <c r="V3" s="322" t="s">
        <v>1064</v>
      </c>
      <c r="W3" s="322">
        <v>4420</v>
      </c>
      <c r="X3" s="322" t="s">
        <v>1065</v>
      </c>
      <c r="Y3" s="322">
        <v>0</v>
      </c>
      <c r="Z3" s="322"/>
      <c r="AA3" s="325" t="s">
        <v>1069</v>
      </c>
      <c r="AB3" s="111"/>
      <c r="AC3" s="111"/>
    </row>
    <row r="4" spans="1:29">
      <c r="A4" s="322" t="s">
        <v>1032</v>
      </c>
      <c r="B4" s="322" t="s">
        <v>1033</v>
      </c>
      <c r="C4" s="323">
        <v>46163.466932870368</v>
      </c>
      <c r="D4" s="323">
        <v>46163.632256944446</v>
      </c>
      <c r="E4" s="322">
        <v>92235353770</v>
      </c>
      <c r="F4" s="323">
        <v>46164.727418981478</v>
      </c>
      <c r="G4" s="322"/>
      <c r="H4" s="322" t="s">
        <v>1067</v>
      </c>
      <c r="I4" s="322" t="s">
        <v>1062</v>
      </c>
      <c r="J4" s="322">
        <v>10</v>
      </c>
      <c r="K4" s="322">
        <v>4420</v>
      </c>
      <c r="L4" s="322">
        <f t="shared" si="0"/>
        <v>44200</v>
      </c>
      <c r="M4" s="322">
        <v>0</v>
      </c>
      <c r="N4" s="322"/>
      <c r="O4" s="322">
        <v>0</v>
      </c>
      <c r="P4" s="322">
        <v>0</v>
      </c>
      <c r="Q4" s="322">
        <v>0</v>
      </c>
      <c r="R4" s="322"/>
      <c r="S4" s="322" t="s">
        <v>1068</v>
      </c>
      <c r="T4" s="322"/>
      <c r="U4" s="322"/>
      <c r="V4" s="322" t="s">
        <v>1064</v>
      </c>
      <c r="W4" s="322">
        <v>65620</v>
      </c>
      <c r="X4" s="322" t="s">
        <v>1065</v>
      </c>
      <c r="Y4" s="322">
        <v>0</v>
      </c>
      <c r="Z4" s="322"/>
      <c r="AA4" s="322" t="s">
        <v>1068</v>
      </c>
      <c r="AB4" s="111"/>
      <c r="AC4" s="111"/>
    </row>
    <row r="5" spans="1:29" ht="12" customHeight="1">
      <c r="A5" s="322" t="s">
        <v>1032</v>
      </c>
      <c r="B5" s="322" t="s">
        <v>1034</v>
      </c>
      <c r="C5" s="323">
        <v>46163.466932870368</v>
      </c>
      <c r="D5" s="323">
        <v>46163.632256944446</v>
      </c>
      <c r="E5" s="322">
        <v>92235353770</v>
      </c>
      <c r="F5" s="323">
        <v>46164.727418981478</v>
      </c>
      <c r="G5" s="322"/>
      <c r="H5" s="322" t="s">
        <v>1061</v>
      </c>
      <c r="I5" s="322" t="s">
        <v>1062</v>
      </c>
      <c r="J5" s="322">
        <v>20</v>
      </c>
      <c r="K5" s="322">
        <v>4420</v>
      </c>
      <c r="L5" s="322">
        <f t="shared" si="0"/>
        <v>88400</v>
      </c>
      <c r="M5" s="322">
        <v>0</v>
      </c>
      <c r="N5" s="322"/>
      <c r="O5" s="322">
        <v>0</v>
      </c>
      <c r="P5" s="322">
        <v>0</v>
      </c>
      <c r="Q5" s="322">
        <v>0</v>
      </c>
      <c r="R5" s="322"/>
      <c r="S5" s="322" t="s">
        <v>1068</v>
      </c>
      <c r="T5" s="322"/>
      <c r="U5" s="322"/>
      <c r="V5" s="322" t="s">
        <v>1064</v>
      </c>
      <c r="W5" s="322">
        <v>4420</v>
      </c>
      <c r="X5" s="322" t="s">
        <v>1065</v>
      </c>
      <c r="Y5" s="322">
        <v>0</v>
      </c>
      <c r="Z5" s="322"/>
      <c r="AA5" s="322" t="s">
        <v>1068</v>
      </c>
      <c r="AB5" s="111"/>
      <c r="AC5" s="111"/>
    </row>
    <row r="6" spans="1:29" ht="12" customHeight="1">
      <c r="A6" s="126"/>
      <c r="B6" s="127"/>
      <c r="C6" s="124"/>
      <c r="D6" s="124"/>
      <c r="E6" s="170"/>
      <c r="F6" s="127"/>
      <c r="G6" s="127"/>
      <c r="H6" s="123"/>
      <c r="I6" s="267"/>
      <c r="J6" s="124">
        <f>SUM(J2:J5)</f>
        <v>65</v>
      </c>
      <c r="K6" s="124"/>
      <c r="L6" s="331">
        <f>SUM(L2:L5)</f>
        <v>287300</v>
      </c>
      <c r="M6" s="124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11"/>
      <c r="AC6" s="111"/>
    </row>
    <row r="7" spans="1:29" ht="12" customHeight="1">
      <c r="A7" s="126"/>
      <c r="B7" s="127"/>
      <c r="C7" s="124"/>
      <c r="D7" s="124"/>
      <c r="E7" s="127"/>
      <c r="F7" s="127"/>
      <c r="G7" s="127"/>
      <c r="H7" s="123"/>
      <c r="I7" s="267"/>
      <c r="J7" s="331">
        <f>6800*J6</f>
        <v>442000</v>
      </c>
      <c r="K7" s="124"/>
      <c r="L7" s="112"/>
      <c r="M7" s="112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</row>
    <row r="8" spans="1:29" ht="12" customHeight="1">
      <c r="A8" s="123"/>
      <c r="B8" s="127"/>
      <c r="C8" s="124"/>
      <c r="D8" s="124"/>
      <c r="E8" s="127"/>
      <c r="F8" s="127"/>
      <c r="G8" s="127"/>
      <c r="H8" s="123"/>
      <c r="I8" s="267"/>
      <c r="J8" s="124"/>
      <c r="K8" s="124"/>
      <c r="L8" s="112"/>
      <c r="M8" s="112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</row>
    <row r="9" spans="1:29" ht="12" customHeight="1">
      <c r="A9" s="125"/>
      <c r="B9" s="109"/>
      <c r="C9" s="112"/>
      <c r="D9" s="112"/>
      <c r="E9" s="123"/>
      <c r="F9" s="123"/>
      <c r="G9" s="123"/>
      <c r="H9" s="111"/>
      <c r="I9" s="267"/>
      <c r="J9" s="112"/>
      <c r="K9" s="112"/>
      <c r="L9" s="112"/>
      <c r="M9" s="112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</row>
    <row r="10" spans="1:29" ht="12" customHeight="1">
      <c r="A10" s="125"/>
      <c r="B10" s="109"/>
      <c r="C10" s="112"/>
      <c r="D10" s="112"/>
      <c r="E10" s="123"/>
      <c r="F10" s="123"/>
      <c r="G10" s="123"/>
      <c r="H10" s="111"/>
      <c r="I10" s="267"/>
      <c r="J10" s="112"/>
      <c r="K10" s="112"/>
      <c r="L10" s="112"/>
      <c r="M10" s="112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</row>
    <row r="11" spans="1:29" ht="12" customHeight="1">
      <c r="A11" s="108"/>
      <c r="B11" s="109"/>
      <c r="C11" s="112"/>
      <c r="D11" s="112"/>
      <c r="E11" s="109"/>
      <c r="F11" s="109"/>
      <c r="G11" s="109"/>
      <c r="H11" s="111"/>
      <c r="I11" s="268"/>
      <c r="J11" s="112"/>
      <c r="K11" s="112"/>
      <c r="L11" s="112"/>
      <c r="M11" s="112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</row>
    <row r="12" spans="1:29" ht="12" customHeight="1">
      <c r="A12" s="108"/>
      <c r="B12" s="109"/>
      <c r="C12" s="112"/>
      <c r="D12" s="112"/>
      <c r="E12" s="109"/>
      <c r="F12" s="109"/>
      <c r="G12" s="109"/>
      <c r="H12" s="111"/>
      <c r="I12" s="268"/>
      <c r="J12" s="112"/>
      <c r="K12" s="112"/>
      <c r="L12" s="112"/>
      <c r="M12" s="112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</row>
    <row r="13" spans="1:29" ht="12" customHeight="1">
      <c r="A13" s="108"/>
      <c r="B13" s="109"/>
      <c r="C13" s="112"/>
      <c r="D13" s="112"/>
      <c r="E13" s="109"/>
      <c r="F13" s="109"/>
      <c r="G13" s="109"/>
      <c r="H13" s="111"/>
      <c r="I13" s="268"/>
      <c r="J13" s="112"/>
      <c r="K13" s="112"/>
      <c r="L13" s="112"/>
      <c r="M13" s="112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</row>
    <row r="14" spans="1:29" ht="12" customHeight="1">
      <c r="A14" s="108"/>
      <c r="B14" s="109"/>
      <c r="C14" s="112"/>
      <c r="D14" s="112"/>
      <c r="E14" s="109"/>
      <c r="F14" s="109"/>
      <c r="G14" s="109"/>
      <c r="H14" s="111"/>
      <c r="I14" s="268"/>
      <c r="J14" s="112"/>
      <c r="K14" s="112"/>
      <c r="L14" s="112"/>
      <c r="M14" s="112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</row>
    <row r="15" spans="1:29" ht="12" customHeight="1">
      <c r="A15" s="108"/>
      <c r="B15" s="109"/>
      <c r="C15" s="112"/>
      <c r="D15" s="112"/>
      <c r="E15" s="109"/>
      <c r="F15" s="109"/>
      <c r="G15" s="109"/>
      <c r="H15" s="111"/>
      <c r="I15" s="268"/>
      <c r="J15" s="112"/>
      <c r="K15" s="112"/>
      <c r="L15" s="112"/>
      <c r="M15" s="112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</row>
    <row r="16" spans="1:29" ht="12" customHeight="1">
      <c r="A16" s="108"/>
      <c r="B16" s="109"/>
      <c r="C16" s="112"/>
      <c r="D16" s="112"/>
      <c r="E16" s="109"/>
      <c r="F16" s="109"/>
      <c r="G16" s="109"/>
      <c r="H16" s="111"/>
      <c r="I16" s="268"/>
      <c r="J16" s="112"/>
      <c r="K16" s="112"/>
      <c r="L16" s="112"/>
      <c r="M16" s="112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</row>
    <row r="17" spans="1:29" ht="12" customHeight="1">
      <c r="A17" s="108"/>
      <c r="B17" s="109"/>
      <c r="C17" s="112"/>
      <c r="D17" s="112"/>
      <c r="E17" s="109"/>
      <c r="F17" s="109"/>
      <c r="G17" s="109"/>
      <c r="H17" s="111"/>
      <c r="I17" s="268"/>
      <c r="J17" s="112"/>
      <c r="K17" s="112"/>
      <c r="L17" s="112"/>
      <c r="M17" s="112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</row>
    <row r="18" spans="1:29" ht="12" customHeight="1">
      <c r="A18" s="108"/>
      <c r="B18" s="109"/>
      <c r="C18" s="112"/>
      <c r="D18" s="112"/>
      <c r="E18" s="109"/>
      <c r="F18" s="109"/>
      <c r="G18" s="109"/>
      <c r="H18" s="111"/>
      <c r="I18" s="268"/>
      <c r="J18" s="112"/>
      <c r="K18" s="112"/>
      <c r="L18" s="112"/>
      <c r="M18" s="112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</row>
    <row r="19" spans="1:29" ht="12" customHeight="1">
      <c r="A19" s="108"/>
      <c r="B19" s="109"/>
      <c r="C19" s="112"/>
      <c r="D19" s="112"/>
      <c r="E19" s="109"/>
      <c r="F19" s="109"/>
      <c r="G19" s="109"/>
      <c r="H19" s="111"/>
      <c r="I19" s="268"/>
      <c r="J19" s="112"/>
      <c r="K19" s="112"/>
      <c r="L19" s="112"/>
      <c r="M19" s="112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</row>
    <row r="20" spans="1:29" ht="12" customHeight="1">
      <c r="A20" s="108"/>
      <c r="B20" s="109"/>
      <c r="C20" s="112"/>
      <c r="D20" s="112"/>
      <c r="E20" s="109"/>
      <c r="F20" s="109"/>
      <c r="G20" s="109"/>
      <c r="H20" s="111"/>
      <c r="I20" s="268"/>
      <c r="J20" s="112"/>
      <c r="K20" s="112"/>
      <c r="L20" s="112"/>
      <c r="M20" s="112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</row>
    <row r="21" spans="1:29" ht="12" customHeight="1">
      <c r="A21" s="108"/>
      <c r="B21" s="109"/>
      <c r="C21" s="112"/>
      <c r="D21" s="112"/>
      <c r="E21" s="109"/>
      <c r="F21" s="109"/>
      <c r="G21" s="109"/>
      <c r="H21" s="111"/>
      <c r="I21" s="268"/>
      <c r="J21" s="112"/>
      <c r="K21" s="112"/>
      <c r="L21" s="112"/>
      <c r="M21" s="112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</row>
    <row r="22" spans="1:29" ht="12" customHeight="1">
      <c r="A22" s="108"/>
      <c r="B22" s="109"/>
      <c r="C22" s="112"/>
      <c r="D22" s="112"/>
      <c r="E22" s="109"/>
      <c r="F22" s="109"/>
      <c r="G22" s="109"/>
      <c r="H22" s="111"/>
      <c r="I22" s="268"/>
      <c r="J22" s="112"/>
      <c r="K22" s="112"/>
      <c r="L22" s="112"/>
      <c r="M22" s="112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</row>
    <row r="23" spans="1:29" ht="12" customHeight="1">
      <c r="A23" s="108"/>
      <c r="B23" s="109"/>
      <c r="C23" s="112"/>
      <c r="D23" s="112"/>
      <c r="E23" s="109"/>
      <c r="F23" s="109"/>
      <c r="G23" s="109"/>
      <c r="H23" s="111"/>
      <c r="I23" s="268"/>
      <c r="J23" s="112"/>
      <c r="K23" s="112"/>
      <c r="L23" s="112"/>
      <c r="M23" s="112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ht="12" customHeight="1">
      <c r="A24" s="108"/>
      <c r="B24" s="109"/>
      <c r="C24" s="112"/>
      <c r="D24" s="112"/>
      <c r="E24" s="109"/>
      <c r="F24" s="109"/>
      <c r="G24" s="109"/>
      <c r="H24" s="111"/>
      <c r="I24" s="268"/>
      <c r="J24" s="112"/>
      <c r="K24" s="112"/>
      <c r="L24" s="112"/>
      <c r="M24" s="112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</row>
    <row r="25" spans="1:29" ht="12" customHeight="1">
      <c r="A25" s="108"/>
      <c r="B25" s="109"/>
      <c r="C25" s="112"/>
      <c r="D25" s="112"/>
      <c r="E25" s="109"/>
      <c r="F25" s="109"/>
      <c r="G25" s="109"/>
      <c r="H25" s="111"/>
      <c r="I25" s="268"/>
      <c r="J25" s="112"/>
      <c r="K25" s="112"/>
      <c r="L25" s="112"/>
      <c r="M25" s="112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</row>
    <row r="26" spans="1:29" ht="12" customHeight="1">
      <c r="A26" s="108"/>
      <c r="B26" s="109"/>
      <c r="C26" s="112"/>
      <c r="D26" s="112"/>
      <c r="E26" s="109"/>
      <c r="F26" s="109"/>
      <c r="G26" s="109"/>
      <c r="H26" s="111"/>
      <c r="I26" s="268"/>
      <c r="J26" s="112"/>
      <c r="K26" s="112"/>
      <c r="L26" s="112"/>
      <c r="M26" s="112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</row>
    <row r="27" spans="1:29" ht="12" customHeight="1">
      <c r="A27" s="108"/>
      <c r="B27" s="109"/>
      <c r="C27" s="112"/>
      <c r="D27" s="112"/>
      <c r="E27" s="109"/>
      <c r="F27" s="109"/>
      <c r="G27" s="109"/>
      <c r="H27" s="111"/>
      <c r="I27" s="268"/>
      <c r="J27" s="112"/>
      <c r="K27" s="112"/>
      <c r="L27" s="112"/>
      <c r="M27" s="112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</row>
    <row r="28" spans="1:29" ht="12" customHeight="1">
      <c r="A28" s="108"/>
      <c r="B28" s="109"/>
      <c r="C28" s="112"/>
      <c r="D28" s="112"/>
      <c r="E28" s="109"/>
      <c r="F28" s="109"/>
      <c r="G28" s="109"/>
      <c r="H28" s="111"/>
      <c r="I28" s="268"/>
      <c r="J28" s="112"/>
      <c r="K28" s="112"/>
      <c r="L28" s="112"/>
      <c r="M28" s="112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</row>
    <row r="29" spans="1:29" ht="12" customHeight="1">
      <c r="A29" s="108"/>
      <c r="B29" s="109"/>
      <c r="C29" s="112"/>
      <c r="D29" s="112"/>
      <c r="E29" s="109"/>
      <c r="F29" s="109"/>
      <c r="G29" s="109"/>
      <c r="H29" s="111"/>
      <c r="I29" s="268"/>
      <c r="J29" s="112"/>
      <c r="K29" s="112"/>
      <c r="L29" s="112"/>
      <c r="M29" s="112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</row>
    <row r="30" spans="1:29" ht="12" customHeight="1">
      <c r="A30" s="108"/>
      <c r="B30" s="109"/>
      <c r="C30" s="112"/>
      <c r="D30" s="112"/>
      <c r="E30" s="109"/>
      <c r="F30" s="109"/>
      <c r="G30" s="109"/>
      <c r="H30" s="111"/>
      <c r="I30" s="268"/>
      <c r="J30" s="112"/>
      <c r="K30" s="112"/>
      <c r="L30" s="112"/>
      <c r="M30" s="112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</row>
    <row r="31" spans="1:29" ht="12" customHeight="1">
      <c r="A31" s="108"/>
      <c r="B31" s="109"/>
      <c r="C31" s="112"/>
      <c r="D31" s="112"/>
      <c r="E31" s="109"/>
      <c r="F31" s="109"/>
      <c r="G31" s="109"/>
      <c r="H31" s="111"/>
      <c r="I31" s="268"/>
      <c r="J31" s="112"/>
      <c r="K31" s="112"/>
      <c r="L31" s="112"/>
      <c r="M31" s="112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</row>
    <row r="32" spans="1:29" ht="12" customHeight="1">
      <c r="A32" s="108"/>
      <c r="B32" s="109"/>
      <c r="C32" s="112"/>
      <c r="D32" s="112"/>
      <c r="E32" s="109"/>
      <c r="F32" s="109"/>
      <c r="G32" s="109"/>
      <c r="H32" s="111"/>
      <c r="I32" s="268"/>
      <c r="J32" s="112"/>
      <c r="K32" s="112"/>
      <c r="L32" s="112"/>
      <c r="M32" s="112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</row>
    <row r="33" spans="1:29" ht="12" customHeight="1">
      <c r="A33" s="108"/>
      <c r="B33" s="109"/>
      <c r="C33" s="112"/>
      <c r="D33" s="112"/>
      <c r="E33" s="109"/>
      <c r="F33" s="109"/>
      <c r="G33" s="109"/>
      <c r="H33" s="111"/>
      <c r="I33" s="268"/>
      <c r="J33" s="112"/>
      <c r="K33" s="112"/>
      <c r="L33" s="112"/>
      <c r="M33" s="112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 spans="1:29" ht="12" customHeight="1">
      <c r="A34" s="108"/>
      <c r="B34" s="109"/>
      <c r="C34" s="112"/>
      <c r="D34" s="112"/>
      <c r="E34" s="109"/>
      <c r="F34" s="109"/>
      <c r="G34" s="109"/>
      <c r="H34" s="111"/>
      <c r="I34" s="268"/>
      <c r="J34" s="112"/>
      <c r="K34" s="112"/>
      <c r="L34" s="112"/>
      <c r="M34" s="112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</row>
    <row r="35" spans="1:29" ht="12" customHeight="1">
      <c r="A35" s="108"/>
      <c r="B35" s="109"/>
      <c r="C35" s="112"/>
      <c r="D35" s="112"/>
      <c r="E35" s="109"/>
      <c r="F35" s="109"/>
      <c r="G35" s="109"/>
      <c r="H35" s="111"/>
      <c r="I35" s="268"/>
      <c r="J35" s="112"/>
      <c r="K35" s="112"/>
      <c r="L35" s="112"/>
      <c r="M35" s="112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ht="12" customHeight="1">
      <c r="A36" s="108"/>
      <c r="B36" s="109"/>
      <c r="C36" s="112"/>
      <c r="D36" s="112"/>
      <c r="E36" s="109"/>
      <c r="F36" s="109"/>
      <c r="G36" s="109"/>
      <c r="H36" s="111"/>
      <c r="I36" s="268"/>
      <c r="J36" s="112"/>
      <c r="K36" s="112"/>
      <c r="L36" s="112"/>
      <c r="M36" s="112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</row>
    <row r="37" spans="1:29" ht="12" customHeight="1">
      <c r="A37" s="108"/>
      <c r="B37" s="109"/>
      <c r="C37" s="112"/>
      <c r="D37" s="112"/>
      <c r="E37" s="109"/>
      <c r="F37" s="109"/>
      <c r="G37" s="109"/>
      <c r="H37" s="111"/>
      <c r="I37" s="268"/>
      <c r="J37" s="112"/>
      <c r="K37" s="112"/>
      <c r="L37" s="112"/>
      <c r="M37" s="112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</row>
    <row r="38" spans="1:29" ht="12" customHeight="1">
      <c r="A38" s="108"/>
      <c r="B38" s="109"/>
      <c r="C38" s="112"/>
      <c r="D38" s="112"/>
      <c r="E38" s="109"/>
      <c r="F38" s="109"/>
      <c r="G38" s="109"/>
      <c r="H38" s="111"/>
      <c r="I38" s="268"/>
      <c r="J38" s="112"/>
      <c r="K38" s="112"/>
      <c r="L38" s="112"/>
      <c r="M38" s="112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</row>
    <row r="39" spans="1:29" ht="12" customHeight="1">
      <c r="A39" s="108"/>
      <c r="B39" s="109"/>
      <c r="C39" s="112"/>
      <c r="D39" s="112"/>
      <c r="E39" s="109"/>
      <c r="F39" s="109"/>
      <c r="G39" s="109"/>
      <c r="H39" s="111"/>
      <c r="I39" s="268"/>
      <c r="J39" s="112"/>
      <c r="K39" s="112"/>
      <c r="L39" s="112"/>
      <c r="M39" s="112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</row>
    <row r="40" spans="1:29" ht="12" customHeight="1">
      <c r="A40" s="108"/>
      <c r="B40" s="109"/>
      <c r="C40" s="112"/>
      <c r="D40" s="112"/>
      <c r="E40" s="109"/>
      <c r="F40" s="109"/>
      <c r="G40" s="109"/>
      <c r="H40" s="111"/>
      <c r="I40" s="268"/>
      <c r="J40" s="112"/>
      <c r="K40" s="112"/>
      <c r="L40" s="112"/>
      <c r="M40" s="112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</row>
    <row r="41" spans="1:29" ht="12" customHeight="1">
      <c r="A41" s="108"/>
      <c r="B41" s="109"/>
      <c r="C41" s="112"/>
      <c r="D41" s="112"/>
      <c r="E41" s="109"/>
      <c r="F41" s="109"/>
      <c r="G41" s="109"/>
      <c r="H41" s="111"/>
      <c r="I41" s="268"/>
      <c r="J41" s="112"/>
      <c r="K41" s="112"/>
      <c r="L41" s="112"/>
      <c r="M41" s="112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</row>
    <row r="42" spans="1:29" ht="12" customHeight="1">
      <c r="A42" s="108"/>
      <c r="B42" s="109"/>
      <c r="C42" s="112"/>
      <c r="D42" s="112"/>
      <c r="E42" s="109"/>
      <c r="F42" s="109"/>
      <c r="G42" s="109"/>
      <c r="H42" s="111"/>
      <c r="I42" s="268"/>
      <c r="J42" s="112"/>
      <c r="K42" s="112"/>
      <c r="L42" s="112"/>
      <c r="M42" s="112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</row>
    <row r="43" spans="1:29" ht="12" customHeight="1">
      <c r="A43" s="108"/>
      <c r="B43" s="109"/>
      <c r="C43" s="112"/>
      <c r="D43" s="112"/>
      <c r="E43" s="109"/>
      <c r="F43" s="109"/>
      <c r="G43" s="109"/>
      <c r="H43" s="111"/>
      <c r="I43" s="268"/>
      <c r="J43" s="112"/>
      <c r="K43" s="112"/>
      <c r="L43" s="112"/>
      <c r="M43" s="112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</row>
    <row r="44" spans="1:29" ht="12" customHeight="1">
      <c r="A44" s="108"/>
      <c r="B44" s="109"/>
      <c r="C44" s="112"/>
      <c r="D44" s="112"/>
      <c r="E44" s="109"/>
      <c r="F44" s="109"/>
      <c r="G44" s="109"/>
      <c r="H44" s="111"/>
      <c r="I44" s="268"/>
      <c r="J44" s="112"/>
      <c r="K44" s="112"/>
      <c r="L44" s="112"/>
      <c r="M44" s="112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</row>
    <row r="45" spans="1:29" ht="12" customHeight="1">
      <c r="A45" s="108"/>
      <c r="B45" s="109"/>
      <c r="C45" s="112"/>
      <c r="D45" s="112"/>
      <c r="E45" s="109"/>
      <c r="F45" s="109"/>
      <c r="G45" s="109"/>
      <c r="H45" s="111"/>
      <c r="I45" s="268"/>
      <c r="J45" s="112"/>
      <c r="K45" s="112"/>
      <c r="L45" s="112"/>
      <c r="M45" s="112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</row>
    <row r="46" spans="1:29" ht="12" customHeight="1">
      <c r="A46" s="108"/>
      <c r="B46" s="109"/>
      <c r="C46" s="112"/>
      <c r="D46" s="112"/>
      <c r="E46" s="109"/>
      <c r="F46" s="109"/>
      <c r="G46" s="109"/>
      <c r="H46" s="111"/>
      <c r="I46" s="268"/>
      <c r="J46" s="112"/>
      <c r="K46" s="112"/>
      <c r="L46" s="112"/>
      <c r="M46" s="112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</row>
    <row r="47" spans="1:29" ht="12" customHeight="1">
      <c r="A47" s="108"/>
      <c r="B47" s="109"/>
      <c r="C47" s="112"/>
      <c r="D47" s="112"/>
      <c r="E47" s="109"/>
      <c r="F47" s="109"/>
      <c r="G47" s="109"/>
      <c r="H47" s="111"/>
      <c r="I47" s="268"/>
      <c r="J47" s="112"/>
      <c r="K47" s="112"/>
      <c r="L47" s="112"/>
      <c r="M47" s="112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ht="12" customHeight="1">
      <c r="A48" s="108"/>
      <c r="B48" s="109"/>
      <c r="C48" s="112"/>
      <c r="D48" s="112"/>
      <c r="E48" s="109"/>
      <c r="F48" s="109"/>
      <c r="G48" s="109"/>
      <c r="H48" s="111"/>
      <c r="I48" s="268"/>
      <c r="J48" s="112"/>
      <c r="K48" s="112"/>
      <c r="L48" s="112"/>
      <c r="M48" s="112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</row>
    <row r="49" spans="1:29" ht="12" customHeight="1">
      <c r="A49" s="108"/>
      <c r="B49" s="109"/>
      <c r="C49" s="112"/>
      <c r="D49" s="112"/>
      <c r="E49" s="109"/>
      <c r="F49" s="109"/>
      <c r="G49" s="109"/>
      <c r="H49" s="111"/>
      <c r="I49" s="268"/>
      <c r="J49" s="112"/>
      <c r="K49" s="112"/>
      <c r="L49" s="112"/>
      <c r="M49" s="112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</row>
    <row r="50" spans="1:29" ht="12" customHeight="1">
      <c r="A50" s="108"/>
      <c r="B50" s="109"/>
      <c r="C50" s="112"/>
      <c r="D50" s="112"/>
      <c r="E50" s="109"/>
      <c r="F50" s="109"/>
      <c r="G50" s="109"/>
      <c r="H50" s="111"/>
      <c r="I50" s="268"/>
      <c r="J50" s="112"/>
      <c r="K50" s="112"/>
      <c r="L50" s="112"/>
      <c r="M50" s="112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</row>
    <row r="51" spans="1:29" ht="12" customHeight="1">
      <c r="A51" s="108"/>
      <c r="B51" s="109"/>
      <c r="C51" s="112"/>
      <c r="D51" s="112"/>
      <c r="E51" s="109"/>
      <c r="F51" s="109"/>
      <c r="G51" s="109"/>
      <c r="H51" s="111"/>
      <c r="I51" s="268"/>
      <c r="J51" s="112"/>
      <c r="K51" s="112"/>
      <c r="L51" s="112"/>
      <c r="M51" s="112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</row>
    <row r="52" spans="1:29" ht="12" customHeight="1">
      <c r="A52" s="108"/>
      <c r="B52" s="109"/>
      <c r="C52" s="112"/>
      <c r="D52" s="112"/>
      <c r="E52" s="109"/>
      <c r="F52" s="109"/>
      <c r="G52" s="109"/>
      <c r="H52" s="111"/>
      <c r="I52" s="268"/>
      <c r="J52" s="112"/>
      <c r="K52" s="112"/>
      <c r="L52" s="112"/>
      <c r="M52" s="112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</row>
    <row r="53" spans="1:29" ht="12" customHeight="1">
      <c r="A53" s="108"/>
      <c r="B53" s="109"/>
      <c r="C53" s="112"/>
      <c r="D53" s="112"/>
      <c r="E53" s="109"/>
      <c r="F53" s="109"/>
      <c r="G53" s="109"/>
      <c r="H53" s="111"/>
      <c r="I53" s="268"/>
      <c r="J53" s="112"/>
      <c r="K53" s="112"/>
      <c r="L53" s="112"/>
      <c r="M53" s="112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</row>
    <row r="54" spans="1:29" ht="12" customHeight="1">
      <c r="A54" s="108"/>
      <c r="B54" s="109"/>
      <c r="C54" s="112"/>
      <c r="D54" s="112"/>
      <c r="E54" s="109"/>
      <c r="F54" s="109"/>
      <c r="G54" s="109"/>
      <c r="H54" s="111"/>
      <c r="I54" s="268"/>
      <c r="J54" s="112"/>
      <c r="K54" s="112"/>
      <c r="L54" s="112"/>
      <c r="M54" s="112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</row>
    <row r="55" spans="1:29" ht="12" customHeight="1">
      <c r="A55" s="108"/>
      <c r="B55" s="109"/>
      <c r="C55" s="112"/>
      <c r="D55" s="112"/>
      <c r="E55" s="109"/>
      <c r="F55" s="109"/>
      <c r="G55" s="109"/>
      <c r="H55" s="111"/>
      <c r="I55" s="268"/>
      <c r="J55" s="112"/>
      <c r="K55" s="112"/>
      <c r="L55" s="112"/>
      <c r="M55" s="112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</row>
    <row r="56" spans="1:29" ht="12" customHeight="1">
      <c r="A56" s="108"/>
      <c r="B56" s="109"/>
      <c r="C56" s="112"/>
      <c r="D56" s="112"/>
      <c r="E56" s="109"/>
      <c r="F56" s="109"/>
      <c r="G56" s="109"/>
      <c r="H56" s="111"/>
      <c r="I56" s="268"/>
      <c r="J56" s="112"/>
      <c r="K56" s="112"/>
      <c r="L56" s="112"/>
      <c r="M56" s="112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</row>
    <row r="57" spans="1:29" ht="12" customHeight="1">
      <c r="A57" s="108"/>
      <c r="B57" s="109"/>
      <c r="C57" s="112"/>
      <c r="D57" s="112"/>
      <c r="E57" s="109"/>
      <c r="F57" s="109"/>
      <c r="G57" s="109"/>
      <c r="H57" s="111"/>
      <c r="I57" s="268"/>
      <c r="J57" s="112"/>
      <c r="K57" s="112"/>
      <c r="L57" s="112"/>
      <c r="M57" s="112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</row>
    <row r="58" spans="1:29" ht="12" customHeight="1">
      <c r="A58" s="108"/>
      <c r="B58" s="109"/>
      <c r="C58" s="112"/>
      <c r="D58" s="112"/>
      <c r="E58" s="109"/>
      <c r="F58" s="109"/>
      <c r="G58" s="109"/>
      <c r="H58" s="111"/>
      <c r="I58" s="268"/>
      <c r="J58" s="112"/>
      <c r="K58" s="112"/>
      <c r="L58" s="112"/>
      <c r="M58" s="112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</row>
    <row r="59" spans="1:29" ht="12" customHeight="1">
      <c r="A59" s="108"/>
      <c r="B59" s="109"/>
      <c r="C59" s="112"/>
      <c r="D59" s="112"/>
      <c r="E59" s="109"/>
      <c r="F59" s="109"/>
      <c r="G59" s="109"/>
      <c r="H59" s="111"/>
      <c r="I59" s="268"/>
      <c r="J59" s="112"/>
      <c r="K59" s="112"/>
      <c r="L59" s="112"/>
      <c r="M59" s="112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</row>
    <row r="60" spans="1:29" ht="12" customHeight="1">
      <c r="A60" s="108"/>
      <c r="B60" s="109"/>
      <c r="C60" s="112"/>
      <c r="D60" s="112"/>
      <c r="E60" s="109"/>
      <c r="F60" s="109"/>
      <c r="G60" s="109"/>
      <c r="H60" s="111"/>
      <c r="I60" s="268"/>
      <c r="J60" s="112"/>
      <c r="K60" s="112"/>
      <c r="L60" s="112"/>
      <c r="M60" s="112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</row>
    <row r="61" spans="1:29" ht="12" customHeight="1">
      <c r="A61" s="108"/>
      <c r="B61" s="109"/>
      <c r="C61" s="112"/>
      <c r="D61" s="112"/>
      <c r="E61" s="109"/>
      <c r="F61" s="109"/>
      <c r="G61" s="109"/>
      <c r="H61" s="111"/>
      <c r="I61" s="268"/>
      <c r="J61" s="112"/>
      <c r="K61" s="112"/>
      <c r="L61" s="112"/>
      <c r="M61" s="112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</row>
    <row r="62" spans="1:29" ht="12" customHeight="1">
      <c r="A62" s="108"/>
      <c r="B62" s="109"/>
      <c r="C62" s="112"/>
      <c r="D62" s="112"/>
      <c r="E62" s="109"/>
      <c r="F62" s="109"/>
      <c r="G62" s="109"/>
      <c r="H62" s="111"/>
      <c r="I62" s="268"/>
      <c r="J62" s="112"/>
      <c r="K62" s="112"/>
      <c r="L62" s="112"/>
      <c r="M62" s="112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</row>
    <row r="63" spans="1:29" ht="12" customHeight="1">
      <c r="A63" s="108"/>
      <c r="B63" s="109"/>
      <c r="C63" s="112"/>
      <c r="D63" s="112"/>
      <c r="E63" s="109"/>
      <c r="F63" s="109"/>
      <c r="G63" s="109"/>
      <c r="H63" s="111"/>
      <c r="I63" s="268"/>
      <c r="J63" s="112"/>
      <c r="K63" s="112"/>
      <c r="L63" s="112"/>
      <c r="M63" s="112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</row>
    <row r="64" spans="1:29" ht="12" customHeight="1">
      <c r="A64" s="108"/>
      <c r="B64" s="109"/>
      <c r="C64" s="112"/>
      <c r="D64" s="112"/>
      <c r="E64" s="109"/>
      <c r="F64" s="109"/>
      <c r="G64" s="109"/>
      <c r="H64" s="111"/>
      <c r="I64" s="268"/>
      <c r="J64" s="112"/>
      <c r="K64" s="112"/>
      <c r="L64" s="112"/>
      <c r="M64" s="112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</row>
    <row r="65" spans="1:29" ht="12" customHeight="1">
      <c r="A65" s="108"/>
      <c r="B65" s="109"/>
      <c r="C65" s="112"/>
      <c r="D65" s="112"/>
      <c r="E65" s="109"/>
      <c r="F65" s="109"/>
      <c r="G65" s="109"/>
      <c r="H65" s="111"/>
      <c r="I65" s="268"/>
      <c r="J65" s="112"/>
      <c r="K65" s="112"/>
      <c r="L65" s="112"/>
      <c r="M65" s="112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</row>
    <row r="66" spans="1:29" ht="12" customHeight="1">
      <c r="A66" s="108"/>
      <c r="B66" s="109"/>
      <c r="C66" s="112"/>
      <c r="D66" s="112"/>
      <c r="E66" s="109"/>
      <c r="F66" s="109"/>
      <c r="G66" s="109"/>
      <c r="H66" s="111"/>
      <c r="I66" s="268"/>
      <c r="J66" s="112"/>
      <c r="K66" s="112"/>
      <c r="L66" s="112"/>
      <c r="M66" s="112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</row>
    <row r="67" spans="1:29" ht="12" customHeight="1">
      <c r="A67" s="108"/>
      <c r="B67" s="109"/>
      <c r="C67" s="112"/>
      <c r="D67" s="112"/>
      <c r="E67" s="109"/>
      <c r="F67" s="109"/>
      <c r="G67" s="109"/>
      <c r="H67" s="111"/>
      <c r="I67" s="268"/>
      <c r="J67" s="112"/>
      <c r="K67" s="112"/>
      <c r="L67" s="112"/>
      <c r="M67" s="112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</row>
    <row r="68" spans="1:29" ht="12" customHeight="1">
      <c r="A68" s="108"/>
      <c r="B68" s="109"/>
      <c r="C68" s="112"/>
      <c r="D68" s="112"/>
      <c r="E68" s="109"/>
      <c r="F68" s="109"/>
      <c r="G68" s="109"/>
      <c r="H68" s="111"/>
      <c r="I68" s="268"/>
      <c r="J68" s="112"/>
      <c r="K68" s="112"/>
      <c r="L68" s="112"/>
      <c r="M68" s="112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</row>
    <row r="69" spans="1:29" ht="12" customHeight="1">
      <c r="A69" s="108"/>
      <c r="B69" s="109"/>
      <c r="C69" s="112"/>
      <c r="D69" s="112"/>
      <c r="E69" s="109"/>
      <c r="F69" s="109"/>
      <c r="G69" s="109"/>
      <c r="H69" s="111"/>
      <c r="I69" s="268"/>
      <c r="J69" s="112"/>
      <c r="K69" s="112"/>
      <c r="L69" s="112"/>
      <c r="M69" s="112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</row>
    <row r="70" spans="1:29" ht="12" customHeight="1">
      <c r="A70" s="108"/>
      <c r="B70" s="109"/>
      <c r="C70" s="112"/>
      <c r="D70" s="112"/>
      <c r="E70" s="109"/>
      <c r="F70" s="109"/>
      <c r="G70" s="109"/>
      <c r="H70" s="111"/>
      <c r="I70" s="268"/>
      <c r="J70" s="112"/>
      <c r="K70" s="112"/>
      <c r="L70" s="112"/>
      <c r="M70" s="112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</row>
    <row r="71" spans="1:29" ht="12" customHeight="1">
      <c r="A71" s="108"/>
      <c r="B71" s="109"/>
      <c r="C71" s="112"/>
      <c r="D71" s="112"/>
      <c r="E71" s="109"/>
      <c r="F71" s="109"/>
      <c r="G71" s="109"/>
      <c r="H71" s="111"/>
      <c r="I71" s="268"/>
      <c r="J71" s="112"/>
      <c r="K71" s="112"/>
      <c r="L71" s="112"/>
      <c r="M71" s="112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</row>
    <row r="72" spans="1:29" ht="12" customHeight="1">
      <c r="A72" s="108"/>
      <c r="B72" s="109"/>
      <c r="C72" s="112"/>
      <c r="D72" s="112"/>
      <c r="E72" s="109"/>
      <c r="F72" s="109"/>
      <c r="G72" s="109"/>
      <c r="H72" s="111"/>
      <c r="I72" s="268"/>
      <c r="J72" s="112"/>
      <c r="K72" s="112"/>
      <c r="L72" s="112"/>
      <c r="M72" s="112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</row>
    <row r="73" spans="1:29" ht="12" customHeight="1">
      <c r="A73" s="108"/>
      <c r="B73" s="109"/>
      <c r="C73" s="112"/>
      <c r="D73" s="112"/>
      <c r="E73" s="109"/>
      <c r="F73" s="109"/>
      <c r="G73" s="109"/>
      <c r="H73" s="111"/>
      <c r="I73" s="268"/>
      <c r="J73" s="112"/>
      <c r="K73" s="112"/>
      <c r="L73" s="112"/>
      <c r="M73" s="112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</row>
    <row r="74" spans="1:29" ht="12" customHeight="1">
      <c r="A74" s="108"/>
      <c r="B74" s="109"/>
      <c r="C74" s="112"/>
      <c r="D74" s="112"/>
      <c r="E74" s="109"/>
      <c r="F74" s="109"/>
      <c r="G74" s="109"/>
      <c r="H74" s="111"/>
      <c r="I74" s="268"/>
      <c r="J74" s="112"/>
      <c r="K74" s="112"/>
      <c r="L74" s="112"/>
      <c r="M74" s="112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</row>
    <row r="75" spans="1:29" ht="12" customHeight="1">
      <c r="A75" s="108"/>
      <c r="B75" s="109"/>
      <c r="C75" s="112"/>
      <c r="D75" s="112"/>
      <c r="E75" s="109"/>
      <c r="F75" s="109"/>
      <c r="G75" s="109"/>
      <c r="H75" s="111"/>
      <c r="I75" s="268"/>
      <c r="J75" s="112"/>
      <c r="K75" s="112"/>
      <c r="L75" s="112"/>
      <c r="M75" s="112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</row>
    <row r="76" spans="1:29" ht="12" customHeight="1">
      <c r="A76" s="108"/>
      <c r="B76" s="109"/>
      <c r="C76" s="112"/>
      <c r="D76" s="112"/>
      <c r="E76" s="109"/>
      <c r="F76" s="109"/>
      <c r="G76" s="109"/>
      <c r="H76" s="111"/>
      <c r="I76" s="268"/>
      <c r="J76" s="112"/>
      <c r="K76" s="112"/>
      <c r="L76" s="112"/>
      <c r="M76" s="112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</row>
    <row r="77" spans="1:29" ht="12" customHeight="1">
      <c r="A77" s="108"/>
      <c r="B77" s="109"/>
      <c r="C77" s="112"/>
      <c r="D77" s="112"/>
      <c r="E77" s="109"/>
      <c r="F77" s="109"/>
      <c r="G77" s="109"/>
      <c r="H77" s="111"/>
      <c r="I77" s="268"/>
      <c r="J77" s="112"/>
      <c r="K77" s="112"/>
      <c r="L77" s="112"/>
      <c r="M77" s="112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</row>
    <row r="78" spans="1:29" ht="12" customHeight="1">
      <c r="A78" s="108"/>
      <c r="B78" s="109"/>
      <c r="C78" s="112"/>
      <c r="D78" s="112"/>
      <c r="E78" s="109"/>
      <c r="F78" s="109"/>
      <c r="G78" s="109"/>
      <c r="H78" s="111"/>
      <c r="I78" s="268"/>
      <c r="J78" s="112"/>
      <c r="K78" s="112"/>
      <c r="L78" s="112"/>
      <c r="M78" s="112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</row>
    <row r="79" spans="1:29" ht="12" customHeight="1">
      <c r="A79" s="108"/>
      <c r="B79" s="109"/>
      <c r="C79" s="112"/>
      <c r="D79" s="112"/>
      <c r="E79" s="109"/>
      <c r="F79" s="109"/>
      <c r="G79" s="109"/>
      <c r="H79" s="111"/>
      <c r="I79" s="268"/>
      <c r="J79" s="112"/>
      <c r="K79" s="112"/>
      <c r="L79" s="112"/>
      <c r="M79" s="112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</row>
    <row r="80" spans="1:29" ht="12" customHeight="1">
      <c r="A80" s="108"/>
      <c r="B80" s="109"/>
      <c r="C80" s="112"/>
      <c r="D80" s="112"/>
      <c r="E80" s="109"/>
      <c r="F80" s="109"/>
      <c r="G80" s="109"/>
      <c r="H80" s="111"/>
      <c r="I80" s="268"/>
      <c r="J80" s="112"/>
      <c r="K80" s="112"/>
      <c r="L80" s="112"/>
      <c r="M80" s="112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</row>
    <row r="81" spans="1:29" ht="12" customHeight="1">
      <c r="A81" s="108"/>
      <c r="B81" s="109"/>
      <c r="C81" s="112"/>
      <c r="D81" s="112"/>
      <c r="E81" s="109"/>
      <c r="F81" s="109"/>
      <c r="G81" s="109"/>
      <c r="H81" s="111"/>
      <c r="I81" s="268"/>
      <c r="J81" s="112"/>
      <c r="K81" s="112"/>
      <c r="L81" s="112"/>
      <c r="M81" s="112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</row>
    <row r="82" spans="1:29" ht="12" customHeight="1">
      <c r="A82" s="108"/>
      <c r="B82" s="109"/>
      <c r="C82" s="112"/>
      <c r="D82" s="112"/>
      <c r="E82" s="109"/>
      <c r="F82" s="109"/>
      <c r="G82" s="109"/>
      <c r="H82" s="111"/>
      <c r="I82" s="268"/>
      <c r="J82" s="112"/>
      <c r="K82" s="112"/>
      <c r="L82" s="112"/>
      <c r="M82" s="112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</row>
    <row r="83" spans="1:29" ht="12" customHeight="1">
      <c r="A83" s="108"/>
      <c r="B83" s="109"/>
      <c r="C83" s="112"/>
      <c r="D83" s="112"/>
      <c r="E83" s="109"/>
      <c r="F83" s="109"/>
      <c r="G83" s="109"/>
      <c r="H83" s="111"/>
      <c r="I83" s="268"/>
      <c r="J83" s="112"/>
      <c r="K83" s="112"/>
      <c r="L83" s="112"/>
      <c r="M83" s="112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</row>
    <row r="84" spans="1:29" ht="12" customHeight="1">
      <c r="A84" s="108"/>
      <c r="B84" s="109"/>
      <c r="C84" s="112"/>
      <c r="D84" s="112"/>
      <c r="E84" s="109"/>
      <c r="F84" s="109"/>
      <c r="G84" s="109"/>
      <c r="H84" s="111"/>
      <c r="I84" s="268"/>
      <c r="J84" s="112"/>
      <c r="K84" s="112"/>
      <c r="L84" s="112"/>
      <c r="M84" s="112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</row>
    <row r="85" spans="1:29" ht="12" customHeight="1">
      <c r="A85" s="108"/>
      <c r="B85" s="109"/>
      <c r="C85" s="112"/>
      <c r="D85" s="112"/>
      <c r="E85" s="109"/>
      <c r="F85" s="109"/>
      <c r="G85" s="109"/>
      <c r="H85" s="111"/>
      <c r="I85" s="268"/>
      <c r="J85" s="112"/>
      <c r="K85" s="112"/>
      <c r="L85" s="112"/>
      <c r="M85" s="112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9" ht="12" customHeight="1">
      <c r="A86" s="108"/>
      <c r="B86" s="109"/>
      <c r="C86" s="112"/>
      <c r="D86" s="112"/>
      <c r="E86" s="109"/>
      <c r="F86" s="109"/>
      <c r="G86" s="109"/>
      <c r="H86" s="111"/>
      <c r="I86" s="268"/>
      <c r="J86" s="112"/>
      <c r="K86" s="112"/>
      <c r="L86" s="112"/>
      <c r="M86" s="112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</row>
    <row r="87" spans="1:29" ht="12" customHeight="1">
      <c r="A87" s="108"/>
      <c r="B87" s="109"/>
      <c r="C87" s="112"/>
      <c r="D87" s="112"/>
      <c r="E87" s="109"/>
      <c r="F87" s="109"/>
      <c r="G87" s="109"/>
      <c r="H87" s="111"/>
      <c r="I87" s="268"/>
      <c r="J87" s="112"/>
      <c r="K87" s="112"/>
      <c r="L87" s="112"/>
      <c r="M87" s="112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</row>
    <row r="88" spans="1:29" ht="12" customHeight="1">
      <c r="A88" s="108"/>
      <c r="B88" s="109"/>
      <c r="C88" s="112"/>
      <c r="D88" s="112"/>
      <c r="E88" s="109"/>
      <c r="F88" s="109"/>
      <c r="G88" s="109"/>
      <c r="H88" s="111"/>
      <c r="I88" s="268"/>
      <c r="J88" s="112"/>
      <c r="K88" s="112"/>
      <c r="L88" s="112"/>
      <c r="M88" s="112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</row>
    <row r="89" spans="1:29" ht="12" customHeight="1">
      <c r="A89" s="108"/>
      <c r="B89" s="109"/>
      <c r="C89" s="112"/>
      <c r="D89" s="112"/>
      <c r="E89" s="109"/>
      <c r="F89" s="109"/>
      <c r="G89" s="109"/>
      <c r="H89" s="111"/>
      <c r="I89" s="268"/>
      <c r="J89" s="112"/>
      <c r="K89" s="112"/>
      <c r="L89" s="112"/>
      <c r="M89" s="112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</row>
    <row r="90" spans="1:29" ht="12" customHeight="1">
      <c r="A90" s="108"/>
      <c r="B90" s="109"/>
      <c r="C90" s="112"/>
      <c r="D90" s="112"/>
      <c r="E90" s="109"/>
      <c r="F90" s="109"/>
      <c r="G90" s="109"/>
      <c r="H90" s="111"/>
      <c r="I90" s="268"/>
      <c r="J90" s="112"/>
      <c r="K90" s="112"/>
      <c r="L90" s="112"/>
      <c r="M90" s="112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</row>
    <row r="91" spans="1:29" ht="12" customHeight="1">
      <c r="A91" s="108"/>
      <c r="B91" s="109"/>
      <c r="C91" s="112"/>
      <c r="D91" s="112"/>
      <c r="E91" s="109"/>
      <c r="F91" s="109"/>
      <c r="G91" s="109"/>
      <c r="H91" s="111"/>
      <c r="I91" s="268"/>
      <c r="J91" s="112"/>
      <c r="K91" s="112"/>
      <c r="L91" s="112"/>
      <c r="M91" s="112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</row>
    <row r="92" spans="1:29" ht="12" customHeight="1">
      <c r="A92" s="108"/>
      <c r="B92" s="109"/>
      <c r="C92" s="112"/>
      <c r="D92" s="112"/>
      <c r="E92" s="109"/>
      <c r="F92" s="109"/>
      <c r="G92" s="109"/>
      <c r="H92" s="111"/>
      <c r="I92" s="268"/>
      <c r="J92" s="112"/>
      <c r="K92" s="112"/>
      <c r="L92" s="112"/>
      <c r="M92" s="112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</row>
    <row r="93" spans="1:29" ht="12" customHeight="1">
      <c r="A93" s="108"/>
      <c r="B93" s="109"/>
      <c r="C93" s="112"/>
      <c r="D93" s="112"/>
      <c r="E93" s="109"/>
      <c r="F93" s="109"/>
      <c r="G93" s="109"/>
      <c r="H93" s="111"/>
      <c r="I93" s="268"/>
      <c r="J93" s="112"/>
      <c r="K93" s="112"/>
      <c r="L93" s="112"/>
      <c r="M93" s="112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</row>
    <row r="94" spans="1:29" ht="12" customHeight="1">
      <c r="A94" s="108"/>
      <c r="B94" s="109"/>
      <c r="C94" s="112"/>
      <c r="D94" s="112"/>
      <c r="E94" s="109"/>
      <c r="F94" s="109"/>
      <c r="G94" s="109"/>
      <c r="H94" s="111"/>
      <c r="I94" s="268"/>
      <c r="J94" s="112"/>
      <c r="K94" s="112"/>
      <c r="L94" s="112"/>
      <c r="M94" s="112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</row>
    <row r="95" spans="1:29" ht="12" customHeight="1">
      <c r="A95" s="108"/>
      <c r="B95" s="109"/>
      <c r="C95" s="112"/>
      <c r="D95" s="112"/>
      <c r="E95" s="109"/>
      <c r="F95" s="109"/>
      <c r="G95" s="109"/>
      <c r="H95" s="111"/>
      <c r="I95" s="268"/>
      <c r="J95" s="112"/>
      <c r="K95" s="112"/>
      <c r="L95" s="112"/>
      <c r="M95" s="112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</row>
    <row r="96" spans="1:29" ht="12" customHeight="1">
      <c r="A96" s="108"/>
      <c r="B96" s="109"/>
      <c r="C96" s="112"/>
      <c r="D96" s="112"/>
      <c r="E96" s="109"/>
      <c r="F96" s="109"/>
      <c r="G96" s="109"/>
      <c r="H96" s="111"/>
      <c r="I96" s="268"/>
      <c r="J96" s="112"/>
      <c r="K96" s="112"/>
      <c r="L96" s="112"/>
      <c r="M96" s="112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</row>
    <row r="97" spans="1:29" ht="12" customHeight="1">
      <c r="A97" s="108"/>
      <c r="B97" s="109"/>
      <c r="C97" s="112"/>
      <c r="D97" s="112"/>
      <c r="E97" s="109"/>
      <c r="F97" s="109"/>
      <c r="G97" s="109"/>
      <c r="H97" s="111"/>
      <c r="I97" s="268"/>
      <c r="J97" s="112"/>
      <c r="K97" s="112"/>
      <c r="L97" s="112"/>
      <c r="M97" s="112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</row>
    <row r="98" spans="1:29" ht="12" customHeight="1">
      <c r="A98" s="108"/>
      <c r="B98" s="109"/>
      <c r="C98" s="112"/>
      <c r="D98" s="112"/>
      <c r="E98" s="109"/>
      <c r="F98" s="109"/>
      <c r="G98" s="109"/>
      <c r="H98" s="111"/>
      <c r="I98" s="268"/>
      <c r="J98" s="112"/>
      <c r="K98" s="112"/>
      <c r="L98" s="112"/>
      <c r="M98" s="112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</row>
    <row r="99" spans="1:29" ht="12" customHeight="1">
      <c r="A99" s="108"/>
      <c r="B99" s="109"/>
      <c r="C99" s="112"/>
      <c r="D99" s="112"/>
      <c r="E99" s="109"/>
      <c r="F99" s="109"/>
      <c r="G99" s="109"/>
      <c r="H99" s="111"/>
      <c r="I99" s="268"/>
      <c r="J99" s="112"/>
      <c r="K99" s="112"/>
      <c r="L99" s="112"/>
      <c r="M99" s="112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</row>
    <row r="100" spans="1:29" ht="12" customHeight="1">
      <c r="A100" s="108"/>
      <c r="B100" s="109"/>
      <c r="C100" s="112"/>
      <c r="D100" s="112"/>
      <c r="E100" s="109"/>
      <c r="F100" s="109"/>
      <c r="G100" s="109"/>
      <c r="H100" s="111"/>
      <c r="I100" s="268"/>
      <c r="J100" s="112"/>
      <c r="K100" s="112"/>
      <c r="L100" s="112"/>
      <c r="M100" s="112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</row>
    <row r="101" spans="1:29" ht="12" customHeight="1">
      <c r="A101" s="108"/>
      <c r="B101" s="109"/>
      <c r="C101" s="112"/>
      <c r="D101" s="112"/>
      <c r="E101" s="109"/>
      <c r="F101" s="109"/>
      <c r="G101" s="109"/>
      <c r="H101" s="111"/>
      <c r="I101" s="268"/>
      <c r="J101" s="112"/>
      <c r="K101" s="112"/>
      <c r="L101" s="112"/>
      <c r="M101" s="112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</row>
    <row r="102" spans="1:29" ht="12" customHeight="1">
      <c r="A102" s="108"/>
      <c r="B102" s="109"/>
      <c r="C102" s="112"/>
      <c r="D102" s="112"/>
      <c r="E102" s="109"/>
      <c r="F102" s="109"/>
      <c r="G102" s="109"/>
      <c r="H102" s="111"/>
      <c r="I102" s="268"/>
      <c r="J102" s="112"/>
      <c r="K102" s="112"/>
      <c r="L102" s="112"/>
      <c r="M102" s="112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</row>
    <row r="103" spans="1:29" ht="12" customHeight="1">
      <c r="A103" s="108"/>
      <c r="B103" s="109"/>
      <c r="C103" s="112"/>
      <c r="D103" s="112"/>
      <c r="E103" s="109"/>
      <c r="F103" s="109"/>
      <c r="G103" s="109"/>
      <c r="H103" s="111"/>
      <c r="I103" s="268"/>
      <c r="J103" s="112"/>
      <c r="K103" s="112"/>
      <c r="L103" s="112"/>
      <c r="M103" s="112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</row>
    <row r="104" spans="1:29" ht="12" customHeight="1">
      <c r="A104" s="108"/>
      <c r="B104" s="109"/>
      <c r="C104" s="112"/>
      <c r="D104" s="112"/>
      <c r="E104" s="109"/>
      <c r="F104" s="109"/>
      <c r="G104" s="109"/>
      <c r="H104" s="111"/>
      <c r="I104" s="268"/>
      <c r="J104" s="112"/>
      <c r="K104" s="112"/>
      <c r="L104" s="112"/>
      <c r="M104" s="112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</row>
    <row r="105" spans="1:29" ht="12" customHeight="1">
      <c r="A105" s="108"/>
      <c r="B105" s="109"/>
      <c r="C105" s="112"/>
      <c r="D105" s="112"/>
      <c r="E105" s="109"/>
      <c r="F105" s="109"/>
      <c r="G105" s="109"/>
      <c r="H105" s="111"/>
      <c r="I105" s="268"/>
      <c r="J105" s="112"/>
      <c r="K105" s="112"/>
      <c r="L105" s="112"/>
      <c r="M105" s="112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</row>
    <row r="106" spans="1:29" ht="12" customHeight="1">
      <c r="A106" s="108"/>
      <c r="B106" s="109"/>
      <c r="C106" s="112"/>
      <c r="D106" s="112"/>
      <c r="E106" s="109"/>
      <c r="F106" s="109"/>
      <c r="G106" s="109"/>
      <c r="H106" s="111"/>
      <c r="I106" s="268"/>
      <c r="J106" s="112"/>
      <c r="K106" s="112"/>
      <c r="L106" s="112"/>
      <c r="M106" s="112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</row>
    <row r="107" spans="1:29" ht="12" customHeight="1">
      <c r="A107" s="108"/>
      <c r="B107" s="109"/>
      <c r="C107" s="112"/>
      <c r="D107" s="112"/>
      <c r="E107" s="109"/>
      <c r="F107" s="109"/>
      <c r="G107" s="109"/>
      <c r="H107" s="111"/>
      <c r="I107" s="268"/>
      <c r="J107" s="112"/>
      <c r="K107" s="112"/>
      <c r="L107" s="112"/>
      <c r="M107" s="112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</row>
    <row r="108" spans="1:29" ht="12" customHeight="1">
      <c r="A108" s="108"/>
      <c r="B108" s="109"/>
      <c r="C108" s="112"/>
      <c r="D108" s="112"/>
      <c r="E108" s="109"/>
      <c r="F108" s="109"/>
      <c r="G108" s="109"/>
      <c r="H108" s="111"/>
      <c r="I108" s="268"/>
      <c r="J108" s="112"/>
      <c r="K108" s="112"/>
      <c r="L108" s="112"/>
      <c r="M108" s="112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</row>
    <row r="109" spans="1:29" ht="12" customHeight="1">
      <c r="A109" s="108"/>
      <c r="B109" s="109"/>
      <c r="C109" s="112"/>
      <c r="D109" s="112"/>
      <c r="E109" s="109"/>
      <c r="F109" s="109"/>
      <c r="G109" s="109"/>
      <c r="H109" s="111"/>
      <c r="I109" s="268"/>
      <c r="J109" s="112"/>
      <c r="K109" s="112"/>
      <c r="L109" s="112"/>
      <c r="M109" s="112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</row>
    <row r="110" spans="1:29" ht="12" customHeight="1">
      <c r="A110" s="108"/>
      <c r="B110" s="109"/>
      <c r="C110" s="112"/>
      <c r="D110" s="112"/>
      <c r="E110" s="109"/>
      <c r="F110" s="109"/>
      <c r="G110" s="109"/>
      <c r="H110" s="111"/>
      <c r="I110" s="268"/>
      <c r="J110" s="112"/>
      <c r="K110" s="112"/>
      <c r="L110" s="112"/>
      <c r="M110" s="112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</row>
    <row r="111" spans="1:29" ht="12" customHeight="1">
      <c r="A111" s="108"/>
      <c r="B111" s="109"/>
      <c r="C111" s="112"/>
      <c r="D111" s="112"/>
      <c r="E111" s="109"/>
      <c r="F111" s="109"/>
      <c r="G111" s="109"/>
      <c r="H111" s="111"/>
      <c r="I111" s="268"/>
      <c r="J111" s="112"/>
      <c r="K111" s="112"/>
      <c r="L111" s="112"/>
      <c r="M111" s="112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</row>
    <row r="112" spans="1:29" ht="12" customHeight="1">
      <c r="A112" s="108"/>
      <c r="B112" s="109"/>
      <c r="C112" s="112"/>
      <c r="D112" s="112"/>
      <c r="E112" s="109"/>
      <c r="F112" s="109"/>
      <c r="G112" s="109"/>
      <c r="H112" s="111"/>
      <c r="I112" s="268"/>
      <c r="J112" s="112"/>
      <c r="K112" s="112"/>
      <c r="L112" s="112"/>
      <c r="M112" s="112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</row>
    <row r="113" spans="1:29" ht="12" customHeight="1">
      <c r="A113" s="108"/>
      <c r="B113" s="109"/>
      <c r="C113" s="112"/>
      <c r="D113" s="112"/>
      <c r="E113" s="109"/>
      <c r="F113" s="109"/>
      <c r="G113" s="109"/>
      <c r="H113" s="111"/>
      <c r="I113" s="268"/>
      <c r="J113" s="112"/>
      <c r="K113" s="112"/>
      <c r="L113" s="112"/>
      <c r="M113" s="112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</row>
    <row r="114" spans="1:29" ht="12" customHeight="1">
      <c r="A114" s="108"/>
      <c r="B114" s="109"/>
      <c r="C114" s="112"/>
      <c r="D114" s="112"/>
      <c r="E114" s="109"/>
      <c r="F114" s="109"/>
      <c r="G114" s="109"/>
      <c r="H114" s="111"/>
      <c r="I114" s="268"/>
      <c r="J114" s="112"/>
      <c r="K114" s="112"/>
      <c r="L114" s="112"/>
      <c r="M114" s="112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</row>
    <row r="115" spans="1:29" ht="12" customHeight="1">
      <c r="A115" s="108"/>
      <c r="B115" s="109"/>
      <c r="C115" s="112"/>
      <c r="D115" s="112"/>
      <c r="E115" s="109"/>
      <c r="F115" s="109"/>
      <c r="G115" s="109"/>
      <c r="H115" s="111"/>
      <c r="I115" s="268"/>
      <c r="J115" s="112"/>
      <c r="K115" s="112"/>
      <c r="L115" s="112"/>
      <c r="M115" s="112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</row>
    <row r="116" spans="1:29" ht="12" customHeight="1">
      <c r="A116" s="108"/>
      <c r="B116" s="109"/>
      <c r="C116" s="112"/>
      <c r="D116" s="112"/>
      <c r="E116" s="109"/>
      <c r="F116" s="109"/>
      <c r="G116" s="109"/>
      <c r="H116" s="111"/>
      <c r="I116" s="268"/>
      <c r="J116" s="112"/>
      <c r="K116" s="112"/>
      <c r="L116" s="112"/>
      <c r="M116" s="112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</row>
    <row r="117" spans="1:29" ht="12" customHeight="1">
      <c r="A117" s="108"/>
      <c r="B117" s="109"/>
      <c r="C117" s="112"/>
      <c r="D117" s="112"/>
      <c r="E117" s="109"/>
      <c r="F117" s="109"/>
      <c r="G117" s="109"/>
      <c r="H117" s="111"/>
      <c r="I117" s="268"/>
      <c r="J117" s="112"/>
      <c r="K117" s="112"/>
      <c r="L117" s="112"/>
      <c r="M117" s="112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</row>
    <row r="118" spans="1:29" ht="12" customHeight="1">
      <c r="A118" s="108"/>
      <c r="B118" s="109"/>
      <c r="C118" s="112"/>
      <c r="D118" s="112"/>
      <c r="E118" s="109"/>
      <c r="F118" s="109"/>
      <c r="G118" s="109"/>
      <c r="H118" s="111"/>
      <c r="I118" s="268"/>
      <c r="J118" s="112"/>
      <c r="K118" s="112"/>
      <c r="L118" s="112"/>
      <c r="M118" s="112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</row>
    <row r="119" spans="1:29" ht="12" customHeight="1">
      <c r="A119" s="108"/>
      <c r="B119" s="109"/>
      <c r="C119" s="112"/>
      <c r="D119" s="112"/>
      <c r="E119" s="109"/>
      <c r="F119" s="109"/>
      <c r="G119" s="109"/>
      <c r="H119" s="111"/>
      <c r="I119" s="268"/>
      <c r="J119" s="112"/>
      <c r="K119" s="112"/>
      <c r="L119" s="112"/>
      <c r="M119" s="112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</row>
    <row r="120" spans="1:29" ht="12" customHeight="1">
      <c r="A120" s="108"/>
      <c r="B120" s="109"/>
      <c r="C120" s="112"/>
      <c r="D120" s="112"/>
      <c r="E120" s="109"/>
      <c r="F120" s="109"/>
      <c r="G120" s="109"/>
      <c r="H120" s="111"/>
      <c r="I120" s="268"/>
      <c r="J120" s="112"/>
      <c r="K120" s="112"/>
      <c r="L120" s="112"/>
      <c r="M120" s="112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</row>
    <row r="121" spans="1:29" ht="12" customHeight="1">
      <c r="A121" s="108"/>
      <c r="B121" s="109"/>
      <c r="C121" s="112"/>
      <c r="D121" s="112"/>
      <c r="E121" s="109"/>
      <c r="F121" s="109"/>
      <c r="G121" s="109"/>
      <c r="H121" s="111"/>
      <c r="I121" s="268"/>
      <c r="J121" s="112"/>
      <c r="K121" s="112"/>
      <c r="L121" s="112"/>
      <c r="M121" s="112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</row>
    <row r="122" spans="1:29" ht="12" customHeight="1">
      <c r="A122" s="108"/>
      <c r="B122" s="109"/>
      <c r="C122" s="112"/>
      <c r="D122" s="112"/>
      <c r="E122" s="109"/>
      <c r="F122" s="109"/>
      <c r="G122" s="109"/>
      <c r="H122" s="111"/>
      <c r="I122" s="268"/>
      <c r="J122" s="112"/>
      <c r="K122" s="112"/>
      <c r="L122" s="112"/>
      <c r="M122" s="112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</row>
    <row r="123" spans="1:29" ht="12" customHeight="1">
      <c r="A123" s="108"/>
      <c r="B123" s="109"/>
      <c r="C123" s="112"/>
      <c r="D123" s="112"/>
      <c r="E123" s="109"/>
      <c r="F123" s="109"/>
      <c r="G123" s="109"/>
      <c r="H123" s="111"/>
      <c r="I123" s="268"/>
      <c r="J123" s="112"/>
      <c r="K123" s="112"/>
      <c r="L123" s="112"/>
      <c r="M123" s="112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</row>
    <row r="124" spans="1:29" ht="12" customHeight="1">
      <c r="A124" s="108"/>
      <c r="B124" s="109"/>
      <c r="C124" s="112"/>
      <c r="D124" s="112"/>
      <c r="E124" s="109"/>
      <c r="F124" s="109"/>
      <c r="G124" s="109"/>
      <c r="H124" s="111"/>
      <c r="I124" s="268"/>
      <c r="J124" s="112"/>
      <c r="K124" s="112"/>
      <c r="L124" s="112"/>
      <c r="M124" s="112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</row>
    <row r="125" spans="1:29" ht="12" customHeight="1">
      <c r="A125" s="108"/>
      <c r="B125" s="109"/>
      <c r="C125" s="112"/>
      <c r="D125" s="112"/>
      <c r="E125" s="109"/>
      <c r="F125" s="109"/>
      <c r="G125" s="109"/>
      <c r="H125" s="111"/>
      <c r="I125" s="268"/>
      <c r="J125" s="112"/>
      <c r="K125" s="112"/>
      <c r="L125" s="112"/>
      <c r="M125" s="112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</row>
    <row r="126" spans="1:29" ht="12" customHeight="1">
      <c r="A126" s="108"/>
      <c r="B126" s="109"/>
      <c r="C126" s="112"/>
      <c r="D126" s="112"/>
      <c r="E126" s="109"/>
      <c r="F126" s="109"/>
      <c r="G126" s="109"/>
      <c r="H126" s="111"/>
      <c r="I126" s="268"/>
      <c r="J126" s="112"/>
      <c r="K126" s="112"/>
      <c r="L126" s="112"/>
      <c r="M126" s="112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</row>
    <row r="127" spans="1:29" ht="12" customHeight="1">
      <c r="A127" s="108"/>
      <c r="B127" s="109"/>
      <c r="C127" s="112"/>
      <c r="D127" s="112"/>
      <c r="E127" s="109"/>
      <c r="F127" s="109"/>
      <c r="G127" s="109"/>
      <c r="H127" s="111"/>
      <c r="I127" s="268"/>
      <c r="J127" s="112"/>
      <c r="K127" s="112"/>
      <c r="L127" s="112"/>
      <c r="M127" s="112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</row>
    <row r="128" spans="1:29" ht="12" customHeight="1">
      <c r="A128" s="108"/>
      <c r="B128" s="109"/>
      <c r="C128" s="112"/>
      <c r="D128" s="112"/>
      <c r="E128" s="109"/>
      <c r="F128" s="109"/>
      <c r="G128" s="109"/>
      <c r="H128" s="111"/>
      <c r="I128" s="268"/>
      <c r="J128" s="112"/>
      <c r="K128" s="112"/>
      <c r="L128" s="112"/>
      <c r="M128" s="112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</row>
    <row r="129" spans="1:29" ht="12" customHeight="1">
      <c r="A129" s="108"/>
      <c r="B129" s="109"/>
      <c r="C129" s="112"/>
      <c r="D129" s="112"/>
      <c r="E129" s="109"/>
      <c r="F129" s="109"/>
      <c r="G129" s="109"/>
      <c r="H129" s="111"/>
      <c r="I129" s="268"/>
      <c r="J129" s="112"/>
      <c r="K129" s="112"/>
      <c r="L129" s="112"/>
      <c r="M129" s="112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</row>
    <row r="130" spans="1:29" ht="12" customHeight="1">
      <c r="A130" s="108"/>
      <c r="B130" s="109"/>
      <c r="C130" s="112"/>
      <c r="D130" s="112"/>
      <c r="E130" s="109"/>
      <c r="F130" s="109"/>
      <c r="G130" s="109"/>
      <c r="H130" s="111"/>
      <c r="I130" s="268"/>
      <c r="J130" s="112"/>
      <c r="K130" s="112"/>
      <c r="L130" s="112"/>
      <c r="M130" s="112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</row>
    <row r="131" spans="1:29" ht="12" customHeight="1">
      <c r="A131" s="108"/>
      <c r="B131" s="109"/>
      <c r="C131" s="112"/>
      <c r="D131" s="112"/>
      <c r="E131" s="109"/>
      <c r="F131" s="109"/>
      <c r="G131" s="109"/>
      <c r="H131" s="111"/>
      <c r="I131" s="268"/>
      <c r="J131" s="112"/>
      <c r="K131" s="112"/>
      <c r="L131" s="112"/>
      <c r="M131" s="112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</row>
    <row r="132" spans="1:29" ht="12" customHeight="1">
      <c r="A132" s="108"/>
      <c r="B132" s="109"/>
      <c r="C132" s="112"/>
      <c r="D132" s="112"/>
      <c r="E132" s="109"/>
      <c r="F132" s="109"/>
      <c r="G132" s="109"/>
      <c r="H132" s="111"/>
      <c r="I132" s="268"/>
      <c r="J132" s="112"/>
      <c r="K132" s="112"/>
      <c r="L132" s="112"/>
      <c r="M132" s="112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</row>
    <row r="133" spans="1:29" ht="12" customHeight="1">
      <c r="A133" s="108"/>
      <c r="B133" s="109"/>
      <c r="C133" s="112"/>
      <c r="D133" s="112"/>
      <c r="E133" s="109"/>
      <c r="F133" s="109"/>
      <c r="G133" s="109"/>
      <c r="H133" s="111"/>
      <c r="I133" s="268"/>
      <c r="J133" s="112"/>
      <c r="K133" s="112"/>
      <c r="L133" s="112"/>
      <c r="M133" s="112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</row>
    <row r="134" spans="1:29" ht="12" customHeight="1">
      <c r="A134" s="108"/>
      <c r="B134" s="109"/>
      <c r="C134" s="112"/>
      <c r="D134" s="112"/>
      <c r="E134" s="109"/>
      <c r="F134" s="109"/>
      <c r="G134" s="109"/>
      <c r="H134" s="111"/>
      <c r="I134" s="268"/>
      <c r="J134" s="112"/>
      <c r="K134" s="112"/>
      <c r="L134" s="112"/>
      <c r="M134" s="112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</row>
    <row r="135" spans="1:29" ht="12" customHeight="1">
      <c r="A135" s="108"/>
      <c r="B135" s="109"/>
      <c r="C135" s="112"/>
      <c r="D135" s="112"/>
      <c r="E135" s="109"/>
      <c r="F135" s="109"/>
      <c r="G135" s="109"/>
      <c r="H135" s="111"/>
      <c r="I135" s="268"/>
      <c r="J135" s="112"/>
      <c r="K135" s="112"/>
      <c r="L135" s="112"/>
      <c r="M135" s="112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</row>
    <row r="136" spans="1:29" ht="12" customHeight="1">
      <c r="A136" s="108"/>
      <c r="B136" s="109"/>
      <c r="C136" s="112"/>
      <c r="D136" s="112"/>
      <c r="E136" s="109"/>
      <c r="F136" s="109"/>
      <c r="G136" s="109"/>
      <c r="H136" s="111"/>
      <c r="I136" s="268"/>
      <c r="J136" s="112"/>
      <c r="K136" s="112"/>
      <c r="L136" s="112"/>
      <c r="M136" s="112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</row>
    <row r="137" spans="1:29" ht="12" customHeight="1">
      <c r="A137" s="108"/>
      <c r="B137" s="109"/>
      <c r="C137" s="112"/>
      <c r="D137" s="112"/>
      <c r="E137" s="109"/>
      <c r="F137" s="109"/>
      <c r="G137" s="109"/>
      <c r="H137" s="111"/>
      <c r="I137" s="268"/>
      <c r="J137" s="112"/>
      <c r="K137" s="112"/>
      <c r="L137" s="112"/>
      <c r="M137" s="112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</row>
    <row r="138" spans="1:29" ht="12" customHeight="1">
      <c r="A138" s="108"/>
      <c r="B138" s="109"/>
      <c r="C138" s="112"/>
      <c r="D138" s="112"/>
      <c r="E138" s="109"/>
      <c r="F138" s="109"/>
      <c r="G138" s="109"/>
      <c r="H138" s="111"/>
      <c r="I138" s="268"/>
      <c r="J138" s="112"/>
      <c r="K138" s="112"/>
      <c r="L138" s="112"/>
      <c r="M138" s="112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</row>
    <row r="139" spans="1:29" ht="12" customHeight="1">
      <c r="A139" s="108"/>
      <c r="B139" s="109"/>
      <c r="C139" s="112"/>
      <c r="D139" s="112"/>
      <c r="E139" s="109"/>
      <c r="F139" s="109"/>
      <c r="G139" s="109"/>
      <c r="H139" s="111"/>
      <c r="I139" s="268"/>
      <c r="J139" s="112"/>
      <c r="K139" s="112"/>
      <c r="L139" s="112"/>
      <c r="M139" s="112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</row>
    <row r="140" spans="1:29" ht="12" customHeight="1">
      <c r="A140" s="108"/>
      <c r="B140" s="109"/>
      <c r="C140" s="112"/>
      <c r="D140" s="112"/>
      <c r="E140" s="109"/>
      <c r="F140" s="109"/>
      <c r="G140" s="109"/>
      <c r="H140" s="111"/>
      <c r="I140" s="268"/>
      <c r="J140" s="112"/>
      <c r="K140" s="112"/>
      <c r="L140" s="112"/>
      <c r="M140" s="112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</row>
    <row r="141" spans="1:29" ht="12" customHeight="1">
      <c r="A141" s="108"/>
      <c r="B141" s="109"/>
      <c r="C141" s="112"/>
      <c r="D141" s="112"/>
      <c r="E141" s="109"/>
      <c r="F141" s="109"/>
      <c r="G141" s="109"/>
      <c r="H141" s="111"/>
      <c r="I141" s="268"/>
      <c r="J141" s="112"/>
      <c r="K141" s="112"/>
      <c r="L141" s="112"/>
      <c r="M141" s="112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</row>
    <row r="142" spans="1:29" ht="12" customHeight="1">
      <c r="A142" s="108"/>
      <c r="B142" s="109"/>
      <c r="C142" s="112"/>
      <c r="D142" s="112"/>
      <c r="E142" s="109"/>
      <c r="F142" s="109"/>
      <c r="G142" s="109"/>
      <c r="H142" s="111"/>
      <c r="I142" s="268"/>
      <c r="J142" s="112"/>
      <c r="K142" s="112"/>
      <c r="L142" s="112"/>
      <c r="M142" s="112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</row>
    <row r="143" spans="1:29" ht="12" customHeight="1">
      <c r="A143" s="108"/>
      <c r="B143" s="109"/>
      <c r="C143" s="112"/>
      <c r="D143" s="112"/>
      <c r="E143" s="109"/>
      <c r="F143" s="109"/>
      <c r="G143" s="109"/>
      <c r="H143" s="111"/>
      <c r="I143" s="268"/>
      <c r="J143" s="112"/>
      <c r="K143" s="112"/>
      <c r="L143" s="112"/>
      <c r="M143" s="112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</row>
    <row r="144" spans="1:29" ht="12" customHeight="1">
      <c r="A144" s="108"/>
      <c r="B144" s="109"/>
      <c r="C144" s="112"/>
      <c r="D144" s="112"/>
      <c r="E144" s="109"/>
      <c r="F144" s="109"/>
      <c r="G144" s="109"/>
      <c r="H144" s="111"/>
      <c r="I144" s="268"/>
      <c r="J144" s="112"/>
      <c r="K144" s="112"/>
      <c r="L144" s="112"/>
      <c r="M144" s="112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</row>
    <row r="145" spans="1:29" ht="12" customHeight="1">
      <c r="A145" s="108"/>
      <c r="B145" s="109"/>
      <c r="C145" s="112"/>
      <c r="D145" s="112"/>
      <c r="E145" s="109"/>
      <c r="F145" s="109"/>
      <c r="G145" s="109"/>
      <c r="H145" s="111"/>
      <c r="I145" s="268"/>
      <c r="J145" s="112"/>
      <c r="K145" s="112"/>
      <c r="L145" s="112"/>
      <c r="M145" s="112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</row>
    <row r="146" spans="1:29" ht="12" customHeight="1">
      <c r="A146" s="108"/>
      <c r="B146" s="109"/>
      <c r="C146" s="112"/>
      <c r="D146" s="112"/>
      <c r="E146" s="109"/>
      <c r="F146" s="109"/>
      <c r="G146" s="109"/>
      <c r="H146" s="111"/>
      <c r="I146" s="268"/>
      <c r="J146" s="112"/>
      <c r="K146" s="112"/>
      <c r="L146" s="112"/>
      <c r="M146" s="112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</row>
    <row r="147" spans="1:29" ht="12" customHeight="1">
      <c r="A147" s="108"/>
      <c r="B147" s="109"/>
      <c r="C147" s="112"/>
      <c r="D147" s="112"/>
      <c r="E147" s="109"/>
      <c r="F147" s="109"/>
      <c r="G147" s="109"/>
      <c r="H147" s="111"/>
      <c r="I147" s="268"/>
      <c r="J147" s="112"/>
      <c r="K147" s="112"/>
      <c r="L147" s="112"/>
      <c r="M147" s="112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</row>
    <row r="148" spans="1:29" ht="12" customHeight="1">
      <c r="A148" s="108"/>
      <c r="B148" s="109"/>
      <c r="C148" s="112"/>
      <c r="D148" s="112"/>
      <c r="E148" s="109"/>
      <c r="F148" s="109"/>
      <c r="G148" s="109"/>
      <c r="H148" s="111"/>
      <c r="I148" s="268"/>
      <c r="J148" s="112"/>
      <c r="K148" s="112"/>
      <c r="L148" s="112"/>
      <c r="M148" s="112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</row>
    <row r="149" spans="1:29" ht="12" customHeight="1">
      <c r="A149" s="108"/>
      <c r="B149" s="109"/>
      <c r="C149" s="112"/>
      <c r="D149" s="112"/>
      <c r="E149" s="109"/>
      <c r="F149" s="109"/>
      <c r="G149" s="109"/>
      <c r="H149" s="111"/>
      <c r="I149" s="268"/>
      <c r="J149" s="112"/>
      <c r="K149" s="112"/>
      <c r="L149" s="112"/>
      <c r="M149" s="112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</row>
    <row r="150" spans="1:29" ht="12" customHeight="1">
      <c r="A150" s="108"/>
      <c r="B150" s="109"/>
      <c r="C150" s="112"/>
      <c r="D150" s="112"/>
      <c r="E150" s="109"/>
      <c r="F150" s="109"/>
      <c r="G150" s="109"/>
      <c r="H150" s="111"/>
      <c r="I150" s="268"/>
      <c r="J150" s="112"/>
      <c r="K150" s="112"/>
      <c r="L150" s="112"/>
      <c r="M150" s="112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</row>
    <row r="151" spans="1:29" ht="12" customHeight="1">
      <c r="A151" s="108"/>
      <c r="B151" s="109"/>
      <c r="C151" s="112"/>
      <c r="D151" s="112"/>
      <c r="E151" s="109"/>
      <c r="F151" s="109"/>
      <c r="G151" s="109"/>
      <c r="H151" s="111"/>
      <c r="I151" s="268"/>
      <c r="J151" s="112"/>
      <c r="K151" s="112"/>
      <c r="L151" s="112"/>
      <c r="M151" s="112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</row>
    <row r="152" spans="1:29" ht="12" customHeight="1">
      <c r="A152" s="108"/>
      <c r="B152" s="109"/>
      <c r="C152" s="112"/>
      <c r="D152" s="112"/>
      <c r="E152" s="109"/>
      <c r="F152" s="109"/>
      <c r="G152" s="109"/>
      <c r="H152" s="111"/>
      <c r="I152" s="268"/>
      <c r="J152" s="112"/>
      <c r="K152" s="112"/>
      <c r="L152" s="112"/>
      <c r="M152" s="112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</row>
    <row r="153" spans="1:29" ht="12" customHeight="1">
      <c r="A153" s="108"/>
      <c r="B153" s="109"/>
      <c r="C153" s="112"/>
      <c r="D153" s="112"/>
      <c r="E153" s="109"/>
      <c r="F153" s="109"/>
      <c r="G153" s="109"/>
      <c r="H153" s="111"/>
      <c r="I153" s="268"/>
      <c r="J153" s="112"/>
      <c r="K153" s="112"/>
      <c r="L153" s="112"/>
      <c r="M153" s="112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</row>
    <row r="154" spans="1:29" ht="12" customHeight="1">
      <c r="A154" s="108"/>
      <c r="B154" s="109"/>
      <c r="C154" s="112"/>
      <c r="D154" s="112"/>
      <c r="E154" s="109"/>
      <c r="F154" s="109"/>
      <c r="G154" s="109"/>
      <c r="H154" s="111"/>
      <c r="I154" s="268"/>
      <c r="J154" s="112"/>
      <c r="K154" s="112"/>
      <c r="L154" s="112"/>
      <c r="M154" s="112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</row>
    <row r="155" spans="1:29" ht="12" customHeight="1">
      <c r="A155" s="108"/>
      <c r="B155" s="109"/>
      <c r="C155" s="112"/>
      <c r="D155" s="112"/>
      <c r="E155" s="109"/>
      <c r="F155" s="109"/>
      <c r="G155" s="109"/>
      <c r="H155" s="111"/>
      <c r="I155" s="268"/>
      <c r="J155" s="112"/>
      <c r="K155" s="112"/>
      <c r="L155" s="112"/>
      <c r="M155" s="112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</row>
    <row r="156" spans="1:29" ht="12" customHeight="1">
      <c r="A156" s="108"/>
      <c r="B156" s="109"/>
      <c r="C156" s="112"/>
      <c r="D156" s="112"/>
      <c r="E156" s="109"/>
      <c r="F156" s="109"/>
      <c r="G156" s="109"/>
      <c r="H156" s="111"/>
      <c r="I156" s="268"/>
      <c r="J156" s="112"/>
      <c r="K156" s="112"/>
      <c r="L156" s="112"/>
      <c r="M156" s="112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</row>
    <row r="157" spans="1:29" ht="12" customHeight="1">
      <c r="A157" s="108"/>
      <c r="B157" s="109"/>
      <c r="C157" s="112"/>
      <c r="D157" s="112"/>
      <c r="E157" s="109"/>
      <c r="F157" s="109"/>
      <c r="G157" s="109"/>
      <c r="H157" s="111"/>
      <c r="I157" s="268"/>
      <c r="J157" s="112"/>
      <c r="K157" s="112"/>
      <c r="L157" s="112"/>
      <c r="M157" s="112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</row>
    <row r="158" spans="1:29" ht="12" customHeight="1">
      <c r="A158" s="108"/>
      <c r="B158" s="109"/>
      <c r="C158" s="112"/>
      <c r="D158" s="112"/>
      <c r="E158" s="109"/>
      <c r="F158" s="109"/>
      <c r="G158" s="109"/>
      <c r="H158" s="111"/>
      <c r="I158" s="268"/>
      <c r="J158" s="112"/>
      <c r="K158" s="112"/>
      <c r="L158" s="112"/>
      <c r="M158" s="112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</row>
    <row r="159" spans="1:29" ht="12" customHeight="1">
      <c r="A159" s="108"/>
      <c r="B159" s="109"/>
      <c r="C159" s="112"/>
      <c r="D159" s="112"/>
      <c r="E159" s="109"/>
      <c r="F159" s="109"/>
      <c r="G159" s="109"/>
      <c r="H159" s="111"/>
      <c r="I159" s="268"/>
      <c r="J159" s="112"/>
      <c r="K159" s="112"/>
      <c r="L159" s="112"/>
      <c r="M159" s="112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</row>
    <row r="160" spans="1:29" ht="12" customHeight="1">
      <c r="A160" s="108"/>
      <c r="B160" s="109"/>
      <c r="C160" s="112"/>
      <c r="D160" s="112"/>
      <c r="E160" s="109"/>
      <c r="F160" s="109"/>
      <c r="G160" s="109"/>
      <c r="H160" s="111"/>
      <c r="I160" s="268"/>
      <c r="J160" s="112"/>
      <c r="K160" s="112"/>
      <c r="L160" s="112"/>
      <c r="M160" s="112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</row>
    <row r="161" spans="1:29" ht="12" customHeight="1">
      <c r="A161" s="108"/>
      <c r="B161" s="109"/>
      <c r="C161" s="112"/>
      <c r="D161" s="112"/>
      <c r="E161" s="109"/>
      <c r="F161" s="109"/>
      <c r="G161" s="109"/>
      <c r="H161" s="111"/>
      <c r="I161" s="268"/>
      <c r="J161" s="112"/>
      <c r="K161" s="112"/>
      <c r="L161" s="112"/>
      <c r="M161" s="112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</row>
    <row r="162" spans="1:29" ht="12" customHeight="1">
      <c r="A162" s="108"/>
      <c r="B162" s="109"/>
      <c r="C162" s="112"/>
      <c r="D162" s="112"/>
      <c r="E162" s="109"/>
      <c r="F162" s="109"/>
      <c r="G162" s="109"/>
      <c r="H162" s="111"/>
      <c r="I162" s="268"/>
      <c r="J162" s="112"/>
      <c r="K162" s="112"/>
      <c r="L162" s="112"/>
      <c r="M162" s="112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</row>
    <row r="163" spans="1:29" ht="12" customHeight="1">
      <c r="A163" s="108"/>
      <c r="B163" s="109"/>
      <c r="C163" s="112"/>
      <c r="D163" s="112"/>
      <c r="E163" s="109"/>
      <c r="F163" s="109"/>
      <c r="G163" s="109"/>
      <c r="H163" s="111"/>
      <c r="I163" s="268"/>
      <c r="J163" s="112"/>
      <c r="K163" s="112"/>
      <c r="L163" s="112"/>
      <c r="M163" s="112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</row>
    <row r="164" spans="1:29" ht="12" customHeight="1">
      <c r="A164" s="108"/>
      <c r="B164" s="109"/>
      <c r="C164" s="112"/>
      <c r="D164" s="112"/>
      <c r="E164" s="109"/>
      <c r="F164" s="109"/>
      <c r="G164" s="109"/>
      <c r="H164" s="111"/>
      <c r="I164" s="268"/>
      <c r="J164" s="112"/>
      <c r="K164" s="112"/>
      <c r="L164" s="112"/>
      <c r="M164" s="112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</row>
    <row r="165" spans="1:29" ht="12" customHeight="1">
      <c r="A165" s="108"/>
      <c r="B165" s="109"/>
      <c r="C165" s="112"/>
      <c r="D165" s="112"/>
      <c r="E165" s="109"/>
      <c r="F165" s="109"/>
      <c r="G165" s="109"/>
      <c r="H165" s="111"/>
      <c r="I165" s="268"/>
      <c r="J165" s="112"/>
      <c r="K165" s="112"/>
      <c r="L165" s="112"/>
      <c r="M165" s="112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</row>
    <row r="166" spans="1:29" ht="12" customHeight="1">
      <c r="A166" s="108"/>
      <c r="B166" s="109"/>
      <c r="C166" s="112"/>
      <c r="D166" s="112"/>
      <c r="E166" s="109"/>
      <c r="F166" s="109"/>
      <c r="G166" s="109"/>
      <c r="H166" s="111"/>
      <c r="I166" s="268"/>
      <c r="J166" s="112"/>
      <c r="K166" s="112"/>
      <c r="L166" s="112"/>
      <c r="M166" s="112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</row>
    <row r="167" spans="1:29" ht="12" customHeight="1">
      <c r="A167" s="108"/>
      <c r="B167" s="109"/>
      <c r="C167" s="112"/>
      <c r="D167" s="112"/>
      <c r="E167" s="109"/>
      <c r="F167" s="109"/>
      <c r="G167" s="109"/>
      <c r="H167" s="111"/>
      <c r="I167" s="268"/>
      <c r="J167" s="112"/>
      <c r="K167" s="112"/>
      <c r="L167" s="112"/>
      <c r="M167" s="112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</row>
    <row r="168" spans="1:29" ht="12" customHeight="1">
      <c r="A168" s="108"/>
      <c r="B168" s="109"/>
      <c r="C168" s="112"/>
      <c r="D168" s="112"/>
      <c r="E168" s="109"/>
      <c r="F168" s="109"/>
      <c r="G168" s="109"/>
      <c r="H168" s="111"/>
      <c r="I168" s="268"/>
      <c r="J168" s="112"/>
      <c r="K168" s="112"/>
      <c r="L168" s="112"/>
      <c r="M168" s="112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</row>
    <row r="169" spans="1:29" ht="12" customHeight="1">
      <c r="A169" s="108"/>
      <c r="B169" s="109"/>
      <c r="C169" s="112"/>
      <c r="D169" s="112"/>
      <c r="E169" s="109"/>
      <c r="F169" s="109"/>
      <c r="G169" s="109"/>
      <c r="H169" s="111"/>
      <c r="I169" s="268"/>
      <c r="J169" s="112"/>
      <c r="K169" s="112"/>
      <c r="L169" s="112"/>
      <c r="M169" s="112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</row>
    <row r="170" spans="1:29" ht="12" customHeight="1">
      <c r="A170" s="108"/>
      <c r="B170" s="109"/>
      <c r="C170" s="112"/>
      <c r="D170" s="112"/>
      <c r="E170" s="109"/>
      <c r="F170" s="109"/>
      <c r="G170" s="109"/>
      <c r="H170" s="111"/>
      <c r="I170" s="268"/>
      <c r="J170" s="112"/>
      <c r="K170" s="112"/>
      <c r="L170" s="112"/>
      <c r="M170" s="112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</row>
    <row r="171" spans="1:29" ht="12" customHeight="1">
      <c r="A171" s="108"/>
      <c r="B171" s="109"/>
      <c r="C171" s="112"/>
      <c r="D171" s="112"/>
      <c r="E171" s="109"/>
      <c r="F171" s="109"/>
      <c r="G171" s="109"/>
      <c r="H171" s="111"/>
      <c r="I171" s="268"/>
      <c r="J171" s="112"/>
      <c r="K171" s="112"/>
      <c r="L171" s="112"/>
      <c r="M171" s="112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</row>
    <row r="172" spans="1:29" ht="12" customHeight="1">
      <c r="A172" s="108"/>
      <c r="B172" s="109"/>
      <c r="C172" s="112"/>
      <c r="D172" s="112"/>
      <c r="E172" s="109"/>
      <c r="F172" s="109"/>
      <c r="G172" s="109"/>
      <c r="H172" s="111"/>
      <c r="I172" s="268"/>
      <c r="J172" s="112"/>
      <c r="K172" s="112"/>
      <c r="L172" s="112"/>
      <c r="M172" s="112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</row>
    <row r="173" spans="1:29" ht="12" customHeight="1">
      <c r="A173" s="108"/>
      <c r="B173" s="109"/>
      <c r="C173" s="112"/>
      <c r="D173" s="112"/>
      <c r="E173" s="109"/>
      <c r="F173" s="109"/>
      <c r="G173" s="109"/>
      <c r="H173" s="111"/>
      <c r="I173" s="268"/>
      <c r="J173" s="112"/>
      <c r="K173" s="112"/>
      <c r="L173" s="112"/>
      <c r="M173" s="112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</row>
    <row r="174" spans="1:29" ht="12" customHeight="1">
      <c r="A174" s="108"/>
      <c r="B174" s="109"/>
      <c r="C174" s="112"/>
      <c r="D174" s="112"/>
      <c r="E174" s="109"/>
      <c r="F174" s="109"/>
      <c r="G174" s="109"/>
      <c r="H174" s="111"/>
      <c r="I174" s="268"/>
      <c r="J174" s="112"/>
      <c r="K174" s="112"/>
      <c r="L174" s="112"/>
      <c r="M174" s="112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</row>
    <row r="175" spans="1:29" ht="12" customHeight="1">
      <c r="A175" s="108"/>
      <c r="B175" s="109"/>
      <c r="C175" s="112"/>
      <c r="D175" s="112"/>
      <c r="E175" s="109"/>
      <c r="F175" s="109"/>
      <c r="G175" s="109"/>
      <c r="H175" s="111"/>
      <c r="I175" s="268"/>
      <c r="J175" s="112"/>
      <c r="K175" s="112"/>
      <c r="L175" s="112"/>
      <c r="M175" s="112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</row>
    <row r="176" spans="1:29" ht="12" customHeight="1">
      <c r="A176" s="108"/>
      <c r="B176" s="109"/>
      <c r="C176" s="112"/>
      <c r="D176" s="112"/>
      <c r="E176" s="109"/>
      <c r="F176" s="109"/>
      <c r="G176" s="109"/>
      <c r="H176" s="111"/>
      <c r="I176" s="268"/>
      <c r="J176" s="112"/>
      <c r="K176" s="112"/>
      <c r="L176" s="112"/>
      <c r="M176" s="112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</row>
    <row r="177" spans="1:29" ht="12" customHeight="1">
      <c r="A177" s="108"/>
      <c r="B177" s="109"/>
      <c r="C177" s="112"/>
      <c r="D177" s="112"/>
      <c r="E177" s="109"/>
      <c r="F177" s="109"/>
      <c r="G177" s="109"/>
      <c r="H177" s="111"/>
      <c r="I177" s="268"/>
      <c r="J177" s="112"/>
      <c r="K177" s="112"/>
      <c r="L177" s="112"/>
      <c r="M177" s="112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</row>
    <row r="178" spans="1:29" ht="12" customHeight="1">
      <c r="A178" s="108"/>
      <c r="B178" s="109"/>
      <c r="C178" s="112"/>
      <c r="D178" s="112"/>
      <c r="E178" s="109"/>
      <c r="F178" s="109"/>
      <c r="G178" s="109"/>
      <c r="H178" s="111"/>
      <c r="I178" s="268"/>
      <c r="J178" s="112"/>
      <c r="K178" s="112"/>
      <c r="L178" s="112"/>
      <c r="M178" s="112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</row>
    <row r="179" spans="1:29" ht="12" customHeight="1">
      <c r="A179" s="108"/>
      <c r="B179" s="109"/>
      <c r="C179" s="112"/>
      <c r="D179" s="112"/>
      <c r="E179" s="109"/>
      <c r="F179" s="109"/>
      <c r="G179" s="109"/>
      <c r="H179" s="111"/>
      <c r="I179" s="268"/>
      <c r="J179" s="112"/>
      <c r="K179" s="112"/>
      <c r="L179" s="112"/>
      <c r="M179" s="112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</row>
    <row r="180" spans="1:29" ht="12" customHeight="1">
      <c r="A180" s="108"/>
      <c r="B180" s="109"/>
      <c r="C180" s="112"/>
      <c r="D180" s="112"/>
      <c r="E180" s="109"/>
      <c r="F180" s="109"/>
      <c r="G180" s="109"/>
      <c r="H180" s="111"/>
      <c r="I180" s="268"/>
      <c r="J180" s="112"/>
      <c r="K180" s="112"/>
      <c r="L180" s="112"/>
      <c r="M180" s="112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</row>
    <row r="181" spans="1:29" ht="12" customHeight="1">
      <c r="A181" s="108"/>
      <c r="B181" s="109"/>
      <c r="C181" s="112"/>
      <c r="D181" s="112"/>
      <c r="E181" s="109"/>
      <c r="F181" s="109"/>
      <c r="G181" s="109"/>
      <c r="H181" s="111"/>
      <c r="I181" s="268"/>
      <c r="J181" s="112"/>
      <c r="K181" s="112"/>
      <c r="L181" s="112"/>
      <c r="M181" s="112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</row>
    <row r="182" spans="1:29" ht="12" customHeight="1">
      <c r="A182" s="108"/>
      <c r="B182" s="109"/>
      <c r="C182" s="112"/>
      <c r="D182" s="112"/>
      <c r="E182" s="109"/>
      <c r="F182" s="109"/>
      <c r="G182" s="109"/>
      <c r="H182" s="111"/>
      <c r="I182" s="268"/>
      <c r="J182" s="112"/>
      <c r="K182" s="112"/>
      <c r="L182" s="112"/>
      <c r="M182" s="112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</row>
    <row r="183" spans="1:29" ht="12" customHeight="1">
      <c r="A183" s="108"/>
      <c r="B183" s="109"/>
      <c r="C183" s="112"/>
      <c r="D183" s="112"/>
      <c r="E183" s="109"/>
      <c r="F183" s="109"/>
      <c r="G183" s="109"/>
      <c r="H183" s="111"/>
      <c r="I183" s="268"/>
      <c r="J183" s="112"/>
      <c r="K183" s="112"/>
      <c r="L183" s="112"/>
      <c r="M183" s="112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</row>
    <row r="184" spans="1:29" ht="12" customHeight="1">
      <c r="A184" s="108"/>
      <c r="B184" s="109"/>
      <c r="C184" s="112"/>
      <c r="D184" s="112"/>
      <c r="E184" s="109"/>
      <c r="F184" s="109"/>
      <c r="G184" s="109"/>
      <c r="H184" s="111"/>
      <c r="I184" s="268"/>
      <c r="J184" s="112"/>
      <c r="K184" s="112"/>
      <c r="L184" s="112"/>
      <c r="M184" s="112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</row>
    <row r="185" spans="1:29" ht="12" customHeight="1">
      <c r="A185" s="108"/>
      <c r="B185" s="109"/>
      <c r="C185" s="112"/>
      <c r="D185" s="112"/>
      <c r="E185" s="109"/>
      <c r="F185" s="109"/>
      <c r="G185" s="109"/>
      <c r="H185" s="111"/>
      <c r="I185" s="268"/>
      <c r="J185" s="112"/>
      <c r="K185" s="112"/>
      <c r="L185" s="112"/>
      <c r="M185" s="112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</row>
    <row r="186" spans="1:29" ht="12" customHeight="1">
      <c r="A186" s="108"/>
      <c r="B186" s="109"/>
      <c r="C186" s="112"/>
      <c r="D186" s="112"/>
      <c r="E186" s="109"/>
      <c r="F186" s="109"/>
      <c r="G186" s="109"/>
      <c r="H186" s="111"/>
      <c r="I186" s="268"/>
      <c r="J186" s="112"/>
      <c r="K186" s="112"/>
      <c r="L186" s="112"/>
      <c r="M186" s="112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</row>
    <row r="187" spans="1:29" ht="12" customHeight="1">
      <c r="A187" s="108"/>
      <c r="B187" s="109"/>
      <c r="C187" s="112"/>
      <c r="D187" s="112"/>
      <c r="E187" s="109"/>
      <c r="F187" s="109"/>
      <c r="G187" s="109"/>
      <c r="H187" s="111"/>
      <c r="I187" s="268"/>
      <c r="J187" s="112"/>
      <c r="K187" s="112"/>
      <c r="L187" s="112"/>
      <c r="M187" s="112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</row>
    <row r="188" spans="1:29" ht="12" customHeight="1">
      <c r="A188" s="108"/>
      <c r="B188" s="109"/>
      <c r="C188" s="112"/>
      <c r="D188" s="112"/>
      <c r="E188" s="109"/>
      <c r="F188" s="109"/>
      <c r="G188" s="109"/>
      <c r="H188" s="111"/>
      <c r="I188" s="268"/>
      <c r="J188" s="112"/>
      <c r="K188" s="112"/>
      <c r="L188" s="112"/>
      <c r="M188" s="112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</row>
    <row r="189" spans="1:29" ht="12" customHeight="1">
      <c r="A189" s="108"/>
      <c r="B189" s="109"/>
      <c r="C189" s="112"/>
      <c r="D189" s="112"/>
      <c r="E189" s="109"/>
      <c r="F189" s="109"/>
      <c r="G189" s="109"/>
      <c r="H189" s="111"/>
      <c r="I189" s="268"/>
      <c r="J189" s="112"/>
      <c r="K189" s="112"/>
      <c r="L189" s="112"/>
      <c r="M189" s="112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</row>
    <row r="190" spans="1:29" ht="12" customHeight="1">
      <c r="A190" s="108"/>
      <c r="B190" s="109"/>
      <c r="C190" s="112"/>
      <c r="D190" s="112"/>
      <c r="E190" s="109"/>
      <c r="F190" s="109"/>
      <c r="G190" s="109"/>
      <c r="H190" s="111"/>
      <c r="I190" s="268"/>
      <c r="J190" s="112"/>
      <c r="K190" s="112"/>
      <c r="L190" s="112"/>
      <c r="M190" s="112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</row>
    <row r="191" spans="1:29" ht="12" customHeight="1">
      <c r="A191" s="108"/>
      <c r="B191" s="109"/>
      <c r="C191" s="112"/>
      <c r="D191" s="112"/>
      <c r="E191" s="109"/>
      <c r="F191" s="109"/>
      <c r="G191" s="109"/>
      <c r="H191" s="111"/>
      <c r="I191" s="268"/>
      <c r="J191" s="112"/>
      <c r="K191" s="112"/>
      <c r="L191" s="112"/>
      <c r="M191" s="112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</row>
    <row r="192" spans="1:29" ht="12" customHeight="1">
      <c r="A192" s="108"/>
      <c r="B192" s="109"/>
      <c r="C192" s="112"/>
      <c r="D192" s="112"/>
      <c r="E192" s="109"/>
      <c r="F192" s="109"/>
      <c r="G192" s="109"/>
      <c r="H192" s="111"/>
      <c r="I192" s="268"/>
      <c r="J192" s="112"/>
      <c r="K192" s="112"/>
      <c r="L192" s="112"/>
      <c r="M192" s="112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</row>
    <row r="193" spans="1:29" ht="12" customHeight="1">
      <c r="A193" s="108"/>
      <c r="B193" s="109"/>
      <c r="C193" s="112"/>
      <c r="D193" s="112"/>
      <c r="E193" s="109"/>
      <c r="F193" s="109"/>
      <c r="G193" s="109"/>
      <c r="H193" s="111"/>
      <c r="I193" s="268"/>
      <c r="J193" s="112"/>
      <c r="K193" s="112"/>
      <c r="L193" s="112"/>
      <c r="M193" s="112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</row>
    <row r="194" spans="1:29" ht="12" customHeight="1">
      <c r="A194" s="108"/>
      <c r="B194" s="109"/>
      <c r="C194" s="112"/>
      <c r="D194" s="112"/>
      <c r="E194" s="109"/>
      <c r="F194" s="109"/>
      <c r="G194" s="109"/>
      <c r="H194" s="111"/>
      <c r="I194" s="268"/>
      <c r="J194" s="112"/>
      <c r="K194" s="112"/>
      <c r="L194" s="112"/>
      <c r="M194" s="112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</row>
    <row r="195" spans="1:29" ht="12" customHeight="1">
      <c r="A195" s="108"/>
      <c r="B195" s="109"/>
      <c r="C195" s="112"/>
      <c r="D195" s="112"/>
      <c r="E195" s="109"/>
      <c r="F195" s="109"/>
      <c r="G195" s="109"/>
      <c r="H195" s="111"/>
      <c r="I195" s="268"/>
      <c r="J195" s="112"/>
      <c r="K195" s="112"/>
      <c r="L195" s="112"/>
      <c r="M195" s="112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</row>
    <row r="196" spans="1:29" ht="12" customHeight="1">
      <c r="A196" s="108"/>
      <c r="B196" s="109"/>
      <c r="C196" s="112"/>
      <c r="D196" s="112"/>
      <c r="E196" s="109"/>
      <c r="F196" s="109"/>
      <c r="G196" s="109"/>
      <c r="H196" s="111"/>
      <c r="I196" s="268"/>
      <c r="J196" s="112"/>
      <c r="K196" s="112"/>
      <c r="L196" s="112"/>
      <c r="M196" s="112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</row>
    <row r="197" spans="1:29" ht="12" customHeight="1">
      <c r="A197" s="108"/>
      <c r="B197" s="109"/>
      <c r="C197" s="112"/>
      <c r="D197" s="112"/>
      <c r="E197" s="109"/>
      <c r="F197" s="109"/>
      <c r="G197" s="109"/>
      <c r="H197" s="111"/>
      <c r="I197" s="268"/>
      <c r="J197" s="112"/>
      <c r="K197" s="112"/>
      <c r="L197" s="112"/>
      <c r="M197" s="112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</row>
    <row r="198" spans="1:29" ht="12" customHeight="1">
      <c r="A198" s="108"/>
      <c r="B198" s="109"/>
      <c r="C198" s="112"/>
      <c r="D198" s="112"/>
      <c r="E198" s="109"/>
      <c r="F198" s="109"/>
      <c r="G198" s="109"/>
      <c r="H198" s="111"/>
      <c r="I198" s="268"/>
      <c r="J198" s="112"/>
      <c r="K198" s="112"/>
      <c r="L198" s="112"/>
      <c r="M198" s="112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</row>
    <row r="199" spans="1:29" ht="12" customHeight="1">
      <c r="A199" s="108"/>
      <c r="B199" s="109"/>
      <c r="C199" s="112"/>
      <c r="D199" s="112"/>
      <c r="E199" s="109"/>
      <c r="F199" s="109"/>
      <c r="G199" s="109"/>
      <c r="H199" s="111"/>
      <c r="I199" s="268"/>
      <c r="J199" s="112"/>
      <c r="K199" s="112"/>
      <c r="L199" s="112"/>
      <c r="M199" s="112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</row>
    <row r="200" spans="1:29" ht="12" customHeight="1">
      <c r="A200" s="108"/>
      <c r="B200" s="109"/>
      <c r="C200" s="112"/>
      <c r="D200" s="112"/>
      <c r="E200" s="109"/>
      <c r="F200" s="109"/>
      <c r="G200" s="109"/>
      <c r="H200" s="111"/>
      <c r="I200" s="268"/>
      <c r="J200" s="112"/>
      <c r="K200" s="112"/>
      <c r="L200" s="112"/>
      <c r="M200" s="112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</row>
    <row r="201" spans="1:29" ht="12" customHeight="1">
      <c r="A201" s="108"/>
      <c r="B201" s="109"/>
      <c r="C201" s="112"/>
      <c r="D201" s="112"/>
      <c r="E201" s="109"/>
      <c r="F201" s="109"/>
      <c r="G201" s="109"/>
      <c r="H201" s="111"/>
      <c r="I201" s="268"/>
      <c r="J201" s="112"/>
      <c r="K201" s="112"/>
      <c r="L201" s="112"/>
      <c r="M201" s="112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</row>
    <row r="202" spans="1:29" ht="12" customHeight="1">
      <c r="A202" s="108"/>
      <c r="B202" s="109"/>
      <c r="C202" s="112"/>
      <c r="D202" s="112"/>
      <c r="E202" s="109"/>
      <c r="F202" s="109"/>
      <c r="G202" s="109"/>
      <c r="H202" s="111"/>
      <c r="I202" s="268"/>
      <c r="J202" s="112"/>
      <c r="K202" s="112"/>
      <c r="L202" s="112"/>
      <c r="M202" s="112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</row>
    <row r="203" spans="1:29" ht="12" customHeight="1">
      <c r="A203" s="108"/>
      <c r="B203" s="109"/>
      <c r="C203" s="112"/>
      <c r="D203" s="112"/>
      <c r="E203" s="109"/>
      <c r="F203" s="109"/>
      <c r="G203" s="109"/>
      <c r="H203" s="111"/>
      <c r="I203" s="268"/>
      <c r="J203" s="112"/>
      <c r="K203" s="112"/>
      <c r="L203" s="112"/>
      <c r="M203" s="112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</row>
    <row r="204" spans="1:29" ht="12" customHeight="1">
      <c r="A204" s="108"/>
      <c r="B204" s="109"/>
      <c r="C204" s="112"/>
      <c r="D204" s="112"/>
      <c r="E204" s="109"/>
      <c r="F204" s="109"/>
      <c r="G204" s="109"/>
      <c r="H204" s="111"/>
      <c r="I204" s="268"/>
      <c r="J204" s="112"/>
      <c r="K204" s="112"/>
      <c r="L204" s="112"/>
      <c r="M204" s="112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</row>
    <row r="205" spans="1:29" ht="12" customHeight="1">
      <c r="A205" s="108"/>
      <c r="B205" s="109"/>
      <c r="C205" s="112"/>
      <c r="D205" s="112"/>
      <c r="E205" s="109"/>
      <c r="F205" s="109"/>
      <c r="G205" s="109"/>
      <c r="H205" s="111"/>
      <c r="I205" s="268"/>
      <c r="J205" s="112"/>
      <c r="K205" s="112"/>
      <c r="L205" s="112"/>
      <c r="M205" s="112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</row>
    <row r="206" spans="1:29" ht="12" customHeight="1">
      <c r="A206" s="108"/>
      <c r="B206" s="109"/>
      <c r="C206" s="112"/>
      <c r="D206" s="112"/>
      <c r="E206" s="109"/>
      <c r="F206" s="109"/>
      <c r="G206" s="109"/>
      <c r="H206" s="111"/>
      <c r="I206" s="268"/>
      <c r="J206" s="112"/>
      <c r="K206" s="112"/>
      <c r="L206" s="112"/>
      <c r="M206" s="112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</row>
    <row r="207" spans="1:29" ht="12" customHeight="1">
      <c r="A207" s="108"/>
      <c r="B207" s="109"/>
      <c r="C207" s="112"/>
      <c r="D207" s="112"/>
      <c r="E207" s="109"/>
      <c r="F207" s="109"/>
      <c r="G207" s="109"/>
      <c r="H207" s="111"/>
      <c r="I207" s="268"/>
      <c r="J207" s="112"/>
      <c r="K207" s="112"/>
      <c r="L207" s="112"/>
      <c r="M207" s="112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</row>
    <row r="208" spans="1:29" ht="12" customHeight="1">
      <c r="A208" s="108"/>
      <c r="B208" s="109"/>
      <c r="C208" s="112"/>
      <c r="D208" s="112"/>
      <c r="E208" s="109"/>
      <c r="F208" s="109"/>
      <c r="G208" s="109"/>
      <c r="H208" s="111"/>
      <c r="I208" s="268"/>
      <c r="J208" s="112"/>
      <c r="K208" s="112"/>
      <c r="L208" s="112"/>
      <c r="M208" s="112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</row>
    <row r="209" spans="1:29" ht="12" customHeight="1">
      <c r="A209" s="108"/>
      <c r="B209" s="109"/>
      <c r="C209" s="112"/>
      <c r="D209" s="112"/>
      <c r="E209" s="109"/>
      <c r="F209" s="109"/>
      <c r="G209" s="109"/>
      <c r="H209" s="111"/>
      <c r="I209" s="268"/>
      <c r="J209" s="112"/>
      <c r="K209" s="112"/>
      <c r="L209" s="112"/>
      <c r="M209" s="112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</row>
    <row r="210" spans="1:29" ht="12" customHeight="1">
      <c r="A210" s="108"/>
      <c r="B210" s="109"/>
      <c r="C210" s="112"/>
      <c r="D210" s="112"/>
      <c r="E210" s="109"/>
      <c r="F210" s="109"/>
      <c r="G210" s="109"/>
      <c r="H210" s="111"/>
      <c r="I210" s="268"/>
      <c r="J210" s="112"/>
      <c r="K210" s="112"/>
      <c r="L210" s="112"/>
      <c r="M210" s="112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</row>
    <row r="211" spans="1:29" ht="12" customHeight="1">
      <c r="A211" s="108"/>
      <c r="B211" s="109"/>
      <c r="C211" s="112"/>
      <c r="D211" s="112"/>
      <c r="E211" s="109"/>
      <c r="F211" s="109"/>
      <c r="G211" s="109"/>
      <c r="H211" s="111"/>
      <c r="I211" s="268"/>
      <c r="J211" s="112"/>
      <c r="K211" s="112"/>
      <c r="L211" s="112"/>
      <c r="M211" s="112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</row>
    <row r="212" spans="1:29" ht="12" customHeight="1">
      <c r="A212" s="108"/>
      <c r="B212" s="109"/>
      <c r="C212" s="112"/>
      <c r="D212" s="112"/>
      <c r="E212" s="109"/>
      <c r="F212" s="109"/>
      <c r="G212" s="109"/>
      <c r="H212" s="111"/>
      <c r="I212" s="268"/>
      <c r="J212" s="112"/>
      <c r="K212" s="112"/>
      <c r="L212" s="112"/>
      <c r="M212" s="112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</row>
    <row r="213" spans="1:29" ht="12" customHeight="1">
      <c r="A213" s="108"/>
      <c r="B213" s="109"/>
      <c r="C213" s="112"/>
      <c r="D213" s="112"/>
      <c r="E213" s="109"/>
      <c r="F213" s="109"/>
      <c r="G213" s="109"/>
      <c r="H213" s="111"/>
      <c r="I213" s="268"/>
      <c r="J213" s="112"/>
      <c r="K213" s="112"/>
      <c r="L213" s="112"/>
      <c r="M213" s="112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</row>
    <row r="214" spans="1:29" ht="12" customHeight="1">
      <c r="A214" s="108"/>
      <c r="B214" s="109"/>
      <c r="C214" s="112"/>
      <c r="D214" s="112"/>
      <c r="E214" s="109"/>
      <c r="F214" s="109"/>
      <c r="G214" s="109"/>
      <c r="H214" s="111"/>
      <c r="I214" s="268"/>
      <c r="J214" s="112"/>
      <c r="K214" s="112"/>
      <c r="L214" s="112"/>
      <c r="M214" s="112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</row>
    <row r="215" spans="1:29" ht="12" customHeight="1">
      <c r="A215" s="108"/>
      <c r="B215" s="109"/>
      <c r="C215" s="112"/>
      <c r="D215" s="112"/>
      <c r="E215" s="109"/>
      <c r="F215" s="109"/>
      <c r="G215" s="109"/>
      <c r="H215" s="111"/>
      <c r="I215" s="268"/>
      <c r="J215" s="112"/>
      <c r="K215" s="112"/>
      <c r="L215" s="112"/>
      <c r="M215" s="112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</row>
    <row r="216" spans="1:29" ht="12" customHeight="1">
      <c r="A216" s="108"/>
      <c r="B216" s="109"/>
      <c r="C216" s="112"/>
      <c r="D216" s="112"/>
      <c r="E216" s="109"/>
      <c r="F216" s="109"/>
      <c r="G216" s="109"/>
      <c r="H216" s="111"/>
      <c r="I216" s="268"/>
      <c r="J216" s="112"/>
      <c r="K216" s="112"/>
      <c r="L216" s="112"/>
      <c r="M216" s="112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</row>
    <row r="217" spans="1:29" ht="12" customHeight="1">
      <c r="A217" s="108"/>
      <c r="B217" s="109"/>
      <c r="C217" s="112"/>
      <c r="D217" s="112"/>
      <c r="E217" s="109"/>
      <c r="F217" s="109"/>
      <c r="G217" s="109"/>
      <c r="H217" s="111"/>
      <c r="I217" s="268"/>
      <c r="J217" s="112"/>
      <c r="K217" s="112"/>
      <c r="L217" s="112"/>
      <c r="M217" s="112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</row>
    <row r="218" spans="1:29" ht="12" customHeight="1">
      <c r="A218" s="108"/>
      <c r="B218" s="109"/>
      <c r="C218" s="112"/>
      <c r="D218" s="112"/>
      <c r="E218" s="109"/>
      <c r="F218" s="109"/>
      <c r="G218" s="109"/>
      <c r="H218" s="111"/>
      <c r="I218" s="268"/>
      <c r="J218" s="112"/>
      <c r="K218" s="112"/>
      <c r="L218" s="112"/>
      <c r="M218" s="112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</row>
    <row r="219" spans="1:29" ht="12" customHeight="1">
      <c r="A219" s="108"/>
      <c r="B219" s="109"/>
      <c r="C219" s="112"/>
      <c r="D219" s="112"/>
      <c r="E219" s="109"/>
      <c r="F219" s="109"/>
      <c r="G219" s="109"/>
      <c r="H219" s="111"/>
      <c r="I219" s="268"/>
      <c r="J219" s="112"/>
      <c r="K219" s="112"/>
      <c r="L219" s="112"/>
      <c r="M219" s="112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</row>
    <row r="220" spans="1:29" ht="12" customHeight="1">
      <c r="A220" s="108"/>
      <c r="B220" s="109"/>
      <c r="C220" s="112"/>
      <c r="D220" s="112"/>
      <c r="E220" s="109"/>
      <c r="F220" s="109"/>
      <c r="G220" s="109"/>
      <c r="H220" s="111"/>
      <c r="I220" s="268"/>
      <c r="J220" s="112"/>
      <c r="K220" s="112"/>
      <c r="L220" s="112"/>
      <c r="M220" s="112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</row>
    <row r="221" spans="1:29" ht="12" customHeight="1">
      <c r="A221" s="108"/>
      <c r="B221" s="109"/>
      <c r="C221" s="112"/>
      <c r="D221" s="112"/>
      <c r="E221" s="109"/>
      <c r="F221" s="109"/>
      <c r="G221" s="109"/>
      <c r="H221" s="111"/>
      <c r="I221" s="268"/>
      <c r="J221" s="112"/>
      <c r="K221" s="112"/>
      <c r="L221" s="112"/>
      <c r="M221" s="112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</row>
    <row r="222" spans="1:29" ht="12" customHeight="1">
      <c r="A222" s="108"/>
      <c r="B222" s="109"/>
      <c r="C222" s="112"/>
      <c r="D222" s="112"/>
      <c r="E222" s="109"/>
      <c r="F222" s="109"/>
      <c r="G222" s="109"/>
      <c r="H222" s="111"/>
      <c r="I222" s="268"/>
      <c r="J222" s="112"/>
      <c r="K222" s="112"/>
      <c r="L222" s="112"/>
      <c r="M222" s="112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</row>
    <row r="223" spans="1:29" ht="12" customHeight="1">
      <c r="A223" s="108"/>
      <c r="B223" s="109"/>
      <c r="C223" s="112"/>
      <c r="D223" s="112"/>
      <c r="E223" s="109"/>
      <c r="F223" s="109"/>
      <c r="G223" s="109"/>
      <c r="H223" s="111"/>
      <c r="I223" s="268"/>
      <c r="J223" s="112"/>
      <c r="K223" s="112"/>
      <c r="L223" s="112"/>
      <c r="M223" s="112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</row>
    <row r="224" spans="1:29" ht="12" customHeight="1">
      <c r="A224" s="108"/>
      <c r="B224" s="109"/>
      <c r="C224" s="112"/>
      <c r="D224" s="112"/>
      <c r="E224" s="109"/>
      <c r="F224" s="109"/>
      <c r="G224" s="109"/>
      <c r="H224" s="111"/>
      <c r="I224" s="268"/>
      <c r="J224" s="112"/>
      <c r="K224" s="112"/>
      <c r="L224" s="112"/>
      <c r="M224" s="112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</row>
    <row r="225" spans="1:29" ht="12" customHeight="1">
      <c r="A225" s="108"/>
      <c r="B225" s="109"/>
      <c r="C225" s="112"/>
      <c r="D225" s="112"/>
      <c r="E225" s="109"/>
      <c r="F225" s="109"/>
      <c r="G225" s="109"/>
      <c r="H225" s="111"/>
      <c r="I225" s="268"/>
      <c r="J225" s="112"/>
      <c r="K225" s="112"/>
      <c r="L225" s="112"/>
      <c r="M225" s="112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</row>
    <row r="226" spans="1:29" ht="12" customHeight="1">
      <c r="A226" s="108"/>
      <c r="B226" s="109"/>
      <c r="C226" s="112"/>
      <c r="D226" s="112"/>
      <c r="E226" s="109"/>
      <c r="F226" s="109"/>
      <c r="G226" s="109"/>
      <c r="H226" s="111"/>
      <c r="I226" s="268"/>
      <c r="J226" s="112"/>
      <c r="K226" s="112"/>
      <c r="L226" s="112"/>
      <c r="M226" s="112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</row>
    <row r="227" spans="1:29" ht="12" customHeight="1">
      <c r="A227" s="108"/>
      <c r="B227" s="109"/>
      <c r="C227" s="112"/>
      <c r="D227" s="112"/>
      <c r="E227" s="109"/>
      <c r="F227" s="109"/>
      <c r="G227" s="109"/>
      <c r="H227" s="111"/>
      <c r="I227" s="268"/>
      <c r="J227" s="112"/>
      <c r="K227" s="112"/>
      <c r="L227" s="112"/>
      <c r="M227" s="112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</row>
    <row r="228" spans="1:29" ht="12" customHeight="1">
      <c r="A228" s="108"/>
      <c r="B228" s="109"/>
      <c r="C228" s="112"/>
      <c r="D228" s="112"/>
      <c r="E228" s="109"/>
      <c r="F228" s="109"/>
      <c r="G228" s="109"/>
      <c r="H228" s="111"/>
      <c r="I228" s="268"/>
      <c r="J228" s="112"/>
      <c r="K228" s="112"/>
      <c r="L228" s="112"/>
      <c r="M228" s="112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</row>
    <row r="229" spans="1:29" ht="12" customHeight="1">
      <c r="A229" s="108"/>
      <c r="B229" s="109"/>
      <c r="C229" s="112"/>
      <c r="D229" s="112"/>
      <c r="E229" s="109"/>
      <c r="F229" s="109"/>
      <c r="G229" s="109"/>
      <c r="H229" s="111"/>
      <c r="I229" s="268"/>
      <c r="J229" s="112"/>
      <c r="K229" s="112"/>
      <c r="L229" s="112"/>
      <c r="M229" s="112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</row>
    <row r="230" spans="1:29" ht="12" customHeight="1">
      <c r="A230" s="108"/>
      <c r="B230" s="109"/>
      <c r="C230" s="112"/>
      <c r="D230" s="112"/>
      <c r="E230" s="109"/>
      <c r="F230" s="109"/>
      <c r="G230" s="109"/>
      <c r="H230" s="111"/>
      <c r="I230" s="268"/>
      <c r="J230" s="112"/>
      <c r="K230" s="112"/>
      <c r="L230" s="112"/>
      <c r="M230" s="112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</row>
    <row r="231" spans="1:29" ht="12" customHeight="1">
      <c r="A231" s="108"/>
      <c r="B231" s="109"/>
      <c r="C231" s="112"/>
      <c r="D231" s="112"/>
      <c r="E231" s="109"/>
      <c r="F231" s="109"/>
      <c r="G231" s="109"/>
      <c r="H231" s="111"/>
      <c r="I231" s="268"/>
      <c r="J231" s="112"/>
      <c r="K231" s="112"/>
      <c r="L231" s="112"/>
      <c r="M231" s="112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</row>
    <row r="232" spans="1:29" ht="12" customHeight="1">
      <c r="A232" s="108"/>
      <c r="B232" s="109"/>
      <c r="C232" s="112"/>
      <c r="D232" s="112"/>
      <c r="E232" s="109"/>
      <c r="F232" s="109"/>
      <c r="G232" s="109"/>
      <c r="H232" s="111"/>
      <c r="I232" s="268"/>
      <c r="J232" s="112"/>
      <c r="K232" s="112"/>
      <c r="L232" s="112"/>
      <c r="M232" s="112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</row>
    <row r="233" spans="1:29" ht="12" customHeight="1">
      <c r="A233" s="108"/>
      <c r="B233" s="109"/>
      <c r="C233" s="112"/>
      <c r="D233" s="112"/>
      <c r="E233" s="109"/>
      <c r="F233" s="109"/>
      <c r="G233" s="109"/>
      <c r="H233" s="111"/>
      <c r="I233" s="268"/>
      <c r="J233" s="112"/>
      <c r="K233" s="112"/>
      <c r="L233" s="112"/>
      <c r="M233" s="112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</row>
    <row r="234" spans="1:29" ht="12" customHeight="1">
      <c r="A234" s="108"/>
      <c r="B234" s="109"/>
      <c r="C234" s="112"/>
      <c r="D234" s="112"/>
      <c r="E234" s="109"/>
      <c r="F234" s="109"/>
      <c r="G234" s="109"/>
      <c r="H234" s="111"/>
      <c r="I234" s="268"/>
      <c r="J234" s="112"/>
      <c r="K234" s="112"/>
      <c r="L234" s="112"/>
      <c r="M234" s="112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</row>
    <row r="235" spans="1:29" ht="12" customHeight="1">
      <c r="A235" s="108"/>
      <c r="B235" s="109"/>
      <c r="C235" s="112"/>
      <c r="D235" s="112"/>
      <c r="E235" s="109"/>
      <c r="F235" s="109"/>
      <c r="G235" s="109"/>
      <c r="H235" s="111"/>
      <c r="I235" s="268"/>
      <c r="J235" s="112"/>
      <c r="K235" s="112"/>
      <c r="L235" s="112"/>
      <c r="M235" s="112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</row>
    <row r="236" spans="1:29" ht="12" customHeight="1">
      <c r="A236" s="108"/>
      <c r="B236" s="109"/>
      <c r="C236" s="112"/>
      <c r="D236" s="112"/>
      <c r="E236" s="109"/>
      <c r="F236" s="109"/>
      <c r="G236" s="109"/>
      <c r="H236" s="111"/>
      <c r="I236" s="268"/>
      <c r="J236" s="112"/>
      <c r="K236" s="112"/>
      <c r="L236" s="112"/>
      <c r="M236" s="112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</row>
    <row r="237" spans="1:29" ht="12" customHeight="1">
      <c r="A237" s="108"/>
      <c r="B237" s="109"/>
      <c r="C237" s="112"/>
      <c r="D237" s="112"/>
      <c r="E237" s="109"/>
      <c r="F237" s="109"/>
      <c r="G237" s="109"/>
      <c r="H237" s="111"/>
      <c r="I237" s="268"/>
      <c r="J237" s="112"/>
      <c r="K237" s="112"/>
      <c r="L237" s="112"/>
      <c r="M237" s="112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</row>
    <row r="238" spans="1:29" ht="12" customHeight="1">
      <c r="A238" s="108"/>
      <c r="B238" s="109"/>
      <c r="C238" s="112"/>
      <c r="D238" s="112"/>
      <c r="E238" s="109"/>
      <c r="F238" s="109"/>
      <c r="G238" s="109"/>
      <c r="H238" s="111"/>
      <c r="I238" s="268"/>
      <c r="J238" s="112"/>
      <c r="K238" s="112"/>
      <c r="L238" s="112"/>
      <c r="M238" s="112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</row>
    <row r="239" spans="1:29" ht="12" customHeight="1">
      <c r="A239" s="108"/>
      <c r="B239" s="109"/>
      <c r="C239" s="112"/>
      <c r="D239" s="112"/>
      <c r="E239" s="109"/>
      <c r="F239" s="109"/>
      <c r="G239" s="109"/>
      <c r="H239" s="111"/>
      <c r="I239" s="268"/>
      <c r="J239" s="112"/>
      <c r="K239" s="112"/>
      <c r="L239" s="112"/>
      <c r="M239" s="112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</row>
    <row r="240" spans="1:29" ht="12" customHeight="1">
      <c r="A240" s="108"/>
      <c r="B240" s="109"/>
      <c r="C240" s="112"/>
      <c r="D240" s="112"/>
      <c r="E240" s="109"/>
      <c r="F240" s="109"/>
      <c r="G240" s="109"/>
      <c r="H240" s="111"/>
      <c r="I240" s="268"/>
      <c r="J240" s="112"/>
      <c r="K240" s="112"/>
      <c r="L240" s="112"/>
      <c r="M240" s="112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</row>
    <row r="241" spans="1:29" ht="12" customHeight="1">
      <c r="A241" s="108"/>
      <c r="B241" s="109"/>
      <c r="C241" s="112"/>
      <c r="D241" s="112"/>
      <c r="E241" s="109"/>
      <c r="F241" s="109"/>
      <c r="G241" s="109"/>
      <c r="H241" s="111"/>
      <c r="I241" s="268"/>
      <c r="J241" s="112"/>
      <c r="K241" s="112"/>
      <c r="L241" s="112"/>
      <c r="M241" s="112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</row>
    <row r="242" spans="1:29" ht="12" customHeight="1">
      <c r="A242" s="108"/>
      <c r="B242" s="109"/>
      <c r="C242" s="112"/>
      <c r="D242" s="112"/>
      <c r="E242" s="109"/>
      <c r="F242" s="109"/>
      <c r="G242" s="109"/>
      <c r="H242" s="111"/>
      <c r="I242" s="268"/>
      <c r="J242" s="112"/>
      <c r="K242" s="112"/>
      <c r="L242" s="112"/>
      <c r="M242" s="112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</row>
    <row r="243" spans="1:29" ht="12" customHeight="1">
      <c r="A243" s="108"/>
      <c r="B243" s="109"/>
      <c r="C243" s="112"/>
      <c r="D243" s="112"/>
      <c r="E243" s="109"/>
      <c r="F243" s="109"/>
      <c r="G243" s="109"/>
      <c r="H243" s="111"/>
      <c r="I243" s="268"/>
      <c r="J243" s="112"/>
      <c r="K243" s="112"/>
      <c r="L243" s="112"/>
      <c r="M243" s="112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</row>
    <row r="244" spans="1:29" ht="12" customHeight="1">
      <c r="A244" s="108"/>
      <c r="B244" s="109"/>
      <c r="C244" s="112"/>
      <c r="D244" s="112"/>
      <c r="E244" s="109"/>
      <c r="F244" s="109"/>
      <c r="G244" s="109"/>
      <c r="H244" s="111"/>
      <c r="I244" s="268"/>
      <c r="J244" s="112"/>
      <c r="K244" s="112"/>
      <c r="L244" s="112"/>
      <c r="M244" s="112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</row>
    <row r="245" spans="1:29" ht="12" customHeight="1">
      <c r="A245" s="108"/>
      <c r="B245" s="109"/>
      <c r="C245" s="112"/>
      <c r="D245" s="112"/>
      <c r="E245" s="109"/>
      <c r="F245" s="109"/>
      <c r="G245" s="109"/>
      <c r="H245" s="111"/>
      <c r="I245" s="268"/>
      <c r="J245" s="112"/>
      <c r="K245" s="112"/>
      <c r="L245" s="112"/>
      <c r="M245" s="112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</row>
    <row r="246" spans="1:29" ht="12" customHeight="1">
      <c r="A246" s="108"/>
      <c r="B246" s="109"/>
      <c r="C246" s="112"/>
      <c r="D246" s="112"/>
      <c r="E246" s="109"/>
      <c r="F246" s="109"/>
      <c r="G246" s="109"/>
      <c r="H246" s="111"/>
      <c r="I246" s="268"/>
      <c r="J246" s="112"/>
      <c r="K246" s="112"/>
      <c r="L246" s="112"/>
      <c r="M246" s="112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</row>
    <row r="247" spans="1:29" ht="12" customHeight="1">
      <c r="A247" s="108"/>
      <c r="B247" s="109"/>
      <c r="C247" s="112"/>
      <c r="D247" s="112"/>
      <c r="E247" s="109"/>
      <c r="F247" s="109"/>
      <c r="G247" s="109"/>
      <c r="H247" s="111"/>
      <c r="I247" s="268"/>
      <c r="J247" s="112"/>
      <c r="K247" s="112"/>
      <c r="L247" s="112"/>
      <c r="M247" s="112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</row>
    <row r="248" spans="1:29" ht="12" customHeight="1">
      <c r="A248" s="108"/>
      <c r="B248" s="109"/>
      <c r="C248" s="112"/>
      <c r="D248" s="112"/>
      <c r="E248" s="109"/>
      <c r="F248" s="109"/>
      <c r="G248" s="109"/>
      <c r="H248" s="111"/>
      <c r="I248" s="268"/>
      <c r="J248" s="112"/>
      <c r="K248" s="112"/>
      <c r="L248" s="112"/>
      <c r="M248" s="112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</row>
    <row r="249" spans="1:29" ht="12" customHeight="1">
      <c r="A249" s="108"/>
      <c r="B249" s="109"/>
      <c r="C249" s="112"/>
      <c r="D249" s="112"/>
      <c r="E249" s="109"/>
      <c r="F249" s="109"/>
      <c r="G249" s="109"/>
      <c r="H249" s="111"/>
      <c r="I249" s="268"/>
      <c r="J249" s="112"/>
      <c r="K249" s="112"/>
      <c r="L249" s="112"/>
      <c r="M249" s="112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</row>
    <row r="250" spans="1:29" ht="12" customHeight="1">
      <c r="A250" s="108"/>
      <c r="B250" s="109"/>
      <c r="C250" s="112"/>
      <c r="D250" s="112"/>
      <c r="E250" s="109"/>
      <c r="F250" s="109"/>
      <c r="G250" s="109"/>
      <c r="H250" s="111"/>
      <c r="I250" s="268"/>
      <c r="J250" s="112"/>
      <c r="K250" s="112"/>
      <c r="L250" s="112"/>
      <c r="M250" s="112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</row>
    <row r="251" spans="1:29" ht="12" customHeight="1">
      <c r="A251" s="108"/>
      <c r="B251" s="109"/>
      <c r="C251" s="112"/>
      <c r="D251" s="112"/>
      <c r="E251" s="109"/>
      <c r="F251" s="109"/>
      <c r="G251" s="109"/>
      <c r="H251" s="111"/>
      <c r="I251" s="268"/>
      <c r="J251" s="112"/>
      <c r="K251" s="112"/>
      <c r="L251" s="112"/>
      <c r="M251" s="112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</row>
    <row r="252" spans="1:29" ht="12" customHeight="1">
      <c r="A252" s="108"/>
      <c r="B252" s="109"/>
      <c r="C252" s="112"/>
      <c r="D252" s="112"/>
      <c r="E252" s="109"/>
      <c r="F252" s="109"/>
      <c r="G252" s="109"/>
      <c r="H252" s="111"/>
      <c r="I252" s="268"/>
      <c r="J252" s="112"/>
      <c r="K252" s="112"/>
      <c r="L252" s="112"/>
      <c r="M252" s="112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</row>
    <row r="253" spans="1:29" ht="12" customHeight="1">
      <c r="A253" s="108"/>
      <c r="B253" s="109"/>
      <c r="C253" s="112"/>
      <c r="D253" s="112"/>
      <c r="E253" s="109"/>
      <c r="F253" s="109"/>
      <c r="G253" s="109"/>
      <c r="H253" s="111"/>
      <c r="I253" s="268"/>
      <c r="J253" s="112"/>
      <c r="K253" s="112"/>
      <c r="L253" s="112"/>
      <c r="M253" s="112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</row>
    <row r="254" spans="1:29" ht="12" customHeight="1">
      <c r="A254" s="108"/>
      <c r="B254" s="109"/>
      <c r="C254" s="112"/>
      <c r="D254" s="112"/>
      <c r="E254" s="109"/>
      <c r="F254" s="109"/>
      <c r="G254" s="109"/>
      <c r="H254" s="111"/>
      <c r="I254" s="268"/>
      <c r="J254" s="112"/>
      <c r="K254" s="112"/>
      <c r="L254" s="112"/>
      <c r="M254" s="112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</row>
    <row r="255" spans="1:29" ht="12" customHeight="1">
      <c r="A255" s="108"/>
      <c r="B255" s="109"/>
      <c r="C255" s="112"/>
      <c r="D255" s="112"/>
      <c r="E255" s="109"/>
      <c r="F255" s="109"/>
      <c r="G255" s="109"/>
      <c r="H255" s="111"/>
      <c r="I255" s="268"/>
      <c r="J255" s="112"/>
      <c r="K255" s="112"/>
      <c r="L255" s="112"/>
      <c r="M255" s="112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</row>
    <row r="256" spans="1:29" ht="12" customHeight="1">
      <c r="A256" s="108"/>
      <c r="B256" s="109"/>
      <c r="C256" s="112"/>
      <c r="D256" s="112"/>
      <c r="E256" s="109"/>
      <c r="F256" s="109"/>
      <c r="G256" s="109"/>
      <c r="H256" s="111"/>
      <c r="I256" s="268"/>
      <c r="J256" s="112"/>
      <c r="K256" s="112"/>
      <c r="L256" s="112"/>
      <c r="M256" s="112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</row>
    <row r="257" spans="1:29" ht="12" customHeight="1">
      <c r="A257" s="108"/>
      <c r="B257" s="109"/>
      <c r="C257" s="112"/>
      <c r="D257" s="112"/>
      <c r="E257" s="109"/>
      <c r="F257" s="109"/>
      <c r="G257" s="109"/>
      <c r="H257" s="111"/>
      <c r="I257" s="268"/>
      <c r="J257" s="112"/>
      <c r="K257" s="112"/>
      <c r="L257" s="112"/>
      <c r="M257" s="112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</row>
    <row r="258" spans="1:29" ht="12" customHeight="1">
      <c r="A258" s="108"/>
      <c r="B258" s="109"/>
      <c r="C258" s="112"/>
      <c r="D258" s="112"/>
      <c r="E258" s="109"/>
      <c r="F258" s="109"/>
      <c r="G258" s="109"/>
      <c r="H258" s="111"/>
      <c r="I258" s="268"/>
      <c r="J258" s="112"/>
      <c r="K258" s="112"/>
      <c r="L258" s="112"/>
      <c r="M258" s="112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</row>
    <row r="259" spans="1:29" ht="12" customHeight="1">
      <c r="A259" s="108"/>
      <c r="B259" s="109"/>
      <c r="C259" s="112"/>
      <c r="D259" s="112"/>
      <c r="E259" s="109"/>
      <c r="F259" s="109"/>
      <c r="G259" s="109"/>
      <c r="H259" s="111"/>
      <c r="I259" s="268"/>
      <c r="J259" s="112"/>
      <c r="K259" s="112"/>
      <c r="L259" s="112"/>
      <c r="M259" s="112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</row>
    <row r="260" spans="1:29" ht="12" customHeight="1">
      <c r="A260" s="108"/>
      <c r="B260" s="109"/>
      <c r="C260" s="112"/>
      <c r="D260" s="112"/>
      <c r="E260" s="109"/>
      <c r="F260" s="109"/>
      <c r="G260" s="109"/>
      <c r="H260" s="111"/>
      <c r="I260" s="268"/>
      <c r="J260" s="112"/>
      <c r="K260" s="112"/>
      <c r="L260" s="112"/>
      <c r="M260" s="112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</row>
    <row r="261" spans="1:29" ht="12" customHeight="1">
      <c r="A261" s="108"/>
      <c r="B261" s="109"/>
      <c r="C261" s="112"/>
      <c r="D261" s="112"/>
      <c r="E261" s="109"/>
      <c r="F261" s="109"/>
      <c r="G261" s="109"/>
      <c r="H261" s="111"/>
      <c r="I261" s="268"/>
      <c r="J261" s="112"/>
      <c r="K261" s="112"/>
      <c r="L261" s="112"/>
      <c r="M261" s="112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</row>
    <row r="262" spans="1:29" ht="12" customHeight="1">
      <c r="A262" s="108"/>
      <c r="B262" s="109"/>
      <c r="C262" s="112"/>
      <c r="D262" s="112"/>
      <c r="E262" s="109"/>
      <c r="F262" s="109"/>
      <c r="G262" s="109"/>
      <c r="H262" s="111"/>
      <c r="I262" s="268"/>
      <c r="J262" s="112"/>
      <c r="K262" s="112"/>
      <c r="L262" s="112"/>
      <c r="M262" s="112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</row>
    <row r="263" spans="1:29" ht="12" customHeight="1">
      <c r="A263" s="108"/>
      <c r="B263" s="109"/>
      <c r="C263" s="112"/>
      <c r="D263" s="112"/>
      <c r="E263" s="109"/>
      <c r="F263" s="109"/>
      <c r="G263" s="109"/>
      <c r="H263" s="111"/>
      <c r="I263" s="268"/>
      <c r="J263" s="112"/>
      <c r="K263" s="112"/>
      <c r="L263" s="112"/>
      <c r="M263" s="112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</row>
    <row r="264" spans="1:29" ht="12" customHeight="1">
      <c r="A264" s="108"/>
      <c r="B264" s="109"/>
      <c r="C264" s="112"/>
      <c r="D264" s="112"/>
      <c r="E264" s="109"/>
      <c r="F264" s="109"/>
      <c r="G264" s="109"/>
      <c r="H264" s="111"/>
      <c r="I264" s="268"/>
      <c r="J264" s="112"/>
      <c r="K264" s="112"/>
      <c r="L264" s="112"/>
      <c r="M264" s="112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</row>
    <row r="265" spans="1:29" ht="12" customHeight="1">
      <c r="A265" s="108"/>
      <c r="B265" s="109"/>
      <c r="C265" s="112"/>
      <c r="D265" s="112"/>
      <c r="E265" s="109"/>
      <c r="F265" s="109"/>
      <c r="G265" s="109"/>
      <c r="H265" s="111"/>
      <c r="I265" s="268"/>
      <c r="J265" s="112"/>
      <c r="K265" s="112"/>
      <c r="L265" s="112"/>
      <c r="M265" s="112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</row>
    <row r="266" spans="1:29" ht="12" customHeight="1">
      <c r="A266" s="108"/>
      <c r="B266" s="109"/>
      <c r="C266" s="112"/>
      <c r="D266" s="112"/>
      <c r="E266" s="109"/>
      <c r="F266" s="109"/>
      <c r="G266" s="109"/>
      <c r="H266" s="111"/>
      <c r="I266" s="268"/>
      <c r="J266" s="112"/>
      <c r="K266" s="112"/>
      <c r="L266" s="112"/>
      <c r="M266" s="112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</row>
    <row r="267" spans="1:29" ht="12" customHeight="1">
      <c r="A267" s="108"/>
      <c r="B267" s="109"/>
      <c r="C267" s="112"/>
      <c r="D267" s="112"/>
      <c r="E267" s="109"/>
      <c r="F267" s="109"/>
      <c r="G267" s="109"/>
      <c r="H267" s="111"/>
      <c r="I267" s="268"/>
      <c r="J267" s="112"/>
      <c r="K267" s="112"/>
      <c r="L267" s="112"/>
      <c r="M267" s="112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</row>
    <row r="268" spans="1:29" ht="12" customHeight="1">
      <c r="A268" s="108"/>
      <c r="B268" s="109"/>
      <c r="C268" s="112"/>
      <c r="D268" s="112"/>
      <c r="E268" s="109"/>
      <c r="F268" s="109"/>
      <c r="G268" s="109"/>
      <c r="H268" s="111"/>
      <c r="I268" s="268"/>
      <c r="J268" s="112"/>
      <c r="K268" s="112"/>
      <c r="L268" s="112"/>
      <c r="M268" s="112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</row>
    <row r="269" spans="1:29" ht="12" customHeight="1">
      <c r="A269" s="108"/>
      <c r="B269" s="109"/>
      <c r="C269" s="112"/>
      <c r="D269" s="112"/>
      <c r="E269" s="109"/>
      <c r="F269" s="109"/>
      <c r="G269" s="109"/>
      <c r="H269" s="111"/>
      <c r="I269" s="268"/>
      <c r="J269" s="112"/>
      <c r="K269" s="112"/>
      <c r="L269" s="112"/>
      <c r="M269" s="112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</row>
    <row r="270" spans="1:29" ht="12" customHeight="1">
      <c r="A270" s="108"/>
      <c r="B270" s="109"/>
      <c r="C270" s="112"/>
      <c r="D270" s="112"/>
      <c r="E270" s="109"/>
      <c r="F270" s="109"/>
      <c r="G270" s="109"/>
      <c r="H270" s="111"/>
      <c r="I270" s="268"/>
      <c r="J270" s="112"/>
      <c r="K270" s="112"/>
      <c r="L270" s="112"/>
      <c r="M270" s="112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</row>
    <row r="271" spans="1:29" ht="12" customHeight="1">
      <c r="A271" s="108"/>
      <c r="B271" s="109"/>
      <c r="C271" s="112"/>
      <c r="D271" s="112"/>
      <c r="E271" s="109"/>
      <c r="F271" s="109"/>
      <c r="G271" s="109"/>
      <c r="H271" s="111"/>
      <c r="I271" s="268"/>
      <c r="J271" s="112"/>
      <c r="K271" s="112"/>
      <c r="L271" s="112"/>
      <c r="M271" s="112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</row>
    <row r="272" spans="1:29" ht="12" customHeight="1">
      <c r="A272" s="108"/>
      <c r="B272" s="109"/>
      <c r="C272" s="112"/>
      <c r="D272" s="112"/>
      <c r="E272" s="109"/>
      <c r="F272" s="109"/>
      <c r="G272" s="109"/>
      <c r="H272" s="111"/>
      <c r="I272" s="268"/>
      <c r="J272" s="112"/>
      <c r="K272" s="112"/>
      <c r="L272" s="112"/>
      <c r="M272" s="112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</row>
    <row r="273" spans="1:29" ht="12" customHeight="1">
      <c r="A273" s="108"/>
      <c r="B273" s="109"/>
      <c r="C273" s="112"/>
      <c r="D273" s="112"/>
      <c r="E273" s="109"/>
      <c r="F273" s="109"/>
      <c r="G273" s="109"/>
      <c r="H273" s="111"/>
      <c r="I273" s="268"/>
      <c r="J273" s="112"/>
      <c r="K273" s="112"/>
      <c r="L273" s="112"/>
      <c r="M273" s="112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</row>
    <row r="274" spans="1:29" ht="12" customHeight="1">
      <c r="A274" s="108"/>
      <c r="B274" s="109"/>
      <c r="C274" s="112"/>
      <c r="D274" s="112"/>
      <c r="E274" s="109"/>
      <c r="F274" s="109"/>
      <c r="G274" s="109"/>
      <c r="H274" s="111"/>
      <c r="I274" s="268"/>
      <c r="J274" s="112"/>
      <c r="K274" s="112"/>
      <c r="L274" s="112"/>
      <c r="M274" s="112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</row>
    <row r="275" spans="1:29" ht="12" customHeight="1">
      <c r="A275" s="108"/>
      <c r="B275" s="109"/>
      <c r="C275" s="112"/>
      <c r="D275" s="112"/>
      <c r="E275" s="109"/>
      <c r="F275" s="109"/>
      <c r="G275" s="109"/>
      <c r="H275" s="111"/>
      <c r="I275" s="268"/>
      <c r="J275" s="112"/>
      <c r="K275" s="112"/>
      <c r="L275" s="112"/>
      <c r="M275" s="112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</row>
    <row r="276" spans="1:29" ht="12" customHeight="1">
      <c r="A276" s="108"/>
      <c r="B276" s="109"/>
      <c r="C276" s="112"/>
      <c r="D276" s="112"/>
      <c r="E276" s="109"/>
      <c r="F276" s="109"/>
      <c r="G276" s="109"/>
      <c r="H276" s="111"/>
      <c r="I276" s="268"/>
      <c r="J276" s="112"/>
      <c r="K276" s="112"/>
      <c r="L276" s="112"/>
      <c r="M276" s="112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</row>
    <row r="277" spans="1:29" ht="12" customHeight="1">
      <c r="A277" s="108"/>
      <c r="B277" s="109"/>
      <c r="C277" s="112"/>
      <c r="D277" s="112"/>
      <c r="E277" s="109"/>
      <c r="F277" s="109"/>
      <c r="G277" s="109"/>
      <c r="H277" s="111"/>
      <c r="I277" s="268"/>
      <c r="J277" s="112"/>
      <c r="K277" s="112"/>
      <c r="L277" s="112"/>
      <c r="M277" s="112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</row>
    <row r="278" spans="1:29" ht="12" customHeight="1">
      <c r="A278" s="108"/>
      <c r="B278" s="109"/>
      <c r="C278" s="112"/>
      <c r="D278" s="112"/>
      <c r="E278" s="109"/>
      <c r="F278" s="109"/>
      <c r="G278" s="109"/>
      <c r="H278" s="111"/>
      <c r="I278" s="268"/>
      <c r="J278" s="112"/>
      <c r="K278" s="112"/>
      <c r="L278" s="112"/>
      <c r="M278" s="112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</row>
    <row r="279" spans="1:29" ht="12" customHeight="1">
      <c r="A279" s="108"/>
      <c r="B279" s="109"/>
      <c r="C279" s="112"/>
      <c r="D279" s="112"/>
      <c r="E279" s="109"/>
      <c r="F279" s="109"/>
      <c r="G279" s="109"/>
      <c r="H279" s="111"/>
      <c r="I279" s="268"/>
      <c r="J279" s="112"/>
      <c r="K279" s="112"/>
      <c r="L279" s="112"/>
      <c r="M279" s="112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</row>
    <row r="280" spans="1:29" ht="12" customHeight="1">
      <c r="A280" s="108"/>
      <c r="B280" s="109"/>
      <c r="C280" s="112"/>
      <c r="D280" s="112"/>
      <c r="E280" s="109"/>
      <c r="F280" s="109"/>
      <c r="G280" s="109"/>
      <c r="H280" s="111"/>
      <c r="I280" s="268"/>
      <c r="J280" s="112"/>
      <c r="K280" s="112"/>
      <c r="L280" s="112"/>
      <c r="M280" s="112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</row>
    <row r="281" spans="1:29" ht="12" customHeight="1">
      <c r="A281" s="108"/>
      <c r="B281" s="109"/>
      <c r="C281" s="112"/>
      <c r="D281" s="112"/>
      <c r="E281" s="109"/>
      <c r="F281" s="109"/>
      <c r="G281" s="109"/>
      <c r="H281" s="111"/>
      <c r="I281" s="268"/>
      <c r="J281" s="112"/>
      <c r="K281" s="112"/>
      <c r="L281" s="112"/>
      <c r="M281" s="112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</row>
    <row r="282" spans="1:29" ht="12" customHeight="1">
      <c r="A282" s="108"/>
      <c r="B282" s="109"/>
      <c r="C282" s="112"/>
      <c r="D282" s="112"/>
      <c r="E282" s="109"/>
      <c r="F282" s="109"/>
      <c r="G282" s="109"/>
      <c r="H282" s="111"/>
      <c r="I282" s="268"/>
      <c r="J282" s="112"/>
      <c r="K282" s="112"/>
      <c r="L282" s="112"/>
      <c r="M282" s="112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</row>
    <row r="283" spans="1:29" ht="12" customHeight="1">
      <c r="A283" s="108"/>
      <c r="B283" s="109"/>
      <c r="C283" s="112"/>
      <c r="D283" s="112"/>
      <c r="E283" s="109"/>
      <c r="F283" s="109"/>
      <c r="G283" s="109"/>
      <c r="H283" s="111"/>
      <c r="I283" s="268"/>
      <c r="J283" s="112"/>
      <c r="K283" s="112"/>
      <c r="L283" s="112"/>
      <c r="M283" s="112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</row>
    <row r="284" spans="1:29" ht="12" customHeight="1">
      <c r="A284" s="108"/>
      <c r="B284" s="109"/>
      <c r="C284" s="112"/>
      <c r="D284" s="112"/>
      <c r="E284" s="109"/>
      <c r="F284" s="109"/>
      <c r="G284" s="109"/>
      <c r="H284" s="111"/>
      <c r="I284" s="268"/>
      <c r="J284" s="112"/>
      <c r="K284" s="112"/>
      <c r="L284" s="112"/>
      <c r="M284" s="112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</row>
    <row r="285" spans="1:29" ht="12" customHeight="1">
      <c r="A285" s="108"/>
      <c r="B285" s="109"/>
      <c r="C285" s="112"/>
      <c r="D285" s="112"/>
      <c r="E285" s="109"/>
      <c r="F285" s="109"/>
      <c r="G285" s="109"/>
      <c r="H285" s="111"/>
      <c r="I285" s="268"/>
      <c r="J285" s="112"/>
      <c r="K285" s="112"/>
      <c r="L285" s="112"/>
      <c r="M285" s="112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</row>
    <row r="286" spans="1:29" ht="12" customHeight="1">
      <c r="A286" s="108"/>
      <c r="B286" s="109"/>
      <c r="C286" s="112"/>
      <c r="D286" s="112"/>
      <c r="E286" s="109"/>
      <c r="F286" s="109"/>
      <c r="G286" s="109"/>
      <c r="H286" s="111"/>
      <c r="I286" s="268"/>
      <c r="J286" s="112"/>
      <c r="K286" s="112"/>
      <c r="L286" s="112"/>
      <c r="M286" s="112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</row>
    <row r="287" spans="1:29" ht="12" customHeight="1">
      <c r="A287" s="108"/>
      <c r="B287" s="109"/>
      <c r="C287" s="112"/>
      <c r="D287" s="112"/>
      <c r="E287" s="109"/>
      <c r="F287" s="109"/>
      <c r="G287" s="109"/>
      <c r="H287" s="111"/>
      <c r="I287" s="268"/>
      <c r="J287" s="112"/>
      <c r="K287" s="112"/>
      <c r="L287" s="112"/>
      <c r="M287" s="112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</row>
    <row r="288" spans="1:29" ht="12" customHeight="1">
      <c r="A288" s="108"/>
      <c r="B288" s="109"/>
      <c r="C288" s="112"/>
      <c r="D288" s="112"/>
      <c r="E288" s="109"/>
      <c r="F288" s="109"/>
      <c r="G288" s="109"/>
      <c r="H288" s="111"/>
      <c r="I288" s="268"/>
      <c r="J288" s="112"/>
      <c r="K288" s="112"/>
      <c r="L288" s="112"/>
      <c r="M288" s="112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</row>
    <row r="289" spans="1:29" ht="12" customHeight="1">
      <c r="A289" s="108"/>
      <c r="B289" s="109"/>
      <c r="C289" s="112"/>
      <c r="D289" s="112"/>
      <c r="E289" s="109"/>
      <c r="F289" s="109"/>
      <c r="G289" s="109"/>
      <c r="H289" s="111"/>
      <c r="I289" s="268"/>
      <c r="J289" s="112"/>
      <c r="K289" s="112"/>
      <c r="L289" s="112"/>
      <c r="M289" s="112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</row>
    <row r="290" spans="1:29" ht="12" customHeight="1">
      <c r="A290" s="108"/>
      <c r="B290" s="109"/>
      <c r="C290" s="112"/>
      <c r="D290" s="112"/>
      <c r="E290" s="109"/>
      <c r="F290" s="109"/>
      <c r="G290" s="109"/>
      <c r="H290" s="111"/>
      <c r="I290" s="268"/>
      <c r="J290" s="112"/>
      <c r="K290" s="112"/>
      <c r="L290" s="112"/>
      <c r="M290" s="112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</row>
    <row r="291" spans="1:29" ht="12" customHeight="1">
      <c r="A291" s="108"/>
      <c r="B291" s="109"/>
      <c r="C291" s="112"/>
      <c r="D291" s="112"/>
      <c r="E291" s="109"/>
      <c r="F291" s="109"/>
      <c r="G291" s="109"/>
      <c r="H291" s="111"/>
      <c r="I291" s="268"/>
      <c r="J291" s="112"/>
      <c r="K291" s="112"/>
      <c r="L291" s="112"/>
      <c r="M291" s="112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</row>
    <row r="292" spans="1:29" ht="12" customHeight="1">
      <c r="A292" s="108"/>
      <c r="B292" s="109"/>
      <c r="C292" s="112"/>
      <c r="D292" s="112"/>
      <c r="E292" s="109"/>
      <c r="F292" s="109"/>
      <c r="G292" s="109"/>
      <c r="H292" s="111"/>
      <c r="I292" s="268"/>
      <c r="J292" s="112"/>
      <c r="K292" s="112"/>
      <c r="L292" s="112"/>
      <c r="M292" s="112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</row>
    <row r="293" spans="1:29" ht="12" customHeight="1">
      <c r="A293" s="108"/>
      <c r="B293" s="109"/>
      <c r="C293" s="112"/>
      <c r="D293" s="112"/>
      <c r="E293" s="109"/>
      <c r="F293" s="109"/>
      <c r="G293" s="109"/>
      <c r="H293" s="111"/>
      <c r="I293" s="268"/>
      <c r="J293" s="112"/>
      <c r="K293" s="112"/>
      <c r="L293" s="112"/>
      <c r="M293" s="112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</row>
    <row r="294" spans="1:29" ht="12" customHeight="1">
      <c r="A294" s="108"/>
      <c r="B294" s="109"/>
      <c r="C294" s="112"/>
      <c r="D294" s="112"/>
      <c r="E294" s="109"/>
      <c r="F294" s="109"/>
      <c r="G294" s="109"/>
      <c r="H294" s="111"/>
      <c r="I294" s="268"/>
      <c r="J294" s="112"/>
      <c r="K294" s="112"/>
      <c r="L294" s="112"/>
      <c r="M294" s="112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</row>
    <row r="295" spans="1:29" ht="12" customHeight="1">
      <c r="A295" s="108"/>
      <c r="B295" s="109"/>
      <c r="C295" s="112"/>
      <c r="D295" s="112"/>
      <c r="E295" s="109"/>
      <c r="F295" s="109"/>
      <c r="G295" s="109"/>
      <c r="H295" s="111"/>
      <c r="I295" s="268"/>
      <c r="J295" s="112"/>
      <c r="K295" s="112"/>
      <c r="L295" s="112"/>
      <c r="M295" s="112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</row>
    <row r="296" spans="1:29" ht="12" customHeight="1">
      <c r="A296" s="108"/>
      <c r="B296" s="109"/>
      <c r="C296" s="112"/>
      <c r="D296" s="112"/>
      <c r="E296" s="109"/>
      <c r="F296" s="109"/>
      <c r="G296" s="109"/>
      <c r="H296" s="111"/>
      <c r="I296" s="268"/>
      <c r="J296" s="112"/>
      <c r="K296" s="112"/>
      <c r="L296" s="112"/>
      <c r="M296" s="112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</row>
    <row r="297" spans="1:29" ht="12" customHeight="1">
      <c r="A297" s="108"/>
      <c r="B297" s="109"/>
      <c r="C297" s="112"/>
      <c r="D297" s="112"/>
      <c r="E297" s="109"/>
      <c r="F297" s="109"/>
      <c r="G297" s="109"/>
      <c r="H297" s="111"/>
      <c r="I297" s="268"/>
      <c r="J297" s="112"/>
      <c r="K297" s="112"/>
      <c r="L297" s="112"/>
      <c r="M297" s="112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</row>
    <row r="298" spans="1:29" ht="12" customHeight="1">
      <c r="A298" s="108"/>
      <c r="B298" s="109"/>
      <c r="C298" s="112"/>
      <c r="D298" s="112"/>
      <c r="E298" s="109"/>
      <c r="F298" s="109"/>
      <c r="G298" s="109"/>
      <c r="H298" s="111"/>
      <c r="I298" s="268"/>
      <c r="J298" s="112"/>
      <c r="K298" s="112"/>
      <c r="L298" s="112"/>
      <c r="M298" s="112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</row>
    <row r="299" spans="1:29" ht="12" customHeight="1">
      <c r="A299" s="108"/>
      <c r="B299" s="109"/>
      <c r="C299" s="112"/>
      <c r="D299" s="112"/>
      <c r="E299" s="109"/>
      <c r="F299" s="109"/>
      <c r="G299" s="109"/>
      <c r="H299" s="111"/>
      <c r="I299" s="268"/>
      <c r="J299" s="112"/>
      <c r="K299" s="112"/>
      <c r="L299" s="112"/>
      <c r="M299" s="112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</row>
    <row r="300" spans="1:29" ht="12" customHeight="1">
      <c r="A300" s="108"/>
      <c r="B300" s="109"/>
      <c r="C300" s="112"/>
      <c r="D300" s="112"/>
      <c r="E300" s="109"/>
      <c r="F300" s="109"/>
      <c r="G300" s="109"/>
      <c r="H300" s="111"/>
      <c r="I300" s="268"/>
      <c r="J300" s="112"/>
      <c r="K300" s="112"/>
      <c r="L300" s="112"/>
      <c r="M300" s="112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</row>
    <row r="301" spans="1:29" ht="12" customHeight="1">
      <c r="A301" s="108"/>
      <c r="B301" s="109"/>
      <c r="C301" s="112"/>
      <c r="D301" s="112"/>
      <c r="E301" s="109"/>
      <c r="F301" s="109"/>
      <c r="G301" s="109"/>
      <c r="H301" s="111"/>
      <c r="I301" s="268"/>
      <c r="J301" s="112"/>
      <c r="K301" s="112"/>
      <c r="L301" s="112"/>
      <c r="M301" s="112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</row>
    <row r="302" spans="1:29" ht="12" customHeight="1">
      <c r="A302" s="108"/>
      <c r="B302" s="109"/>
      <c r="C302" s="112"/>
      <c r="D302" s="112"/>
      <c r="E302" s="109"/>
      <c r="F302" s="109"/>
      <c r="G302" s="109"/>
      <c r="H302" s="111"/>
      <c r="I302" s="268"/>
      <c r="J302" s="112"/>
      <c r="K302" s="112"/>
      <c r="L302" s="112"/>
      <c r="M302" s="112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</row>
    <row r="303" spans="1:29" ht="12" customHeight="1">
      <c r="A303" s="108"/>
      <c r="B303" s="109"/>
      <c r="C303" s="112"/>
      <c r="D303" s="112"/>
      <c r="E303" s="109"/>
      <c r="F303" s="109"/>
      <c r="G303" s="109"/>
      <c r="H303" s="111"/>
      <c r="I303" s="268"/>
      <c r="J303" s="112"/>
      <c r="K303" s="112"/>
      <c r="L303" s="112"/>
      <c r="M303" s="112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</row>
    <row r="304" spans="1:29" ht="12" customHeight="1">
      <c r="A304" s="108"/>
      <c r="B304" s="109"/>
      <c r="C304" s="112"/>
      <c r="D304" s="112"/>
      <c r="E304" s="109"/>
      <c r="F304" s="109"/>
      <c r="G304" s="109"/>
      <c r="H304" s="111"/>
      <c r="I304" s="268"/>
      <c r="J304" s="112"/>
      <c r="K304" s="112"/>
      <c r="L304" s="112"/>
      <c r="M304" s="112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</row>
    <row r="305" spans="1:29" ht="12" customHeight="1">
      <c r="A305" s="108"/>
      <c r="B305" s="109"/>
      <c r="C305" s="112"/>
      <c r="D305" s="112"/>
      <c r="E305" s="109"/>
      <c r="F305" s="109"/>
      <c r="G305" s="109"/>
      <c r="H305" s="111"/>
      <c r="I305" s="268"/>
      <c r="J305" s="112"/>
      <c r="K305" s="112"/>
      <c r="L305" s="112"/>
      <c r="M305" s="112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</row>
    <row r="306" spans="1:29" ht="12" customHeight="1">
      <c r="A306" s="108"/>
      <c r="B306" s="109"/>
      <c r="C306" s="112"/>
      <c r="D306" s="112"/>
      <c r="E306" s="109"/>
      <c r="F306" s="109"/>
      <c r="G306" s="109"/>
      <c r="H306" s="111"/>
      <c r="I306" s="268"/>
      <c r="J306" s="112"/>
      <c r="K306" s="112"/>
      <c r="L306" s="112"/>
      <c r="M306" s="112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</row>
    <row r="307" spans="1:29" ht="12" customHeight="1">
      <c r="A307" s="108"/>
      <c r="B307" s="109"/>
      <c r="C307" s="112"/>
      <c r="D307" s="112"/>
      <c r="E307" s="109"/>
      <c r="F307" s="109"/>
      <c r="G307" s="109"/>
      <c r="H307" s="111"/>
      <c r="I307" s="268"/>
      <c r="J307" s="112"/>
      <c r="K307" s="112"/>
      <c r="L307" s="112"/>
      <c r="M307" s="112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</row>
    <row r="308" spans="1:29" ht="12" customHeight="1">
      <c r="A308" s="108"/>
      <c r="B308" s="109"/>
      <c r="C308" s="112"/>
      <c r="D308" s="112"/>
      <c r="E308" s="109"/>
      <c r="F308" s="109"/>
      <c r="G308" s="109"/>
      <c r="H308" s="111"/>
      <c r="I308" s="268"/>
      <c r="J308" s="112"/>
      <c r="K308" s="112"/>
      <c r="L308" s="112"/>
      <c r="M308" s="112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spans="1:29" ht="12" customHeight="1">
      <c r="A309" s="108"/>
      <c r="B309" s="109"/>
      <c r="C309" s="112"/>
      <c r="D309" s="112"/>
      <c r="E309" s="109"/>
      <c r="F309" s="109"/>
      <c r="G309" s="109"/>
      <c r="H309" s="111"/>
      <c r="I309" s="268"/>
      <c r="J309" s="112"/>
      <c r="K309" s="112"/>
      <c r="L309" s="112"/>
      <c r="M309" s="112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</row>
    <row r="310" spans="1:29" ht="12" customHeight="1">
      <c r="A310" s="108"/>
      <c r="B310" s="109"/>
      <c r="C310" s="112"/>
      <c r="D310" s="112"/>
      <c r="E310" s="109"/>
      <c r="F310" s="109"/>
      <c r="G310" s="109"/>
      <c r="H310" s="111"/>
      <c r="I310" s="268"/>
      <c r="J310" s="112"/>
      <c r="K310" s="112"/>
      <c r="L310" s="112"/>
      <c r="M310" s="112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</row>
    <row r="311" spans="1:29" ht="12" customHeight="1">
      <c r="A311" s="108"/>
      <c r="B311" s="109"/>
      <c r="C311" s="112"/>
      <c r="D311" s="112"/>
      <c r="E311" s="109"/>
      <c r="F311" s="109"/>
      <c r="G311" s="109"/>
      <c r="H311" s="111"/>
      <c r="I311" s="268"/>
      <c r="J311" s="112"/>
      <c r="K311" s="112"/>
      <c r="L311" s="112"/>
      <c r="M311" s="112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</row>
    <row r="312" spans="1:29" ht="12" customHeight="1">
      <c r="A312" s="108"/>
      <c r="B312" s="109"/>
      <c r="C312" s="112"/>
      <c r="D312" s="112"/>
      <c r="E312" s="109"/>
      <c r="F312" s="109"/>
      <c r="G312" s="109"/>
      <c r="H312" s="111"/>
      <c r="I312" s="268"/>
      <c r="J312" s="112"/>
      <c r="K312" s="112"/>
      <c r="L312" s="112"/>
      <c r="M312" s="112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</row>
    <row r="313" spans="1:29" ht="12" customHeight="1">
      <c r="A313" s="108"/>
      <c r="B313" s="109"/>
      <c r="C313" s="112"/>
      <c r="D313" s="112"/>
      <c r="E313" s="109"/>
      <c r="F313" s="109"/>
      <c r="G313" s="109"/>
      <c r="H313" s="111"/>
      <c r="I313" s="268"/>
      <c r="J313" s="112"/>
      <c r="K313" s="112"/>
      <c r="L313" s="112"/>
      <c r="M313" s="112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</row>
    <row r="314" spans="1:29" ht="12" customHeight="1">
      <c r="A314" s="108"/>
      <c r="B314" s="109"/>
      <c r="C314" s="112"/>
      <c r="D314" s="112"/>
      <c r="E314" s="109"/>
      <c r="F314" s="109"/>
      <c r="G314" s="109"/>
      <c r="H314" s="111"/>
      <c r="I314" s="268"/>
      <c r="J314" s="112"/>
      <c r="K314" s="112"/>
      <c r="L314" s="112"/>
      <c r="M314" s="112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</row>
    <row r="315" spans="1:29" ht="12" customHeight="1">
      <c r="A315" s="108"/>
      <c r="B315" s="109"/>
      <c r="C315" s="112"/>
      <c r="D315" s="112"/>
      <c r="E315" s="109"/>
      <c r="F315" s="109"/>
      <c r="G315" s="109"/>
      <c r="H315" s="111"/>
      <c r="I315" s="268"/>
      <c r="J315" s="112"/>
      <c r="K315" s="112"/>
      <c r="L315" s="112"/>
      <c r="M315" s="112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</row>
    <row r="316" spans="1:29" ht="12" customHeight="1">
      <c r="A316" s="108"/>
      <c r="B316" s="109"/>
      <c r="C316" s="112"/>
      <c r="D316" s="112"/>
      <c r="E316" s="109"/>
      <c r="F316" s="109"/>
      <c r="G316" s="109"/>
      <c r="H316" s="111"/>
      <c r="I316" s="268"/>
      <c r="J316" s="112"/>
      <c r="K316" s="112"/>
      <c r="L316" s="112"/>
      <c r="M316" s="112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</row>
    <row r="317" spans="1:29" ht="12" customHeight="1">
      <c r="A317" s="108"/>
      <c r="B317" s="109"/>
      <c r="C317" s="112"/>
      <c r="D317" s="112"/>
      <c r="E317" s="109"/>
      <c r="F317" s="109"/>
      <c r="G317" s="109"/>
      <c r="H317" s="111"/>
      <c r="I317" s="268"/>
      <c r="J317" s="112"/>
      <c r="K317" s="112"/>
      <c r="L317" s="112"/>
      <c r="M317" s="112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</row>
    <row r="318" spans="1:29" ht="12" customHeight="1">
      <c r="A318" s="108"/>
      <c r="B318" s="109"/>
      <c r="C318" s="112"/>
      <c r="D318" s="112"/>
      <c r="E318" s="109"/>
      <c r="F318" s="109"/>
      <c r="G318" s="109"/>
      <c r="H318" s="111"/>
      <c r="I318" s="268"/>
      <c r="J318" s="112"/>
      <c r="K318" s="112"/>
      <c r="L318" s="112"/>
      <c r="M318" s="112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</row>
    <row r="319" spans="1:29" ht="12" customHeight="1">
      <c r="A319" s="108"/>
      <c r="B319" s="109"/>
      <c r="C319" s="112"/>
      <c r="D319" s="112"/>
      <c r="E319" s="109"/>
      <c r="F319" s="109"/>
      <c r="G319" s="109"/>
      <c r="H319" s="111"/>
      <c r="I319" s="268"/>
      <c r="J319" s="112"/>
      <c r="K319" s="112"/>
      <c r="L319" s="112"/>
      <c r="M319" s="112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</row>
    <row r="320" spans="1:29" ht="12" customHeight="1">
      <c r="A320" s="108"/>
      <c r="B320" s="109"/>
      <c r="C320" s="112"/>
      <c r="D320" s="112"/>
      <c r="E320" s="109"/>
      <c r="F320" s="109"/>
      <c r="G320" s="109"/>
      <c r="H320" s="111"/>
      <c r="I320" s="268"/>
      <c r="J320" s="112"/>
      <c r="K320" s="112"/>
      <c r="L320" s="112"/>
      <c r="M320" s="112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</row>
    <row r="321" spans="1:29" ht="12" customHeight="1">
      <c r="A321" s="108"/>
      <c r="B321" s="109"/>
      <c r="C321" s="112"/>
      <c r="D321" s="112"/>
      <c r="E321" s="109"/>
      <c r="F321" s="109"/>
      <c r="G321" s="109"/>
      <c r="H321" s="111"/>
      <c r="I321" s="268"/>
      <c r="J321" s="112"/>
      <c r="K321" s="112"/>
      <c r="L321" s="112"/>
      <c r="M321" s="112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</row>
    <row r="322" spans="1:29" ht="12" customHeight="1">
      <c r="A322" s="108"/>
      <c r="B322" s="109"/>
      <c r="C322" s="112"/>
      <c r="D322" s="112"/>
      <c r="E322" s="109"/>
      <c r="F322" s="109"/>
      <c r="G322" s="109"/>
      <c r="H322" s="111"/>
      <c r="I322" s="268"/>
      <c r="J322" s="112"/>
      <c r="K322" s="112"/>
      <c r="L322" s="112"/>
      <c r="M322" s="112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</row>
    <row r="323" spans="1:29" ht="12" customHeight="1">
      <c r="A323" s="108"/>
      <c r="B323" s="109"/>
      <c r="C323" s="112"/>
      <c r="D323" s="112"/>
      <c r="E323" s="109"/>
      <c r="F323" s="109"/>
      <c r="G323" s="109"/>
      <c r="H323" s="111"/>
      <c r="I323" s="268"/>
      <c r="J323" s="112"/>
      <c r="K323" s="112"/>
      <c r="L323" s="112"/>
      <c r="M323" s="112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</row>
    <row r="324" spans="1:29" ht="12" customHeight="1">
      <c r="A324" s="108"/>
      <c r="B324" s="109"/>
      <c r="C324" s="112"/>
      <c r="D324" s="112"/>
      <c r="E324" s="109"/>
      <c r="F324" s="109"/>
      <c r="G324" s="109"/>
      <c r="H324" s="111"/>
      <c r="I324" s="268"/>
      <c r="J324" s="112"/>
      <c r="K324" s="112"/>
      <c r="L324" s="112"/>
      <c r="M324" s="112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</row>
    <row r="325" spans="1:29" ht="12" customHeight="1">
      <c r="A325" s="108"/>
      <c r="B325" s="109"/>
      <c r="C325" s="112"/>
      <c r="D325" s="112"/>
      <c r="E325" s="109"/>
      <c r="F325" s="109"/>
      <c r="G325" s="109"/>
      <c r="H325" s="111"/>
      <c r="I325" s="268"/>
      <c r="J325" s="112"/>
      <c r="K325" s="112"/>
      <c r="L325" s="112"/>
      <c r="M325" s="112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</row>
    <row r="326" spans="1:29" ht="12" customHeight="1">
      <c r="A326" s="108"/>
      <c r="B326" s="109"/>
      <c r="C326" s="112"/>
      <c r="D326" s="112"/>
      <c r="E326" s="109"/>
      <c r="F326" s="109"/>
      <c r="G326" s="109"/>
      <c r="H326" s="111"/>
      <c r="I326" s="268"/>
      <c r="J326" s="112"/>
      <c r="K326" s="112"/>
      <c r="L326" s="112"/>
      <c r="M326" s="112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</row>
    <row r="327" spans="1:29" ht="12" customHeight="1">
      <c r="A327" s="108"/>
      <c r="B327" s="109"/>
      <c r="C327" s="112"/>
      <c r="D327" s="112"/>
      <c r="E327" s="109"/>
      <c r="F327" s="109"/>
      <c r="G327" s="109"/>
      <c r="H327" s="111"/>
      <c r="I327" s="268"/>
      <c r="J327" s="112"/>
      <c r="K327" s="112"/>
      <c r="L327" s="112"/>
      <c r="M327" s="112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</row>
    <row r="328" spans="1:29" ht="12" customHeight="1">
      <c r="A328" s="108"/>
      <c r="B328" s="109"/>
      <c r="C328" s="112"/>
      <c r="D328" s="112"/>
      <c r="E328" s="109"/>
      <c r="F328" s="109"/>
      <c r="G328" s="109"/>
      <c r="H328" s="111"/>
      <c r="I328" s="268"/>
      <c r="J328" s="112"/>
      <c r="K328" s="112"/>
      <c r="L328" s="112"/>
      <c r="M328" s="112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</row>
    <row r="329" spans="1:29" ht="12" customHeight="1">
      <c r="A329" s="108"/>
      <c r="B329" s="109"/>
      <c r="C329" s="112"/>
      <c r="D329" s="112"/>
      <c r="E329" s="109"/>
      <c r="F329" s="109"/>
      <c r="G329" s="109"/>
      <c r="H329" s="111"/>
      <c r="I329" s="268"/>
      <c r="J329" s="112"/>
      <c r="K329" s="112"/>
      <c r="L329" s="112"/>
      <c r="M329" s="112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</row>
    <row r="330" spans="1:29" ht="12" customHeight="1">
      <c r="A330" s="108"/>
      <c r="B330" s="109"/>
      <c r="C330" s="112"/>
      <c r="D330" s="112"/>
      <c r="E330" s="109"/>
      <c r="F330" s="109"/>
      <c r="G330" s="109"/>
      <c r="H330" s="111"/>
      <c r="I330" s="268"/>
      <c r="J330" s="112"/>
      <c r="K330" s="112"/>
      <c r="L330" s="112"/>
      <c r="M330" s="112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</row>
    <row r="331" spans="1:29" ht="12" customHeight="1">
      <c r="A331" s="108"/>
      <c r="B331" s="109"/>
      <c r="C331" s="112"/>
      <c r="D331" s="112"/>
      <c r="E331" s="109"/>
      <c r="F331" s="109"/>
      <c r="G331" s="109"/>
      <c r="H331" s="111"/>
      <c r="I331" s="268"/>
      <c r="J331" s="112"/>
      <c r="K331" s="112"/>
      <c r="L331" s="112"/>
      <c r="M331" s="112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</row>
    <row r="332" spans="1:29" ht="12" customHeight="1">
      <c r="A332" s="108"/>
      <c r="B332" s="109"/>
      <c r="C332" s="112"/>
      <c r="D332" s="112"/>
      <c r="E332" s="109"/>
      <c r="F332" s="109"/>
      <c r="G332" s="109"/>
      <c r="H332" s="111"/>
      <c r="I332" s="268"/>
      <c r="J332" s="112"/>
      <c r="K332" s="112"/>
      <c r="L332" s="112"/>
      <c r="M332" s="112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</row>
    <row r="333" spans="1:29" ht="12" customHeight="1">
      <c r="A333" s="108"/>
      <c r="B333" s="109"/>
      <c r="C333" s="112"/>
      <c r="D333" s="112"/>
      <c r="E333" s="109"/>
      <c r="F333" s="109"/>
      <c r="G333" s="109"/>
      <c r="H333" s="111"/>
      <c r="I333" s="268"/>
      <c r="J333" s="112"/>
      <c r="K333" s="112"/>
      <c r="L333" s="112"/>
      <c r="M333" s="112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</row>
    <row r="334" spans="1:29" ht="12" customHeight="1">
      <c r="A334" s="108"/>
      <c r="B334" s="109"/>
      <c r="C334" s="112"/>
      <c r="D334" s="112"/>
      <c r="E334" s="109"/>
      <c r="F334" s="109"/>
      <c r="G334" s="109"/>
      <c r="H334" s="111"/>
      <c r="I334" s="268"/>
      <c r="J334" s="112"/>
      <c r="K334" s="112"/>
      <c r="L334" s="112"/>
      <c r="M334" s="112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</row>
    <row r="335" spans="1:29" ht="12" customHeight="1">
      <c r="A335" s="108"/>
      <c r="B335" s="109"/>
      <c r="C335" s="112"/>
      <c r="D335" s="112"/>
      <c r="E335" s="109"/>
      <c r="F335" s="109"/>
      <c r="G335" s="109"/>
      <c r="H335" s="111"/>
      <c r="I335" s="268"/>
      <c r="J335" s="112"/>
      <c r="K335" s="112"/>
      <c r="L335" s="112"/>
      <c r="M335" s="112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</row>
    <row r="336" spans="1:29" ht="12" customHeight="1">
      <c r="A336" s="108"/>
      <c r="B336" s="109"/>
      <c r="C336" s="112"/>
      <c r="D336" s="112"/>
      <c r="E336" s="109"/>
      <c r="F336" s="109"/>
      <c r="G336" s="109"/>
      <c r="H336" s="111"/>
      <c r="I336" s="268"/>
      <c r="J336" s="112"/>
      <c r="K336" s="112"/>
      <c r="L336" s="112"/>
      <c r="M336" s="112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</row>
    <row r="337" spans="1:29" ht="12" customHeight="1">
      <c r="A337" s="108"/>
      <c r="B337" s="109"/>
      <c r="C337" s="112"/>
      <c r="D337" s="112"/>
      <c r="E337" s="109"/>
      <c r="F337" s="109"/>
      <c r="G337" s="109"/>
      <c r="H337" s="111"/>
      <c r="I337" s="268"/>
      <c r="J337" s="112"/>
      <c r="K337" s="112"/>
      <c r="L337" s="112"/>
      <c r="M337" s="112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</row>
    <row r="338" spans="1:29" ht="12" customHeight="1">
      <c r="A338" s="108"/>
      <c r="B338" s="109"/>
      <c r="C338" s="112"/>
      <c r="D338" s="112"/>
      <c r="E338" s="109"/>
      <c r="F338" s="109"/>
      <c r="G338" s="109"/>
      <c r="H338" s="111"/>
      <c r="I338" s="268"/>
      <c r="J338" s="112"/>
      <c r="K338" s="112"/>
      <c r="L338" s="112"/>
      <c r="M338" s="112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</row>
    <row r="339" spans="1:29" ht="12" customHeight="1">
      <c r="A339" s="108"/>
      <c r="B339" s="109"/>
      <c r="C339" s="112"/>
      <c r="D339" s="112"/>
      <c r="E339" s="109"/>
      <c r="F339" s="109"/>
      <c r="G339" s="109"/>
      <c r="H339" s="111"/>
      <c r="I339" s="268"/>
      <c r="J339" s="112"/>
      <c r="K339" s="112"/>
      <c r="L339" s="112"/>
      <c r="M339" s="112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</row>
    <row r="340" spans="1:29" ht="12" customHeight="1">
      <c r="A340" s="108"/>
      <c r="B340" s="109"/>
      <c r="C340" s="112"/>
      <c r="D340" s="112"/>
      <c r="E340" s="109"/>
      <c r="F340" s="109"/>
      <c r="G340" s="109"/>
      <c r="H340" s="111"/>
      <c r="I340" s="268"/>
      <c r="J340" s="112"/>
      <c r="K340" s="112"/>
      <c r="L340" s="112"/>
      <c r="M340" s="112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</row>
    <row r="341" spans="1:29" ht="12" customHeight="1">
      <c r="A341" s="108"/>
      <c r="B341" s="109"/>
      <c r="C341" s="112"/>
      <c r="D341" s="112"/>
      <c r="E341" s="109"/>
      <c r="F341" s="109"/>
      <c r="G341" s="109"/>
      <c r="H341" s="111"/>
      <c r="I341" s="268"/>
      <c r="J341" s="112"/>
      <c r="K341" s="112"/>
      <c r="L341" s="112"/>
      <c r="M341" s="112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</row>
    <row r="342" spans="1:29" ht="12" customHeight="1">
      <c r="A342" s="108"/>
      <c r="B342" s="109"/>
      <c r="C342" s="112"/>
      <c r="D342" s="112"/>
      <c r="E342" s="109"/>
      <c r="F342" s="109"/>
      <c r="G342" s="109"/>
      <c r="H342" s="111"/>
      <c r="I342" s="268"/>
      <c r="J342" s="112"/>
      <c r="K342" s="112"/>
      <c r="L342" s="112"/>
      <c r="M342" s="112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</row>
    <row r="343" spans="1:29" ht="12" customHeight="1">
      <c r="A343" s="108"/>
      <c r="B343" s="109"/>
      <c r="C343" s="112"/>
      <c r="D343" s="112"/>
      <c r="E343" s="109"/>
      <c r="F343" s="109"/>
      <c r="G343" s="109"/>
      <c r="H343" s="111"/>
      <c r="I343" s="268"/>
      <c r="J343" s="112"/>
      <c r="K343" s="112"/>
      <c r="L343" s="112"/>
      <c r="M343" s="112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</row>
    <row r="344" spans="1:29" ht="12" customHeight="1">
      <c r="A344" s="108"/>
      <c r="B344" s="109"/>
      <c r="C344" s="112"/>
      <c r="D344" s="112"/>
      <c r="E344" s="109"/>
      <c r="F344" s="109"/>
      <c r="G344" s="109"/>
      <c r="H344" s="111"/>
      <c r="I344" s="268"/>
      <c r="J344" s="112"/>
      <c r="K344" s="112"/>
      <c r="L344" s="112"/>
      <c r="M344" s="112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</row>
    <row r="345" spans="1:29" ht="12" customHeight="1">
      <c r="A345" s="108"/>
      <c r="B345" s="109"/>
      <c r="C345" s="112"/>
      <c r="D345" s="112"/>
      <c r="E345" s="109"/>
      <c r="F345" s="109"/>
      <c r="G345" s="109"/>
      <c r="H345" s="111"/>
      <c r="I345" s="268"/>
      <c r="J345" s="112"/>
      <c r="K345" s="112"/>
      <c r="L345" s="112"/>
      <c r="M345" s="112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</row>
    <row r="346" spans="1:29" ht="12" customHeight="1">
      <c r="A346" s="108"/>
      <c r="B346" s="109"/>
      <c r="C346" s="112"/>
      <c r="D346" s="112"/>
      <c r="E346" s="109"/>
      <c r="F346" s="109"/>
      <c r="G346" s="109"/>
      <c r="H346" s="111"/>
      <c r="I346" s="268"/>
      <c r="J346" s="112"/>
      <c r="K346" s="112"/>
      <c r="L346" s="112"/>
      <c r="M346" s="112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</row>
    <row r="347" spans="1:29" ht="12" customHeight="1">
      <c r="A347" s="108"/>
      <c r="B347" s="109"/>
      <c r="C347" s="112"/>
      <c r="D347" s="112"/>
      <c r="E347" s="109"/>
      <c r="F347" s="109"/>
      <c r="G347" s="109"/>
      <c r="H347" s="111"/>
      <c r="I347" s="268"/>
      <c r="J347" s="112"/>
      <c r="K347" s="112"/>
      <c r="L347" s="112"/>
      <c r="M347" s="112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</row>
    <row r="348" spans="1:29" ht="12" customHeight="1">
      <c r="A348" s="108"/>
      <c r="B348" s="109"/>
      <c r="C348" s="112"/>
      <c r="D348" s="112"/>
      <c r="E348" s="109"/>
      <c r="F348" s="109"/>
      <c r="G348" s="109"/>
      <c r="H348" s="111"/>
      <c r="I348" s="268"/>
      <c r="J348" s="112"/>
      <c r="K348" s="112"/>
      <c r="L348" s="112"/>
      <c r="M348" s="112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</row>
    <row r="349" spans="1:29" ht="12" customHeight="1">
      <c r="A349" s="108"/>
      <c r="B349" s="109"/>
      <c r="C349" s="112"/>
      <c r="D349" s="112"/>
      <c r="E349" s="109"/>
      <c r="F349" s="109"/>
      <c r="G349" s="109"/>
      <c r="H349" s="111"/>
      <c r="I349" s="268"/>
      <c r="J349" s="112"/>
      <c r="K349" s="112"/>
      <c r="L349" s="112"/>
      <c r="M349" s="112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</row>
    <row r="350" spans="1:29" ht="12" customHeight="1">
      <c r="A350" s="108"/>
      <c r="B350" s="109"/>
      <c r="C350" s="112"/>
      <c r="D350" s="112"/>
      <c r="E350" s="109"/>
      <c r="F350" s="109"/>
      <c r="G350" s="109"/>
      <c r="H350" s="111"/>
      <c r="I350" s="268"/>
      <c r="J350" s="112"/>
      <c r="K350" s="112"/>
      <c r="L350" s="112"/>
      <c r="M350" s="112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</row>
    <row r="351" spans="1:29" ht="12" customHeight="1">
      <c r="A351" s="108"/>
      <c r="B351" s="109"/>
      <c r="C351" s="112"/>
      <c r="D351" s="112"/>
      <c r="E351" s="109"/>
      <c r="F351" s="109"/>
      <c r="G351" s="109"/>
      <c r="H351" s="111"/>
      <c r="I351" s="268"/>
      <c r="J351" s="112"/>
      <c r="K351" s="112"/>
      <c r="L351" s="112"/>
      <c r="M351" s="112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</row>
    <row r="352" spans="1:29" ht="12" customHeight="1">
      <c r="A352" s="108"/>
      <c r="B352" s="109"/>
      <c r="C352" s="112"/>
      <c r="D352" s="112"/>
      <c r="E352" s="109"/>
      <c r="F352" s="109"/>
      <c r="G352" s="109"/>
      <c r="H352" s="111"/>
      <c r="I352" s="268"/>
      <c r="J352" s="112"/>
      <c r="K352" s="112"/>
      <c r="L352" s="112"/>
      <c r="M352" s="112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</row>
    <row r="353" spans="1:29" ht="12" customHeight="1">
      <c r="A353" s="108"/>
      <c r="B353" s="109"/>
      <c r="C353" s="112"/>
      <c r="D353" s="112"/>
      <c r="E353" s="109"/>
      <c r="F353" s="109"/>
      <c r="G353" s="109"/>
      <c r="H353" s="111"/>
      <c r="I353" s="268"/>
      <c r="J353" s="112"/>
      <c r="K353" s="112"/>
      <c r="L353" s="112"/>
      <c r="M353" s="112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</row>
    <row r="354" spans="1:29" ht="12" customHeight="1">
      <c r="A354" s="108"/>
      <c r="B354" s="109"/>
      <c r="C354" s="112"/>
      <c r="D354" s="112"/>
      <c r="E354" s="109"/>
      <c r="F354" s="109"/>
      <c r="G354" s="109"/>
      <c r="H354" s="111"/>
      <c r="I354" s="268"/>
      <c r="J354" s="112"/>
      <c r="K354" s="112"/>
      <c r="L354" s="112"/>
      <c r="M354" s="112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</row>
    <row r="355" spans="1:29" ht="12" customHeight="1">
      <c r="A355" s="108"/>
      <c r="B355" s="109"/>
      <c r="C355" s="112"/>
      <c r="D355" s="112"/>
      <c r="E355" s="109"/>
      <c r="F355" s="109"/>
      <c r="G355" s="109"/>
      <c r="H355" s="111"/>
      <c r="I355" s="268"/>
      <c r="J355" s="112"/>
      <c r="K355" s="112"/>
      <c r="L355" s="112"/>
      <c r="M355" s="112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</row>
    <row r="356" spans="1:29" ht="12" customHeight="1">
      <c r="A356" s="108"/>
      <c r="B356" s="109"/>
      <c r="C356" s="112"/>
      <c r="D356" s="112"/>
      <c r="E356" s="109"/>
      <c r="F356" s="109"/>
      <c r="G356" s="109"/>
      <c r="H356" s="111"/>
      <c r="I356" s="268"/>
      <c r="J356" s="112"/>
      <c r="K356" s="112"/>
      <c r="L356" s="112"/>
      <c r="M356" s="112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</row>
    <row r="357" spans="1:29" ht="12" customHeight="1">
      <c r="A357" s="108"/>
      <c r="B357" s="109"/>
      <c r="C357" s="112"/>
      <c r="D357" s="112"/>
      <c r="E357" s="109"/>
      <c r="F357" s="109"/>
      <c r="G357" s="109"/>
      <c r="H357" s="111"/>
      <c r="I357" s="268"/>
      <c r="J357" s="112"/>
      <c r="K357" s="112"/>
      <c r="L357" s="112"/>
      <c r="M357" s="112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</row>
    <row r="358" spans="1:29" ht="12" customHeight="1">
      <c r="A358" s="108"/>
      <c r="B358" s="109"/>
      <c r="C358" s="112"/>
      <c r="D358" s="112"/>
      <c r="E358" s="109"/>
      <c r="F358" s="109"/>
      <c r="G358" s="109"/>
      <c r="H358" s="111"/>
      <c r="I358" s="268"/>
      <c r="J358" s="112"/>
      <c r="K358" s="112"/>
      <c r="L358" s="112"/>
      <c r="M358" s="112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</row>
    <row r="359" spans="1:29" ht="12" customHeight="1">
      <c r="A359" s="108"/>
      <c r="B359" s="109"/>
      <c r="C359" s="112"/>
      <c r="D359" s="112"/>
      <c r="E359" s="109"/>
      <c r="F359" s="109"/>
      <c r="G359" s="109"/>
      <c r="H359" s="111"/>
      <c r="I359" s="268"/>
      <c r="J359" s="112"/>
      <c r="K359" s="112"/>
      <c r="L359" s="112"/>
      <c r="M359" s="112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</row>
    <row r="360" spans="1:29" ht="12" customHeight="1">
      <c r="A360" s="108"/>
      <c r="B360" s="109"/>
      <c r="C360" s="112"/>
      <c r="D360" s="112"/>
      <c r="E360" s="109"/>
      <c r="F360" s="109"/>
      <c r="G360" s="109"/>
      <c r="H360" s="111"/>
      <c r="I360" s="268"/>
      <c r="J360" s="112"/>
      <c r="K360" s="112"/>
      <c r="L360" s="112"/>
      <c r="M360" s="112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</row>
    <row r="361" spans="1:29" ht="12" customHeight="1">
      <c r="A361" s="108"/>
      <c r="B361" s="109"/>
      <c r="C361" s="112"/>
      <c r="D361" s="112"/>
      <c r="E361" s="109"/>
      <c r="F361" s="109"/>
      <c r="G361" s="109"/>
      <c r="H361" s="111"/>
      <c r="I361" s="268"/>
      <c r="J361" s="112"/>
      <c r="K361" s="112"/>
      <c r="L361" s="112"/>
      <c r="M361" s="112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</row>
    <row r="362" spans="1:29" ht="12" customHeight="1">
      <c r="A362" s="108"/>
      <c r="B362" s="109"/>
      <c r="C362" s="112"/>
      <c r="D362" s="112"/>
      <c r="E362" s="109"/>
      <c r="F362" s="109"/>
      <c r="G362" s="109"/>
      <c r="H362" s="111"/>
      <c r="I362" s="268"/>
      <c r="J362" s="112"/>
      <c r="K362" s="112"/>
      <c r="L362" s="112"/>
      <c r="M362" s="112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</row>
    <row r="363" spans="1:29" ht="12" customHeight="1">
      <c r="A363" s="108"/>
      <c r="B363" s="109"/>
      <c r="C363" s="112"/>
      <c r="D363" s="112"/>
      <c r="E363" s="109"/>
      <c r="F363" s="109"/>
      <c r="G363" s="109"/>
      <c r="H363" s="111"/>
      <c r="I363" s="268"/>
      <c r="J363" s="112"/>
      <c r="K363" s="112"/>
      <c r="L363" s="112"/>
      <c r="M363" s="112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</row>
    <row r="364" spans="1:29" ht="12" customHeight="1">
      <c r="A364" s="108"/>
      <c r="B364" s="109"/>
      <c r="C364" s="112"/>
      <c r="D364" s="112"/>
      <c r="E364" s="109"/>
      <c r="F364" s="109"/>
      <c r="G364" s="109"/>
      <c r="H364" s="111"/>
      <c r="I364" s="268"/>
      <c r="J364" s="112"/>
      <c r="K364" s="112"/>
      <c r="L364" s="112"/>
      <c r="M364" s="112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</row>
    <row r="365" spans="1:29" ht="12" customHeight="1">
      <c r="A365" s="108"/>
      <c r="B365" s="109"/>
      <c r="C365" s="112"/>
      <c r="D365" s="112"/>
      <c r="E365" s="109"/>
      <c r="F365" s="109"/>
      <c r="G365" s="109"/>
      <c r="H365" s="111"/>
      <c r="I365" s="268"/>
      <c r="J365" s="112"/>
      <c r="K365" s="112"/>
      <c r="L365" s="112"/>
      <c r="M365" s="112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</row>
    <row r="366" spans="1:29" ht="12" customHeight="1">
      <c r="A366" s="108"/>
      <c r="B366" s="109"/>
      <c r="C366" s="112"/>
      <c r="D366" s="112"/>
      <c r="E366" s="109"/>
      <c r="F366" s="109"/>
      <c r="G366" s="109"/>
      <c r="H366" s="111"/>
      <c r="I366" s="268"/>
      <c r="J366" s="112"/>
      <c r="K366" s="112"/>
      <c r="L366" s="112"/>
      <c r="M366" s="112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</row>
    <row r="367" spans="1:29" ht="12" customHeight="1">
      <c r="A367" s="108"/>
      <c r="B367" s="109"/>
      <c r="C367" s="112"/>
      <c r="D367" s="112"/>
      <c r="E367" s="109"/>
      <c r="F367" s="109"/>
      <c r="G367" s="109"/>
      <c r="H367" s="111"/>
      <c r="I367" s="268"/>
      <c r="J367" s="112"/>
      <c r="K367" s="112"/>
      <c r="L367" s="112"/>
      <c r="M367" s="112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</row>
    <row r="368" spans="1:29" ht="12" customHeight="1">
      <c r="A368" s="108"/>
      <c r="B368" s="109"/>
      <c r="C368" s="112"/>
      <c r="D368" s="112"/>
      <c r="E368" s="109"/>
      <c r="F368" s="109"/>
      <c r="G368" s="109"/>
      <c r="H368" s="111"/>
      <c r="I368" s="268"/>
      <c r="J368" s="112"/>
      <c r="K368" s="112"/>
      <c r="L368" s="112"/>
      <c r="M368" s="112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</row>
    <row r="369" spans="1:29" ht="12" customHeight="1">
      <c r="A369" s="108"/>
      <c r="B369" s="109"/>
      <c r="C369" s="112"/>
      <c r="D369" s="112"/>
      <c r="E369" s="109"/>
      <c r="F369" s="109"/>
      <c r="G369" s="109"/>
      <c r="H369" s="111"/>
      <c r="I369" s="268"/>
      <c r="J369" s="112"/>
      <c r="K369" s="112"/>
      <c r="L369" s="112"/>
      <c r="M369" s="112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</row>
    <row r="370" spans="1:29" ht="12" customHeight="1">
      <c r="A370" s="108"/>
      <c r="B370" s="109"/>
      <c r="C370" s="112"/>
      <c r="D370" s="112"/>
      <c r="E370" s="109"/>
      <c r="F370" s="109"/>
      <c r="G370" s="109"/>
      <c r="H370" s="111"/>
      <c r="I370" s="268"/>
      <c r="J370" s="112"/>
      <c r="K370" s="112"/>
      <c r="L370" s="112"/>
      <c r="M370" s="112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</row>
    <row r="371" spans="1:29" ht="12" customHeight="1">
      <c r="A371" s="108"/>
      <c r="B371" s="109"/>
      <c r="C371" s="112"/>
      <c r="D371" s="112"/>
      <c r="E371" s="109"/>
      <c r="F371" s="109"/>
      <c r="G371" s="109"/>
      <c r="H371" s="111"/>
      <c r="I371" s="268"/>
      <c r="J371" s="112"/>
      <c r="K371" s="112"/>
      <c r="L371" s="112"/>
      <c r="M371" s="112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</row>
    <row r="372" spans="1:29" ht="12" customHeight="1">
      <c r="A372" s="108"/>
      <c r="B372" s="109"/>
      <c r="C372" s="112"/>
      <c r="D372" s="112"/>
      <c r="E372" s="109"/>
      <c r="F372" s="109"/>
      <c r="G372" s="109"/>
      <c r="H372" s="111"/>
      <c r="I372" s="268"/>
      <c r="J372" s="112"/>
      <c r="K372" s="112"/>
      <c r="L372" s="112"/>
      <c r="M372" s="112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</row>
    <row r="373" spans="1:29" ht="12" customHeight="1">
      <c r="A373" s="108"/>
      <c r="B373" s="109"/>
      <c r="C373" s="112"/>
      <c r="D373" s="112"/>
      <c r="E373" s="109"/>
      <c r="F373" s="109"/>
      <c r="G373" s="109"/>
      <c r="H373" s="111"/>
      <c r="I373" s="268"/>
      <c r="J373" s="112"/>
      <c r="K373" s="112"/>
      <c r="L373" s="112"/>
      <c r="M373" s="112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</row>
    <row r="374" spans="1:29" ht="12" customHeight="1">
      <c r="A374" s="108"/>
      <c r="B374" s="109"/>
      <c r="C374" s="112"/>
      <c r="D374" s="112"/>
      <c r="E374" s="109"/>
      <c r="F374" s="109"/>
      <c r="G374" s="109"/>
      <c r="H374" s="111"/>
      <c r="I374" s="268"/>
      <c r="J374" s="112"/>
      <c r="K374" s="112"/>
      <c r="L374" s="112"/>
      <c r="M374" s="112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</row>
    <row r="375" spans="1:29" ht="12" customHeight="1">
      <c r="A375" s="108"/>
      <c r="B375" s="109"/>
      <c r="C375" s="112"/>
      <c r="D375" s="112"/>
      <c r="E375" s="109"/>
      <c r="F375" s="109"/>
      <c r="G375" s="109"/>
      <c r="H375" s="111"/>
      <c r="I375" s="268"/>
      <c r="J375" s="112"/>
      <c r="K375" s="112"/>
      <c r="L375" s="112"/>
      <c r="M375" s="112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</row>
    <row r="376" spans="1:29" ht="12" customHeight="1">
      <c r="A376" s="108"/>
      <c r="B376" s="109"/>
      <c r="C376" s="112"/>
      <c r="D376" s="112"/>
      <c r="E376" s="109"/>
      <c r="F376" s="109"/>
      <c r="G376" s="109"/>
      <c r="H376" s="111"/>
      <c r="I376" s="268"/>
      <c r="J376" s="112"/>
      <c r="K376" s="112"/>
      <c r="L376" s="112"/>
      <c r="M376" s="112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</row>
    <row r="377" spans="1:29" ht="12" customHeight="1">
      <c r="A377" s="108"/>
      <c r="B377" s="109"/>
      <c r="C377" s="112"/>
      <c r="D377" s="112"/>
      <c r="E377" s="109"/>
      <c r="F377" s="109"/>
      <c r="G377" s="109"/>
      <c r="H377" s="111"/>
      <c r="I377" s="268"/>
      <c r="J377" s="112"/>
      <c r="K377" s="112"/>
      <c r="L377" s="112"/>
      <c r="M377" s="112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</row>
    <row r="378" spans="1:29" ht="12" customHeight="1">
      <c r="A378" s="108"/>
      <c r="B378" s="109"/>
      <c r="C378" s="112"/>
      <c r="D378" s="112"/>
      <c r="E378" s="109"/>
      <c r="F378" s="109"/>
      <c r="G378" s="109"/>
      <c r="H378" s="111"/>
      <c r="I378" s="268"/>
      <c r="J378" s="112"/>
      <c r="K378" s="112"/>
      <c r="L378" s="112"/>
      <c r="M378" s="112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</row>
    <row r="379" spans="1:29" ht="12" customHeight="1">
      <c r="A379" s="108"/>
      <c r="B379" s="109"/>
      <c r="C379" s="112"/>
      <c r="D379" s="112"/>
      <c r="E379" s="109"/>
      <c r="F379" s="109"/>
      <c r="G379" s="109"/>
      <c r="H379" s="111"/>
      <c r="I379" s="268"/>
      <c r="J379" s="112"/>
      <c r="K379" s="112"/>
      <c r="L379" s="112"/>
      <c r="M379" s="112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</row>
    <row r="380" spans="1:29" ht="12" customHeight="1">
      <c r="A380" s="108"/>
      <c r="B380" s="109"/>
      <c r="C380" s="112"/>
      <c r="D380" s="112"/>
      <c r="E380" s="109"/>
      <c r="F380" s="109"/>
      <c r="G380" s="109"/>
      <c r="H380" s="111"/>
      <c r="I380" s="268"/>
      <c r="J380" s="112"/>
      <c r="K380" s="112"/>
      <c r="L380" s="112"/>
      <c r="M380" s="112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</row>
    <row r="381" spans="1:29" ht="12" customHeight="1">
      <c r="A381" s="108"/>
      <c r="B381" s="109"/>
      <c r="C381" s="112"/>
      <c r="D381" s="112"/>
      <c r="E381" s="109"/>
      <c r="F381" s="109"/>
      <c r="G381" s="109"/>
      <c r="H381" s="111"/>
      <c r="I381" s="268"/>
      <c r="J381" s="112"/>
      <c r="K381" s="112"/>
      <c r="L381" s="112"/>
      <c r="M381" s="112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</row>
    <row r="382" spans="1:29" ht="12" customHeight="1">
      <c r="A382" s="108"/>
      <c r="B382" s="109"/>
      <c r="C382" s="112"/>
      <c r="D382" s="112"/>
      <c r="E382" s="109"/>
      <c r="F382" s="109"/>
      <c r="G382" s="109"/>
      <c r="H382" s="111"/>
      <c r="I382" s="268"/>
      <c r="J382" s="112"/>
      <c r="K382" s="112"/>
      <c r="L382" s="112"/>
      <c r="M382" s="112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</row>
    <row r="383" spans="1:29" ht="12" customHeight="1">
      <c r="A383" s="108"/>
      <c r="B383" s="109"/>
      <c r="C383" s="112"/>
      <c r="D383" s="112"/>
      <c r="E383" s="109"/>
      <c r="F383" s="109"/>
      <c r="G383" s="109"/>
      <c r="H383" s="111"/>
      <c r="I383" s="268"/>
      <c r="J383" s="112"/>
      <c r="K383" s="112"/>
      <c r="L383" s="112"/>
      <c r="M383" s="112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</row>
    <row r="384" spans="1:29" ht="12" customHeight="1">
      <c r="A384" s="108"/>
      <c r="B384" s="109"/>
      <c r="C384" s="112"/>
      <c r="D384" s="112"/>
      <c r="E384" s="109"/>
      <c r="F384" s="109"/>
      <c r="G384" s="109"/>
      <c r="H384" s="111"/>
      <c r="I384" s="268"/>
      <c r="J384" s="112"/>
      <c r="K384" s="112"/>
      <c r="L384" s="112"/>
      <c r="M384" s="112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</row>
    <row r="385" spans="1:29" ht="12" customHeight="1">
      <c r="A385" s="108"/>
      <c r="B385" s="109"/>
      <c r="C385" s="112"/>
      <c r="D385" s="112"/>
      <c r="E385" s="109"/>
      <c r="F385" s="109"/>
      <c r="G385" s="109"/>
      <c r="H385" s="111"/>
      <c r="I385" s="268"/>
      <c r="J385" s="112"/>
      <c r="K385" s="112"/>
      <c r="L385" s="112"/>
      <c r="M385" s="112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</row>
    <row r="386" spans="1:29" ht="12" customHeight="1">
      <c r="A386" s="108"/>
      <c r="B386" s="109"/>
      <c r="C386" s="112"/>
      <c r="D386" s="112"/>
      <c r="E386" s="109"/>
      <c r="F386" s="109"/>
      <c r="G386" s="109"/>
      <c r="H386" s="111"/>
      <c r="I386" s="268"/>
      <c r="J386" s="112"/>
      <c r="K386" s="112"/>
      <c r="L386" s="112"/>
      <c r="M386" s="112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</row>
    <row r="387" spans="1:29" ht="12" customHeight="1">
      <c r="A387" s="108"/>
      <c r="B387" s="109"/>
      <c r="C387" s="112"/>
      <c r="D387" s="112"/>
      <c r="E387" s="109"/>
      <c r="F387" s="109"/>
      <c r="G387" s="109"/>
      <c r="H387" s="111"/>
      <c r="I387" s="268"/>
      <c r="J387" s="112"/>
      <c r="K387" s="112"/>
      <c r="L387" s="112"/>
      <c r="M387" s="112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</row>
    <row r="388" spans="1:29" ht="12" customHeight="1">
      <c r="A388" s="108"/>
      <c r="B388" s="109"/>
      <c r="C388" s="112"/>
      <c r="D388" s="112"/>
      <c r="E388" s="109"/>
      <c r="F388" s="109"/>
      <c r="G388" s="109"/>
      <c r="H388" s="111"/>
      <c r="I388" s="268"/>
      <c r="J388" s="112"/>
      <c r="K388" s="112"/>
      <c r="L388" s="112"/>
      <c r="M388" s="112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</row>
    <row r="389" spans="1:29" ht="12" customHeight="1">
      <c r="A389" s="108"/>
      <c r="B389" s="109"/>
      <c r="C389" s="112"/>
      <c r="D389" s="112"/>
      <c r="E389" s="109"/>
      <c r="F389" s="109"/>
      <c r="G389" s="109"/>
      <c r="H389" s="111"/>
      <c r="I389" s="268"/>
      <c r="J389" s="112"/>
      <c r="K389" s="112"/>
      <c r="L389" s="112"/>
      <c r="M389" s="112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</row>
    <row r="390" spans="1:29" ht="12" customHeight="1">
      <c r="A390" s="108"/>
      <c r="B390" s="109"/>
      <c r="C390" s="112"/>
      <c r="D390" s="112"/>
      <c r="E390" s="109"/>
      <c r="F390" s="109"/>
      <c r="G390" s="109"/>
      <c r="H390" s="111"/>
      <c r="I390" s="268"/>
      <c r="J390" s="112"/>
      <c r="K390" s="112"/>
      <c r="L390" s="112"/>
      <c r="M390" s="112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</row>
    <row r="391" spans="1:29" ht="12" customHeight="1">
      <c r="A391" s="108"/>
      <c r="B391" s="109"/>
      <c r="C391" s="112"/>
      <c r="D391" s="112"/>
      <c r="E391" s="109"/>
      <c r="F391" s="109"/>
      <c r="G391" s="109"/>
      <c r="H391" s="111"/>
      <c r="I391" s="268"/>
      <c r="J391" s="112"/>
      <c r="K391" s="112"/>
      <c r="L391" s="112"/>
      <c r="M391" s="112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</row>
    <row r="392" spans="1:29" ht="12" customHeight="1">
      <c r="A392" s="108"/>
      <c r="B392" s="109"/>
      <c r="C392" s="112"/>
      <c r="D392" s="112"/>
      <c r="E392" s="109"/>
      <c r="F392" s="109"/>
      <c r="G392" s="109"/>
      <c r="H392" s="111"/>
      <c r="I392" s="268"/>
      <c r="J392" s="112"/>
      <c r="K392" s="112"/>
      <c r="L392" s="112"/>
      <c r="M392" s="112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</row>
    <row r="393" spans="1:29" ht="12" customHeight="1">
      <c r="A393" s="108"/>
      <c r="B393" s="109"/>
      <c r="C393" s="112"/>
      <c r="D393" s="112"/>
      <c r="E393" s="109"/>
      <c r="F393" s="109"/>
      <c r="G393" s="109"/>
      <c r="H393" s="111"/>
      <c r="I393" s="268"/>
      <c r="J393" s="112"/>
      <c r="K393" s="112"/>
      <c r="L393" s="112"/>
      <c r="M393" s="112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</row>
    <row r="394" spans="1:29" ht="12" customHeight="1">
      <c r="A394" s="108"/>
      <c r="B394" s="109"/>
      <c r="C394" s="112"/>
      <c r="D394" s="112"/>
      <c r="E394" s="109"/>
      <c r="F394" s="109"/>
      <c r="G394" s="109"/>
      <c r="H394" s="111"/>
      <c r="I394" s="268"/>
      <c r="J394" s="112"/>
      <c r="K394" s="112"/>
      <c r="L394" s="112"/>
      <c r="M394" s="112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</row>
    <row r="395" spans="1:29" ht="12" customHeight="1">
      <c r="A395" s="108"/>
      <c r="B395" s="109"/>
      <c r="C395" s="112"/>
      <c r="D395" s="112"/>
      <c r="E395" s="109"/>
      <c r="F395" s="109"/>
      <c r="G395" s="109"/>
      <c r="H395" s="111"/>
      <c r="I395" s="268"/>
      <c r="J395" s="112"/>
      <c r="K395" s="112"/>
      <c r="L395" s="112"/>
      <c r="M395" s="112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</row>
    <row r="396" spans="1:29" ht="12" customHeight="1">
      <c r="A396" s="108"/>
      <c r="B396" s="109"/>
      <c r="C396" s="112"/>
      <c r="D396" s="112"/>
      <c r="E396" s="109"/>
      <c r="F396" s="109"/>
      <c r="G396" s="109"/>
      <c r="H396" s="111"/>
      <c r="I396" s="268"/>
      <c r="J396" s="112"/>
      <c r="K396" s="112"/>
      <c r="L396" s="112"/>
      <c r="M396" s="112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</row>
    <row r="397" spans="1:29" ht="12" customHeight="1">
      <c r="A397" s="108"/>
      <c r="B397" s="109"/>
      <c r="C397" s="112"/>
      <c r="D397" s="112"/>
      <c r="E397" s="109"/>
      <c r="F397" s="109"/>
      <c r="G397" s="109"/>
      <c r="H397" s="111"/>
      <c r="I397" s="268"/>
      <c r="J397" s="112"/>
      <c r="K397" s="112"/>
      <c r="L397" s="112"/>
      <c r="M397" s="112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</row>
    <row r="398" spans="1:29" ht="12" customHeight="1">
      <c r="A398" s="108"/>
      <c r="B398" s="109"/>
      <c r="C398" s="112"/>
      <c r="D398" s="112"/>
      <c r="E398" s="109"/>
      <c r="F398" s="109"/>
      <c r="G398" s="109"/>
      <c r="H398" s="111"/>
      <c r="I398" s="268"/>
      <c r="J398" s="112"/>
      <c r="K398" s="112"/>
      <c r="L398" s="112"/>
      <c r="M398" s="112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</row>
    <row r="399" spans="1:29" ht="12" customHeight="1">
      <c r="A399" s="108"/>
      <c r="B399" s="109"/>
      <c r="C399" s="112"/>
      <c r="D399" s="112"/>
      <c r="E399" s="109"/>
      <c r="F399" s="109"/>
      <c r="G399" s="109"/>
      <c r="H399" s="111"/>
      <c r="I399" s="268"/>
      <c r="J399" s="112"/>
      <c r="K399" s="112"/>
      <c r="L399" s="112"/>
      <c r="M399" s="112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</row>
    <row r="400" spans="1:29" ht="12" customHeight="1">
      <c r="A400" s="108"/>
      <c r="B400" s="109"/>
      <c r="C400" s="112"/>
      <c r="D400" s="112"/>
      <c r="E400" s="109"/>
      <c r="F400" s="109"/>
      <c r="G400" s="109"/>
      <c r="H400" s="111"/>
      <c r="I400" s="268"/>
      <c r="J400" s="112"/>
      <c r="K400" s="112"/>
      <c r="L400" s="112"/>
      <c r="M400" s="112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</row>
    <row r="401" spans="1:29" ht="12" customHeight="1">
      <c r="A401" s="108"/>
      <c r="B401" s="109"/>
      <c r="C401" s="112"/>
      <c r="D401" s="112"/>
      <c r="E401" s="109"/>
      <c r="F401" s="109"/>
      <c r="G401" s="109"/>
      <c r="H401" s="111"/>
      <c r="I401" s="268"/>
      <c r="J401" s="112"/>
      <c r="K401" s="112"/>
      <c r="L401" s="112"/>
      <c r="M401" s="112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</row>
    <row r="402" spans="1:29" ht="12" customHeight="1">
      <c r="A402" s="108"/>
      <c r="B402" s="109"/>
      <c r="C402" s="112"/>
      <c r="D402" s="112"/>
      <c r="E402" s="109"/>
      <c r="F402" s="109"/>
      <c r="G402" s="109"/>
      <c r="H402" s="111"/>
      <c r="I402" s="268"/>
      <c r="J402" s="112"/>
      <c r="K402" s="112"/>
      <c r="L402" s="112"/>
      <c r="M402" s="112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</row>
    <row r="403" spans="1:29" ht="12" customHeight="1">
      <c r="A403" s="108"/>
      <c r="B403" s="109"/>
      <c r="C403" s="112"/>
      <c r="D403" s="112"/>
      <c r="E403" s="109"/>
      <c r="F403" s="109"/>
      <c r="G403" s="109"/>
      <c r="H403" s="111"/>
      <c r="I403" s="268"/>
      <c r="J403" s="112"/>
      <c r="K403" s="112"/>
      <c r="L403" s="112"/>
      <c r="M403" s="112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</row>
    <row r="404" spans="1:29" ht="12" customHeight="1">
      <c r="A404" s="108"/>
      <c r="B404" s="109"/>
      <c r="C404" s="112"/>
      <c r="D404" s="112"/>
      <c r="E404" s="109"/>
      <c r="F404" s="109"/>
      <c r="G404" s="109"/>
      <c r="H404" s="111"/>
      <c r="I404" s="268"/>
      <c r="J404" s="112"/>
      <c r="K404" s="112"/>
      <c r="L404" s="112"/>
      <c r="M404" s="112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</row>
    <row r="405" spans="1:29" ht="12" customHeight="1">
      <c r="A405" s="108"/>
      <c r="B405" s="109"/>
      <c r="C405" s="112"/>
      <c r="D405" s="112"/>
      <c r="E405" s="109"/>
      <c r="F405" s="109"/>
      <c r="G405" s="109"/>
      <c r="H405" s="111"/>
      <c r="I405" s="268"/>
      <c r="J405" s="112"/>
      <c r="K405" s="112"/>
      <c r="L405" s="112"/>
      <c r="M405" s="112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</row>
    <row r="406" spans="1:29" ht="12" customHeight="1">
      <c r="A406" s="108"/>
      <c r="B406" s="109"/>
      <c r="C406" s="112"/>
      <c r="D406" s="112"/>
      <c r="E406" s="109"/>
      <c r="F406" s="109"/>
      <c r="G406" s="109"/>
      <c r="H406" s="111"/>
      <c r="I406" s="268"/>
      <c r="J406" s="112"/>
      <c r="K406" s="112"/>
      <c r="L406" s="112"/>
      <c r="M406" s="112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</row>
    <row r="407" spans="1:29" ht="12" customHeight="1">
      <c r="A407" s="108"/>
      <c r="B407" s="109"/>
      <c r="C407" s="112"/>
      <c r="D407" s="112"/>
      <c r="E407" s="109"/>
      <c r="F407" s="109"/>
      <c r="G407" s="109"/>
      <c r="H407" s="111"/>
      <c r="I407" s="268"/>
      <c r="J407" s="112"/>
      <c r="K407" s="112"/>
      <c r="L407" s="112"/>
      <c r="M407" s="112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</row>
    <row r="408" spans="1:29" ht="12" customHeight="1">
      <c r="A408" s="108"/>
      <c r="B408" s="109"/>
      <c r="C408" s="112"/>
      <c r="D408" s="112"/>
      <c r="E408" s="109"/>
      <c r="F408" s="109"/>
      <c r="G408" s="109"/>
      <c r="H408" s="111"/>
      <c r="I408" s="268"/>
      <c r="J408" s="112"/>
      <c r="K408" s="112"/>
      <c r="L408" s="112"/>
      <c r="M408" s="112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</row>
    <row r="409" spans="1:29" ht="12" customHeight="1">
      <c r="A409" s="108"/>
      <c r="B409" s="109"/>
      <c r="C409" s="112"/>
      <c r="D409" s="112"/>
      <c r="E409" s="109"/>
      <c r="F409" s="109"/>
      <c r="G409" s="109"/>
      <c r="H409" s="111"/>
      <c r="I409" s="268"/>
      <c r="J409" s="112"/>
      <c r="K409" s="112"/>
      <c r="L409" s="112"/>
      <c r="M409" s="112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</row>
    <row r="410" spans="1:29" ht="12" customHeight="1">
      <c r="A410" s="108"/>
      <c r="B410" s="109"/>
      <c r="C410" s="112"/>
      <c r="D410" s="112"/>
      <c r="E410" s="109"/>
      <c r="F410" s="109"/>
      <c r="G410" s="109"/>
      <c r="H410" s="111"/>
      <c r="I410" s="268"/>
      <c r="J410" s="112"/>
      <c r="K410" s="112"/>
      <c r="L410" s="112"/>
      <c r="M410" s="112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</row>
    <row r="411" spans="1:29" ht="12" customHeight="1">
      <c r="A411" s="108"/>
      <c r="B411" s="109"/>
      <c r="C411" s="112"/>
      <c r="D411" s="112"/>
      <c r="E411" s="109"/>
      <c r="F411" s="109"/>
      <c r="G411" s="109"/>
      <c r="H411" s="111"/>
      <c r="I411" s="268"/>
      <c r="J411" s="112"/>
      <c r="K411" s="112"/>
      <c r="L411" s="112"/>
      <c r="M411" s="112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</row>
    <row r="412" spans="1:29" ht="12" customHeight="1">
      <c r="A412" s="108"/>
      <c r="B412" s="109"/>
      <c r="C412" s="112"/>
      <c r="D412" s="112"/>
      <c r="E412" s="109"/>
      <c r="F412" s="109"/>
      <c r="G412" s="109"/>
      <c r="H412" s="111"/>
      <c r="I412" s="268"/>
      <c r="J412" s="112"/>
      <c r="K412" s="112"/>
      <c r="L412" s="112"/>
      <c r="M412" s="112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</row>
    <row r="413" spans="1:29" ht="12" customHeight="1">
      <c r="A413" s="108"/>
      <c r="B413" s="109"/>
      <c r="C413" s="112"/>
      <c r="D413" s="112"/>
      <c r="E413" s="109"/>
      <c r="F413" s="109"/>
      <c r="G413" s="109"/>
      <c r="H413" s="111"/>
      <c r="I413" s="268"/>
      <c r="J413" s="112"/>
      <c r="K413" s="112"/>
      <c r="L413" s="112"/>
      <c r="M413" s="112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</row>
    <row r="414" spans="1:29" ht="12" customHeight="1">
      <c r="A414" s="108"/>
      <c r="B414" s="109"/>
      <c r="C414" s="112"/>
      <c r="D414" s="112"/>
      <c r="E414" s="109"/>
      <c r="F414" s="109"/>
      <c r="G414" s="109"/>
      <c r="H414" s="111"/>
      <c r="I414" s="268"/>
      <c r="J414" s="112"/>
      <c r="K414" s="112"/>
      <c r="L414" s="112"/>
      <c r="M414" s="112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</row>
    <row r="415" spans="1:29" ht="12" customHeight="1">
      <c r="A415" s="108"/>
      <c r="B415" s="109"/>
      <c r="C415" s="112"/>
      <c r="D415" s="112"/>
      <c r="E415" s="109"/>
      <c r="F415" s="109"/>
      <c r="G415" s="109"/>
      <c r="H415" s="111"/>
      <c r="I415" s="268"/>
      <c r="J415" s="112"/>
      <c r="K415" s="112"/>
      <c r="L415" s="112"/>
      <c r="M415" s="112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</row>
    <row r="416" spans="1:29" ht="12" customHeight="1">
      <c r="A416" s="108"/>
      <c r="B416" s="109"/>
      <c r="C416" s="112"/>
      <c r="D416" s="112"/>
      <c r="E416" s="109"/>
      <c r="F416" s="109"/>
      <c r="G416" s="109"/>
      <c r="H416" s="111"/>
      <c r="I416" s="268"/>
      <c r="J416" s="112"/>
      <c r="K416" s="112"/>
      <c r="L416" s="112"/>
      <c r="M416" s="112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</row>
    <row r="417" spans="1:29" ht="12" customHeight="1">
      <c r="A417" s="108"/>
      <c r="B417" s="109"/>
      <c r="C417" s="112"/>
      <c r="D417" s="112"/>
      <c r="E417" s="109"/>
      <c r="F417" s="109"/>
      <c r="G417" s="109"/>
      <c r="H417" s="111"/>
      <c r="I417" s="268"/>
      <c r="J417" s="112"/>
      <c r="K417" s="112"/>
      <c r="L417" s="112"/>
      <c r="M417" s="112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</row>
    <row r="418" spans="1:29" ht="12" customHeight="1">
      <c r="A418" s="108"/>
      <c r="B418" s="109"/>
      <c r="C418" s="112"/>
      <c r="D418" s="112"/>
      <c r="E418" s="109"/>
      <c r="F418" s="109"/>
      <c r="G418" s="109"/>
      <c r="H418" s="111"/>
      <c r="I418" s="268"/>
      <c r="J418" s="112"/>
      <c r="K418" s="112"/>
      <c r="L418" s="112"/>
      <c r="M418" s="112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</row>
    <row r="419" spans="1:29" ht="12" customHeight="1">
      <c r="A419" s="108"/>
      <c r="B419" s="109"/>
      <c r="C419" s="112"/>
      <c r="D419" s="112"/>
      <c r="E419" s="109"/>
      <c r="F419" s="109"/>
      <c r="G419" s="109"/>
      <c r="H419" s="111"/>
      <c r="I419" s="268"/>
      <c r="J419" s="112"/>
      <c r="K419" s="112"/>
      <c r="L419" s="112"/>
      <c r="M419" s="112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</row>
    <row r="420" spans="1:29" ht="12" customHeight="1">
      <c r="A420" s="108"/>
      <c r="B420" s="109"/>
      <c r="C420" s="112"/>
      <c r="D420" s="112"/>
      <c r="E420" s="109"/>
      <c r="F420" s="109"/>
      <c r="G420" s="109"/>
      <c r="H420" s="111"/>
      <c r="I420" s="268"/>
      <c r="J420" s="112"/>
      <c r="K420" s="112"/>
      <c r="L420" s="112"/>
      <c r="M420" s="112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</row>
    <row r="421" spans="1:29" ht="12" customHeight="1">
      <c r="A421" s="108"/>
      <c r="B421" s="109"/>
      <c r="C421" s="112"/>
      <c r="D421" s="112"/>
      <c r="E421" s="109"/>
      <c r="F421" s="109"/>
      <c r="G421" s="109"/>
      <c r="H421" s="111"/>
      <c r="I421" s="268"/>
      <c r="J421" s="112"/>
      <c r="K421" s="112"/>
      <c r="L421" s="112"/>
      <c r="M421" s="112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</row>
    <row r="422" spans="1:29" ht="12" customHeight="1">
      <c r="A422" s="108"/>
      <c r="B422" s="109"/>
      <c r="C422" s="112"/>
      <c r="D422" s="112"/>
      <c r="E422" s="109"/>
      <c r="F422" s="109"/>
      <c r="G422" s="109"/>
      <c r="H422" s="111"/>
      <c r="I422" s="268"/>
      <c r="J422" s="112"/>
      <c r="K422" s="112"/>
      <c r="L422" s="112"/>
      <c r="M422" s="112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</row>
    <row r="423" spans="1:29" ht="12" customHeight="1">
      <c r="A423" s="108"/>
      <c r="B423" s="109"/>
      <c r="C423" s="112"/>
      <c r="D423" s="112"/>
      <c r="E423" s="109"/>
      <c r="F423" s="109"/>
      <c r="G423" s="109"/>
      <c r="H423" s="111"/>
      <c r="I423" s="268"/>
      <c r="J423" s="112"/>
      <c r="K423" s="112"/>
      <c r="L423" s="112"/>
      <c r="M423" s="112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</row>
    <row r="424" spans="1:29" ht="12" customHeight="1">
      <c r="A424" s="108"/>
      <c r="B424" s="109"/>
      <c r="C424" s="112"/>
      <c r="D424" s="112"/>
      <c r="E424" s="109"/>
      <c r="F424" s="109"/>
      <c r="G424" s="109"/>
      <c r="H424" s="111"/>
      <c r="I424" s="268"/>
      <c r="J424" s="112"/>
      <c r="K424" s="112"/>
      <c r="L424" s="112"/>
      <c r="M424" s="112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</row>
    <row r="425" spans="1:29" ht="12" customHeight="1">
      <c r="A425" s="108"/>
      <c r="B425" s="109"/>
      <c r="C425" s="112"/>
      <c r="D425" s="112"/>
      <c r="E425" s="109"/>
      <c r="F425" s="109"/>
      <c r="G425" s="109"/>
      <c r="H425" s="111"/>
      <c r="I425" s="268"/>
      <c r="J425" s="112"/>
      <c r="K425" s="112"/>
      <c r="L425" s="112"/>
      <c r="M425" s="112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</row>
    <row r="426" spans="1:29" ht="12" customHeight="1">
      <c r="A426" s="108"/>
      <c r="B426" s="109"/>
      <c r="C426" s="112"/>
      <c r="D426" s="112"/>
      <c r="E426" s="109"/>
      <c r="F426" s="109"/>
      <c r="G426" s="109"/>
      <c r="H426" s="111"/>
      <c r="I426" s="268"/>
      <c r="J426" s="112"/>
      <c r="K426" s="112"/>
      <c r="L426" s="112"/>
      <c r="M426" s="112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</row>
    <row r="427" spans="1:29" ht="12" customHeight="1">
      <c r="A427" s="108"/>
      <c r="B427" s="109"/>
      <c r="C427" s="112"/>
      <c r="D427" s="112"/>
      <c r="E427" s="109"/>
      <c r="F427" s="109"/>
      <c r="G427" s="109"/>
      <c r="H427" s="111"/>
      <c r="I427" s="268"/>
      <c r="J427" s="112"/>
      <c r="K427" s="112"/>
      <c r="L427" s="112"/>
      <c r="M427" s="112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</row>
    <row r="428" spans="1:29" ht="12" customHeight="1">
      <c r="A428" s="108"/>
      <c r="B428" s="109"/>
      <c r="C428" s="112"/>
      <c r="D428" s="112"/>
      <c r="E428" s="109"/>
      <c r="F428" s="109"/>
      <c r="G428" s="109"/>
      <c r="H428" s="111"/>
      <c r="I428" s="268"/>
      <c r="J428" s="112"/>
      <c r="K428" s="112"/>
      <c r="L428" s="112"/>
      <c r="M428" s="112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</row>
    <row r="429" spans="1:29" ht="12" customHeight="1">
      <c r="A429" s="108"/>
      <c r="B429" s="109"/>
      <c r="C429" s="112"/>
      <c r="D429" s="112"/>
      <c r="E429" s="109"/>
      <c r="F429" s="109"/>
      <c r="G429" s="109"/>
      <c r="H429" s="111"/>
      <c r="I429" s="268"/>
      <c r="J429" s="112"/>
      <c r="K429" s="112"/>
      <c r="L429" s="112"/>
      <c r="M429" s="112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</row>
    <row r="430" spans="1:29" ht="12" customHeight="1">
      <c r="A430" s="108"/>
      <c r="B430" s="109"/>
      <c r="C430" s="112"/>
      <c r="D430" s="112"/>
      <c r="E430" s="109"/>
      <c r="F430" s="109"/>
      <c r="G430" s="109"/>
      <c r="H430" s="111"/>
      <c r="I430" s="268"/>
      <c r="J430" s="112"/>
      <c r="K430" s="112"/>
      <c r="L430" s="112"/>
      <c r="M430" s="112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</row>
    <row r="431" spans="1:29" ht="12" customHeight="1">
      <c r="A431" s="108"/>
      <c r="B431" s="109"/>
      <c r="C431" s="112"/>
      <c r="D431" s="112"/>
      <c r="E431" s="109"/>
      <c r="F431" s="109"/>
      <c r="G431" s="109"/>
      <c r="H431" s="111"/>
      <c r="I431" s="268"/>
      <c r="J431" s="112"/>
      <c r="K431" s="112"/>
      <c r="L431" s="112"/>
      <c r="M431" s="112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</row>
    <row r="432" spans="1:29" ht="12" customHeight="1">
      <c r="A432" s="108"/>
      <c r="B432" s="109"/>
      <c r="C432" s="112"/>
      <c r="D432" s="112"/>
      <c r="E432" s="109"/>
      <c r="F432" s="109"/>
      <c r="G432" s="109"/>
      <c r="H432" s="111"/>
      <c r="I432" s="268"/>
      <c r="J432" s="112"/>
      <c r="K432" s="112"/>
      <c r="L432" s="112"/>
      <c r="M432" s="112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</row>
    <row r="433" spans="1:29" ht="12" customHeight="1">
      <c r="A433" s="108"/>
      <c r="B433" s="109"/>
      <c r="C433" s="112"/>
      <c r="D433" s="112"/>
      <c r="E433" s="109"/>
      <c r="F433" s="109"/>
      <c r="G433" s="109"/>
      <c r="H433" s="111"/>
      <c r="I433" s="268"/>
      <c r="J433" s="112"/>
      <c r="K433" s="112"/>
      <c r="L433" s="112"/>
      <c r="M433" s="112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</row>
    <row r="434" spans="1:29" ht="12" customHeight="1">
      <c r="A434" s="108"/>
      <c r="B434" s="109"/>
      <c r="C434" s="112"/>
      <c r="D434" s="112"/>
      <c r="E434" s="109"/>
      <c r="F434" s="109"/>
      <c r="G434" s="109"/>
      <c r="H434" s="111"/>
      <c r="I434" s="268"/>
      <c r="J434" s="112"/>
      <c r="K434" s="112"/>
      <c r="L434" s="112"/>
      <c r="M434" s="112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</row>
    <row r="435" spans="1:29" ht="12" customHeight="1">
      <c r="A435" s="108"/>
      <c r="B435" s="109"/>
      <c r="C435" s="112"/>
      <c r="D435" s="112"/>
      <c r="E435" s="109"/>
      <c r="F435" s="109"/>
      <c r="G435" s="109"/>
      <c r="H435" s="111"/>
      <c r="I435" s="268"/>
      <c r="J435" s="112"/>
      <c r="K435" s="112"/>
      <c r="L435" s="112"/>
      <c r="M435" s="112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</row>
    <row r="436" spans="1:29" ht="12" customHeight="1">
      <c r="A436" s="108"/>
      <c r="B436" s="109"/>
      <c r="C436" s="112"/>
      <c r="D436" s="112"/>
      <c r="E436" s="109"/>
      <c r="F436" s="109"/>
      <c r="G436" s="109"/>
      <c r="H436" s="111"/>
      <c r="I436" s="268"/>
      <c r="J436" s="112"/>
      <c r="K436" s="112"/>
      <c r="L436" s="112"/>
      <c r="M436" s="112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</row>
    <row r="437" spans="1:29" ht="12" customHeight="1">
      <c r="A437" s="108"/>
      <c r="B437" s="109"/>
      <c r="C437" s="112"/>
      <c r="D437" s="112"/>
      <c r="E437" s="109"/>
      <c r="F437" s="109"/>
      <c r="G437" s="109"/>
      <c r="H437" s="111"/>
      <c r="I437" s="268"/>
      <c r="J437" s="112"/>
      <c r="K437" s="112"/>
      <c r="L437" s="112"/>
      <c r="M437" s="112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</row>
    <row r="438" spans="1:29" ht="12" customHeight="1">
      <c r="A438" s="108"/>
      <c r="B438" s="109"/>
      <c r="C438" s="112"/>
      <c r="D438" s="112"/>
      <c r="E438" s="109"/>
      <c r="F438" s="109"/>
      <c r="G438" s="109"/>
      <c r="H438" s="111"/>
      <c r="I438" s="268"/>
      <c r="J438" s="112"/>
      <c r="K438" s="112"/>
      <c r="L438" s="112"/>
      <c r="M438" s="112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</row>
    <row r="439" spans="1:29" ht="12" customHeight="1">
      <c r="A439" s="108"/>
      <c r="B439" s="109"/>
      <c r="C439" s="112"/>
      <c r="D439" s="112"/>
      <c r="E439" s="109"/>
      <c r="F439" s="109"/>
      <c r="G439" s="109"/>
      <c r="H439" s="111"/>
      <c r="I439" s="268"/>
      <c r="J439" s="112"/>
      <c r="K439" s="112"/>
      <c r="L439" s="112"/>
      <c r="M439" s="112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</row>
    <row r="440" spans="1:29" ht="12" customHeight="1">
      <c r="A440" s="108"/>
      <c r="B440" s="109"/>
      <c r="C440" s="112"/>
      <c r="D440" s="112"/>
      <c r="E440" s="109"/>
      <c r="F440" s="109"/>
      <c r="G440" s="109"/>
      <c r="H440" s="111"/>
      <c r="I440" s="268"/>
      <c r="J440" s="112"/>
      <c r="K440" s="112"/>
      <c r="L440" s="112"/>
      <c r="M440" s="112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</row>
    <row r="441" spans="1:29" ht="12" customHeight="1">
      <c r="A441" s="108"/>
      <c r="B441" s="109"/>
      <c r="C441" s="112"/>
      <c r="D441" s="112"/>
      <c r="E441" s="109"/>
      <c r="F441" s="109"/>
      <c r="G441" s="109"/>
      <c r="H441" s="111"/>
      <c r="I441" s="268"/>
      <c r="J441" s="112"/>
      <c r="K441" s="112"/>
      <c r="L441" s="112"/>
      <c r="M441" s="112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</row>
    <row r="442" spans="1:29" ht="12" customHeight="1">
      <c r="A442" s="108"/>
      <c r="B442" s="109"/>
      <c r="C442" s="112"/>
      <c r="D442" s="112"/>
      <c r="E442" s="109"/>
      <c r="F442" s="109"/>
      <c r="G442" s="109"/>
      <c r="H442" s="111"/>
      <c r="I442" s="268"/>
      <c r="J442" s="112"/>
      <c r="K442" s="112"/>
      <c r="L442" s="112"/>
      <c r="M442" s="112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</row>
    <row r="443" spans="1:29" ht="12" customHeight="1">
      <c r="A443" s="108"/>
      <c r="B443" s="109"/>
      <c r="C443" s="112"/>
      <c r="D443" s="112"/>
      <c r="E443" s="109"/>
      <c r="F443" s="109"/>
      <c r="G443" s="109"/>
      <c r="H443" s="111"/>
      <c r="I443" s="268"/>
      <c r="J443" s="112"/>
      <c r="K443" s="112"/>
      <c r="L443" s="112"/>
      <c r="M443" s="112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</row>
    <row r="444" spans="1:29" ht="12" customHeight="1">
      <c r="A444" s="108"/>
      <c r="B444" s="109"/>
      <c r="C444" s="112"/>
      <c r="D444" s="112"/>
      <c r="E444" s="109"/>
      <c r="F444" s="109"/>
      <c r="G444" s="109"/>
      <c r="H444" s="111"/>
      <c r="I444" s="268"/>
      <c r="J444" s="112"/>
      <c r="K444" s="112"/>
      <c r="L444" s="112"/>
      <c r="M444" s="112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</row>
    <row r="445" spans="1:29" ht="12" customHeight="1">
      <c r="A445" s="108"/>
      <c r="B445" s="109"/>
      <c r="C445" s="112"/>
      <c r="D445" s="112"/>
      <c r="E445" s="109"/>
      <c r="F445" s="109"/>
      <c r="G445" s="109"/>
      <c r="H445" s="111"/>
      <c r="I445" s="268"/>
      <c r="J445" s="112"/>
      <c r="K445" s="112"/>
      <c r="L445" s="112"/>
      <c r="M445" s="112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</row>
    <row r="446" spans="1:29" ht="12" customHeight="1">
      <c r="A446" s="108"/>
      <c r="B446" s="109"/>
      <c r="C446" s="112"/>
      <c r="D446" s="112"/>
      <c r="E446" s="109"/>
      <c r="F446" s="109"/>
      <c r="G446" s="109"/>
      <c r="H446" s="111"/>
      <c r="I446" s="268"/>
      <c r="J446" s="112"/>
      <c r="K446" s="112"/>
      <c r="L446" s="112"/>
      <c r="M446" s="112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</row>
    <row r="447" spans="1:29" ht="12" customHeight="1">
      <c r="A447" s="108"/>
      <c r="B447" s="109"/>
      <c r="C447" s="112"/>
      <c r="D447" s="112"/>
      <c r="E447" s="109"/>
      <c r="F447" s="109"/>
      <c r="G447" s="109"/>
      <c r="H447" s="111"/>
      <c r="I447" s="268"/>
      <c r="J447" s="112"/>
      <c r="K447" s="112"/>
      <c r="L447" s="112"/>
      <c r="M447" s="112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</row>
    <row r="448" spans="1:29" ht="12" customHeight="1">
      <c r="A448" s="108"/>
      <c r="B448" s="109"/>
      <c r="C448" s="112"/>
      <c r="D448" s="112"/>
      <c r="E448" s="109"/>
      <c r="F448" s="109"/>
      <c r="G448" s="109"/>
      <c r="H448" s="111"/>
      <c r="I448" s="268"/>
      <c r="J448" s="112"/>
      <c r="K448" s="112"/>
      <c r="L448" s="112"/>
      <c r="M448" s="112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</row>
    <row r="449" spans="1:29" ht="12" customHeight="1">
      <c r="A449" s="108"/>
      <c r="B449" s="109"/>
      <c r="C449" s="112"/>
      <c r="D449" s="112"/>
      <c r="E449" s="109"/>
      <c r="F449" s="109"/>
      <c r="G449" s="109"/>
      <c r="H449" s="111"/>
      <c r="I449" s="268"/>
      <c r="J449" s="112"/>
      <c r="K449" s="112"/>
      <c r="L449" s="112"/>
      <c r="M449" s="112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</row>
    <row r="450" spans="1:29" ht="12" customHeight="1">
      <c r="A450" s="108"/>
      <c r="B450" s="109"/>
      <c r="C450" s="112"/>
      <c r="D450" s="112"/>
      <c r="E450" s="109"/>
      <c r="F450" s="109"/>
      <c r="G450" s="109"/>
      <c r="H450" s="111"/>
      <c r="I450" s="268"/>
      <c r="J450" s="112"/>
      <c r="K450" s="112"/>
      <c r="L450" s="112"/>
      <c r="M450" s="112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</row>
    <row r="451" spans="1:29" ht="12" customHeight="1">
      <c r="A451" s="108"/>
      <c r="B451" s="109"/>
      <c r="C451" s="112"/>
      <c r="D451" s="112"/>
      <c r="E451" s="109"/>
      <c r="F451" s="109"/>
      <c r="G451" s="109"/>
      <c r="H451" s="111"/>
      <c r="I451" s="268"/>
      <c r="J451" s="112"/>
      <c r="K451" s="112"/>
      <c r="L451" s="112"/>
      <c r="M451" s="112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</row>
    <row r="452" spans="1:29" ht="12" customHeight="1">
      <c r="A452" s="108"/>
      <c r="B452" s="109"/>
      <c r="C452" s="112"/>
      <c r="D452" s="112"/>
      <c r="E452" s="109"/>
      <c r="F452" s="109"/>
      <c r="G452" s="109"/>
      <c r="H452" s="111"/>
      <c r="I452" s="268"/>
      <c r="J452" s="112"/>
      <c r="K452" s="112"/>
      <c r="L452" s="112"/>
      <c r="M452" s="112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</row>
    <row r="453" spans="1:29" ht="12" customHeight="1">
      <c r="A453" s="108"/>
      <c r="B453" s="109"/>
      <c r="C453" s="112"/>
      <c r="D453" s="112"/>
      <c r="E453" s="109"/>
      <c r="F453" s="109"/>
      <c r="G453" s="109"/>
      <c r="H453" s="111"/>
      <c r="I453" s="268"/>
      <c r="J453" s="112"/>
      <c r="K453" s="112"/>
      <c r="L453" s="112"/>
      <c r="M453" s="112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</row>
    <row r="454" spans="1:29" ht="12" customHeight="1">
      <c r="A454" s="108"/>
      <c r="B454" s="109"/>
      <c r="C454" s="112"/>
      <c r="D454" s="112"/>
      <c r="E454" s="109"/>
      <c r="F454" s="109"/>
      <c r="G454" s="109"/>
      <c r="H454" s="111"/>
      <c r="I454" s="268"/>
      <c r="J454" s="112"/>
      <c r="K454" s="112"/>
      <c r="L454" s="112"/>
      <c r="M454" s="112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</row>
    <row r="455" spans="1:29" ht="12" customHeight="1">
      <c r="A455" s="108"/>
      <c r="B455" s="109"/>
      <c r="C455" s="112"/>
      <c r="D455" s="112"/>
      <c r="E455" s="109"/>
      <c r="F455" s="109"/>
      <c r="G455" s="109"/>
      <c r="H455" s="111"/>
      <c r="I455" s="268"/>
      <c r="J455" s="112"/>
      <c r="K455" s="112"/>
      <c r="L455" s="112"/>
      <c r="M455" s="112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</row>
    <row r="456" spans="1:29" ht="12" customHeight="1">
      <c r="A456" s="108"/>
      <c r="B456" s="109"/>
      <c r="C456" s="112"/>
      <c r="D456" s="112"/>
      <c r="E456" s="109"/>
      <c r="F456" s="109"/>
      <c r="G456" s="109"/>
      <c r="H456" s="111"/>
      <c r="I456" s="268"/>
      <c r="J456" s="112"/>
      <c r="K456" s="112"/>
      <c r="L456" s="112"/>
      <c r="M456" s="112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</row>
    <row r="457" spans="1:29" ht="12" customHeight="1">
      <c r="A457" s="108"/>
      <c r="B457" s="109"/>
      <c r="C457" s="112"/>
      <c r="D457" s="112"/>
      <c r="E457" s="109"/>
      <c r="F457" s="109"/>
      <c r="G457" s="109"/>
      <c r="H457" s="111"/>
      <c r="I457" s="268"/>
      <c r="J457" s="112"/>
      <c r="K457" s="112"/>
      <c r="L457" s="112"/>
      <c r="M457" s="112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</row>
    <row r="458" spans="1:29" ht="12" customHeight="1">
      <c r="A458" s="108"/>
      <c r="B458" s="109"/>
      <c r="C458" s="112"/>
      <c r="D458" s="112"/>
      <c r="E458" s="109"/>
      <c r="F458" s="109"/>
      <c r="G458" s="109"/>
      <c r="H458" s="111"/>
      <c r="I458" s="268"/>
      <c r="J458" s="112"/>
      <c r="K458" s="112"/>
      <c r="L458" s="112"/>
      <c r="M458" s="112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</row>
    <row r="459" spans="1:29" ht="12" customHeight="1">
      <c r="A459" s="108"/>
      <c r="B459" s="109"/>
      <c r="C459" s="112"/>
      <c r="D459" s="112"/>
      <c r="E459" s="109"/>
      <c r="F459" s="109"/>
      <c r="G459" s="109"/>
      <c r="H459" s="111"/>
      <c r="I459" s="268"/>
      <c r="J459" s="112"/>
      <c r="K459" s="112"/>
      <c r="L459" s="112"/>
      <c r="M459" s="112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</row>
    <row r="460" spans="1:29" ht="12" customHeight="1">
      <c r="A460" s="108"/>
      <c r="B460" s="109"/>
      <c r="C460" s="112"/>
      <c r="D460" s="112"/>
      <c r="E460" s="109"/>
      <c r="F460" s="109"/>
      <c r="G460" s="109"/>
      <c r="H460" s="111"/>
      <c r="I460" s="268"/>
      <c r="J460" s="112"/>
      <c r="K460" s="112"/>
      <c r="L460" s="112"/>
      <c r="M460" s="112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</row>
    <row r="461" spans="1:29" ht="12" customHeight="1">
      <c r="A461" s="108"/>
      <c r="B461" s="109"/>
      <c r="C461" s="112"/>
      <c r="D461" s="112"/>
      <c r="E461" s="109"/>
      <c r="F461" s="109"/>
      <c r="G461" s="109"/>
      <c r="H461" s="111"/>
      <c r="I461" s="268"/>
      <c r="J461" s="112"/>
      <c r="K461" s="112"/>
      <c r="L461" s="112"/>
      <c r="M461" s="112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</row>
    <row r="462" spans="1:29" ht="12" customHeight="1">
      <c r="A462" s="108"/>
      <c r="B462" s="109"/>
      <c r="C462" s="112"/>
      <c r="D462" s="112"/>
      <c r="E462" s="109"/>
      <c r="F462" s="109"/>
      <c r="G462" s="109"/>
      <c r="H462" s="111"/>
      <c r="I462" s="268"/>
      <c r="J462" s="112"/>
      <c r="K462" s="112"/>
      <c r="L462" s="112"/>
      <c r="M462" s="112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</row>
    <row r="463" spans="1:29" ht="12" customHeight="1">
      <c r="A463" s="108"/>
      <c r="B463" s="109"/>
      <c r="C463" s="112"/>
      <c r="D463" s="112"/>
      <c r="E463" s="109"/>
      <c r="F463" s="109"/>
      <c r="G463" s="109"/>
      <c r="H463" s="111"/>
      <c r="I463" s="268"/>
      <c r="J463" s="112"/>
      <c r="K463" s="112"/>
      <c r="L463" s="112"/>
      <c r="M463" s="112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</row>
    <row r="464" spans="1:29" ht="12" customHeight="1">
      <c r="A464" s="108"/>
      <c r="B464" s="109"/>
      <c r="C464" s="112"/>
      <c r="D464" s="112"/>
      <c r="E464" s="109"/>
      <c r="F464" s="109"/>
      <c r="G464" s="109"/>
      <c r="H464" s="111"/>
      <c r="I464" s="268"/>
      <c r="J464" s="112"/>
      <c r="K464" s="112"/>
      <c r="L464" s="112"/>
      <c r="M464" s="112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</row>
    <row r="465" spans="1:29" ht="12" customHeight="1">
      <c r="A465" s="108"/>
      <c r="B465" s="109"/>
      <c r="C465" s="112"/>
      <c r="D465" s="112"/>
      <c r="E465" s="109"/>
      <c r="F465" s="109"/>
      <c r="G465" s="109"/>
      <c r="H465" s="111"/>
      <c r="I465" s="268"/>
      <c r="J465" s="112"/>
      <c r="K465" s="112"/>
      <c r="L465" s="112"/>
      <c r="M465" s="112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</row>
    <row r="466" spans="1:29" ht="12" customHeight="1">
      <c r="A466" s="108"/>
      <c r="B466" s="109"/>
      <c r="C466" s="112"/>
      <c r="D466" s="112"/>
      <c r="E466" s="109"/>
      <c r="F466" s="109"/>
      <c r="G466" s="109"/>
      <c r="H466" s="111"/>
      <c r="I466" s="268"/>
      <c r="J466" s="112"/>
      <c r="K466" s="112"/>
      <c r="L466" s="112"/>
      <c r="M466" s="112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</row>
    <row r="467" spans="1:29" ht="12" customHeight="1">
      <c r="A467" s="108"/>
      <c r="B467" s="109"/>
      <c r="C467" s="112"/>
      <c r="D467" s="112"/>
      <c r="E467" s="109"/>
      <c r="F467" s="109"/>
      <c r="G467" s="109"/>
      <c r="H467" s="111"/>
      <c r="I467" s="268"/>
      <c r="J467" s="112"/>
      <c r="K467" s="112"/>
      <c r="L467" s="112"/>
      <c r="M467" s="112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</row>
    <row r="468" spans="1:29" ht="12" customHeight="1">
      <c r="A468" s="108"/>
      <c r="B468" s="109"/>
      <c r="C468" s="112"/>
      <c r="D468" s="112"/>
      <c r="E468" s="109"/>
      <c r="F468" s="109"/>
      <c r="G468" s="109"/>
      <c r="H468" s="111"/>
      <c r="I468" s="268"/>
      <c r="J468" s="112"/>
      <c r="K468" s="112"/>
      <c r="L468" s="112"/>
      <c r="M468" s="112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</row>
    <row r="469" spans="1:29" ht="12" customHeight="1">
      <c r="A469" s="108"/>
      <c r="B469" s="109"/>
      <c r="C469" s="112"/>
      <c r="D469" s="112"/>
      <c r="E469" s="109"/>
      <c r="F469" s="109"/>
      <c r="G469" s="109"/>
      <c r="H469" s="111"/>
      <c r="I469" s="268"/>
      <c r="J469" s="112"/>
      <c r="K469" s="112"/>
      <c r="L469" s="112"/>
      <c r="M469" s="112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</row>
    <row r="470" spans="1:29" ht="12" customHeight="1">
      <c r="A470" s="108"/>
      <c r="B470" s="109"/>
      <c r="C470" s="112"/>
      <c r="D470" s="112"/>
      <c r="E470" s="109"/>
      <c r="F470" s="109"/>
      <c r="G470" s="109"/>
      <c r="H470" s="111"/>
      <c r="I470" s="268"/>
      <c r="J470" s="112"/>
      <c r="K470" s="112"/>
      <c r="L470" s="112"/>
      <c r="M470" s="112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</row>
    <row r="471" spans="1:29" ht="12" customHeight="1">
      <c r="A471" s="108"/>
      <c r="B471" s="109"/>
      <c r="C471" s="112"/>
      <c r="D471" s="112"/>
      <c r="E471" s="109"/>
      <c r="F471" s="109"/>
      <c r="G471" s="109"/>
      <c r="H471" s="111"/>
      <c r="I471" s="268"/>
      <c r="J471" s="112"/>
      <c r="K471" s="112"/>
      <c r="L471" s="112"/>
      <c r="M471" s="112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</row>
    <row r="472" spans="1:29" ht="12" customHeight="1">
      <c r="A472" s="108"/>
      <c r="B472" s="109"/>
      <c r="C472" s="112"/>
      <c r="D472" s="112"/>
      <c r="E472" s="109"/>
      <c r="F472" s="109"/>
      <c r="G472" s="109"/>
      <c r="H472" s="111"/>
      <c r="I472" s="268"/>
      <c r="J472" s="112"/>
      <c r="K472" s="112"/>
      <c r="L472" s="112"/>
      <c r="M472" s="112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</row>
    <row r="473" spans="1:29" ht="12" customHeight="1">
      <c r="A473" s="108"/>
      <c r="B473" s="109"/>
      <c r="C473" s="112"/>
      <c r="D473" s="112"/>
      <c r="E473" s="109"/>
      <c r="F473" s="109"/>
      <c r="G473" s="109"/>
      <c r="H473" s="111"/>
      <c r="I473" s="268"/>
      <c r="J473" s="112"/>
      <c r="K473" s="112"/>
      <c r="L473" s="112"/>
      <c r="M473" s="112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</row>
    <row r="474" spans="1:29" ht="12" customHeight="1">
      <c r="A474" s="108"/>
      <c r="B474" s="109"/>
      <c r="C474" s="112"/>
      <c r="D474" s="112"/>
      <c r="E474" s="109"/>
      <c r="F474" s="109"/>
      <c r="G474" s="109"/>
      <c r="H474" s="111"/>
      <c r="I474" s="268"/>
      <c r="J474" s="112"/>
      <c r="K474" s="112"/>
      <c r="L474" s="112"/>
      <c r="M474" s="112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</row>
    <row r="475" spans="1:29" ht="12" customHeight="1">
      <c r="A475" s="108"/>
      <c r="B475" s="109"/>
      <c r="C475" s="112"/>
      <c r="D475" s="112"/>
      <c r="E475" s="109"/>
      <c r="F475" s="109"/>
      <c r="G475" s="109"/>
      <c r="H475" s="111"/>
      <c r="I475" s="268"/>
      <c r="J475" s="112"/>
      <c r="K475" s="112"/>
      <c r="L475" s="112"/>
      <c r="M475" s="112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</row>
    <row r="476" spans="1:29" ht="12" customHeight="1">
      <c r="A476" s="108"/>
      <c r="B476" s="109"/>
      <c r="C476" s="112"/>
      <c r="D476" s="112"/>
      <c r="E476" s="109"/>
      <c r="F476" s="109"/>
      <c r="G476" s="109"/>
      <c r="H476" s="111"/>
      <c r="I476" s="268"/>
      <c r="J476" s="112"/>
      <c r="K476" s="112"/>
      <c r="L476" s="112"/>
      <c r="M476" s="112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</row>
    <row r="477" spans="1:29" ht="12" customHeight="1">
      <c r="A477" s="108"/>
      <c r="B477" s="109"/>
      <c r="C477" s="112"/>
      <c r="D477" s="112"/>
      <c r="E477" s="109"/>
      <c r="F477" s="109"/>
      <c r="G477" s="109"/>
      <c r="H477" s="111"/>
      <c r="I477" s="268"/>
      <c r="J477" s="112"/>
      <c r="K477" s="112"/>
      <c r="L477" s="112"/>
      <c r="M477" s="112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</row>
    <row r="478" spans="1:29" ht="12" customHeight="1">
      <c r="A478" s="108"/>
      <c r="B478" s="109"/>
      <c r="C478" s="112"/>
      <c r="D478" s="112"/>
      <c r="E478" s="109"/>
      <c r="F478" s="109"/>
      <c r="G478" s="109"/>
      <c r="H478" s="111"/>
      <c r="I478" s="268"/>
      <c r="J478" s="112"/>
      <c r="K478" s="112"/>
      <c r="L478" s="112"/>
      <c r="M478" s="112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</row>
    <row r="479" spans="1:29" ht="12" customHeight="1">
      <c r="A479" s="108"/>
      <c r="B479" s="109"/>
      <c r="C479" s="112"/>
      <c r="D479" s="112"/>
      <c r="E479" s="109"/>
      <c r="F479" s="109"/>
      <c r="G479" s="109"/>
      <c r="H479" s="111"/>
      <c r="I479" s="268"/>
      <c r="J479" s="112"/>
      <c r="K479" s="112"/>
      <c r="L479" s="112"/>
      <c r="M479" s="112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</row>
    <row r="480" spans="1:29" ht="12" customHeight="1">
      <c r="A480" s="108"/>
      <c r="B480" s="109"/>
      <c r="C480" s="112"/>
      <c r="D480" s="112"/>
      <c r="E480" s="109"/>
      <c r="F480" s="109"/>
      <c r="G480" s="109"/>
      <c r="H480" s="111"/>
      <c r="I480" s="268"/>
      <c r="J480" s="112"/>
      <c r="K480" s="112"/>
      <c r="L480" s="112"/>
      <c r="M480" s="112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</row>
    <row r="481" spans="1:29" ht="12" customHeight="1">
      <c r="A481" s="108"/>
      <c r="B481" s="109"/>
      <c r="C481" s="112"/>
      <c r="D481" s="112"/>
      <c r="E481" s="109"/>
      <c r="F481" s="109"/>
      <c r="G481" s="109"/>
      <c r="H481" s="111"/>
      <c r="I481" s="268"/>
      <c r="J481" s="112"/>
      <c r="K481" s="112"/>
      <c r="L481" s="112"/>
      <c r="M481" s="112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</row>
    <row r="482" spans="1:29" ht="12" customHeight="1">
      <c r="A482" s="108"/>
      <c r="B482" s="109"/>
      <c r="C482" s="112"/>
      <c r="D482" s="112"/>
      <c r="E482" s="109"/>
      <c r="F482" s="109"/>
      <c r="G482" s="109"/>
      <c r="H482" s="111"/>
      <c r="I482" s="268"/>
      <c r="J482" s="112"/>
      <c r="K482" s="112"/>
      <c r="L482" s="112"/>
      <c r="M482" s="112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</row>
    <row r="483" spans="1:29" ht="12" customHeight="1">
      <c r="A483" s="108"/>
      <c r="B483" s="109"/>
      <c r="C483" s="112"/>
      <c r="D483" s="112"/>
      <c r="E483" s="109"/>
      <c r="F483" s="109"/>
      <c r="G483" s="109"/>
      <c r="H483" s="111"/>
      <c r="I483" s="268"/>
      <c r="J483" s="112"/>
      <c r="K483" s="112"/>
      <c r="L483" s="112"/>
      <c r="M483" s="112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</row>
    <row r="484" spans="1:29" ht="12" customHeight="1">
      <c r="A484" s="108"/>
      <c r="B484" s="109"/>
      <c r="C484" s="112"/>
      <c r="D484" s="112"/>
      <c r="E484" s="109"/>
      <c r="F484" s="109"/>
      <c r="G484" s="109"/>
      <c r="H484" s="111"/>
      <c r="I484" s="268"/>
      <c r="J484" s="112"/>
      <c r="K484" s="112"/>
      <c r="L484" s="112"/>
      <c r="M484" s="112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</row>
    <row r="485" spans="1:29" ht="12" customHeight="1">
      <c r="A485" s="108"/>
      <c r="B485" s="109"/>
      <c r="C485" s="112"/>
      <c r="D485" s="112"/>
      <c r="E485" s="109"/>
      <c r="F485" s="109"/>
      <c r="G485" s="109"/>
      <c r="H485" s="111"/>
      <c r="I485" s="268"/>
      <c r="J485" s="112"/>
      <c r="K485" s="112"/>
      <c r="L485" s="112"/>
      <c r="M485" s="112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</row>
    <row r="486" spans="1:29" ht="12" customHeight="1">
      <c r="A486" s="108"/>
      <c r="B486" s="109"/>
      <c r="C486" s="112"/>
      <c r="D486" s="112"/>
      <c r="E486" s="109"/>
      <c r="F486" s="109"/>
      <c r="G486" s="109"/>
      <c r="H486" s="111"/>
      <c r="I486" s="268"/>
      <c r="J486" s="112"/>
      <c r="K486" s="112"/>
      <c r="L486" s="112"/>
      <c r="M486" s="112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</row>
    <row r="487" spans="1:29" ht="12" customHeight="1">
      <c r="A487" s="108"/>
      <c r="B487" s="109"/>
      <c r="C487" s="112"/>
      <c r="D487" s="112"/>
      <c r="E487" s="109"/>
      <c r="F487" s="109"/>
      <c r="G487" s="109"/>
      <c r="H487" s="111"/>
      <c r="I487" s="268"/>
      <c r="J487" s="112"/>
      <c r="K487" s="112"/>
      <c r="L487" s="112"/>
      <c r="M487" s="112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</row>
    <row r="488" spans="1:29" ht="12" customHeight="1">
      <c r="A488" s="108"/>
      <c r="B488" s="109"/>
      <c r="C488" s="112"/>
      <c r="D488" s="112"/>
      <c r="E488" s="109"/>
      <c r="F488" s="109"/>
      <c r="G488" s="109"/>
      <c r="H488" s="111"/>
      <c r="I488" s="268"/>
      <c r="J488" s="112"/>
      <c r="K488" s="112"/>
      <c r="L488" s="112"/>
      <c r="M488" s="112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</row>
    <row r="489" spans="1:29" ht="12" customHeight="1">
      <c r="A489" s="108"/>
      <c r="B489" s="109"/>
      <c r="C489" s="112"/>
      <c r="D489" s="112"/>
      <c r="E489" s="109"/>
      <c r="F489" s="109"/>
      <c r="G489" s="109"/>
      <c r="H489" s="111"/>
      <c r="I489" s="268"/>
      <c r="J489" s="112"/>
      <c r="K489" s="112"/>
      <c r="L489" s="112"/>
      <c r="M489" s="112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</row>
    <row r="490" spans="1:29" ht="12" customHeight="1">
      <c r="A490" s="108"/>
      <c r="B490" s="109"/>
      <c r="C490" s="112"/>
      <c r="D490" s="112"/>
      <c r="E490" s="109"/>
      <c r="F490" s="109"/>
      <c r="G490" s="109"/>
      <c r="H490" s="111"/>
      <c r="I490" s="268"/>
      <c r="J490" s="112"/>
      <c r="K490" s="112"/>
      <c r="L490" s="112"/>
      <c r="M490" s="112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</row>
    <row r="491" spans="1:29" ht="12" customHeight="1">
      <c r="A491" s="108"/>
      <c r="B491" s="109"/>
      <c r="C491" s="112"/>
      <c r="D491" s="112"/>
      <c r="E491" s="109"/>
      <c r="F491" s="109"/>
      <c r="G491" s="109"/>
      <c r="H491" s="111"/>
      <c r="I491" s="268"/>
      <c r="J491" s="112"/>
      <c r="K491" s="112"/>
      <c r="L491" s="112"/>
      <c r="M491" s="112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</row>
    <row r="492" spans="1:29" ht="12" customHeight="1">
      <c r="A492" s="108"/>
      <c r="B492" s="109"/>
      <c r="C492" s="112"/>
      <c r="D492" s="112"/>
      <c r="E492" s="109"/>
      <c r="F492" s="109"/>
      <c r="G492" s="109"/>
      <c r="H492" s="111"/>
      <c r="I492" s="268"/>
      <c r="J492" s="112"/>
      <c r="K492" s="112"/>
      <c r="L492" s="112"/>
      <c r="M492" s="112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</row>
    <row r="493" spans="1:29" ht="12" customHeight="1">
      <c r="A493" s="108"/>
      <c r="B493" s="109"/>
      <c r="C493" s="112"/>
      <c r="D493" s="112"/>
      <c r="E493" s="109"/>
      <c r="F493" s="109"/>
      <c r="G493" s="109"/>
      <c r="H493" s="111"/>
      <c r="I493" s="268"/>
      <c r="J493" s="112"/>
      <c r="K493" s="112"/>
      <c r="L493" s="112"/>
      <c r="M493" s="112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</row>
    <row r="494" spans="1:29" ht="12" customHeight="1">
      <c r="A494" s="108"/>
      <c r="B494" s="109"/>
      <c r="C494" s="112"/>
      <c r="D494" s="112"/>
      <c r="E494" s="109"/>
      <c r="F494" s="109"/>
      <c r="G494" s="109"/>
      <c r="H494" s="111"/>
      <c r="I494" s="268"/>
      <c r="J494" s="112"/>
      <c r="K494" s="112"/>
      <c r="L494" s="112"/>
      <c r="M494" s="112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</row>
    <row r="495" spans="1:29" ht="12" customHeight="1">
      <c r="A495" s="108"/>
      <c r="B495" s="109"/>
      <c r="C495" s="112"/>
      <c r="D495" s="112"/>
      <c r="E495" s="109"/>
      <c r="F495" s="109"/>
      <c r="G495" s="109"/>
      <c r="H495" s="111"/>
      <c r="I495" s="268"/>
      <c r="J495" s="112"/>
      <c r="K495" s="112"/>
      <c r="L495" s="112"/>
      <c r="M495" s="112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</row>
    <row r="496" spans="1:29" ht="12" customHeight="1">
      <c r="A496" s="108"/>
      <c r="B496" s="109"/>
      <c r="C496" s="112"/>
      <c r="D496" s="112"/>
      <c r="E496" s="109"/>
      <c r="F496" s="109"/>
      <c r="G496" s="109"/>
      <c r="H496" s="111"/>
      <c r="I496" s="268"/>
      <c r="J496" s="112"/>
      <c r="K496" s="112"/>
      <c r="L496" s="112"/>
      <c r="M496" s="112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</row>
    <row r="497" spans="1:29" ht="12" customHeight="1">
      <c r="A497" s="108"/>
      <c r="B497" s="109"/>
      <c r="C497" s="112"/>
      <c r="D497" s="112"/>
      <c r="E497" s="109"/>
      <c r="F497" s="109"/>
      <c r="G497" s="109"/>
      <c r="H497" s="111"/>
      <c r="I497" s="268"/>
      <c r="J497" s="112"/>
      <c r="K497" s="112"/>
      <c r="L497" s="112"/>
      <c r="M497" s="112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</row>
    <row r="498" spans="1:29" ht="12" customHeight="1">
      <c r="A498" s="108"/>
      <c r="B498" s="109"/>
      <c r="C498" s="112"/>
      <c r="D498" s="112"/>
      <c r="E498" s="109"/>
      <c r="F498" s="109"/>
      <c r="G498" s="109"/>
      <c r="H498" s="111"/>
      <c r="I498" s="268"/>
      <c r="J498" s="112"/>
      <c r="K498" s="112"/>
      <c r="L498" s="112"/>
      <c r="M498" s="112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</row>
    <row r="499" spans="1:29" ht="12" customHeight="1">
      <c r="A499" s="108"/>
      <c r="B499" s="109"/>
      <c r="C499" s="112"/>
      <c r="D499" s="112"/>
      <c r="E499" s="109"/>
      <c r="F499" s="109"/>
      <c r="G499" s="109"/>
      <c r="H499" s="111"/>
      <c r="I499" s="268"/>
      <c r="J499" s="112"/>
      <c r="K499" s="112"/>
      <c r="L499" s="112"/>
      <c r="M499" s="112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</row>
    <row r="500" spans="1:29" ht="12" customHeight="1">
      <c r="A500" s="108"/>
      <c r="B500" s="109"/>
      <c r="C500" s="112"/>
      <c r="D500" s="112"/>
      <c r="E500" s="109"/>
      <c r="F500" s="109"/>
      <c r="G500" s="109"/>
      <c r="H500" s="111"/>
      <c r="I500" s="268"/>
      <c r="J500" s="112"/>
      <c r="K500" s="112"/>
      <c r="L500" s="112"/>
      <c r="M500" s="112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</row>
    <row r="501" spans="1:29" ht="12" customHeight="1">
      <c r="A501" s="108"/>
      <c r="B501" s="109"/>
      <c r="C501" s="112"/>
      <c r="D501" s="112"/>
      <c r="E501" s="109"/>
      <c r="F501" s="109"/>
      <c r="G501" s="109"/>
      <c r="H501" s="111"/>
      <c r="I501" s="268"/>
      <c r="J501" s="112"/>
      <c r="K501" s="112"/>
      <c r="L501" s="112"/>
      <c r="M501" s="112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</row>
    <row r="502" spans="1:29" ht="12" customHeight="1">
      <c r="A502" s="108"/>
      <c r="B502" s="109"/>
      <c r="C502" s="112"/>
      <c r="D502" s="112"/>
      <c r="E502" s="109"/>
      <c r="F502" s="109"/>
      <c r="G502" s="109"/>
      <c r="H502" s="111"/>
      <c r="I502" s="268"/>
      <c r="J502" s="112"/>
      <c r="K502" s="112"/>
      <c r="L502" s="112"/>
      <c r="M502" s="112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</row>
    <row r="503" spans="1:29" ht="12" customHeight="1">
      <c r="A503" s="108"/>
      <c r="B503" s="109"/>
      <c r="C503" s="112"/>
      <c r="D503" s="112"/>
      <c r="E503" s="109"/>
      <c r="F503" s="109"/>
      <c r="G503" s="109"/>
      <c r="H503" s="111"/>
      <c r="I503" s="268"/>
      <c r="J503" s="112"/>
      <c r="K503" s="112"/>
      <c r="L503" s="112"/>
      <c r="M503" s="112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</row>
    <row r="504" spans="1:29" ht="12" customHeight="1">
      <c r="A504" s="108"/>
      <c r="B504" s="109"/>
      <c r="C504" s="112"/>
      <c r="D504" s="112"/>
      <c r="E504" s="109"/>
      <c r="F504" s="109"/>
      <c r="G504" s="109"/>
      <c r="H504" s="111"/>
      <c r="I504" s="268"/>
      <c r="J504" s="112"/>
      <c r="K504" s="112"/>
      <c r="L504" s="112"/>
      <c r="M504" s="112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</row>
    <row r="505" spans="1:29" ht="12" customHeight="1">
      <c r="A505" s="108"/>
      <c r="B505" s="109"/>
      <c r="C505" s="112"/>
      <c r="D505" s="112"/>
      <c r="E505" s="109"/>
      <c r="F505" s="109"/>
      <c r="G505" s="109"/>
      <c r="H505" s="111"/>
      <c r="I505" s="268"/>
      <c r="J505" s="112"/>
      <c r="K505" s="112"/>
      <c r="L505" s="112"/>
      <c r="M505" s="112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</row>
    <row r="506" spans="1:29" ht="12" customHeight="1">
      <c r="A506" s="108"/>
      <c r="B506" s="109"/>
      <c r="C506" s="112"/>
      <c r="D506" s="112"/>
      <c r="E506" s="109"/>
      <c r="F506" s="109"/>
      <c r="G506" s="109"/>
      <c r="H506" s="111"/>
      <c r="I506" s="268"/>
      <c r="J506" s="112"/>
      <c r="K506" s="112"/>
      <c r="L506" s="112"/>
      <c r="M506" s="112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</row>
    <row r="507" spans="1:29" ht="12" customHeight="1">
      <c r="A507" s="108"/>
      <c r="B507" s="109"/>
      <c r="C507" s="112"/>
      <c r="D507" s="112"/>
      <c r="E507" s="109"/>
      <c r="F507" s="109"/>
      <c r="G507" s="109"/>
      <c r="H507" s="111"/>
      <c r="I507" s="268"/>
      <c r="J507" s="112"/>
      <c r="K507" s="112"/>
      <c r="L507" s="112"/>
      <c r="M507" s="112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</row>
    <row r="508" spans="1:29" ht="12" customHeight="1">
      <c r="A508" s="108"/>
      <c r="B508" s="109"/>
      <c r="C508" s="112"/>
      <c r="D508" s="112"/>
      <c r="E508" s="109"/>
      <c r="F508" s="109"/>
      <c r="G508" s="109"/>
      <c r="H508" s="111"/>
      <c r="I508" s="268"/>
      <c r="J508" s="112"/>
      <c r="K508" s="112"/>
      <c r="L508" s="112"/>
      <c r="M508" s="112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</row>
    <row r="509" spans="1:29" ht="12" customHeight="1">
      <c r="A509" s="108"/>
      <c r="B509" s="109"/>
      <c r="C509" s="112"/>
      <c r="D509" s="112"/>
      <c r="E509" s="109"/>
      <c r="F509" s="109"/>
      <c r="G509" s="109"/>
      <c r="H509" s="111"/>
      <c r="I509" s="268"/>
      <c r="J509" s="112"/>
      <c r="K509" s="112"/>
      <c r="L509" s="112"/>
      <c r="M509" s="112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</row>
    <row r="510" spans="1:29" ht="12" customHeight="1">
      <c r="A510" s="108"/>
      <c r="B510" s="109"/>
      <c r="C510" s="112"/>
      <c r="D510" s="112"/>
      <c r="E510" s="109"/>
      <c r="F510" s="109"/>
      <c r="G510" s="109"/>
      <c r="H510" s="111"/>
      <c r="I510" s="268"/>
      <c r="J510" s="112"/>
      <c r="K510" s="112"/>
      <c r="L510" s="112"/>
      <c r="M510" s="112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</row>
    <row r="511" spans="1:29" ht="12" customHeight="1">
      <c r="A511" s="108"/>
      <c r="B511" s="109"/>
      <c r="C511" s="112"/>
      <c r="D511" s="112"/>
      <c r="E511" s="109"/>
      <c r="F511" s="109"/>
      <c r="G511" s="109"/>
      <c r="H511" s="111"/>
      <c r="I511" s="268"/>
      <c r="J511" s="112"/>
      <c r="K511" s="112"/>
      <c r="L511" s="112"/>
      <c r="M511" s="112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</row>
    <row r="512" spans="1:29" ht="12" customHeight="1">
      <c r="A512" s="108"/>
      <c r="B512" s="109"/>
      <c r="C512" s="112"/>
      <c r="D512" s="112"/>
      <c r="E512" s="109"/>
      <c r="F512" s="109"/>
      <c r="G512" s="109"/>
      <c r="H512" s="111"/>
      <c r="I512" s="268"/>
      <c r="J512" s="112"/>
      <c r="K512" s="112"/>
      <c r="L512" s="112"/>
      <c r="M512" s="112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</row>
    <row r="513" spans="1:29" ht="12" customHeight="1">
      <c r="A513" s="108"/>
      <c r="B513" s="109"/>
      <c r="C513" s="112"/>
      <c r="D513" s="112"/>
      <c r="E513" s="109"/>
      <c r="F513" s="109"/>
      <c r="G513" s="109"/>
      <c r="H513" s="111"/>
      <c r="I513" s="268"/>
      <c r="J513" s="112"/>
      <c r="K513" s="112"/>
      <c r="L513" s="112"/>
      <c r="M513" s="112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</row>
    <row r="514" spans="1:29" ht="12" customHeight="1">
      <c r="A514" s="108"/>
      <c r="B514" s="109"/>
      <c r="C514" s="112"/>
      <c r="D514" s="112"/>
      <c r="E514" s="109"/>
      <c r="F514" s="109"/>
      <c r="G514" s="109"/>
      <c r="H514" s="111"/>
      <c r="I514" s="268"/>
      <c r="J514" s="112"/>
      <c r="K514" s="112"/>
      <c r="L514" s="112"/>
      <c r="M514" s="112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</row>
    <row r="515" spans="1:29" ht="12" customHeight="1">
      <c r="A515" s="108"/>
      <c r="B515" s="109"/>
      <c r="C515" s="112"/>
      <c r="D515" s="112"/>
      <c r="E515" s="109"/>
      <c r="F515" s="109"/>
      <c r="G515" s="109"/>
      <c r="H515" s="111"/>
      <c r="I515" s="268"/>
      <c r="J515" s="112"/>
      <c r="K515" s="112"/>
      <c r="L515" s="112"/>
      <c r="M515" s="112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</row>
    <row r="516" spans="1:29" ht="12" customHeight="1">
      <c r="A516" s="108"/>
      <c r="B516" s="109"/>
      <c r="C516" s="112"/>
      <c r="D516" s="112"/>
      <c r="E516" s="109"/>
      <c r="F516" s="109"/>
      <c r="G516" s="109"/>
      <c r="H516" s="111"/>
      <c r="I516" s="268"/>
      <c r="J516" s="112"/>
      <c r="K516" s="112"/>
      <c r="L516" s="112"/>
      <c r="M516" s="112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</row>
    <row r="517" spans="1:29" ht="12" customHeight="1">
      <c r="A517" s="108"/>
      <c r="B517" s="109"/>
      <c r="C517" s="112"/>
      <c r="D517" s="112"/>
      <c r="E517" s="109"/>
      <c r="F517" s="109"/>
      <c r="G517" s="109"/>
      <c r="H517" s="111"/>
      <c r="I517" s="268"/>
      <c r="J517" s="112"/>
      <c r="K517" s="112"/>
      <c r="L517" s="112"/>
      <c r="M517" s="112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</row>
    <row r="518" spans="1:29" ht="12" customHeight="1">
      <c r="A518" s="108"/>
      <c r="B518" s="109"/>
      <c r="C518" s="112"/>
      <c r="D518" s="112"/>
      <c r="E518" s="109"/>
      <c r="F518" s="109"/>
      <c r="G518" s="109"/>
      <c r="H518" s="111"/>
      <c r="I518" s="268"/>
      <c r="J518" s="112"/>
      <c r="K518" s="112"/>
      <c r="L518" s="112"/>
      <c r="M518" s="112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</row>
    <row r="519" spans="1:29" ht="12" customHeight="1">
      <c r="A519" s="108"/>
      <c r="B519" s="109"/>
      <c r="C519" s="112"/>
      <c r="D519" s="112"/>
      <c r="E519" s="109"/>
      <c r="F519" s="109"/>
      <c r="G519" s="109"/>
      <c r="H519" s="111"/>
      <c r="I519" s="268"/>
      <c r="J519" s="112"/>
      <c r="K519" s="112"/>
      <c r="L519" s="112"/>
      <c r="M519" s="112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</row>
    <row r="520" spans="1:29" ht="12" customHeight="1">
      <c r="A520" s="108"/>
      <c r="B520" s="109"/>
      <c r="C520" s="112"/>
      <c r="D520" s="112"/>
      <c r="E520" s="109"/>
      <c r="F520" s="109"/>
      <c r="G520" s="109"/>
      <c r="H520" s="111"/>
      <c r="I520" s="268"/>
      <c r="J520" s="112"/>
      <c r="K520" s="112"/>
      <c r="L520" s="112"/>
      <c r="M520" s="112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</row>
    <row r="521" spans="1:29" ht="12" customHeight="1">
      <c r="A521" s="108"/>
      <c r="B521" s="109"/>
      <c r="C521" s="112"/>
      <c r="D521" s="112"/>
      <c r="E521" s="109"/>
      <c r="F521" s="109"/>
      <c r="G521" s="109"/>
      <c r="H521" s="111"/>
      <c r="I521" s="268"/>
      <c r="J521" s="112"/>
      <c r="K521" s="112"/>
      <c r="L521" s="112"/>
      <c r="M521" s="112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</row>
    <row r="522" spans="1:29" ht="12" customHeight="1">
      <c r="A522" s="108"/>
      <c r="B522" s="109"/>
      <c r="C522" s="112"/>
      <c r="D522" s="112"/>
      <c r="E522" s="109"/>
      <c r="F522" s="109"/>
      <c r="G522" s="109"/>
      <c r="H522" s="111"/>
      <c r="I522" s="268"/>
      <c r="J522" s="112"/>
      <c r="K522" s="112"/>
      <c r="L522" s="112"/>
      <c r="M522" s="112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</row>
    <row r="523" spans="1:29" ht="12" customHeight="1">
      <c r="A523" s="108"/>
      <c r="B523" s="109"/>
      <c r="C523" s="112"/>
      <c r="D523" s="112"/>
      <c r="E523" s="109"/>
      <c r="F523" s="109"/>
      <c r="G523" s="109"/>
      <c r="H523" s="111"/>
      <c r="I523" s="268"/>
      <c r="J523" s="112"/>
      <c r="K523" s="112"/>
      <c r="L523" s="112"/>
      <c r="M523" s="112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</row>
    <row r="524" spans="1:29" ht="12" customHeight="1">
      <c r="A524" s="108"/>
      <c r="B524" s="109"/>
      <c r="C524" s="112"/>
      <c r="D524" s="112"/>
      <c r="E524" s="109"/>
      <c r="F524" s="109"/>
      <c r="G524" s="109"/>
      <c r="H524" s="111"/>
      <c r="I524" s="268"/>
      <c r="J524" s="112"/>
      <c r="K524" s="112"/>
      <c r="L524" s="112"/>
      <c r="M524" s="112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</row>
    <row r="525" spans="1:29" ht="12" customHeight="1">
      <c r="A525" s="108"/>
      <c r="B525" s="109"/>
      <c r="C525" s="112"/>
      <c r="D525" s="112"/>
      <c r="E525" s="109"/>
      <c r="F525" s="109"/>
      <c r="G525" s="109"/>
      <c r="H525" s="111"/>
      <c r="I525" s="268"/>
      <c r="J525" s="112"/>
      <c r="K525" s="112"/>
      <c r="L525" s="112"/>
      <c r="M525" s="112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</row>
    <row r="526" spans="1:29" ht="12" customHeight="1">
      <c r="A526" s="108"/>
      <c r="B526" s="109"/>
      <c r="C526" s="112"/>
      <c r="D526" s="112"/>
      <c r="E526" s="109"/>
      <c r="F526" s="109"/>
      <c r="G526" s="109"/>
      <c r="H526" s="111"/>
      <c r="I526" s="268"/>
      <c r="J526" s="112"/>
      <c r="K526" s="112"/>
      <c r="L526" s="112"/>
      <c r="M526" s="112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</row>
    <row r="527" spans="1:29" ht="12" customHeight="1">
      <c r="A527" s="108"/>
      <c r="B527" s="109"/>
      <c r="C527" s="112"/>
      <c r="D527" s="112"/>
      <c r="E527" s="109"/>
      <c r="F527" s="109"/>
      <c r="G527" s="109"/>
      <c r="H527" s="111"/>
      <c r="I527" s="268"/>
      <c r="J527" s="112"/>
      <c r="K527" s="112"/>
      <c r="L527" s="112"/>
      <c r="M527" s="112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</row>
    <row r="528" spans="1:29" ht="12" customHeight="1">
      <c r="A528" s="108"/>
      <c r="B528" s="109"/>
      <c r="C528" s="112"/>
      <c r="D528" s="112"/>
      <c r="E528" s="109"/>
      <c r="F528" s="109"/>
      <c r="G528" s="109"/>
      <c r="H528" s="111"/>
      <c r="I528" s="268"/>
      <c r="J528" s="112"/>
      <c r="K528" s="112"/>
      <c r="L528" s="112"/>
      <c r="M528" s="112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</row>
    <row r="529" spans="1:29" ht="12" customHeight="1">
      <c r="A529" s="108"/>
      <c r="B529" s="109"/>
      <c r="C529" s="112"/>
      <c r="D529" s="112"/>
      <c r="E529" s="109"/>
      <c r="F529" s="109"/>
      <c r="G529" s="109"/>
      <c r="H529" s="111"/>
      <c r="I529" s="268"/>
      <c r="J529" s="112"/>
      <c r="K529" s="112"/>
      <c r="L529" s="112"/>
      <c r="M529" s="112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</row>
    <row r="530" spans="1:29" ht="12" customHeight="1">
      <c r="A530" s="108"/>
      <c r="B530" s="109"/>
      <c r="C530" s="112"/>
      <c r="D530" s="112"/>
      <c r="E530" s="109"/>
      <c r="F530" s="109"/>
      <c r="G530" s="109"/>
      <c r="H530" s="111"/>
      <c r="I530" s="268"/>
      <c r="J530" s="112"/>
      <c r="K530" s="112"/>
      <c r="L530" s="112"/>
      <c r="M530" s="112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</row>
    <row r="531" spans="1:29" ht="12" customHeight="1">
      <c r="A531" s="108"/>
      <c r="B531" s="109"/>
      <c r="C531" s="112"/>
      <c r="D531" s="112"/>
      <c r="E531" s="109"/>
      <c r="F531" s="109"/>
      <c r="G531" s="109"/>
      <c r="H531" s="111"/>
      <c r="I531" s="268"/>
      <c r="J531" s="112"/>
      <c r="K531" s="112"/>
      <c r="L531" s="112"/>
      <c r="M531" s="112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</row>
    <row r="532" spans="1:29" ht="12" customHeight="1">
      <c r="A532" s="108"/>
      <c r="B532" s="109"/>
      <c r="C532" s="112"/>
      <c r="D532" s="112"/>
      <c r="E532" s="109"/>
      <c r="F532" s="109"/>
      <c r="G532" s="109"/>
      <c r="H532" s="111"/>
      <c r="I532" s="268"/>
      <c r="J532" s="112"/>
      <c r="K532" s="112"/>
      <c r="L532" s="112"/>
      <c r="M532" s="112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</row>
    <row r="533" spans="1:29" ht="12" customHeight="1">
      <c r="A533" s="108"/>
      <c r="B533" s="109"/>
      <c r="C533" s="112"/>
      <c r="D533" s="112"/>
      <c r="E533" s="109"/>
      <c r="F533" s="109"/>
      <c r="G533" s="109"/>
      <c r="H533" s="111"/>
      <c r="I533" s="268"/>
      <c r="J533" s="112"/>
      <c r="K533" s="112"/>
      <c r="L533" s="112"/>
      <c r="M533" s="112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</row>
    <row r="534" spans="1:29" ht="12" customHeight="1">
      <c r="A534" s="108"/>
      <c r="B534" s="109"/>
      <c r="C534" s="112"/>
      <c r="D534" s="112"/>
      <c r="E534" s="109"/>
      <c r="F534" s="109"/>
      <c r="G534" s="109"/>
      <c r="H534" s="111"/>
      <c r="I534" s="268"/>
      <c r="J534" s="112"/>
      <c r="K534" s="112"/>
      <c r="L534" s="112"/>
      <c r="M534" s="112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</row>
    <row r="535" spans="1:29" ht="12" customHeight="1">
      <c r="A535" s="108"/>
      <c r="B535" s="109"/>
      <c r="C535" s="112"/>
      <c r="D535" s="112"/>
      <c r="E535" s="109"/>
      <c r="F535" s="109"/>
      <c r="G535" s="109"/>
      <c r="H535" s="111"/>
      <c r="I535" s="268"/>
      <c r="J535" s="112"/>
      <c r="K535" s="112"/>
      <c r="L535" s="112"/>
      <c r="M535" s="112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</row>
    <row r="536" spans="1:29" ht="12" customHeight="1">
      <c r="A536" s="108"/>
      <c r="B536" s="109"/>
      <c r="C536" s="112"/>
      <c r="D536" s="112"/>
      <c r="E536" s="109"/>
      <c r="F536" s="109"/>
      <c r="G536" s="109"/>
      <c r="H536" s="111"/>
      <c r="I536" s="268"/>
      <c r="J536" s="112"/>
      <c r="K536" s="112"/>
      <c r="L536" s="112"/>
      <c r="M536" s="112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</row>
    <row r="537" spans="1:29" ht="12" customHeight="1">
      <c r="A537" s="108"/>
      <c r="B537" s="109"/>
      <c r="C537" s="112"/>
      <c r="D537" s="112"/>
      <c r="E537" s="109"/>
      <c r="F537" s="109"/>
      <c r="G537" s="109"/>
      <c r="H537" s="111"/>
      <c r="I537" s="268"/>
      <c r="J537" s="112"/>
      <c r="K537" s="112"/>
      <c r="L537" s="112"/>
      <c r="M537" s="112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</row>
    <row r="538" spans="1:29" ht="12" customHeight="1">
      <c r="A538" s="108"/>
      <c r="B538" s="109"/>
      <c r="C538" s="112"/>
      <c r="D538" s="112"/>
      <c r="E538" s="109"/>
      <c r="F538" s="109"/>
      <c r="G538" s="109"/>
      <c r="H538" s="111"/>
      <c r="I538" s="268"/>
      <c r="J538" s="112"/>
      <c r="K538" s="112"/>
      <c r="L538" s="112"/>
      <c r="M538" s="112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</row>
    <row r="539" spans="1:29" ht="12" customHeight="1">
      <c r="A539" s="108"/>
      <c r="B539" s="109"/>
      <c r="C539" s="112"/>
      <c r="D539" s="112"/>
      <c r="E539" s="109"/>
      <c r="F539" s="109"/>
      <c r="G539" s="109"/>
      <c r="H539" s="111"/>
      <c r="I539" s="268"/>
      <c r="J539" s="112"/>
      <c r="K539" s="112"/>
      <c r="L539" s="112"/>
      <c r="M539" s="112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</row>
    <row r="540" spans="1:29" ht="12" customHeight="1">
      <c r="A540" s="108"/>
      <c r="B540" s="109"/>
      <c r="C540" s="112"/>
      <c r="D540" s="112"/>
      <c r="E540" s="109"/>
      <c r="F540" s="109"/>
      <c r="G540" s="109"/>
      <c r="H540" s="111"/>
      <c r="I540" s="268"/>
      <c r="J540" s="112"/>
      <c r="K540" s="112"/>
      <c r="L540" s="112"/>
      <c r="M540" s="112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</row>
    <row r="541" spans="1:29" ht="12" customHeight="1">
      <c r="A541" s="108"/>
      <c r="B541" s="109"/>
      <c r="C541" s="112"/>
      <c r="D541" s="112"/>
      <c r="E541" s="109"/>
      <c r="F541" s="109"/>
      <c r="G541" s="109"/>
      <c r="H541" s="111"/>
      <c r="I541" s="268"/>
      <c r="J541" s="112"/>
      <c r="K541" s="112"/>
      <c r="L541" s="112"/>
      <c r="M541" s="112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</row>
    <row r="542" spans="1:29" ht="12" customHeight="1">
      <c r="A542" s="108"/>
      <c r="B542" s="109"/>
      <c r="C542" s="112"/>
      <c r="D542" s="112"/>
      <c r="E542" s="109"/>
      <c r="F542" s="109"/>
      <c r="G542" s="109"/>
      <c r="H542" s="111"/>
      <c r="I542" s="268"/>
      <c r="J542" s="112"/>
      <c r="K542" s="112"/>
      <c r="L542" s="112"/>
      <c r="M542" s="112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</row>
    <row r="543" spans="1:29" ht="12" customHeight="1">
      <c r="A543" s="108"/>
      <c r="B543" s="109"/>
      <c r="C543" s="112"/>
      <c r="D543" s="112"/>
      <c r="E543" s="109"/>
      <c r="F543" s="109"/>
      <c r="G543" s="109"/>
      <c r="H543" s="111"/>
      <c r="I543" s="268"/>
      <c r="J543" s="112"/>
      <c r="K543" s="112"/>
      <c r="L543" s="112"/>
      <c r="M543" s="112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</row>
    <row r="544" spans="1:29" ht="12" customHeight="1">
      <c r="A544" s="108"/>
      <c r="B544" s="109"/>
      <c r="C544" s="112"/>
      <c r="D544" s="112"/>
      <c r="E544" s="109"/>
      <c r="F544" s="109"/>
      <c r="G544" s="109"/>
      <c r="H544" s="111"/>
      <c r="I544" s="268"/>
      <c r="J544" s="112"/>
      <c r="K544" s="112"/>
      <c r="L544" s="112"/>
      <c r="M544" s="112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</row>
    <row r="545" spans="1:29" ht="12" customHeight="1">
      <c r="A545" s="108"/>
      <c r="B545" s="109"/>
      <c r="C545" s="112"/>
      <c r="D545" s="112"/>
      <c r="E545" s="109"/>
      <c r="F545" s="109"/>
      <c r="G545" s="109"/>
      <c r="H545" s="111"/>
      <c r="I545" s="268"/>
      <c r="J545" s="112"/>
      <c r="K545" s="112"/>
      <c r="L545" s="112"/>
      <c r="M545" s="112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</row>
    <row r="546" spans="1:29" ht="12" customHeight="1">
      <c r="A546" s="108"/>
      <c r="B546" s="109"/>
      <c r="C546" s="112"/>
      <c r="D546" s="112"/>
      <c r="E546" s="109"/>
      <c r="F546" s="109"/>
      <c r="G546" s="109"/>
      <c r="H546" s="111"/>
      <c r="I546" s="268"/>
      <c r="J546" s="112"/>
      <c r="K546" s="112"/>
      <c r="L546" s="112"/>
      <c r="M546" s="112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</row>
    <row r="547" spans="1:29" ht="12" customHeight="1">
      <c r="A547" s="108"/>
      <c r="B547" s="109"/>
      <c r="C547" s="112"/>
      <c r="D547" s="112"/>
      <c r="E547" s="109"/>
      <c r="F547" s="109"/>
      <c r="G547" s="109"/>
      <c r="H547" s="111"/>
      <c r="I547" s="268"/>
      <c r="J547" s="112"/>
      <c r="K547" s="112"/>
      <c r="L547" s="112"/>
      <c r="M547" s="112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</row>
    <row r="548" spans="1:29" ht="12" customHeight="1">
      <c r="A548" s="108"/>
      <c r="B548" s="109"/>
      <c r="C548" s="112"/>
      <c r="D548" s="112"/>
      <c r="E548" s="109"/>
      <c r="F548" s="109"/>
      <c r="G548" s="109"/>
      <c r="H548" s="111"/>
      <c r="I548" s="268"/>
      <c r="J548" s="112"/>
      <c r="K548" s="112"/>
      <c r="L548" s="112"/>
      <c r="M548" s="112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</row>
    <row r="549" spans="1:29" ht="12" customHeight="1">
      <c r="A549" s="108"/>
      <c r="B549" s="109"/>
      <c r="C549" s="112"/>
      <c r="D549" s="112"/>
      <c r="E549" s="109"/>
      <c r="F549" s="109"/>
      <c r="G549" s="109"/>
      <c r="H549" s="111"/>
      <c r="I549" s="268"/>
      <c r="J549" s="112"/>
      <c r="K549" s="112"/>
      <c r="L549" s="112"/>
      <c r="M549" s="112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</row>
    <row r="550" spans="1:29" ht="12" customHeight="1">
      <c r="A550" s="108"/>
      <c r="B550" s="109"/>
      <c r="C550" s="112"/>
      <c r="D550" s="112"/>
      <c r="E550" s="109"/>
      <c r="F550" s="109"/>
      <c r="G550" s="109"/>
      <c r="H550" s="111"/>
      <c r="I550" s="268"/>
      <c r="J550" s="112"/>
      <c r="K550" s="112"/>
      <c r="L550" s="112"/>
      <c r="M550" s="112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</row>
    <row r="551" spans="1:29" ht="12" customHeight="1">
      <c r="A551" s="108"/>
      <c r="B551" s="109"/>
      <c r="C551" s="112"/>
      <c r="D551" s="112"/>
      <c r="E551" s="109"/>
      <c r="F551" s="109"/>
      <c r="G551" s="109"/>
      <c r="H551" s="111"/>
      <c r="I551" s="268"/>
      <c r="J551" s="112"/>
      <c r="K551" s="112"/>
      <c r="L551" s="112"/>
      <c r="M551" s="112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</row>
    <row r="552" spans="1:29" ht="12" customHeight="1">
      <c r="A552" s="108"/>
      <c r="B552" s="109"/>
      <c r="C552" s="112"/>
      <c r="D552" s="112"/>
      <c r="E552" s="109"/>
      <c r="F552" s="109"/>
      <c r="G552" s="109"/>
      <c r="H552" s="111"/>
      <c r="I552" s="268"/>
      <c r="J552" s="112"/>
      <c r="K552" s="112"/>
      <c r="L552" s="112"/>
      <c r="M552" s="112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</row>
    <row r="553" spans="1:29" ht="12" customHeight="1">
      <c r="A553" s="108"/>
      <c r="B553" s="109"/>
      <c r="C553" s="112"/>
      <c r="D553" s="112"/>
      <c r="E553" s="109"/>
      <c r="F553" s="109"/>
      <c r="G553" s="109"/>
      <c r="H553" s="111"/>
      <c r="I553" s="268"/>
      <c r="J553" s="112"/>
      <c r="K553" s="112"/>
      <c r="L553" s="112"/>
      <c r="M553" s="112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</row>
    <row r="554" spans="1:29" ht="12" customHeight="1">
      <c r="A554" s="108"/>
      <c r="B554" s="109"/>
      <c r="C554" s="112"/>
      <c r="D554" s="112"/>
      <c r="E554" s="109"/>
      <c r="F554" s="109"/>
      <c r="G554" s="109"/>
      <c r="H554" s="111"/>
      <c r="I554" s="268"/>
      <c r="J554" s="112"/>
      <c r="K554" s="112"/>
      <c r="L554" s="112"/>
      <c r="M554" s="112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</row>
    <row r="555" spans="1:29" ht="12" customHeight="1">
      <c r="A555" s="108"/>
      <c r="B555" s="109"/>
      <c r="C555" s="112"/>
      <c r="D555" s="112"/>
      <c r="E555" s="109"/>
      <c r="F555" s="109"/>
      <c r="G555" s="109"/>
      <c r="H555" s="111"/>
      <c r="I555" s="268"/>
      <c r="J555" s="112"/>
      <c r="K555" s="112"/>
      <c r="L555" s="112"/>
      <c r="M555" s="112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</row>
    <row r="556" spans="1:29" ht="12" customHeight="1">
      <c r="A556" s="108"/>
      <c r="B556" s="109"/>
      <c r="C556" s="112"/>
      <c r="D556" s="112"/>
      <c r="E556" s="109"/>
      <c r="F556" s="109"/>
      <c r="G556" s="109"/>
      <c r="H556" s="111"/>
      <c r="I556" s="268"/>
      <c r="J556" s="112"/>
      <c r="K556" s="112"/>
      <c r="L556" s="112"/>
      <c r="M556" s="112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</row>
    <row r="557" spans="1:29" ht="12" customHeight="1">
      <c r="A557" s="108"/>
      <c r="B557" s="109"/>
      <c r="C557" s="112"/>
      <c r="D557" s="112"/>
      <c r="E557" s="109"/>
      <c r="F557" s="109"/>
      <c r="G557" s="109"/>
      <c r="H557" s="111"/>
      <c r="I557" s="268"/>
      <c r="J557" s="112"/>
      <c r="K557" s="112"/>
      <c r="L557" s="112"/>
      <c r="M557" s="112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</row>
    <row r="558" spans="1:29" ht="12" customHeight="1">
      <c r="A558" s="108"/>
      <c r="B558" s="109"/>
      <c r="C558" s="112"/>
      <c r="D558" s="112"/>
      <c r="E558" s="109"/>
      <c r="F558" s="109"/>
      <c r="G558" s="109"/>
      <c r="H558" s="111"/>
      <c r="I558" s="268"/>
      <c r="J558" s="112"/>
      <c r="K558" s="112"/>
      <c r="L558" s="112"/>
      <c r="M558" s="112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</row>
    <row r="559" spans="1:29" ht="12" customHeight="1">
      <c r="A559" s="108"/>
      <c r="B559" s="109"/>
      <c r="C559" s="112"/>
      <c r="D559" s="112"/>
      <c r="E559" s="109"/>
      <c r="F559" s="109"/>
      <c r="G559" s="109"/>
      <c r="H559" s="111"/>
      <c r="I559" s="268"/>
      <c r="J559" s="112"/>
      <c r="K559" s="112"/>
      <c r="L559" s="112"/>
      <c r="M559" s="112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</row>
    <row r="560" spans="1:29" ht="12" customHeight="1">
      <c r="A560" s="108"/>
      <c r="B560" s="109"/>
      <c r="C560" s="112"/>
      <c r="D560" s="112"/>
      <c r="E560" s="109"/>
      <c r="F560" s="109"/>
      <c r="G560" s="109"/>
      <c r="H560" s="111"/>
      <c r="I560" s="268"/>
      <c r="J560" s="112"/>
      <c r="K560" s="112"/>
      <c r="L560" s="112"/>
      <c r="M560" s="112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</row>
    <row r="561" spans="1:29" ht="12" customHeight="1">
      <c r="A561" s="108"/>
      <c r="B561" s="109"/>
      <c r="C561" s="112"/>
      <c r="D561" s="112"/>
      <c r="E561" s="109"/>
      <c r="F561" s="109"/>
      <c r="G561" s="109"/>
      <c r="H561" s="111"/>
      <c r="I561" s="268"/>
      <c r="J561" s="112"/>
      <c r="K561" s="112"/>
      <c r="L561" s="112"/>
      <c r="M561" s="112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</row>
    <row r="562" spans="1:29" ht="12" customHeight="1">
      <c r="A562" s="108"/>
      <c r="B562" s="109"/>
      <c r="C562" s="112"/>
      <c r="D562" s="112"/>
      <c r="E562" s="109"/>
      <c r="F562" s="109"/>
      <c r="G562" s="109"/>
      <c r="H562" s="111"/>
      <c r="I562" s="268"/>
      <c r="J562" s="112"/>
      <c r="K562" s="112"/>
      <c r="L562" s="112"/>
      <c r="M562" s="112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</row>
    <row r="563" spans="1:29" ht="12" customHeight="1">
      <c r="A563" s="108"/>
      <c r="B563" s="109"/>
      <c r="C563" s="112"/>
      <c r="D563" s="112"/>
      <c r="E563" s="109"/>
      <c r="F563" s="109"/>
      <c r="G563" s="109"/>
      <c r="H563" s="111"/>
      <c r="I563" s="268"/>
      <c r="J563" s="112"/>
      <c r="K563" s="112"/>
      <c r="L563" s="112"/>
      <c r="M563" s="112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</row>
    <row r="564" spans="1:29" ht="12" customHeight="1">
      <c r="A564" s="108"/>
      <c r="B564" s="109"/>
      <c r="C564" s="112"/>
      <c r="D564" s="112"/>
      <c r="E564" s="109"/>
      <c r="F564" s="109"/>
      <c r="G564" s="109"/>
      <c r="H564" s="111"/>
      <c r="I564" s="268"/>
      <c r="J564" s="112"/>
      <c r="K564" s="112"/>
      <c r="L564" s="112"/>
      <c r="M564" s="112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</row>
    <row r="565" spans="1:29" ht="12" customHeight="1">
      <c r="A565" s="108"/>
      <c r="B565" s="109"/>
      <c r="C565" s="112"/>
      <c r="D565" s="112"/>
      <c r="E565" s="109"/>
      <c r="F565" s="109"/>
      <c r="G565" s="109"/>
      <c r="H565" s="111"/>
      <c r="I565" s="268"/>
      <c r="J565" s="112"/>
      <c r="K565" s="112"/>
      <c r="L565" s="112"/>
      <c r="M565" s="112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</row>
    <row r="566" spans="1:29" ht="12" customHeight="1">
      <c r="A566" s="108"/>
      <c r="B566" s="109"/>
      <c r="C566" s="112"/>
      <c r="D566" s="112"/>
      <c r="E566" s="109"/>
      <c r="F566" s="109"/>
      <c r="G566" s="109"/>
      <c r="H566" s="111"/>
      <c r="I566" s="268"/>
      <c r="J566" s="112"/>
      <c r="K566" s="112"/>
      <c r="L566" s="112"/>
      <c r="M566" s="112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</row>
    <row r="567" spans="1:29" ht="12" customHeight="1">
      <c r="A567" s="108"/>
      <c r="B567" s="109"/>
      <c r="C567" s="112"/>
      <c r="D567" s="112"/>
      <c r="E567" s="109"/>
      <c r="F567" s="109"/>
      <c r="G567" s="109"/>
      <c r="H567" s="111"/>
      <c r="I567" s="268"/>
      <c r="J567" s="112"/>
      <c r="K567" s="112"/>
      <c r="L567" s="112"/>
      <c r="M567" s="112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</row>
    <row r="568" spans="1:29" ht="12" customHeight="1">
      <c r="A568" s="108"/>
      <c r="B568" s="109"/>
      <c r="C568" s="112"/>
      <c r="D568" s="112"/>
      <c r="E568" s="109"/>
      <c r="F568" s="109"/>
      <c r="G568" s="109"/>
      <c r="H568" s="111"/>
      <c r="I568" s="268"/>
      <c r="J568" s="112"/>
      <c r="K568" s="112"/>
      <c r="L568" s="112"/>
      <c r="M568" s="112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</row>
    <row r="569" spans="1:29" ht="12" customHeight="1">
      <c r="A569" s="108"/>
      <c r="B569" s="109"/>
      <c r="C569" s="112"/>
      <c r="D569" s="112"/>
      <c r="E569" s="109"/>
      <c r="F569" s="109"/>
      <c r="G569" s="109"/>
      <c r="H569" s="111"/>
      <c r="I569" s="268"/>
      <c r="J569" s="112"/>
      <c r="K569" s="112"/>
      <c r="L569" s="112"/>
      <c r="M569" s="112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</row>
    <row r="570" spans="1:29" ht="12" customHeight="1">
      <c r="A570" s="108"/>
      <c r="B570" s="109"/>
      <c r="C570" s="112"/>
      <c r="D570" s="112"/>
      <c r="E570" s="109"/>
      <c r="F570" s="109"/>
      <c r="G570" s="109"/>
      <c r="H570" s="111"/>
      <c r="I570" s="268"/>
      <c r="J570" s="112"/>
      <c r="K570" s="112"/>
      <c r="L570" s="112"/>
      <c r="M570" s="112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</row>
    <row r="571" spans="1:29" ht="12" customHeight="1">
      <c r="A571" s="108"/>
      <c r="B571" s="109"/>
      <c r="C571" s="112"/>
      <c r="D571" s="112"/>
      <c r="E571" s="109"/>
      <c r="F571" s="109"/>
      <c r="G571" s="109"/>
      <c r="H571" s="111"/>
      <c r="I571" s="268"/>
      <c r="J571" s="112"/>
      <c r="K571" s="112"/>
      <c r="L571" s="112"/>
      <c r="M571" s="112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</row>
    <row r="572" spans="1:29" ht="12" customHeight="1">
      <c r="A572" s="108"/>
      <c r="B572" s="109"/>
      <c r="C572" s="112"/>
      <c r="D572" s="112"/>
      <c r="E572" s="109"/>
      <c r="F572" s="109"/>
      <c r="G572" s="109"/>
      <c r="H572" s="111"/>
      <c r="I572" s="268"/>
      <c r="J572" s="112"/>
      <c r="K572" s="112"/>
      <c r="L572" s="112"/>
      <c r="M572" s="112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</row>
    <row r="573" spans="1:29" ht="12" customHeight="1">
      <c r="A573" s="108"/>
      <c r="B573" s="109"/>
      <c r="C573" s="112"/>
      <c r="D573" s="112"/>
      <c r="E573" s="109"/>
      <c r="F573" s="109"/>
      <c r="G573" s="109"/>
      <c r="H573" s="111"/>
      <c r="I573" s="268"/>
      <c r="J573" s="112"/>
      <c r="K573" s="112"/>
      <c r="L573" s="112"/>
      <c r="M573" s="112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</row>
    <row r="574" spans="1:29" ht="12" customHeight="1">
      <c r="A574" s="108"/>
      <c r="B574" s="109"/>
      <c r="C574" s="112"/>
      <c r="D574" s="112"/>
      <c r="E574" s="109"/>
      <c r="F574" s="109"/>
      <c r="G574" s="109"/>
      <c r="H574" s="111"/>
      <c r="I574" s="268"/>
      <c r="J574" s="112"/>
      <c r="K574" s="112"/>
      <c r="L574" s="112"/>
      <c r="M574" s="112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</row>
    <row r="575" spans="1:29" ht="12" customHeight="1">
      <c r="A575" s="108"/>
      <c r="B575" s="109"/>
      <c r="C575" s="112"/>
      <c r="D575" s="112"/>
      <c r="E575" s="109"/>
      <c r="F575" s="109"/>
      <c r="G575" s="109"/>
      <c r="H575" s="111"/>
      <c r="I575" s="268"/>
      <c r="J575" s="112"/>
      <c r="K575" s="112"/>
      <c r="L575" s="112"/>
      <c r="M575" s="112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</row>
    <row r="576" spans="1:29" ht="12" customHeight="1">
      <c r="A576" s="108"/>
      <c r="B576" s="109"/>
      <c r="C576" s="112"/>
      <c r="D576" s="112"/>
      <c r="E576" s="109"/>
      <c r="F576" s="109"/>
      <c r="G576" s="109"/>
      <c r="H576" s="111"/>
      <c r="I576" s="268"/>
      <c r="J576" s="112"/>
      <c r="K576" s="112"/>
      <c r="L576" s="112"/>
      <c r="M576" s="112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</row>
    <row r="577" spans="1:29" ht="12" customHeight="1">
      <c r="A577" s="108"/>
      <c r="B577" s="109"/>
      <c r="C577" s="112"/>
      <c r="D577" s="112"/>
      <c r="E577" s="109"/>
      <c r="F577" s="109"/>
      <c r="G577" s="109"/>
      <c r="H577" s="111"/>
      <c r="I577" s="268"/>
      <c r="J577" s="112"/>
      <c r="K577" s="112"/>
      <c r="L577" s="112"/>
      <c r="M577" s="112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</row>
    <row r="578" spans="1:29" ht="12" customHeight="1">
      <c r="A578" s="108"/>
      <c r="B578" s="109"/>
      <c r="C578" s="112"/>
      <c r="D578" s="112"/>
      <c r="E578" s="109"/>
      <c r="F578" s="109"/>
      <c r="G578" s="109"/>
      <c r="H578" s="111"/>
      <c r="I578" s="268"/>
      <c r="J578" s="112"/>
      <c r="K578" s="112"/>
      <c r="L578" s="112"/>
      <c r="M578" s="112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</row>
    <row r="579" spans="1:29" ht="12" customHeight="1">
      <c r="A579" s="108"/>
      <c r="B579" s="109"/>
      <c r="C579" s="112"/>
      <c r="D579" s="112"/>
      <c r="E579" s="109"/>
      <c r="F579" s="109"/>
      <c r="G579" s="109"/>
      <c r="H579" s="111"/>
      <c r="I579" s="268"/>
      <c r="J579" s="112"/>
      <c r="K579" s="112"/>
      <c r="L579" s="112"/>
      <c r="M579" s="112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</row>
    <row r="580" spans="1:29" ht="12" customHeight="1">
      <c r="A580" s="108"/>
      <c r="B580" s="109"/>
      <c r="C580" s="112"/>
      <c r="D580" s="112"/>
      <c r="E580" s="109"/>
      <c r="F580" s="109"/>
      <c r="G580" s="109"/>
      <c r="H580" s="111"/>
      <c r="I580" s="268"/>
      <c r="J580" s="112"/>
      <c r="K580" s="112"/>
      <c r="L580" s="112"/>
      <c r="M580" s="112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</row>
    <row r="581" spans="1:29" ht="12" customHeight="1">
      <c r="A581" s="108"/>
      <c r="B581" s="109"/>
      <c r="C581" s="112"/>
      <c r="D581" s="112"/>
      <c r="E581" s="109"/>
      <c r="F581" s="109"/>
      <c r="G581" s="109"/>
      <c r="H581" s="111"/>
      <c r="I581" s="268"/>
      <c r="J581" s="112"/>
      <c r="K581" s="112"/>
      <c r="L581" s="112"/>
      <c r="M581" s="112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</row>
    <row r="582" spans="1:29" ht="12" customHeight="1">
      <c r="A582" s="108"/>
      <c r="B582" s="109"/>
      <c r="C582" s="112"/>
      <c r="D582" s="112"/>
      <c r="E582" s="109"/>
      <c r="F582" s="109"/>
      <c r="G582" s="109"/>
      <c r="H582" s="111"/>
      <c r="I582" s="268"/>
      <c r="J582" s="112"/>
      <c r="K582" s="112"/>
      <c r="L582" s="112"/>
      <c r="M582" s="112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</row>
    <row r="583" spans="1:29" ht="12" customHeight="1">
      <c r="A583" s="108"/>
      <c r="B583" s="109"/>
      <c r="C583" s="112"/>
      <c r="D583" s="112"/>
      <c r="E583" s="109"/>
      <c r="F583" s="109"/>
      <c r="G583" s="109"/>
      <c r="H583" s="111"/>
      <c r="I583" s="268"/>
      <c r="J583" s="112"/>
      <c r="K583" s="112"/>
      <c r="L583" s="112"/>
      <c r="M583" s="112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</row>
    <row r="584" spans="1:29" ht="12" customHeight="1">
      <c r="A584" s="108"/>
      <c r="B584" s="109"/>
      <c r="C584" s="112"/>
      <c r="D584" s="112"/>
      <c r="E584" s="109"/>
      <c r="F584" s="109"/>
      <c r="G584" s="109"/>
      <c r="H584" s="111"/>
      <c r="I584" s="268"/>
      <c r="J584" s="112"/>
      <c r="K584" s="112"/>
      <c r="L584" s="112"/>
      <c r="M584" s="112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</row>
    <row r="585" spans="1:29" ht="12" customHeight="1">
      <c r="A585" s="108"/>
      <c r="B585" s="109"/>
      <c r="C585" s="112"/>
      <c r="D585" s="112"/>
      <c r="E585" s="109"/>
      <c r="F585" s="109"/>
      <c r="G585" s="109"/>
      <c r="H585" s="111"/>
      <c r="I585" s="268"/>
      <c r="J585" s="112"/>
      <c r="K585" s="112"/>
      <c r="L585" s="112"/>
      <c r="M585" s="112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</row>
    <row r="586" spans="1:29" ht="12" customHeight="1">
      <c r="A586" s="108"/>
      <c r="B586" s="109"/>
      <c r="C586" s="112"/>
      <c r="D586" s="112"/>
      <c r="E586" s="109"/>
      <c r="F586" s="109"/>
      <c r="G586" s="109"/>
      <c r="H586" s="111"/>
      <c r="I586" s="268"/>
      <c r="J586" s="112"/>
      <c r="K586" s="112"/>
      <c r="L586" s="112"/>
      <c r="M586" s="112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</row>
    <row r="587" spans="1:29" ht="12" customHeight="1">
      <c r="A587" s="108"/>
      <c r="B587" s="109"/>
      <c r="C587" s="112"/>
      <c r="D587" s="112"/>
      <c r="E587" s="109"/>
      <c r="F587" s="109"/>
      <c r="G587" s="109"/>
      <c r="H587" s="111"/>
      <c r="I587" s="268"/>
      <c r="J587" s="112"/>
      <c r="K587" s="112"/>
      <c r="L587" s="112"/>
      <c r="M587" s="112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</row>
    <row r="588" spans="1:29" ht="12" customHeight="1">
      <c r="A588" s="108"/>
      <c r="B588" s="109"/>
      <c r="C588" s="112"/>
      <c r="D588" s="112"/>
      <c r="E588" s="109"/>
      <c r="F588" s="109"/>
      <c r="G588" s="109"/>
      <c r="H588" s="111"/>
      <c r="I588" s="268"/>
      <c r="J588" s="112"/>
      <c r="K588" s="112"/>
      <c r="L588" s="112"/>
      <c r="M588" s="112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</row>
    <row r="589" spans="1:29" ht="12" customHeight="1">
      <c r="A589" s="108"/>
      <c r="B589" s="109"/>
      <c r="C589" s="112"/>
      <c r="D589" s="112"/>
      <c r="E589" s="109"/>
      <c r="F589" s="109"/>
      <c r="G589" s="109"/>
      <c r="H589" s="111"/>
      <c r="I589" s="268"/>
      <c r="J589" s="112"/>
      <c r="K589" s="112"/>
      <c r="L589" s="112"/>
      <c r="M589" s="112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</row>
    <row r="590" spans="1:29" ht="12" customHeight="1">
      <c r="A590" s="108"/>
      <c r="B590" s="109"/>
      <c r="C590" s="112"/>
      <c r="D590" s="112"/>
      <c r="E590" s="109"/>
      <c r="F590" s="109"/>
      <c r="G590" s="109"/>
      <c r="H590" s="111"/>
      <c r="I590" s="268"/>
      <c r="J590" s="112"/>
      <c r="K590" s="112"/>
      <c r="L590" s="112"/>
      <c r="M590" s="112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</row>
    <row r="591" spans="1:29" ht="12" customHeight="1">
      <c r="A591" s="108"/>
      <c r="B591" s="109"/>
      <c r="C591" s="112"/>
      <c r="D591" s="112"/>
      <c r="E591" s="109"/>
      <c r="F591" s="109"/>
      <c r="G591" s="109"/>
      <c r="H591" s="111"/>
      <c r="I591" s="268"/>
      <c r="J591" s="112"/>
      <c r="K591" s="112"/>
      <c r="L591" s="112"/>
      <c r="M591" s="112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</row>
    <row r="592" spans="1:29" ht="12" customHeight="1">
      <c r="A592" s="108"/>
      <c r="B592" s="109"/>
      <c r="C592" s="112"/>
      <c r="D592" s="112"/>
      <c r="E592" s="109"/>
      <c r="F592" s="109"/>
      <c r="G592" s="109"/>
      <c r="H592" s="111"/>
      <c r="I592" s="268"/>
      <c r="J592" s="112"/>
      <c r="K592" s="112"/>
      <c r="L592" s="112"/>
      <c r="M592" s="112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</row>
    <row r="593" spans="1:29" ht="12" customHeight="1">
      <c r="A593" s="108"/>
      <c r="B593" s="109"/>
      <c r="C593" s="112"/>
      <c r="D593" s="112"/>
      <c r="E593" s="109"/>
      <c r="F593" s="109"/>
      <c r="G593" s="109"/>
      <c r="H593" s="111"/>
      <c r="I593" s="268"/>
      <c r="J593" s="112"/>
      <c r="K593" s="112"/>
      <c r="L593" s="112"/>
      <c r="M593" s="112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</row>
    <row r="594" spans="1:29" ht="12" customHeight="1">
      <c r="A594" s="108"/>
      <c r="B594" s="109"/>
      <c r="C594" s="112"/>
      <c r="D594" s="112"/>
      <c r="E594" s="109"/>
      <c r="F594" s="109"/>
      <c r="G594" s="109"/>
      <c r="H594" s="111"/>
      <c r="I594" s="268"/>
      <c r="J594" s="112"/>
      <c r="K594" s="112"/>
      <c r="L594" s="112"/>
      <c r="M594" s="112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</row>
    <row r="595" spans="1:29" ht="12" customHeight="1">
      <c r="A595" s="108"/>
      <c r="B595" s="109"/>
      <c r="C595" s="112"/>
      <c r="D595" s="112"/>
      <c r="E595" s="109"/>
      <c r="F595" s="109"/>
      <c r="G595" s="109"/>
      <c r="H595" s="111"/>
      <c r="I595" s="268"/>
      <c r="J595" s="112"/>
      <c r="K595" s="112"/>
      <c r="L595" s="112"/>
      <c r="M595" s="112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</row>
    <row r="596" spans="1:29" ht="12" customHeight="1">
      <c r="A596" s="108"/>
      <c r="B596" s="109"/>
      <c r="C596" s="112"/>
      <c r="D596" s="112"/>
      <c r="E596" s="109"/>
      <c r="F596" s="109"/>
      <c r="G596" s="109"/>
      <c r="H596" s="111"/>
      <c r="I596" s="268"/>
      <c r="J596" s="112"/>
      <c r="K596" s="112"/>
      <c r="L596" s="112"/>
      <c r="M596" s="112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</row>
    <row r="597" spans="1:29" ht="12" customHeight="1">
      <c r="A597" s="108"/>
      <c r="B597" s="109"/>
      <c r="C597" s="112"/>
      <c r="D597" s="112"/>
      <c r="E597" s="109"/>
      <c r="F597" s="109"/>
      <c r="G597" s="109"/>
      <c r="H597" s="111"/>
      <c r="I597" s="268"/>
      <c r="J597" s="112"/>
      <c r="K597" s="112"/>
      <c r="L597" s="112"/>
      <c r="M597" s="112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</row>
    <row r="598" spans="1:29" ht="12" customHeight="1">
      <c r="A598" s="108"/>
      <c r="B598" s="109"/>
      <c r="C598" s="112"/>
      <c r="D598" s="112"/>
      <c r="E598" s="109"/>
      <c r="F598" s="109"/>
      <c r="G598" s="109"/>
      <c r="H598" s="111"/>
      <c r="I598" s="268"/>
      <c r="J598" s="112"/>
      <c r="K598" s="112"/>
      <c r="L598" s="112"/>
      <c r="M598" s="112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</row>
    <row r="599" spans="1:29" ht="12" customHeight="1">
      <c r="A599" s="108"/>
      <c r="B599" s="109"/>
      <c r="C599" s="112"/>
      <c r="D599" s="112"/>
      <c r="E599" s="109"/>
      <c r="F599" s="109"/>
      <c r="G599" s="109"/>
      <c r="H599" s="111"/>
      <c r="I599" s="268"/>
      <c r="J599" s="112"/>
      <c r="K599" s="112"/>
      <c r="L599" s="112"/>
      <c r="M599" s="112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</row>
    <row r="600" spans="1:29" ht="12" customHeight="1">
      <c r="A600" s="108"/>
      <c r="B600" s="109"/>
      <c r="C600" s="112"/>
      <c r="D600" s="112"/>
      <c r="E600" s="109"/>
      <c r="F600" s="109"/>
      <c r="G600" s="109"/>
      <c r="H600" s="111"/>
      <c r="I600" s="268"/>
      <c r="J600" s="112"/>
      <c r="K600" s="112"/>
      <c r="L600" s="112"/>
      <c r="M600" s="112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</row>
    <row r="601" spans="1:29" ht="12" customHeight="1">
      <c r="A601" s="108"/>
      <c r="B601" s="109"/>
      <c r="C601" s="112"/>
      <c r="D601" s="112"/>
      <c r="E601" s="109"/>
      <c r="F601" s="109"/>
      <c r="G601" s="109"/>
      <c r="H601" s="111"/>
      <c r="I601" s="268"/>
      <c r="J601" s="112"/>
      <c r="K601" s="112"/>
      <c r="L601" s="112"/>
      <c r="M601" s="112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</row>
    <row r="602" spans="1:29" ht="12" customHeight="1">
      <c r="A602" s="108"/>
      <c r="B602" s="109"/>
      <c r="C602" s="112"/>
      <c r="D602" s="112"/>
      <c r="E602" s="109"/>
      <c r="F602" s="109"/>
      <c r="G602" s="109"/>
      <c r="H602" s="111"/>
      <c r="I602" s="268"/>
      <c r="J602" s="112"/>
      <c r="K602" s="112"/>
      <c r="L602" s="112"/>
      <c r="M602" s="112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</row>
    <row r="603" spans="1:29" ht="12" customHeight="1">
      <c r="A603" s="108"/>
      <c r="B603" s="109"/>
      <c r="C603" s="112"/>
      <c r="D603" s="112"/>
      <c r="E603" s="109"/>
      <c r="F603" s="109"/>
      <c r="G603" s="109"/>
      <c r="H603" s="111"/>
      <c r="I603" s="268"/>
      <c r="J603" s="112"/>
      <c r="K603" s="112"/>
      <c r="L603" s="112"/>
      <c r="M603" s="112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</row>
    <row r="604" spans="1:29" ht="12" customHeight="1">
      <c r="A604" s="108"/>
      <c r="B604" s="109"/>
      <c r="C604" s="112"/>
      <c r="D604" s="112"/>
      <c r="E604" s="109"/>
      <c r="F604" s="109"/>
      <c r="G604" s="109"/>
      <c r="H604" s="111"/>
      <c r="I604" s="268"/>
      <c r="J604" s="112"/>
      <c r="K604" s="112"/>
      <c r="L604" s="112"/>
      <c r="M604" s="112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</row>
    <row r="605" spans="1:29" ht="12" customHeight="1">
      <c r="A605" s="108"/>
      <c r="B605" s="109"/>
      <c r="C605" s="112"/>
      <c r="D605" s="112"/>
      <c r="E605" s="109"/>
      <c r="F605" s="109"/>
      <c r="G605" s="109"/>
      <c r="H605" s="111"/>
      <c r="I605" s="268"/>
      <c r="J605" s="112"/>
      <c r="K605" s="112"/>
      <c r="L605" s="112"/>
      <c r="M605" s="112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</row>
    <row r="606" spans="1:29" ht="12" customHeight="1">
      <c r="A606" s="108"/>
      <c r="B606" s="109"/>
      <c r="C606" s="112"/>
      <c r="D606" s="112"/>
      <c r="E606" s="109"/>
      <c r="F606" s="109"/>
      <c r="G606" s="109"/>
      <c r="H606" s="111"/>
      <c r="I606" s="268"/>
      <c r="J606" s="112"/>
      <c r="K606" s="112"/>
      <c r="L606" s="112"/>
      <c r="M606" s="112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</row>
    <row r="607" spans="1:29" ht="12" customHeight="1">
      <c r="A607" s="108"/>
      <c r="B607" s="109"/>
      <c r="C607" s="112"/>
      <c r="D607" s="112"/>
      <c r="E607" s="109"/>
      <c r="F607" s="109"/>
      <c r="G607" s="109"/>
      <c r="H607" s="111"/>
      <c r="I607" s="268"/>
      <c r="J607" s="112"/>
      <c r="K607" s="112"/>
      <c r="L607" s="112"/>
      <c r="M607" s="112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</row>
    <row r="608" spans="1:29" ht="12" customHeight="1">
      <c r="A608" s="108"/>
      <c r="B608" s="109"/>
      <c r="C608" s="112"/>
      <c r="D608" s="112"/>
      <c r="E608" s="109"/>
      <c r="F608" s="109"/>
      <c r="G608" s="109"/>
      <c r="H608" s="111"/>
      <c r="I608" s="268"/>
      <c r="J608" s="112"/>
      <c r="K608" s="112"/>
      <c r="L608" s="112"/>
      <c r="M608" s="112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</row>
    <row r="609" spans="1:29" ht="12" customHeight="1">
      <c r="A609" s="108"/>
      <c r="B609" s="109"/>
      <c r="C609" s="112"/>
      <c r="D609" s="112"/>
      <c r="E609" s="109"/>
      <c r="F609" s="109"/>
      <c r="G609" s="109"/>
      <c r="H609" s="111"/>
      <c r="I609" s="268"/>
      <c r="J609" s="112"/>
      <c r="K609" s="112"/>
      <c r="L609" s="112"/>
      <c r="M609" s="112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</row>
    <row r="610" spans="1:29" ht="12" customHeight="1">
      <c r="A610" s="108"/>
      <c r="B610" s="109"/>
      <c r="C610" s="112"/>
      <c r="D610" s="112"/>
      <c r="E610" s="109"/>
      <c r="F610" s="109"/>
      <c r="G610" s="109"/>
      <c r="H610" s="111"/>
      <c r="I610" s="268"/>
      <c r="J610" s="112"/>
      <c r="K610" s="112"/>
      <c r="L610" s="112"/>
      <c r="M610" s="112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</row>
    <row r="611" spans="1:29" ht="12" customHeight="1">
      <c r="A611" s="108"/>
      <c r="B611" s="109"/>
      <c r="C611" s="112"/>
      <c r="D611" s="112"/>
      <c r="E611" s="109"/>
      <c r="F611" s="109"/>
      <c r="G611" s="109"/>
      <c r="H611" s="111"/>
      <c r="I611" s="268"/>
      <c r="J611" s="112"/>
      <c r="K611" s="112"/>
      <c r="L611" s="112"/>
      <c r="M611" s="112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</row>
    <row r="612" spans="1:29" ht="12" customHeight="1">
      <c r="A612" s="108"/>
      <c r="B612" s="109"/>
      <c r="C612" s="112"/>
      <c r="D612" s="112"/>
      <c r="E612" s="109"/>
      <c r="F612" s="109"/>
      <c r="G612" s="109"/>
      <c r="H612" s="111"/>
      <c r="I612" s="268"/>
      <c r="J612" s="112"/>
      <c r="K612" s="112"/>
      <c r="L612" s="112"/>
      <c r="M612" s="112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</row>
    <row r="613" spans="1:29" ht="12" customHeight="1">
      <c r="A613" s="108"/>
      <c r="B613" s="109"/>
      <c r="C613" s="112"/>
      <c r="D613" s="112"/>
      <c r="E613" s="109"/>
      <c r="F613" s="109"/>
      <c r="G613" s="109"/>
      <c r="H613" s="111"/>
      <c r="I613" s="268"/>
      <c r="J613" s="112"/>
      <c r="K613" s="112"/>
      <c r="L613" s="112"/>
      <c r="M613" s="112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</row>
    <row r="614" spans="1:29" ht="12" customHeight="1">
      <c r="A614" s="108"/>
      <c r="B614" s="109"/>
      <c r="C614" s="112"/>
      <c r="D614" s="112"/>
      <c r="E614" s="109"/>
      <c r="F614" s="109"/>
      <c r="G614" s="109"/>
      <c r="H614" s="111"/>
      <c r="I614" s="268"/>
      <c r="J614" s="112"/>
      <c r="K614" s="112"/>
      <c r="L614" s="112"/>
      <c r="M614" s="112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</row>
    <row r="615" spans="1:29" ht="12" customHeight="1">
      <c r="A615" s="108"/>
      <c r="B615" s="109"/>
      <c r="C615" s="112"/>
      <c r="D615" s="112"/>
      <c r="E615" s="109"/>
      <c r="F615" s="109"/>
      <c r="G615" s="109"/>
      <c r="H615" s="111"/>
      <c r="I615" s="268"/>
      <c r="J615" s="112"/>
      <c r="K615" s="112"/>
      <c r="L615" s="112"/>
      <c r="M615" s="112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</row>
    <row r="616" spans="1:29" ht="12" customHeight="1">
      <c r="A616" s="108"/>
      <c r="B616" s="109"/>
      <c r="C616" s="112"/>
      <c r="D616" s="112"/>
      <c r="E616" s="109"/>
      <c r="F616" s="109"/>
      <c r="G616" s="109"/>
      <c r="H616" s="111"/>
      <c r="I616" s="268"/>
      <c r="J616" s="112"/>
      <c r="K616" s="112"/>
      <c r="L616" s="112"/>
      <c r="M616" s="112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</row>
    <row r="617" spans="1:29" ht="12" customHeight="1">
      <c r="A617" s="108"/>
      <c r="B617" s="109"/>
      <c r="C617" s="112"/>
      <c r="D617" s="112"/>
      <c r="E617" s="109"/>
      <c r="F617" s="109"/>
      <c r="G617" s="109"/>
      <c r="H617" s="111"/>
      <c r="I617" s="268"/>
      <c r="J617" s="112"/>
      <c r="K617" s="112"/>
      <c r="L617" s="112"/>
      <c r="M617" s="112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</row>
    <row r="618" spans="1:29" ht="12" customHeight="1">
      <c r="A618" s="108"/>
      <c r="B618" s="109"/>
      <c r="C618" s="112"/>
      <c r="D618" s="112"/>
      <c r="E618" s="109"/>
      <c r="F618" s="109"/>
      <c r="G618" s="109"/>
      <c r="H618" s="111"/>
      <c r="I618" s="268"/>
      <c r="J618" s="112"/>
      <c r="K618" s="112"/>
      <c r="L618" s="112"/>
      <c r="M618" s="112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</row>
    <row r="619" spans="1:29" ht="12" customHeight="1">
      <c r="A619" s="108"/>
      <c r="B619" s="109"/>
      <c r="C619" s="112"/>
      <c r="D619" s="112"/>
      <c r="E619" s="109"/>
      <c r="F619" s="109"/>
      <c r="G619" s="109"/>
      <c r="H619" s="111"/>
      <c r="I619" s="268"/>
      <c r="J619" s="112"/>
      <c r="K619" s="112"/>
      <c r="L619" s="112"/>
      <c r="M619" s="112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</row>
    <row r="620" spans="1:29" ht="12" customHeight="1">
      <c r="A620" s="108"/>
      <c r="B620" s="109"/>
      <c r="C620" s="112"/>
      <c r="D620" s="112"/>
      <c r="E620" s="109"/>
      <c r="F620" s="109"/>
      <c r="G620" s="109"/>
      <c r="H620" s="111"/>
      <c r="I620" s="268"/>
      <c r="J620" s="112"/>
      <c r="K620" s="112"/>
      <c r="L620" s="112"/>
      <c r="M620" s="112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</row>
    <row r="621" spans="1:29" ht="12" customHeight="1">
      <c r="A621" s="108"/>
      <c r="B621" s="109"/>
      <c r="C621" s="112"/>
      <c r="D621" s="112"/>
      <c r="E621" s="109"/>
      <c r="F621" s="109"/>
      <c r="G621" s="109"/>
      <c r="H621" s="111"/>
      <c r="I621" s="268"/>
      <c r="J621" s="112"/>
      <c r="K621" s="112"/>
      <c r="L621" s="112"/>
      <c r="M621" s="112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</row>
    <row r="622" spans="1:29" ht="12" customHeight="1">
      <c r="A622" s="108"/>
      <c r="B622" s="109"/>
      <c r="C622" s="112"/>
      <c r="D622" s="112"/>
      <c r="E622" s="109"/>
      <c r="F622" s="109"/>
      <c r="G622" s="109"/>
      <c r="H622" s="111"/>
      <c r="I622" s="268"/>
      <c r="J622" s="112"/>
      <c r="K622" s="112"/>
      <c r="L622" s="112"/>
      <c r="M622" s="112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</row>
    <row r="623" spans="1:29" ht="12" customHeight="1">
      <c r="A623" s="108"/>
      <c r="B623" s="109"/>
      <c r="C623" s="112"/>
      <c r="D623" s="112"/>
      <c r="E623" s="109"/>
      <c r="F623" s="109"/>
      <c r="G623" s="109"/>
      <c r="H623" s="111"/>
      <c r="I623" s="268"/>
      <c r="J623" s="112"/>
      <c r="K623" s="112"/>
      <c r="L623" s="112"/>
      <c r="M623" s="112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</row>
    <row r="624" spans="1:29" ht="12" customHeight="1">
      <c r="A624" s="108"/>
      <c r="B624" s="109"/>
      <c r="C624" s="112"/>
      <c r="D624" s="112"/>
      <c r="E624" s="109"/>
      <c r="F624" s="109"/>
      <c r="G624" s="109"/>
      <c r="H624" s="111"/>
      <c r="I624" s="268"/>
      <c r="J624" s="112"/>
      <c r="K624" s="112"/>
      <c r="L624" s="112"/>
      <c r="M624" s="112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</row>
    <row r="625" spans="1:29" ht="12" customHeight="1">
      <c r="A625" s="108"/>
      <c r="B625" s="109"/>
      <c r="C625" s="112"/>
      <c r="D625" s="112"/>
      <c r="E625" s="109"/>
      <c r="F625" s="109"/>
      <c r="G625" s="109"/>
      <c r="H625" s="111"/>
      <c r="I625" s="268"/>
      <c r="J625" s="112"/>
      <c r="K625" s="112"/>
      <c r="L625" s="112"/>
      <c r="M625" s="112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</row>
    <row r="626" spans="1:29" ht="12" customHeight="1">
      <c r="A626" s="108"/>
      <c r="B626" s="109"/>
      <c r="C626" s="112"/>
      <c r="D626" s="112"/>
      <c r="E626" s="109"/>
      <c r="F626" s="109"/>
      <c r="G626" s="109"/>
      <c r="H626" s="111"/>
      <c r="I626" s="268"/>
      <c r="J626" s="112"/>
      <c r="K626" s="112"/>
      <c r="L626" s="112"/>
      <c r="M626" s="112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</row>
    <row r="627" spans="1:29" ht="12" customHeight="1">
      <c r="A627" s="108"/>
      <c r="B627" s="109"/>
      <c r="C627" s="112"/>
      <c r="D627" s="112"/>
      <c r="E627" s="109"/>
      <c r="F627" s="109"/>
      <c r="G627" s="109"/>
      <c r="H627" s="111"/>
      <c r="I627" s="268"/>
      <c r="J627" s="112"/>
      <c r="K627" s="112"/>
      <c r="L627" s="112"/>
      <c r="M627" s="112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</row>
    <row r="628" spans="1:29" ht="12" customHeight="1">
      <c r="A628" s="108"/>
      <c r="B628" s="109"/>
      <c r="C628" s="112"/>
      <c r="D628" s="112"/>
      <c r="E628" s="109"/>
      <c r="F628" s="109"/>
      <c r="G628" s="109"/>
      <c r="H628" s="111"/>
      <c r="I628" s="268"/>
      <c r="J628" s="112"/>
      <c r="K628" s="112"/>
      <c r="L628" s="112"/>
      <c r="M628" s="112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</row>
    <row r="629" spans="1:29" ht="12" customHeight="1">
      <c r="A629" s="108"/>
      <c r="B629" s="109"/>
      <c r="C629" s="112"/>
      <c r="D629" s="112"/>
      <c r="E629" s="109"/>
      <c r="F629" s="109"/>
      <c r="G629" s="109"/>
      <c r="H629" s="111"/>
      <c r="I629" s="268"/>
      <c r="J629" s="112"/>
      <c r="K629" s="112"/>
      <c r="L629" s="112"/>
      <c r="M629" s="112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</row>
    <row r="630" spans="1:29" ht="12" customHeight="1">
      <c r="A630" s="108"/>
      <c r="B630" s="109"/>
      <c r="C630" s="112"/>
      <c r="D630" s="112"/>
      <c r="E630" s="109"/>
      <c r="F630" s="109"/>
      <c r="G630" s="109"/>
      <c r="H630" s="111"/>
      <c r="I630" s="268"/>
      <c r="J630" s="112"/>
      <c r="K630" s="112"/>
      <c r="L630" s="112"/>
      <c r="M630" s="112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</row>
    <row r="631" spans="1:29" ht="12" customHeight="1">
      <c r="A631" s="108"/>
      <c r="B631" s="109"/>
      <c r="C631" s="112"/>
      <c r="D631" s="112"/>
      <c r="E631" s="109"/>
      <c r="F631" s="109"/>
      <c r="G631" s="109"/>
      <c r="H631" s="111"/>
      <c r="I631" s="268"/>
      <c r="J631" s="112"/>
      <c r="K631" s="112"/>
      <c r="L631" s="112"/>
      <c r="M631" s="112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</row>
    <row r="632" spans="1:29" ht="12" customHeight="1">
      <c r="A632" s="108"/>
      <c r="B632" s="109"/>
      <c r="C632" s="112"/>
      <c r="D632" s="112"/>
      <c r="E632" s="109"/>
      <c r="F632" s="109"/>
      <c r="G632" s="109"/>
      <c r="H632" s="111"/>
      <c r="I632" s="268"/>
      <c r="J632" s="112"/>
      <c r="K632" s="112"/>
      <c r="L632" s="112"/>
      <c r="M632" s="112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</row>
    <row r="633" spans="1:29" ht="12" customHeight="1">
      <c r="A633" s="108"/>
      <c r="B633" s="109"/>
      <c r="C633" s="112"/>
      <c r="D633" s="112"/>
      <c r="E633" s="109"/>
      <c r="F633" s="109"/>
      <c r="G633" s="109"/>
      <c r="H633" s="111"/>
      <c r="I633" s="268"/>
      <c r="J633" s="112"/>
      <c r="K633" s="112"/>
      <c r="L633" s="112"/>
      <c r="M633" s="112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</row>
    <row r="634" spans="1:29" ht="12" customHeight="1">
      <c r="A634" s="108"/>
      <c r="B634" s="109"/>
      <c r="C634" s="112"/>
      <c r="D634" s="112"/>
      <c r="E634" s="109"/>
      <c r="F634" s="109"/>
      <c r="G634" s="109"/>
      <c r="H634" s="111"/>
      <c r="I634" s="268"/>
      <c r="J634" s="112"/>
      <c r="K634" s="112"/>
      <c r="L634" s="112"/>
      <c r="M634" s="112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</row>
    <row r="635" spans="1:29" ht="12" customHeight="1">
      <c r="A635" s="108"/>
      <c r="B635" s="109"/>
      <c r="C635" s="112"/>
      <c r="D635" s="112"/>
      <c r="E635" s="109"/>
      <c r="F635" s="109"/>
      <c r="G635" s="109"/>
      <c r="H635" s="111"/>
      <c r="I635" s="268"/>
      <c r="J635" s="112"/>
      <c r="K635" s="112"/>
      <c r="L635" s="112"/>
      <c r="M635" s="112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</row>
    <row r="636" spans="1:29" ht="12" customHeight="1">
      <c r="A636" s="108"/>
      <c r="B636" s="109"/>
      <c r="C636" s="112"/>
      <c r="D636" s="112"/>
      <c r="E636" s="109"/>
      <c r="F636" s="109"/>
      <c r="G636" s="109"/>
      <c r="H636" s="111"/>
      <c r="I636" s="268"/>
      <c r="J636" s="112"/>
      <c r="K636" s="112"/>
      <c r="L636" s="112"/>
      <c r="M636" s="112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</row>
    <row r="637" spans="1:29" ht="12" customHeight="1">
      <c r="A637" s="108"/>
      <c r="B637" s="109"/>
      <c r="C637" s="112"/>
      <c r="D637" s="112"/>
      <c r="E637" s="109"/>
      <c r="F637" s="109"/>
      <c r="G637" s="109"/>
      <c r="H637" s="111"/>
      <c r="I637" s="268"/>
      <c r="J637" s="112"/>
      <c r="K637" s="112"/>
      <c r="L637" s="112"/>
      <c r="M637" s="112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</row>
    <row r="638" spans="1:29" ht="12" customHeight="1">
      <c r="A638" s="108"/>
      <c r="B638" s="109"/>
      <c r="C638" s="112"/>
      <c r="D638" s="112"/>
      <c r="E638" s="109"/>
      <c r="F638" s="109"/>
      <c r="G638" s="109"/>
      <c r="H638" s="111"/>
      <c r="I638" s="268"/>
      <c r="J638" s="112"/>
      <c r="K638" s="112"/>
      <c r="L638" s="112"/>
      <c r="M638" s="112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</row>
    <row r="639" spans="1:29" ht="12" customHeight="1">
      <c r="A639" s="108"/>
      <c r="B639" s="109"/>
      <c r="C639" s="112"/>
      <c r="D639" s="112"/>
      <c r="E639" s="109"/>
      <c r="F639" s="109"/>
      <c r="G639" s="109"/>
      <c r="H639" s="111"/>
      <c r="I639" s="268"/>
      <c r="J639" s="112"/>
      <c r="K639" s="112"/>
      <c r="L639" s="112"/>
      <c r="M639" s="112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</row>
    <row r="640" spans="1:29" ht="12" customHeight="1">
      <c r="A640" s="108"/>
      <c r="B640" s="109"/>
      <c r="C640" s="112"/>
      <c r="D640" s="112"/>
      <c r="E640" s="109"/>
      <c r="F640" s="109"/>
      <c r="G640" s="109"/>
      <c r="H640" s="111"/>
      <c r="I640" s="268"/>
      <c r="J640" s="112"/>
      <c r="K640" s="112"/>
      <c r="L640" s="112"/>
      <c r="M640" s="112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</row>
    <row r="641" spans="1:29" ht="12" customHeight="1">
      <c r="A641" s="108"/>
      <c r="B641" s="109"/>
      <c r="C641" s="112"/>
      <c r="D641" s="112"/>
      <c r="E641" s="109"/>
      <c r="F641" s="109"/>
      <c r="G641" s="109"/>
      <c r="H641" s="111"/>
      <c r="I641" s="268"/>
      <c r="J641" s="112"/>
      <c r="K641" s="112"/>
      <c r="L641" s="112"/>
      <c r="M641" s="112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</row>
    <row r="642" spans="1:29" ht="12" customHeight="1">
      <c r="A642" s="108"/>
      <c r="B642" s="109"/>
      <c r="C642" s="112"/>
      <c r="D642" s="112"/>
      <c r="E642" s="109"/>
      <c r="F642" s="109"/>
      <c r="G642" s="109"/>
      <c r="H642" s="111"/>
      <c r="I642" s="268"/>
      <c r="J642" s="112"/>
      <c r="K642" s="112"/>
      <c r="L642" s="112"/>
      <c r="M642" s="112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</row>
    <row r="643" spans="1:29" ht="12" customHeight="1">
      <c r="A643" s="108"/>
      <c r="B643" s="109"/>
      <c r="C643" s="112"/>
      <c r="D643" s="112"/>
      <c r="E643" s="109"/>
      <c r="F643" s="109"/>
      <c r="G643" s="109"/>
      <c r="H643" s="111"/>
      <c r="I643" s="268"/>
      <c r="J643" s="112"/>
      <c r="K643" s="112"/>
      <c r="L643" s="112"/>
      <c r="M643" s="112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</row>
    <row r="644" spans="1:29" ht="12" customHeight="1">
      <c r="A644" s="108"/>
      <c r="B644" s="109"/>
      <c r="C644" s="112"/>
      <c r="D644" s="112"/>
      <c r="E644" s="109"/>
      <c r="F644" s="109"/>
      <c r="G644" s="109"/>
      <c r="H644" s="111"/>
      <c r="I644" s="268"/>
      <c r="J644" s="112"/>
      <c r="K644" s="112"/>
      <c r="L644" s="112"/>
      <c r="M644" s="112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</row>
    <row r="645" spans="1:29" ht="12" customHeight="1">
      <c r="A645" s="108"/>
      <c r="B645" s="109"/>
      <c r="C645" s="112"/>
      <c r="D645" s="112"/>
      <c r="E645" s="109"/>
      <c r="F645" s="109"/>
      <c r="G645" s="109"/>
      <c r="H645" s="111"/>
      <c r="I645" s="268"/>
      <c r="J645" s="112"/>
      <c r="K645" s="112"/>
      <c r="L645" s="112"/>
      <c r="M645" s="112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</row>
    <row r="646" spans="1:29" ht="12" customHeight="1">
      <c r="A646" s="108"/>
      <c r="B646" s="109"/>
      <c r="C646" s="112"/>
      <c r="D646" s="112"/>
      <c r="E646" s="109"/>
      <c r="F646" s="109"/>
      <c r="G646" s="109"/>
      <c r="H646" s="111"/>
      <c r="I646" s="268"/>
      <c r="J646" s="112"/>
      <c r="K646" s="112"/>
      <c r="L646" s="112"/>
      <c r="M646" s="112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</row>
    <row r="647" spans="1:29" ht="12" customHeight="1">
      <c r="A647" s="108"/>
      <c r="B647" s="109"/>
      <c r="C647" s="112"/>
      <c r="D647" s="112"/>
      <c r="E647" s="109"/>
      <c r="F647" s="109"/>
      <c r="G647" s="109"/>
      <c r="H647" s="111"/>
      <c r="I647" s="268"/>
      <c r="J647" s="112"/>
      <c r="K647" s="112"/>
      <c r="L647" s="112"/>
      <c r="M647" s="112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</row>
    <row r="648" spans="1:29" ht="12" customHeight="1">
      <c r="A648" s="108"/>
      <c r="B648" s="109"/>
      <c r="C648" s="112"/>
      <c r="D648" s="112"/>
      <c r="E648" s="109"/>
      <c r="F648" s="109"/>
      <c r="G648" s="109"/>
      <c r="H648" s="111"/>
      <c r="I648" s="268"/>
      <c r="J648" s="112"/>
      <c r="K648" s="112"/>
      <c r="L648" s="112"/>
      <c r="M648" s="112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</row>
    <row r="649" spans="1:29" ht="12" customHeight="1">
      <c r="A649" s="108"/>
      <c r="B649" s="109"/>
      <c r="C649" s="112"/>
      <c r="D649" s="112"/>
      <c r="E649" s="109"/>
      <c r="F649" s="109"/>
      <c r="G649" s="109"/>
      <c r="H649" s="111"/>
      <c r="I649" s="268"/>
      <c r="J649" s="112"/>
      <c r="K649" s="112"/>
      <c r="L649" s="112"/>
      <c r="M649" s="112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</row>
    <row r="650" spans="1:29" ht="12" customHeight="1">
      <c r="A650" s="108"/>
      <c r="B650" s="109"/>
      <c r="C650" s="112"/>
      <c r="D650" s="112"/>
      <c r="E650" s="109"/>
      <c r="F650" s="109"/>
      <c r="G650" s="109"/>
      <c r="H650" s="111"/>
      <c r="I650" s="268"/>
      <c r="J650" s="112"/>
      <c r="K650" s="112"/>
      <c r="L650" s="112"/>
      <c r="M650" s="112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</row>
    <row r="651" spans="1:29" ht="12" customHeight="1">
      <c r="A651" s="108"/>
      <c r="B651" s="109"/>
      <c r="C651" s="112"/>
      <c r="D651" s="112"/>
      <c r="E651" s="109"/>
      <c r="F651" s="109"/>
      <c r="G651" s="109"/>
      <c r="H651" s="111"/>
      <c r="I651" s="268"/>
      <c r="J651" s="112"/>
      <c r="K651" s="112"/>
      <c r="L651" s="112"/>
      <c r="M651" s="112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</row>
    <row r="652" spans="1:29" ht="12" customHeight="1">
      <c r="A652" s="108"/>
      <c r="B652" s="109"/>
      <c r="C652" s="112"/>
      <c r="D652" s="112"/>
      <c r="E652" s="109"/>
      <c r="F652" s="109"/>
      <c r="G652" s="109"/>
      <c r="H652" s="111"/>
      <c r="I652" s="268"/>
      <c r="J652" s="112"/>
      <c r="K652" s="112"/>
      <c r="L652" s="112"/>
      <c r="M652" s="112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</row>
    <row r="653" spans="1:29" ht="12" customHeight="1">
      <c r="A653" s="108"/>
      <c r="B653" s="109"/>
      <c r="C653" s="112"/>
      <c r="D653" s="112"/>
      <c r="E653" s="109"/>
      <c r="F653" s="109"/>
      <c r="G653" s="109"/>
      <c r="H653" s="111"/>
      <c r="I653" s="268"/>
      <c r="J653" s="112"/>
      <c r="K653" s="112"/>
      <c r="L653" s="112"/>
      <c r="M653" s="112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</row>
    <row r="654" spans="1:29" ht="12" customHeight="1">
      <c r="A654" s="108"/>
      <c r="B654" s="109"/>
      <c r="C654" s="112"/>
      <c r="D654" s="112"/>
      <c r="E654" s="109"/>
      <c r="F654" s="109"/>
      <c r="G654" s="109"/>
      <c r="H654" s="111"/>
      <c r="I654" s="268"/>
      <c r="J654" s="112"/>
      <c r="K654" s="112"/>
      <c r="L654" s="112"/>
      <c r="M654" s="112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</row>
    <row r="655" spans="1:29" ht="12" customHeight="1">
      <c r="A655" s="108"/>
      <c r="B655" s="109"/>
      <c r="C655" s="112"/>
      <c r="D655" s="112"/>
      <c r="E655" s="109"/>
      <c r="F655" s="109"/>
      <c r="G655" s="109"/>
      <c r="H655" s="111"/>
      <c r="I655" s="268"/>
      <c r="J655" s="112"/>
      <c r="K655" s="112"/>
      <c r="L655" s="112"/>
      <c r="M655" s="112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</row>
    <row r="656" spans="1:29" ht="12" customHeight="1">
      <c r="A656" s="108"/>
      <c r="B656" s="109"/>
      <c r="C656" s="112"/>
      <c r="D656" s="112"/>
      <c r="E656" s="109"/>
      <c r="F656" s="109"/>
      <c r="G656" s="109"/>
      <c r="H656" s="111"/>
      <c r="I656" s="268"/>
      <c r="J656" s="112"/>
      <c r="K656" s="112"/>
      <c r="L656" s="112"/>
      <c r="M656" s="112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</row>
    <row r="657" spans="1:29" ht="12" customHeight="1">
      <c r="A657" s="108"/>
      <c r="B657" s="109"/>
      <c r="C657" s="112"/>
      <c r="D657" s="112"/>
      <c r="E657" s="109"/>
      <c r="F657" s="109"/>
      <c r="G657" s="109"/>
      <c r="H657" s="111"/>
      <c r="I657" s="268"/>
      <c r="J657" s="112"/>
      <c r="K657" s="112"/>
      <c r="L657" s="112"/>
      <c r="M657" s="112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</row>
    <row r="658" spans="1:29" ht="12" customHeight="1">
      <c r="A658" s="108"/>
      <c r="B658" s="109"/>
      <c r="C658" s="112"/>
      <c r="D658" s="112"/>
      <c r="E658" s="109"/>
      <c r="F658" s="109"/>
      <c r="G658" s="109"/>
      <c r="H658" s="111"/>
      <c r="I658" s="268"/>
      <c r="J658" s="112"/>
      <c r="K658" s="112"/>
      <c r="L658" s="112"/>
      <c r="M658" s="112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</row>
    <row r="659" spans="1:29" ht="12" customHeight="1">
      <c r="A659" s="108"/>
      <c r="B659" s="109"/>
      <c r="C659" s="112"/>
      <c r="D659" s="112"/>
      <c r="E659" s="109"/>
      <c r="F659" s="109"/>
      <c r="G659" s="109"/>
      <c r="H659" s="111"/>
      <c r="I659" s="268"/>
      <c r="J659" s="112"/>
      <c r="K659" s="112"/>
      <c r="L659" s="112"/>
      <c r="M659" s="112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</row>
    <row r="660" spans="1:29" ht="12" customHeight="1">
      <c r="A660" s="108"/>
      <c r="B660" s="109"/>
      <c r="C660" s="112"/>
      <c r="D660" s="112"/>
      <c r="E660" s="109"/>
      <c r="F660" s="109"/>
      <c r="G660" s="109"/>
      <c r="H660" s="111"/>
      <c r="I660" s="268"/>
      <c r="J660" s="112"/>
      <c r="K660" s="112"/>
      <c r="L660" s="112"/>
      <c r="M660" s="112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</row>
    <row r="661" spans="1:29" ht="12" customHeight="1">
      <c r="A661" s="108"/>
      <c r="B661" s="109"/>
      <c r="C661" s="112"/>
      <c r="D661" s="112"/>
      <c r="E661" s="109"/>
      <c r="F661" s="109"/>
      <c r="G661" s="109"/>
      <c r="H661" s="111"/>
      <c r="I661" s="268"/>
      <c r="J661" s="112"/>
      <c r="K661" s="112"/>
      <c r="L661" s="112"/>
      <c r="M661" s="112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</row>
    <row r="662" spans="1:29" ht="12" customHeight="1">
      <c r="A662" s="108"/>
      <c r="B662" s="109"/>
      <c r="C662" s="112"/>
      <c r="D662" s="112"/>
      <c r="E662" s="109"/>
      <c r="F662" s="109"/>
      <c r="G662" s="109"/>
      <c r="H662" s="111"/>
      <c r="I662" s="268"/>
      <c r="J662" s="112"/>
      <c r="K662" s="112"/>
      <c r="L662" s="112"/>
      <c r="M662" s="112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</row>
    <row r="663" spans="1:29" ht="12" customHeight="1">
      <c r="A663" s="108"/>
      <c r="B663" s="109"/>
      <c r="C663" s="112"/>
      <c r="D663" s="112"/>
      <c r="E663" s="109"/>
      <c r="F663" s="109"/>
      <c r="G663" s="109"/>
      <c r="H663" s="111"/>
      <c r="I663" s="268"/>
      <c r="J663" s="112"/>
      <c r="K663" s="112"/>
      <c r="L663" s="112"/>
      <c r="M663" s="112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</row>
    <row r="664" spans="1:29" ht="12" customHeight="1">
      <c r="A664" s="108"/>
      <c r="B664" s="109"/>
      <c r="C664" s="112"/>
      <c r="D664" s="112"/>
      <c r="E664" s="109"/>
      <c r="F664" s="109"/>
      <c r="G664" s="109"/>
      <c r="H664" s="111"/>
      <c r="I664" s="268"/>
      <c r="J664" s="112"/>
      <c r="K664" s="112"/>
      <c r="L664" s="112"/>
      <c r="M664" s="112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</row>
    <row r="665" spans="1:29" ht="12" customHeight="1">
      <c r="A665" s="108"/>
      <c r="B665" s="109"/>
      <c r="C665" s="112"/>
      <c r="D665" s="112"/>
      <c r="E665" s="109"/>
      <c r="F665" s="109"/>
      <c r="G665" s="109"/>
      <c r="H665" s="111"/>
      <c r="I665" s="268"/>
      <c r="J665" s="112"/>
      <c r="K665" s="112"/>
      <c r="L665" s="112"/>
      <c r="M665" s="112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</row>
    <row r="666" spans="1:29" ht="12" customHeight="1">
      <c r="A666" s="108"/>
      <c r="B666" s="109"/>
      <c r="C666" s="112"/>
      <c r="D666" s="112"/>
      <c r="E666" s="109"/>
      <c r="F666" s="109"/>
      <c r="G666" s="109"/>
      <c r="H666" s="111"/>
      <c r="I666" s="268"/>
      <c r="J666" s="112"/>
      <c r="K666" s="112"/>
      <c r="L666" s="112"/>
      <c r="M666" s="112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</row>
    <row r="667" spans="1:29" ht="12" customHeight="1">
      <c r="A667" s="108"/>
      <c r="B667" s="109"/>
      <c r="C667" s="112"/>
      <c r="D667" s="112"/>
      <c r="E667" s="109"/>
      <c r="F667" s="109"/>
      <c r="G667" s="109"/>
      <c r="H667" s="111"/>
      <c r="I667" s="268"/>
      <c r="J667" s="112"/>
      <c r="K667" s="112"/>
      <c r="L667" s="112"/>
      <c r="M667" s="112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</row>
    <row r="668" spans="1:29" ht="12" customHeight="1">
      <c r="A668" s="108"/>
      <c r="B668" s="109"/>
      <c r="C668" s="112"/>
      <c r="D668" s="112"/>
      <c r="E668" s="109"/>
      <c r="F668" s="109"/>
      <c r="G668" s="109"/>
      <c r="H668" s="111"/>
      <c r="I668" s="268"/>
      <c r="J668" s="112"/>
      <c r="K668" s="112"/>
      <c r="L668" s="112"/>
      <c r="M668" s="112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</row>
    <row r="669" spans="1:29" ht="12" customHeight="1">
      <c r="A669" s="108"/>
      <c r="B669" s="109"/>
      <c r="C669" s="112"/>
      <c r="D669" s="112"/>
      <c r="E669" s="109"/>
      <c r="F669" s="109"/>
      <c r="G669" s="109"/>
      <c r="H669" s="111"/>
      <c r="I669" s="268"/>
      <c r="J669" s="112"/>
      <c r="K669" s="112"/>
      <c r="L669" s="112"/>
      <c r="M669" s="112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</row>
    <row r="670" spans="1:29" ht="12" customHeight="1">
      <c r="A670" s="108"/>
      <c r="B670" s="109"/>
      <c r="C670" s="112"/>
      <c r="D670" s="112"/>
      <c r="E670" s="109"/>
      <c r="F670" s="109"/>
      <c r="G670" s="109"/>
      <c r="H670" s="111"/>
      <c r="I670" s="268"/>
      <c r="J670" s="112"/>
      <c r="K670" s="112"/>
      <c r="L670" s="112"/>
      <c r="M670" s="112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</row>
    <row r="671" spans="1:29" ht="12" customHeight="1">
      <c r="A671" s="108"/>
      <c r="B671" s="109"/>
      <c r="C671" s="112"/>
      <c r="D671" s="112"/>
      <c r="E671" s="109"/>
      <c r="F671" s="109"/>
      <c r="G671" s="109"/>
      <c r="H671" s="111"/>
      <c r="I671" s="268"/>
      <c r="J671" s="112"/>
      <c r="K671" s="112"/>
      <c r="L671" s="112"/>
      <c r="M671" s="112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</row>
    <row r="672" spans="1:29" ht="12" customHeight="1">
      <c r="A672" s="108"/>
      <c r="B672" s="109"/>
      <c r="C672" s="112"/>
      <c r="D672" s="112"/>
      <c r="E672" s="109"/>
      <c r="F672" s="109"/>
      <c r="G672" s="109"/>
      <c r="H672" s="111"/>
      <c r="I672" s="268"/>
      <c r="J672" s="112"/>
      <c r="K672" s="112"/>
      <c r="L672" s="112"/>
      <c r="M672" s="112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</row>
    <row r="673" spans="1:29" ht="12" customHeight="1">
      <c r="A673" s="108"/>
      <c r="B673" s="109"/>
      <c r="C673" s="112"/>
      <c r="D673" s="112"/>
      <c r="E673" s="109"/>
      <c r="F673" s="109"/>
      <c r="G673" s="109"/>
      <c r="H673" s="111"/>
      <c r="I673" s="268"/>
      <c r="J673" s="112"/>
      <c r="K673" s="112"/>
      <c r="L673" s="112"/>
      <c r="M673" s="112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</row>
    <row r="674" spans="1:29" ht="12" customHeight="1">
      <c r="A674" s="108"/>
      <c r="B674" s="109"/>
      <c r="C674" s="112"/>
      <c r="D674" s="112"/>
      <c r="E674" s="109"/>
      <c r="F674" s="109"/>
      <c r="G674" s="109"/>
      <c r="H674" s="111"/>
      <c r="I674" s="268"/>
      <c r="J674" s="112"/>
      <c r="K674" s="112"/>
      <c r="L674" s="112"/>
      <c r="M674" s="112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</row>
    <row r="675" spans="1:29" ht="12" customHeight="1">
      <c r="A675" s="108"/>
      <c r="B675" s="109"/>
      <c r="C675" s="112"/>
      <c r="D675" s="112"/>
      <c r="E675" s="109"/>
      <c r="F675" s="109"/>
      <c r="G675" s="109"/>
      <c r="H675" s="111"/>
      <c r="I675" s="268"/>
      <c r="J675" s="112"/>
      <c r="K675" s="112"/>
      <c r="L675" s="112"/>
      <c r="M675" s="112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</row>
    <row r="676" spans="1:29" ht="12" customHeight="1">
      <c r="A676" s="108"/>
      <c r="B676" s="109"/>
      <c r="C676" s="112"/>
      <c r="D676" s="112"/>
      <c r="E676" s="109"/>
      <c r="F676" s="109"/>
      <c r="G676" s="109"/>
      <c r="H676" s="111"/>
      <c r="I676" s="268"/>
      <c r="J676" s="112"/>
      <c r="K676" s="112"/>
      <c r="L676" s="112"/>
      <c r="M676" s="112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</row>
    <row r="677" spans="1:29" ht="12" customHeight="1">
      <c r="A677" s="108"/>
      <c r="B677" s="109"/>
      <c r="C677" s="112"/>
      <c r="D677" s="112"/>
      <c r="E677" s="109"/>
      <c r="F677" s="109"/>
      <c r="G677" s="109"/>
      <c r="H677" s="111"/>
      <c r="I677" s="268"/>
      <c r="J677" s="112"/>
      <c r="K677" s="112"/>
      <c r="L677" s="112"/>
      <c r="M677" s="112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</row>
    <row r="678" spans="1:29" ht="12" customHeight="1">
      <c r="A678" s="108"/>
      <c r="B678" s="109"/>
      <c r="C678" s="112"/>
      <c r="D678" s="112"/>
      <c r="E678" s="109"/>
      <c r="F678" s="109"/>
      <c r="G678" s="109"/>
      <c r="H678" s="111"/>
      <c r="I678" s="268"/>
      <c r="J678" s="112"/>
      <c r="K678" s="112"/>
      <c r="L678" s="112"/>
      <c r="M678" s="112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</row>
    <row r="679" spans="1:29" ht="12" customHeight="1">
      <c r="A679" s="108"/>
      <c r="B679" s="109"/>
      <c r="C679" s="112"/>
      <c r="D679" s="112"/>
      <c r="E679" s="109"/>
      <c r="F679" s="109"/>
      <c r="G679" s="109"/>
      <c r="H679" s="111"/>
      <c r="I679" s="268"/>
      <c r="J679" s="112"/>
      <c r="K679" s="112"/>
      <c r="L679" s="112"/>
      <c r="M679" s="112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</row>
    <row r="680" spans="1:29" ht="12" customHeight="1">
      <c r="A680" s="108"/>
      <c r="B680" s="109"/>
      <c r="C680" s="112"/>
      <c r="D680" s="112"/>
      <c r="E680" s="109"/>
      <c r="F680" s="109"/>
      <c r="G680" s="109"/>
      <c r="H680" s="111"/>
      <c r="I680" s="268"/>
      <c r="J680" s="112"/>
      <c r="K680" s="112"/>
      <c r="L680" s="112"/>
      <c r="M680" s="112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</row>
    <row r="681" spans="1:29" ht="12" customHeight="1">
      <c r="A681" s="108"/>
      <c r="B681" s="109"/>
      <c r="C681" s="112"/>
      <c r="D681" s="112"/>
      <c r="E681" s="109"/>
      <c r="F681" s="109"/>
      <c r="G681" s="109"/>
      <c r="H681" s="111"/>
      <c r="I681" s="268"/>
      <c r="J681" s="112"/>
      <c r="K681" s="112"/>
      <c r="L681" s="112"/>
      <c r="M681" s="112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</row>
    <row r="682" spans="1:29" ht="12" customHeight="1">
      <c r="A682" s="108"/>
      <c r="B682" s="109"/>
      <c r="C682" s="112"/>
      <c r="D682" s="112"/>
      <c r="E682" s="109"/>
      <c r="F682" s="109"/>
      <c r="G682" s="109"/>
      <c r="H682" s="111"/>
      <c r="I682" s="268"/>
      <c r="J682" s="112"/>
      <c r="K682" s="112"/>
      <c r="L682" s="112"/>
      <c r="M682" s="112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</row>
    <row r="683" spans="1:29" ht="12" customHeight="1">
      <c r="A683" s="108"/>
      <c r="B683" s="109"/>
      <c r="C683" s="112"/>
      <c r="D683" s="112"/>
      <c r="E683" s="109"/>
      <c r="F683" s="109"/>
      <c r="G683" s="109"/>
      <c r="H683" s="111"/>
      <c r="I683" s="268"/>
      <c r="J683" s="112"/>
      <c r="K683" s="112"/>
      <c r="L683" s="112"/>
      <c r="M683" s="112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</row>
    <row r="684" spans="1:29" ht="12" customHeight="1">
      <c r="A684" s="108"/>
      <c r="B684" s="109"/>
      <c r="C684" s="112"/>
      <c r="D684" s="112"/>
      <c r="E684" s="109"/>
      <c r="F684" s="109"/>
      <c r="G684" s="109"/>
      <c r="H684" s="111"/>
      <c r="I684" s="268"/>
      <c r="J684" s="112"/>
      <c r="K684" s="112"/>
      <c r="L684" s="112"/>
      <c r="M684" s="112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</row>
    <row r="685" spans="1:29" ht="12" customHeight="1">
      <c r="A685" s="108"/>
      <c r="B685" s="109"/>
      <c r="C685" s="112"/>
      <c r="D685" s="112"/>
      <c r="E685" s="109"/>
      <c r="F685" s="109"/>
      <c r="G685" s="109"/>
      <c r="H685" s="111"/>
      <c r="I685" s="268"/>
      <c r="J685" s="112"/>
      <c r="K685" s="112"/>
      <c r="L685" s="112"/>
      <c r="M685" s="112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</row>
    <row r="686" spans="1:29" ht="12" customHeight="1">
      <c r="A686" s="108"/>
      <c r="B686" s="109"/>
      <c r="C686" s="112"/>
      <c r="D686" s="112"/>
      <c r="E686" s="109"/>
      <c r="F686" s="109"/>
      <c r="G686" s="109"/>
      <c r="H686" s="111"/>
      <c r="I686" s="268"/>
      <c r="J686" s="112"/>
      <c r="K686" s="112"/>
      <c r="L686" s="112"/>
      <c r="M686" s="112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</row>
    <row r="687" spans="1:29" ht="12" customHeight="1">
      <c r="A687" s="108"/>
      <c r="B687" s="109"/>
      <c r="C687" s="112"/>
      <c r="D687" s="112"/>
      <c r="E687" s="109"/>
      <c r="F687" s="109"/>
      <c r="G687" s="109"/>
      <c r="H687" s="111"/>
      <c r="I687" s="268"/>
      <c r="J687" s="112"/>
      <c r="K687" s="112"/>
      <c r="L687" s="112"/>
      <c r="M687" s="112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</row>
    <row r="688" spans="1:29" ht="12" customHeight="1">
      <c r="A688" s="108"/>
      <c r="B688" s="109"/>
      <c r="C688" s="112"/>
      <c r="D688" s="112"/>
      <c r="E688" s="109"/>
      <c r="F688" s="109"/>
      <c r="G688" s="109"/>
      <c r="H688" s="111"/>
      <c r="I688" s="268"/>
      <c r="J688" s="112"/>
      <c r="K688" s="112"/>
      <c r="L688" s="112"/>
      <c r="M688" s="112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</row>
    <row r="689" spans="1:29" ht="12" customHeight="1">
      <c r="A689" s="108"/>
      <c r="B689" s="109"/>
      <c r="C689" s="112"/>
      <c r="D689" s="112"/>
      <c r="E689" s="109"/>
      <c r="F689" s="109"/>
      <c r="G689" s="109"/>
      <c r="H689" s="111"/>
      <c r="I689" s="268"/>
      <c r="J689" s="112"/>
      <c r="K689" s="112"/>
      <c r="L689" s="112"/>
      <c r="M689" s="112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</row>
    <row r="690" spans="1:29" ht="12" customHeight="1">
      <c r="A690" s="108"/>
      <c r="B690" s="109"/>
      <c r="C690" s="112"/>
      <c r="D690" s="112"/>
      <c r="E690" s="109"/>
      <c r="F690" s="109"/>
      <c r="G690" s="109"/>
      <c r="H690" s="111"/>
      <c r="I690" s="268"/>
      <c r="J690" s="112"/>
      <c r="K690" s="112"/>
      <c r="L690" s="112"/>
      <c r="M690" s="112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</row>
    <row r="691" spans="1:29" ht="12" customHeight="1">
      <c r="A691" s="108"/>
      <c r="B691" s="109"/>
      <c r="C691" s="112"/>
      <c r="D691" s="112"/>
      <c r="E691" s="109"/>
      <c r="F691" s="109"/>
      <c r="G691" s="109"/>
      <c r="H691" s="111"/>
      <c r="I691" s="268"/>
      <c r="J691" s="112"/>
      <c r="K691" s="112"/>
      <c r="L691" s="112"/>
      <c r="M691" s="112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</row>
    <row r="692" spans="1:29" ht="12" customHeight="1">
      <c r="A692" s="108"/>
      <c r="B692" s="109"/>
      <c r="C692" s="112"/>
      <c r="D692" s="112"/>
      <c r="E692" s="109"/>
      <c r="F692" s="109"/>
      <c r="G692" s="109"/>
      <c r="H692" s="111"/>
      <c r="I692" s="268"/>
      <c r="J692" s="112"/>
      <c r="K692" s="112"/>
      <c r="L692" s="112"/>
      <c r="M692" s="112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</row>
    <row r="693" spans="1:29" ht="12" customHeight="1">
      <c r="A693" s="108"/>
      <c r="B693" s="109"/>
      <c r="C693" s="112"/>
      <c r="D693" s="112"/>
      <c r="E693" s="109"/>
      <c r="F693" s="109"/>
      <c r="G693" s="109"/>
      <c r="H693" s="111"/>
      <c r="I693" s="268"/>
      <c r="J693" s="112"/>
      <c r="K693" s="112"/>
      <c r="L693" s="112"/>
      <c r="M693" s="112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</row>
    <row r="694" spans="1:29" ht="12" customHeight="1">
      <c r="A694" s="108"/>
      <c r="B694" s="109"/>
      <c r="C694" s="112"/>
      <c r="D694" s="112"/>
      <c r="E694" s="109"/>
      <c r="F694" s="109"/>
      <c r="G694" s="109"/>
      <c r="H694" s="111"/>
      <c r="I694" s="268"/>
      <c r="J694" s="112"/>
      <c r="K694" s="112"/>
      <c r="L694" s="112"/>
      <c r="M694" s="112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</row>
    <row r="695" spans="1:29" ht="12" customHeight="1">
      <c r="A695" s="108"/>
      <c r="B695" s="109"/>
      <c r="C695" s="112"/>
      <c r="D695" s="112"/>
      <c r="E695" s="109"/>
      <c r="F695" s="109"/>
      <c r="G695" s="109"/>
      <c r="H695" s="111"/>
      <c r="I695" s="268"/>
      <c r="J695" s="112"/>
      <c r="K695" s="112"/>
      <c r="L695" s="112"/>
      <c r="M695" s="112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</row>
    <row r="696" spans="1:29" ht="12" customHeight="1">
      <c r="A696" s="108"/>
      <c r="B696" s="109"/>
      <c r="C696" s="112"/>
      <c r="D696" s="112"/>
      <c r="E696" s="109"/>
      <c r="F696" s="109"/>
      <c r="G696" s="109"/>
      <c r="H696" s="111"/>
      <c r="I696" s="268"/>
      <c r="J696" s="112"/>
      <c r="K696" s="112"/>
      <c r="L696" s="112"/>
      <c r="M696" s="112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</row>
    <row r="697" spans="1:29" ht="12" customHeight="1">
      <c r="A697" s="108"/>
      <c r="B697" s="109"/>
      <c r="C697" s="112"/>
      <c r="D697" s="112"/>
      <c r="E697" s="109"/>
      <c r="F697" s="109"/>
      <c r="G697" s="109"/>
      <c r="H697" s="111"/>
      <c r="I697" s="268"/>
      <c r="J697" s="112"/>
      <c r="K697" s="112"/>
      <c r="L697" s="112"/>
      <c r="M697" s="112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</row>
    <row r="698" spans="1:29" ht="12" customHeight="1">
      <c r="A698" s="108"/>
      <c r="B698" s="109"/>
      <c r="C698" s="112"/>
      <c r="D698" s="112"/>
      <c r="E698" s="109"/>
      <c r="F698" s="109"/>
      <c r="G698" s="109"/>
      <c r="H698" s="111"/>
      <c r="I698" s="268"/>
      <c r="J698" s="112"/>
      <c r="K698" s="112"/>
      <c r="L698" s="112"/>
      <c r="M698" s="112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</row>
    <row r="699" spans="1:29" ht="12" customHeight="1">
      <c r="A699" s="108"/>
      <c r="B699" s="109"/>
      <c r="C699" s="112"/>
      <c r="D699" s="112"/>
      <c r="E699" s="109"/>
      <c r="F699" s="109"/>
      <c r="G699" s="109"/>
      <c r="H699" s="111"/>
      <c r="I699" s="268"/>
      <c r="J699" s="112"/>
      <c r="K699" s="112"/>
      <c r="L699" s="112"/>
      <c r="M699" s="112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</row>
    <row r="700" spans="1:29" ht="12" customHeight="1">
      <c r="A700" s="108"/>
      <c r="B700" s="109"/>
      <c r="C700" s="112"/>
      <c r="D700" s="112"/>
      <c r="E700" s="109"/>
      <c r="F700" s="109"/>
      <c r="G700" s="109"/>
      <c r="H700" s="111"/>
      <c r="I700" s="268"/>
      <c r="J700" s="112"/>
      <c r="K700" s="112"/>
      <c r="L700" s="112"/>
      <c r="M700" s="112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</row>
    <row r="701" spans="1:29" ht="12" customHeight="1">
      <c r="A701" s="108"/>
      <c r="B701" s="109"/>
      <c r="C701" s="112"/>
      <c r="D701" s="112"/>
      <c r="E701" s="109"/>
      <c r="F701" s="109"/>
      <c r="G701" s="109"/>
      <c r="H701" s="111"/>
      <c r="I701" s="268"/>
      <c r="J701" s="112"/>
      <c r="K701" s="112"/>
      <c r="L701" s="112"/>
      <c r="M701" s="112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</row>
    <row r="702" spans="1:29" ht="12" customHeight="1">
      <c r="A702" s="108"/>
      <c r="B702" s="109"/>
      <c r="C702" s="112"/>
      <c r="D702" s="112"/>
      <c r="E702" s="109"/>
      <c r="F702" s="109"/>
      <c r="G702" s="109"/>
      <c r="H702" s="111"/>
      <c r="I702" s="268"/>
      <c r="J702" s="112"/>
      <c r="K702" s="112"/>
      <c r="L702" s="112"/>
      <c r="M702" s="112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</row>
    <row r="703" spans="1:29" ht="12" customHeight="1">
      <c r="A703" s="108"/>
      <c r="B703" s="109"/>
      <c r="C703" s="112"/>
      <c r="D703" s="112"/>
      <c r="E703" s="109"/>
      <c r="F703" s="109"/>
      <c r="G703" s="109"/>
      <c r="H703" s="111"/>
      <c r="I703" s="268"/>
      <c r="J703" s="112"/>
      <c r="K703" s="112"/>
      <c r="L703" s="112"/>
      <c r="M703" s="112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</row>
    <row r="704" spans="1:29" ht="12" customHeight="1">
      <c r="A704" s="108"/>
      <c r="B704" s="109"/>
      <c r="C704" s="112"/>
      <c r="D704" s="112"/>
      <c r="E704" s="109"/>
      <c r="F704" s="109"/>
      <c r="G704" s="109"/>
      <c r="H704" s="111"/>
      <c r="I704" s="268"/>
      <c r="J704" s="112"/>
      <c r="K704" s="112"/>
      <c r="L704" s="112"/>
      <c r="M704" s="112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</row>
    <row r="705" spans="1:29" ht="12" customHeight="1">
      <c r="A705" s="108"/>
      <c r="B705" s="109"/>
      <c r="C705" s="112"/>
      <c r="D705" s="112"/>
      <c r="E705" s="109"/>
      <c r="F705" s="109"/>
      <c r="G705" s="109"/>
      <c r="H705" s="111"/>
      <c r="I705" s="268"/>
      <c r="J705" s="112"/>
      <c r="K705" s="112"/>
      <c r="L705" s="112"/>
      <c r="M705" s="112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</row>
    <row r="706" spans="1:29" ht="12" customHeight="1">
      <c r="A706" s="108"/>
      <c r="B706" s="109"/>
      <c r="C706" s="112"/>
      <c r="D706" s="112"/>
      <c r="E706" s="109"/>
      <c r="F706" s="109"/>
      <c r="G706" s="109"/>
      <c r="H706" s="111"/>
      <c r="I706" s="268"/>
      <c r="J706" s="112"/>
      <c r="K706" s="112"/>
      <c r="L706" s="112"/>
      <c r="M706" s="112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</row>
    <row r="707" spans="1:29" ht="12" customHeight="1">
      <c r="A707" s="108"/>
      <c r="B707" s="109"/>
      <c r="C707" s="112"/>
      <c r="D707" s="112"/>
      <c r="E707" s="109"/>
      <c r="F707" s="109"/>
      <c r="G707" s="109"/>
      <c r="H707" s="111"/>
      <c r="I707" s="268"/>
      <c r="J707" s="112"/>
      <c r="K707" s="112"/>
      <c r="L707" s="112"/>
      <c r="M707" s="112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</row>
    <row r="708" spans="1:29" ht="12" customHeight="1">
      <c r="A708" s="108"/>
      <c r="B708" s="109"/>
      <c r="C708" s="112"/>
      <c r="D708" s="112"/>
      <c r="E708" s="109"/>
      <c r="F708" s="109"/>
      <c r="G708" s="109"/>
      <c r="H708" s="111"/>
      <c r="I708" s="268"/>
      <c r="J708" s="112"/>
      <c r="K708" s="112"/>
      <c r="L708" s="112"/>
      <c r="M708" s="112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</row>
    <row r="709" spans="1:29" ht="12" customHeight="1">
      <c r="A709" s="108"/>
      <c r="B709" s="109"/>
      <c r="C709" s="112"/>
      <c r="D709" s="112"/>
      <c r="E709" s="109"/>
      <c r="F709" s="109"/>
      <c r="G709" s="109"/>
      <c r="H709" s="111"/>
      <c r="I709" s="268"/>
      <c r="J709" s="112"/>
      <c r="K709" s="112"/>
      <c r="L709" s="112"/>
      <c r="M709" s="112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</row>
    <row r="710" spans="1:29" ht="12" customHeight="1">
      <c r="A710" s="108"/>
      <c r="B710" s="109"/>
      <c r="C710" s="112"/>
      <c r="D710" s="112"/>
      <c r="E710" s="109"/>
      <c r="F710" s="109"/>
      <c r="G710" s="109"/>
      <c r="H710" s="111"/>
      <c r="I710" s="268"/>
      <c r="J710" s="112"/>
      <c r="K710" s="112"/>
      <c r="L710" s="112"/>
      <c r="M710" s="112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</row>
    <row r="711" spans="1:29" ht="12" customHeight="1">
      <c r="A711" s="108"/>
      <c r="B711" s="109"/>
      <c r="C711" s="112"/>
      <c r="D711" s="112"/>
      <c r="E711" s="109"/>
      <c r="F711" s="109"/>
      <c r="G711" s="109"/>
      <c r="H711" s="111"/>
      <c r="I711" s="268"/>
      <c r="J711" s="112"/>
      <c r="K711" s="112"/>
      <c r="L711" s="112"/>
      <c r="M711" s="112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</row>
    <row r="712" spans="1:29" ht="12" customHeight="1">
      <c r="A712" s="108"/>
      <c r="B712" s="109"/>
      <c r="C712" s="112"/>
      <c r="D712" s="112"/>
      <c r="E712" s="109"/>
      <c r="F712" s="109"/>
      <c r="G712" s="109"/>
      <c r="H712" s="111"/>
      <c r="I712" s="268"/>
      <c r="J712" s="112"/>
      <c r="K712" s="112"/>
      <c r="L712" s="112"/>
      <c r="M712" s="112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</row>
    <row r="713" spans="1:29" ht="12" customHeight="1">
      <c r="A713" s="108"/>
      <c r="B713" s="109"/>
      <c r="C713" s="112"/>
      <c r="D713" s="112"/>
      <c r="E713" s="109"/>
      <c r="F713" s="109"/>
      <c r="G713" s="109"/>
      <c r="H713" s="111"/>
      <c r="I713" s="268"/>
      <c r="J713" s="112"/>
      <c r="K713" s="112"/>
      <c r="L713" s="112"/>
      <c r="M713" s="112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</row>
    <row r="714" spans="1:29" ht="12" customHeight="1">
      <c r="A714" s="108"/>
      <c r="B714" s="109"/>
      <c r="C714" s="112"/>
      <c r="D714" s="112"/>
      <c r="E714" s="109"/>
      <c r="F714" s="109"/>
      <c r="G714" s="109"/>
      <c r="H714" s="111"/>
      <c r="I714" s="268"/>
      <c r="J714" s="112"/>
      <c r="K714" s="112"/>
      <c r="L714" s="112"/>
      <c r="M714" s="112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</row>
    <row r="715" spans="1:29" ht="12" customHeight="1">
      <c r="A715" s="108"/>
      <c r="B715" s="109"/>
      <c r="C715" s="112"/>
      <c r="D715" s="112"/>
      <c r="E715" s="109"/>
      <c r="F715" s="109"/>
      <c r="G715" s="109"/>
      <c r="H715" s="111"/>
      <c r="I715" s="268"/>
      <c r="J715" s="112"/>
      <c r="K715" s="112"/>
      <c r="L715" s="112"/>
      <c r="M715" s="112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</row>
    <row r="716" spans="1:29" ht="12" customHeight="1">
      <c r="A716" s="108"/>
      <c r="B716" s="109"/>
      <c r="C716" s="112"/>
      <c r="D716" s="112"/>
      <c r="E716" s="109"/>
      <c r="F716" s="109"/>
      <c r="G716" s="109"/>
      <c r="H716" s="111"/>
      <c r="I716" s="268"/>
      <c r="J716" s="112"/>
      <c r="K716" s="112"/>
      <c r="L716" s="112"/>
      <c r="M716" s="112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</row>
    <row r="717" spans="1:29" ht="12" customHeight="1">
      <c r="A717" s="108"/>
      <c r="B717" s="109"/>
      <c r="C717" s="112"/>
      <c r="D717" s="112"/>
      <c r="E717" s="109"/>
      <c r="F717" s="109"/>
      <c r="G717" s="109"/>
      <c r="H717" s="111"/>
      <c r="I717" s="268"/>
      <c r="J717" s="112"/>
      <c r="K717" s="112"/>
      <c r="L717" s="112"/>
      <c r="M717" s="112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</row>
    <row r="718" spans="1:29" ht="12" customHeight="1">
      <c r="A718" s="108"/>
      <c r="B718" s="109"/>
      <c r="C718" s="112"/>
      <c r="D718" s="112"/>
      <c r="E718" s="109"/>
      <c r="F718" s="109"/>
      <c r="G718" s="109"/>
      <c r="H718" s="111"/>
      <c r="I718" s="268"/>
      <c r="J718" s="112"/>
      <c r="K718" s="112"/>
      <c r="L718" s="112"/>
      <c r="M718" s="112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</row>
    <row r="719" spans="1:29" ht="12" customHeight="1">
      <c r="A719" s="108"/>
      <c r="B719" s="109"/>
      <c r="C719" s="112"/>
      <c r="D719" s="112"/>
      <c r="E719" s="109"/>
      <c r="F719" s="109"/>
      <c r="G719" s="109"/>
      <c r="H719" s="111"/>
      <c r="I719" s="268"/>
      <c r="J719" s="112"/>
      <c r="K719" s="112"/>
      <c r="L719" s="112"/>
      <c r="M719" s="112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</row>
    <row r="720" spans="1:29" ht="12" customHeight="1">
      <c r="A720" s="108"/>
      <c r="B720" s="109"/>
      <c r="C720" s="112"/>
      <c r="D720" s="112"/>
      <c r="E720" s="109"/>
      <c r="F720" s="109"/>
      <c r="G720" s="109"/>
      <c r="H720" s="111"/>
      <c r="I720" s="268"/>
      <c r="J720" s="112"/>
      <c r="K720" s="112"/>
      <c r="L720" s="112"/>
      <c r="M720" s="112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</row>
    <row r="721" spans="1:29" ht="12" customHeight="1">
      <c r="A721" s="108"/>
      <c r="B721" s="109"/>
      <c r="C721" s="112"/>
      <c r="D721" s="112"/>
      <c r="E721" s="109"/>
      <c r="F721" s="109"/>
      <c r="G721" s="109"/>
      <c r="H721" s="111"/>
      <c r="I721" s="268"/>
      <c r="J721" s="112"/>
      <c r="K721" s="112"/>
      <c r="L721" s="112"/>
      <c r="M721" s="112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</row>
    <row r="722" spans="1:29" ht="12" customHeight="1">
      <c r="A722" s="108"/>
      <c r="B722" s="109"/>
      <c r="C722" s="112"/>
      <c r="D722" s="112"/>
      <c r="E722" s="109"/>
      <c r="F722" s="109"/>
      <c r="G722" s="109"/>
      <c r="H722" s="111"/>
      <c r="I722" s="268"/>
      <c r="J722" s="112"/>
      <c r="K722" s="112"/>
      <c r="L722" s="112"/>
      <c r="M722" s="112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</row>
    <row r="723" spans="1:29" ht="12" customHeight="1">
      <c r="A723" s="108"/>
      <c r="B723" s="109"/>
      <c r="C723" s="112"/>
      <c r="D723" s="112"/>
      <c r="E723" s="109"/>
      <c r="F723" s="109"/>
      <c r="G723" s="109"/>
      <c r="H723" s="111"/>
      <c r="I723" s="268"/>
      <c r="J723" s="112"/>
      <c r="K723" s="112"/>
      <c r="L723" s="112"/>
      <c r="M723" s="112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</row>
    <row r="724" spans="1:29" ht="12" customHeight="1">
      <c r="A724" s="108"/>
      <c r="B724" s="109"/>
      <c r="C724" s="112"/>
      <c r="D724" s="112"/>
      <c r="E724" s="109"/>
      <c r="F724" s="109"/>
      <c r="G724" s="109"/>
      <c r="H724" s="111"/>
      <c r="I724" s="268"/>
      <c r="J724" s="112"/>
      <c r="K724" s="112"/>
      <c r="L724" s="112"/>
      <c r="M724" s="112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</row>
    <row r="725" spans="1:29" ht="12" customHeight="1">
      <c r="A725" s="108"/>
      <c r="B725" s="109"/>
      <c r="C725" s="112"/>
      <c r="D725" s="112"/>
      <c r="E725" s="109"/>
      <c r="F725" s="109"/>
      <c r="G725" s="109"/>
      <c r="H725" s="111"/>
      <c r="I725" s="268"/>
      <c r="J725" s="112"/>
      <c r="K725" s="112"/>
      <c r="L725" s="112"/>
      <c r="M725" s="112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</row>
    <row r="726" spans="1:29" ht="12" customHeight="1">
      <c r="A726" s="108"/>
      <c r="B726" s="109"/>
      <c r="C726" s="112"/>
      <c r="D726" s="112"/>
      <c r="E726" s="109"/>
      <c r="F726" s="109"/>
      <c r="G726" s="109"/>
      <c r="H726" s="111"/>
      <c r="I726" s="268"/>
      <c r="J726" s="112"/>
      <c r="K726" s="112"/>
      <c r="L726" s="112"/>
      <c r="M726" s="112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</row>
    <row r="727" spans="1:29" ht="12" customHeight="1">
      <c r="A727" s="108"/>
      <c r="B727" s="109"/>
      <c r="C727" s="112"/>
      <c r="D727" s="112"/>
      <c r="E727" s="109"/>
      <c r="F727" s="109"/>
      <c r="G727" s="109"/>
      <c r="H727" s="111"/>
      <c r="I727" s="268"/>
      <c r="J727" s="112"/>
      <c r="K727" s="112"/>
      <c r="L727" s="112"/>
      <c r="M727" s="112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</row>
    <row r="728" spans="1:29" ht="12" customHeight="1">
      <c r="A728" s="108"/>
      <c r="B728" s="109"/>
      <c r="C728" s="112"/>
      <c r="D728" s="112"/>
      <c r="E728" s="109"/>
      <c r="F728" s="109"/>
      <c r="G728" s="109"/>
      <c r="H728" s="111"/>
      <c r="I728" s="268"/>
      <c r="J728" s="112"/>
      <c r="K728" s="112"/>
      <c r="L728" s="112"/>
      <c r="M728" s="112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</row>
    <row r="729" spans="1:29" ht="12" customHeight="1">
      <c r="A729" s="108"/>
      <c r="B729" s="109"/>
      <c r="C729" s="112"/>
      <c r="D729" s="112"/>
      <c r="E729" s="109"/>
      <c r="F729" s="109"/>
      <c r="G729" s="109"/>
      <c r="H729" s="111"/>
      <c r="I729" s="268"/>
      <c r="J729" s="112"/>
      <c r="K729" s="112"/>
      <c r="L729" s="112"/>
      <c r="M729" s="112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</row>
    <row r="730" spans="1:29" ht="12" customHeight="1">
      <c r="A730" s="108"/>
      <c r="B730" s="109"/>
      <c r="C730" s="112"/>
      <c r="D730" s="112"/>
      <c r="E730" s="109"/>
      <c r="F730" s="109"/>
      <c r="G730" s="109"/>
      <c r="H730" s="111"/>
      <c r="I730" s="268"/>
      <c r="J730" s="112"/>
      <c r="K730" s="112"/>
      <c r="L730" s="112"/>
      <c r="M730" s="112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</row>
    <row r="731" spans="1:29" ht="12" customHeight="1">
      <c r="A731" s="108"/>
      <c r="B731" s="109"/>
      <c r="C731" s="112"/>
      <c r="D731" s="112"/>
      <c r="E731" s="109"/>
      <c r="F731" s="109"/>
      <c r="G731" s="109"/>
      <c r="H731" s="111"/>
      <c r="I731" s="268"/>
      <c r="J731" s="112"/>
      <c r="K731" s="112"/>
      <c r="L731" s="112"/>
      <c r="M731" s="112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</row>
    <row r="732" spans="1:29" ht="12" customHeight="1">
      <c r="A732" s="108"/>
      <c r="B732" s="109"/>
      <c r="C732" s="112"/>
      <c r="D732" s="112"/>
      <c r="E732" s="109"/>
      <c r="F732" s="109"/>
      <c r="G732" s="109"/>
      <c r="H732" s="111"/>
      <c r="I732" s="268"/>
      <c r="J732" s="112"/>
      <c r="K732" s="112"/>
      <c r="L732" s="112"/>
      <c r="M732" s="112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</row>
    <row r="733" spans="1:29" ht="12" customHeight="1">
      <c r="A733" s="108"/>
      <c r="B733" s="109"/>
      <c r="C733" s="112"/>
      <c r="D733" s="112"/>
      <c r="E733" s="109"/>
      <c r="F733" s="109"/>
      <c r="G733" s="109"/>
      <c r="H733" s="111"/>
      <c r="I733" s="268"/>
      <c r="J733" s="112"/>
      <c r="K733" s="112"/>
      <c r="L733" s="112"/>
      <c r="M733" s="112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</row>
    <row r="734" spans="1:29" ht="12" customHeight="1">
      <c r="A734" s="108"/>
      <c r="B734" s="109"/>
      <c r="C734" s="112"/>
      <c r="D734" s="112"/>
      <c r="E734" s="109"/>
      <c r="F734" s="109"/>
      <c r="G734" s="109"/>
      <c r="H734" s="111"/>
      <c r="I734" s="268"/>
      <c r="J734" s="112"/>
      <c r="K734" s="112"/>
      <c r="L734" s="112"/>
      <c r="M734" s="112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</row>
    <row r="735" spans="1:29" ht="12" customHeight="1">
      <c r="A735" s="108"/>
      <c r="B735" s="109"/>
      <c r="C735" s="112"/>
      <c r="D735" s="112"/>
      <c r="E735" s="109"/>
      <c r="F735" s="109"/>
      <c r="G735" s="109"/>
      <c r="H735" s="111"/>
      <c r="I735" s="268"/>
      <c r="J735" s="112"/>
      <c r="K735" s="112"/>
      <c r="L735" s="112"/>
      <c r="M735" s="112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</row>
    <row r="736" spans="1:29" ht="12" customHeight="1">
      <c r="A736" s="108"/>
      <c r="B736" s="109"/>
      <c r="C736" s="112"/>
      <c r="D736" s="112"/>
      <c r="E736" s="109"/>
      <c r="F736" s="109"/>
      <c r="G736" s="109"/>
      <c r="H736" s="111"/>
      <c r="I736" s="268"/>
      <c r="J736" s="112"/>
      <c r="K736" s="112"/>
      <c r="L736" s="112"/>
      <c r="M736" s="112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</row>
    <row r="737" spans="1:29" ht="12" customHeight="1">
      <c r="A737" s="108"/>
      <c r="B737" s="109"/>
      <c r="C737" s="112"/>
      <c r="D737" s="112"/>
      <c r="E737" s="109"/>
      <c r="F737" s="109"/>
      <c r="G737" s="109"/>
      <c r="H737" s="111"/>
      <c r="I737" s="268"/>
      <c r="J737" s="112"/>
      <c r="K737" s="112"/>
      <c r="L737" s="112"/>
      <c r="M737" s="112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</row>
    <row r="738" spans="1:29" ht="12" customHeight="1">
      <c r="A738" s="108"/>
      <c r="B738" s="109"/>
      <c r="C738" s="112"/>
      <c r="D738" s="112"/>
      <c r="E738" s="109"/>
      <c r="F738" s="109"/>
      <c r="G738" s="109"/>
      <c r="H738" s="111"/>
      <c r="I738" s="268"/>
      <c r="J738" s="112"/>
      <c r="K738" s="112"/>
      <c r="L738" s="112"/>
      <c r="M738" s="112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</row>
    <row r="739" spans="1:29" ht="12" customHeight="1">
      <c r="A739" s="108"/>
      <c r="B739" s="109"/>
      <c r="C739" s="112"/>
      <c r="D739" s="112"/>
      <c r="E739" s="109"/>
      <c r="F739" s="109"/>
      <c r="G739" s="109"/>
      <c r="H739" s="111"/>
      <c r="I739" s="268"/>
      <c r="J739" s="112"/>
      <c r="K739" s="112"/>
      <c r="L739" s="112"/>
      <c r="M739" s="112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</row>
    <row r="740" spans="1:29" ht="12" customHeight="1">
      <c r="A740" s="108"/>
      <c r="B740" s="109"/>
      <c r="C740" s="112"/>
      <c r="D740" s="112"/>
      <c r="E740" s="109"/>
      <c r="F740" s="109"/>
      <c r="G740" s="109"/>
      <c r="H740" s="111"/>
      <c r="I740" s="268"/>
      <c r="J740" s="112"/>
      <c r="K740" s="112"/>
      <c r="L740" s="112"/>
      <c r="M740" s="112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</row>
    <row r="741" spans="1:29" ht="12" customHeight="1">
      <c r="A741" s="108"/>
      <c r="B741" s="109"/>
      <c r="C741" s="112"/>
      <c r="D741" s="112"/>
      <c r="E741" s="109"/>
      <c r="F741" s="109"/>
      <c r="G741" s="109"/>
      <c r="H741" s="111"/>
      <c r="I741" s="268"/>
      <c r="J741" s="112"/>
      <c r="K741" s="112"/>
      <c r="L741" s="112"/>
      <c r="M741" s="112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</row>
    <row r="742" spans="1:29" ht="12" customHeight="1">
      <c r="A742" s="108"/>
      <c r="B742" s="109"/>
      <c r="C742" s="112"/>
      <c r="D742" s="112"/>
      <c r="E742" s="109"/>
      <c r="F742" s="109"/>
      <c r="G742" s="109"/>
      <c r="H742" s="111"/>
      <c r="I742" s="268"/>
      <c r="J742" s="112"/>
      <c r="K742" s="112"/>
      <c r="L742" s="112"/>
      <c r="M742" s="112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</row>
    <row r="743" spans="1:29" ht="12" customHeight="1">
      <c r="A743" s="108"/>
      <c r="B743" s="109"/>
      <c r="C743" s="112"/>
      <c r="D743" s="112"/>
      <c r="E743" s="109"/>
      <c r="F743" s="109"/>
      <c r="G743" s="109"/>
      <c r="H743" s="111"/>
      <c r="I743" s="268"/>
      <c r="J743" s="112"/>
      <c r="K743" s="112"/>
      <c r="L743" s="112"/>
      <c r="M743" s="112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</row>
    <row r="744" spans="1:29" ht="12" customHeight="1">
      <c r="A744" s="108"/>
      <c r="B744" s="109"/>
      <c r="C744" s="112"/>
      <c r="D744" s="112"/>
      <c r="E744" s="109"/>
      <c r="F744" s="109"/>
      <c r="G744" s="109"/>
      <c r="H744" s="111"/>
      <c r="I744" s="268"/>
      <c r="J744" s="112"/>
      <c r="K744" s="112"/>
      <c r="L744" s="112"/>
      <c r="M744" s="112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</row>
    <row r="745" spans="1:29" ht="12" customHeight="1">
      <c r="A745" s="108"/>
      <c r="B745" s="109"/>
      <c r="C745" s="112"/>
      <c r="D745" s="112"/>
      <c r="E745" s="109"/>
      <c r="F745" s="109"/>
      <c r="G745" s="109"/>
      <c r="H745" s="111"/>
      <c r="I745" s="268"/>
      <c r="J745" s="112"/>
      <c r="K745" s="112"/>
      <c r="L745" s="112"/>
      <c r="M745" s="112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</row>
    <row r="746" spans="1:29" ht="12" customHeight="1">
      <c r="A746" s="108"/>
      <c r="B746" s="109"/>
      <c r="C746" s="112"/>
      <c r="D746" s="112"/>
      <c r="E746" s="109"/>
      <c r="F746" s="109"/>
      <c r="G746" s="109"/>
      <c r="H746" s="111"/>
      <c r="I746" s="268"/>
      <c r="J746" s="112"/>
      <c r="K746" s="112"/>
      <c r="L746" s="112"/>
      <c r="M746" s="112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</row>
    <row r="747" spans="1:29" ht="12" customHeight="1">
      <c r="A747" s="108"/>
      <c r="B747" s="109"/>
      <c r="C747" s="112"/>
      <c r="D747" s="112"/>
      <c r="E747" s="109"/>
      <c r="F747" s="109"/>
      <c r="G747" s="109"/>
      <c r="H747" s="111"/>
      <c r="I747" s="268"/>
      <c r="J747" s="112"/>
      <c r="K747" s="112"/>
      <c r="L747" s="112"/>
      <c r="M747" s="112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</row>
    <row r="748" spans="1:29" ht="12" customHeight="1">
      <c r="A748" s="108"/>
      <c r="B748" s="109"/>
      <c r="C748" s="112"/>
      <c r="D748" s="112"/>
      <c r="E748" s="109"/>
      <c r="F748" s="109"/>
      <c r="G748" s="109"/>
      <c r="H748" s="111"/>
      <c r="I748" s="268"/>
      <c r="J748" s="112"/>
      <c r="K748" s="112"/>
      <c r="L748" s="112"/>
      <c r="M748" s="112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</row>
    <row r="749" spans="1:29" ht="12" customHeight="1">
      <c r="A749" s="108"/>
      <c r="B749" s="109"/>
      <c r="C749" s="112"/>
      <c r="D749" s="112"/>
      <c r="E749" s="109"/>
      <c r="F749" s="109"/>
      <c r="G749" s="109"/>
      <c r="H749" s="111"/>
      <c r="I749" s="268"/>
      <c r="J749" s="112"/>
      <c r="K749" s="112"/>
      <c r="L749" s="112"/>
      <c r="M749" s="112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</row>
    <row r="750" spans="1:29" ht="12" customHeight="1">
      <c r="A750" s="108"/>
      <c r="B750" s="109"/>
      <c r="C750" s="112"/>
      <c r="D750" s="112"/>
      <c r="E750" s="109"/>
      <c r="F750" s="109"/>
      <c r="G750" s="109"/>
      <c r="H750" s="111"/>
      <c r="I750" s="268"/>
      <c r="J750" s="112"/>
      <c r="K750" s="112"/>
      <c r="L750" s="112"/>
      <c r="M750" s="112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</row>
    <row r="751" spans="1:29" ht="12" customHeight="1">
      <c r="A751" s="108"/>
      <c r="B751" s="109"/>
      <c r="C751" s="112"/>
      <c r="D751" s="112"/>
      <c r="E751" s="109"/>
      <c r="F751" s="109"/>
      <c r="G751" s="109"/>
      <c r="H751" s="111"/>
      <c r="I751" s="268"/>
      <c r="J751" s="112"/>
      <c r="K751" s="112"/>
      <c r="L751" s="112"/>
      <c r="M751" s="112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</row>
    <row r="752" spans="1:29" ht="12" customHeight="1">
      <c r="A752" s="108"/>
      <c r="B752" s="109"/>
      <c r="C752" s="112"/>
      <c r="D752" s="112"/>
      <c r="E752" s="109"/>
      <c r="F752" s="109"/>
      <c r="G752" s="109"/>
      <c r="H752" s="111"/>
      <c r="I752" s="268"/>
      <c r="J752" s="112"/>
      <c r="K752" s="112"/>
      <c r="L752" s="112"/>
      <c r="M752" s="112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</row>
    <row r="753" spans="1:29" ht="12" customHeight="1">
      <c r="A753" s="108"/>
      <c r="B753" s="109"/>
      <c r="C753" s="112"/>
      <c r="D753" s="112"/>
      <c r="E753" s="109"/>
      <c r="F753" s="109"/>
      <c r="G753" s="109"/>
      <c r="H753" s="111"/>
      <c r="I753" s="268"/>
      <c r="J753" s="112"/>
      <c r="K753" s="112"/>
      <c r="L753" s="112"/>
      <c r="M753" s="112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</row>
    <row r="754" spans="1:29" ht="12" customHeight="1">
      <c r="A754" s="108"/>
      <c r="B754" s="109"/>
      <c r="C754" s="112"/>
      <c r="D754" s="112"/>
      <c r="E754" s="109"/>
      <c r="F754" s="109"/>
      <c r="G754" s="109"/>
      <c r="H754" s="111"/>
      <c r="I754" s="268"/>
      <c r="J754" s="112"/>
      <c r="K754" s="112"/>
      <c r="L754" s="112"/>
      <c r="M754" s="112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</row>
    <row r="755" spans="1:29" ht="12" customHeight="1">
      <c r="A755" s="108"/>
      <c r="B755" s="109"/>
      <c r="C755" s="112"/>
      <c r="D755" s="112"/>
      <c r="E755" s="109"/>
      <c r="F755" s="109"/>
      <c r="G755" s="109"/>
      <c r="H755" s="111"/>
      <c r="I755" s="268"/>
      <c r="J755" s="112"/>
      <c r="K755" s="112"/>
      <c r="L755" s="112"/>
      <c r="M755" s="112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</row>
    <row r="756" spans="1:29" ht="12" customHeight="1">
      <c r="A756" s="108"/>
      <c r="B756" s="109"/>
      <c r="C756" s="112"/>
      <c r="D756" s="112"/>
      <c r="E756" s="109"/>
      <c r="F756" s="109"/>
      <c r="G756" s="109"/>
      <c r="H756" s="111"/>
      <c r="I756" s="268"/>
      <c r="J756" s="112"/>
      <c r="K756" s="112"/>
      <c r="L756" s="112"/>
      <c r="M756" s="112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</row>
    <row r="757" spans="1:29" ht="12" customHeight="1">
      <c r="A757" s="108"/>
      <c r="B757" s="109"/>
      <c r="C757" s="112"/>
      <c r="D757" s="112"/>
      <c r="E757" s="109"/>
      <c r="F757" s="109"/>
      <c r="G757" s="109"/>
      <c r="H757" s="111"/>
      <c r="I757" s="268"/>
      <c r="J757" s="112"/>
      <c r="K757" s="112"/>
      <c r="L757" s="112"/>
      <c r="M757" s="112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</row>
    <row r="758" spans="1:29" ht="12" customHeight="1">
      <c r="A758" s="108"/>
      <c r="B758" s="109"/>
      <c r="C758" s="112"/>
      <c r="D758" s="112"/>
      <c r="E758" s="109"/>
      <c r="F758" s="109"/>
      <c r="G758" s="109"/>
      <c r="H758" s="111"/>
      <c r="I758" s="268"/>
      <c r="J758" s="112"/>
      <c r="K758" s="112"/>
      <c r="L758" s="112"/>
      <c r="M758" s="112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</row>
    <row r="759" spans="1:29" ht="12" customHeight="1">
      <c r="A759" s="108"/>
      <c r="B759" s="109"/>
      <c r="C759" s="112"/>
      <c r="D759" s="112"/>
      <c r="E759" s="109"/>
      <c r="F759" s="109"/>
      <c r="G759" s="109"/>
      <c r="H759" s="111"/>
      <c r="I759" s="268"/>
      <c r="J759" s="112"/>
      <c r="K759" s="112"/>
      <c r="L759" s="112"/>
      <c r="M759" s="112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</row>
    <row r="760" spans="1:29" ht="12" customHeight="1">
      <c r="A760" s="108"/>
      <c r="B760" s="109"/>
      <c r="C760" s="112"/>
      <c r="D760" s="112"/>
      <c r="E760" s="109"/>
      <c r="F760" s="109"/>
      <c r="G760" s="109"/>
      <c r="H760" s="111"/>
      <c r="I760" s="268"/>
      <c r="J760" s="112"/>
      <c r="K760" s="112"/>
      <c r="L760" s="112"/>
      <c r="M760" s="112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</row>
    <row r="761" spans="1:29" ht="12" customHeight="1">
      <c r="A761" s="108"/>
      <c r="B761" s="109"/>
      <c r="C761" s="112"/>
      <c r="D761" s="112"/>
      <c r="E761" s="109"/>
      <c r="F761" s="109"/>
      <c r="G761" s="109"/>
      <c r="H761" s="111"/>
      <c r="I761" s="268"/>
      <c r="J761" s="112"/>
      <c r="K761" s="112"/>
      <c r="L761" s="112"/>
      <c r="M761" s="112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</row>
    <row r="762" spans="1:29" ht="12" customHeight="1">
      <c r="A762" s="108"/>
      <c r="B762" s="109"/>
      <c r="C762" s="112"/>
      <c r="D762" s="112"/>
      <c r="E762" s="109"/>
      <c r="F762" s="109"/>
      <c r="G762" s="109"/>
      <c r="H762" s="111"/>
      <c r="I762" s="268"/>
      <c r="J762" s="112"/>
      <c r="K762" s="112"/>
      <c r="L762" s="112"/>
      <c r="M762" s="112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</row>
    <row r="763" spans="1:29" ht="12" customHeight="1">
      <c r="A763" s="108"/>
      <c r="B763" s="109"/>
      <c r="C763" s="112"/>
      <c r="D763" s="112"/>
      <c r="E763" s="109"/>
      <c r="F763" s="109"/>
      <c r="G763" s="109"/>
      <c r="H763" s="111"/>
      <c r="I763" s="268"/>
      <c r="J763" s="112"/>
      <c r="K763" s="112"/>
      <c r="L763" s="112"/>
      <c r="M763" s="112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</row>
    <row r="764" spans="1:29" ht="12" customHeight="1">
      <c r="A764" s="108"/>
      <c r="B764" s="109"/>
      <c r="C764" s="112"/>
      <c r="D764" s="112"/>
      <c r="E764" s="109"/>
      <c r="F764" s="109"/>
      <c r="G764" s="109"/>
      <c r="H764" s="111"/>
      <c r="I764" s="268"/>
      <c r="J764" s="112"/>
      <c r="K764" s="112"/>
      <c r="L764" s="112"/>
      <c r="M764" s="112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</row>
    <row r="765" spans="1:29" ht="12" customHeight="1">
      <c r="A765" s="108"/>
      <c r="B765" s="109"/>
      <c r="C765" s="112"/>
      <c r="D765" s="112"/>
      <c r="E765" s="109"/>
      <c r="F765" s="109"/>
      <c r="G765" s="109"/>
      <c r="H765" s="111"/>
      <c r="I765" s="268"/>
      <c r="J765" s="112"/>
      <c r="K765" s="112"/>
      <c r="L765" s="112"/>
      <c r="M765" s="112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</row>
    <row r="766" spans="1:29" ht="12" customHeight="1">
      <c r="A766" s="108"/>
      <c r="B766" s="109"/>
      <c r="C766" s="112"/>
      <c r="D766" s="112"/>
      <c r="E766" s="109"/>
      <c r="F766" s="109"/>
      <c r="G766" s="109"/>
      <c r="H766" s="111"/>
      <c r="I766" s="268"/>
      <c r="J766" s="112"/>
      <c r="K766" s="112"/>
      <c r="L766" s="112"/>
      <c r="M766" s="112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</row>
    <row r="767" spans="1:29" ht="12" customHeight="1">
      <c r="A767" s="108"/>
      <c r="B767" s="109"/>
      <c r="C767" s="112"/>
      <c r="D767" s="112"/>
      <c r="E767" s="109"/>
      <c r="F767" s="109"/>
      <c r="G767" s="109"/>
      <c r="H767" s="111"/>
      <c r="I767" s="268"/>
      <c r="J767" s="112"/>
      <c r="K767" s="112"/>
      <c r="L767" s="112"/>
      <c r="M767" s="112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</row>
    <row r="768" spans="1:29" ht="12" customHeight="1">
      <c r="A768" s="108"/>
      <c r="B768" s="109"/>
      <c r="C768" s="112"/>
      <c r="D768" s="112"/>
      <c r="E768" s="109"/>
      <c r="F768" s="109"/>
      <c r="G768" s="109"/>
      <c r="H768" s="111"/>
      <c r="I768" s="268"/>
      <c r="J768" s="112"/>
      <c r="K768" s="112"/>
      <c r="L768" s="112"/>
      <c r="M768" s="112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</row>
    <row r="769" spans="1:29" ht="12" customHeight="1">
      <c r="A769" s="108"/>
      <c r="B769" s="109"/>
      <c r="C769" s="112"/>
      <c r="D769" s="112"/>
      <c r="E769" s="109"/>
      <c r="F769" s="109"/>
      <c r="G769" s="109"/>
      <c r="H769" s="111"/>
      <c r="I769" s="268"/>
      <c r="J769" s="112"/>
      <c r="K769" s="112"/>
      <c r="L769" s="112"/>
      <c r="M769" s="112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</row>
    <row r="770" spans="1:29" ht="12" customHeight="1">
      <c r="A770" s="108"/>
      <c r="B770" s="109"/>
      <c r="C770" s="112"/>
      <c r="D770" s="112"/>
      <c r="E770" s="109"/>
      <c r="F770" s="109"/>
      <c r="G770" s="109"/>
      <c r="H770" s="111"/>
      <c r="I770" s="268"/>
      <c r="J770" s="112"/>
      <c r="K770" s="112"/>
      <c r="L770" s="112"/>
      <c r="M770" s="112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</row>
    <row r="771" spans="1:29" ht="12" customHeight="1">
      <c r="A771" s="108"/>
      <c r="B771" s="109"/>
      <c r="C771" s="112"/>
      <c r="D771" s="112"/>
      <c r="E771" s="109"/>
      <c r="F771" s="109"/>
      <c r="G771" s="109"/>
      <c r="H771" s="111"/>
      <c r="I771" s="268"/>
      <c r="J771" s="112"/>
      <c r="K771" s="112"/>
      <c r="L771" s="112"/>
      <c r="M771" s="112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</row>
    <row r="772" spans="1:29" ht="12" customHeight="1">
      <c r="A772" s="108"/>
      <c r="B772" s="109"/>
      <c r="C772" s="112"/>
      <c r="D772" s="112"/>
      <c r="E772" s="109"/>
      <c r="F772" s="109"/>
      <c r="G772" s="109"/>
      <c r="H772" s="111"/>
      <c r="I772" s="268"/>
      <c r="J772" s="112"/>
      <c r="K772" s="112"/>
      <c r="L772" s="112"/>
      <c r="M772" s="112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</row>
    <row r="773" spans="1:29" ht="12" customHeight="1">
      <c r="A773" s="108"/>
      <c r="B773" s="109"/>
      <c r="C773" s="112"/>
      <c r="D773" s="112"/>
      <c r="E773" s="109"/>
      <c r="F773" s="109"/>
      <c r="G773" s="109"/>
      <c r="H773" s="111"/>
      <c r="I773" s="268"/>
      <c r="J773" s="112"/>
      <c r="K773" s="112"/>
      <c r="L773" s="112"/>
      <c r="M773" s="112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</row>
    <row r="774" spans="1:29" ht="12" customHeight="1">
      <c r="A774" s="108"/>
      <c r="B774" s="109"/>
      <c r="C774" s="112"/>
      <c r="D774" s="112"/>
      <c r="E774" s="109"/>
      <c r="F774" s="109"/>
      <c r="G774" s="109"/>
      <c r="H774" s="111"/>
      <c r="I774" s="268"/>
      <c r="J774" s="112"/>
      <c r="K774" s="112"/>
      <c r="L774" s="112"/>
      <c r="M774" s="112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</row>
    <row r="775" spans="1:29" ht="12" customHeight="1">
      <c r="A775" s="108"/>
      <c r="B775" s="109"/>
      <c r="C775" s="112"/>
      <c r="D775" s="112"/>
      <c r="E775" s="109"/>
      <c r="F775" s="109"/>
      <c r="G775" s="109"/>
      <c r="H775" s="111"/>
      <c r="I775" s="268"/>
      <c r="J775" s="112"/>
      <c r="K775" s="112"/>
      <c r="L775" s="112"/>
      <c r="M775" s="112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</row>
    <row r="776" spans="1:29" ht="12" customHeight="1">
      <c r="A776" s="108"/>
      <c r="B776" s="109"/>
      <c r="C776" s="112"/>
      <c r="D776" s="112"/>
      <c r="E776" s="109"/>
      <c r="F776" s="109"/>
      <c r="G776" s="109"/>
      <c r="H776" s="111"/>
      <c r="I776" s="268"/>
      <c r="J776" s="112"/>
      <c r="K776" s="112"/>
      <c r="L776" s="112"/>
      <c r="M776" s="112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</row>
    <row r="777" spans="1:29" ht="12" customHeight="1">
      <c r="A777" s="108"/>
      <c r="B777" s="109"/>
      <c r="C777" s="112"/>
      <c r="D777" s="112"/>
      <c r="E777" s="109"/>
      <c r="F777" s="109"/>
      <c r="G777" s="109"/>
      <c r="H777" s="111"/>
      <c r="I777" s="268"/>
      <c r="J777" s="112"/>
      <c r="K777" s="112"/>
      <c r="L777" s="112"/>
      <c r="M777" s="112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</row>
    <row r="778" spans="1:29" ht="12" customHeight="1">
      <c r="A778" s="108"/>
      <c r="B778" s="109"/>
      <c r="C778" s="112"/>
      <c r="D778" s="112"/>
      <c r="E778" s="109"/>
      <c r="F778" s="109"/>
      <c r="G778" s="109"/>
      <c r="H778" s="111"/>
      <c r="I778" s="268"/>
      <c r="J778" s="112"/>
      <c r="K778" s="112"/>
      <c r="L778" s="112"/>
      <c r="M778" s="112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</row>
    <row r="779" spans="1:29" ht="12" customHeight="1">
      <c r="A779" s="108"/>
      <c r="B779" s="109"/>
      <c r="C779" s="112"/>
      <c r="D779" s="112"/>
      <c r="E779" s="109"/>
      <c r="F779" s="109"/>
      <c r="G779" s="109"/>
      <c r="H779" s="111"/>
      <c r="I779" s="268"/>
      <c r="J779" s="112"/>
      <c r="K779" s="112"/>
      <c r="L779" s="112"/>
      <c r="M779" s="112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</row>
    <row r="780" spans="1:29" ht="12" customHeight="1">
      <c r="A780" s="108"/>
      <c r="B780" s="109"/>
      <c r="C780" s="112"/>
      <c r="D780" s="112"/>
      <c r="E780" s="109"/>
      <c r="F780" s="109"/>
      <c r="G780" s="109"/>
      <c r="H780" s="111"/>
      <c r="I780" s="268"/>
      <c r="J780" s="112"/>
      <c r="K780" s="112"/>
      <c r="L780" s="112"/>
      <c r="M780" s="112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</row>
    <row r="781" spans="1:29" ht="12" customHeight="1">
      <c r="A781" s="108"/>
      <c r="B781" s="109"/>
      <c r="C781" s="112"/>
      <c r="D781" s="112"/>
      <c r="E781" s="109"/>
      <c r="F781" s="109"/>
      <c r="G781" s="109"/>
      <c r="H781" s="111"/>
      <c r="I781" s="268"/>
      <c r="J781" s="112"/>
      <c r="K781" s="112"/>
      <c r="L781" s="112"/>
      <c r="M781" s="112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</row>
    <row r="782" spans="1:29" ht="12" customHeight="1">
      <c r="A782" s="108"/>
      <c r="B782" s="109"/>
      <c r="C782" s="112"/>
      <c r="D782" s="112"/>
      <c r="E782" s="109"/>
      <c r="F782" s="109"/>
      <c r="G782" s="109"/>
      <c r="H782" s="111"/>
      <c r="I782" s="268"/>
      <c r="J782" s="112"/>
      <c r="K782" s="112"/>
      <c r="L782" s="112"/>
      <c r="M782" s="112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</row>
    <row r="783" spans="1:29" ht="12" customHeight="1">
      <c r="A783" s="108"/>
      <c r="B783" s="109"/>
      <c r="C783" s="112"/>
      <c r="D783" s="112"/>
      <c r="E783" s="109"/>
      <c r="F783" s="109"/>
      <c r="G783" s="109"/>
      <c r="H783" s="111"/>
      <c r="I783" s="268"/>
      <c r="J783" s="112"/>
      <c r="K783" s="112"/>
      <c r="L783" s="112"/>
      <c r="M783" s="112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</row>
    <row r="784" spans="1:29" ht="12" customHeight="1">
      <c r="A784" s="108"/>
      <c r="B784" s="109"/>
      <c r="C784" s="112"/>
      <c r="D784" s="112"/>
      <c r="E784" s="109"/>
      <c r="F784" s="109"/>
      <c r="G784" s="109"/>
      <c r="H784" s="111"/>
      <c r="I784" s="268"/>
      <c r="J784" s="112"/>
      <c r="K784" s="112"/>
      <c r="L784" s="112"/>
      <c r="M784" s="112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</row>
    <row r="785" spans="1:29" ht="12" customHeight="1">
      <c r="A785" s="108"/>
      <c r="B785" s="109"/>
      <c r="C785" s="112"/>
      <c r="D785" s="112"/>
      <c r="E785" s="109"/>
      <c r="F785" s="109"/>
      <c r="G785" s="109"/>
      <c r="H785" s="111"/>
      <c r="I785" s="268"/>
      <c r="J785" s="112"/>
      <c r="K785" s="112"/>
      <c r="L785" s="112"/>
      <c r="M785" s="112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</row>
    <row r="786" spans="1:29" ht="12" customHeight="1">
      <c r="A786" s="108"/>
      <c r="B786" s="109"/>
      <c r="C786" s="112"/>
      <c r="D786" s="112"/>
      <c r="E786" s="109"/>
      <c r="F786" s="109"/>
      <c r="G786" s="109"/>
      <c r="H786" s="111"/>
      <c r="I786" s="268"/>
      <c r="J786" s="112"/>
      <c r="K786" s="112"/>
      <c r="L786" s="112"/>
      <c r="M786" s="112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</row>
    <row r="787" spans="1:29" ht="12" customHeight="1">
      <c r="A787" s="108"/>
      <c r="B787" s="109"/>
      <c r="C787" s="112"/>
      <c r="D787" s="112"/>
      <c r="E787" s="109"/>
      <c r="F787" s="109"/>
      <c r="G787" s="109"/>
      <c r="H787" s="111"/>
      <c r="I787" s="268"/>
      <c r="J787" s="112"/>
      <c r="K787" s="112"/>
      <c r="L787" s="112"/>
      <c r="M787" s="112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</row>
    <row r="788" spans="1:29" ht="12" customHeight="1">
      <c r="A788" s="108"/>
      <c r="B788" s="109"/>
      <c r="C788" s="112"/>
      <c r="D788" s="112"/>
      <c r="E788" s="109"/>
      <c r="F788" s="109"/>
      <c r="G788" s="109"/>
      <c r="H788" s="111"/>
      <c r="I788" s="268"/>
      <c r="J788" s="112"/>
      <c r="K788" s="112"/>
      <c r="L788" s="112"/>
      <c r="M788" s="112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</row>
    <row r="789" spans="1:29" ht="12" customHeight="1">
      <c r="A789" s="108"/>
      <c r="B789" s="109"/>
      <c r="C789" s="112"/>
      <c r="D789" s="112"/>
      <c r="E789" s="109"/>
      <c r="F789" s="109"/>
      <c r="G789" s="109"/>
      <c r="H789" s="111"/>
      <c r="I789" s="268"/>
      <c r="J789" s="112"/>
      <c r="K789" s="112"/>
      <c r="L789" s="112"/>
      <c r="M789" s="112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</row>
    <row r="790" spans="1:29" ht="12" customHeight="1">
      <c r="A790" s="108"/>
      <c r="B790" s="109"/>
      <c r="C790" s="112"/>
      <c r="D790" s="112"/>
      <c r="E790" s="109"/>
      <c r="F790" s="109"/>
      <c r="G790" s="109"/>
      <c r="H790" s="111"/>
      <c r="I790" s="268"/>
      <c r="J790" s="112"/>
      <c r="K790" s="112"/>
      <c r="L790" s="112"/>
      <c r="M790" s="112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</row>
    <row r="791" spans="1:29" ht="12" customHeight="1">
      <c r="A791" s="108"/>
      <c r="B791" s="109"/>
      <c r="C791" s="112"/>
      <c r="D791" s="112"/>
      <c r="E791" s="109"/>
      <c r="F791" s="109"/>
      <c r="G791" s="109"/>
      <c r="H791" s="111"/>
      <c r="I791" s="268"/>
      <c r="J791" s="112"/>
      <c r="K791" s="112"/>
      <c r="L791" s="112"/>
      <c r="M791" s="112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</row>
    <row r="792" spans="1:29" ht="12" customHeight="1">
      <c r="A792" s="108"/>
      <c r="B792" s="109"/>
      <c r="C792" s="112"/>
      <c r="D792" s="112"/>
      <c r="E792" s="109"/>
      <c r="F792" s="109"/>
      <c r="G792" s="109"/>
      <c r="H792" s="111"/>
      <c r="I792" s="268"/>
      <c r="J792" s="112"/>
      <c r="K792" s="112"/>
      <c r="L792" s="112"/>
      <c r="M792" s="112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</row>
    <row r="793" spans="1:29" ht="12" customHeight="1">
      <c r="A793" s="108"/>
      <c r="B793" s="109"/>
      <c r="C793" s="112"/>
      <c r="D793" s="112"/>
      <c r="E793" s="109"/>
      <c r="F793" s="109"/>
      <c r="G793" s="109"/>
      <c r="H793" s="111"/>
      <c r="I793" s="268"/>
      <c r="J793" s="112"/>
      <c r="K793" s="112"/>
      <c r="L793" s="112"/>
      <c r="M793" s="112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</row>
    <row r="794" spans="1:29" ht="12" customHeight="1">
      <c r="A794" s="108"/>
      <c r="B794" s="109"/>
      <c r="C794" s="112"/>
      <c r="D794" s="112"/>
      <c r="E794" s="109"/>
      <c r="F794" s="109"/>
      <c r="G794" s="109"/>
      <c r="H794" s="111"/>
      <c r="I794" s="268"/>
      <c r="J794" s="112"/>
      <c r="K794" s="112"/>
      <c r="L794" s="112"/>
      <c r="M794" s="112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</row>
    <row r="795" spans="1:29" ht="12" customHeight="1">
      <c r="A795" s="108"/>
      <c r="B795" s="109"/>
      <c r="C795" s="112"/>
      <c r="D795" s="112"/>
      <c r="E795" s="109"/>
      <c r="F795" s="109"/>
      <c r="G795" s="109"/>
      <c r="H795" s="111"/>
      <c r="I795" s="268"/>
      <c r="J795" s="112"/>
      <c r="K795" s="112"/>
      <c r="L795" s="112"/>
      <c r="M795" s="112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</row>
    <row r="796" spans="1:29" ht="12" customHeight="1">
      <c r="A796" s="108"/>
      <c r="B796" s="109"/>
      <c r="C796" s="112"/>
      <c r="D796" s="112"/>
      <c r="E796" s="109"/>
      <c r="F796" s="109"/>
      <c r="G796" s="109"/>
      <c r="H796" s="111"/>
      <c r="I796" s="268"/>
      <c r="J796" s="112"/>
      <c r="K796" s="112"/>
      <c r="L796" s="112"/>
      <c r="M796" s="112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</row>
    <row r="797" spans="1:29" ht="12" customHeight="1">
      <c r="A797" s="108"/>
      <c r="B797" s="109"/>
      <c r="C797" s="112"/>
      <c r="D797" s="112"/>
      <c r="E797" s="109"/>
      <c r="F797" s="109"/>
      <c r="G797" s="109"/>
      <c r="H797" s="111"/>
      <c r="I797" s="268"/>
      <c r="J797" s="112"/>
      <c r="K797" s="112"/>
      <c r="L797" s="112"/>
      <c r="M797" s="112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</row>
    <row r="798" spans="1:29" ht="12" customHeight="1">
      <c r="A798" s="108"/>
      <c r="B798" s="109"/>
      <c r="C798" s="112"/>
      <c r="D798" s="112"/>
      <c r="E798" s="109"/>
      <c r="F798" s="109"/>
      <c r="G798" s="109"/>
      <c r="H798" s="111"/>
      <c r="I798" s="268"/>
      <c r="J798" s="112"/>
      <c r="K798" s="112"/>
      <c r="L798" s="112"/>
      <c r="M798" s="112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</row>
    <row r="799" spans="1:29" ht="12" customHeight="1">
      <c r="A799" s="108"/>
      <c r="B799" s="109"/>
      <c r="C799" s="112"/>
      <c r="D799" s="112"/>
      <c r="E799" s="109"/>
      <c r="F799" s="109"/>
      <c r="G799" s="109"/>
      <c r="H799" s="111"/>
      <c r="I799" s="268"/>
      <c r="J799" s="112"/>
      <c r="K799" s="112"/>
      <c r="L799" s="112"/>
      <c r="M799" s="112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</row>
    <row r="800" spans="1:29" ht="12" customHeight="1">
      <c r="A800" s="108"/>
      <c r="B800" s="109"/>
      <c r="C800" s="112"/>
      <c r="D800" s="112"/>
      <c r="E800" s="109"/>
      <c r="F800" s="109"/>
      <c r="G800" s="109"/>
      <c r="H800" s="111"/>
      <c r="I800" s="268"/>
      <c r="J800" s="112"/>
      <c r="K800" s="112"/>
      <c r="L800" s="112"/>
      <c r="M800" s="112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</row>
    <row r="801" spans="1:29" ht="12" customHeight="1">
      <c r="A801" s="108"/>
      <c r="B801" s="109"/>
      <c r="C801" s="112"/>
      <c r="D801" s="112"/>
      <c r="E801" s="109"/>
      <c r="F801" s="109"/>
      <c r="G801" s="109"/>
      <c r="H801" s="111"/>
      <c r="I801" s="268"/>
      <c r="J801" s="112"/>
      <c r="K801" s="112"/>
      <c r="L801" s="112"/>
      <c r="M801" s="112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</row>
    <row r="802" spans="1:29" ht="12" customHeight="1">
      <c r="A802" s="108"/>
      <c r="B802" s="109"/>
      <c r="C802" s="112"/>
      <c r="D802" s="112"/>
      <c r="E802" s="109"/>
      <c r="F802" s="109"/>
      <c r="G802" s="109"/>
      <c r="H802" s="111"/>
      <c r="I802" s="268"/>
      <c r="J802" s="112"/>
      <c r="K802" s="112"/>
      <c r="L802" s="112"/>
      <c r="M802" s="112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</row>
    <row r="803" spans="1:29" ht="12" customHeight="1">
      <c r="A803" s="108"/>
      <c r="B803" s="109"/>
      <c r="C803" s="112"/>
      <c r="D803" s="112"/>
      <c r="E803" s="109"/>
      <c r="F803" s="109"/>
      <c r="G803" s="109"/>
      <c r="H803" s="111"/>
      <c r="I803" s="268"/>
      <c r="J803" s="112"/>
      <c r="K803" s="112"/>
      <c r="L803" s="112"/>
      <c r="M803" s="112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</row>
    <row r="804" spans="1:29" ht="12" customHeight="1">
      <c r="A804" s="108"/>
      <c r="B804" s="109"/>
      <c r="C804" s="112"/>
      <c r="D804" s="112"/>
      <c r="E804" s="109"/>
      <c r="F804" s="109"/>
      <c r="G804" s="109"/>
      <c r="H804" s="111"/>
      <c r="I804" s="268"/>
      <c r="J804" s="112"/>
      <c r="K804" s="112"/>
      <c r="L804" s="112"/>
      <c r="M804" s="112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</row>
    <row r="805" spans="1:29" ht="12" customHeight="1">
      <c r="A805" s="108"/>
      <c r="B805" s="109"/>
      <c r="C805" s="112"/>
      <c r="D805" s="112"/>
      <c r="E805" s="109"/>
      <c r="F805" s="109"/>
      <c r="G805" s="109"/>
      <c r="H805" s="111"/>
      <c r="I805" s="268"/>
      <c r="J805" s="112"/>
      <c r="K805" s="112"/>
      <c r="L805" s="112"/>
      <c r="M805" s="112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</row>
    <row r="806" spans="1:29" ht="12" customHeight="1">
      <c r="A806" s="108"/>
      <c r="B806" s="109"/>
      <c r="C806" s="112"/>
      <c r="D806" s="112"/>
      <c r="E806" s="109"/>
      <c r="F806" s="109"/>
      <c r="G806" s="109"/>
      <c r="H806" s="111"/>
      <c r="I806" s="268"/>
      <c r="J806" s="112"/>
      <c r="K806" s="112"/>
      <c r="L806" s="112"/>
      <c r="M806" s="112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</row>
    <row r="807" spans="1:29" ht="12" customHeight="1">
      <c r="A807" s="108"/>
      <c r="B807" s="109"/>
      <c r="C807" s="112"/>
      <c r="D807" s="112"/>
      <c r="E807" s="109"/>
      <c r="F807" s="109"/>
      <c r="G807" s="109"/>
      <c r="H807" s="111"/>
      <c r="I807" s="268"/>
      <c r="J807" s="112"/>
      <c r="K807" s="112"/>
      <c r="L807" s="112"/>
      <c r="M807" s="112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</row>
    <row r="808" spans="1:29" ht="12" customHeight="1">
      <c r="A808" s="108"/>
      <c r="B808" s="109"/>
      <c r="C808" s="112"/>
      <c r="D808" s="112"/>
      <c r="E808" s="109"/>
      <c r="F808" s="109"/>
      <c r="G808" s="109"/>
      <c r="H808" s="111"/>
      <c r="I808" s="268"/>
      <c r="J808" s="112"/>
      <c r="K808" s="112"/>
      <c r="L808" s="112"/>
      <c r="M808" s="112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</row>
    <row r="809" spans="1:29" ht="12" customHeight="1">
      <c r="A809" s="108"/>
      <c r="B809" s="109"/>
      <c r="C809" s="112"/>
      <c r="D809" s="112"/>
      <c r="E809" s="109"/>
      <c r="F809" s="109"/>
      <c r="G809" s="109"/>
      <c r="H809" s="111"/>
      <c r="I809" s="268"/>
      <c r="J809" s="112"/>
      <c r="K809" s="112"/>
      <c r="L809" s="112"/>
      <c r="M809" s="112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</row>
    <row r="810" spans="1:29" ht="12" customHeight="1">
      <c r="A810" s="108"/>
      <c r="B810" s="109"/>
      <c r="C810" s="112"/>
      <c r="D810" s="112"/>
      <c r="E810" s="109"/>
      <c r="F810" s="109"/>
      <c r="G810" s="109"/>
      <c r="H810" s="111"/>
      <c r="I810" s="268"/>
      <c r="J810" s="112"/>
      <c r="K810" s="112"/>
      <c r="L810" s="112"/>
      <c r="M810" s="112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</row>
    <row r="811" spans="1:29" ht="12" customHeight="1">
      <c r="A811" s="108"/>
      <c r="B811" s="109"/>
      <c r="C811" s="112"/>
      <c r="D811" s="112"/>
      <c r="E811" s="109"/>
      <c r="F811" s="109"/>
      <c r="G811" s="109"/>
      <c r="H811" s="111"/>
      <c r="I811" s="268"/>
      <c r="J811" s="112"/>
      <c r="K811" s="112"/>
      <c r="L811" s="112"/>
      <c r="M811" s="112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</row>
    <row r="812" spans="1:29" ht="12" customHeight="1">
      <c r="A812" s="108"/>
      <c r="B812" s="109"/>
      <c r="C812" s="112"/>
      <c r="D812" s="112"/>
      <c r="E812" s="109"/>
      <c r="F812" s="109"/>
      <c r="G812" s="109"/>
      <c r="H812" s="111"/>
      <c r="I812" s="268"/>
      <c r="J812" s="112"/>
      <c r="K812" s="112"/>
      <c r="L812" s="112"/>
      <c r="M812" s="112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</row>
    <row r="813" spans="1:29" ht="12" customHeight="1">
      <c r="A813" s="108"/>
      <c r="B813" s="109"/>
      <c r="C813" s="112"/>
      <c r="D813" s="112"/>
      <c r="E813" s="109"/>
      <c r="F813" s="109"/>
      <c r="G813" s="109"/>
      <c r="H813" s="111"/>
      <c r="I813" s="268"/>
      <c r="J813" s="112"/>
      <c r="K813" s="112"/>
      <c r="L813" s="112"/>
      <c r="M813" s="112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</row>
    <row r="814" spans="1:29" ht="12" customHeight="1">
      <c r="A814" s="108"/>
      <c r="B814" s="109"/>
      <c r="C814" s="112"/>
      <c r="D814" s="112"/>
      <c r="E814" s="109"/>
      <c r="F814" s="109"/>
      <c r="G814" s="109"/>
      <c r="H814" s="111"/>
      <c r="I814" s="268"/>
      <c r="J814" s="112"/>
      <c r="K814" s="112"/>
      <c r="L814" s="112"/>
      <c r="M814" s="112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</row>
    <row r="815" spans="1:29" ht="12" customHeight="1">
      <c r="A815" s="108"/>
      <c r="B815" s="109"/>
      <c r="C815" s="112"/>
      <c r="D815" s="112"/>
      <c r="E815" s="109"/>
      <c r="F815" s="109"/>
      <c r="G815" s="109"/>
      <c r="H815" s="111"/>
      <c r="I815" s="268"/>
      <c r="J815" s="112"/>
      <c r="K815" s="112"/>
      <c r="L815" s="112"/>
      <c r="M815" s="112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</row>
    <row r="816" spans="1:29" ht="12" customHeight="1">
      <c r="A816" s="108"/>
      <c r="B816" s="109"/>
      <c r="C816" s="112"/>
      <c r="D816" s="112"/>
      <c r="E816" s="109"/>
      <c r="F816" s="109"/>
      <c r="G816" s="109"/>
      <c r="H816" s="111"/>
      <c r="I816" s="268"/>
      <c r="J816" s="112"/>
      <c r="K816" s="112"/>
      <c r="L816" s="112"/>
      <c r="M816" s="112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</row>
    <row r="817" spans="1:29" ht="12" customHeight="1">
      <c r="A817" s="108"/>
      <c r="B817" s="109"/>
      <c r="C817" s="112"/>
      <c r="D817" s="112"/>
      <c r="E817" s="109"/>
      <c r="F817" s="109"/>
      <c r="G817" s="109"/>
      <c r="H817" s="111"/>
      <c r="I817" s="268"/>
      <c r="J817" s="112"/>
      <c r="K817" s="112"/>
      <c r="L817" s="112"/>
      <c r="M817" s="112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</row>
    <row r="818" spans="1:29" ht="12" customHeight="1">
      <c r="A818" s="108"/>
      <c r="B818" s="109"/>
      <c r="C818" s="112"/>
      <c r="D818" s="112"/>
      <c r="E818" s="109"/>
      <c r="F818" s="109"/>
      <c r="G818" s="109"/>
      <c r="H818" s="111"/>
      <c r="I818" s="268"/>
      <c r="J818" s="112"/>
      <c r="K818" s="112"/>
      <c r="L818" s="112"/>
      <c r="M818" s="112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</row>
    <row r="819" spans="1:29" ht="12" customHeight="1">
      <c r="A819" s="108"/>
      <c r="B819" s="109"/>
      <c r="C819" s="112"/>
      <c r="D819" s="112"/>
      <c r="E819" s="109"/>
      <c r="F819" s="109"/>
      <c r="G819" s="109"/>
      <c r="H819" s="111"/>
      <c r="I819" s="268"/>
      <c r="J819" s="112"/>
      <c r="K819" s="112"/>
      <c r="L819" s="112"/>
      <c r="M819" s="112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</row>
    <row r="820" spans="1:29" ht="12" customHeight="1">
      <c r="A820" s="108"/>
      <c r="B820" s="109"/>
      <c r="C820" s="112"/>
      <c r="D820" s="112"/>
      <c r="E820" s="109"/>
      <c r="F820" s="109"/>
      <c r="G820" s="109"/>
      <c r="H820" s="111"/>
      <c r="I820" s="268"/>
      <c r="J820" s="112"/>
      <c r="K820" s="112"/>
      <c r="L820" s="112"/>
      <c r="M820" s="112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</row>
    <row r="821" spans="1:29" ht="12" customHeight="1">
      <c r="A821" s="108"/>
      <c r="B821" s="109"/>
      <c r="C821" s="112"/>
      <c r="D821" s="112"/>
      <c r="E821" s="109"/>
      <c r="F821" s="109"/>
      <c r="G821" s="109"/>
      <c r="H821" s="111"/>
      <c r="I821" s="268"/>
      <c r="J821" s="112"/>
      <c r="K821" s="112"/>
      <c r="L821" s="112"/>
      <c r="M821" s="112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</row>
    <row r="822" spans="1:29" ht="12" customHeight="1">
      <c r="A822" s="108"/>
      <c r="B822" s="109"/>
      <c r="C822" s="112"/>
      <c r="D822" s="112"/>
      <c r="E822" s="109"/>
      <c r="F822" s="109"/>
      <c r="G822" s="109"/>
      <c r="H822" s="111"/>
      <c r="I822" s="268"/>
      <c r="J822" s="112"/>
      <c r="K822" s="112"/>
      <c r="L822" s="112"/>
      <c r="M822" s="112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</row>
    <row r="823" spans="1:29" ht="12" customHeight="1">
      <c r="A823" s="108"/>
      <c r="B823" s="109"/>
      <c r="C823" s="112"/>
      <c r="D823" s="112"/>
      <c r="E823" s="109"/>
      <c r="F823" s="109"/>
      <c r="G823" s="109"/>
      <c r="H823" s="111"/>
      <c r="I823" s="268"/>
      <c r="J823" s="112"/>
      <c r="K823" s="112"/>
      <c r="L823" s="112"/>
      <c r="M823" s="112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</row>
    <row r="824" spans="1:29" ht="12" customHeight="1">
      <c r="A824" s="108"/>
      <c r="B824" s="109"/>
      <c r="C824" s="112"/>
      <c r="D824" s="112"/>
      <c r="E824" s="109"/>
      <c r="F824" s="109"/>
      <c r="G824" s="109"/>
      <c r="H824" s="111"/>
      <c r="I824" s="268"/>
      <c r="J824" s="112"/>
      <c r="K824" s="112"/>
      <c r="L824" s="112"/>
      <c r="M824" s="112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</row>
    <row r="825" spans="1:29" ht="12" customHeight="1">
      <c r="A825" s="108"/>
      <c r="B825" s="109"/>
      <c r="C825" s="112"/>
      <c r="D825" s="112"/>
      <c r="E825" s="109"/>
      <c r="F825" s="109"/>
      <c r="G825" s="109"/>
      <c r="H825" s="111"/>
      <c r="I825" s="268"/>
      <c r="J825" s="112"/>
      <c r="K825" s="112"/>
      <c r="L825" s="112"/>
      <c r="M825" s="112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</row>
    <row r="826" spans="1:29" ht="12" customHeight="1">
      <c r="A826" s="108"/>
      <c r="B826" s="109"/>
      <c r="C826" s="112"/>
      <c r="D826" s="112"/>
      <c r="E826" s="109"/>
      <c r="F826" s="109"/>
      <c r="G826" s="109"/>
      <c r="H826" s="111"/>
      <c r="I826" s="268"/>
      <c r="J826" s="112"/>
      <c r="K826" s="112"/>
      <c r="L826" s="112"/>
      <c r="M826" s="112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</row>
    <row r="827" spans="1:29" ht="12" customHeight="1">
      <c r="A827" s="108"/>
      <c r="B827" s="109"/>
      <c r="C827" s="112"/>
      <c r="D827" s="112"/>
      <c r="E827" s="109"/>
      <c r="F827" s="109"/>
      <c r="G827" s="109"/>
      <c r="H827" s="111"/>
      <c r="I827" s="268"/>
      <c r="J827" s="112"/>
      <c r="K827" s="112"/>
      <c r="L827" s="112"/>
      <c r="M827" s="112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</row>
    <row r="828" spans="1:29" ht="12" customHeight="1">
      <c r="A828" s="108"/>
      <c r="B828" s="109"/>
      <c r="C828" s="112"/>
      <c r="D828" s="112"/>
      <c r="E828" s="109"/>
      <c r="F828" s="109"/>
      <c r="G828" s="109"/>
      <c r="H828" s="111"/>
      <c r="I828" s="268"/>
      <c r="J828" s="112"/>
      <c r="K828" s="112"/>
      <c r="L828" s="112"/>
      <c r="M828" s="112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</row>
    <row r="829" spans="1:29" ht="12" customHeight="1">
      <c r="A829" s="108"/>
      <c r="B829" s="109"/>
      <c r="C829" s="112"/>
      <c r="D829" s="112"/>
      <c r="E829" s="109"/>
      <c r="F829" s="109"/>
      <c r="G829" s="109"/>
      <c r="H829" s="111"/>
      <c r="I829" s="268"/>
      <c r="J829" s="112"/>
      <c r="K829" s="112"/>
      <c r="L829" s="112"/>
      <c r="M829" s="112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</row>
    <row r="830" spans="1:29" ht="12" customHeight="1">
      <c r="A830" s="108"/>
      <c r="B830" s="109"/>
      <c r="C830" s="112"/>
      <c r="D830" s="112"/>
      <c r="E830" s="109"/>
      <c r="F830" s="109"/>
      <c r="G830" s="109"/>
      <c r="H830" s="111"/>
      <c r="I830" s="268"/>
      <c r="J830" s="112"/>
      <c r="K830" s="112"/>
      <c r="L830" s="112"/>
      <c r="M830" s="112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</row>
    <row r="831" spans="1:29" ht="12" customHeight="1">
      <c r="A831" s="108"/>
      <c r="B831" s="109"/>
      <c r="C831" s="112"/>
      <c r="D831" s="112"/>
      <c r="E831" s="109"/>
      <c r="F831" s="109"/>
      <c r="G831" s="109"/>
      <c r="H831" s="111"/>
      <c r="I831" s="268"/>
      <c r="J831" s="112"/>
      <c r="K831" s="112"/>
      <c r="L831" s="112"/>
      <c r="M831" s="112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</row>
    <row r="832" spans="1:29" ht="12" customHeight="1">
      <c r="A832" s="108"/>
      <c r="B832" s="109"/>
      <c r="C832" s="112"/>
      <c r="D832" s="112"/>
      <c r="E832" s="109"/>
      <c r="F832" s="109"/>
      <c r="G832" s="109"/>
      <c r="H832" s="111"/>
      <c r="I832" s="268"/>
      <c r="J832" s="112"/>
      <c r="K832" s="112"/>
      <c r="L832" s="112"/>
      <c r="M832" s="112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</row>
    <row r="833" spans="1:29" ht="12" customHeight="1">
      <c r="A833" s="108"/>
      <c r="B833" s="109"/>
      <c r="C833" s="112"/>
      <c r="D833" s="112"/>
      <c r="E833" s="109"/>
      <c r="F833" s="109"/>
      <c r="G833" s="109"/>
      <c r="H833" s="111"/>
      <c r="I833" s="268"/>
      <c r="J833" s="112"/>
      <c r="K833" s="112"/>
      <c r="L833" s="112"/>
      <c r="M833" s="112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</row>
    <row r="834" spans="1:29" ht="12" customHeight="1">
      <c r="A834" s="108"/>
      <c r="B834" s="109"/>
      <c r="C834" s="112"/>
      <c r="D834" s="112"/>
      <c r="E834" s="109"/>
      <c r="F834" s="109"/>
      <c r="G834" s="109"/>
      <c r="H834" s="111"/>
      <c r="I834" s="268"/>
      <c r="J834" s="112"/>
      <c r="K834" s="112"/>
      <c r="L834" s="112"/>
      <c r="M834" s="112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</row>
    <row r="835" spans="1:29" ht="12" customHeight="1">
      <c r="A835" s="108"/>
      <c r="B835" s="109"/>
      <c r="C835" s="112"/>
      <c r="D835" s="112"/>
      <c r="E835" s="109"/>
      <c r="F835" s="109"/>
      <c r="G835" s="109"/>
      <c r="H835" s="111"/>
      <c r="I835" s="268"/>
      <c r="J835" s="112"/>
      <c r="K835" s="112"/>
      <c r="L835" s="112"/>
      <c r="M835" s="112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</row>
    <row r="836" spans="1:29" ht="12" customHeight="1">
      <c r="A836" s="108"/>
      <c r="B836" s="109"/>
      <c r="C836" s="112"/>
      <c r="D836" s="112"/>
      <c r="E836" s="109"/>
      <c r="F836" s="109"/>
      <c r="G836" s="109"/>
      <c r="H836" s="111"/>
      <c r="I836" s="268"/>
      <c r="J836" s="112"/>
      <c r="K836" s="112"/>
      <c r="L836" s="112"/>
      <c r="M836" s="112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</row>
    <row r="837" spans="1:29" ht="12" customHeight="1">
      <c r="A837" s="108"/>
      <c r="B837" s="109"/>
      <c r="C837" s="112"/>
      <c r="D837" s="112"/>
      <c r="E837" s="109"/>
      <c r="F837" s="109"/>
      <c r="G837" s="109"/>
      <c r="H837" s="111"/>
      <c r="I837" s="268"/>
      <c r="J837" s="112"/>
      <c r="K837" s="112"/>
      <c r="L837" s="112"/>
      <c r="M837" s="112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</row>
    <row r="838" spans="1:29" ht="12" customHeight="1">
      <c r="A838" s="108"/>
      <c r="B838" s="109"/>
      <c r="C838" s="112"/>
      <c r="D838" s="112"/>
      <c r="E838" s="109"/>
      <c r="F838" s="109"/>
      <c r="G838" s="109"/>
      <c r="H838" s="111"/>
      <c r="I838" s="268"/>
      <c r="J838" s="112"/>
      <c r="K838" s="112"/>
      <c r="L838" s="112"/>
      <c r="M838" s="112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</row>
    <row r="839" spans="1:29" ht="12" customHeight="1">
      <c r="A839" s="108"/>
      <c r="B839" s="109"/>
      <c r="C839" s="112"/>
      <c r="D839" s="112"/>
      <c r="E839" s="109"/>
      <c r="F839" s="109"/>
      <c r="G839" s="109"/>
      <c r="H839" s="111"/>
      <c r="I839" s="268"/>
      <c r="J839" s="112"/>
      <c r="K839" s="112"/>
      <c r="L839" s="112"/>
      <c r="M839" s="112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</row>
    <row r="840" spans="1:29" ht="12" customHeight="1">
      <c r="A840" s="108"/>
      <c r="B840" s="109"/>
      <c r="C840" s="112"/>
      <c r="D840" s="112"/>
      <c r="E840" s="109"/>
      <c r="F840" s="109"/>
      <c r="G840" s="109"/>
      <c r="H840" s="111"/>
      <c r="I840" s="268"/>
      <c r="J840" s="112"/>
      <c r="K840" s="112"/>
      <c r="L840" s="112"/>
      <c r="M840" s="112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</row>
    <row r="841" spans="1:29" ht="12" customHeight="1">
      <c r="A841" s="108"/>
      <c r="B841" s="109"/>
      <c r="C841" s="112"/>
      <c r="D841" s="112"/>
      <c r="E841" s="109"/>
      <c r="F841" s="109"/>
      <c r="G841" s="109"/>
      <c r="H841" s="111"/>
      <c r="I841" s="268"/>
      <c r="J841" s="112"/>
      <c r="K841" s="112"/>
      <c r="L841" s="112"/>
      <c r="M841" s="112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</row>
    <row r="842" spans="1:29" ht="12" customHeight="1">
      <c r="A842" s="108"/>
      <c r="B842" s="109"/>
      <c r="C842" s="112"/>
      <c r="D842" s="112"/>
      <c r="E842" s="109"/>
      <c r="F842" s="109"/>
      <c r="G842" s="109"/>
      <c r="H842" s="111"/>
      <c r="I842" s="268"/>
      <c r="J842" s="112"/>
      <c r="K842" s="112"/>
      <c r="L842" s="112"/>
      <c r="M842" s="112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</row>
    <row r="843" spans="1:29" ht="12" customHeight="1">
      <c r="A843" s="108"/>
      <c r="B843" s="109"/>
      <c r="C843" s="112"/>
      <c r="D843" s="112"/>
      <c r="E843" s="109"/>
      <c r="F843" s="109"/>
      <c r="G843" s="109"/>
      <c r="H843" s="111"/>
      <c r="I843" s="268"/>
      <c r="J843" s="112"/>
      <c r="K843" s="112"/>
      <c r="L843" s="112"/>
      <c r="M843" s="112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</row>
    <row r="844" spans="1:29" ht="12" customHeight="1">
      <c r="A844" s="108"/>
      <c r="B844" s="109"/>
      <c r="C844" s="112"/>
      <c r="D844" s="112"/>
      <c r="E844" s="109"/>
      <c r="F844" s="109"/>
      <c r="G844" s="109"/>
      <c r="H844" s="111"/>
      <c r="I844" s="268"/>
      <c r="J844" s="112"/>
      <c r="K844" s="112"/>
      <c r="L844" s="112"/>
      <c r="M844" s="112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</row>
    <row r="845" spans="1:29" ht="12" customHeight="1">
      <c r="A845" s="108"/>
      <c r="B845" s="109"/>
      <c r="C845" s="112"/>
      <c r="D845" s="112"/>
      <c r="E845" s="109"/>
      <c r="F845" s="109"/>
      <c r="G845" s="109"/>
      <c r="H845" s="111"/>
      <c r="I845" s="268"/>
      <c r="J845" s="112"/>
      <c r="K845" s="112"/>
      <c r="L845" s="112"/>
      <c r="M845" s="112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</row>
    <row r="846" spans="1:29" ht="12" customHeight="1">
      <c r="A846" s="108"/>
      <c r="B846" s="109"/>
      <c r="C846" s="112"/>
      <c r="D846" s="112"/>
      <c r="E846" s="109"/>
      <c r="F846" s="109"/>
      <c r="G846" s="109"/>
      <c r="H846" s="111"/>
      <c r="I846" s="268"/>
      <c r="J846" s="112"/>
      <c r="K846" s="112"/>
      <c r="L846" s="112"/>
      <c r="M846" s="112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</row>
    <row r="847" spans="1:29" ht="12" customHeight="1">
      <c r="A847" s="108"/>
      <c r="B847" s="109"/>
      <c r="C847" s="112"/>
      <c r="D847" s="112"/>
      <c r="E847" s="109"/>
      <c r="F847" s="109"/>
      <c r="G847" s="109"/>
      <c r="H847" s="111"/>
      <c r="I847" s="268"/>
      <c r="J847" s="112"/>
      <c r="K847" s="112"/>
      <c r="L847" s="112"/>
      <c r="M847" s="112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</row>
    <row r="848" spans="1:29" ht="12" customHeight="1">
      <c r="A848" s="108"/>
      <c r="B848" s="109"/>
      <c r="C848" s="112"/>
      <c r="D848" s="112"/>
      <c r="E848" s="109"/>
      <c r="F848" s="109"/>
      <c r="G848" s="109"/>
      <c r="H848" s="111"/>
      <c r="I848" s="268"/>
      <c r="J848" s="112"/>
      <c r="K848" s="112"/>
      <c r="L848" s="112"/>
      <c r="M848" s="112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</row>
    <row r="849" spans="1:29" ht="12" customHeight="1">
      <c r="A849" s="108"/>
      <c r="B849" s="109"/>
      <c r="C849" s="112"/>
      <c r="D849" s="112"/>
      <c r="E849" s="109"/>
      <c r="F849" s="109"/>
      <c r="G849" s="109"/>
      <c r="H849" s="111"/>
      <c r="I849" s="268"/>
      <c r="J849" s="112"/>
      <c r="K849" s="112"/>
      <c r="L849" s="112"/>
      <c r="M849" s="112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</row>
    <row r="850" spans="1:29" ht="12" customHeight="1">
      <c r="A850" s="108"/>
      <c r="B850" s="109"/>
      <c r="C850" s="112"/>
      <c r="D850" s="112"/>
      <c r="E850" s="109"/>
      <c r="F850" s="109"/>
      <c r="G850" s="109"/>
      <c r="H850" s="111"/>
      <c r="I850" s="268"/>
      <c r="J850" s="112"/>
      <c r="K850" s="112"/>
      <c r="L850" s="112"/>
      <c r="M850" s="112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</row>
    <row r="851" spans="1:29" ht="12" customHeight="1">
      <c r="A851" s="108"/>
      <c r="B851" s="109"/>
      <c r="C851" s="112"/>
      <c r="D851" s="112"/>
      <c r="E851" s="109"/>
      <c r="F851" s="109"/>
      <c r="G851" s="109"/>
      <c r="H851" s="111"/>
      <c r="I851" s="268"/>
      <c r="J851" s="112"/>
      <c r="K851" s="112"/>
      <c r="L851" s="112"/>
      <c r="M851" s="112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</row>
    <row r="852" spans="1:29" ht="12" customHeight="1">
      <c r="A852" s="108"/>
      <c r="B852" s="109"/>
      <c r="C852" s="112"/>
      <c r="D852" s="112"/>
      <c r="E852" s="109"/>
      <c r="F852" s="109"/>
      <c r="G852" s="109"/>
      <c r="H852" s="111"/>
      <c r="I852" s="268"/>
      <c r="J852" s="112"/>
      <c r="K852" s="112"/>
      <c r="L852" s="112"/>
      <c r="M852" s="112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</row>
    <row r="853" spans="1:29" ht="12" customHeight="1">
      <c r="A853" s="108"/>
      <c r="B853" s="109"/>
      <c r="C853" s="112"/>
      <c r="D853" s="112"/>
      <c r="E853" s="109"/>
      <c r="F853" s="109"/>
      <c r="G853" s="109"/>
      <c r="H853" s="111"/>
      <c r="I853" s="268"/>
      <c r="J853" s="112"/>
      <c r="K853" s="112"/>
      <c r="L853" s="112"/>
      <c r="M853" s="112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</row>
    <row r="854" spans="1:29" ht="12" customHeight="1">
      <c r="A854" s="108"/>
      <c r="B854" s="109"/>
      <c r="C854" s="112"/>
      <c r="D854" s="112"/>
      <c r="E854" s="109"/>
      <c r="F854" s="109"/>
      <c r="G854" s="109"/>
      <c r="H854" s="111"/>
      <c r="I854" s="268"/>
      <c r="J854" s="112"/>
      <c r="K854" s="112"/>
      <c r="L854" s="112"/>
      <c r="M854" s="112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</row>
    <row r="855" spans="1:29" ht="12" customHeight="1">
      <c r="A855" s="108"/>
      <c r="B855" s="109"/>
      <c r="C855" s="112"/>
      <c r="D855" s="112"/>
      <c r="E855" s="109"/>
      <c r="F855" s="109"/>
      <c r="G855" s="109"/>
      <c r="H855" s="111"/>
      <c r="I855" s="268"/>
      <c r="J855" s="112"/>
      <c r="K855" s="112"/>
      <c r="L855" s="112"/>
      <c r="M855" s="112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</row>
    <row r="856" spans="1:29" ht="12" customHeight="1">
      <c r="A856" s="108"/>
      <c r="B856" s="109"/>
      <c r="C856" s="112"/>
      <c r="D856" s="112"/>
      <c r="E856" s="109"/>
      <c r="F856" s="109"/>
      <c r="G856" s="109"/>
      <c r="H856" s="111"/>
      <c r="I856" s="268"/>
      <c r="J856" s="112"/>
      <c r="K856" s="112"/>
      <c r="L856" s="112"/>
      <c r="M856" s="112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</row>
    <row r="857" spans="1:29" ht="12" customHeight="1">
      <c r="A857" s="108"/>
      <c r="B857" s="109"/>
      <c r="C857" s="112"/>
      <c r="D857" s="112"/>
      <c r="E857" s="109"/>
      <c r="F857" s="109"/>
      <c r="G857" s="109"/>
      <c r="H857" s="111"/>
      <c r="I857" s="268"/>
      <c r="J857" s="112"/>
      <c r="K857" s="112"/>
      <c r="L857" s="112"/>
      <c r="M857" s="112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</row>
    <row r="858" spans="1:29" ht="12" customHeight="1">
      <c r="A858" s="108"/>
      <c r="B858" s="109"/>
      <c r="C858" s="112"/>
      <c r="D858" s="112"/>
      <c r="E858" s="109"/>
      <c r="F858" s="109"/>
      <c r="G858" s="109"/>
      <c r="H858" s="111"/>
      <c r="I858" s="268"/>
      <c r="J858" s="112"/>
      <c r="K858" s="112"/>
      <c r="L858" s="112"/>
      <c r="M858" s="112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</row>
    <row r="859" spans="1:29" ht="12" customHeight="1">
      <c r="A859" s="108"/>
      <c r="B859" s="109"/>
      <c r="C859" s="112"/>
      <c r="D859" s="112"/>
      <c r="E859" s="109"/>
      <c r="F859" s="109"/>
      <c r="G859" s="109"/>
      <c r="H859" s="111"/>
      <c r="I859" s="268"/>
      <c r="J859" s="112"/>
      <c r="K859" s="112"/>
      <c r="L859" s="112"/>
      <c r="M859" s="112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</row>
    <row r="860" spans="1:29" ht="12" customHeight="1">
      <c r="A860" s="108"/>
      <c r="B860" s="109"/>
      <c r="C860" s="112"/>
      <c r="D860" s="112"/>
      <c r="E860" s="109"/>
      <c r="F860" s="109"/>
      <c r="G860" s="109"/>
      <c r="H860" s="111"/>
      <c r="I860" s="268"/>
      <c r="J860" s="112"/>
      <c r="K860" s="112"/>
      <c r="L860" s="112"/>
      <c r="M860" s="112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</row>
    <row r="861" spans="1:29" ht="12" customHeight="1">
      <c r="A861" s="108"/>
      <c r="B861" s="109"/>
      <c r="C861" s="112"/>
      <c r="D861" s="112"/>
      <c r="E861" s="109"/>
      <c r="F861" s="109"/>
      <c r="G861" s="109"/>
      <c r="H861" s="111"/>
      <c r="I861" s="268"/>
      <c r="J861" s="112"/>
      <c r="K861" s="112"/>
      <c r="L861" s="112"/>
      <c r="M861" s="112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</row>
    <row r="862" spans="1:29" ht="12" customHeight="1">
      <c r="A862" s="108"/>
      <c r="B862" s="109"/>
      <c r="C862" s="112"/>
      <c r="D862" s="112"/>
      <c r="E862" s="109"/>
      <c r="F862" s="109"/>
      <c r="G862" s="109"/>
      <c r="H862" s="111"/>
      <c r="I862" s="268"/>
      <c r="J862" s="112"/>
      <c r="K862" s="112"/>
      <c r="L862" s="112"/>
      <c r="M862" s="112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</row>
    <row r="863" spans="1:29" ht="12" customHeight="1">
      <c r="A863" s="108"/>
      <c r="B863" s="109"/>
      <c r="C863" s="112"/>
      <c r="D863" s="112"/>
      <c r="E863" s="109"/>
      <c r="F863" s="109"/>
      <c r="G863" s="109"/>
      <c r="H863" s="111"/>
      <c r="I863" s="268"/>
      <c r="J863" s="112"/>
      <c r="K863" s="112"/>
      <c r="L863" s="112"/>
      <c r="M863" s="112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</row>
    <row r="864" spans="1:29" ht="12" customHeight="1">
      <c r="A864" s="108"/>
      <c r="B864" s="109"/>
      <c r="C864" s="112"/>
      <c r="D864" s="112"/>
      <c r="E864" s="109"/>
      <c r="F864" s="109"/>
      <c r="G864" s="109"/>
      <c r="H864" s="111"/>
      <c r="I864" s="268"/>
      <c r="J864" s="112"/>
      <c r="K864" s="112"/>
      <c r="L864" s="112"/>
      <c r="M864" s="112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</row>
    <row r="865" spans="1:29" ht="12" customHeight="1">
      <c r="A865" s="108"/>
      <c r="B865" s="109"/>
      <c r="C865" s="112"/>
      <c r="D865" s="112"/>
      <c r="E865" s="109"/>
      <c r="F865" s="109"/>
      <c r="G865" s="109"/>
      <c r="H865" s="111"/>
      <c r="I865" s="268"/>
      <c r="J865" s="112"/>
      <c r="K865" s="112"/>
      <c r="L865" s="112"/>
      <c r="M865" s="112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</row>
    <row r="866" spans="1:29" ht="12" customHeight="1">
      <c r="A866" s="108"/>
      <c r="B866" s="109"/>
      <c r="C866" s="112"/>
      <c r="D866" s="112"/>
      <c r="E866" s="109"/>
      <c r="F866" s="109"/>
      <c r="G866" s="109"/>
      <c r="H866" s="111"/>
      <c r="I866" s="268"/>
      <c r="J866" s="112"/>
      <c r="K866" s="112"/>
      <c r="L866" s="112"/>
      <c r="M866" s="112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</row>
    <row r="867" spans="1:29" ht="12" customHeight="1">
      <c r="A867" s="108"/>
      <c r="B867" s="109"/>
      <c r="C867" s="112"/>
      <c r="D867" s="112"/>
      <c r="E867" s="109"/>
      <c r="F867" s="109"/>
      <c r="G867" s="109"/>
      <c r="H867" s="111"/>
      <c r="I867" s="268"/>
      <c r="J867" s="112"/>
      <c r="K867" s="112"/>
      <c r="L867" s="112"/>
      <c r="M867" s="112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</row>
    <row r="868" spans="1:29" ht="12" customHeight="1">
      <c r="A868" s="108"/>
      <c r="B868" s="109"/>
      <c r="C868" s="112"/>
      <c r="D868" s="112"/>
      <c r="E868" s="109"/>
      <c r="F868" s="109"/>
      <c r="G868" s="109"/>
      <c r="H868" s="111"/>
      <c r="I868" s="268"/>
      <c r="J868" s="112"/>
      <c r="K868" s="112"/>
      <c r="L868" s="112"/>
      <c r="M868" s="112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</row>
    <row r="869" spans="1:29" ht="12" customHeight="1">
      <c r="A869" s="108"/>
      <c r="B869" s="109"/>
      <c r="C869" s="112"/>
      <c r="D869" s="112"/>
      <c r="E869" s="109"/>
      <c r="F869" s="109"/>
      <c r="G869" s="109"/>
      <c r="H869" s="111"/>
      <c r="I869" s="268"/>
      <c r="J869" s="112"/>
      <c r="K869" s="112"/>
      <c r="L869" s="112"/>
      <c r="M869" s="112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</row>
    <row r="870" spans="1:29" ht="12" customHeight="1">
      <c r="A870" s="108"/>
      <c r="B870" s="109"/>
      <c r="C870" s="112"/>
      <c r="D870" s="112"/>
      <c r="E870" s="109"/>
      <c r="F870" s="109"/>
      <c r="G870" s="109"/>
      <c r="H870" s="111"/>
      <c r="I870" s="268"/>
      <c r="J870" s="112"/>
      <c r="K870" s="112"/>
      <c r="L870" s="112"/>
      <c r="M870" s="112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</row>
    <row r="871" spans="1:29" ht="12" customHeight="1">
      <c r="A871" s="108"/>
      <c r="B871" s="109"/>
      <c r="C871" s="112"/>
      <c r="D871" s="112"/>
      <c r="E871" s="109"/>
      <c r="F871" s="109"/>
      <c r="G871" s="109"/>
      <c r="H871" s="111"/>
      <c r="I871" s="268"/>
      <c r="J871" s="112"/>
      <c r="K871" s="112"/>
      <c r="L871" s="112"/>
      <c r="M871" s="112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</row>
    <row r="872" spans="1:29" ht="12" customHeight="1">
      <c r="A872" s="108"/>
      <c r="B872" s="109"/>
      <c r="C872" s="112"/>
      <c r="D872" s="112"/>
      <c r="E872" s="109"/>
      <c r="F872" s="109"/>
      <c r="G872" s="109"/>
      <c r="H872" s="111"/>
      <c r="I872" s="268"/>
      <c r="J872" s="112"/>
      <c r="K872" s="112"/>
      <c r="L872" s="112"/>
      <c r="M872" s="112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</row>
    <row r="873" spans="1:29" ht="12" customHeight="1">
      <c r="A873" s="108"/>
      <c r="B873" s="109"/>
      <c r="C873" s="112"/>
      <c r="D873" s="112"/>
      <c r="E873" s="109"/>
      <c r="F873" s="109"/>
      <c r="G873" s="109"/>
      <c r="H873" s="111"/>
      <c r="I873" s="268"/>
      <c r="J873" s="112"/>
      <c r="K873" s="112"/>
      <c r="L873" s="112"/>
      <c r="M873" s="112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</row>
    <row r="874" spans="1:29" ht="12" customHeight="1">
      <c r="A874" s="108"/>
      <c r="B874" s="109"/>
      <c r="C874" s="112"/>
      <c r="D874" s="112"/>
      <c r="E874" s="109"/>
      <c r="F874" s="109"/>
      <c r="G874" s="109"/>
      <c r="H874" s="111"/>
      <c r="I874" s="268"/>
      <c r="J874" s="112"/>
      <c r="K874" s="112"/>
      <c r="L874" s="112"/>
      <c r="M874" s="112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</row>
    <row r="875" spans="1:29" ht="12" customHeight="1">
      <c r="A875" s="108"/>
      <c r="B875" s="109"/>
      <c r="C875" s="112"/>
      <c r="D875" s="112"/>
      <c r="E875" s="109"/>
      <c r="F875" s="109"/>
      <c r="G875" s="109"/>
      <c r="H875" s="111"/>
      <c r="I875" s="268"/>
      <c r="J875" s="112"/>
      <c r="K875" s="112"/>
      <c r="L875" s="112"/>
      <c r="M875" s="112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</row>
    <row r="876" spans="1:29" ht="12" customHeight="1">
      <c r="A876" s="108"/>
      <c r="B876" s="109"/>
      <c r="C876" s="112"/>
      <c r="D876" s="112"/>
      <c r="E876" s="109"/>
      <c r="F876" s="109"/>
      <c r="G876" s="109"/>
      <c r="H876" s="111"/>
      <c r="I876" s="268"/>
      <c r="J876" s="112"/>
      <c r="K876" s="112"/>
      <c r="L876" s="112"/>
      <c r="M876" s="112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</row>
    <row r="877" spans="1:29" ht="12" customHeight="1">
      <c r="A877" s="108"/>
      <c r="B877" s="109"/>
      <c r="C877" s="112"/>
      <c r="D877" s="112"/>
      <c r="E877" s="109"/>
      <c r="F877" s="109"/>
      <c r="G877" s="109"/>
      <c r="H877" s="111"/>
      <c r="I877" s="268"/>
      <c r="J877" s="112"/>
      <c r="K877" s="112"/>
      <c r="L877" s="112"/>
      <c r="M877" s="112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</row>
    <row r="878" spans="1:29" ht="12" customHeight="1">
      <c r="A878" s="108"/>
      <c r="B878" s="109"/>
      <c r="C878" s="112"/>
      <c r="D878" s="112"/>
      <c r="E878" s="109"/>
      <c r="F878" s="109"/>
      <c r="G878" s="109"/>
      <c r="H878" s="111"/>
      <c r="I878" s="268"/>
      <c r="J878" s="112"/>
      <c r="K878" s="112"/>
      <c r="L878" s="112"/>
      <c r="M878" s="112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</row>
    <row r="879" spans="1:29" ht="12" customHeight="1">
      <c r="A879" s="108"/>
      <c r="B879" s="109"/>
      <c r="C879" s="112"/>
      <c r="D879" s="112"/>
      <c r="E879" s="109"/>
      <c r="F879" s="109"/>
      <c r="G879" s="109"/>
      <c r="H879" s="111"/>
      <c r="I879" s="268"/>
      <c r="J879" s="112"/>
      <c r="K879" s="112"/>
      <c r="L879" s="112"/>
      <c r="M879" s="112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</row>
    <row r="880" spans="1:29" ht="12" customHeight="1">
      <c r="A880" s="108"/>
      <c r="B880" s="109"/>
      <c r="C880" s="112"/>
      <c r="D880" s="112"/>
      <c r="E880" s="109"/>
      <c r="F880" s="109"/>
      <c r="G880" s="109"/>
      <c r="H880" s="111"/>
      <c r="I880" s="268"/>
      <c r="J880" s="112"/>
      <c r="K880" s="112"/>
      <c r="L880" s="112"/>
      <c r="M880" s="112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</row>
    <row r="881" spans="1:29" ht="12" customHeight="1">
      <c r="A881" s="108"/>
      <c r="B881" s="109"/>
      <c r="C881" s="112"/>
      <c r="D881" s="112"/>
      <c r="E881" s="109"/>
      <c r="F881" s="109"/>
      <c r="G881" s="109"/>
      <c r="H881" s="111"/>
      <c r="I881" s="268"/>
      <c r="J881" s="112"/>
      <c r="K881" s="112"/>
      <c r="L881" s="112"/>
      <c r="M881" s="112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</row>
    <row r="882" spans="1:29" ht="12" customHeight="1">
      <c r="A882" s="108"/>
      <c r="B882" s="109"/>
      <c r="C882" s="112"/>
      <c r="D882" s="112"/>
      <c r="E882" s="109"/>
      <c r="F882" s="109"/>
      <c r="G882" s="109"/>
      <c r="H882" s="111"/>
      <c r="I882" s="268"/>
      <c r="J882" s="112"/>
      <c r="K882" s="112"/>
      <c r="L882" s="112"/>
      <c r="M882" s="112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</row>
    <row r="883" spans="1:29" ht="12" customHeight="1">
      <c r="A883" s="108"/>
      <c r="B883" s="109"/>
      <c r="C883" s="112"/>
      <c r="D883" s="112"/>
      <c r="E883" s="109"/>
      <c r="F883" s="109"/>
      <c r="G883" s="109"/>
      <c r="H883" s="111"/>
      <c r="I883" s="268"/>
      <c r="J883" s="112"/>
      <c r="K883" s="112"/>
      <c r="L883" s="112"/>
      <c r="M883" s="112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</row>
    <row r="884" spans="1:29" ht="12" customHeight="1">
      <c r="A884" s="108"/>
      <c r="B884" s="109"/>
      <c r="C884" s="112"/>
      <c r="D884" s="112"/>
      <c r="E884" s="109"/>
      <c r="F884" s="109"/>
      <c r="G884" s="109"/>
      <c r="H884" s="111"/>
      <c r="I884" s="268"/>
      <c r="J884" s="112"/>
      <c r="K884" s="112"/>
      <c r="L884" s="112"/>
      <c r="M884" s="112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</row>
    <row r="885" spans="1:29" ht="12" customHeight="1">
      <c r="A885" s="108"/>
      <c r="B885" s="109"/>
      <c r="C885" s="112"/>
      <c r="D885" s="112"/>
      <c r="E885" s="109"/>
      <c r="F885" s="109"/>
      <c r="G885" s="109"/>
      <c r="H885" s="111"/>
      <c r="I885" s="268"/>
      <c r="J885" s="112"/>
      <c r="K885" s="112"/>
      <c r="L885" s="112"/>
      <c r="M885" s="112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</row>
    <row r="886" spans="1:29" ht="12" customHeight="1">
      <c r="A886" s="108"/>
      <c r="B886" s="109"/>
      <c r="C886" s="112"/>
      <c r="D886" s="112"/>
      <c r="E886" s="109"/>
      <c r="F886" s="109"/>
      <c r="G886" s="109"/>
      <c r="H886" s="111"/>
      <c r="I886" s="268"/>
      <c r="J886" s="112"/>
      <c r="K886" s="112"/>
      <c r="L886" s="112"/>
      <c r="M886" s="112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</row>
    <row r="887" spans="1:29" ht="12" customHeight="1">
      <c r="A887" s="108"/>
      <c r="B887" s="109"/>
      <c r="C887" s="112"/>
      <c r="D887" s="112"/>
      <c r="E887" s="109"/>
      <c r="F887" s="109"/>
      <c r="G887" s="109"/>
      <c r="H887" s="111"/>
      <c r="I887" s="268"/>
      <c r="J887" s="112"/>
      <c r="K887" s="112"/>
      <c r="L887" s="112"/>
      <c r="M887" s="112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</row>
    <row r="888" spans="1:29" ht="12" customHeight="1">
      <c r="A888" s="108"/>
      <c r="B888" s="109"/>
      <c r="C888" s="112"/>
      <c r="D888" s="112"/>
      <c r="E888" s="109"/>
      <c r="F888" s="109"/>
      <c r="G888" s="109"/>
      <c r="H888" s="111"/>
      <c r="I888" s="268"/>
      <c r="J888" s="112"/>
      <c r="K888" s="112"/>
      <c r="L888" s="112"/>
      <c r="M888" s="112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</row>
    <row r="889" spans="1:29" ht="12" customHeight="1">
      <c r="A889" s="108"/>
      <c r="B889" s="109"/>
      <c r="C889" s="112"/>
      <c r="D889" s="112"/>
      <c r="E889" s="109"/>
      <c r="F889" s="109"/>
      <c r="G889" s="109"/>
      <c r="H889" s="111"/>
      <c r="I889" s="268"/>
      <c r="J889" s="112"/>
      <c r="K889" s="112"/>
      <c r="L889" s="112"/>
      <c r="M889" s="112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</row>
    <row r="890" spans="1:29" ht="12" customHeight="1">
      <c r="A890" s="108"/>
      <c r="B890" s="109"/>
      <c r="C890" s="112"/>
      <c r="D890" s="112"/>
      <c r="E890" s="109"/>
      <c r="F890" s="109"/>
      <c r="G890" s="109"/>
      <c r="H890" s="111"/>
      <c r="I890" s="268"/>
      <c r="J890" s="112"/>
      <c r="K890" s="112"/>
      <c r="L890" s="112"/>
      <c r="M890" s="112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</row>
    <row r="891" spans="1:29" ht="12" customHeight="1">
      <c r="A891" s="108"/>
      <c r="B891" s="109"/>
      <c r="C891" s="112"/>
      <c r="D891" s="112"/>
      <c r="E891" s="109"/>
      <c r="F891" s="109"/>
      <c r="G891" s="109"/>
      <c r="H891" s="111"/>
      <c r="I891" s="268"/>
      <c r="J891" s="112"/>
      <c r="K891" s="112"/>
      <c r="L891" s="112"/>
      <c r="M891" s="112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</row>
    <row r="892" spans="1:29" ht="12" customHeight="1">
      <c r="A892" s="108"/>
      <c r="B892" s="109"/>
      <c r="C892" s="112"/>
      <c r="D892" s="112"/>
      <c r="E892" s="109"/>
      <c r="F892" s="109"/>
      <c r="G892" s="109"/>
      <c r="H892" s="111"/>
      <c r="I892" s="268"/>
      <c r="J892" s="112"/>
      <c r="K892" s="112"/>
      <c r="L892" s="112"/>
      <c r="M892" s="112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</row>
    <row r="893" spans="1:29" ht="12" customHeight="1">
      <c r="A893" s="108"/>
      <c r="B893" s="109"/>
      <c r="C893" s="112"/>
      <c r="D893" s="112"/>
      <c r="E893" s="109"/>
      <c r="F893" s="109"/>
      <c r="G893" s="109"/>
      <c r="H893" s="111"/>
      <c r="I893" s="268"/>
      <c r="J893" s="112"/>
      <c r="K893" s="112"/>
      <c r="L893" s="112"/>
      <c r="M893" s="112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</row>
    <row r="894" spans="1:29" ht="12" customHeight="1">
      <c r="A894" s="108"/>
      <c r="B894" s="109"/>
      <c r="C894" s="112"/>
      <c r="D894" s="112"/>
      <c r="E894" s="109"/>
      <c r="F894" s="109"/>
      <c r="G894" s="109"/>
      <c r="H894" s="111"/>
      <c r="I894" s="268"/>
      <c r="J894" s="112"/>
      <c r="K894" s="112"/>
      <c r="L894" s="112"/>
      <c r="M894" s="112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</row>
    <row r="895" spans="1:29" ht="12" customHeight="1">
      <c r="A895" s="108"/>
      <c r="B895" s="109"/>
      <c r="C895" s="112"/>
      <c r="D895" s="112"/>
      <c r="E895" s="109"/>
      <c r="F895" s="109"/>
      <c r="G895" s="109"/>
      <c r="H895" s="111"/>
      <c r="I895" s="268"/>
      <c r="J895" s="112"/>
      <c r="K895" s="112"/>
      <c r="L895" s="112"/>
      <c r="M895" s="112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</row>
    <row r="896" spans="1:29" ht="12" customHeight="1">
      <c r="A896" s="108"/>
      <c r="B896" s="109"/>
      <c r="C896" s="112"/>
      <c r="D896" s="112"/>
      <c r="E896" s="109"/>
      <c r="F896" s="109"/>
      <c r="G896" s="109"/>
      <c r="H896" s="111"/>
      <c r="I896" s="268"/>
      <c r="J896" s="112"/>
      <c r="K896" s="112"/>
      <c r="L896" s="112"/>
      <c r="M896" s="112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</row>
    <row r="897" spans="1:29" ht="12" customHeight="1">
      <c r="A897" s="108"/>
      <c r="B897" s="109"/>
      <c r="C897" s="112"/>
      <c r="D897" s="112"/>
      <c r="E897" s="109"/>
      <c r="F897" s="109"/>
      <c r="G897" s="109"/>
      <c r="H897" s="111"/>
      <c r="I897" s="268"/>
      <c r="J897" s="112"/>
      <c r="K897" s="112"/>
      <c r="L897" s="112"/>
      <c r="M897" s="112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</row>
    <row r="898" spans="1:29" ht="12" customHeight="1">
      <c r="A898" s="108"/>
      <c r="B898" s="109"/>
      <c r="C898" s="112"/>
      <c r="D898" s="112"/>
      <c r="E898" s="109"/>
      <c r="F898" s="109"/>
      <c r="G898" s="109"/>
      <c r="H898" s="111"/>
      <c r="I898" s="268"/>
      <c r="J898" s="112"/>
      <c r="K898" s="112"/>
      <c r="L898" s="112"/>
      <c r="M898" s="112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</row>
    <row r="899" spans="1:29" ht="12" customHeight="1">
      <c r="A899" s="108"/>
      <c r="B899" s="109"/>
      <c r="C899" s="112"/>
      <c r="D899" s="112"/>
      <c r="E899" s="109"/>
      <c r="F899" s="109"/>
      <c r="G899" s="109"/>
      <c r="H899" s="111"/>
      <c r="I899" s="268"/>
      <c r="J899" s="112"/>
      <c r="K899" s="112"/>
      <c r="L899" s="112"/>
      <c r="M899" s="112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</row>
    <row r="900" spans="1:29" ht="12" customHeight="1">
      <c r="A900" s="108"/>
      <c r="B900" s="109"/>
      <c r="C900" s="112"/>
      <c r="D900" s="112"/>
      <c r="E900" s="109"/>
      <c r="F900" s="109"/>
      <c r="G900" s="109"/>
      <c r="H900" s="111"/>
      <c r="I900" s="268"/>
      <c r="J900" s="112"/>
      <c r="K900" s="112"/>
      <c r="L900" s="112"/>
      <c r="M900" s="112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</row>
    <row r="901" spans="1:29" ht="12" customHeight="1">
      <c r="A901" s="108"/>
      <c r="B901" s="109"/>
      <c r="C901" s="112"/>
      <c r="D901" s="112"/>
      <c r="E901" s="109"/>
      <c r="F901" s="109"/>
      <c r="G901" s="109"/>
      <c r="H901" s="111"/>
      <c r="I901" s="268"/>
      <c r="J901" s="112"/>
      <c r="K901" s="112"/>
      <c r="L901" s="112"/>
      <c r="M901" s="112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</row>
    <row r="902" spans="1:29" ht="12" customHeight="1">
      <c r="A902" s="108"/>
      <c r="B902" s="109"/>
      <c r="C902" s="112"/>
      <c r="D902" s="112"/>
      <c r="E902" s="109"/>
      <c r="F902" s="109"/>
      <c r="G902" s="109"/>
      <c r="H902" s="111"/>
      <c r="I902" s="268"/>
      <c r="J902" s="112"/>
      <c r="K902" s="112"/>
      <c r="L902" s="112"/>
      <c r="M902" s="112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</row>
    <row r="903" spans="1:29" ht="12" customHeight="1">
      <c r="A903" s="108"/>
      <c r="B903" s="109"/>
      <c r="C903" s="112"/>
      <c r="D903" s="112"/>
      <c r="E903" s="109"/>
      <c r="F903" s="109"/>
      <c r="G903" s="109"/>
      <c r="H903" s="111"/>
      <c r="I903" s="268"/>
      <c r="J903" s="112"/>
      <c r="K903" s="112"/>
      <c r="L903" s="112"/>
      <c r="M903" s="112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</row>
    <row r="904" spans="1:29" ht="12" customHeight="1">
      <c r="A904" s="108"/>
      <c r="B904" s="109"/>
      <c r="C904" s="112"/>
      <c r="D904" s="112"/>
      <c r="E904" s="109"/>
      <c r="F904" s="109"/>
      <c r="G904" s="109"/>
      <c r="H904" s="111"/>
      <c r="I904" s="268"/>
      <c r="J904" s="112"/>
      <c r="K904" s="112"/>
      <c r="L904" s="112"/>
      <c r="M904" s="112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</row>
    <row r="905" spans="1:29" ht="12" customHeight="1">
      <c r="A905" s="108"/>
      <c r="B905" s="109"/>
      <c r="C905" s="112"/>
      <c r="D905" s="112"/>
      <c r="E905" s="109"/>
      <c r="F905" s="109"/>
      <c r="G905" s="109"/>
      <c r="H905" s="111"/>
      <c r="I905" s="268"/>
      <c r="J905" s="112"/>
      <c r="K905" s="112"/>
      <c r="L905" s="112"/>
      <c r="M905" s="112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</row>
    <row r="906" spans="1:29" ht="12" customHeight="1">
      <c r="A906" s="108"/>
      <c r="B906" s="109"/>
      <c r="C906" s="112"/>
      <c r="D906" s="112"/>
      <c r="E906" s="109"/>
      <c r="F906" s="109"/>
      <c r="G906" s="109"/>
      <c r="H906" s="111"/>
      <c r="I906" s="268"/>
      <c r="J906" s="112"/>
      <c r="K906" s="112"/>
      <c r="L906" s="112"/>
      <c r="M906" s="112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</row>
    <row r="907" spans="1:29" ht="12" customHeight="1">
      <c r="A907" s="108"/>
      <c r="B907" s="109"/>
      <c r="C907" s="112"/>
      <c r="D907" s="112"/>
      <c r="E907" s="109"/>
      <c r="F907" s="109"/>
      <c r="G907" s="109"/>
      <c r="H907" s="111"/>
      <c r="I907" s="268"/>
      <c r="J907" s="112"/>
      <c r="K907" s="112"/>
      <c r="L907" s="112"/>
      <c r="M907" s="112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</row>
    <row r="908" spans="1:29" ht="12" customHeight="1">
      <c r="A908" s="108"/>
      <c r="B908" s="109"/>
      <c r="C908" s="112"/>
      <c r="D908" s="112"/>
      <c r="E908" s="109"/>
      <c r="F908" s="109"/>
      <c r="G908" s="109"/>
      <c r="H908" s="111"/>
      <c r="I908" s="268"/>
      <c r="J908" s="112"/>
      <c r="K908" s="112"/>
      <c r="L908" s="112"/>
      <c r="M908" s="112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</row>
    <row r="909" spans="1:29" ht="12" customHeight="1">
      <c r="A909" s="108"/>
      <c r="B909" s="109"/>
      <c r="C909" s="112"/>
      <c r="D909" s="112"/>
      <c r="E909" s="109"/>
      <c r="F909" s="109"/>
      <c r="G909" s="109"/>
      <c r="H909" s="111"/>
      <c r="I909" s="268"/>
      <c r="J909" s="112"/>
      <c r="K909" s="112"/>
      <c r="L909" s="112"/>
      <c r="M909" s="112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</row>
    <row r="910" spans="1:29" ht="12" customHeight="1">
      <c r="A910" s="108"/>
      <c r="B910" s="109"/>
      <c r="C910" s="112"/>
      <c r="D910" s="112"/>
      <c r="E910" s="109"/>
      <c r="F910" s="109"/>
      <c r="G910" s="109"/>
      <c r="H910" s="111"/>
      <c r="I910" s="268"/>
      <c r="J910" s="112"/>
      <c r="K910" s="112"/>
      <c r="L910" s="112"/>
      <c r="M910" s="112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</row>
    <row r="911" spans="1:29" ht="12" customHeight="1">
      <c r="A911" s="108"/>
      <c r="B911" s="109"/>
      <c r="C911" s="112"/>
      <c r="D911" s="112"/>
      <c r="E911" s="109"/>
      <c r="F911" s="109"/>
      <c r="G911" s="109"/>
      <c r="H911" s="111"/>
      <c r="I911" s="268"/>
      <c r="J911" s="112"/>
      <c r="K911" s="112"/>
      <c r="L911" s="112"/>
      <c r="M911" s="112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</row>
    <row r="912" spans="1:29" ht="12" customHeight="1">
      <c r="A912" s="108"/>
      <c r="B912" s="109"/>
      <c r="C912" s="112"/>
      <c r="D912" s="112"/>
      <c r="E912" s="109"/>
      <c r="F912" s="109"/>
      <c r="G912" s="109"/>
      <c r="H912" s="111"/>
      <c r="I912" s="268"/>
      <c r="J912" s="112"/>
      <c r="K912" s="112"/>
      <c r="L912" s="112"/>
      <c r="M912" s="112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</row>
    <row r="913" spans="1:29" ht="12" customHeight="1">
      <c r="A913" s="108"/>
      <c r="B913" s="109"/>
      <c r="C913" s="112"/>
      <c r="D913" s="112"/>
      <c r="E913" s="109"/>
      <c r="F913" s="109"/>
      <c r="G913" s="109"/>
      <c r="H913" s="111"/>
      <c r="I913" s="268"/>
      <c r="J913" s="112"/>
      <c r="K913" s="112"/>
      <c r="L913" s="112"/>
      <c r="M913" s="112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</row>
    <row r="914" spans="1:29" ht="12" customHeight="1">
      <c r="A914" s="108"/>
      <c r="B914" s="109"/>
      <c r="C914" s="112"/>
      <c r="D914" s="112"/>
      <c r="E914" s="109"/>
      <c r="F914" s="109"/>
      <c r="G914" s="109"/>
      <c r="H914" s="111"/>
      <c r="I914" s="268"/>
      <c r="J914" s="112"/>
      <c r="K914" s="112"/>
      <c r="L914" s="112"/>
      <c r="M914" s="112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</row>
    <row r="915" spans="1:29" ht="12" customHeight="1">
      <c r="A915" s="108"/>
      <c r="B915" s="109"/>
      <c r="C915" s="112"/>
      <c r="D915" s="112"/>
      <c r="E915" s="109"/>
      <c r="F915" s="109"/>
      <c r="G915" s="109"/>
      <c r="H915" s="111"/>
      <c r="I915" s="268"/>
      <c r="J915" s="112"/>
      <c r="K915" s="112"/>
      <c r="L915" s="112"/>
      <c r="M915" s="112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</row>
    <row r="916" spans="1:29" ht="12" customHeight="1">
      <c r="A916" s="108"/>
      <c r="B916" s="109"/>
      <c r="C916" s="112"/>
      <c r="D916" s="112"/>
      <c r="E916" s="109"/>
      <c r="F916" s="109"/>
      <c r="G916" s="109"/>
      <c r="H916" s="111"/>
      <c r="I916" s="268"/>
      <c r="J916" s="112"/>
      <c r="K916" s="112"/>
      <c r="L916" s="112"/>
      <c r="M916" s="112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</row>
    <row r="917" spans="1:29" ht="12" customHeight="1">
      <c r="A917" s="108"/>
      <c r="B917" s="109"/>
      <c r="C917" s="112"/>
      <c r="D917" s="112"/>
      <c r="E917" s="109"/>
      <c r="F917" s="109"/>
      <c r="G917" s="109"/>
      <c r="H917" s="111"/>
      <c r="I917" s="268"/>
      <c r="J917" s="112"/>
      <c r="K917" s="112"/>
      <c r="L917" s="112"/>
      <c r="M917" s="112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</row>
    <row r="918" spans="1:29" ht="12" customHeight="1">
      <c r="A918" s="108"/>
      <c r="B918" s="109"/>
      <c r="C918" s="112"/>
      <c r="D918" s="112"/>
      <c r="E918" s="109"/>
      <c r="F918" s="109"/>
      <c r="G918" s="109"/>
      <c r="H918" s="111"/>
      <c r="I918" s="268"/>
      <c r="J918" s="112"/>
      <c r="K918" s="112"/>
      <c r="L918" s="112"/>
      <c r="M918" s="112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</row>
    <row r="919" spans="1:29" ht="12" customHeight="1">
      <c r="A919" s="108"/>
      <c r="B919" s="109"/>
      <c r="C919" s="112"/>
      <c r="D919" s="112"/>
      <c r="E919" s="109"/>
      <c r="F919" s="109"/>
      <c r="G919" s="109"/>
      <c r="H919" s="111"/>
      <c r="I919" s="268"/>
      <c r="J919" s="112"/>
      <c r="K919" s="112"/>
      <c r="L919" s="112"/>
      <c r="M919" s="112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</row>
    <row r="920" spans="1:29" ht="12" customHeight="1">
      <c r="A920" s="108"/>
      <c r="B920" s="109"/>
      <c r="C920" s="112"/>
      <c r="D920" s="112"/>
      <c r="E920" s="109"/>
      <c r="F920" s="109"/>
      <c r="G920" s="109"/>
      <c r="H920" s="111"/>
      <c r="I920" s="268"/>
      <c r="J920" s="112"/>
      <c r="K920" s="112"/>
      <c r="L920" s="112"/>
      <c r="M920" s="112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</row>
    <row r="921" spans="1:29" ht="12" customHeight="1">
      <c r="A921" s="108"/>
      <c r="B921" s="109"/>
      <c r="C921" s="112"/>
      <c r="D921" s="112"/>
      <c r="E921" s="109"/>
      <c r="F921" s="109"/>
      <c r="G921" s="109"/>
      <c r="H921" s="111"/>
      <c r="I921" s="268"/>
      <c r="J921" s="112"/>
      <c r="K921" s="112"/>
      <c r="L921" s="112"/>
      <c r="M921" s="112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</row>
    <row r="922" spans="1:29" ht="12" customHeight="1">
      <c r="A922" s="108"/>
      <c r="B922" s="109"/>
      <c r="C922" s="112"/>
      <c r="D922" s="112"/>
      <c r="E922" s="109"/>
      <c r="F922" s="109"/>
      <c r="G922" s="109"/>
      <c r="H922" s="111"/>
      <c r="I922" s="268"/>
      <c r="J922" s="112"/>
      <c r="K922" s="112"/>
      <c r="L922" s="112"/>
      <c r="M922" s="112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</row>
    <row r="923" spans="1:29" ht="12" customHeight="1">
      <c r="A923" s="108"/>
      <c r="B923" s="109"/>
      <c r="C923" s="112"/>
      <c r="D923" s="112"/>
      <c r="E923" s="109"/>
      <c r="F923" s="109"/>
      <c r="G923" s="109"/>
      <c r="H923" s="111"/>
      <c r="I923" s="268"/>
      <c r="J923" s="112"/>
      <c r="K923" s="112"/>
      <c r="L923" s="112"/>
      <c r="M923" s="112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</row>
    <row r="924" spans="1:29" ht="12" customHeight="1">
      <c r="A924" s="108"/>
      <c r="B924" s="109"/>
      <c r="C924" s="112"/>
      <c r="D924" s="112"/>
      <c r="E924" s="109"/>
      <c r="F924" s="109"/>
      <c r="G924" s="109"/>
      <c r="H924" s="111"/>
      <c r="I924" s="268"/>
      <c r="J924" s="112"/>
      <c r="K924" s="112"/>
      <c r="L924" s="112"/>
      <c r="M924" s="112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</row>
    <row r="925" spans="1:29" ht="12" customHeight="1">
      <c r="A925" s="108"/>
      <c r="B925" s="109"/>
      <c r="C925" s="112"/>
      <c r="D925" s="112"/>
      <c r="E925" s="109"/>
      <c r="F925" s="109"/>
      <c r="G925" s="109"/>
      <c r="H925" s="111"/>
      <c r="I925" s="268"/>
      <c r="J925" s="112"/>
      <c r="K925" s="112"/>
      <c r="L925" s="112"/>
      <c r="M925" s="112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</row>
    <row r="926" spans="1:29" ht="12" customHeight="1">
      <c r="A926" s="108"/>
      <c r="B926" s="109"/>
      <c r="C926" s="112"/>
      <c r="D926" s="112"/>
      <c r="E926" s="109"/>
      <c r="F926" s="109"/>
      <c r="G926" s="109"/>
      <c r="H926" s="111"/>
      <c r="I926" s="268"/>
      <c r="J926" s="112"/>
      <c r="K926" s="112"/>
      <c r="L926" s="112"/>
      <c r="M926" s="112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</row>
    <row r="927" spans="1:29" ht="12" customHeight="1">
      <c r="A927" s="108"/>
      <c r="B927" s="109"/>
      <c r="C927" s="112"/>
      <c r="D927" s="112"/>
      <c r="E927" s="109"/>
      <c r="F927" s="109"/>
      <c r="G927" s="109"/>
      <c r="H927" s="111"/>
      <c r="I927" s="268"/>
      <c r="J927" s="112"/>
      <c r="K927" s="112"/>
      <c r="L927" s="112"/>
      <c r="M927" s="112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</row>
    <row r="928" spans="1:29" ht="12" customHeight="1">
      <c r="A928" s="108"/>
      <c r="B928" s="109"/>
      <c r="C928" s="112"/>
      <c r="D928" s="112"/>
      <c r="E928" s="109"/>
      <c r="F928" s="109"/>
      <c r="G928" s="109"/>
      <c r="H928" s="111"/>
      <c r="I928" s="268"/>
      <c r="J928" s="112"/>
      <c r="K928" s="112"/>
      <c r="L928" s="112"/>
      <c r="M928" s="112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</row>
    <row r="929" spans="1:29" ht="12" customHeight="1">
      <c r="A929" s="108"/>
      <c r="B929" s="109"/>
      <c r="C929" s="112"/>
      <c r="D929" s="112"/>
      <c r="E929" s="109"/>
      <c r="F929" s="109"/>
      <c r="G929" s="109"/>
      <c r="H929" s="111"/>
      <c r="I929" s="268"/>
      <c r="J929" s="112"/>
      <c r="K929" s="112"/>
      <c r="L929" s="112"/>
      <c r="M929" s="112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</row>
    <row r="930" spans="1:29" ht="12" customHeight="1">
      <c r="A930" s="108"/>
      <c r="B930" s="109"/>
      <c r="C930" s="112"/>
      <c r="D930" s="112"/>
      <c r="E930" s="109"/>
      <c r="F930" s="109"/>
      <c r="G930" s="109"/>
      <c r="H930" s="111"/>
      <c r="I930" s="268"/>
      <c r="J930" s="112"/>
      <c r="K930" s="112"/>
      <c r="L930" s="112"/>
      <c r="M930" s="112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</row>
    <row r="931" spans="1:29" ht="12" customHeight="1">
      <c r="A931" s="108"/>
      <c r="B931" s="109"/>
      <c r="C931" s="112"/>
      <c r="D931" s="112"/>
      <c r="E931" s="109"/>
      <c r="F931" s="109"/>
      <c r="G931" s="109"/>
      <c r="H931" s="111"/>
      <c r="I931" s="268"/>
      <c r="J931" s="112"/>
      <c r="K931" s="112"/>
      <c r="L931" s="112"/>
      <c r="M931" s="112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</row>
    <row r="932" spans="1:29" ht="12" customHeight="1">
      <c r="A932" s="108"/>
      <c r="B932" s="109"/>
      <c r="C932" s="112"/>
      <c r="D932" s="112"/>
      <c r="E932" s="109"/>
      <c r="F932" s="109"/>
      <c r="G932" s="109"/>
      <c r="H932" s="111"/>
      <c r="I932" s="268"/>
      <c r="J932" s="112"/>
      <c r="K932" s="112"/>
      <c r="L932" s="112"/>
      <c r="M932" s="112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</row>
    <row r="933" spans="1:29" ht="12" customHeight="1">
      <c r="A933" s="108"/>
      <c r="B933" s="109"/>
      <c r="C933" s="112"/>
      <c r="D933" s="112"/>
      <c r="E933" s="109"/>
      <c r="F933" s="109"/>
      <c r="G933" s="109"/>
      <c r="H933" s="111"/>
      <c r="I933" s="268"/>
      <c r="J933" s="112"/>
      <c r="K933" s="112"/>
      <c r="L933" s="112"/>
      <c r="M933" s="112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</row>
    <row r="934" spans="1:29" ht="12" customHeight="1">
      <c r="A934" s="108"/>
      <c r="B934" s="109"/>
      <c r="C934" s="112"/>
      <c r="D934" s="112"/>
      <c r="E934" s="109"/>
      <c r="F934" s="109"/>
      <c r="G934" s="109"/>
      <c r="H934" s="111"/>
      <c r="I934" s="268"/>
      <c r="J934" s="112"/>
      <c r="K934" s="112"/>
      <c r="L934" s="112"/>
      <c r="M934" s="112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</row>
    <row r="935" spans="1:29" ht="12" customHeight="1">
      <c r="A935" s="108"/>
      <c r="B935" s="109"/>
      <c r="C935" s="112"/>
      <c r="D935" s="112"/>
      <c r="E935" s="109"/>
      <c r="F935" s="109"/>
      <c r="G935" s="109"/>
      <c r="H935" s="111"/>
      <c r="I935" s="268"/>
      <c r="J935" s="112"/>
      <c r="K935" s="112"/>
      <c r="L935" s="112"/>
      <c r="M935" s="112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</row>
    <row r="936" spans="1:29" ht="12" customHeight="1">
      <c r="A936" s="108"/>
      <c r="B936" s="109"/>
      <c r="C936" s="112"/>
      <c r="D936" s="112"/>
      <c r="E936" s="109"/>
      <c r="F936" s="109"/>
      <c r="G936" s="109"/>
      <c r="H936" s="111"/>
      <c r="I936" s="268"/>
      <c r="J936" s="112"/>
      <c r="K936" s="112"/>
      <c r="L936" s="112"/>
      <c r="M936" s="112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</row>
    <row r="937" spans="1:29" ht="12" customHeight="1">
      <c r="A937" s="108"/>
      <c r="B937" s="109"/>
      <c r="C937" s="112"/>
      <c r="D937" s="112"/>
      <c r="E937" s="109"/>
      <c r="F937" s="109"/>
      <c r="G937" s="109"/>
      <c r="H937" s="111"/>
      <c r="I937" s="268"/>
      <c r="J937" s="112"/>
      <c r="K937" s="112"/>
      <c r="L937" s="112"/>
      <c r="M937" s="112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</row>
    <row r="938" spans="1:29" ht="12" customHeight="1">
      <c r="A938" s="108"/>
      <c r="B938" s="109"/>
      <c r="C938" s="112"/>
      <c r="D938" s="112"/>
      <c r="E938" s="109"/>
      <c r="F938" s="109"/>
      <c r="G938" s="109"/>
      <c r="H938" s="111"/>
      <c r="I938" s="268"/>
      <c r="J938" s="112"/>
      <c r="K938" s="112"/>
      <c r="L938" s="112"/>
      <c r="M938" s="112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</row>
    <row r="939" spans="1:29" ht="12" customHeight="1">
      <c r="A939" s="108"/>
      <c r="B939" s="109"/>
      <c r="C939" s="112"/>
      <c r="D939" s="112"/>
      <c r="E939" s="109"/>
      <c r="F939" s="109"/>
      <c r="G939" s="109"/>
      <c r="H939" s="111"/>
      <c r="I939" s="268"/>
      <c r="J939" s="112"/>
      <c r="K939" s="112"/>
      <c r="L939" s="112"/>
      <c r="M939" s="112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</row>
    <row r="940" spans="1:29" ht="12" customHeight="1">
      <c r="A940" s="108"/>
      <c r="B940" s="109"/>
      <c r="C940" s="112"/>
      <c r="D940" s="112"/>
      <c r="E940" s="109"/>
      <c r="F940" s="109"/>
      <c r="G940" s="109"/>
      <c r="H940" s="111"/>
      <c r="I940" s="268"/>
      <c r="J940" s="112"/>
      <c r="K940" s="112"/>
      <c r="L940" s="112"/>
      <c r="M940" s="112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</row>
    <row r="941" spans="1:29" ht="12" customHeight="1">
      <c r="A941" s="108"/>
      <c r="B941" s="109"/>
      <c r="C941" s="112"/>
      <c r="D941" s="112"/>
      <c r="E941" s="109"/>
      <c r="F941" s="109"/>
      <c r="G941" s="109"/>
      <c r="H941" s="111"/>
      <c r="I941" s="268"/>
      <c r="J941" s="112"/>
      <c r="K941" s="112"/>
      <c r="L941" s="112"/>
      <c r="M941" s="112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</row>
    <row r="942" spans="1:29" ht="12" customHeight="1">
      <c r="A942" s="108"/>
      <c r="B942" s="109"/>
      <c r="C942" s="112"/>
      <c r="D942" s="112"/>
      <c r="E942" s="109"/>
      <c r="F942" s="109"/>
      <c r="G942" s="109"/>
      <c r="H942" s="111"/>
      <c r="I942" s="268"/>
      <c r="J942" s="112"/>
      <c r="K942" s="112"/>
      <c r="L942" s="112"/>
      <c r="M942" s="112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</row>
    <row r="943" spans="1:29" ht="12" customHeight="1">
      <c r="A943" s="108"/>
      <c r="B943" s="109"/>
      <c r="C943" s="112"/>
      <c r="D943" s="112"/>
      <c r="E943" s="109"/>
      <c r="F943" s="109"/>
      <c r="G943" s="109"/>
      <c r="H943" s="111"/>
      <c r="I943" s="268"/>
      <c r="J943" s="112"/>
      <c r="K943" s="112"/>
      <c r="L943" s="112"/>
      <c r="M943" s="112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</row>
    <row r="944" spans="1:29" ht="12" customHeight="1">
      <c r="A944" s="108"/>
      <c r="B944" s="109"/>
      <c r="C944" s="112"/>
      <c r="D944" s="112"/>
      <c r="E944" s="109"/>
      <c r="F944" s="109"/>
      <c r="G944" s="109"/>
      <c r="H944" s="111"/>
      <c r="I944" s="268"/>
      <c r="J944" s="112"/>
      <c r="K944" s="112"/>
      <c r="L944" s="112"/>
      <c r="M944" s="112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</row>
    <row r="945" spans="1:29" ht="12" customHeight="1">
      <c r="A945" s="108"/>
      <c r="B945" s="109"/>
      <c r="C945" s="112"/>
      <c r="D945" s="112"/>
      <c r="E945" s="109"/>
      <c r="F945" s="109"/>
      <c r="G945" s="109"/>
      <c r="H945" s="111"/>
      <c r="I945" s="268"/>
      <c r="J945" s="112"/>
      <c r="K945" s="112"/>
      <c r="L945" s="112"/>
      <c r="M945" s="112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</row>
    <row r="946" spans="1:29" ht="12" customHeight="1">
      <c r="A946" s="108"/>
      <c r="B946" s="109"/>
      <c r="C946" s="112"/>
      <c r="D946" s="112"/>
      <c r="E946" s="109"/>
      <c r="F946" s="109"/>
      <c r="G946" s="109"/>
      <c r="H946" s="111"/>
      <c r="I946" s="268"/>
      <c r="J946" s="112"/>
      <c r="K946" s="112"/>
      <c r="L946" s="112"/>
      <c r="M946" s="112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</row>
    <row r="947" spans="1:29" ht="12" customHeight="1">
      <c r="A947" s="108"/>
      <c r="B947" s="109"/>
      <c r="C947" s="112"/>
      <c r="D947" s="112"/>
      <c r="E947" s="109"/>
      <c r="F947" s="109"/>
      <c r="G947" s="109"/>
      <c r="H947" s="111"/>
      <c r="I947" s="268"/>
      <c r="J947" s="112"/>
      <c r="K947" s="112"/>
      <c r="L947" s="112"/>
      <c r="M947" s="112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</row>
    <row r="948" spans="1:29" ht="12" customHeight="1">
      <c r="A948" s="108"/>
      <c r="B948" s="109"/>
      <c r="C948" s="112"/>
      <c r="D948" s="112"/>
      <c r="E948" s="109"/>
      <c r="F948" s="109"/>
      <c r="G948" s="109"/>
      <c r="H948" s="111"/>
      <c r="I948" s="268"/>
      <c r="J948" s="112"/>
      <c r="K948" s="112"/>
      <c r="L948" s="112"/>
      <c r="M948" s="112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</row>
    <row r="949" spans="1:29" ht="12" customHeight="1">
      <c r="A949" s="108"/>
      <c r="B949" s="109"/>
      <c r="C949" s="112"/>
      <c r="D949" s="112"/>
      <c r="E949" s="109"/>
      <c r="F949" s="109"/>
      <c r="G949" s="109"/>
      <c r="H949" s="111"/>
      <c r="I949" s="268"/>
      <c r="J949" s="112"/>
      <c r="K949" s="112"/>
      <c r="L949" s="112"/>
      <c r="M949" s="112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</row>
    <row r="950" spans="1:29" ht="12" customHeight="1">
      <c r="A950" s="108"/>
      <c r="B950" s="109"/>
      <c r="C950" s="112"/>
      <c r="D950" s="112"/>
      <c r="E950" s="109"/>
      <c r="F950" s="109"/>
      <c r="G950" s="109"/>
      <c r="H950" s="111"/>
      <c r="I950" s="268"/>
      <c r="J950" s="112"/>
      <c r="K950" s="112"/>
      <c r="L950" s="112"/>
      <c r="M950" s="112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</row>
    <row r="951" spans="1:29" ht="12" customHeight="1">
      <c r="A951" s="108"/>
      <c r="B951" s="109"/>
      <c r="C951" s="112"/>
      <c r="D951" s="112"/>
      <c r="E951" s="109"/>
      <c r="F951" s="109"/>
      <c r="G951" s="109"/>
      <c r="H951" s="111"/>
      <c r="I951" s="268"/>
      <c r="J951" s="112"/>
      <c r="K951" s="112"/>
      <c r="L951" s="112"/>
      <c r="M951" s="112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</row>
    <row r="952" spans="1:29" ht="12" customHeight="1">
      <c r="A952" s="108"/>
      <c r="B952" s="109"/>
      <c r="C952" s="112"/>
      <c r="D952" s="112"/>
      <c r="E952" s="109"/>
      <c r="F952" s="109"/>
      <c r="G952" s="109"/>
      <c r="H952" s="111"/>
      <c r="I952" s="268"/>
      <c r="J952" s="112"/>
      <c r="K952" s="112"/>
      <c r="L952" s="112"/>
      <c r="M952" s="112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</row>
    <row r="953" spans="1:29" ht="12" customHeight="1">
      <c r="A953" s="108"/>
      <c r="B953" s="109"/>
      <c r="C953" s="112"/>
      <c r="D953" s="112"/>
      <c r="E953" s="109"/>
      <c r="F953" s="109"/>
      <c r="G953" s="109"/>
      <c r="H953" s="111"/>
      <c r="I953" s="268"/>
      <c r="J953" s="112"/>
      <c r="K953" s="112"/>
      <c r="L953" s="112"/>
      <c r="M953" s="112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</row>
    <row r="954" spans="1:29" ht="12" customHeight="1">
      <c r="A954" s="108"/>
      <c r="B954" s="109"/>
      <c r="C954" s="112"/>
      <c r="D954" s="112"/>
      <c r="E954" s="109"/>
      <c r="F954" s="109"/>
      <c r="G954" s="109"/>
      <c r="H954" s="111"/>
      <c r="I954" s="268"/>
      <c r="J954" s="112"/>
      <c r="K954" s="112"/>
      <c r="L954" s="112"/>
      <c r="M954" s="112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</row>
    <row r="955" spans="1:29" ht="12" customHeight="1">
      <c r="A955" s="108"/>
      <c r="B955" s="109"/>
      <c r="C955" s="112"/>
      <c r="D955" s="112"/>
      <c r="E955" s="109"/>
      <c r="F955" s="109"/>
      <c r="G955" s="109"/>
      <c r="H955" s="111"/>
      <c r="I955" s="268"/>
      <c r="J955" s="112"/>
      <c r="K955" s="112"/>
      <c r="L955" s="112"/>
      <c r="M955" s="112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</row>
    <row r="956" spans="1:29" ht="12" customHeight="1">
      <c r="A956" s="108"/>
      <c r="B956" s="109"/>
      <c r="C956" s="112"/>
      <c r="D956" s="112"/>
      <c r="E956" s="109"/>
      <c r="F956" s="109"/>
      <c r="G956" s="109"/>
      <c r="H956" s="111"/>
      <c r="I956" s="268"/>
      <c r="J956" s="112"/>
      <c r="K956" s="112"/>
      <c r="L956" s="112"/>
      <c r="M956" s="112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</row>
    <row r="957" spans="1:29" ht="12" customHeight="1">
      <c r="A957" s="108"/>
      <c r="B957" s="109"/>
      <c r="C957" s="112"/>
      <c r="D957" s="112"/>
      <c r="E957" s="109"/>
      <c r="F957" s="109"/>
      <c r="G957" s="109"/>
      <c r="H957" s="111"/>
      <c r="I957" s="268"/>
      <c r="J957" s="112"/>
      <c r="K957" s="112"/>
      <c r="L957" s="112"/>
      <c r="M957" s="112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</row>
    <row r="958" spans="1:29" ht="12" customHeight="1">
      <c r="A958" s="108"/>
      <c r="B958" s="109"/>
      <c r="C958" s="112"/>
      <c r="D958" s="112"/>
      <c r="E958" s="109"/>
      <c r="F958" s="109"/>
      <c r="G958" s="109"/>
      <c r="H958" s="111"/>
      <c r="I958" s="268"/>
      <c r="J958" s="112"/>
      <c r="K958" s="112"/>
      <c r="L958" s="112"/>
      <c r="M958" s="112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</row>
    <row r="959" spans="1:29" ht="12" customHeight="1">
      <c r="A959" s="108"/>
      <c r="B959" s="109"/>
      <c r="C959" s="112"/>
      <c r="D959" s="112"/>
      <c r="E959" s="109"/>
      <c r="F959" s="109"/>
      <c r="G959" s="109"/>
      <c r="H959" s="111"/>
      <c r="I959" s="268"/>
      <c r="J959" s="112"/>
      <c r="K959" s="112"/>
      <c r="L959" s="112"/>
      <c r="M959" s="112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</row>
    <row r="960" spans="1:29" ht="12" customHeight="1">
      <c r="A960" s="108"/>
      <c r="B960" s="109"/>
      <c r="C960" s="112"/>
      <c r="D960" s="112"/>
      <c r="E960" s="109"/>
      <c r="F960" s="109"/>
      <c r="G960" s="109"/>
      <c r="H960" s="111"/>
      <c r="I960" s="268"/>
      <c r="J960" s="112"/>
      <c r="K960" s="112"/>
      <c r="L960" s="112"/>
      <c r="M960" s="112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</row>
    <row r="961" spans="1:29" ht="12" customHeight="1">
      <c r="A961" s="108"/>
      <c r="B961" s="109"/>
      <c r="C961" s="112"/>
      <c r="D961" s="112"/>
      <c r="E961" s="109"/>
      <c r="F961" s="109"/>
      <c r="G961" s="109"/>
      <c r="H961" s="111"/>
      <c r="I961" s="268"/>
      <c r="J961" s="112"/>
      <c r="K961" s="112"/>
      <c r="L961" s="112"/>
      <c r="M961" s="112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</row>
    <row r="962" spans="1:29" ht="12" customHeight="1">
      <c r="A962" s="108"/>
      <c r="B962" s="109"/>
      <c r="C962" s="112"/>
      <c r="D962" s="112"/>
      <c r="E962" s="109"/>
      <c r="F962" s="109"/>
      <c r="G962" s="109"/>
      <c r="H962" s="111"/>
      <c r="I962" s="268"/>
      <c r="J962" s="112"/>
      <c r="K962" s="112"/>
      <c r="L962" s="112"/>
      <c r="M962" s="112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</row>
    <row r="963" spans="1:29" ht="12" customHeight="1">
      <c r="A963" s="108"/>
      <c r="B963" s="109"/>
      <c r="C963" s="112"/>
      <c r="D963" s="112"/>
      <c r="E963" s="109"/>
      <c r="F963" s="109"/>
      <c r="G963" s="109"/>
      <c r="H963" s="111"/>
      <c r="I963" s="268"/>
      <c r="J963" s="112"/>
      <c r="K963" s="112"/>
      <c r="L963" s="112"/>
      <c r="M963" s="112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</row>
    <row r="964" spans="1:29" ht="12" customHeight="1">
      <c r="A964" s="108"/>
      <c r="B964" s="109"/>
      <c r="C964" s="112"/>
      <c r="D964" s="112"/>
      <c r="E964" s="109"/>
      <c r="F964" s="109"/>
      <c r="G964" s="109"/>
      <c r="H964" s="111"/>
      <c r="I964" s="268"/>
      <c r="J964" s="112"/>
      <c r="K964" s="112"/>
      <c r="L964" s="112"/>
      <c r="M964" s="112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</row>
    <row r="965" spans="1:29" ht="12" customHeight="1">
      <c r="A965" s="108"/>
      <c r="B965" s="109"/>
      <c r="C965" s="112"/>
      <c r="D965" s="112"/>
      <c r="E965" s="109"/>
      <c r="F965" s="109"/>
      <c r="G965" s="109"/>
      <c r="H965" s="111"/>
      <c r="I965" s="268"/>
      <c r="J965" s="112"/>
      <c r="K965" s="112"/>
      <c r="L965" s="112"/>
      <c r="M965" s="112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</row>
    <row r="966" spans="1:29" ht="12" customHeight="1">
      <c r="A966" s="108"/>
      <c r="B966" s="109"/>
      <c r="C966" s="112"/>
      <c r="D966" s="112"/>
      <c r="E966" s="109"/>
      <c r="F966" s="109"/>
      <c r="G966" s="109"/>
      <c r="H966" s="111"/>
      <c r="I966" s="268"/>
      <c r="J966" s="112"/>
      <c r="K966" s="112"/>
      <c r="L966" s="112"/>
      <c r="M966" s="112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</row>
    <row r="967" spans="1:29" ht="12" customHeight="1">
      <c r="A967" s="108"/>
      <c r="B967" s="109"/>
      <c r="C967" s="112"/>
      <c r="D967" s="112"/>
      <c r="E967" s="109"/>
      <c r="F967" s="109"/>
      <c r="G967" s="109"/>
      <c r="H967" s="111"/>
      <c r="I967" s="268"/>
      <c r="J967" s="112"/>
      <c r="K967" s="112"/>
      <c r="L967" s="112"/>
      <c r="M967" s="112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</row>
    <row r="968" spans="1:29" ht="12" customHeight="1">
      <c r="A968" s="108"/>
      <c r="B968" s="109"/>
      <c r="C968" s="112"/>
      <c r="D968" s="112"/>
      <c r="E968" s="109"/>
      <c r="F968" s="109"/>
      <c r="G968" s="109"/>
      <c r="H968" s="111"/>
      <c r="I968" s="268"/>
      <c r="J968" s="112"/>
      <c r="K968" s="112"/>
      <c r="L968" s="112"/>
      <c r="M968" s="112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</row>
    <row r="969" spans="1:29" ht="12" customHeight="1">
      <c r="A969" s="108"/>
      <c r="B969" s="109"/>
      <c r="C969" s="112"/>
      <c r="D969" s="112"/>
      <c r="E969" s="109"/>
      <c r="F969" s="109"/>
      <c r="G969" s="109"/>
      <c r="H969" s="111"/>
      <c r="I969" s="268"/>
      <c r="J969" s="112"/>
      <c r="K969" s="112"/>
      <c r="L969" s="112"/>
      <c r="M969" s="112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</row>
    <row r="970" spans="1:29" ht="12" customHeight="1">
      <c r="A970" s="108"/>
      <c r="B970" s="109"/>
      <c r="C970" s="112"/>
      <c r="D970" s="112"/>
      <c r="E970" s="109"/>
      <c r="F970" s="109"/>
      <c r="G970" s="109"/>
      <c r="H970" s="111"/>
      <c r="I970" s="268"/>
      <c r="J970" s="112"/>
      <c r="K970" s="112"/>
      <c r="L970" s="112"/>
      <c r="M970" s="112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</row>
    <row r="971" spans="1:29" ht="12" customHeight="1">
      <c r="A971" s="108"/>
      <c r="B971" s="109"/>
      <c r="C971" s="112"/>
      <c r="D971" s="112"/>
      <c r="E971" s="109"/>
      <c r="F971" s="109"/>
      <c r="G971" s="109"/>
      <c r="H971" s="111"/>
      <c r="I971" s="268"/>
      <c r="J971" s="112"/>
      <c r="K971" s="112"/>
      <c r="L971" s="112"/>
      <c r="M971" s="112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</row>
    <row r="972" spans="1:29" ht="12" customHeight="1">
      <c r="A972" s="108"/>
      <c r="B972" s="109"/>
      <c r="C972" s="112"/>
      <c r="D972" s="112"/>
      <c r="E972" s="109"/>
      <c r="F972" s="109"/>
      <c r="G972" s="109"/>
      <c r="H972" s="111"/>
      <c r="I972" s="268"/>
      <c r="J972" s="112"/>
      <c r="K972" s="112"/>
      <c r="L972" s="112"/>
      <c r="M972" s="112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</row>
    <row r="973" spans="1:29" ht="12" customHeight="1">
      <c r="A973" s="108"/>
      <c r="B973" s="109"/>
      <c r="C973" s="112"/>
      <c r="D973" s="112"/>
      <c r="E973" s="109"/>
      <c r="F973" s="109"/>
      <c r="G973" s="109"/>
      <c r="H973" s="111"/>
      <c r="I973" s="268"/>
      <c r="J973" s="112"/>
      <c r="K973" s="112"/>
      <c r="L973" s="112"/>
      <c r="M973" s="112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</row>
    <row r="974" spans="1:29" ht="12" customHeight="1">
      <c r="A974" s="108"/>
      <c r="B974" s="109"/>
      <c r="C974" s="112"/>
      <c r="D974" s="112"/>
      <c r="E974" s="109"/>
      <c r="F974" s="109"/>
      <c r="G974" s="109"/>
      <c r="H974" s="111"/>
      <c r="I974" s="268"/>
      <c r="J974" s="112"/>
      <c r="K974" s="112"/>
      <c r="L974" s="112"/>
      <c r="M974" s="112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</row>
    <row r="975" spans="1:29" ht="12" customHeight="1">
      <c r="A975" s="108"/>
      <c r="B975" s="109"/>
      <c r="C975" s="112"/>
      <c r="D975" s="112"/>
      <c r="E975" s="109"/>
      <c r="F975" s="109"/>
      <c r="G975" s="109"/>
      <c r="H975" s="111"/>
      <c r="I975" s="268"/>
      <c r="J975" s="112"/>
      <c r="K975" s="112"/>
      <c r="L975" s="112"/>
      <c r="M975" s="112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</row>
    <row r="976" spans="1:29" ht="12" customHeight="1">
      <c r="A976" s="108"/>
      <c r="B976" s="109"/>
      <c r="C976" s="112"/>
      <c r="D976" s="112"/>
      <c r="E976" s="109"/>
      <c r="F976" s="109"/>
      <c r="G976" s="109"/>
      <c r="H976" s="111"/>
      <c r="I976" s="268"/>
      <c r="J976" s="112"/>
      <c r="K976" s="112"/>
      <c r="L976" s="112"/>
      <c r="M976" s="112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</row>
    <row r="977" spans="1:29" ht="12" customHeight="1">
      <c r="A977" s="108"/>
      <c r="B977" s="109"/>
      <c r="C977" s="112"/>
      <c r="D977" s="112"/>
      <c r="E977" s="109"/>
      <c r="F977" s="109"/>
      <c r="G977" s="109"/>
      <c r="H977" s="111"/>
      <c r="I977" s="268"/>
      <c r="J977" s="112"/>
      <c r="K977" s="112"/>
      <c r="L977" s="112"/>
      <c r="M977" s="112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</row>
    <row r="978" spans="1:29" ht="12" customHeight="1">
      <c r="A978" s="108"/>
      <c r="B978" s="109"/>
      <c r="C978" s="112"/>
      <c r="D978" s="112"/>
      <c r="E978" s="109"/>
      <c r="F978" s="109"/>
      <c r="G978" s="109"/>
      <c r="H978" s="111"/>
      <c r="I978" s="268"/>
      <c r="J978" s="112"/>
      <c r="K978" s="112"/>
      <c r="L978" s="112"/>
      <c r="M978" s="112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</row>
    <row r="979" spans="1:29" ht="12" customHeight="1">
      <c r="A979" s="108"/>
      <c r="B979" s="109"/>
      <c r="C979" s="112"/>
      <c r="D979" s="112"/>
      <c r="E979" s="109"/>
      <c r="F979" s="109"/>
      <c r="G979" s="109"/>
      <c r="H979" s="111"/>
      <c r="I979" s="268"/>
      <c r="J979" s="112"/>
      <c r="K979" s="112"/>
      <c r="L979" s="112"/>
      <c r="M979" s="112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</row>
    <row r="980" spans="1:29" ht="12" customHeight="1">
      <c r="A980" s="108"/>
      <c r="B980" s="109"/>
      <c r="C980" s="112"/>
      <c r="D980" s="112"/>
      <c r="E980" s="109"/>
      <c r="F980" s="109"/>
      <c r="G980" s="109"/>
      <c r="H980" s="111"/>
      <c r="I980" s="268"/>
      <c r="J980" s="112"/>
      <c r="K980" s="112"/>
      <c r="L980" s="112"/>
      <c r="M980" s="112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</row>
    <row r="981" spans="1:29" ht="12" customHeight="1">
      <c r="A981" s="108"/>
      <c r="B981" s="109"/>
      <c r="C981" s="112"/>
      <c r="D981" s="112"/>
      <c r="E981" s="109"/>
      <c r="F981" s="109"/>
      <c r="G981" s="109"/>
      <c r="H981" s="111"/>
      <c r="I981" s="268"/>
      <c r="J981" s="112"/>
      <c r="K981" s="112"/>
      <c r="L981" s="112"/>
      <c r="M981" s="112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</row>
    <row r="982" spans="1:29" ht="12" customHeight="1">
      <c r="A982" s="108"/>
      <c r="B982" s="109"/>
      <c r="C982" s="112"/>
      <c r="D982" s="112"/>
      <c r="E982" s="109"/>
      <c r="F982" s="109"/>
      <c r="G982" s="109"/>
      <c r="H982" s="111"/>
      <c r="I982" s="268"/>
      <c r="J982" s="112"/>
      <c r="K982" s="112"/>
      <c r="L982" s="112"/>
      <c r="M982" s="112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</row>
    <row r="983" spans="1:29" ht="12" customHeight="1">
      <c r="A983" s="108"/>
      <c r="B983" s="109"/>
      <c r="C983" s="112"/>
      <c r="D983" s="112"/>
      <c r="E983" s="109"/>
      <c r="F983" s="109"/>
      <c r="G983" s="109"/>
      <c r="H983" s="111"/>
      <c r="I983" s="268"/>
      <c r="J983" s="112"/>
      <c r="K983" s="112"/>
      <c r="L983" s="112"/>
      <c r="M983" s="112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</row>
  </sheetData>
  <phoneticPr fontId="24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47"/>
  <sheetViews>
    <sheetView workbookViewId="0">
      <selection activeCell="G39" sqref="G39"/>
    </sheetView>
  </sheetViews>
  <sheetFormatPr baseColWidth="10" defaultColWidth="12.6640625" defaultRowHeight="15" customHeight="1"/>
  <cols>
    <col min="1" max="1" width="9.6640625" customWidth="1"/>
    <col min="2" max="2" width="11.5" bestFit="1" customWidth="1"/>
    <col min="3" max="3" width="15.33203125" customWidth="1"/>
    <col min="4" max="5" width="16.1640625" customWidth="1"/>
    <col min="6" max="6" width="7.83203125" customWidth="1"/>
    <col min="7" max="7" width="81.83203125" customWidth="1"/>
    <col min="8" max="8" width="10" bestFit="1" customWidth="1"/>
    <col min="9" max="9" width="8" customWidth="1"/>
    <col min="10" max="10" width="13.6640625" bestFit="1" customWidth="1"/>
    <col min="11" max="11" width="8" customWidth="1"/>
    <col min="12" max="12" width="8.33203125" customWidth="1"/>
    <col min="13" max="13" width="10" customWidth="1"/>
    <col min="14" max="29" width="7.6640625" customWidth="1"/>
  </cols>
  <sheetData>
    <row r="1" spans="1:29" ht="12" customHeight="1">
      <c r="A1" s="108" t="s">
        <v>126</v>
      </c>
      <c r="B1" s="109" t="s">
        <v>190</v>
      </c>
      <c r="C1" s="109" t="s">
        <v>131</v>
      </c>
      <c r="D1" s="109" t="s">
        <v>139</v>
      </c>
      <c r="E1" s="109" t="s">
        <v>133</v>
      </c>
      <c r="F1" s="109" t="s">
        <v>133</v>
      </c>
      <c r="G1" s="109" t="s">
        <v>134</v>
      </c>
      <c r="H1" s="109" t="s">
        <v>135</v>
      </c>
      <c r="I1" s="110" t="s">
        <v>192</v>
      </c>
      <c r="J1" s="110" t="s">
        <v>214</v>
      </c>
      <c r="K1" s="110" t="s">
        <v>193</v>
      </c>
      <c r="L1" s="110" t="s">
        <v>137</v>
      </c>
      <c r="M1" s="110" t="s">
        <v>194</v>
      </c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</row>
    <row r="2" spans="1:29">
      <c r="A2" s="108" t="s">
        <v>305</v>
      </c>
      <c r="B2" s="109" t="s">
        <v>191</v>
      </c>
      <c r="C2" s="322" t="s">
        <v>1031</v>
      </c>
      <c r="D2" s="111" t="s">
        <v>1070</v>
      </c>
      <c r="E2" s="109" t="s">
        <v>1071</v>
      </c>
      <c r="F2" s="123"/>
      <c r="G2" s="123" t="s">
        <v>1072</v>
      </c>
      <c r="H2" s="123">
        <v>50</v>
      </c>
      <c r="I2" s="112">
        <v>6800</v>
      </c>
      <c r="J2" s="112">
        <f>H2*I2</f>
        <v>340000</v>
      </c>
      <c r="K2" s="112">
        <f>I2*0.48</f>
        <v>3264</v>
      </c>
      <c r="L2" s="112"/>
      <c r="M2" s="117">
        <f>H2*K2</f>
        <v>163200</v>
      </c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</row>
    <row r="3" spans="1:29" ht="12" customHeight="1">
      <c r="A3" s="108"/>
      <c r="C3" s="109"/>
      <c r="D3" s="109"/>
      <c r="E3" s="109"/>
      <c r="F3" s="109"/>
      <c r="G3" s="109"/>
      <c r="H3" s="111"/>
      <c r="I3" s="111"/>
      <c r="J3" s="112"/>
      <c r="K3" s="112"/>
      <c r="L3" s="112"/>
      <c r="M3" s="112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</row>
    <row r="4" spans="1:29" ht="12" customHeight="1">
      <c r="A4" s="108"/>
      <c r="B4" s="109"/>
      <c r="C4" s="109"/>
      <c r="D4" s="109"/>
      <c r="E4" s="109"/>
      <c r="F4" s="109"/>
      <c r="G4" s="111"/>
      <c r="H4" s="112">
        <f>SUM(H2:H3)</f>
        <v>50</v>
      </c>
      <c r="I4" s="112"/>
      <c r="J4" s="112">
        <f>SUM(J2:J3)</f>
        <v>340000</v>
      </c>
      <c r="K4" s="112"/>
      <c r="L4" s="112"/>
      <c r="M4" s="112">
        <f>SUM(M2:M3)</f>
        <v>163200</v>
      </c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</row>
    <row r="5" spans="1:29" ht="12" customHeight="1">
      <c r="A5" s="108"/>
      <c r="B5" s="109"/>
      <c r="C5" s="109"/>
      <c r="D5" s="109"/>
      <c r="E5" s="109"/>
      <c r="F5" s="109"/>
      <c r="G5" s="111"/>
      <c r="H5" s="111"/>
      <c r="I5" s="112"/>
      <c r="J5" s="112"/>
      <c r="K5" s="112"/>
      <c r="L5" s="112"/>
      <c r="M5" s="112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</row>
    <row r="6" spans="1:29" ht="12" customHeight="1">
      <c r="A6" s="108"/>
      <c r="B6" s="109"/>
      <c r="C6" s="109"/>
      <c r="D6" s="109"/>
      <c r="E6" s="109"/>
      <c r="F6" s="109"/>
      <c r="G6" s="111"/>
      <c r="H6" s="111"/>
      <c r="I6" s="112"/>
      <c r="J6" s="112"/>
      <c r="K6" s="112"/>
      <c r="L6" s="112"/>
      <c r="M6" s="112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</row>
    <row r="7" spans="1:29" ht="12" customHeight="1">
      <c r="A7" s="108"/>
      <c r="B7" s="109"/>
      <c r="C7" s="109"/>
      <c r="D7" s="109"/>
      <c r="E7" s="109"/>
      <c r="F7" s="109"/>
      <c r="G7" s="111"/>
      <c r="H7" s="111"/>
      <c r="I7" s="112"/>
      <c r="J7" s="112"/>
      <c r="K7" s="112"/>
      <c r="L7" s="112"/>
      <c r="M7" s="112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</row>
    <row r="8" spans="1:29" ht="12" customHeight="1">
      <c r="A8" s="108"/>
      <c r="B8" s="109"/>
      <c r="C8" s="109"/>
      <c r="D8" s="109"/>
      <c r="E8" s="109"/>
      <c r="F8" s="109"/>
      <c r="G8" s="111"/>
      <c r="H8" s="111"/>
      <c r="I8" s="112"/>
      <c r="J8" s="112"/>
      <c r="K8" s="112"/>
      <c r="L8" s="112"/>
      <c r="M8" s="112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</row>
    <row r="9" spans="1:29" ht="12" customHeight="1">
      <c r="A9" s="108"/>
      <c r="B9" s="109"/>
      <c r="C9" s="109"/>
      <c r="D9" s="109"/>
      <c r="E9" s="109"/>
      <c r="F9" s="109"/>
      <c r="G9" s="111"/>
      <c r="H9" s="111"/>
      <c r="I9" s="112"/>
      <c r="J9" s="112"/>
      <c r="K9" s="112"/>
      <c r="L9" s="112"/>
      <c r="M9" s="112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</row>
    <row r="10" spans="1:29" ht="12" customHeight="1">
      <c r="A10" s="108"/>
      <c r="B10" s="109"/>
      <c r="C10" s="109"/>
      <c r="D10" s="109"/>
      <c r="E10" s="109"/>
      <c r="F10" s="109"/>
      <c r="G10" s="111"/>
      <c r="H10" s="111"/>
      <c r="I10" s="112"/>
      <c r="J10" s="112"/>
      <c r="K10" s="112"/>
      <c r="L10" s="112"/>
      <c r="M10" s="112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</row>
    <row r="11" spans="1:29" ht="12" customHeight="1">
      <c r="A11" s="108"/>
      <c r="B11" s="109"/>
      <c r="C11" s="109"/>
      <c r="D11" s="109"/>
      <c r="E11" s="109"/>
      <c r="F11" s="109"/>
      <c r="G11" s="111"/>
      <c r="H11" s="111"/>
      <c r="I11" s="112"/>
      <c r="J11" s="112"/>
      <c r="K11" s="112"/>
      <c r="L11" s="112"/>
      <c r="M11" s="112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</row>
    <row r="12" spans="1:29" ht="12" customHeight="1">
      <c r="A12" s="108"/>
      <c r="B12" s="109"/>
      <c r="C12" s="109"/>
      <c r="D12" s="109"/>
      <c r="E12" s="109"/>
      <c r="F12" s="109"/>
      <c r="G12" s="111"/>
      <c r="H12" s="111"/>
      <c r="I12" s="112"/>
      <c r="J12" s="112"/>
      <c r="K12" s="112"/>
      <c r="L12" s="112"/>
      <c r="M12" s="112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</row>
    <row r="13" spans="1:29" ht="12" customHeight="1">
      <c r="A13" s="108"/>
      <c r="B13" s="109"/>
      <c r="C13" s="109"/>
      <c r="D13" s="109"/>
      <c r="E13" s="109"/>
      <c r="F13" s="109"/>
      <c r="G13" s="111"/>
      <c r="H13" s="111"/>
      <c r="I13" s="112"/>
      <c r="J13" s="112"/>
      <c r="K13" s="112"/>
      <c r="L13" s="112"/>
      <c r="M13" s="112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</row>
    <row r="14" spans="1:29" ht="12" customHeight="1">
      <c r="A14" s="108"/>
      <c r="B14" s="109"/>
      <c r="C14" s="109"/>
      <c r="D14" s="109"/>
      <c r="E14" s="109"/>
      <c r="F14" s="109"/>
      <c r="G14" s="111"/>
      <c r="H14" s="111"/>
      <c r="I14" s="112"/>
      <c r="J14" s="112"/>
      <c r="K14" s="112"/>
      <c r="L14" s="112"/>
      <c r="M14" s="112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</row>
    <row r="15" spans="1:29" ht="12" customHeight="1">
      <c r="A15" s="108"/>
      <c r="B15" s="109"/>
      <c r="C15" s="109"/>
      <c r="D15" s="109"/>
      <c r="E15" s="109"/>
      <c r="F15" s="109"/>
      <c r="G15" s="111"/>
      <c r="H15" s="111"/>
      <c r="I15" s="112"/>
      <c r="J15" s="112"/>
      <c r="K15" s="112"/>
      <c r="L15" s="112"/>
      <c r="M15" s="112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</row>
    <row r="16" spans="1:29" ht="12" customHeight="1">
      <c r="A16" s="108"/>
      <c r="B16" s="109"/>
      <c r="C16" s="109"/>
      <c r="D16" s="109"/>
      <c r="E16" s="109"/>
      <c r="F16" s="109"/>
      <c r="G16" s="111"/>
      <c r="H16" s="111"/>
      <c r="I16" s="112"/>
      <c r="J16" s="112"/>
      <c r="K16" s="112"/>
      <c r="L16" s="112"/>
      <c r="M16" s="112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</row>
    <row r="17" spans="1:29" ht="12" customHeight="1">
      <c r="A17" s="108"/>
      <c r="B17" s="109"/>
      <c r="C17" s="109"/>
      <c r="D17" s="109"/>
      <c r="E17" s="109"/>
      <c r="F17" s="109"/>
      <c r="G17" s="111"/>
      <c r="H17" s="111"/>
      <c r="I17" s="112"/>
      <c r="J17" s="112"/>
      <c r="K17" s="112"/>
      <c r="L17" s="112"/>
      <c r="M17" s="112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</row>
    <row r="18" spans="1:29" ht="12" customHeight="1">
      <c r="A18" s="108"/>
      <c r="B18" s="109"/>
      <c r="C18" s="109"/>
      <c r="D18" s="109"/>
      <c r="E18" s="109"/>
      <c r="F18" s="109"/>
      <c r="G18" s="111"/>
      <c r="H18" s="111"/>
      <c r="I18" s="112"/>
      <c r="J18" s="112"/>
      <c r="K18" s="112"/>
      <c r="L18" s="112"/>
      <c r="M18" s="112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</row>
    <row r="19" spans="1:29" ht="12" customHeight="1">
      <c r="A19" s="108"/>
      <c r="B19" s="109"/>
      <c r="C19" s="109"/>
      <c r="D19" s="109"/>
      <c r="E19" s="109"/>
      <c r="F19" s="109"/>
      <c r="G19" s="111"/>
      <c r="H19" s="111"/>
      <c r="I19" s="112"/>
      <c r="J19" s="112"/>
      <c r="K19" s="112"/>
      <c r="L19" s="112"/>
      <c r="M19" s="112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</row>
    <row r="20" spans="1:29" ht="12" customHeight="1">
      <c r="A20" s="108"/>
      <c r="B20" s="109"/>
      <c r="C20" s="109"/>
      <c r="D20" s="109"/>
      <c r="E20" s="109"/>
      <c r="F20" s="109"/>
      <c r="G20" s="111"/>
      <c r="H20" s="111"/>
      <c r="I20" s="112"/>
      <c r="J20" s="112"/>
      <c r="K20" s="112"/>
      <c r="L20" s="112"/>
      <c r="M20" s="112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</row>
    <row r="21" spans="1:29" ht="12" customHeight="1">
      <c r="A21" s="108"/>
      <c r="B21" s="109"/>
      <c r="C21" s="109"/>
      <c r="D21" s="109"/>
      <c r="E21" s="109"/>
      <c r="F21" s="109"/>
      <c r="G21" s="111"/>
      <c r="H21" s="111"/>
      <c r="I21" s="112"/>
      <c r="J21" s="112"/>
      <c r="K21" s="112"/>
      <c r="L21" s="112"/>
      <c r="M21" s="112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</row>
    <row r="22" spans="1:29" ht="12" customHeight="1">
      <c r="A22" s="108"/>
      <c r="B22" s="109"/>
      <c r="C22" s="109"/>
      <c r="D22" s="109"/>
      <c r="E22" s="109"/>
      <c r="F22" s="109"/>
      <c r="G22" s="111"/>
      <c r="H22" s="111"/>
      <c r="I22" s="112"/>
      <c r="J22" s="112"/>
      <c r="K22" s="112"/>
      <c r="L22" s="112"/>
      <c r="M22" s="112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</row>
    <row r="23" spans="1:29" ht="12" customHeight="1">
      <c r="A23" s="108"/>
      <c r="B23" s="109"/>
      <c r="C23" s="109"/>
      <c r="D23" s="109"/>
      <c r="E23" s="109"/>
      <c r="F23" s="109"/>
      <c r="G23" s="111"/>
      <c r="H23" s="111"/>
      <c r="I23" s="112"/>
      <c r="J23" s="112"/>
      <c r="K23" s="112"/>
      <c r="L23" s="112"/>
      <c r="M23" s="112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ht="12" customHeight="1">
      <c r="A24" s="108"/>
      <c r="B24" s="109"/>
      <c r="C24" s="109"/>
      <c r="D24" s="109"/>
      <c r="E24" s="109"/>
      <c r="F24" s="109"/>
      <c r="G24" s="111"/>
      <c r="H24" s="111"/>
      <c r="I24" s="112"/>
      <c r="J24" s="112"/>
      <c r="K24" s="112"/>
      <c r="L24" s="112"/>
      <c r="M24" s="112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</row>
    <row r="25" spans="1:29" ht="12" customHeight="1">
      <c r="A25" s="108"/>
      <c r="B25" s="109"/>
      <c r="C25" s="109"/>
      <c r="D25" s="109"/>
      <c r="E25" s="109"/>
      <c r="F25" s="109"/>
      <c r="G25" s="111"/>
      <c r="H25" s="111"/>
      <c r="I25" s="112"/>
      <c r="J25" s="112"/>
      <c r="K25" s="112"/>
      <c r="L25" s="112"/>
      <c r="M25" s="112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</row>
    <row r="26" spans="1:29" ht="12" customHeight="1">
      <c r="A26" s="108"/>
      <c r="B26" s="109"/>
      <c r="C26" s="109"/>
      <c r="D26" s="109"/>
      <c r="E26" s="109"/>
      <c r="F26" s="109"/>
      <c r="G26" s="111"/>
      <c r="H26" s="111"/>
      <c r="I26" s="112"/>
      <c r="J26" s="112"/>
      <c r="K26" s="112"/>
      <c r="L26" s="112"/>
      <c r="M26" s="112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</row>
    <row r="27" spans="1:29" ht="12" customHeight="1">
      <c r="A27" s="108"/>
      <c r="B27" s="109"/>
      <c r="C27" s="109"/>
      <c r="D27" s="109"/>
      <c r="E27" s="109"/>
      <c r="F27" s="109"/>
      <c r="G27" s="111"/>
      <c r="H27" s="111"/>
      <c r="I27" s="112"/>
      <c r="J27" s="112"/>
      <c r="K27" s="112"/>
      <c r="L27" s="112"/>
      <c r="M27" s="112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</row>
    <row r="28" spans="1:29" ht="12" customHeight="1">
      <c r="A28" s="108"/>
      <c r="B28" s="109"/>
      <c r="C28" s="109"/>
      <c r="D28" s="109"/>
      <c r="E28" s="109"/>
      <c r="F28" s="109"/>
      <c r="G28" s="111"/>
      <c r="H28" s="111"/>
      <c r="I28" s="112"/>
      <c r="J28" s="112"/>
      <c r="K28" s="112"/>
      <c r="L28" s="112"/>
      <c r="M28" s="112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</row>
    <row r="29" spans="1:29" ht="12" customHeight="1">
      <c r="A29" s="108"/>
      <c r="B29" s="109"/>
      <c r="C29" s="109"/>
      <c r="D29" s="109"/>
      <c r="E29" s="109"/>
      <c r="F29" s="109"/>
      <c r="G29" s="111"/>
      <c r="H29" s="111"/>
      <c r="I29" s="112"/>
      <c r="J29" s="112"/>
      <c r="K29" s="112"/>
      <c r="L29" s="112"/>
      <c r="M29" s="112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</row>
    <row r="30" spans="1:29" ht="12" customHeight="1">
      <c r="A30" s="108"/>
      <c r="B30" s="109"/>
      <c r="C30" s="109"/>
      <c r="D30" s="109"/>
      <c r="E30" s="109"/>
      <c r="F30" s="109"/>
      <c r="G30" s="111"/>
      <c r="H30" s="111"/>
      <c r="I30" s="112"/>
      <c r="J30" s="112"/>
      <c r="K30" s="112"/>
      <c r="L30" s="112"/>
      <c r="M30" s="112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</row>
    <row r="31" spans="1:29" ht="12" customHeight="1">
      <c r="A31" s="108"/>
      <c r="B31" s="109"/>
      <c r="C31" s="109"/>
      <c r="D31" s="109"/>
      <c r="E31" s="109"/>
      <c r="F31" s="109"/>
      <c r="G31" s="111"/>
      <c r="H31" s="111"/>
      <c r="I31" s="112"/>
      <c r="J31" s="112"/>
      <c r="K31" s="112"/>
      <c r="L31" s="112"/>
      <c r="M31" s="112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</row>
    <row r="32" spans="1:29" ht="12" customHeight="1">
      <c r="A32" s="108"/>
      <c r="B32" s="109"/>
      <c r="C32" s="109"/>
      <c r="D32" s="109"/>
      <c r="E32" s="109"/>
      <c r="F32" s="109"/>
      <c r="G32" s="111"/>
      <c r="H32" s="111"/>
      <c r="I32" s="112"/>
      <c r="J32" s="112"/>
      <c r="K32" s="112"/>
      <c r="L32" s="112"/>
      <c r="M32" s="112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</row>
    <row r="33" spans="1:29" ht="12" customHeight="1">
      <c r="A33" s="108"/>
      <c r="B33" s="109"/>
      <c r="C33" s="109"/>
      <c r="D33" s="109"/>
      <c r="E33" s="109"/>
      <c r="F33" s="109"/>
      <c r="G33" s="111"/>
      <c r="H33" s="111"/>
      <c r="I33" s="112"/>
      <c r="J33" s="112"/>
      <c r="K33" s="112"/>
      <c r="L33" s="112"/>
      <c r="M33" s="112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 spans="1:29" ht="12" customHeight="1">
      <c r="A34" s="108"/>
      <c r="B34" s="109"/>
      <c r="C34" s="109"/>
      <c r="D34" s="109"/>
      <c r="E34" s="109"/>
      <c r="F34" s="109"/>
      <c r="G34" s="111"/>
      <c r="H34" s="111"/>
      <c r="I34" s="112"/>
      <c r="J34" s="112"/>
      <c r="K34" s="112"/>
      <c r="L34" s="112"/>
      <c r="M34" s="112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</row>
    <row r="35" spans="1:29" ht="12" customHeight="1">
      <c r="A35" s="108"/>
      <c r="B35" s="109"/>
      <c r="C35" s="109"/>
      <c r="D35" s="109"/>
      <c r="E35" s="109"/>
      <c r="F35" s="109"/>
      <c r="G35" s="111"/>
      <c r="H35" s="111"/>
      <c r="I35" s="112"/>
      <c r="J35" s="112"/>
      <c r="K35" s="112"/>
      <c r="L35" s="112"/>
      <c r="M35" s="112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ht="12" customHeight="1">
      <c r="A36" s="108"/>
      <c r="B36" s="109"/>
      <c r="C36" s="109"/>
      <c r="D36" s="109"/>
      <c r="E36" s="109"/>
      <c r="F36" s="109"/>
      <c r="G36" s="111"/>
      <c r="H36" s="111"/>
      <c r="I36" s="112"/>
      <c r="J36" s="112"/>
      <c r="K36" s="112"/>
      <c r="L36" s="112"/>
      <c r="M36" s="112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</row>
    <row r="37" spans="1:29" ht="12" customHeight="1">
      <c r="A37" s="108"/>
      <c r="B37" s="109"/>
      <c r="C37" s="109"/>
      <c r="D37" s="109"/>
      <c r="E37" s="109"/>
      <c r="F37" s="109"/>
      <c r="G37" s="111"/>
      <c r="H37" s="111"/>
      <c r="I37" s="112"/>
      <c r="J37" s="112"/>
      <c r="K37" s="112"/>
      <c r="L37" s="112"/>
      <c r="M37" s="112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</row>
    <row r="38" spans="1:29" ht="12" customHeight="1">
      <c r="A38" s="108"/>
      <c r="B38" s="109"/>
      <c r="C38" s="109"/>
      <c r="D38" s="109"/>
      <c r="E38" s="109"/>
      <c r="F38" s="109"/>
      <c r="G38" s="111"/>
      <c r="H38" s="111"/>
      <c r="I38" s="112"/>
      <c r="J38" s="112"/>
      <c r="K38" s="112"/>
      <c r="L38" s="112"/>
      <c r="M38" s="112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</row>
    <row r="39" spans="1:29" ht="12" customHeight="1">
      <c r="A39" s="108"/>
      <c r="B39" s="109"/>
      <c r="C39" s="109"/>
      <c r="D39" s="109"/>
      <c r="E39" s="109"/>
      <c r="F39" s="109"/>
      <c r="G39" s="111"/>
      <c r="H39" s="111"/>
      <c r="I39" s="112"/>
      <c r="J39" s="112"/>
      <c r="K39" s="112"/>
      <c r="L39" s="112"/>
      <c r="M39" s="112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</row>
    <row r="40" spans="1:29" ht="12" customHeight="1">
      <c r="A40" s="108"/>
      <c r="B40" s="109"/>
      <c r="C40" s="109"/>
      <c r="D40" s="109"/>
      <c r="E40" s="109"/>
      <c r="F40" s="109"/>
      <c r="G40" s="111"/>
      <c r="H40" s="111"/>
      <c r="I40" s="112"/>
      <c r="J40" s="112"/>
      <c r="K40" s="112"/>
      <c r="L40" s="112"/>
      <c r="M40" s="112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</row>
    <row r="41" spans="1:29" ht="12" customHeight="1">
      <c r="A41" s="108"/>
      <c r="B41" s="109"/>
      <c r="C41" s="109"/>
      <c r="D41" s="109"/>
      <c r="E41" s="109"/>
      <c r="F41" s="109"/>
      <c r="G41" s="111"/>
      <c r="H41" s="111"/>
      <c r="I41" s="112"/>
      <c r="J41" s="112"/>
      <c r="K41" s="112"/>
      <c r="L41" s="112"/>
      <c r="M41" s="112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</row>
    <row r="42" spans="1:29" ht="12" customHeight="1">
      <c r="A42" s="108"/>
      <c r="B42" s="109"/>
      <c r="C42" s="109"/>
      <c r="D42" s="109"/>
      <c r="E42" s="109"/>
      <c r="F42" s="109"/>
      <c r="G42" s="111"/>
      <c r="H42" s="111"/>
      <c r="I42" s="112"/>
      <c r="J42" s="112"/>
      <c r="K42" s="112"/>
      <c r="L42" s="112"/>
      <c r="M42" s="112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</row>
    <row r="43" spans="1:29" ht="12" customHeight="1">
      <c r="A43" s="108"/>
      <c r="B43" s="109"/>
      <c r="C43" s="109"/>
      <c r="D43" s="109"/>
      <c r="E43" s="109"/>
      <c r="F43" s="109"/>
      <c r="G43" s="111"/>
      <c r="H43" s="111"/>
      <c r="I43" s="112"/>
      <c r="J43" s="112"/>
      <c r="K43" s="112"/>
      <c r="L43" s="112"/>
      <c r="M43" s="112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</row>
    <row r="44" spans="1:29" ht="12" customHeight="1">
      <c r="A44" s="108"/>
      <c r="B44" s="109"/>
      <c r="C44" s="109"/>
      <c r="D44" s="109"/>
      <c r="E44" s="109"/>
      <c r="F44" s="109"/>
      <c r="G44" s="111"/>
      <c r="H44" s="111"/>
      <c r="I44" s="112"/>
      <c r="J44" s="112"/>
      <c r="K44" s="112"/>
      <c r="L44" s="112"/>
      <c r="M44" s="112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</row>
    <row r="45" spans="1:29" ht="12" customHeight="1">
      <c r="A45" s="108"/>
      <c r="B45" s="109"/>
      <c r="C45" s="109"/>
      <c r="D45" s="109"/>
      <c r="E45" s="109"/>
      <c r="F45" s="109"/>
      <c r="G45" s="111"/>
      <c r="H45" s="111"/>
      <c r="I45" s="112"/>
      <c r="J45" s="112"/>
      <c r="K45" s="112"/>
      <c r="L45" s="112"/>
      <c r="M45" s="112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</row>
    <row r="46" spans="1:29" ht="12" customHeight="1">
      <c r="A46" s="108"/>
      <c r="B46" s="109"/>
      <c r="C46" s="109"/>
      <c r="D46" s="109"/>
      <c r="E46" s="109"/>
      <c r="F46" s="109"/>
      <c r="G46" s="111"/>
      <c r="H46" s="111"/>
      <c r="I46" s="112"/>
      <c r="J46" s="112"/>
      <c r="K46" s="112"/>
      <c r="L46" s="112"/>
      <c r="M46" s="112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</row>
    <row r="47" spans="1:29" ht="12" customHeight="1">
      <c r="A47" s="108"/>
      <c r="B47" s="109"/>
      <c r="C47" s="109"/>
      <c r="D47" s="109"/>
      <c r="E47" s="109"/>
      <c r="F47" s="109"/>
      <c r="G47" s="111"/>
      <c r="H47" s="111"/>
      <c r="I47" s="112"/>
      <c r="J47" s="112"/>
      <c r="K47" s="112"/>
      <c r="L47" s="112"/>
      <c r="M47" s="112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ht="12" customHeight="1">
      <c r="A48" s="108"/>
      <c r="B48" s="109"/>
      <c r="C48" s="109"/>
      <c r="D48" s="109"/>
      <c r="E48" s="109"/>
      <c r="F48" s="109"/>
      <c r="G48" s="111"/>
      <c r="H48" s="111"/>
      <c r="I48" s="112"/>
      <c r="J48" s="112"/>
      <c r="K48" s="112"/>
      <c r="L48" s="112"/>
      <c r="M48" s="112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</row>
    <row r="49" spans="1:29" ht="12" customHeight="1">
      <c r="A49" s="108"/>
      <c r="B49" s="109"/>
      <c r="C49" s="109"/>
      <c r="D49" s="109"/>
      <c r="E49" s="109"/>
      <c r="F49" s="109"/>
      <c r="G49" s="111"/>
      <c r="H49" s="111"/>
      <c r="I49" s="112"/>
      <c r="J49" s="112"/>
      <c r="K49" s="112"/>
      <c r="L49" s="112"/>
      <c r="M49" s="112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</row>
    <row r="50" spans="1:29" ht="12" customHeight="1">
      <c r="A50" s="108"/>
      <c r="B50" s="109"/>
      <c r="C50" s="109"/>
      <c r="D50" s="109"/>
      <c r="E50" s="109"/>
      <c r="F50" s="109"/>
      <c r="G50" s="111"/>
      <c r="H50" s="111"/>
      <c r="I50" s="112"/>
      <c r="J50" s="112"/>
      <c r="K50" s="112"/>
      <c r="L50" s="112"/>
      <c r="M50" s="112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</row>
    <row r="51" spans="1:29" ht="12" customHeight="1">
      <c r="A51" s="108"/>
      <c r="B51" s="109"/>
      <c r="C51" s="109"/>
      <c r="D51" s="109"/>
      <c r="E51" s="109"/>
      <c r="F51" s="109"/>
      <c r="G51" s="111"/>
      <c r="H51" s="111"/>
      <c r="I51" s="112"/>
      <c r="J51" s="112"/>
      <c r="K51" s="112"/>
      <c r="L51" s="112"/>
      <c r="M51" s="112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</row>
    <row r="52" spans="1:29" ht="12" customHeight="1">
      <c r="A52" s="108"/>
      <c r="B52" s="109"/>
      <c r="C52" s="109"/>
      <c r="D52" s="109"/>
      <c r="E52" s="109"/>
      <c r="F52" s="109"/>
      <c r="G52" s="111"/>
      <c r="H52" s="111"/>
      <c r="I52" s="112"/>
      <c r="J52" s="112"/>
      <c r="K52" s="112"/>
      <c r="L52" s="112"/>
      <c r="M52" s="112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</row>
    <row r="53" spans="1:29" ht="12" customHeight="1">
      <c r="A53" s="108"/>
      <c r="B53" s="109"/>
      <c r="C53" s="109"/>
      <c r="D53" s="109"/>
      <c r="E53" s="109"/>
      <c r="F53" s="109"/>
      <c r="G53" s="111"/>
      <c r="H53" s="111"/>
      <c r="I53" s="112"/>
      <c r="J53" s="112"/>
      <c r="K53" s="112"/>
      <c r="L53" s="112"/>
      <c r="M53" s="112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</row>
    <row r="54" spans="1:29" ht="12" customHeight="1">
      <c r="A54" s="108"/>
      <c r="B54" s="109"/>
      <c r="C54" s="109"/>
      <c r="D54" s="109"/>
      <c r="E54" s="109"/>
      <c r="F54" s="109"/>
      <c r="G54" s="111"/>
      <c r="H54" s="111"/>
      <c r="I54" s="112"/>
      <c r="J54" s="112"/>
      <c r="K54" s="112"/>
      <c r="L54" s="112"/>
      <c r="M54" s="112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</row>
    <row r="55" spans="1:29" ht="12" customHeight="1">
      <c r="A55" s="108"/>
      <c r="B55" s="109"/>
      <c r="C55" s="109"/>
      <c r="D55" s="109"/>
      <c r="E55" s="109"/>
      <c r="F55" s="109"/>
      <c r="G55" s="111"/>
      <c r="H55" s="111"/>
      <c r="I55" s="112"/>
      <c r="J55" s="112"/>
      <c r="K55" s="112"/>
      <c r="L55" s="112"/>
      <c r="M55" s="112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</row>
    <row r="56" spans="1:29" ht="12" customHeight="1">
      <c r="A56" s="108"/>
      <c r="B56" s="109"/>
      <c r="C56" s="109"/>
      <c r="D56" s="109"/>
      <c r="E56" s="109"/>
      <c r="F56" s="109"/>
      <c r="G56" s="111"/>
      <c r="H56" s="111"/>
      <c r="I56" s="112"/>
      <c r="J56" s="112"/>
      <c r="K56" s="112"/>
      <c r="L56" s="112"/>
      <c r="M56" s="112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</row>
    <row r="57" spans="1:29" ht="12" customHeight="1">
      <c r="A57" s="108"/>
      <c r="B57" s="109"/>
      <c r="C57" s="109"/>
      <c r="D57" s="109"/>
      <c r="E57" s="109"/>
      <c r="F57" s="109"/>
      <c r="G57" s="111"/>
      <c r="H57" s="111"/>
      <c r="I57" s="112"/>
      <c r="J57" s="112"/>
      <c r="K57" s="112"/>
      <c r="L57" s="112"/>
      <c r="M57" s="112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</row>
    <row r="58" spans="1:29" ht="12" customHeight="1">
      <c r="A58" s="108"/>
      <c r="B58" s="109"/>
      <c r="C58" s="109"/>
      <c r="D58" s="109"/>
      <c r="E58" s="109"/>
      <c r="F58" s="109"/>
      <c r="G58" s="111"/>
      <c r="H58" s="111"/>
      <c r="I58" s="112"/>
      <c r="J58" s="112"/>
      <c r="K58" s="112"/>
      <c r="L58" s="112"/>
      <c r="M58" s="112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</row>
    <row r="59" spans="1:29" ht="12" customHeight="1">
      <c r="A59" s="108"/>
      <c r="B59" s="109"/>
      <c r="C59" s="109"/>
      <c r="D59" s="109"/>
      <c r="E59" s="109"/>
      <c r="F59" s="109"/>
      <c r="G59" s="111"/>
      <c r="H59" s="111"/>
      <c r="I59" s="112"/>
      <c r="J59" s="112"/>
      <c r="K59" s="112"/>
      <c r="L59" s="112"/>
      <c r="M59" s="112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</row>
    <row r="60" spans="1:29" ht="12" customHeight="1">
      <c r="A60" s="108"/>
      <c r="B60" s="109"/>
      <c r="C60" s="109"/>
      <c r="D60" s="109"/>
      <c r="E60" s="109"/>
      <c r="F60" s="109"/>
      <c r="G60" s="111"/>
      <c r="H60" s="111"/>
      <c r="I60" s="112"/>
      <c r="J60" s="112"/>
      <c r="K60" s="112"/>
      <c r="L60" s="112"/>
      <c r="M60" s="112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</row>
    <row r="61" spans="1:29" ht="12" customHeight="1">
      <c r="A61" s="108"/>
      <c r="B61" s="109"/>
      <c r="C61" s="109"/>
      <c r="D61" s="109"/>
      <c r="E61" s="109"/>
      <c r="F61" s="109"/>
      <c r="G61" s="111"/>
      <c r="H61" s="111"/>
      <c r="I61" s="112"/>
      <c r="J61" s="112"/>
      <c r="K61" s="112"/>
      <c r="L61" s="112"/>
      <c r="M61" s="112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</row>
    <row r="62" spans="1:29" ht="12" customHeight="1">
      <c r="A62" s="108"/>
      <c r="B62" s="109"/>
      <c r="C62" s="109"/>
      <c r="D62" s="109"/>
      <c r="E62" s="109"/>
      <c r="F62" s="109"/>
      <c r="G62" s="111"/>
      <c r="H62" s="111"/>
      <c r="I62" s="112"/>
      <c r="J62" s="112"/>
      <c r="K62" s="112"/>
      <c r="L62" s="112"/>
      <c r="M62" s="112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</row>
    <row r="63" spans="1:29" ht="12" customHeight="1">
      <c r="A63" s="108"/>
      <c r="B63" s="109"/>
      <c r="C63" s="109"/>
      <c r="D63" s="109"/>
      <c r="E63" s="109"/>
      <c r="F63" s="109"/>
      <c r="G63" s="111"/>
      <c r="H63" s="111"/>
      <c r="I63" s="112"/>
      <c r="J63" s="112"/>
      <c r="K63" s="112"/>
      <c r="L63" s="112"/>
      <c r="M63" s="112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</row>
    <row r="64" spans="1:29" ht="12" customHeight="1">
      <c r="A64" s="108"/>
      <c r="B64" s="109"/>
      <c r="C64" s="109"/>
      <c r="D64" s="109"/>
      <c r="E64" s="109"/>
      <c r="F64" s="109"/>
      <c r="G64" s="111"/>
      <c r="H64" s="111"/>
      <c r="I64" s="112"/>
      <c r="J64" s="112"/>
      <c r="K64" s="112"/>
      <c r="L64" s="112"/>
      <c r="M64" s="112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</row>
    <row r="65" spans="1:29" ht="12" customHeight="1">
      <c r="A65" s="108"/>
      <c r="B65" s="109"/>
      <c r="C65" s="109"/>
      <c r="D65" s="109"/>
      <c r="E65" s="109"/>
      <c r="F65" s="109"/>
      <c r="G65" s="111"/>
      <c r="H65" s="111"/>
      <c r="I65" s="112"/>
      <c r="J65" s="112"/>
      <c r="K65" s="112"/>
      <c r="L65" s="112"/>
      <c r="M65" s="112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</row>
    <row r="66" spans="1:29" ht="12" customHeight="1">
      <c r="A66" s="108"/>
      <c r="B66" s="109"/>
      <c r="C66" s="109"/>
      <c r="D66" s="109"/>
      <c r="E66" s="109"/>
      <c r="F66" s="109"/>
      <c r="G66" s="111"/>
      <c r="H66" s="111"/>
      <c r="I66" s="112"/>
      <c r="J66" s="112"/>
      <c r="K66" s="112"/>
      <c r="L66" s="112"/>
      <c r="M66" s="112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</row>
    <row r="67" spans="1:29" ht="12" customHeight="1">
      <c r="A67" s="108"/>
      <c r="B67" s="109"/>
      <c r="C67" s="109"/>
      <c r="D67" s="109"/>
      <c r="E67" s="109"/>
      <c r="F67" s="109"/>
      <c r="G67" s="111"/>
      <c r="H67" s="111"/>
      <c r="I67" s="112"/>
      <c r="J67" s="112"/>
      <c r="K67" s="112"/>
      <c r="L67" s="112"/>
      <c r="M67" s="112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</row>
    <row r="68" spans="1:29" ht="12" customHeight="1">
      <c r="A68" s="108"/>
      <c r="B68" s="109"/>
      <c r="C68" s="109"/>
      <c r="D68" s="109"/>
      <c r="E68" s="109"/>
      <c r="F68" s="109"/>
      <c r="G68" s="111"/>
      <c r="H68" s="111"/>
      <c r="I68" s="112"/>
      <c r="J68" s="112"/>
      <c r="K68" s="112"/>
      <c r="L68" s="112"/>
      <c r="M68" s="112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</row>
    <row r="69" spans="1:29" ht="12" customHeight="1">
      <c r="A69" s="108"/>
      <c r="B69" s="109"/>
      <c r="C69" s="109"/>
      <c r="D69" s="109"/>
      <c r="E69" s="109"/>
      <c r="F69" s="109"/>
      <c r="G69" s="111"/>
      <c r="H69" s="111"/>
      <c r="I69" s="112"/>
      <c r="J69" s="112"/>
      <c r="K69" s="112"/>
      <c r="L69" s="112"/>
      <c r="M69" s="112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</row>
    <row r="70" spans="1:29" ht="12" customHeight="1">
      <c r="A70" s="108"/>
      <c r="B70" s="109"/>
      <c r="C70" s="109"/>
      <c r="D70" s="109"/>
      <c r="E70" s="109"/>
      <c r="F70" s="109"/>
      <c r="G70" s="111"/>
      <c r="H70" s="111"/>
      <c r="I70" s="112"/>
      <c r="J70" s="112"/>
      <c r="K70" s="112"/>
      <c r="L70" s="112"/>
      <c r="M70" s="112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</row>
    <row r="71" spans="1:29" ht="12" customHeight="1">
      <c r="A71" s="108"/>
      <c r="B71" s="109"/>
      <c r="C71" s="109"/>
      <c r="D71" s="109"/>
      <c r="E71" s="109"/>
      <c r="F71" s="109"/>
      <c r="G71" s="111"/>
      <c r="H71" s="111"/>
      <c r="I71" s="112"/>
      <c r="J71" s="112"/>
      <c r="K71" s="112"/>
      <c r="L71" s="112"/>
      <c r="M71" s="112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</row>
    <row r="72" spans="1:29" ht="12" customHeight="1">
      <c r="A72" s="108"/>
      <c r="B72" s="109"/>
      <c r="C72" s="109"/>
      <c r="D72" s="109"/>
      <c r="E72" s="109"/>
      <c r="F72" s="109"/>
      <c r="G72" s="111"/>
      <c r="H72" s="111"/>
      <c r="I72" s="112"/>
      <c r="J72" s="112"/>
      <c r="K72" s="112"/>
      <c r="L72" s="112"/>
      <c r="M72" s="112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</row>
    <row r="73" spans="1:29" ht="12" customHeight="1">
      <c r="A73" s="108"/>
      <c r="B73" s="109"/>
      <c r="C73" s="109"/>
      <c r="D73" s="109"/>
      <c r="E73" s="109"/>
      <c r="F73" s="109"/>
      <c r="G73" s="111"/>
      <c r="H73" s="111"/>
      <c r="I73" s="112"/>
      <c r="J73" s="112"/>
      <c r="K73" s="112"/>
      <c r="L73" s="112"/>
      <c r="M73" s="112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</row>
    <row r="74" spans="1:29" ht="12" customHeight="1">
      <c r="A74" s="108"/>
      <c r="B74" s="109"/>
      <c r="C74" s="109"/>
      <c r="D74" s="109"/>
      <c r="E74" s="109"/>
      <c r="F74" s="109"/>
      <c r="G74" s="111"/>
      <c r="H74" s="111"/>
      <c r="I74" s="112"/>
      <c r="J74" s="112"/>
      <c r="K74" s="112"/>
      <c r="L74" s="112"/>
      <c r="M74" s="112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</row>
    <row r="75" spans="1:29" ht="12" customHeight="1">
      <c r="A75" s="108"/>
      <c r="B75" s="109"/>
      <c r="C75" s="109"/>
      <c r="D75" s="109"/>
      <c r="E75" s="109"/>
      <c r="F75" s="109"/>
      <c r="G75" s="111"/>
      <c r="H75" s="111"/>
      <c r="I75" s="112"/>
      <c r="J75" s="112"/>
      <c r="K75" s="112"/>
      <c r="L75" s="112"/>
      <c r="M75" s="112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</row>
    <row r="76" spans="1:29" ht="12" customHeight="1">
      <c r="A76" s="108"/>
      <c r="B76" s="109"/>
      <c r="C76" s="109"/>
      <c r="D76" s="109"/>
      <c r="E76" s="109"/>
      <c r="F76" s="109"/>
      <c r="G76" s="111"/>
      <c r="H76" s="111"/>
      <c r="I76" s="112"/>
      <c r="J76" s="112"/>
      <c r="K76" s="112"/>
      <c r="L76" s="112"/>
      <c r="M76" s="112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</row>
    <row r="77" spans="1:29" ht="12" customHeight="1">
      <c r="A77" s="108"/>
      <c r="B77" s="109"/>
      <c r="C77" s="109"/>
      <c r="D77" s="109"/>
      <c r="E77" s="109"/>
      <c r="F77" s="109"/>
      <c r="G77" s="111"/>
      <c r="H77" s="111"/>
      <c r="I77" s="112"/>
      <c r="J77" s="112"/>
      <c r="K77" s="112"/>
      <c r="L77" s="112"/>
      <c r="M77" s="112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</row>
    <row r="78" spans="1:29" ht="12" customHeight="1">
      <c r="A78" s="108"/>
      <c r="B78" s="109"/>
      <c r="C78" s="109"/>
      <c r="D78" s="109"/>
      <c r="E78" s="109"/>
      <c r="F78" s="109"/>
      <c r="G78" s="111"/>
      <c r="H78" s="111"/>
      <c r="I78" s="112"/>
      <c r="J78" s="112"/>
      <c r="K78" s="112"/>
      <c r="L78" s="112"/>
      <c r="M78" s="112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</row>
    <row r="79" spans="1:29" ht="12" customHeight="1">
      <c r="A79" s="108"/>
      <c r="B79" s="109"/>
      <c r="C79" s="109"/>
      <c r="D79" s="109"/>
      <c r="E79" s="109"/>
      <c r="F79" s="109"/>
      <c r="G79" s="111"/>
      <c r="H79" s="111"/>
      <c r="I79" s="112"/>
      <c r="J79" s="112"/>
      <c r="K79" s="112"/>
      <c r="L79" s="112"/>
      <c r="M79" s="112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</row>
    <row r="80" spans="1:29" ht="12" customHeight="1">
      <c r="A80" s="108"/>
      <c r="B80" s="109"/>
      <c r="C80" s="109"/>
      <c r="D80" s="109"/>
      <c r="E80" s="109"/>
      <c r="F80" s="109"/>
      <c r="G80" s="111"/>
      <c r="H80" s="111"/>
      <c r="I80" s="112"/>
      <c r="J80" s="112"/>
      <c r="K80" s="112"/>
      <c r="L80" s="112"/>
      <c r="M80" s="112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</row>
    <row r="81" spans="1:29" ht="12" customHeight="1">
      <c r="A81" s="108"/>
      <c r="B81" s="109"/>
      <c r="C81" s="109"/>
      <c r="D81" s="109"/>
      <c r="E81" s="109"/>
      <c r="F81" s="109"/>
      <c r="G81" s="111"/>
      <c r="H81" s="111"/>
      <c r="I81" s="112"/>
      <c r="J81" s="112"/>
      <c r="K81" s="112"/>
      <c r="L81" s="112"/>
      <c r="M81" s="112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</row>
    <row r="82" spans="1:29" ht="12" customHeight="1">
      <c r="A82" s="108"/>
      <c r="B82" s="109"/>
      <c r="C82" s="109"/>
      <c r="D82" s="109"/>
      <c r="E82" s="109"/>
      <c r="F82" s="109"/>
      <c r="G82" s="111"/>
      <c r="H82" s="111"/>
      <c r="I82" s="112"/>
      <c r="J82" s="112"/>
      <c r="K82" s="112"/>
      <c r="L82" s="112"/>
      <c r="M82" s="112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</row>
    <row r="83" spans="1:29" ht="12" customHeight="1">
      <c r="A83" s="108"/>
      <c r="B83" s="109"/>
      <c r="C83" s="109"/>
      <c r="D83" s="109"/>
      <c r="E83" s="109"/>
      <c r="F83" s="109"/>
      <c r="G83" s="111"/>
      <c r="H83" s="111"/>
      <c r="I83" s="112"/>
      <c r="J83" s="112"/>
      <c r="K83" s="112"/>
      <c r="L83" s="112"/>
      <c r="M83" s="112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</row>
    <row r="84" spans="1:29" ht="12" customHeight="1">
      <c r="A84" s="108"/>
      <c r="B84" s="109"/>
      <c r="C84" s="109"/>
      <c r="D84" s="109"/>
      <c r="E84" s="109"/>
      <c r="F84" s="109"/>
      <c r="G84" s="111"/>
      <c r="H84" s="111"/>
      <c r="I84" s="112"/>
      <c r="J84" s="112"/>
      <c r="K84" s="112"/>
      <c r="L84" s="112"/>
      <c r="M84" s="112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</row>
    <row r="85" spans="1:29" ht="12" customHeight="1">
      <c r="A85" s="108"/>
      <c r="B85" s="109"/>
      <c r="C85" s="109"/>
      <c r="D85" s="109"/>
      <c r="E85" s="109"/>
      <c r="F85" s="109"/>
      <c r="G85" s="111"/>
      <c r="H85" s="111"/>
      <c r="I85" s="112"/>
      <c r="J85" s="112"/>
      <c r="K85" s="112"/>
      <c r="L85" s="112"/>
      <c r="M85" s="112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9" ht="12" customHeight="1">
      <c r="A86" s="108"/>
      <c r="B86" s="109"/>
      <c r="C86" s="109"/>
      <c r="D86" s="109"/>
      <c r="E86" s="109"/>
      <c r="F86" s="109"/>
      <c r="G86" s="111"/>
      <c r="H86" s="111"/>
      <c r="I86" s="112"/>
      <c r="J86" s="112"/>
      <c r="K86" s="112"/>
      <c r="L86" s="112"/>
      <c r="M86" s="112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</row>
    <row r="87" spans="1:29" ht="12" customHeight="1">
      <c r="A87" s="108"/>
      <c r="B87" s="109"/>
      <c r="C87" s="109"/>
      <c r="D87" s="109"/>
      <c r="E87" s="109"/>
      <c r="F87" s="109"/>
      <c r="G87" s="111"/>
      <c r="H87" s="111"/>
      <c r="I87" s="112"/>
      <c r="J87" s="112"/>
      <c r="K87" s="112"/>
      <c r="L87" s="112"/>
      <c r="M87" s="112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</row>
    <row r="88" spans="1:29" ht="12" customHeight="1">
      <c r="A88" s="108"/>
      <c r="B88" s="109"/>
      <c r="C88" s="109"/>
      <c r="D88" s="109"/>
      <c r="E88" s="109"/>
      <c r="F88" s="109"/>
      <c r="G88" s="111"/>
      <c r="H88" s="111"/>
      <c r="I88" s="112"/>
      <c r="J88" s="112"/>
      <c r="K88" s="112"/>
      <c r="L88" s="112"/>
      <c r="M88" s="112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</row>
    <row r="89" spans="1:29" ht="12" customHeight="1">
      <c r="A89" s="108"/>
      <c r="B89" s="109"/>
      <c r="C89" s="109"/>
      <c r="D89" s="109"/>
      <c r="E89" s="109"/>
      <c r="F89" s="109"/>
      <c r="G89" s="111"/>
      <c r="H89" s="111"/>
      <c r="I89" s="112"/>
      <c r="J89" s="112"/>
      <c r="K89" s="112"/>
      <c r="L89" s="112"/>
      <c r="M89" s="112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</row>
    <row r="90" spans="1:29" ht="12" customHeight="1">
      <c r="A90" s="108"/>
      <c r="B90" s="109"/>
      <c r="C90" s="109"/>
      <c r="D90" s="109"/>
      <c r="E90" s="109"/>
      <c r="F90" s="109"/>
      <c r="G90" s="111"/>
      <c r="H90" s="111"/>
      <c r="I90" s="112"/>
      <c r="J90" s="112"/>
      <c r="K90" s="112"/>
      <c r="L90" s="112"/>
      <c r="M90" s="112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</row>
    <row r="91" spans="1:29" ht="12" customHeight="1">
      <c r="A91" s="108"/>
      <c r="B91" s="109"/>
      <c r="C91" s="109"/>
      <c r="D91" s="109"/>
      <c r="E91" s="109"/>
      <c r="F91" s="109"/>
      <c r="G91" s="111"/>
      <c r="H91" s="111"/>
      <c r="I91" s="112"/>
      <c r="J91" s="112"/>
      <c r="K91" s="112"/>
      <c r="L91" s="112"/>
      <c r="M91" s="112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</row>
    <row r="92" spans="1:29" ht="12" customHeight="1">
      <c r="A92" s="108"/>
      <c r="B92" s="109"/>
      <c r="C92" s="109"/>
      <c r="D92" s="109"/>
      <c r="E92" s="109"/>
      <c r="F92" s="109"/>
      <c r="G92" s="111"/>
      <c r="H92" s="111"/>
      <c r="I92" s="112"/>
      <c r="J92" s="112"/>
      <c r="K92" s="112"/>
      <c r="L92" s="112"/>
      <c r="M92" s="112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</row>
    <row r="93" spans="1:29" ht="12" customHeight="1">
      <c r="A93" s="108"/>
      <c r="B93" s="109"/>
      <c r="C93" s="109"/>
      <c r="D93" s="109"/>
      <c r="E93" s="109"/>
      <c r="F93" s="109"/>
      <c r="G93" s="111"/>
      <c r="H93" s="111"/>
      <c r="I93" s="112"/>
      <c r="J93" s="112"/>
      <c r="K93" s="112"/>
      <c r="L93" s="112"/>
      <c r="M93" s="112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</row>
    <row r="94" spans="1:29" ht="12" customHeight="1">
      <c r="A94" s="108"/>
      <c r="B94" s="109"/>
      <c r="C94" s="109"/>
      <c r="D94" s="109"/>
      <c r="E94" s="109"/>
      <c r="F94" s="109"/>
      <c r="G94" s="111"/>
      <c r="H94" s="111"/>
      <c r="I94" s="112"/>
      <c r="J94" s="112"/>
      <c r="K94" s="112"/>
      <c r="L94" s="112"/>
      <c r="M94" s="112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</row>
    <row r="95" spans="1:29" ht="12" customHeight="1">
      <c r="A95" s="108"/>
      <c r="B95" s="109"/>
      <c r="C95" s="109"/>
      <c r="D95" s="109"/>
      <c r="E95" s="109"/>
      <c r="F95" s="109"/>
      <c r="G95" s="111"/>
      <c r="H95" s="111"/>
      <c r="I95" s="112"/>
      <c r="J95" s="112"/>
      <c r="K95" s="112"/>
      <c r="L95" s="112"/>
      <c r="M95" s="112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</row>
    <row r="96" spans="1:29" ht="12" customHeight="1">
      <c r="A96" s="108"/>
      <c r="B96" s="109"/>
      <c r="C96" s="109"/>
      <c r="D96" s="109"/>
      <c r="E96" s="109"/>
      <c r="F96" s="109"/>
      <c r="G96" s="111"/>
      <c r="H96" s="111"/>
      <c r="I96" s="112"/>
      <c r="J96" s="112"/>
      <c r="K96" s="112"/>
      <c r="L96" s="112"/>
      <c r="M96" s="112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</row>
    <row r="97" spans="1:29" ht="12" customHeight="1">
      <c r="A97" s="108"/>
      <c r="B97" s="109"/>
      <c r="C97" s="109"/>
      <c r="D97" s="109"/>
      <c r="E97" s="109"/>
      <c r="F97" s="109"/>
      <c r="G97" s="111"/>
      <c r="H97" s="111"/>
      <c r="I97" s="112"/>
      <c r="J97" s="112"/>
      <c r="K97" s="112"/>
      <c r="L97" s="112"/>
      <c r="M97" s="112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</row>
    <row r="98" spans="1:29" ht="12" customHeight="1">
      <c r="A98" s="108"/>
      <c r="B98" s="109"/>
      <c r="C98" s="109"/>
      <c r="D98" s="109"/>
      <c r="E98" s="109"/>
      <c r="F98" s="109"/>
      <c r="G98" s="111"/>
      <c r="H98" s="111"/>
      <c r="I98" s="112"/>
      <c r="J98" s="112"/>
      <c r="K98" s="112"/>
      <c r="L98" s="112"/>
      <c r="M98" s="112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</row>
    <row r="99" spans="1:29" ht="12" customHeight="1">
      <c r="A99" s="108"/>
      <c r="B99" s="109"/>
      <c r="C99" s="109"/>
      <c r="D99" s="109"/>
      <c r="E99" s="109"/>
      <c r="F99" s="109"/>
      <c r="G99" s="111"/>
      <c r="H99" s="111"/>
      <c r="I99" s="112"/>
      <c r="J99" s="112"/>
      <c r="K99" s="112"/>
      <c r="L99" s="112"/>
      <c r="M99" s="112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</row>
    <row r="100" spans="1:29" ht="12" customHeight="1">
      <c r="A100" s="108"/>
      <c r="B100" s="109"/>
      <c r="C100" s="109"/>
      <c r="D100" s="109"/>
      <c r="E100" s="109"/>
      <c r="F100" s="109"/>
      <c r="G100" s="111"/>
      <c r="H100" s="111"/>
      <c r="I100" s="112"/>
      <c r="J100" s="112"/>
      <c r="K100" s="112"/>
      <c r="L100" s="112"/>
      <c r="M100" s="112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</row>
    <row r="101" spans="1:29" ht="12" customHeight="1">
      <c r="A101" s="108"/>
      <c r="B101" s="109"/>
      <c r="C101" s="109"/>
      <c r="D101" s="109"/>
      <c r="E101" s="109"/>
      <c r="F101" s="109"/>
      <c r="G101" s="111"/>
      <c r="H101" s="111"/>
      <c r="I101" s="112"/>
      <c r="J101" s="112"/>
      <c r="K101" s="112"/>
      <c r="L101" s="112"/>
      <c r="M101" s="112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</row>
    <row r="102" spans="1:29" ht="12" customHeight="1">
      <c r="A102" s="108"/>
      <c r="B102" s="109"/>
      <c r="C102" s="109"/>
      <c r="D102" s="109"/>
      <c r="E102" s="109"/>
      <c r="F102" s="109"/>
      <c r="G102" s="111"/>
      <c r="H102" s="111"/>
      <c r="I102" s="112"/>
      <c r="J102" s="112"/>
      <c r="K102" s="112"/>
      <c r="L102" s="112"/>
      <c r="M102" s="112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</row>
    <row r="103" spans="1:29" ht="12" customHeight="1">
      <c r="A103" s="108"/>
      <c r="B103" s="109"/>
      <c r="C103" s="109"/>
      <c r="D103" s="109"/>
      <c r="E103" s="109"/>
      <c r="F103" s="109"/>
      <c r="G103" s="111"/>
      <c r="H103" s="111"/>
      <c r="I103" s="112"/>
      <c r="J103" s="112"/>
      <c r="K103" s="112"/>
      <c r="L103" s="112"/>
      <c r="M103" s="112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</row>
    <row r="104" spans="1:29" ht="12" customHeight="1">
      <c r="A104" s="108"/>
      <c r="B104" s="109"/>
      <c r="C104" s="109"/>
      <c r="D104" s="109"/>
      <c r="E104" s="109"/>
      <c r="F104" s="109"/>
      <c r="G104" s="111"/>
      <c r="H104" s="111"/>
      <c r="I104" s="112"/>
      <c r="J104" s="112"/>
      <c r="K104" s="112"/>
      <c r="L104" s="112"/>
      <c r="M104" s="112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</row>
    <row r="105" spans="1:29" ht="12" customHeight="1">
      <c r="A105" s="108"/>
      <c r="B105" s="109"/>
      <c r="C105" s="109"/>
      <c r="D105" s="109"/>
      <c r="E105" s="109"/>
      <c r="F105" s="109"/>
      <c r="G105" s="111"/>
      <c r="H105" s="111"/>
      <c r="I105" s="112"/>
      <c r="J105" s="112"/>
      <c r="K105" s="112"/>
      <c r="L105" s="112"/>
      <c r="M105" s="112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</row>
    <row r="106" spans="1:29" ht="12" customHeight="1">
      <c r="A106" s="108"/>
      <c r="B106" s="109"/>
      <c r="C106" s="109"/>
      <c r="D106" s="109"/>
      <c r="E106" s="109"/>
      <c r="F106" s="109"/>
      <c r="G106" s="111"/>
      <c r="H106" s="111"/>
      <c r="I106" s="112"/>
      <c r="J106" s="112"/>
      <c r="K106" s="112"/>
      <c r="L106" s="112"/>
      <c r="M106" s="112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</row>
    <row r="107" spans="1:29" ht="12" customHeight="1">
      <c r="A107" s="108"/>
      <c r="B107" s="109"/>
      <c r="C107" s="109"/>
      <c r="D107" s="109"/>
      <c r="E107" s="109"/>
      <c r="F107" s="109"/>
      <c r="G107" s="111"/>
      <c r="H107" s="111"/>
      <c r="I107" s="112"/>
      <c r="J107" s="112"/>
      <c r="K107" s="112"/>
      <c r="L107" s="112"/>
      <c r="M107" s="112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</row>
    <row r="108" spans="1:29" ht="12" customHeight="1">
      <c r="A108" s="108"/>
      <c r="B108" s="109"/>
      <c r="C108" s="109"/>
      <c r="D108" s="109"/>
      <c r="E108" s="109"/>
      <c r="F108" s="109"/>
      <c r="G108" s="111"/>
      <c r="H108" s="111"/>
      <c r="I108" s="112"/>
      <c r="J108" s="112"/>
      <c r="K108" s="112"/>
      <c r="L108" s="112"/>
      <c r="M108" s="112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</row>
    <row r="109" spans="1:29" ht="12" customHeight="1">
      <c r="A109" s="108"/>
      <c r="B109" s="109"/>
      <c r="C109" s="109"/>
      <c r="D109" s="109"/>
      <c r="E109" s="109"/>
      <c r="F109" s="109"/>
      <c r="G109" s="111"/>
      <c r="H109" s="111"/>
      <c r="I109" s="112"/>
      <c r="J109" s="112"/>
      <c r="K109" s="112"/>
      <c r="L109" s="112"/>
      <c r="M109" s="112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</row>
    <row r="110" spans="1:29" ht="12" customHeight="1">
      <c r="A110" s="108"/>
      <c r="B110" s="109"/>
      <c r="C110" s="109"/>
      <c r="D110" s="109"/>
      <c r="E110" s="109"/>
      <c r="F110" s="109"/>
      <c r="G110" s="111"/>
      <c r="H110" s="111"/>
      <c r="I110" s="112"/>
      <c r="J110" s="112"/>
      <c r="K110" s="112"/>
      <c r="L110" s="112"/>
      <c r="M110" s="112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</row>
    <row r="111" spans="1:29" ht="12" customHeight="1">
      <c r="A111" s="108"/>
      <c r="B111" s="109"/>
      <c r="C111" s="109"/>
      <c r="D111" s="109"/>
      <c r="E111" s="109"/>
      <c r="F111" s="109"/>
      <c r="G111" s="111"/>
      <c r="H111" s="111"/>
      <c r="I111" s="112"/>
      <c r="J111" s="112"/>
      <c r="K111" s="112"/>
      <c r="L111" s="112"/>
      <c r="M111" s="112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</row>
    <row r="112" spans="1:29" ht="12" customHeight="1">
      <c r="A112" s="108"/>
      <c r="B112" s="109"/>
      <c r="C112" s="109"/>
      <c r="D112" s="109"/>
      <c r="E112" s="109"/>
      <c r="F112" s="109"/>
      <c r="G112" s="111"/>
      <c r="H112" s="111"/>
      <c r="I112" s="112"/>
      <c r="J112" s="112"/>
      <c r="K112" s="112"/>
      <c r="L112" s="112"/>
      <c r="M112" s="112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</row>
    <row r="113" spans="1:29" ht="12" customHeight="1">
      <c r="A113" s="108"/>
      <c r="B113" s="109"/>
      <c r="C113" s="109"/>
      <c r="D113" s="109"/>
      <c r="E113" s="109"/>
      <c r="F113" s="109"/>
      <c r="G113" s="111"/>
      <c r="H113" s="111"/>
      <c r="I113" s="112"/>
      <c r="J113" s="112"/>
      <c r="K113" s="112"/>
      <c r="L113" s="112"/>
      <c r="M113" s="112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</row>
    <row r="114" spans="1:29" ht="12" customHeight="1">
      <c r="A114" s="108"/>
      <c r="B114" s="109"/>
      <c r="C114" s="109"/>
      <c r="D114" s="109"/>
      <c r="E114" s="109"/>
      <c r="F114" s="109"/>
      <c r="G114" s="111"/>
      <c r="H114" s="111"/>
      <c r="I114" s="112"/>
      <c r="J114" s="112"/>
      <c r="K114" s="112"/>
      <c r="L114" s="112"/>
      <c r="M114" s="112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</row>
    <row r="115" spans="1:29" ht="12" customHeight="1">
      <c r="A115" s="108"/>
      <c r="B115" s="109"/>
      <c r="C115" s="109"/>
      <c r="D115" s="109"/>
      <c r="E115" s="109"/>
      <c r="F115" s="109"/>
      <c r="G115" s="111"/>
      <c r="H115" s="111"/>
      <c r="I115" s="112"/>
      <c r="J115" s="112"/>
      <c r="K115" s="112"/>
      <c r="L115" s="112"/>
      <c r="M115" s="112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</row>
    <row r="116" spans="1:29" ht="12" customHeight="1">
      <c r="A116" s="108"/>
      <c r="B116" s="109"/>
      <c r="C116" s="109"/>
      <c r="D116" s="109"/>
      <c r="E116" s="109"/>
      <c r="F116" s="109"/>
      <c r="G116" s="111"/>
      <c r="H116" s="111"/>
      <c r="I116" s="112"/>
      <c r="J116" s="112"/>
      <c r="K116" s="112"/>
      <c r="L116" s="112"/>
      <c r="M116" s="112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</row>
    <row r="117" spans="1:29" ht="12" customHeight="1">
      <c r="A117" s="108"/>
      <c r="B117" s="109"/>
      <c r="C117" s="109"/>
      <c r="D117" s="109"/>
      <c r="E117" s="109"/>
      <c r="F117" s="109"/>
      <c r="G117" s="111"/>
      <c r="H117" s="111"/>
      <c r="I117" s="112"/>
      <c r="J117" s="112"/>
      <c r="K117" s="112"/>
      <c r="L117" s="112"/>
      <c r="M117" s="112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</row>
    <row r="118" spans="1:29" ht="12" customHeight="1">
      <c r="A118" s="108"/>
      <c r="B118" s="109"/>
      <c r="C118" s="109"/>
      <c r="D118" s="109"/>
      <c r="E118" s="109"/>
      <c r="F118" s="109"/>
      <c r="G118" s="111"/>
      <c r="H118" s="111"/>
      <c r="I118" s="112"/>
      <c r="J118" s="112"/>
      <c r="K118" s="112"/>
      <c r="L118" s="112"/>
      <c r="M118" s="112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</row>
    <row r="119" spans="1:29" ht="12" customHeight="1">
      <c r="A119" s="108"/>
      <c r="B119" s="109"/>
      <c r="C119" s="109"/>
      <c r="D119" s="109"/>
      <c r="E119" s="109"/>
      <c r="F119" s="109"/>
      <c r="G119" s="111"/>
      <c r="H119" s="111"/>
      <c r="I119" s="112"/>
      <c r="J119" s="112"/>
      <c r="K119" s="112"/>
      <c r="L119" s="112"/>
      <c r="M119" s="112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</row>
    <row r="120" spans="1:29" ht="12" customHeight="1">
      <c r="A120" s="108"/>
      <c r="B120" s="109"/>
      <c r="C120" s="109"/>
      <c r="D120" s="109"/>
      <c r="E120" s="109"/>
      <c r="F120" s="109"/>
      <c r="G120" s="111"/>
      <c r="H120" s="111"/>
      <c r="I120" s="112"/>
      <c r="J120" s="112"/>
      <c r="K120" s="112"/>
      <c r="L120" s="112"/>
      <c r="M120" s="112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</row>
    <row r="121" spans="1:29" ht="12" customHeight="1">
      <c r="A121" s="108"/>
      <c r="B121" s="109"/>
      <c r="C121" s="109"/>
      <c r="D121" s="109"/>
      <c r="E121" s="109"/>
      <c r="F121" s="109"/>
      <c r="G121" s="111"/>
      <c r="H121" s="111"/>
      <c r="I121" s="112"/>
      <c r="J121" s="112"/>
      <c r="K121" s="112"/>
      <c r="L121" s="112"/>
      <c r="M121" s="112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</row>
    <row r="122" spans="1:29" ht="12" customHeight="1">
      <c r="A122" s="108"/>
      <c r="B122" s="109"/>
      <c r="C122" s="109"/>
      <c r="D122" s="109"/>
      <c r="E122" s="109"/>
      <c r="F122" s="109"/>
      <c r="G122" s="111"/>
      <c r="H122" s="111"/>
      <c r="I122" s="112"/>
      <c r="J122" s="112"/>
      <c r="K122" s="112"/>
      <c r="L122" s="112"/>
      <c r="M122" s="112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</row>
    <row r="123" spans="1:29" ht="12" customHeight="1">
      <c r="A123" s="108"/>
      <c r="B123" s="109"/>
      <c r="C123" s="109"/>
      <c r="D123" s="109"/>
      <c r="E123" s="109"/>
      <c r="F123" s="109"/>
      <c r="G123" s="111"/>
      <c r="H123" s="111"/>
      <c r="I123" s="112"/>
      <c r="J123" s="112"/>
      <c r="K123" s="112"/>
      <c r="L123" s="112"/>
      <c r="M123" s="112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</row>
    <row r="124" spans="1:29" ht="12" customHeight="1">
      <c r="A124" s="108"/>
      <c r="B124" s="109"/>
      <c r="C124" s="109"/>
      <c r="D124" s="109"/>
      <c r="E124" s="109"/>
      <c r="F124" s="109"/>
      <c r="G124" s="111"/>
      <c r="H124" s="111"/>
      <c r="I124" s="112"/>
      <c r="J124" s="112"/>
      <c r="K124" s="112"/>
      <c r="L124" s="112"/>
      <c r="M124" s="112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</row>
    <row r="125" spans="1:29" ht="12" customHeight="1">
      <c r="A125" s="108"/>
      <c r="B125" s="109"/>
      <c r="C125" s="109"/>
      <c r="D125" s="109"/>
      <c r="E125" s="109"/>
      <c r="F125" s="109"/>
      <c r="G125" s="111"/>
      <c r="H125" s="111"/>
      <c r="I125" s="112"/>
      <c r="J125" s="112"/>
      <c r="K125" s="112"/>
      <c r="L125" s="112"/>
      <c r="M125" s="112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</row>
    <row r="126" spans="1:29" ht="12" customHeight="1">
      <c r="A126" s="108"/>
      <c r="B126" s="109"/>
      <c r="C126" s="109"/>
      <c r="D126" s="109"/>
      <c r="E126" s="109"/>
      <c r="F126" s="109"/>
      <c r="G126" s="111"/>
      <c r="H126" s="111"/>
      <c r="I126" s="112"/>
      <c r="J126" s="112"/>
      <c r="K126" s="112"/>
      <c r="L126" s="112"/>
      <c r="M126" s="112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</row>
    <row r="127" spans="1:29" ht="12" customHeight="1">
      <c r="A127" s="108"/>
      <c r="B127" s="109"/>
      <c r="C127" s="109"/>
      <c r="D127" s="109"/>
      <c r="E127" s="109"/>
      <c r="F127" s="109"/>
      <c r="G127" s="111"/>
      <c r="H127" s="111"/>
      <c r="I127" s="112"/>
      <c r="J127" s="112"/>
      <c r="K127" s="112"/>
      <c r="L127" s="112"/>
      <c r="M127" s="112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</row>
    <row r="128" spans="1:29" ht="12" customHeight="1">
      <c r="A128" s="108"/>
      <c r="B128" s="109"/>
      <c r="C128" s="109"/>
      <c r="D128" s="109"/>
      <c r="E128" s="109"/>
      <c r="F128" s="109"/>
      <c r="G128" s="111"/>
      <c r="H128" s="111"/>
      <c r="I128" s="112"/>
      <c r="J128" s="112"/>
      <c r="K128" s="112"/>
      <c r="L128" s="112"/>
      <c r="M128" s="112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</row>
    <row r="129" spans="1:29" ht="12" customHeight="1">
      <c r="A129" s="108"/>
      <c r="B129" s="109"/>
      <c r="C129" s="109"/>
      <c r="D129" s="109"/>
      <c r="E129" s="109"/>
      <c r="F129" s="109"/>
      <c r="G129" s="111"/>
      <c r="H129" s="111"/>
      <c r="I129" s="112"/>
      <c r="J129" s="112"/>
      <c r="K129" s="112"/>
      <c r="L129" s="112"/>
      <c r="M129" s="112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</row>
    <row r="130" spans="1:29" ht="12" customHeight="1">
      <c r="A130" s="108"/>
      <c r="B130" s="109"/>
      <c r="C130" s="109"/>
      <c r="D130" s="109"/>
      <c r="E130" s="109"/>
      <c r="F130" s="109"/>
      <c r="G130" s="111"/>
      <c r="H130" s="111"/>
      <c r="I130" s="112"/>
      <c r="J130" s="112"/>
      <c r="K130" s="112"/>
      <c r="L130" s="112"/>
      <c r="M130" s="112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</row>
    <row r="131" spans="1:29" ht="12" customHeight="1">
      <c r="A131" s="108"/>
      <c r="B131" s="109"/>
      <c r="C131" s="109"/>
      <c r="D131" s="109"/>
      <c r="E131" s="109"/>
      <c r="F131" s="109"/>
      <c r="G131" s="111"/>
      <c r="H131" s="111"/>
      <c r="I131" s="112"/>
      <c r="J131" s="112"/>
      <c r="K131" s="112"/>
      <c r="L131" s="112"/>
      <c r="M131" s="112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</row>
    <row r="132" spans="1:29" ht="12" customHeight="1">
      <c r="A132" s="108"/>
      <c r="B132" s="109"/>
      <c r="C132" s="109"/>
      <c r="D132" s="109"/>
      <c r="E132" s="109"/>
      <c r="F132" s="109"/>
      <c r="G132" s="111"/>
      <c r="H132" s="111"/>
      <c r="I132" s="112"/>
      <c r="J132" s="112"/>
      <c r="K132" s="112"/>
      <c r="L132" s="112"/>
      <c r="M132" s="112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</row>
    <row r="133" spans="1:29" ht="12" customHeight="1">
      <c r="A133" s="108"/>
      <c r="B133" s="109"/>
      <c r="C133" s="109"/>
      <c r="D133" s="109"/>
      <c r="E133" s="109"/>
      <c r="F133" s="109"/>
      <c r="G133" s="111"/>
      <c r="H133" s="111"/>
      <c r="I133" s="112"/>
      <c r="J133" s="112"/>
      <c r="K133" s="112"/>
      <c r="L133" s="112"/>
      <c r="M133" s="112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</row>
    <row r="134" spans="1:29" ht="12" customHeight="1">
      <c r="A134" s="108"/>
      <c r="B134" s="109"/>
      <c r="C134" s="109"/>
      <c r="D134" s="109"/>
      <c r="E134" s="109"/>
      <c r="F134" s="109"/>
      <c r="G134" s="111"/>
      <c r="H134" s="111"/>
      <c r="I134" s="112"/>
      <c r="J134" s="112"/>
      <c r="K134" s="112"/>
      <c r="L134" s="112"/>
      <c r="M134" s="112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</row>
    <row r="135" spans="1:29" ht="12" customHeight="1">
      <c r="A135" s="108"/>
      <c r="B135" s="109"/>
      <c r="C135" s="109"/>
      <c r="D135" s="109"/>
      <c r="E135" s="109"/>
      <c r="F135" s="109"/>
      <c r="G135" s="111"/>
      <c r="H135" s="111"/>
      <c r="I135" s="112"/>
      <c r="J135" s="112"/>
      <c r="K135" s="112"/>
      <c r="L135" s="112"/>
      <c r="M135" s="112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</row>
    <row r="136" spans="1:29" ht="12" customHeight="1">
      <c r="A136" s="108"/>
      <c r="B136" s="109"/>
      <c r="C136" s="109"/>
      <c r="D136" s="109"/>
      <c r="E136" s="109"/>
      <c r="F136" s="109"/>
      <c r="G136" s="111"/>
      <c r="H136" s="111"/>
      <c r="I136" s="112"/>
      <c r="J136" s="112"/>
      <c r="K136" s="112"/>
      <c r="L136" s="112"/>
      <c r="M136" s="112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</row>
    <row r="137" spans="1:29" ht="12" customHeight="1">
      <c r="A137" s="108"/>
      <c r="B137" s="109"/>
      <c r="C137" s="109"/>
      <c r="D137" s="109"/>
      <c r="E137" s="109"/>
      <c r="F137" s="109"/>
      <c r="G137" s="111"/>
      <c r="H137" s="111"/>
      <c r="I137" s="112"/>
      <c r="J137" s="112"/>
      <c r="K137" s="112"/>
      <c r="L137" s="112"/>
      <c r="M137" s="112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</row>
    <row r="138" spans="1:29" ht="12" customHeight="1">
      <c r="A138" s="108"/>
      <c r="B138" s="109"/>
      <c r="C138" s="109"/>
      <c r="D138" s="109"/>
      <c r="E138" s="109"/>
      <c r="F138" s="109"/>
      <c r="G138" s="111"/>
      <c r="H138" s="111"/>
      <c r="I138" s="112"/>
      <c r="J138" s="112"/>
      <c r="K138" s="112"/>
      <c r="L138" s="112"/>
      <c r="M138" s="112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</row>
    <row r="139" spans="1:29" ht="12" customHeight="1">
      <c r="A139" s="108"/>
      <c r="B139" s="109"/>
      <c r="C139" s="109"/>
      <c r="D139" s="109"/>
      <c r="E139" s="109"/>
      <c r="F139" s="109"/>
      <c r="G139" s="111"/>
      <c r="H139" s="111"/>
      <c r="I139" s="112"/>
      <c r="J139" s="112"/>
      <c r="K139" s="112"/>
      <c r="L139" s="112"/>
      <c r="M139" s="112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</row>
    <row r="140" spans="1:29" ht="12" customHeight="1">
      <c r="A140" s="108"/>
      <c r="B140" s="109"/>
      <c r="C140" s="109"/>
      <c r="D140" s="109"/>
      <c r="E140" s="109"/>
      <c r="F140" s="109"/>
      <c r="G140" s="111"/>
      <c r="H140" s="111"/>
      <c r="I140" s="112"/>
      <c r="J140" s="112"/>
      <c r="K140" s="112"/>
      <c r="L140" s="112"/>
      <c r="M140" s="112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</row>
    <row r="141" spans="1:29" ht="12" customHeight="1">
      <c r="A141" s="108"/>
      <c r="B141" s="109"/>
      <c r="C141" s="109"/>
      <c r="D141" s="109"/>
      <c r="E141" s="109"/>
      <c r="F141" s="109"/>
      <c r="G141" s="111"/>
      <c r="H141" s="111"/>
      <c r="I141" s="112"/>
      <c r="J141" s="112"/>
      <c r="K141" s="112"/>
      <c r="L141" s="112"/>
      <c r="M141" s="112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</row>
    <row r="142" spans="1:29" ht="12" customHeight="1">
      <c r="A142" s="108"/>
      <c r="B142" s="109"/>
      <c r="C142" s="109"/>
      <c r="D142" s="109"/>
      <c r="E142" s="109"/>
      <c r="F142" s="109"/>
      <c r="G142" s="111"/>
      <c r="H142" s="111"/>
      <c r="I142" s="112"/>
      <c r="J142" s="112"/>
      <c r="K142" s="112"/>
      <c r="L142" s="112"/>
      <c r="M142" s="112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</row>
    <row r="143" spans="1:29" ht="12" customHeight="1">
      <c r="A143" s="108"/>
      <c r="B143" s="109"/>
      <c r="C143" s="109"/>
      <c r="D143" s="109"/>
      <c r="E143" s="109"/>
      <c r="F143" s="109"/>
      <c r="G143" s="111"/>
      <c r="H143" s="111"/>
      <c r="I143" s="112"/>
      <c r="J143" s="112"/>
      <c r="K143" s="112"/>
      <c r="L143" s="112"/>
      <c r="M143" s="112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</row>
    <row r="144" spans="1:29" ht="12" customHeight="1">
      <c r="A144" s="108"/>
      <c r="B144" s="109"/>
      <c r="C144" s="109"/>
      <c r="D144" s="109"/>
      <c r="E144" s="109"/>
      <c r="F144" s="109"/>
      <c r="G144" s="111"/>
      <c r="H144" s="111"/>
      <c r="I144" s="112"/>
      <c r="J144" s="112"/>
      <c r="K144" s="112"/>
      <c r="L144" s="112"/>
      <c r="M144" s="112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</row>
    <row r="145" spans="1:29" ht="12" customHeight="1">
      <c r="A145" s="108"/>
      <c r="B145" s="109"/>
      <c r="C145" s="109"/>
      <c r="D145" s="109"/>
      <c r="E145" s="109"/>
      <c r="F145" s="109"/>
      <c r="G145" s="111"/>
      <c r="H145" s="111"/>
      <c r="I145" s="112"/>
      <c r="J145" s="112"/>
      <c r="K145" s="112"/>
      <c r="L145" s="112"/>
      <c r="M145" s="112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</row>
    <row r="146" spans="1:29" ht="12" customHeight="1">
      <c r="A146" s="108"/>
      <c r="B146" s="109"/>
      <c r="C146" s="109"/>
      <c r="D146" s="109"/>
      <c r="E146" s="109"/>
      <c r="F146" s="109"/>
      <c r="G146" s="111"/>
      <c r="H146" s="111"/>
      <c r="I146" s="112"/>
      <c r="J146" s="112"/>
      <c r="K146" s="112"/>
      <c r="L146" s="112"/>
      <c r="M146" s="112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</row>
    <row r="147" spans="1:29" ht="12" customHeight="1">
      <c r="A147" s="108"/>
      <c r="B147" s="109"/>
      <c r="C147" s="109"/>
      <c r="D147" s="109"/>
      <c r="E147" s="109"/>
      <c r="F147" s="109"/>
      <c r="G147" s="111"/>
      <c r="H147" s="111"/>
      <c r="I147" s="112"/>
      <c r="J147" s="112"/>
      <c r="K147" s="112"/>
      <c r="L147" s="112"/>
      <c r="M147" s="112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</row>
    <row r="148" spans="1:29" ht="12" customHeight="1">
      <c r="A148" s="108"/>
      <c r="B148" s="109"/>
      <c r="C148" s="109"/>
      <c r="D148" s="109"/>
      <c r="E148" s="109"/>
      <c r="F148" s="109"/>
      <c r="G148" s="111"/>
      <c r="H148" s="111"/>
      <c r="I148" s="112"/>
      <c r="J148" s="112"/>
      <c r="K148" s="112"/>
      <c r="L148" s="112"/>
      <c r="M148" s="112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</row>
    <row r="149" spans="1:29" ht="12" customHeight="1">
      <c r="A149" s="108"/>
      <c r="B149" s="109"/>
      <c r="C149" s="109"/>
      <c r="D149" s="109"/>
      <c r="E149" s="109"/>
      <c r="F149" s="109"/>
      <c r="G149" s="111"/>
      <c r="H149" s="111"/>
      <c r="I149" s="112"/>
      <c r="J149" s="112"/>
      <c r="K149" s="112"/>
      <c r="L149" s="112"/>
      <c r="M149" s="112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</row>
    <row r="150" spans="1:29" ht="12" customHeight="1">
      <c r="A150" s="108"/>
      <c r="B150" s="109"/>
      <c r="C150" s="109"/>
      <c r="D150" s="109"/>
      <c r="E150" s="109"/>
      <c r="F150" s="109"/>
      <c r="G150" s="111"/>
      <c r="H150" s="111"/>
      <c r="I150" s="112"/>
      <c r="J150" s="112"/>
      <c r="K150" s="112"/>
      <c r="L150" s="112"/>
      <c r="M150" s="112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</row>
    <row r="151" spans="1:29" ht="12" customHeight="1">
      <c r="A151" s="108"/>
      <c r="B151" s="109"/>
      <c r="C151" s="109"/>
      <c r="D151" s="109"/>
      <c r="E151" s="109"/>
      <c r="F151" s="109"/>
      <c r="G151" s="111"/>
      <c r="H151" s="111"/>
      <c r="I151" s="112"/>
      <c r="J151" s="112"/>
      <c r="K151" s="112"/>
      <c r="L151" s="112"/>
      <c r="M151" s="112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</row>
    <row r="152" spans="1:29" ht="12" customHeight="1">
      <c r="A152" s="108"/>
      <c r="B152" s="109"/>
      <c r="C152" s="109"/>
      <c r="D152" s="109"/>
      <c r="E152" s="109"/>
      <c r="F152" s="109"/>
      <c r="G152" s="111"/>
      <c r="H152" s="111"/>
      <c r="I152" s="112"/>
      <c r="J152" s="112"/>
      <c r="K152" s="112"/>
      <c r="L152" s="112"/>
      <c r="M152" s="112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</row>
    <row r="153" spans="1:29" ht="12" customHeight="1">
      <c r="A153" s="108"/>
      <c r="B153" s="109"/>
      <c r="C153" s="109"/>
      <c r="D153" s="109"/>
      <c r="E153" s="109"/>
      <c r="F153" s="109"/>
      <c r="G153" s="111"/>
      <c r="H153" s="111"/>
      <c r="I153" s="112"/>
      <c r="J153" s="112"/>
      <c r="K153" s="112"/>
      <c r="L153" s="112"/>
      <c r="M153" s="112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</row>
    <row r="154" spans="1:29" ht="12" customHeight="1">
      <c r="A154" s="108"/>
      <c r="B154" s="109"/>
      <c r="C154" s="109"/>
      <c r="D154" s="109"/>
      <c r="E154" s="109"/>
      <c r="F154" s="109"/>
      <c r="G154" s="111"/>
      <c r="H154" s="111"/>
      <c r="I154" s="112"/>
      <c r="J154" s="112"/>
      <c r="K154" s="112"/>
      <c r="L154" s="112"/>
      <c r="M154" s="112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</row>
    <row r="155" spans="1:29" ht="12" customHeight="1">
      <c r="A155" s="108"/>
      <c r="B155" s="109"/>
      <c r="C155" s="109"/>
      <c r="D155" s="109"/>
      <c r="E155" s="109"/>
      <c r="F155" s="109"/>
      <c r="G155" s="111"/>
      <c r="H155" s="111"/>
      <c r="I155" s="112"/>
      <c r="J155" s="112"/>
      <c r="K155" s="112"/>
      <c r="L155" s="112"/>
      <c r="M155" s="112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</row>
    <row r="156" spans="1:29" ht="12" customHeight="1">
      <c r="A156" s="108"/>
      <c r="B156" s="109"/>
      <c r="C156" s="109"/>
      <c r="D156" s="109"/>
      <c r="E156" s="109"/>
      <c r="F156" s="109"/>
      <c r="G156" s="111"/>
      <c r="H156" s="111"/>
      <c r="I156" s="112"/>
      <c r="J156" s="112"/>
      <c r="K156" s="112"/>
      <c r="L156" s="112"/>
      <c r="M156" s="112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</row>
    <row r="157" spans="1:29" ht="12" customHeight="1">
      <c r="A157" s="108"/>
      <c r="B157" s="109"/>
      <c r="C157" s="109"/>
      <c r="D157" s="109"/>
      <c r="E157" s="109"/>
      <c r="F157" s="109"/>
      <c r="G157" s="111"/>
      <c r="H157" s="111"/>
      <c r="I157" s="112"/>
      <c r="J157" s="112"/>
      <c r="K157" s="112"/>
      <c r="L157" s="112"/>
      <c r="M157" s="112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</row>
    <row r="158" spans="1:29" ht="12" customHeight="1">
      <c r="A158" s="108"/>
      <c r="B158" s="109"/>
      <c r="C158" s="109"/>
      <c r="D158" s="109"/>
      <c r="E158" s="109"/>
      <c r="F158" s="109"/>
      <c r="G158" s="111"/>
      <c r="H158" s="111"/>
      <c r="I158" s="112"/>
      <c r="J158" s="112"/>
      <c r="K158" s="112"/>
      <c r="L158" s="112"/>
      <c r="M158" s="112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</row>
    <row r="159" spans="1:29" ht="12" customHeight="1">
      <c r="A159" s="108"/>
      <c r="B159" s="109"/>
      <c r="C159" s="109"/>
      <c r="D159" s="109"/>
      <c r="E159" s="109"/>
      <c r="F159" s="109"/>
      <c r="G159" s="111"/>
      <c r="H159" s="111"/>
      <c r="I159" s="112"/>
      <c r="J159" s="112"/>
      <c r="K159" s="112"/>
      <c r="L159" s="112"/>
      <c r="M159" s="112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</row>
    <row r="160" spans="1:29" ht="12" customHeight="1">
      <c r="A160" s="108"/>
      <c r="B160" s="109"/>
      <c r="C160" s="109"/>
      <c r="D160" s="109"/>
      <c r="E160" s="109"/>
      <c r="F160" s="109"/>
      <c r="G160" s="111"/>
      <c r="H160" s="111"/>
      <c r="I160" s="112"/>
      <c r="J160" s="112"/>
      <c r="K160" s="112"/>
      <c r="L160" s="112"/>
      <c r="M160" s="112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</row>
    <row r="161" spans="1:29" ht="12" customHeight="1">
      <c r="A161" s="108"/>
      <c r="B161" s="109"/>
      <c r="C161" s="109"/>
      <c r="D161" s="109"/>
      <c r="E161" s="109"/>
      <c r="F161" s="109"/>
      <c r="G161" s="111"/>
      <c r="H161" s="111"/>
      <c r="I161" s="112"/>
      <c r="J161" s="112"/>
      <c r="K161" s="112"/>
      <c r="L161" s="112"/>
      <c r="M161" s="112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</row>
    <row r="162" spans="1:29" ht="12" customHeight="1">
      <c r="A162" s="108"/>
      <c r="B162" s="109"/>
      <c r="C162" s="109"/>
      <c r="D162" s="109"/>
      <c r="E162" s="109"/>
      <c r="F162" s="109"/>
      <c r="G162" s="111"/>
      <c r="H162" s="111"/>
      <c r="I162" s="112"/>
      <c r="J162" s="112"/>
      <c r="K162" s="112"/>
      <c r="L162" s="112"/>
      <c r="M162" s="112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</row>
    <row r="163" spans="1:29" ht="12" customHeight="1">
      <c r="A163" s="108"/>
      <c r="B163" s="109"/>
      <c r="C163" s="109"/>
      <c r="D163" s="109"/>
      <c r="E163" s="109"/>
      <c r="F163" s="109"/>
      <c r="G163" s="111"/>
      <c r="H163" s="111"/>
      <c r="I163" s="112"/>
      <c r="J163" s="112"/>
      <c r="K163" s="112"/>
      <c r="L163" s="112"/>
      <c r="M163" s="112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</row>
    <row r="164" spans="1:29" ht="12" customHeight="1">
      <c r="A164" s="108"/>
      <c r="B164" s="109"/>
      <c r="C164" s="109"/>
      <c r="D164" s="109"/>
      <c r="E164" s="109"/>
      <c r="F164" s="109"/>
      <c r="G164" s="111"/>
      <c r="H164" s="111"/>
      <c r="I164" s="112"/>
      <c r="J164" s="112"/>
      <c r="K164" s="112"/>
      <c r="L164" s="112"/>
      <c r="M164" s="112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</row>
    <row r="165" spans="1:29" ht="12" customHeight="1">
      <c r="A165" s="108"/>
      <c r="B165" s="109"/>
      <c r="C165" s="109"/>
      <c r="D165" s="109"/>
      <c r="E165" s="109"/>
      <c r="F165" s="109"/>
      <c r="G165" s="111"/>
      <c r="H165" s="111"/>
      <c r="I165" s="112"/>
      <c r="J165" s="112"/>
      <c r="K165" s="112"/>
      <c r="L165" s="112"/>
      <c r="M165" s="112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</row>
    <row r="166" spans="1:29" ht="12" customHeight="1">
      <c r="A166" s="108"/>
      <c r="B166" s="109"/>
      <c r="C166" s="109"/>
      <c r="D166" s="109"/>
      <c r="E166" s="109"/>
      <c r="F166" s="109"/>
      <c r="G166" s="111"/>
      <c r="H166" s="111"/>
      <c r="I166" s="112"/>
      <c r="J166" s="112"/>
      <c r="K166" s="112"/>
      <c r="L166" s="112"/>
      <c r="M166" s="112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</row>
    <row r="167" spans="1:29" ht="12" customHeight="1">
      <c r="A167" s="108"/>
      <c r="B167" s="109"/>
      <c r="C167" s="109"/>
      <c r="D167" s="109"/>
      <c r="E167" s="109"/>
      <c r="F167" s="109"/>
      <c r="G167" s="111"/>
      <c r="H167" s="111"/>
      <c r="I167" s="112"/>
      <c r="J167" s="112"/>
      <c r="K167" s="112"/>
      <c r="L167" s="112"/>
      <c r="M167" s="112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</row>
    <row r="168" spans="1:29" ht="12" customHeight="1">
      <c r="A168" s="108"/>
      <c r="B168" s="109"/>
      <c r="C168" s="109"/>
      <c r="D168" s="109"/>
      <c r="E168" s="109"/>
      <c r="F168" s="109"/>
      <c r="G168" s="111"/>
      <c r="H168" s="111"/>
      <c r="I168" s="112"/>
      <c r="J168" s="112"/>
      <c r="K168" s="112"/>
      <c r="L168" s="112"/>
      <c r="M168" s="112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</row>
    <row r="169" spans="1:29" ht="12" customHeight="1">
      <c r="A169" s="108"/>
      <c r="B169" s="109"/>
      <c r="C169" s="109"/>
      <c r="D169" s="109"/>
      <c r="E169" s="109"/>
      <c r="F169" s="109"/>
      <c r="G169" s="111"/>
      <c r="H169" s="111"/>
      <c r="I169" s="112"/>
      <c r="J169" s="112"/>
      <c r="K169" s="112"/>
      <c r="L169" s="112"/>
      <c r="M169" s="112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</row>
    <row r="170" spans="1:29" ht="12" customHeight="1">
      <c r="A170" s="108"/>
      <c r="B170" s="109"/>
      <c r="C170" s="109"/>
      <c r="D170" s="109"/>
      <c r="E170" s="109"/>
      <c r="F170" s="109"/>
      <c r="G170" s="111"/>
      <c r="H170" s="111"/>
      <c r="I170" s="112"/>
      <c r="J170" s="112"/>
      <c r="K170" s="112"/>
      <c r="L170" s="112"/>
      <c r="M170" s="112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</row>
    <row r="171" spans="1:29" ht="12" customHeight="1">
      <c r="A171" s="108"/>
      <c r="B171" s="109"/>
      <c r="C171" s="109"/>
      <c r="D171" s="109"/>
      <c r="E171" s="109"/>
      <c r="F171" s="109"/>
      <c r="G171" s="111"/>
      <c r="H171" s="111"/>
      <c r="I171" s="112"/>
      <c r="J171" s="112"/>
      <c r="K171" s="112"/>
      <c r="L171" s="112"/>
      <c r="M171" s="112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</row>
    <row r="172" spans="1:29" ht="12" customHeight="1">
      <c r="A172" s="108"/>
      <c r="B172" s="109"/>
      <c r="C172" s="109"/>
      <c r="D172" s="109"/>
      <c r="E172" s="109"/>
      <c r="F172" s="109"/>
      <c r="G172" s="111"/>
      <c r="H172" s="111"/>
      <c r="I172" s="112"/>
      <c r="J172" s="112"/>
      <c r="K172" s="112"/>
      <c r="L172" s="112"/>
      <c r="M172" s="112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</row>
    <row r="173" spans="1:29" ht="12" customHeight="1">
      <c r="A173" s="108"/>
      <c r="B173" s="109"/>
      <c r="C173" s="109"/>
      <c r="D173" s="109"/>
      <c r="E173" s="109"/>
      <c r="F173" s="109"/>
      <c r="G173" s="111"/>
      <c r="H173" s="111"/>
      <c r="I173" s="112"/>
      <c r="J173" s="112"/>
      <c r="K173" s="112"/>
      <c r="L173" s="112"/>
      <c r="M173" s="112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</row>
    <row r="174" spans="1:29" ht="12" customHeight="1">
      <c r="A174" s="108"/>
      <c r="B174" s="109"/>
      <c r="C174" s="109"/>
      <c r="D174" s="109"/>
      <c r="E174" s="109"/>
      <c r="F174" s="109"/>
      <c r="G174" s="111"/>
      <c r="H174" s="111"/>
      <c r="I174" s="112"/>
      <c r="J174" s="112"/>
      <c r="K174" s="112"/>
      <c r="L174" s="112"/>
      <c r="M174" s="112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</row>
    <row r="175" spans="1:29" ht="12" customHeight="1">
      <c r="A175" s="108"/>
      <c r="B175" s="109"/>
      <c r="C175" s="109"/>
      <c r="D175" s="109"/>
      <c r="E175" s="109"/>
      <c r="F175" s="109"/>
      <c r="G175" s="111"/>
      <c r="H175" s="111"/>
      <c r="I175" s="112"/>
      <c r="J175" s="112"/>
      <c r="K175" s="112"/>
      <c r="L175" s="112"/>
      <c r="M175" s="112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</row>
    <row r="176" spans="1:29" ht="12" customHeight="1">
      <c r="A176" s="108"/>
      <c r="B176" s="109"/>
      <c r="C176" s="109"/>
      <c r="D176" s="109"/>
      <c r="E176" s="109"/>
      <c r="F176" s="109"/>
      <c r="G176" s="111"/>
      <c r="H176" s="111"/>
      <c r="I176" s="112"/>
      <c r="J176" s="112"/>
      <c r="K176" s="112"/>
      <c r="L176" s="112"/>
      <c r="M176" s="112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</row>
    <row r="177" spans="1:29" ht="12" customHeight="1">
      <c r="A177" s="108"/>
      <c r="B177" s="109"/>
      <c r="C177" s="109"/>
      <c r="D177" s="109"/>
      <c r="E177" s="109"/>
      <c r="F177" s="109"/>
      <c r="G177" s="111"/>
      <c r="H177" s="111"/>
      <c r="I177" s="112"/>
      <c r="J177" s="112"/>
      <c r="K177" s="112"/>
      <c r="L177" s="112"/>
      <c r="M177" s="112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</row>
    <row r="178" spans="1:29" ht="12" customHeight="1">
      <c r="A178" s="108"/>
      <c r="B178" s="109"/>
      <c r="C178" s="109"/>
      <c r="D178" s="109"/>
      <c r="E178" s="109"/>
      <c r="F178" s="109"/>
      <c r="G178" s="111"/>
      <c r="H178" s="111"/>
      <c r="I178" s="112"/>
      <c r="J178" s="112"/>
      <c r="K178" s="112"/>
      <c r="L178" s="112"/>
      <c r="M178" s="112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</row>
    <row r="179" spans="1:29" ht="12" customHeight="1">
      <c r="A179" s="108"/>
      <c r="B179" s="109"/>
      <c r="C179" s="109"/>
      <c r="D179" s="109"/>
      <c r="E179" s="109"/>
      <c r="F179" s="109"/>
      <c r="G179" s="111"/>
      <c r="H179" s="111"/>
      <c r="I179" s="112"/>
      <c r="J179" s="112"/>
      <c r="K179" s="112"/>
      <c r="L179" s="112"/>
      <c r="M179" s="112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</row>
    <row r="180" spans="1:29" ht="12" customHeight="1">
      <c r="A180" s="108"/>
      <c r="B180" s="109"/>
      <c r="C180" s="109"/>
      <c r="D180" s="109"/>
      <c r="E180" s="109"/>
      <c r="F180" s="109"/>
      <c r="G180" s="111"/>
      <c r="H180" s="111"/>
      <c r="I180" s="112"/>
      <c r="J180" s="112"/>
      <c r="K180" s="112"/>
      <c r="L180" s="112"/>
      <c r="M180" s="112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</row>
    <row r="181" spans="1:29" ht="12" customHeight="1">
      <c r="A181" s="108"/>
      <c r="B181" s="109"/>
      <c r="C181" s="109"/>
      <c r="D181" s="109"/>
      <c r="E181" s="109"/>
      <c r="F181" s="109"/>
      <c r="G181" s="111"/>
      <c r="H181" s="111"/>
      <c r="I181" s="112"/>
      <c r="J181" s="112"/>
      <c r="K181" s="112"/>
      <c r="L181" s="112"/>
      <c r="M181" s="112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</row>
    <row r="182" spans="1:29" ht="12" customHeight="1">
      <c r="A182" s="108"/>
      <c r="B182" s="109"/>
      <c r="C182" s="109"/>
      <c r="D182" s="109"/>
      <c r="E182" s="109"/>
      <c r="F182" s="109"/>
      <c r="G182" s="111"/>
      <c r="H182" s="111"/>
      <c r="I182" s="112"/>
      <c r="J182" s="112"/>
      <c r="K182" s="112"/>
      <c r="L182" s="112"/>
      <c r="M182" s="112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</row>
    <row r="183" spans="1:29" ht="12" customHeight="1">
      <c r="A183" s="108"/>
      <c r="B183" s="109"/>
      <c r="C183" s="109"/>
      <c r="D183" s="109"/>
      <c r="E183" s="109"/>
      <c r="F183" s="109"/>
      <c r="G183" s="111"/>
      <c r="H183" s="111"/>
      <c r="I183" s="112"/>
      <c r="J183" s="112"/>
      <c r="K183" s="112"/>
      <c r="L183" s="112"/>
      <c r="M183" s="112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</row>
    <row r="184" spans="1:29" ht="12" customHeight="1">
      <c r="A184" s="108"/>
      <c r="B184" s="109"/>
      <c r="C184" s="109"/>
      <c r="D184" s="109"/>
      <c r="E184" s="109"/>
      <c r="F184" s="109"/>
      <c r="G184" s="111"/>
      <c r="H184" s="111"/>
      <c r="I184" s="112"/>
      <c r="J184" s="112"/>
      <c r="K184" s="112"/>
      <c r="L184" s="112"/>
      <c r="M184" s="112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</row>
    <row r="185" spans="1:29" ht="12" customHeight="1">
      <c r="A185" s="108"/>
      <c r="B185" s="109"/>
      <c r="C185" s="109"/>
      <c r="D185" s="109"/>
      <c r="E185" s="109"/>
      <c r="F185" s="109"/>
      <c r="G185" s="111"/>
      <c r="H185" s="111"/>
      <c r="I185" s="112"/>
      <c r="J185" s="112"/>
      <c r="K185" s="112"/>
      <c r="L185" s="112"/>
      <c r="M185" s="112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</row>
    <row r="186" spans="1:29" ht="12" customHeight="1">
      <c r="A186" s="108"/>
      <c r="B186" s="109"/>
      <c r="C186" s="109"/>
      <c r="D186" s="109"/>
      <c r="E186" s="109"/>
      <c r="F186" s="109"/>
      <c r="G186" s="111"/>
      <c r="H186" s="111"/>
      <c r="I186" s="112"/>
      <c r="J186" s="112"/>
      <c r="K186" s="112"/>
      <c r="L186" s="112"/>
      <c r="M186" s="112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</row>
    <row r="187" spans="1:29" ht="12" customHeight="1">
      <c r="A187" s="108"/>
      <c r="B187" s="109"/>
      <c r="C187" s="109"/>
      <c r="D187" s="109"/>
      <c r="E187" s="109"/>
      <c r="F187" s="109"/>
      <c r="G187" s="111"/>
      <c r="H187" s="111"/>
      <c r="I187" s="112"/>
      <c r="J187" s="112"/>
      <c r="K187" s="112"/>
      <c r="L187" s="112"/>
      <c r="M187" s="112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</row>
    <row r="188" spans="1:29" ht="12" customHeight="1">
      <c r="A188" s="108"/>
      <c r="B188" s="109"/>
      <c r="C188" s="109"/>
      <c r="D188" s="109"/>
      <c r="E188" s="109"/>
      <c r="F188" s="109"/>
      <c r="G188" s="111"/>
      <c r="H188" s="111"/>
      <c r="I188" s="112"/>
      <c r="J188" s="112"/>
      <c r="K188" s="112"/>
      <c r="L188" s="112"/>
      <c r="M188" s="112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</row>
    <row r="189" spans="1:29" ht="12" customHeight="1">
      <c r="A189" s="108"/>
      <c r="B189" s="109"/>
      <c r="C189" s="109"/>
      <c r="D189" s="109"/>
      <c r="E189" s="109"/>
      <c r="F189" s="109"/>
      <c r="G189" s="111"/>
      <c r="H189" s="111"/>
      <c r="I189" s="112"/>
      <c r="J189" s="112"/>
      <c r="K189" s="112"/>
      <c r="L189" s="112"/>
      <c r="M189" s="112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</row>
    <row r="190" spans="1:29" ht="12" customHeight="1">
      <c r="A190" s="108"/>
      <c r="B190" s="109"/>
      <c r="C190" s="109"/>
      <c r="D190" s="109"/>
      <c r="E190" s="109"/>
      <c r="F190" s="109"/>
      <c r="G190" s="111"/>
      <c r="H190" s="111"/>
      <c r="I190" s="112"/>
      <c r="J190" s="112"/>
      <c r="K190" s="112"/>
      <c r="L190" s="112"/>
      <c r="M190" s="112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</row>
    <row r="191" spans="1:29" ht="12" customHeight="1">
      <c r="A191" s="108"/>
      <c r="B191" s="109"/>
      <c r="C191" s="109"/>
      <c r="D191" s="109"/>
      <c r="E191" s="109"/>
      <c r="F191" s="109"/>
      <c r="G191" s="111"/>
      <c r="H191" s="111"/>
      <c r="I191" s="112"/>
      <c r="J191" s="112"/>
      <c r="K191" s="112"/>
      <c r="L191" s="112"/>
      <c r="M191" s="112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</row>
    <row r="192" spans="1:29" ht="12" customHeight="1">
      <c r="A192" s="108"/>
      <c r="B192" s="109"/>
      <c r="C192" s="109"/>
      <c r="D192" s="109"/>
      <c r="E192" s="109"/>
      <c r="F192" s="109"/>
      <c r="G192" s="111"/>
      <c r="H192" s="111"/>
      <c r="I192" s="112"/>
      <c r="J192" s="112"/>
      <c r="K192" s="112"/>
      <c r="L192" s="112"/>
      <c r="M192" s="112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</row>
    <row r="193" spans="1:29" ht="12" customHeight="1">
      <c r="A193" s="108"/>
      <c r="B193" s="109"/>
      <c r="C193" s="109"/>
      <c r="D193" s="109"/>
      <c r="E193" s="109"/>
      <c r="F193" s="109"/>
      <c r="G193" s="111"/>
      <c r="H193" s="111"/>
      <c r="I193" s="112"/>
      <c r="J193" s="112"/>
      <c r="K193" s="112"/>
      <c r="L193" s="112"/>
      <c r="M193" s="112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</row>
    <row r="194" spans="1:29" ht="12" customHeight="1">
      <c r="A194" s="108"/>
      <c r="B194" s="109"/>
      <c r="C194" s="109"/>
      <c r="D194" s="109"/>
      <c r="E194" s="109"/>
      <c r="F194" s="109"/>
      <c r="G194" s="111"/>
      <c r="H194" s="111"/>
      <c r="I194" s="112"/>
      <c r="J194" s="112"/>
      <c r="K194" s="112"/>
      <c r="L194" s="112"/>
      <c r="M194" s="112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</row>
    <row r="195" spans="1:29" ht="12" customHeight="1">
      <c r="A195" s="108"/>
      <c r="B195" s="109"/>
      <c r="C195" s="109"/>
      <c r="D195" s="109"/>
      <c r="E195" s="109"/>
      <c r="F195" s="109"/>
      <c r="G195" s="111"/>
      <c r="H195" s="111"/>
      <c r="I195" s="112"/>
      <c r="J195" s="112"/>
      <c r="K195" s="112"/>
      <c r="L195" s="112"/>
      <c r="M195" s="112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</row>
    <row r="196" spans="1:29" ht="12" customHeight="1">
      <c r="A196" s="108"/>
      <c r="B196" s="109"/>
      <c r="C196" s="109"/>
      <c r="D196" s="109"/>
      <c r="E196" s="109"/>
      <c r="F196" s="109"/>
      <c r="G196" s="111"/>
      <c r="H196" s="111"/>
      <c r="I196" s="112"/>
      <c r="J196" s="112"/>
      <c r="K196" s="112"/>
      <c r="L196" s="112"/>
      <c r="M196" s="112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</row>
    <row r="197" spans="1:29" ht="12" customHeight="1">
      <c r="A197" s="108"/>
      <c r="B197" s="109"/>
      <c r="C197" s="109"/>
      <c r="D197" s="109"/>
      <c r="E197" s="109"/>
      <c r="F197" s="109"/>
      <c r="G197" s="111"/>
      <c r="H197" s="111"/>
      <c r="I197" s="112"/>
      <c r="J197" s="112"/>
      <c r="K197" s="112"/>
      <c r="L197" s="112"/>
      <c r="M197" s="112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</row>
    <row r="198" spans="1:29" ht="12" customHeight="1">
      <c r="A198" s="108"/>
      <c r="B198" s="109"/>
      <c r="C198" s="109"/>
      <c r="D198" s="109"/>
      <c r="E198" s="109"/>
      <c r="F198" s="109"/>
      <c r="G198" s="111"/>
      <c r="H198" s="111"/>
      <c r="I198" s="112"/>
      <c r="J198" s="112"/>
      <c r="K198" s="112"/>
      <c r="L198" s="112"/>
      <c r="M198" s="112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</row>
    <row r="199" spans="1:29" ht="12" customHeight="1">
      <c r="A199" s="108"/>
      <c r="B199" s="109"/>
      <c r="C199" s="109"/>
      <c r="D199" s="109"/>
      <c r="E199" s="109"/>
      <c r="F199" s="109"/>
      <c r="G199" s="111"/>
      <c r="H199" s="111"/>
      <c r="I199" s="112"/>
      <c r="J199" s="112"/>
      <c r="K199" s="112"/>
      <c r="L199" s="112"/>
      <c r="M199" s="112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</row>
    <row r="200" spans="1:29" ht="12" customHeight="1">
      <c r="A200" s="108"/>
      <c r="B200" s="109"/>
      <c r="C200" s="109"/>
      <c r="D200" s="109"/>
      <c r="E200" s="109"/>
      <c r="F200" s="109"/>
      <c r="G200" s="111"/>
      <c r="H200" s="111"/>
      <c r="I200" s="112"/>
      <c r="J200" s="112"/>
      <c r="K200" s="112"/>
      <c r="L200" s="112"/>
      <c r="M200" s="112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</row>
    <row r="201" spans="1:29" ht="12" customHeight="1">
      <c r="A201" s="108"/>
      <c r="B201" s="109"/>
      <c r="C201" s="109"/>
      <c r="D201" s="109"/>
      <c r="E201" s="109"/>
      <c r="F201" s="109"/>
      <c r="G201" s="111"/>
      <c r="H201" s="111"/>
      <c r="I201" s="112"/>
      <c r="J201" s="112"/>
      <c r="K201" s="112"/>
      <c r="L201" s="112"/>
      <c r="M201" s="112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</row>
    <row r="202" spans="1:29" ht="12" customHeight="1">
      <c r="A202" s="108"/>
      <c r="B202" s="109"/>
      <c r="C202" s="109"/>
      <c r="D202" s="109"/>
      <c r="E202" s="109"/>
      <c r="F202" s="109"/>
      <c r="G202" s="111"/>
      <c r="H202" s="111"/>
      <c r="I202" s="112"/>
      <c r="J202" s="112"/>
      <c r="K202" s="112"/>
      <c r="L202" s="112"/>
      <c r="M202" s="112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</row>
    <row r="203" spans="1:29" ht="12" customHeight="1">
      <c r="A203" s="108"/>
      <c r="B203" s="109"/>
      <c r="C203" s="109"/>
      <c r="D203" s="109"/>
      <c r="E203" s="109"/>
      <c r="F203" s="109"/>
      <c r="G203" s="111"/>
      <c r="H203" s="111"/>
      <c r="I203" s="112"/>
      <c r="J203" s="112"/>
      <c r="K203" s="112"/>
      <c r="L203" s="112"/>
      <c r="M203" s="112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</row>
    <row r="204" spans="1:29" ht="12" customHeight="1">
      <c r="A204" s="108"/>
      <c r="B204" s="109"/>
      <c r="C204" s="109"/>
      <c r="D204" s="109"/>
      <c r="E204" s="109"/>
      <c r="F204" s="109"/>
      <c r="G204" s="111"/>
      <c r="H204" s="111"/>
      <c r="I204" s="112"/>
      <c r="J204" s="112"/>
      <c r="K204" s="112"/>
      <c r="L204" s="112"/>
      <c r="M204" s="112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</row>
    <row r="205" spans="1:29" ht="12" customHeight="1">
      <c r="A205" s="108"/>
      <c r="B205" s="109"/>
      <c r="C205" s="109"/>
      <c r="D205" s="109"/>
      <c r="E205" s="109"/>
      <c r="F205" s="109"/>
      <c r="G205" s="111"/>
      <c r="H205" s="111"/>
      <c r="I205" s="112"/>
      <c r="J205" s="112"/>
      <c r="K205" s="112"/>
      <c r="L205" s="112"/>
      <c r="M205" s="112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</row>
    <row r="206" spans="1:29" ht="12" customHeight="1">
      <c r="A206" s="108"/>
      <c r="B206" s="109"/>
      <c r="C206" s="109"/>
      <c r="D206" s="109"/>
      <c r="E206" s="109"/>
      <c r="F206" s="109"/>
      <c r="G206" s="111"/>
      <c r="H206" s="111"/>
      <c r="I206" s="112"/>
      <c r="J206" s="112"/>
      <c r="K206" s="112"/>
      <c r="L206" s="112"/>
      <c r="M206" s="112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</row>
    <row r="207" spans="1:29" ht="12" customHeight="1">
      <c r="A207" s="108"/>
      <c r="B207" s="109"/>
      <c r="C207" s="109"/>
      <c r="D207" s="109"/>
      <c r="E207" s="109"/>
      <c r="F207" s="109"/>
      <c r="G207" s="111"/>
      <c r="H207" s="111"/>
      <c r="I207" s="112"/>
      <c r="J207" s="112"/>
      <c r="K207" s="112"/>
      <c r="L207" s="112"/>
      <c r="M207" s="112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</row>
    <row r="208" spans="1:29" ht="12" customHeight="1">
      <c r="A208" s="108"/>
      <c r="B208" s="109"/>
      <c r="C208" s="109"/>
      <c r="D208" s="109"/>
      <c r="E208" s="109"/>
      <c r="F208" s="109"/>
      <c r="G208" s="111"/>
      <c r="H208" s="111"/>
      <c r="I208" s="112"/>
      <c r="J208" s="112"/>
      <c r="K208" s="112"/>
      <c r="L208" s="112"/>
      <c r="M208" s="112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</row>
    <row r="209" spans="1:29" ht="12" customHeight="1">
      <c r="A209" s="108"/>
      <c r="B209" s="109"/>
      <c r="C209" s="109"/>
      <c r="D209" s="109"/>
      <c r="E209" s="109"/>
      <c r="F209" s="109"/>
      <c r="G209" s="111"/>
      <c r="H209" s="111"/>
      <c r="I209" s="112"/>
      <c r="J209" s="112"/>
      <c r="K209" s="112"/>
      <c r="L209" s="112"/>
      <c r="M209" s="112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</row>
    <row r="210" spans="1:29" ht="12" customHeight="1">
      <c r="A210" s="108"/>
      <c r="B210" s="109"/>
      <c r="C210" s="109"/>
      <c r="D210" s="109"/>
      <c r="E210" s="109"/>
      <c r="F210" s="109"/>
      <c r="G210" s="111"/>
      <c r="H210" s="111"/>
      <c r="I210" s="112"/>
      <c r="J210" s="112"/>
      <c r="K210" s="112"/>
      <c r="L210" s="112"/>
      <c r="M210" s="112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</row>
    <row r="211" spans="1:29" ht="12" customHeight="1">
      <c r="A211" s="108"/>
      <c r="B211" s="109"/>
      <c r="C211" s="109"/>
      <c r="D211" s="109"/>
      <c r="E211" s="109"/>
      <c r="F211" s="109"/>
      <c r="G211" s="111"/>
      <c r="H211" s="111"/>
      <c r="I211" s="112"/>
      <c r="J211" s="112"/>
      <c r="K211" s="112"/>
      <c r="L211" s="112"/>
      <c r="M211" s="112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</row>
    <row r="212" spans="1:29" ht="12" customHeight="1">
      <c r="A212" s="108"/>
      <c r="B212" s="109"/>
      <c r="C212" s="109"/>
      <c r="D212" s="109"/>
      <c r="E212" s="109"/>
      <c r="F212" s="109"/>
      <c r="G212" s="111"/>
      <c r="H212" s="111"/>
      <c r="I212" s="112"/>
      <c r="J212" s="112"/>
      <c r="K212" s="112"/>
      <c r="L212" s="112"/>
      <c r="M212" s="112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</row>
    <row r="213" spans="1:29" ht="12" customHeight="1">
      <c r="A213" s="108"/>
      <c r="B213" s="109"/>
      <c r="C213" s="109"/>
      <c r="D213" s="109"/>
      <c r="E213" s="109"/>
      <c r="F213" s="109"/>
      <c r="G213" s="111"/>
      <c r="H213" s="111"/>
      <c r="I213" s="112"/>
      <c r="J213" s="112"/>
      <c r="K213" s="112"/>
      <c r="L213" s="112"/>
      <c r="M213" s="112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</row>
    <row r="214" spans="1:29" ht="12" customHeight="1">
      <c r="A214" s="108"/>
      <c r="B214" s="109"/>
      <c r="C214" s="109"/>
      <c r="D214" s="109"/>
      <c r="E214" s="109"/>
      <c r="F214" s="109"/>
      <c r="G214" s="111"/>
      <c r="H214" s="111"/>
      <c r="I214" s="112"/>
      <c r="J214" s="112"/>
      <c r="K214" s="112"/>
      <c r="L214" s="112"/>
      <c r="M214" s="112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</row>
    <row r="215" spans="1:29" ht="12" customHeight="1">
      <c r="A215" s="108"/>
      <c r="B215" s="109"/>
      <c r="C215" s="109"/>
      <c r="D215" s="109"/>
      <c r="E215" s="109"/>
      <c r="F215" s="109"/>
      <c r="G215" s="111"/>
      <c r="H215" s="111"/>
      <c r="I215" s="112"/>
      <c r="J215" s="112"/>
      <c r="K215" s="112"/>
      <c r="L215" s="112"/>
      <c r="M215" s="112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</row>
    <row r="216" spans="1:29" ht="12" customHeight="1">
      <c r="A216" s="108"/>
      <c r="B216" s="109"/>
      <c r="C216" s="109"/>
      <c r="D216" s="109"/>
      <c r="E216" s="109"/>
      <c r="F216" s="109"/>
      <c r="G216" s="111"/>
      <c r="H216" s="111"/>
      <c r="I216" s="112"/>
      <c r="J216" s="112"/>
      <c r="K216" s="112"/>
      <c r="L216" s="112"/>
      <c r="M216" s="112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</row>
    <row r="217" spans="1:29" ht="12" customHeight="1">
      <c r="A217" s="108"/>
      <c r="B217" s="109"/>
      <c r="C217" s="109"/>
      <c r="D217" s="109"/>
      <c r="E217" s="109"/>
      <c r="F217" s="109"/>
      <c r="G217" s="111"/>
      <c r="H217" s="111"/>
      <c r="I217" s="112"/>
      <c r="J217" s="112"/>
      <c r="K217" s="112"/>
      <c r="L217" s="112"/>
      <c r="M217" s="112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</row>
    <row r="218" spans="1:29" ht="12" customHeight="1">
      <c r="A218" s="108"/>
      <c r="B218" s="109"/>
      <c r="C218" s="109"/>
      <c r="D218" s="109"/>
      <c r="E218" s="109"/>
      <c r="F218" s="109"/>
      <c r="G218" s="111"/>
      <c r="H218" s="111"/>
      <c r="I218" s="112"/>
      <c r="J218" s="112"/>
      <c r="K218" s="112"/>
      <c r="L218" s="112"/>
      <c r="M218" s="112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</row>
    <row r="219" spans="1:29" ht="12" customHeight="1">
      <c r="A219" s="108"/>
      <c r="B219" s="109"/>
      <c r="C219" s="109"/>
      <c r="D219" s="109"/>
      <c r="E219" s="109"/>
      <c r="F219" s="109"/>
      <c r="G219" s="111"/>
      <c r="H219" s="111"/>
      <c r="I219" s="112"/>
      <c r="J219" s="112"/>
      <c r="K219" s="112"/>
      <c r="L219" s="112"/>
      <c r="M219" s="112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</row>
    <row r="220" spans="1:29" ht="12" customHeight="1">
      <c r="A220" s="108"/>
      <c r="B220" s="109"/>
      <c r="C220" s="109"/>
      <c r="D220" s="109"/>
      <c r="E220" s="109"/>
      <c r="F220" s="109"/>
      <c r="G220" s="111"/>
      <c r="H220" s="111"/>
      <c r="I220" s="112"/>
      <c r="J220" s="112"/>
      <c r="K220" s="112"/>
      <c r="L220" s="112"/>
      <c r="M220" s="112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</row>
    <row r="221" spans="1:29" ht="12" customHeight="1">
      <c r="A221" s="108"/>
      <c r="B221" s="109"/>
      <c r="C221" s="109"/>
      <c r="D221" s="109"/>
      <c r="E221" s="109"/>
      <c r="F221" s="109"/>
      <c r="G221" s="111"/>
      <c r="H221" s="111"/>
      <c r="I221" s="112"/>
      <c r="J221" s="112"/>
      <c r="K221" s="112"/>
      <c r="L221" s="112"/>
      <c r="M221" s="112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</row>
    <row r="222" spans="1:29" ht="12" customHeight="1">
      <c r="A222" s="108"/>
      <c r="B222" s="109"/>
      <c r="C222" s="109"/>
      <c r="D222" s="109"/>
      <c r="E222" s="109"/>
      <c r="F222" s="109"/>
      <c r="G222" s="111"/>
      <c r="H222" s="111"/>
      <c r="I222" s="112"/>
      <c r="J222" s="112"/>
      <c r="K222" s="112"/>
      <c r="L222" s="112"/>
      <c r="M222" s="112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</row>
    <row r="223" spans="1:29" ht="12" customHeight="1">
      <c r="A223" s="108"/>
      <c r="B223" s="109"/>
      <c r="C223" s="109"/>
      <c r="D223" s="109"/>
      <c r="E223" s="109"/>
      <c r="F223" s="109"/>
      <c r="G223" s="111"/>
      <c r="H223" s="111"/>
      <c r="I223" s="112"/>
      <c r="J223" s="112"/>
      <c r="K223" s="112"/>
      <c r="L223" s="112"/>
      <c r="M223" s="112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</row>
    <row r="224" spans="1:29" ht="12" customHeight="1">
      <c r="A224" s="108"/>
      <c r="B224" s="109"/>
      <c r="C224" s="109"/>
      <c r="D224" s="109"/>
      <c r="E224" s="109"/>
      <c r="F224" s="109"/>
      <c r="G224" s="111"/>
      <c r="H224" s="111"/>
      <c r="I224" s="112"/>
      <c r="J224" s="112"/>
      <c r="K224" s="112"/>
      <c r="L224" s="112"/>
      <c r="M224" s="112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</row>
    <row r="225" spans="1:29" ht="12" customHeight="1">
      <c r="A225" s="108"/>
      <c r="B225" s="109"/>
      <c r="C225" s="109"/>
      <c r="D225" s="109"/>
      <c r="E225" s="109"/>
      <c r="F225" s="109"/>
      <c r="G225" s="111"/>
      <c r="H225" s="111"/>
      <c r="I225" s="112"/>
      <c r="J225" s="112"/>
      <c r="K225" s="112"/>
      <c r="L225" s="112"/>
      <c r="M225" s="112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</row>
    <row r="226" spans="1:29" ht="12" customHeight="1">
      <c r="A226" s="108"/>
      <c r="B226" s="109"/>
      <c r="C226" s="109"/>
      <c r="D226" s="109"/>
      <c r="E226" s="109"/>
      <c r="F226" s="109"/>
      <c r="G226" s="111"/>
      <c r="H226" s="111"/>
      <c r="I226" s="112"/>
      <c r="J226" s="112"/>
      <c r="K226" s="112"/>
      <c r="L226" s="112"/>
      <c r="M226" s="112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</row>
    <row r="227" spans="1:29" ht="12" customHeight="1">
      <c r="A227" s="108"/>
      <c r="B227" s="109"/>
      <c r="C227" s="109"/>
      <c r="D227" s="109"/>
      <c r="E227" s="109"/>
      <c r="F227" s="109"/>
      <c r="G227" s="111"/>
      <c r="H227" s="111"/>
      <c r="I227" s="112"/>
      <c r="J227" s="112"/>
      <c r="K227" s="112"/>
      <c r="L227" s="112"/>
      <c r="M227" s="112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</row>
    <row r="228" spans="1:29" ht="12" customHeight="1">
      <c r="A228" s="108"/>
      <c r="B228" s="109"/>
      <c r="C228" s="109"/>
      <c r="D228" s="109"/>
      <c r="E228" s="109"/>
      <c r="F228" s="109"/>
      <c r="G228" s="111"/>
      <c r="H228" s="111"/>
      <c r="I228" s="112"/>
      <c r="J228" s="112"/>
      <c r="K228" s="112"/>
      <c r="L228" s="112"/>
      <c r="M228" s="112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</row>
    <row r="229" spans="1:29" ht="12" customHeight="1">
      <c r="A229" s="108"/>
      <c r="B229" s="109"/>
      <c r="C229" s="109"/>
      <c r="D229" s="109"/>
      <c r="E229" s="109"/>
      <c r="F229" s="109"/>
      <c r="G229" s="111"/>
      <c r="H229" s="111"/>
      <c r="I229" s="112"/>
      <c r="J229" s="112"/>
      <c r="K229" s="112"/>
      <c r="L229" s="112"/>
      <c r="M229" s="112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</row>
    <row r="230" spans="1:29" ht="12" customHeight="1">
      <c r="A230" s="108"/>
      <c r="B230" s="109"/>
      <c r="C230" s="109"/>
      <c r="D230" s="109"/>
      <c r="E230" s="109"/>
      <c r="F230" s="109"/>
      <c r="G230" s="111"/>
      <c r="H230" s="111"/>
      <c r="I230" s="112"/>
      <c r="J230" s="112"/>
      <c r="K230" s="112"/>
      <c r="L230" s="112"/>
      <c r="M230" s="112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</row>
    <row r="231" spans="1:29" ht="12" customHeight="1">
      <c r="A231" s="108"/>
      <c r="B231" s="109"/>
      <c r="C231" s="109"/>
      <c r="D231" s="109"/>
      <c r="E231" s="109"/>
      <c r="F231" s="109"/>
      <c r="G231" s="111"/>
      <c r="H231" s="111"/>
      <c r="I231" s="112"/>
      <c r="J231" s="112"/>
      <c r="K231" s="112"/>
      <c r="L231" s="112"/>
      <c r="M231" s="112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</row>
    <row r="232" spans="1:29" ht="12" customHeight="1">
      <c r="A232" s="108"/>
      <c r="B232" s="109"/>
      <c r="C232" s="109"/>
      <c r="D232" s="109"/>
      <c r="E232" s="109"/>
      <c r="F232" s="109"/>
      <c r="G232" s="111"/>
      <c r="H232" s="111"/>
      <c r="I232" s="112"/>
      <c r="J232" s="112"/>
      <c r="K232" s="112"/>
      <c r="L232" s="112"/>
      <c r="M232" s="112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</row>
    <row r="233" spans="1:29" ht="12" customHeight="1">
      <c r="A233" s="108"/>
      <c r="B233" s="109"/>
      <c r="C233" s="109"/>
      <c r="D233" s="109"/>
      <c r="E233" s="109"/>
      <c r="F233" s="109"/>
      <c r="G233" s="111"/>
      <c r="H233" s="111"/>
      <c r="I233" s="112"/>
      <c r="J233" s="112"/>
      <c r="K233" s="112"/>
      <c r="L233" s="112"/>
      <c r="M233" s="112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</row>
    <row r="234" spans="1:29" ht="12" customHeight="1">
      <c r="A234" s="108"/>
      <c r="B234" s="109"/>
      <c r="C234" s="109"/>
      <c r="D234" s="109"/>
      <c r="E234" s="109"/>
      <c r="F234" s="109"/>
      <c r="G234" s="111"/>
      <c r="H234" s="111"/>
      <c r="I234" s="112"/>
      <c r="J234" s="112"/>
      <c r="K234" s="112"/>
      <c r="L234" s="112"/>
      <c r="M234" s="112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</row>
    <row r="235" spans="1:29" ht="12" customHeight="1">
      <c r="A235" s="108"/>
      <c r="B235" s="109"/>
      <c r="C235" s="109"/>
      <c r="D235" s="109"/>
      <c r="E235" s="109"/>
      <c r="F235" s="109"/>
      <c r="G235" s="111"/>
      <c r="H235" s="111"/>
      <c r="I235" s="112"/>
      <c r="J235" s="112"/>
      <c r="K235" s="112"/>
      <c r="L235" s="112"/>
      <c r="M235" s="112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</row>
    <row r="236" spans="1:29" ht="12" customHeight="1">
      <c r="A236" s="108"/>
      <c r="B236" s="109"/>
      <c r="C236" s="109"/>
      <c r="D236" s="109"/>
      <c r="E236" s="109"/>
      <c r="F236" s="109"/>
      <c r="G236" s="111"/>
      <c r="H236" s="111"/>
      <c r="I236" s="112"/>
      <c r="J236" s="112"/>
      <c r="K236" s="112"/>
      <c r="L236" s="112"/>
      <c r="M236" s="112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</row>
    <row r="237" spans="1:29" ht="12" customHeight="1">
      <c r="A237" s="108"/>
      <c r="B237" s="109"/>
      <c r="C237" s="109"/>
      <c r="D237" s="109"/>
      <c r="E237" s="109"/>
      <c r="F237" s="109"/>
      <c r="G237" s="111"/>
      <c r="H237" s="111"/>
      <c r="I237" s="112"/>
      <c r="J237" s="112"/>
      <c r="K237" s="112"/>
      <c r="L237" s="112"/>
      <c r="M237" s="112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</row>
    <row r="238" spans="1:29" ht="12" customHeight="1">
      <c r="A238" s="108"/>
      <c r="B238" s="109"/>
      <c r="C238" s="109"/>
      <c r="D238" s="109"/>
      <c r="E238" s="109"/>
      <c r="F238" s="109"/>
      <c r="G238" s="111"/>
      <c r="H238" s="111"/>
      <c r="I238" s="112"/>
      <c r="J238" s="112"/>
      <c r="K238" s="112"/>
      <c r="L238" s="112"/>
      <c r="M238" s="112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</row>
    <row r="239" spans="1:29" ht="12" customHeight="1">
      <c r="A239" s="108"/>
      <c r="B239" s="109"/>
      <c r="C239" s="109"/>
      <c r="D239" s="109"/>
      <c r="E239" s="109"/>
      <c r="F239" s="109"/>
      <c r="G239" s="111"/>
      <c r="H239" s="111"/>
      <c r="I239" s="112"/>
      <c r="J239" s="112"/>
      <c r="K239" s="112"/>
      <c r="L239" s="112"/>
      <c r="M239" s="112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</row>
    <row r="240" spans="1:29" ht="12" customHeight="1">
      <c r="A240" s="108"/>
      <c r="B240" s="109"/>
      <c r="C240" s="109"/>
      <c r="D240" s="109"/>
      <c r="E240" s="109"/>
      <c r="F240" s="109"/>
      <c r="G240" s="111"/>
      <c r="H240" s="111"/>
      <c r="I240" s="112"/>
      <c r="J240" s="112"/>
      <c r="K240" s="112"/>
      <c r="L240" s="112"/>
      <c r="M240" s="112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</row>
    <row r="241" spans="1:29" ht="12" customHeight="1">
      <c r="A241" s="108"/>
      <c r="B241" s="109"/>
      <c r="C241" s="109"/>
      <c r="D241" s="109"/>
      <c r="E241" s="109"/>
      <c r="F241" s="109"/>
      <c r="G241" s="111"/>
      <c r="H241" s="111"/>
      <c r="I241" s="112"/>
      <c r="J241" s="112"/>
      <c r="K241" s="112"/>
      <c r="L241" s="112"/>
      <c r="M241" s="112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</row>
    <row r="242" spans="1:29" ht="12" customHeight="1">
      <c r="A242" s="108"/>
      <c r="B242" s="109"/>
      <c r="C242" s="109"/>
      <c r="D242" s="109"/>
      <c r="E242" s="109"/>
      <c r="F242" s="109"/>
      <c r="G242" s="111"/>
      <c r="H242" s="111"/>
      <c r="I242" s="112"/>
      <c r="J242" s="112"/>
      <c r="K242" s="112"/>
      <c r="L242" s="112"/>
      <c r="M242" s="112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</row>
    <row r="243" spans="1:29" ht="12" customHeight="1">
      <c r="A243" s="108"/>
      <c r="B243" s="109"/>
      <c r="C243" s="109"/>
      <c r="D243" s="109"/>
      <c r="E243" s="109"/>
      <c r="F243" s="109"/>
      <c r="G243" s="111"/>
      <c r="H243" s="111"/>
      <c r="I243" s="112"/>
      <c r="J243" s="112"/>
      <c r="K243" s="112"/>
      <c r="L243" s="112"/>
      <c r="M243" s="112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</row>
    <row r="244" spans="1:29" ht="12" customHeight="1">
      <c r="A244" s="108"/>
      <c r="B244" s="109"/>
      <c r="C244" s="109"/>
      <c r="D244" s="109"/>
      <c r="E244" s="109"/>
      <c r="F244" s="109"/>
      <c r="G244" s="111"/>
      <c r="H244" s="111"/>
      <c r="I244" s="112"/>
      <c r="J244" s="112"/>
      <c r="K244" s="112"/>
      <c r="L244" s="112"/>
      <c r="M244" s="112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</row>
    <row r="245" spans="1:29" ht="12" customHeight="1">
      <c r="A245" s="108"/>
      <c r="B245" s="109"/>
      <c r="C245" s="109"/>
      <c r="D245" s="109"/>
      <c r="E245" s="109"/>
      <c r="F245" s="109"/>
      <c r="G245" s="111"/>
      <c r="H245" s="111"/>
      <c r="I245" s="112"/>
      <c r="J245" s="112"/>
      <c r="K245" s="112"/>
      <c r="L245" s="112"/>
      <c r="M245" s="112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</row>
    <row r="246" spans="1:29" ht="12" customHeight="1">
      <c r="A246" s="108"/>
      <c r="B246" s="109"/>
      <c r="C246" s="109"/>
      <c r="D246" s="109"/>
      <c r="E246" s="109"/>
      <c r="F246" s="109"/>
      <c r="G246" s="111"/>
      <c r="H246" s="111"/>
      <c r="I246" s="112"/>
      <c r="J246" s="112"/>
      <c r="K246" s="112"/>
      <c r="L246" s="112"/>
      <c r="M246" s="112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</row>
    <row r="247" spans="1:29" ht="12" customHeight="1">
      <c r="A247" s="108"/>
      <c r="B247" s="109"/>
      <c r="C247" s="109"/>
      <c r="D247" s="109"/>
      <c r="E247" s="109"/>
      <c r="F247" s="109"/>
      <c r="G247" s="111"/>
      <c r="H247" s="111"/>
      <c r="I247" s="112"/>
      <c r="J247" s="112"/>
      <c r="K247" s="112"/>
      <c r="L247" s="112"/>
      <c r="M247" s="112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</row>
    <row r="248" spans="1:29" ht="12" customHeight="1">
      <c r="A248" s="108"/>
      <c r="B248" s="109"/>
      <c r="C248" s="109"/>
      <c r="D248" s="109"/>
      <c r="E248" s="109"/>
      <c r="F248" s="109"/>
      <c r="G248" s="111"/>
      <c r="H248" s="111"/>
      <c r="I248" s="112"/>
      <c r="J248" s="112"/>
      <c r="K248" s="112"/>
      <c r="L248" s="112"/>
      <c r="M248" s="112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</row>
    <row r="249" spans="1:29" ht="12" customHeight="1">
      <c r="A249" s="108"/>
      <c r="B249" s="109"/>
      <c r="C249" s="109"/>
      <c r="D249" s="109"/>
      <c r="E249" s="109"/>
      <c r="F249" s="109"/>
      <c r="G249" s="111"/>
      <c r="H249" s="111"/>
      <c r="I249" s="112"/>
      <c r="J249" s="112"/>
      <c r="K249" s="112"/>
      <c r="L249" s="112"/>
      <c r="M249" s="112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</row>
    <row r="250" spans="1:29" ht="12" customHeight="1">
      <c r="A250" s="108"/>
      <c r="B250" s="109"/>
      <c r="C250" s="109"/>
      <c r="D250" s="109"/>
      <c r="E250" s="109"/>
      <c r="F250" s="109"/>
      <c r="G250" s="111"/>
      <c r="H250" s="111"/>
      <c r="I250" s="112"/>
      <c r="J250" s="112"/>
      <c r="K250" s="112"/>
      <c r="L250" s="112"/>
      <c r="M250" s="112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</row>
    <row r="251" spans="1:29" ht="12" customHeight="1">
      <c r="A251" s="108"/>
      <c r="B251" s="109"/>
      <c r="C251" s="109"/>
      <c r="D251" s="109"/>
      <c r="E251" s="109"/>
      <c r="F251" s="109"/>
      <c r="G251" s="111"/>
      <c r="H251" s="111"/>
      <c r="I251" s="112"/>
      <c r="J251" s="112"/>
      <c r="K251" s="112"/>
      <c r="L251" s="112"/>
      <c r="M251" s="112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</row>
    <row r="252" spans="1:29" ht="12" customHeight="1">
      <c r="A252" s="108"/>
      <c r="B252" s="109"/>
      <c r="C252" s="109"/>
      <c r="D252" s="109"/>
      <c r="E252" s="109"/>
      <c r="F252" s="109"/>
      <c r="G252" s="111"/>
      <c r="H252" s="111"/>
      <c r="I252" s="112"/>
      <c r="J252" s="112"/>
      <c r="K252" s="112"/>
      <c r="L252" s="112"/>
      <c r="M252" s="112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</row>
    <row r="253" spans="1:29" ht="12" customHeight="1">
      <c r="A253" s="108"/>
      <c r="B253" s="109"/>
      <c r="C253" s="109"/>
      <c r="D253" s="109"/>
      <c r="E253" s="109"/>
      <c r="F253" s="109"/>
      <c r="G253" s="111"/>
      <c r="H253" s="111"/>
      <c r="I253" s="112"/>
      <c r="J253" s="112"/>
      <c r="K253" s="112"/>
      <c r="L253" s="112"/>
      <c r="M253" s="112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</row>
    <row r="254" spans="1:29" ht="12" customHeight="1">
      <c r="A254" s="108"/>
      <c r="B254" s="109"/>
      <c r="C254" s="109"/>
      <c r="D254" s="109"/>
      <c r="E254" s="109"/>
      <c r="F254" s="109"/>
      <c r="G254" s="111"/>
      <c r="H254" s="111"/>
      <c r="I254" s="112"/>
      <c r="J254" s="112"/>
      <c r="K254" s="112"/>
      <c r="L254" s="112"/>
      <c r="M254" s="112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</row>
    <row r="255" spans="1:29" ht="12" customHeight="1">
      <c r="A255" s="108"/>
      <c r="B255" s="109"/>
      <c r="C255" s="109"/>
      <c r="D255" s="109"/>
      <c r="E255" s="109"/>
      <c r="F255" s="109"/>
      <c r="G255" s="111"/>
      <c r="H255" s="111"/>
      <c r="I255" s="112"/>
      <c r="J255" s="112"/>
      <c r="K255" s="112"/>
      <c r="L255" s="112"/>
      <c r="M255" s="112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</row>
    <row r="256" spans="1:29" ht="12" customHeight="1">
      <c r="A256" s="108"/>
      <c r="B256" s="109"/>
      <c r="C256" s="109"/>
      <c r="D256" s="109"/>
      <c r="E256" s="109"/>
      <c r="F256" s="109"/>
      <c r="G256" s="111"/>
      <c r="H256" s="111"/>
      <c r="I256" s="112"/>
      <c r="J256" s="112"/>
      <c r="K256" s="112"/>
      <c r="L256" s="112"/>
      <c r="M256" s="112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</row>
    <row r="257" spans="1:29" ht="12" customHeight="1">
      <c r="A257" s="108"/>
      <c r="B257" s="109"/>
      <c r="C257" s="109"/>
      <c r="D257" s="109"/>
      <c r="E257" s="109"/>
      <c r="F257" s="109"/>
      <c r="G257" s="111"/>
      <c r="H257" s="111"/>
      <c r="I257" s="112"/>
      <c r="J257" s="112"/>
      <c r="K257" s="112"/>
      <c r="L257" s="112"/>
      <c r="M257" s="112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</row>
    <row r="258" spans="1:29" ht="12" customHeight="1">
      <c r="A258" s="108"/>
      <c r="B258" s="109"/>
      <c r="C258" s="109"/>
      <c r="D258" s="109"/>
      <c r="E258" s="109"/>
      <c r="F258" s="109"/>
      <c r="G258" s="111"/>
      <c r="H258" s="111"/>
      <c r="I258" s="112"/>
      <c r="J258" s="112"/>
      <c r="K258" s="112"/>
      <c r="L258" s="112"/>
      <c r="M258" s="112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</row>
    <row r="259" spans="1:29" ht="12" customHeight="1">
      <c r="A259" s="108"/>
      <c r="B259" s="109"/>
      <c r="C259" s="109"/>
      <c r="D259" s="109"/>
      <c r="E259" s="109"/>
      <c r="F259" s="109"/>
      <c r="G259" s="111"/>
      <c r="H259" s="111"/>
      <c r="I259" s="112"/>
      <c r="J259" s="112"/>
      <c r="K259" s="112"/>
      <c r="L259" s="112"/>
      <c r="M259" s="112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</row>
    <row r="260" spans="1:29" ht="12" customHeight="1">
      <c r="A260" s="108"/>
      <c r="B260" s="109"/>
      <c r="C260" s="109"/>
      <c r="D260" s="109"/>
      <c r="E260" s="109"/>
      <c r="F260" s="109"/>
      <c r="G260" s="111"/>
      <c r="H260" s="111"/>
      <c r="I260" s="112"/>
      <c r="J260" s="112"/>
      <c r="K260" s="112"/>
      <c r="L260" s="112"/>
      <c r="M260" s="112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</row>
    <row r="261" spans="1:29" ht="12" customHeight="1">
      <c r="A261" s="108"/>
      <c r="B261" s="109"/>
      <c r="C261" s="109"/>
      <c r="D261" s="109"/>
      <c r="E261" s="109"/>
      <c r="F261" s="109"/>
      <c r="G261" s="111"/>
      <c r="H261" s="111"/>
      <c r="I261" s="112"/>
      <c r="J261" s="112"/>
      <c r="K261" s="112"/>
      <c r="L261" s="112"/>
      <c r="M261" s="112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</row>
    <row r="262" spans="1:29" ht="12" customHeight="1">
      <c r="A262" s="108"/>
      <c r="B262" s="109"/>
      <c r="C262" s="109"/>
      <c r="D262" s="109"/>
      <c r="E262" s="109"/>
      <c r="F262" s="109"/>
      <c r="G262" s="111"/>
      <c r="H262" s="111"/>
      <c r="I262" s="112"/>
      <c r="J262" s="112"/>
      <c r="K262" s="112"/>
      <c r="L262" s="112"/>
      <c r="M262" s="112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</row>
    <row r="263" spans="1:29" ht="12" customHeight="1">
      <c r="A263" s="108"/>
      <c r="B263" s="109"/>
      <c r="C263" s="109"/>
      <c r="D263" s="109"/>
      <c r="E263" s="109"/>
      <c r="F263" s="109"/>
      <c r="G263" s="111"/>
      <c r="H263" s="111"/>
      <c r="I263" s="112"/>
      <c r="J263" s="112"/>
      <c r="K263" s="112"/>
      <c r="L263" s="112"/>
      <c r="M263" s="112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</row>
    <row r="264" spans="1:29" ht="12" customHeight="1">
      <c r="A264" s="108"/>
      <c r="B264" s="109"/>
      <c r="C264" s="109"/>
      <c r="D264" s="109"/>
      <c r="E264" s="109"/>
      <c r="F264" s="109"/>
      <c r="G264" s="111"/>
      <c r="H264" s="111"/>
      <c r="I264" s="112"/>
      <c r="J264" s="112"/>
      <c r="K264" s="112"/>
      <c r="L264" s="112"/>
      <c r="M264" s="112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</row>
    <row r="265" spans="1:29" ht="12" customHeight="1">
      <c r="A265" s="108"/>
      <c r="B265" s="109"/>
      <c r="C265" s="109"/>
      <c r="D265" s="109"/>
      <c r="E265" s="109"/>
      <c r="F265" s="109"/>
      <c r="G265" s="111"/>
      <c r="H265" s="111"/>
      <c r="I265" s="112"/>
      <c r="J265" s="112"/>
      <c r="K265" s="112"/>
      <c r="L265" s="112"/>
      <c r="M265" s="112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</row>
    <row r="266" spans="1:29" ht="12" customHeight="1">
      <c r="A266" s="108"/>
      <c r="B266" s="109"/>
      <c r="C266" s="109"/>
      <c r="D266" s="109"/>
      <c r="E266" s="109"/>
      <c r="F266" s="109"/>
      <c r="G266" s="111"/>
      <c r="H266" s="111"/>
      <c r="I266" s="112"/>
      <c r="J266" s="112"/>
      <c r="K266" s="112"/>
      <c r="L266" s="112"/>
      <c r="M266" s="112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</row>
    <row r="267" spans="1:29" ht="12" customHeight="1">
      <c r="A267" s="108"/>
      <c r="B267" s="109"/>
      <c r="C267" s="109"/>
      <c r="D267" s="109"/>
      <c r="E267" s="109"/>
      <c r="F267" s="109"/>
      <c r="G267" s="111"/>
      <c r="H267" s="111"/>
      <c r="I267" s="112"/>
      <c r="J267" s="112"/>
      <c r="K267" s="112"/>
      <c r="L267" s="112"/>
      <c r="M267" s="112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</row>
    <row r="268" spans="1:29" ht="12" customHeight="1">
      <c r="A268" s="108"/>
      <c r="B268" s="109"/>
      <c r="C268" s="109"/>
      <c r="D268" s="109"/>
      <c r="E268" s="109"/>
      <c r="F268" s="109"/>
      <c r="G268" s="111"/>
      <c r="H268" s="111"/>
      <c r="I268" s="112"/>
      <c r="J268" s="112"/>
      <c r="K268" s="112"/>
      <c r="L268" s="112"/>
      <c r="M268" s="112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</row>
    <row r="269" spans="1:29" ht="12" customHeight="1">
      <c r="A269" s="108"/>
      <c r="B269" s="109"/>
      <c r="C269" s="109"/>
      <c r="D269" s="109"/>
      <c r="E269" s="109"/>
      <c r="F269" s="109"/>
      <c r="G269" s="111"/>
      <c r="H269" s="111"/>
      <c r="I269" s="112"/>
      <c r="J269" s="112"/>
      <c r="K269" s="112"/>
      <c r="L269" s="112"/>
      <c r="M269" s="112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</row>
    <row r="270" spans="1:29" ht="12" customHeight="1">
      <c r="A270" s="108"/>
      <c r="B270" s="109"/>
      <c r="C270" s="109"/>
      <c r="D270" s="109"/>
      <c r="E270" s="109"/>
      <c r="F270" s="109"/>
      <c r="G270" s="111"/>
      <c r="H270" s="111"/>
      <c r="I270" s="112"/>
      <c r="J270" s="112"/>
      <c r="K270" s="112"/>
      <c r="L270" s="112"/>
      <c r="M270" s="112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</row>
    <row r="271" spans="1:29" ht="12" customHeight="1">
      <c r="A271" s="108"/>
      <c r="B271" s="109"/>
      <c r="C271" s="109"/>
      <c r="D271" s="109"/>
      <c r="E271" s="109"/>
      <c r="F271" s="109"/>
      <c r="G271" s="111"/>
      <c r="H271" s="111"/>
      <c r="I271" s="112"/>
      <c r="J271" s="112"/>
      <c r="K271" s="112"/>
      <c r="L271" s="112"/>
      <c r="M271" s="112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</row>
    <row r="272" spans="1:29" ht="12" customHeight="1">
      <c r="A272" s="108"/>
      <c r="B272" s="109"/>
      <c r="C272" s="109"/>
      <c r="D272" s="109"/>
      <c r="E272" s="109"/>
      <c r="F272" s="109"/>
      <c r="G272" s="111"/>
      <c r="H272" s="111"/>
      <c r="I272" s="112"/>
      <c r="J272" s="112"/>
      <c r="K272" s="112"/>
      <c r="L272" s="112"/>
      <c r="M272" s="112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</row>
    <row r="273" spans="1:29" ht="12" customHeight="1">
      <c r="A273" s="108"/>
      <c r="B273" s="109"/>
      <c r="C273" s="109"/>
      <c r="D273" s="109"/>
      <c r="E273" s="109"/>
      <c r="F273" s="109"/>
      <c r="G273" s="111"/>
      <c r="H273" s="111"/>
      <c r="I273" s="112"/>
      <c r="J273" s="112"/>
      <c r="K273" s="112"/>
      <c r="L273" s="112"/>
      <c r="M273" s="112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</row>
    <row r="274" spans="1:29" ht="12" customHeight="1">
      <c r="A274" s="108"/>
      <c r="B274" s="109"/>
      <c r="C274" s="109"/>
      <c r="D274" s="109"/>
      <c r="E274" s="109"/>
      <c r="F274" s="109"/>
      <c r="G274" s="111"/>
      <c r="H274" s="111"/>
      <c r="I274" s="112"/>
      <c r="J274" s="112"/>
      <c r="K274" s="112"/>
      <c r="L274" s="112"/>
      <c r="M274" s="112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</row>
    <row r="275" spans="1:29" ht="12" customHeight="1">
      <c r="A275" s="108"/>
      <c r="B275" s="109"/>
      <c r="C275" s="109"/>
      <c r="D275" s="109"/>
      <c r="E275" s="109"/>
      <c r="F275" s="109"/>
      <c r="G275" s="111"/>
      <c r="H275" s="111"/>
      <c r="I275" s="112"/>
      <c r="J275" s="112"/>
      <c r="K275" s="112"/>
      <c r="L275" s="112"/>
      <c r="M275" s="112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</row>
    <row r="276" spans="1:29" ht="12" customHeight="1">
      <c r="A276" s="108"/>
      <c r="B276" s="109"/>
      <c r="C276" s="109"/>
      <c r="D276" s="109"/>
      <c r="E276" s="109"/>
      <c r="F276" s="109"/>
      <c r="G276" s="111"/>
      <c r="H276" s="111"/>
      <c r="I276" s="112"/>
      <c r="J276" s="112"/>
      <c r="K276" s="112"/>
      <c r="L276" s="112"/>
      <c r="M276" s="112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</row>
    <row r="277" spans="1:29" ht="12" customHeight="1">
      <c r="A277" s="108"/>
      <c r="B277" s="109"/>
      <c r="C277" s="109"/>
      <c r="D277" s="109"/>
      <c r="E277" s="109"/>
      <c r="F277" s="109"/>
      <c r="G277" s="111"/>
      <c r="H277" s="111"/>
      <c r="I277" s="112"/>
      <c r="J277" s="112"/>
      <c r="K277" s="112"/>
      <c r="L277" s="112"/>
      <c r="M277" s="112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</row>
    <row r="278" spans="1:29" ht="12" customHeight="1">
      <c r="A278" s="108"/>
      <c r="B278" s="109"/>
      <c r="C278" s="109"/>
      <c r="D278" s="109"/>
      <c r="E278" s="109"/>
      <c r="F278" s="109"/>
      <c r="G278" s="111"/>
      <c r="H278" s="111"/>
      <c r="I278" s="112"/>
      <c r="J278" s="112"/>
      <c r="K278" s="112"/>
      <c r="L278" s="112"/>
      <c r="M278" s="112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</row>
    <row r="279" spans="1:29" ht="12" customHeight="1">
      <c r="A279" s="108"/>
      <c r="B279" s="109"/>
      <c r="C279" s="109"/>
      <c r="D279" s="109"/>
      <c r="E279" s="109"/>
      <c r="F279" s="109"/>
      <c r="G279" s="111"/>
      <c r="H279" s="111"/>
      <c r="I279" s="112"/>
      <c r="J279" s="112"/>
      <c r="K279" s="112"/>
      <c r="L279" s="112"/>
      <c r="M279" s="112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</row>
    <row r="280" spans="1:29" ht="12" customHeight="1">
      <c r="A280" s="108"/>
      <c r="B280" s="109"/>
      <c r="C280" s="109"/>
      <c r="D280" s="109"/>
      <c r="E280" s="109"/>
      <c r="F280" s="109"/>
      <c r="G280" s="111"/>
      <c r="H280" s="111"/>
      <c r="I280" s="112"/>
      <c r="J280" s="112"/>
      <c r="K280" s="112"/>
      <c r="L280" s="112"/>
      <c r="M280" s="112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</row>
    <row r="281" spans="1:29" ht="12" customHeight="1">
      <c r="A281" s="108"/>
      <c r="B281" s="109"/>
      <c r="C281" s="109"/>
      <c r="D281" s="109"/>
      <c r="E281" s="109"/>
      <c r="F281" s="109"/>
      <c r="G281" s="111"/>
      <c r="H281" s="111"/>
      <c r="I281" s="112"/>
      <c r="J281" s="112"/>
      <c r="K281" s="112"/>
      <c r="L281" s="112"/>
      <c r="M281" s="112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</row>
    <row r="282" spans="1:29" ht="12" customHeight="1">
      <c r="A282" s="108"/>
      <c r="B282" s="109"/>
      <c r="C282" s="109"/>
      <c r="D282" s="109"/>
      <c r="E282" s="109"/>
      <c r="F282" s="109"/>
      <c r="G282" s="111"/>
      <c r="H282" s="111"/>
      <c r="I282" s="112"/>
      <c r="J282" s="112"/>
      <c r="K282" s="112"/>
      <c r="L282" s="112"/>
      <c r="M282" s="112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</row>
    <row r="283" spans="1:29" ht="12" customHeight="1">
      <c r="A283" s="108"/>
      <c r="B283" s="109"/>
      <c r="C283" s="109"/>
      <c r="D283" s="109"/>
      <c r="E283" s="109"/>
      <c r="F283" s="109"/>
      <c r="G283" s="111"/>
      <c r="H283" s="111"/>
      <c r="I283" s="112"/>
      <c r="J283" s="112"/>
      <c r="K283" s="112"/>
      <c r="L283" s="112"/>
      <c r="M283" s="112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</row>
    <row r="284" spans="1:29" ht="12" customHeight="1">
      <c r="A284" s="108"/>
      <c r="B284" s="109"/>
      <c r="C284" s="109"/>
      <c r="D284" s="109"/>
      <c r="E284" s="109"/>
      <c r="F284" s="109"/>
      <c r="G284" s="111"/>
      <c r="H284" s="111"/>
      <c r="I284" s="112"/>
      <c r="J284" s="112"/>
      <c r="K284" s="112"/>
      <c r="L284" s="112"/>
      <c r="M284" s="112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</row>
    <row r="285" spans="1:29" ht="12" customHeight="1">
      <c r="A285" s="108"/>
      <c r="B285" s="109"/>
      <c r="C285" s="109"/>
      <c r="D285" s="109"/>
      <c r="E285" s="109"/>
      <c r="F285" s="109"/>
      <c r="G285" s="111"/>
      <c r="H285" s="111"/>
      <c r="I285" s="112"/>
      <c r="J285" s="112"/>
      <c r="K285" s="112"/>
      <c r="L285" s="112"/>
      <c r="M285" s="112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</row>
    <row r="286" spans="1:29" ht="12" customHeight="1">
      <c r="A286" s="108"/>
      <c r="B286" s="109"/>
      <c r="C286" s="109"/>
      <c r="D286" s="109"/>
      <c r="E286" s="109"/>
      <c r="F286" s="109"/>
      <c r="G286" s="111"/>
      <c r="H286" s="111"/>
      <c r="I286" s="112"/>
      <c r="J286" s="112"/>
      <c r="K286" s="112"/>
      <c r="L286" s="112"/>
      <c r="M286" s="112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</row>
    <row r="287" spans="1:29" ht="12" customHeight="1">
      <c r="A287" s="108"/>
      <c r="B287" s="109"/>
      <c r="C287" s="109"/>
      <c r="D287" s="109"/>
      <c r="E287" s="109"/>
      <c r="F287" s="109"/>
      <c r="G287" s="111"/>
      <c r="H287" s="111"/>
      <c r="I287" s="112"/>
      <c r="J287" s="112"/>
      <c r="K287" s="112"/>
      <c r="L287" s="112"/>
      <c r="M287" s="112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</row>
    <row r="288" spans="1:29" ht="12" customHeight="1">
      <c r="A288" s="108"/>
      <c r="B288" s="109"/>
      <c r="C288" s="109"/>
      <c r="D288" s="109"/>
      <c r="E288" s="109"/>
      <c r="F288" s="109"/>
      <c r="G288" s="111"/>
      <c r="H288" s="111"/>
      <c r="I288" s="112"/>
      <c r="J288" s="112"/>
      <c r="K288" s="112"/>
      <c r="L288" s="112"/>
      <c r="M288" s="112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</row>
    <row r="289" spans="1:29" ht="12" customHeight="1">
      <c r="A289" s="108"/>
      <c r="B289" s="109"/>
      <c r="C289" s="109"/>
      <c r="D289" s="109"/>
      <c r="E289" s="109"/>
      <c r="F289" s="109"/>
      <c r="G289" s="111"/>
      <c r="H289" s="111"/>
      <c r="I289" s="112"/>
      <c r="J289" s="112"/>
      <c r="K289" s="112"/>
      <c r="L289" s="112"/>
      <c r="M289" s="112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</row>
    <row r="290" spans="1:29" ht="12" customHeight="1">
      <c r="A290" s="108"/>
      <c r="B290" s="109"/>
      <c r="C290" s="109"/>
      <c r="D290" s="109"/>
      <c r="E290" s="109"/>
      <c r="F290" s="109"/>
      <c r="G290" s="111"/>
      <c r="H290" s="111"/>
      <c r="I290" s="112"/>
      <c r="J290" s="112"/>
      <c r="K290" s="112"/>
      <c r="L290" s="112"/>
      <c r="M290" s="112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</row>
    <row r="291" spans="1:29" ht="12" customHeight="1">
      <c r="A291" s="108"/>
      <c r="B291" s="109"/>
      <c r="C291" s="109"/>
      <c r="D291" s="109"/>
      <c r="E291" s="109"/>
      <c r="F291" s="109"/>
      <c r="G291" s="111"/>
      <c r="H291" s="111"/>
      <c r="I291" s="112"/>
      <c r="J291" s="112"/>
      <c r="K291" s="112"/>
      <c r="L291" s="112"/>
      <c r="M291" s="112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</row>
    <row r="292" spans="1:29" ht="12" customHeight="1">
      <c r="A292" s="108"/>
      <c r="B292" s="109"/>
      <c r="C292" s="109"/>
      <c r="D292" s="109"/>
      <c r="E292" s="109"/>
      <c r="F292" s="109"/>
      <c r="G292" s="111"/>
      <c r="H292" s="111"/>
      <c r="I292" s="112"/>
      <c r="J292" s="112"/>
      <c r="K292" s="112"/>
      <c r="L292" s="112"/>
      <c r="M292" s="112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</row>
    <row r="293" spans="1:29" ht="12" customHeight="1">
      <c r="A293" s="108"/>
      <c r="B293" s="109"/>
      <c r="C293" s="109"/>
      <c r="D293" s="109"/>
      <c r="E293" s="109"/>
      <c r="F293" s="109"/>
      <c r="G293" s="111"/>
      <c r="H293" s="111"/>
      <c r="I293" s="112"/>
      <c r="J293" s="112"/>
      <c r="K293" s="112"/>
      <c r="L293" s="112"/>
      <c r="M293" s="112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</row>
    <row r="294" spans="1:29" ht="12" customHeight="1">
      <c r="A294" s="108"/>
      <c r="B294" s="109"/>
      <c r="C294" s="109"/>
      <c r="D294" s="109"/>
      <c r="E294" s="109"/>
      <c r="F294" s="109"/>
      <c r="G294" s="111"/>
      <c r="H294" s="111"/>
      <c r="I294" s="112"/>
      <c r="J294" s="112"/>
      <c r="K294" s="112"/>
      <c r="L294" s="112"/>
      <c r="M294" s="112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</row>
    <row r="295" spans="1:29" ht="12" customHeight="1">
      <c r="A295" s="108"/>
      <c r="B295" s="109"/>
      <c r="C295" s="109"/>
      <c r="D295" s="109"/>
      <c r="E295" s="109"/>
      <c r="F295" s="109"/>
      <c r="G295" s="111"/>
      <c r="H295" s="111"/>
      <c r="I295" s="112"/>
      <c r="J295" s="112"/>
      <c r="K295" s="112"/>
      <c r="L295" s="112"/>
      <c r="M295" s="112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</row>
    <row r="296" spans="1:29" ht="12" customHeight="1">
      <c r="A296" s="108"/>
      <c r="B296" s="109"/>
      <c r="C296" s="109"/>
      <c r="D296" s="109"/>
      <c r="E296" s="109"/>
      <c r="F296" s="109"/>
      <c r="G296" s="111"/>
      <c r="H296" s="111"/>
      <c r="I296" s="112"/>
      <c r="J296" s="112"/>
      <c r="K296" s="112"/>
      <c r="L296" s="112"/>
      <c r="M296" s="112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</row>
    <row r="297" spans="1:29" ht="12" customHeight="1">
      <c r="A297" s="108"/>
      <c r="B297" s="109"/>
      <c r="C297" s="109"/>
      <c r="D297" s="109"/>
      <c r="E297" s="109"/>
      <c r="F297" s="109"/>
      <c r="G297" s="111"/>
      <c r="H297" s="111"/>
      <c r="I297" s="112"/>
      <c r="J297" s="112"/>
      <c r="K297" s="112"/>
      <c r="L297" s="112"/>
      <c r="M297" s="112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</row>
    <row r="298" spans="1:29" ht="12" customHeight="1">
      <c r="A298" s="108"/>
      <c r="B298" s="109"/>
      <c r="C298" s="109"/>
      <c r="D298" s="109"/>
      <c r="E298" s="109"/>
      <c r="F298" s="109"/>
      <c r="G298" s="111"/>
      <c r="H298" s="111"/>
      <c r="I298" s="112"/>
      <c r="J298" s="112"/>
      <c r="K298" s="112"/>
      <c r="L298" s="112"/>
      <c r="M298" s="112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</row>
    <row r="299" spans="1:29" ht="12" customHeight="1">
      <c r="A299" s="108"/>
      <c r="B299" s="109"/>
      <c r="C299" s="109"/>
      <c r="D299" s="109"/>
      <c r="E299" s="109"/>
      <c r="F299" s="109"/>
      <c r="G299" s="111"/>
      <c r="H299" s="111"/>
      <c r="I299" s="112"/>
      <c r="J299" s="112"/>
      <c r="K299" s="112"/>
      <c r="L299" s="112"/>
      <c r="M299" s="112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</row>
    <row r="300" spans="1:29" ht="12" customHeight="1">
      <c r="A300" s="108"/>
      <c r="B300" s="109"/>
      <c r="C300" s="109"/>
      <c r="D300" s="109"/>
      <c r="E300" s="109"/>
      <c r="F300" s="109"/>
      <c r="G300" s="111"/>
      <c r="H300" s="111"/>
      <c r="I300" s="112"/>
      <c r="J300" s="112"/>
      <c r="K300" s="112"/>
      <c r="L300" s="112"/>
      <c r="M300" s="112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</row>
    <row r="301" spans="1:29" ht="12" customHeight="1">
      <c r="A301" s="108"/>
      <c r="B301" s="109"/>
      <c r="C301" s="109"/>
      <c r="D301" s="109"/>
      <c r="E301" s="109"/>
      <c r="F301" s="109"/>
      <c r="G301" s="111"/>
      <c r="H301" s="111"/>
      <c r="I301" s="112"/>
      <c r="J301" s="112"/>
      <c r="K301" s="112"/>
      <c r="L301" s="112"/>
      <c r="M301" s="112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</row>
    <row r="302" spans="1:29" ht="12" customHeight="1">
      <c r="A302" s="108"/>
      <c r="B302" s="109"/>
      <c r="C302" s="109"/>
      <c r="D302" s="109"/>
      <c r="E302" s="109"/>
      <c r="F302" s="109"/>
      <c r="G302" s="111"/>
      <c r="H302" s="111"/>
      <c r="I302" s="112"/>
      <c r="J302" s="112"/>
      <c r="K302" s="112"/>
      <c r="L302" s="112"/>
      <c r="M302" s="112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</row>
    <row r="303" spans="1:29" ht="12" customHeight="1">
      <c r="A303" s="108"/>
      <c r="B303" s="109"/>
      <c r="C303" s="109"/>
      <c r="D303" s="109"/>
      <c r="E303" s="109"/>
      <c r="F303" s="109"/>
      <c r="G303" s="111"/>
      <c r="H303" s="111"/>
      <c r="I303" s="112"/>
      <c r="J303" s="112"/>
      <c r="K303" s="112"/>
      <c r="L303" s="112"/>
      <c r="M303" s="112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</row>
    <row r="304" spans="1:29" ht="12" customHeight="1">
      <c r="A304" s="108"/>
      <c r="B304" s="109"/>
      <c r="C304" s="109"/>
      <c r="D304" s="109"/>
      <c r="E304" s="109"/>
      <c r="F304" s="109"/>
      <c r="G304" s="111"/>
      <c r="H304" s="111"/>
      <c r="I304" s="112"/>
      <c r="J304" s="112"/>
      <c r="K304" s="112"/>
      <c r="L304" s="112"/>
      <c r="M304" s="112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</row>
    <row r="305" spans="1:29" ht="12" customHeight="1">
      <c r="A305" s="108"/>
      <c r="B305" s="109"/>
      <c r="C305" s="109"/>
      <c r="D305" s="109"/>
      <c r="E305" s="109"/>
      <c r="F305" s="109"/>
      <c r="G305" s="111"/>
      <c r="H305" s="111"/>
      <c r="I305" s="112"/>
      <c r="J305" s="112"/>
      <c r="K305" s="112"/>
      <c r="L305" s="112"/>
      <c r="M305" s="112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</row>
    <row r="306" spans="1:29" ht="12" customHeight="1">
      <c r="A306" s="108"/>
      <c r="B306" s="109"/>
      <c r="C306" s="109"/>
      <c r="D306" s="109"/>
      <c r="E306" s="109"/>
      <c r="F306" s="109"/>
      <c r="G306" s="111"/>
      <c r="H306" s="111"/>
      <c r="I306" s="112"/>
      <c r="J306" s="112"/>
      <c r="K306" s="112"/>
      <c r="L306" s="112"/>
      <c r="M306" s="112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</row>
    <row r="307" spans="1:29" ht="12" customHeight="1">
      <c r="A307" s="108"/>
      <c r="B307" s="109"/>
      <c r="C307" s="109"/>
      <c r="D307" s="109"/>
      <c r="E307" s="109"/>
      <c r="F307" s="109"/>
      <c r="G307" s="111"/>
      <c r="H307" s="111"/>
      <c r="I307" s="112"/>
      <c r="J307" s="112"/>
      <c r="K307" s="112"/>
      <c r="L307" s="112"/>
      <c r="M307" s="112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</row>
    <row r="308" spans="1:29" ht="12" customHeight="1">
      <c r="A308" s="108"/>
      <c r="B308" s="109"/>
      <c r="C308" s="109"/>
      <c r="D308" s="109"/>
      <c r="E308" s="109"/>
      <c r="F308" s="109"/>
      <c r="G308" s="111"/>
      <c r="H308" s="111"/>
      <c r="I308" s="112"/>
      <c r="J308" s="112"/>
      <c r="K308" s="112"/>
      <c r="L308" s="112"/>
      <c r="M308" s="112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spans="1:29" ht="12" customHeight="1">
      <c r="A309" s="108"/>
      <c r="B309" s="109"/>
      <c r="C309" s="109"/>
      <c r="D309" s="109"/>
      <c r="E309" s="109"/>
      <c r="F309" s="109"/>
      <c r="G309" s="111"/>
      <c r="H309" s="111"/>
      <c r="I309" s="112"/>
      <c r="J309" s="112"/>
      <c r="K309" s="112"/>
      <c r="L309" s="112"/>
      <c r="M309" s="112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</row>
    <row r="310" spans="1:29" ht="12" customHeight="1">
      <c r="A310" s="108"/>
      <c r="B310" s="109"/>
      <c r="C310" s="109"/>
      <c r="D310" s="109"/>
      <c r="E310" s="109"/>
      <c r="F310" s="109"/>
      <c r="G310" s="111"/>
      <c r="H310" s="111"/>
      <c r="I310" s="112"/>
      <c r="J310" s="112"/>
      <c r="K310" s="112"/>
      <c r="L310" s="112"/>
      <c r="M310" s="112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</row>
    <row r="311" spans="1:29" ht="12" customHeight="1">
      <c r="A311" s="108"/>
      <c r="B311" s="109"/>
      <c r="C311" s="109"/>
      <c r="D311" s="109"/>
      <c r="E311" s="109"/>
      <c r="F311" s="109"/>
      <c r="G311" s="111"/>
      <c r="H311" s="111"/>
      <c r="I311" s="112"/>
      <c r="J311" s="112"/>
      <c r="K311" s="112"/>
      <c r="L311" s="112"/>
      <c r="M311" s="112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</row>
    <row r="312" spans="1:29" ht="12" customHeight="1">
      <c r="A312" s="108"/>
      <c r="B312" s="109"/>
      <c r="C312" s="109"/>
      <c r="D312" s="109"/>
      <c r="E312" s="109"/>
      <c r="F312" s="109"/>
      <c r="G312" s="111"/>
      <c r="H312" s="111"/>
      <c r="I312" s="112"/>
      <c r="J312" s="112"/>
      <c r="K312" s="112"/>
      <c r="L312" s="112"/>
      <c r="M312" s="112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</row>
    <row r="313" spans="1:29" ht="12" customHeight="1">
      <c r="A313" s="108"/>
      <c r="B313" s="109"/>
      <c r="C313" s="109"/>
      <c r="D313" s="109"/>
      <c r="E313" s="109"/>
      <c r="F313" s="109"/>
      <c r="G313" s="111"/>
      <c r="H313" s="111"/>
      <c r="I313" s="112"/>
      <c r="J313" s="112"/>
      <c r="K313" s="112"/>
      <c r="L313" s="112"/>
      <c r="M313" s="112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</row>
    <row r="314" spans="1:29" ht="12" customHeight="1">
      <c r="A314" s="108"/>
      <c r="B314" s="109"/>
      <c r="C314" s="109"/>
      <c r="D314" s="109"/>
      <c r="E314" s="109"/>
      <c r="F314" s="109"/>
      <c r="G314" s="111"/>
      <c r="H314" s="111"/>
      <c r="I314" s="112"/>
      <c r="J314" s="112"/>
      <c r="K314" s="112"/>
      <c r="L314" s="112"/>
      <c r="M314" s="112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</row>
    <row r="315" spans="1:29" ht="12" customHeight="1">
      <c r="A315" s="108"/>
      <c r="B315" s="109"/>
      <c r="C315" s="109"/>
      <c r="D315" s="109"/>
      <c r="E315" s="109"/>
      <c r="F315" s="109"/>
      <c r="G315" s="111"/>
      <c r="H315" s="111"/>
      <c r="I315" s="112"/>
      <c r="J315" s="112"/>
      <c r="K315" s="112"/>
      <c r="L315" s="112"/>
      <c r="M315" s="112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</row>
    <row r="316" spans="1:29" ht="12" customHeight="1">
      <c r="A316" s="108"/>
      <c r="B316" s="109"/>
      <c r="C316" s="109"/>
      <c r="D316" s="109"/>
      <c r="E316" s="109"/>
      <c r="F316" s="109"/>
      <c r="G316" s="111"/>
      <c r="H316" s="111"/>
      <c r="I316" s="112"/>
      <c r="J316" s="112"/>
      <c r="K316" s="112"/>
      <c r="L316" s="112"/>
      <c r="M316" s="112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</row>
    <row r="317" spans="1:29" ht="12" customHeight="1">
      <c r="A317" s="108"/>
      <c r="B317" s="109"/>
      <c r="C317" s="109"/>
      <c r="D317" s="109"/>
      <c r="E317" s="109"/>
      <c r="F317" s="109"/>
      <c r="G317" s="111"/>
      <c r="H317" s="111"/>
      <c r="I317" s="112"/>
      <c r="J317" s="112"/>
      <c r="K317" s="112"/>
      <c r="L317" s="112"/>
      <c r="M317" s="112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</row>
    <row r="318" spans="1:29" ht="12" customHeight="1">
      <c r="A318" s="108"/>
      <c r="B318" s="109"/>
      <c r="C318" s="109"/>
      <c r="D318" s="109"/>
      <c r="E318" s="109"/>
      <c r="F318" s="109"/>
      <c r="G318" s="111"/>
      <c r="H318" s="111"/>
      <c r="I318" s="112"/>
      <c r="J318" s="112"/>
      <c r="K318" s="112"/>
      <c r="L318" s="112"/>
      <c r="M318" s="112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</row>
    <row r="319" spans="1:29" ht="12" customHeight="1">
      <c r="A319" s="108"/>
      <c r="B319" s="109"/>
      <c r="C319" s="109"/>
      <c r="D319" s="109"/>
      <c r="E319" s="109"/>
      <c r="F319" s="109"/>
      <c r="G319" s="111"/>
      <c r="H319" s="111"/>
      <c r="I319" s="112"/>
      <c r="J319" s="112"/>
      <c r="K319" s="112"/>
      <c r="L319" s="112"/>
      <c r="M319" s="112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</row>
    <row r="320" spans="1:29" ht="12" customHeight="1">
      <c r="A320" s="108"/>
      <c r="B320" s="109"/>
      <c r="C320" s="109"/>
      <c r="D320" s="109"/>
      <c r="E320" s="109"/>
      <c r="F320" s="109"/>
      <c r="G320" s="111"/>
      <c r="H320" s="111"/>
      <c r="I320" s="112"/>
      <c r="J320" s="112"/>
      <c r="K320" s="112"/>
      <c r="L320" s="112"/>
      <c r="M320" s="112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</row>
    <row r="321" spans="1:29" ht="12" customHeight="1">
      <c r="A321" s="108"/>
      <c r="B321" s="109"/>
      <c r="C321" s="109"/>
      <c r="D321" s="109"/>
      <c r="E321" s="109"/>
      <c r="F321" s="109"/>
      <c r="G321" s="111"/>
      <c r="H321" s="111"/>
      <c r="I321" s="112"/>
      <c r="J321" s="112"/>
      <c r="K321" s="112"/>
      <c r="L321" s="112"/>
      <c r="M321" s="112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</row>
    <row r="322" spans="1:29" ht="12" customHeight="1">
      <c r="A322" s="108"/>
      <c r="B322" s="109"/>
      <c r="C322" s="109"/>
      <c r="D322" s="109"/>
      <c r="E322" s="109"/>
      <c r="F322" s="109"/>
      <c r="G322" s="111"/>
      <c r="H322" s="111"/>
      <c r="I322" s="112"/>
      <c r="J322" s="112"/>
      <c r="K322" s="112"/>
      <c r="L322" s="112"/>
      <c r="M322" s="112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</row>
    <row r="323" spans="1:29" ht="12" customHeight="1">
      <c r="A323" s="108"/>
      <c r="B323" s="109"/>
      <c r="C323" s="109"/>
      <c r="D323" s="109"/>
      <c r="E323" s="109"/>
      <c r="F323" s="109"/>
      <c r="G323" s="111"/>
      <c r="H323" s="111"/>
      <c r="I323" s="112"/>
      <c r="J323" s="112"/>
      <c r="K323" s="112"/>
      <c r="L323" s="112"/>
      <c r="M323" s="112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</row>
    <row r="324" spans="1:29" ht="12" customHeight="1">
      <c r="A324" s="108"/>
      <c r="B324" s="109"/>
      <c r="C324" s="109"/>
      <c r="D324" s="109"/>
      <c r="E324" s="109"/>
      <c r="F324" s="109"/>
      <c r="G324" s="111"/>
      <c r="H324" s="111"/>
      <c r="I324" s="112"/>
      <c r="J324" s="112"/>
      <c r="K324" s="112"/>
      <c r="L324" s="112"/>
      <c r="M324" s="112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</row>
    <row r="325" spans="1:29" ht="12" customHeight="1">
      <c r="A325" s="108"/>
      <c r="B325" s="109"/>
      <c r="C325" s="109"/>
      <c r="D325" s="109"/>
      <c r="E325" s="109"/>
      <c r="F325" s="109"/>
      <c r="G325" s="111"/>
      <c r="H325" s="111"/>
      <c r="I325" s="112"/>
      <c r="J325" s="112"/>
      <c r="K325" s="112"/>
      <c r="L325" s="112"/>
      <c r="M325" s="112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</row>
    <row r="326" spans="1:29" ht="12" customHeight="1">
      <c r="A326" s="108"/>
      <c r="B326" s="109"/>
      <c r="C326" s="109"/>
      <c r="D326" s="109"/>
      <c r="E326" s="109"/>
      <c r="F326" s="109"/>
      <c r="G326" s="111"/>
      <c r="H326" s="111"/>
      <c r="I326" s="112"/>
      <c r="J326" s="112"/>
      <c r="K326" s="112"/>
      <c r="L326" s="112"/>
      <c r="M326" s="112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</row>
    <row r="327" spans="1:29" ht="12" customHeight="1">
      <c r="A327" s="108"/>
      <c r="B327" s="109"/>
      <c r="C327" s="109"/>
      <c r="D327" s="109"/>
      <c r="E327" s="109"/>
      <c r="F327" s="109"/>
      <c r="G327" s="111"/>
      <c r="H327" s="111"/>
      <c r="I327" s="112"/>
      <c r="J327" s="112"/>
      <c r="K327" s="112"/>
      <c r="L327" s="112"/>
      <c r="M327" s="112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</row>
    <row r="328" spans="1:29" ht="12" customHeight="1">
      <c r="A328" s="108"/>
      <c r="B328" s="109"/>
      <c r="C328" s="109"/>
      <c r="D328" s="109"/>
      <c r="E328" s="109"/>
      <c r="F328" s="109"/>
      <c r="G328" s="111"/>
      <c r="H328" s="111"/>
      <c r="I328" s="112"/>
      <c r="J328" s="112"/>
      <c r="K328" s="112"/>
      <c r="L328" s="112"/>
      <c r="M328" s="112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</row>
    <row r="329" spans="1:29" ht="12" customHeight="1">
      <c r="A329" s="108"/>
      <c r="B329" s="109"/>
      <c r="C329" s="109"/>
      <c r="D329" s="109"/>
      <c r="E329" s="109"/>
      <c r="F329" s="109"/>
      <c r="G329" s="111"/>
      <c r="H329" s="111"/>
      <c r="I329" s="112"/>
      <c r="J329" s="112"/>
      <c r="K329" s="112"/>
      <c r="L329" s="112"/>
      <c r="M329" s="112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</row>
    <row r="330" spans="1:29" ht="12" customHeight="1">
      <c r="A330" s="108"/>
      <c r="B330" s="109"/>
      <c r="C330" s="109"/>
      <c r="D330" s="109"/>
      <c r="E330" s="109"/>
      <c r="F330" s="109"/>
      <c r="G330" s="111"/>
      <c r="H330" s="111"/>
      <c r="I330" s="112"/>
      <c r="J330" s="112"/>
      <c r="K330" s="112"/>
      <c r="L330" s="112"/>
      <c r="M330" s="112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</row>
    <row r="331" spans="1:29" ht="12" customHeight="1">
      <c r="A331" s="108"/>
      <c r="B331" s="109"/>
      <c r="C331" s="109"/>
      <c r="D331" s="109"/>
      <c r="E331" s="109"/>
      <c r="F331" s="109"/>
      <c r="G331" s="111"/>
      <c r="H331" s="111"/>
      <c r="I331" s="112"/>
      <c r="J331" s="112"/>
      <c r="K331" s="112"/>
      <c r="L331" s="112"/>
      <c r="M331" s="112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</row>
    <row r="332" spans="1:29" ht="12" customHeight="1">
      <c r="A332" s="108"/>
      <c r="B332" s="109"/>
      <c r="C332" s="109"/>
      <c r="D332" s="109"/>
      <c r="E332" s="109"/>
      <c r="F332" s="109"/>
      <c r="G332" s="111"/>
      <c r="H332" s="111"/>
      <c r="I332" s="112"/>
      <c r="J332" s="112"/>
      <c r="K332" s="112"/>
      <c r="L332" s="112"/>
      <c r="M332" s="112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</row>
    <row r="333" spans="1:29" ht="12" customHeight="1">
      <c r="A333" s="108"/>
      <c r="B333" s="109"/>
      <c r="C333" s="109"/>
      <c r="D333" s="109"/>
      <c r="E333" s="109"/>
      <c r="F333" s="109"/>
      <c r="G333" s="111"/>
      <c r="H333" s="111"/>
      <c r="I333" s="112"/>
      <c r="J333" s="112"/>
      <c r="K333" s="112"/>
      <c r="L333" s="112"/>
      <c r="M333" s="112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</row>
    <row r="334" spans="1:29" ht="12" customHeight="1">
      <c r="A334" s="108"/>
      <c r="B334" s="109"/>
      <c r="C334" s="109"/>
      <c r="D334" s="109"/>
      <c r="E334" s="109"/>
      <c r="F334" s="109"/>
      <c r="G334" s="111"/>
      <c r="H334" s="111"/>
      <c r="I334" s="112"/>
      <c r="J334" s="112"/>
      <c r="K334" s="112"/>
      <c r="L334" s="112"/>
      <c r="M334" s="112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</row>
    <row r="335" spans="1:29" ht="12" customHeight="1">
      <c r="A335" s="108"/>
      <c r="B335" s="109"/>
      <c r="C335" s="109"/>
      <c r="D335" s="109"/>
      <c r="E335" s="109"/>
      <c r="F335" s="109"/>
      <c r="G335" s="111"/>
      <c r="H335" s="111"/>
      <c r="I335" s="112"/>
      <c r="J335" s="112"/>
      <c r="K335" s="112"/>
      <c r="L335" s="112"/>
      <c r="M335" s="112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</row>
    <row r="336" spans="1:29" ht="12" customHeight="1">
      <c r="A336" s="108"/>
      <c r="B336" s="109"/>
      <c r="C336" s="109"/>
      <c r="D336" s="109"/>
      <c r="E336" s="109"/>
      <c r="F336" s="109"/>
      <c r="G336" s="111"/>
      <c r="H336" s="111"/>
      <c r="I336" s="112"/>
      <c r="J336" s="112"/>
      <c r="K336" s="112"/>
      <c r="L336" s="112"/>
      <c r="M336" s="112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</row>
    <row r="337" spans="1:29" ht="12" customHeight="1">
      <c r="A337" s="108"/>
      <c r="B337" s="109"/>
      <c r="C337" s="109"/>
      <c r="D337" s="109"/>
      <c r="E337" s="109"/>
      <c r="F337" s="109"/>
      <c r="G337" s="111"/>
      <c r="H337" s="111"/>
      <c r="I337" s="112"/>
      <c r="J337" s="112"/>
      <c r="K337" s="112"/>
      <c r="L337" s="112"/>
      <c r="M337" s="112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</row>
    <row r="338" spans="1:29" ht="12" customHeight="1">
      <c r="A338" s="108"/>
      <c r="B338" s="109"/>
      <c r="C338" s="109"/>
      <c r="D338" s="109"/>
      <c r="E338" s="109"/>
      <c r="F338" s="109"/>
      <c r="G338" s="111"/>
      <c r="H338" s="111"/>
      <c r="I338" s="112"/>
      <c r="J338" s="112"/>
      <c r="K338" s="112"/>
      <c r="L338" s="112"/>
      <c r="M338" s="112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</row>
    <row r="339" spans="1:29" ht="12" customHeight="1">
      <c r="A339" s="108"/>
      <c r="B339" s="109"/>
      <c r="C339" s="109"/>
      <c r="D339" s="109"/>
      <c r="E339" s="109"/>
      <c r="F339" s="109"/>
      <c r="G339" s="111"/>
      <c r="H339" s="111"/>
      <c r="I339" s="112"/>
      <c r="J339" s="112"/>
      <c r="K339" s="112"/>
      <c r="L339" s="112"/>
      <c r="M339" s="112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</row>
    <row r="340" spans="1:29" ht="12" customHeight="1">
      <c r="A340" s="108"/>
      <c r="B340" s="109"/>
      <c r="C340" s="109"/>
      <c r="D340" s="109"/>
      <c r="E340" s="109"/>
      <c r="F340" s="109"/>
      <c r="G340" s="111"/>
      <c r="H340" s="111"/>
      <c r="I340" s="112"/>
      <c r="J340" s="112"/>
      <c r="K340" s="112"/>
      <c r="L340" s="112"/>
      <c r="M340" s="112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</row>
    <row r="341" spans="1:29" ht="12" customHeight="1">
      <c r="A341" s="108"/>
      <c r="B341" s="109"/>
      <c r="C341" s="109"/>
      <c r="D341" s="109"/>
      <c r="E341" s="109"/>
      <c r="F341" s="109"/>
      <c r="G341" s="111"/>
      <c r="H341" s="111"/>
      <c r="I341" s="112"/>
      <c r="J341" s="112"/>
      <c r="K341" s="112"/>
      <c r="L341" s="112"/>
      <c r="M341" s="112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</row>
    <row r="342" spans="1:29" ht="12" customHeight="1">
      <c r="A342" s="108"/>
      <c r="B342" s="109"/>
      <c r="C342" s="109"/>
      <c r="D342" s="109"/>
      <c r="E342" s="109"/>
      <c r="F342" s="109"/>
      <c r="G342" s="111"/>
      <c r="H342" s="111"/>
      <c r="I342" s="112"/>
      <c r="J342" s="112"/>
      <c r="K342" s="112"/>
      <c r="L342" s="112"/>
      <c r="M342" s="112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</row>
    <row r="343" spans="1:29" ht="12" customHeight="1">
      <c r="A343" s="108"/>
      <c r="B343" s="109"/>
      <c r="C343" s="109"/>
      <c r="D343" s="109"/>
      <c r="E343" s="109"/>
      <c r="F343" s="109"/>
      <c r="G343" s="111"/>
      <c r="H343" s="111"/>
      <c r="I343" s="112"/>
      <c r="J343" s="112"/>
      <c r="K343" s="112"/>
      <c r="L343" s="112"/>
      <c r="M343" s="112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</row>
    <row r="344" spans="1:29" ht="12" customHeight="1">
      <c r="A344" s="108"/>
      <c r="B344" s="109"/>
      <c r="C344" s="109"/>
      <c r="D344" s="109"/>
      <c r="E344" s="109"/>
      <c r="F344" s="109"/>
      <c r="G344" s="111"/>
      <c r="H344" s="111"/>
      <c r="I344" s="112"/>
      <c r="J344" s="112"/>
      <c r="K344" s="112"/>
      <c r="L344" s="112"/>
      <c r="M344" s="112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</row>
    <row r="345" spans="1:29" ht="12" customHeight="1">
      <c r="A345" s="108"/>
      <c r="B345" s="109"/>
      <c r="C345" s="109"/>
      <c r="D345" s="109"/>
      <c r="E345" s="109"/>
      <c r="F345" s="109"/>
      <c r="G345" s="111"/>
      <c r="H345" s="111"/>
      <c r="I345" s="112"/>
      <c r="J345" s="112"/>
      <c r="K345" s="112"/>
      <c r="L345" s="112"/>
      <c r="M345" s="112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</row>
    <row r="346" spans="1:29" ht="12" customHeight="1">
      <c r="A346" s="108"/>
      <c r="B346" s="109"/>
      <c r="C346" s="109"/>
      <c r="D346" s="109"/>
      <c r="E346" s="109"/>
      <c r="F346" s="109"/>
      <c r="G346" s="111"/>
      <c r="H346" s="111"/>
      <c r="I346" s="112"/>
      <c r="J346" s="112"/>
      <c r="K346" s="112"/>
      <c r="L346" s="112"/>
      <c r="M346" s="112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</row>
    <row r="347" spans="1:29" ht="12" customHeight="1">
      <c r="A347" s="108"/>
      <c r="B347" s="109"/>
      <c r="C347" s="109"/>
      <c r="D347" s="109"/>
      <c r="E347" s="109"/>
      <c r="F347" s="109"/>
      <c r="G347" s="111"/>
      <c r="H347" s="111"/>
      <c r="I347" s="112"/>
      <c r="J347" s="112"/>
      <c r="K347" s="112"/>
      <c r="L347" s="112"/>
      <c r="M347" s="112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</row>
    <row r="348" spans="1:29" ht="12" customHeight="1">
      <c r="A348" s="108"/>
      <c r="B348" s="109"/>
      <c r="C348" s="109"/>
      <c r="D348" s="109"/>
      <c r="E348" s="109"/>
      <c r="F348" s="109"/>
      <c r="G348" s="111"/>
      <c r="H348" s="111"/>
      <c r="I348" s="112"/>
      <c r="J348" s="112"/>
      <c r="K348" s="112"/>
      <c r="L348" s="112"/>
      <c r="M348" s="112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</row>
    <row r="349" spans="1:29" ht="12" customHeight="1">
      <c r="A349" s="108"/>
      <c r="B349" s="109"/>
      <c r="C349" s="109"/>
      <c r="D349" s="109"/>
      <c r="E349" s="109"/>
      <c r="F349" s="109"/>
      <c r="G349" s="111"/>
      <c r="H349" s="111"/>
      <c r="I349" s="112"/>
      <c r="J349" s="112"/>
      <c r="K349" s="112"/>
      <c r="L349" s="112"/>
      <c r="M349" s="112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</row>
    <row r="350" spans="1:29" ht="12" customHeight="1">
      <c r="A350" s="108"/>
      <c r="B350" s="109"/>
      <c r="C350" s="109"/>
      <c r="D350" s="109"/>
      <c r="E350" s="109"/>
      <c r="F350" s="109"/>
      <c r="G350" s="111"/>
      <c r="H350" s="111"/>
      <c r="I350" s="112"/>
      <c r="J350" s="112"/>
      <c r="K350" s="112"/>
      <c r="L350" s="112"/>
      <c r="M350" s="112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</row>
    <row r="351" spans="1:29" ht="12" customHeight="1">
      <c r="A351" s="108"/>
      <c r="B351" s="109"/>
      <c r="C351" s="109"/>
      <c r="D351" s="109"/>
      <c r="E351" s="109"/>
      <c r="F351" s="109"/>
      <c r="G351" s="111"/>
      <c r="H351" s="111"/>
      <c r="I351" s="112"/>
      <c r="J351" s="112"/>
      <c r="K351" s="112"/>
      <c r="L351" s="112"/>
      <c r="M351" s="112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</row>
    <row r="352" spans="1:29" ht="12" customHeight="1">
      <c r="A352" s="108"/>
      <c r="B352" s="109"/>
      <c r="C352" s="109"/>
      <c r="D352" s="109"/>
      <c r="E352" s="109"/>
      <c r="F352" s="109"/>
      <c r="G352" s="111"/>
      <c r="H352" s="111"/>
      <c r="I352" s="112"/>
      <c r="J352" s="112"/>
      <c r="K352" s="112"/>
      <c r="L352" s="112"/>
      <c r="M352" s="112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</row>
    <row r="353" spans="1:29" ht="12" customHeight="1">
      <c r="A353" s="108"/>
      <c r="B353" s="109"/>
      <c r="C353" s="109"/>
      <c r="D353" s="109"/>
      <c r="E353" s="109"/>
      <c r="F353" s="109"/>
      <c r="G353" s="111"/>
      <c r="H353" s="111"/>
      <c r="I353" s="112"/>
      <c r="J353" s="112"/>
      <c r="K353" s="112"/>
      <c r="L353" s="112"/>
      <c r="M353" s="112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</row>
    <row r="354" spans="1:29" ht="12" customHeight="1">
      <c r="A354" s="108"/>
      <c r="B354" s="109"/>
      <c r="C354" s="109"/>
      <c r="D354" s="109"/>
      <c r="E354" s="109"/>
      <c r="F354" s="109"/>
      <c r="G354" s="111"/>
      <c r="H354" s="111"/>
      <c r="I354" s="112"/>
      <c r="J354" s="112"/>
      <c r="K354" s="112"/>
      <c r="L354" s="112"/>
      <c r="M354" s="112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</row>
    <row r="355" spans="1:29" ht="12" customHeight="1">
      <c r="A355" s="108"/>
      <c r="B355" s="109"/>
      <c r="C355" s="109"/>
      <c r="D355" s="109"/>
      <c r="E355" s="109"/>
      <c r="F355" s="109"/>
      <c r="G355" s="111"/>
      <c r="H355" s="111"/>
      <c r="I355" s="112"/>
      <c r="J355" s="112"/>
      <c r="K355" s="112"/>
      <c r="L355" s="112"/>
      <c r="M355" s="112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</row>
    <row r="356" spans="1:29" ht="12" customHeight="1">
      <c r="A356" s="108"/>
      <c r="B356" s="109"/>
      <c r="C356" s="109"/>
      <c r="D356" s="109"/>
      <c r="E356" s="109"/>
      <c r="F356" s="109"/>
      <c r="G356" s="111"/>
      <c r="H356" s="111"/>
      <c r="I356" s="112"/>
      <c r="J356" s="112"/>
      <c r="K356" s="112"/>
      <c r="L356" s="112"/>
      <c r="M356" s="112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</row>
    <row r="357" spans="1:29" ht="12" customHeight="1">
      <c r="A357" s="108"/>
      <c r="B357" s="109"/>
      <c r="C357" s="109"/>
      <c r="D357" s="109"/>
      <c r="E357" s="109"/>
      <c r="F357" s="109"/>
      <c r="G357" s="111"/>
      <c r="H357" s="111"/>
      <c r="I357" s="112"/>
      <c r="J357" s="112"/>
      <c r="K357" s="112"/>
      <c r="L357" s="112"/>
      <c r="M357" s="112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</row>
    <row r="358" spans="1:29" ht="12" customHeight="1">
      <c r="A358" s="108"/>
      <c r="B358" s="109"/>
      <c r="C358" s="109"/>
      <c r="D358" s="109"/>
      <c r="E358" s="109"/>
      <c r="F358" s="109"/>
      <c r="G358" s="111"/>
      <c r="H358" s="111"/>
      <c r="I358" s="112"/>
      <c r="J358" s="112"/>
      <c r="K358" s="112"/>
      <c r="L358" s="112"/>
      <c r="M358" s="112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</row>
    <row r="359" spans="1:29" ht="12" customHeight="1">
      <c r="A359" s="108"/>
      <c r="B359" s="109"/>
      <c r="C359" s="109"/>
      <c r="D359" s="109"/>
      <c r="E359" s="109"/>
      <c r="F359" s="109"/>
      <c r="G359" s="111"/>
      <c r="H359" s="111"/>
      <c r="I359" s="112"/>
      <c r="J359" s="112"/>
      <c r="K359" s="112"/>
      <c r="L359" s="112"/>
      <c r="M359" s="112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</row>
    <row r="360" spans="1:29" ht="12" customHeight="1">
      <c r="A360" s="108"/>
      <c r="B360" s="109"/>
      <c r="C360" s="109"/>
      <c r="D360" s="109"/>
      <c r="E360" s="109"/>
      <c r="F360" s="109"/>
      <c r="G360" s="111"/>
      <c r="H360" s="111"/>
      <c r="I360" s="112"/>
      <c r="J360" s="112"/>
      <c r="K360" s="112"/>
      <c r="L360" s="112"/>
      <c r="M360" s="112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</row>
    <row r="361" spans="1:29" ht="12" customHeight="1">
      <c r="A361" s="108"/>
      <c r="B361" s="109"/>
      <c r="C361" s="109"/>
      <c r="D361" s="109"/>
      <c r="E361" s="109"/>
      <c r="F361" s="109"/>
      <c r="G361" s="111"/>
      <c r="H361" s="111"/>
      <c r="I361" s="112"/>
      <c r="J361" s="112"/>
      <c r="K361" s="112"/>
      <c r="L361" s="112"/>
      <c r="M361" s="112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</row>
    <row r="362" spans="1:29" ht="12" customHeight="1">
      <c r="A362" s="108"/>
      <c r="B362" s="109"/>
      <c r="C362" s="109"/>
      <c r="D362" s="109"/>
      <c r="E362" s="109"/>
      <c r="F362" s="109"/>
      <c r="G362" s="111"/>
      <c r="H362" s="111"/>
      <c r="I362" s="112"/>
      <c r="J362" s="112"/>
      <c r="K362" s="112"/>
      <c r="L362" s="112"/>
      <c r="M362" s="112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</row>
    <row r="363" spans="1:29" ht="12" customHeight="1">
      <c r="A363" s="108"/>
      <c r="B363" s="109"/>
      <c r="C363" s="109"/>
      <c r="D363" s="109"/>
      <c r="E363" s="109"/>
      <c r="F363" s="109"/>
      <c r="G363" s="111"/>
      <c r="H363" s="111"/>
      <c r="I363" s="112"/>
      <c r="J363" s="112"/>
      <c r="K363" s="112"/>
      <c r="L363" s="112"/>
      <c r="M363" s="112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</row>
    <row r="364" spans="1:29" ht="12" customHeight="1">
      <c r="A364" s="108"/>
      <c r="B364" s="109"/>
      <c r="C364" s="109"/>
      <c r="D364" s="109"/>
      <c r="E364" s="109"/>
      <c r="F364" s="109"/>
      <c r="G364" s="111"/>
      <c r="H364" s="111"/>
      <c r="I364" s="112"/>
      <c r="J364" s="112"/>
      <c r="K364" s="112"/>
      <c r="L364" s="112"/>
      <c r="M364" s="112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</row>
    <row r="365" spans="1:29" ht="12" customHeight="1">
      <c r="A365" s="108"/>
      <c r="B365" s="109"/>
      <c r="C365" s="109"/>
      <c r="D365" s="109"/>
      <c r="E365" s="109"/>
      <c r="F365" s="109"/>
      <c r="G365" s="111"/>
      <c r="H365" s="111"/>
      <c r="I365" s="112"/>
      <c r="J365" s="112"/>
      <c r="K365" s="112"/>
      <c r="L365" s="112"/>
      <c r="M365" s="112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</row>
    <row r="366" spans="1:29" ht="12" customHeight="1">
      <c r="A366" s="108"/>
      <c r="B366" s="109"/>
      <c r="C366" s="109"/>
      <c r="D366" s="109"/>
      <c r="E366" s="109"/>
      <c r="F366" s="109"/>
      <c r="G366" s="111"/>
      <c r="H366" s="111"/>
      <c r="I366" s="112"/>
      <c r="J366" s="112"/>
      <c r="K366" s="112"/>
      <c r="L366" s="112"/>
      <c r="M366" s="112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</row>
    <row r="367" spans="1:29" ht="12" customHeight="1">
      <c r="A367" s="108"/>
      <c r="B367" s="109"/>
      <c r="C367" s="109"/>
      <c r="D367" s="109"/>
      <c r="E367" s="109"/>
      <c r="F367" s="109"/>
      <c r="G367" s="111"/>
      <c r="H367" s="111"/>
      <c r="I367" s="112"/>
      <c r="J367" s="112"/>
      <c r="K367" s="112"/>
      <c r="L367" s="112"/>
      <c r="M367" s="112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</row>
    <row r="368" spans="1:29" ht="12" customHeight="1">
      <c r="A368" s="108"/>
      <c r="B368" s="109"/>
      <c r="C368" s="109"/>
      <c r="D368" s="109"/>
      <c r="E368" s="109"/>
      <c r="F368" s="109"/>
      <c r="G368" s="111"/>
      <c r="H368" s="111"/>
      <c r="I368" s="112"/>
      <c r="J368" s="112"/>
      <c r="K368" s="112"/>
      <c r="L368" s="112"/>
      <c r="M368" s="112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</row>
    <row r="369" spans="1:29" ht="12" customHeight="1">
      <c r="A369" s="108"/>
      <c r="B369" s="109"/>
      <c r="C369" s="109"/>
      <c r="D369" s="109"/>
      <c r="E369" s="109"/>
      <c r="F369" s="109"/>
      <c r="G369" s="111"/>
      <c r="H369" s="111"/>
      <c r="I369" s="112"/>
      <c r="J369" s="112"/>
      <c r="K369" s="112"/>
      <c r="L369" s="112"/>
      <c r="M369" s="112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</row>
    <row r="370" spans="1:29" ht="12" customHeight="1">
      <c r="A370" s="108"/>
      <c r="B370" s="109"/>
      <c r="C370" s="109"/>
      <c r="D370" s="109"/>
      <c r="E370" s="109"/>
      <c r="F370" s="109"/>
      <c r="G370" s="111"/>
      <c r="H370" s="111"/>
      <c r="I370" s="112"/>
      <c r="J370" s="112"/>
      <c r="K370" s="112"/>
      <c r="L370" s="112"/>
      <c r="M370" s="112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</row>
    <row r="371" spans="1:29" ht="12" customHeight="1">
      <c r="A371" s="108"/>
      <c r="B371" s="109"/>
      <c r="C371" s="109"/>
      <c r="D371" s="109"/>
      <c r="E371" s="109"/>
      <c r="F371" s="109"/>
      <c r="G371" s="111"/>
      <c r="H371" s="111"/>
      <c r="I371" s="112"/>
      <c r="J371" s="112"/>
      <c r="K371" s="112"/>
      <c r="L371" s="112"/>
      <c r="M371" s="112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</row>
    <row r="372" spans="1:29" ht="12" customHeight="1">
      <c r="A372" s="108"/>
      <c r="B372" s="109"/>
      <c r="C372" s="109"/>
      <c r="D372" s="109"/>
      <c r="E372" s="109"/>
      <c r="F372" s="109"/>
      <c r="G372" s="111"/>
      <c r="H372" s="111"/>
      <c r="I372" s="112"/>
      <c r="J372" s="112"/>
      <c r="K372" s="112"/>
      <c r="L372" s="112"/>
      <c r="M372" s="112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</row>
    <row r="373" spans="1:29" ht="12" customHeight="1">
      <c r="A373" s="108"/>
      <c r="B373" s="109"/>
      <c r="C373" s="109"/>
      <c r="D373" s="109"/>
      <c r="E373" s="109"/>
      <c r="F373" s="109"/>
      <c r="G373" s="111"/>
      <c r="H373" s="111"/>
      <c r="I373" s="112"/>
      <c r="J373" s="112"/>
      <c r="K373" s="112"/>
      <c r="L373" s="112"/>
      <c r="M373" s="112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</row>
    <row r="374" spans="1:29" ht="12" customHeight="1">
      <c r="A374" s="108"/>
      <c r="B374" s="109"/>
      <c r="C374" s="109"/>
      <c r="D374" s="109"/>
      <c r="E374" s="109"/>
      <c r="F374" s="109"/>
      <c r="G374" s="111"/>
      <c r="H374" s="111"/>
      <c r="I374" s="112"/>
      <c r="J374" s="112"/>
      <c r="K374" s="112"/>
      <c r="L374" s="112"/>
      <c r="M374" s="112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</row>
    <row r="375" spans="1:29" ht="12" customHeight="1">
      <c r="A375" s="108"/>
      <c r="B375" s="109"/>
      <c r="C375" s="109"/>
      <c r="D375" s="109"/>
      <c r="E375" s="109"/>
      <c r="F375" s="109"/>
      <c r="G375" s="111"/>
      <c r="H375" s="111"/>
      <c r="I375" s="112"/>
      <c r="J375" s="112"/>
      <c r="K375" s="112"/>
      <c r="L375" s="112"/>
      <c r="M375" s="112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</row>
    <row r="376" spans="1:29" ht="12" customHeight="1">
      <c r="A376" s="108"/>
      <c r="B376" s="109"/>
      <c r="C376" s="109"/>
      <c r="D376" s="109"/>
      <c r="E376" s="109"/>
      <c r="F376" s="109"/>
      <c r="G376" s="111"/>
      <c r="H376" s="111"/>
      <c r="I376" s="112"/>
      <c r="J376" s="112"/>
      <c r="K376" s="112"/>
      <c r="L376" s="112"/>
      <c r="M376" s="112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</row>
    <row r="377" spans="1:29" ht="12" customHeight="1">
      <c r="A377" s="108"/>
      <c r="B377" s="109"/>
      <c r="C377" s="109"/>
      <c r="D377" s="109"/>
      <c r="E377" s="109"/>
      <c r="F377" s="109"/>
      <c r="G377" s="111"/>
      <c r="H377" s="111"/>
      <c r="I377" s="112"/>
      <c r="J377" s="112"/>
      <c r="K377" s="112"/>
      <c r="L377" s="112"/>
      <c r="M377" s="112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</row>
    <row r="378" spans="1:29" ht="12" customHeight="1">
      <c r="A378" s="108"/>
      <c r="B378" s="109"/>
      <c r="C378" s="109"/>
      <c r="D378" s="109"/>
      <c r="E378" s="109"/>
      <c r="F378" s="109"/>
      <c r="G378" s="111"/>
      <c r="H378" s="111"/>
      <c r="I378" s="112"/>
      <c r="J378" s="112"/>
      <c r="K378" s="112"/>
      <c r="L378" s="112"/>
      <c r="M378" s="112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</row>
    <row r="379" spans="1:29" ht="12" customHeight="1">
      <c r="A379" s="108"/>
      <c r="B379" s="109"/>
      <c r="C379" s="109"/>
      <c r="D379" s="109"/>
      <c r="E379" s="109"/>
      <c r="F379" s="109"/>
      <c r="G379" s="111"/>
      <c r="H379" s="111"/>
      <c r="I379" s="112"/>
      <c r="J379" s="112"/>
      <c r="K379" s="112"/>
      <c r="L379" s="112"/>
      <c r="M379" s="112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</row>
    <row r="380" spans="1:29" ht="12" customHeight="1">
      <c r="A380" s="108"/>
      <c r="B380" s="109"/>
      <c r="C380" s="109"/>
      <c r="D380" s="109"/>
      <c r="E380" s="109"/>
      <c r="F380" s="109"/>
      <c r="G380" s="111"/>
      <c r="H380" s="111"/>
      <c r="I380" s="112"/>
      <c r="J380" s="112"/>
      <c r="K380" s="112"/>
      <c r="L380" s="112"/>
      <c r="M380" s="112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</row>
    <row r="381" spans="1:29" ht="12" customHeight="1">
      <c r="A381" s="108"/>
      <c r="B381" s="109"/>
      <c r="C381" s="109"/>
      <c r="D381" s="109"/>
      <c r="E381" s="109"/>
      <c r="F381" s="109"/>
      <c r="G381" s="111"/>
      <c r="H381" s="111"/>
      <c r="I381" s="112"/>
      <c r="J381" s="112"/>
      <c r="K381" s="112"/>
      <c r="L381" s="112"/>
      <c r="M381" s="112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</row>
    <row r="382" spans="1:29" ht="12" customHeight="1">
      <c r="A382" s="108"/>
      <c r="B382" s="109"/>
      <c r="C382" s="109"/>
      <c r="D382" s="109"/>
      <c r="E382" s="109"/>
      <c r="F382" s="109"/>
      <c r="G382" s="111"/>
      <c r="H382" s="111"/>
      <c r="I382" s="112"/>
      <c r="J382" s="112"/>
      <c r="K382" s="112"/>
      <c r="L382" s="112"/>
      <c r="M382" s="112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</row>
    <row r="383" spans="1:29" ht="12" customHeight="1">
      <c r="A383" s="108"/>
      <c r="B383" s="109"/>
      <c r="C383" s="109"/>
      <c r="D383" s="109"/>
      <c r="E383" s="109"/>
      <c r="F383" s="109"/>
      <c r="G383" s="111"/>
      <c r="H383" s="111"/>
      <c r="I383" s="112"/>
      <c r="J383" s="112"/>
      <c r="K383" s="112"/>
      <c r="L383" s="112"/>
      <c r="M383" s="112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</row>
    <row r="384" spans="1:29" ht="12" customHeight="1">
      <c r="A384" s="108"/>
      <c r="B384" s="109"/>
      <c r="C384" s="109"/>
      <c r="D384" s="109"/>
      <c r="E384" s="109"/>
      <c r="F384" s="109"/>
      <c r="G384" s="111"/>
      <c r="H384" s="111"/>
      <c r="I384" s="112"/>
      <c r="J384" s="112"/>
      <c r="K384" s="112"/>
      <c r="L384" s="112"/>
      <c r="M384" s="112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</row>
    <row r="385" spans="1:29" ht="12" customHeight="1">
      <c r="A385" s="108"/>
      <c r="B385" s="109"/>
      <c r="C385" s="109"/>
      <c r="D385" s="109"/>
      <c r="E385" s="109"/>
      <c r="F385" s="109"/>
      <c r="G385" s="111"/>
      <c r="H385" s="111"/>
      <c r="I385" s="112"/>
      <c r="J385" s="112"/>
      <c r="K385" s="112"/>
      <c r="L385" s="112"/>
      <c r="M385" s="112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</row>
    <row r="386" spans="1:29" ht="12" customHeight="1">
      <c r="A386" s="108"/>
      <c r="B386" s="109"/>
      <c r="C386" s="109"/>
      <c r="D386" s="109"/>
      <c r="E386" s="109"/>
      <c r="F386" s="109"/>
      <c r="G386" s="111"/>
      <c r="H386" s="111"/>
      <c r="I386" s="112"/>
      <c r="J386" s="112"/>
      <c r="K386" s="112"/>
      <c r="L386" s="112"/>
      <c r="M386" s="112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</row>
    <row r="387" spans="1:29" ht="12" customHeight="1">
      <c r="A387" s="108"/>
      <c r="B387" s="109"/>
      <c r="C387" s="109"/>
      <c r="D387" s="109"/>
      <c r="E387" s="109"/>
      <c r="F387" s="109"/>
      <c r="G387" s="111"/>
      <c r="H387" s="111"/>
      <c r="I387" s="112"/>
      <c r="J387" s="112"/>
      <c r="K387" s="112"/>
      <c r="L387" s="112"/>
      <c r="M387" s="112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</row>
    <row r="388" spans="1:29" ht="12" customHeight="1">
      <c r="A388" s="108"/>
      <c r="B388" s="109"/>
      <c r="C388" s="109"/>
      <c r="D388" s="109"/>
      <c r="E388" s="109"/>
      <c r="F388" s="109"/>
      <c r="G388" s="111"/>
      <c r="H388" s="111"/>
      <c r="I388" s="112"/>
      <c r="J388" s="112"/>
      <c r="K388" s="112"/>
      <c r="L388" s="112"/>
      <c r="M388" s="112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</row>
    <row r="389" spans="1:29" ht="12" customHeight="1">
      <c r="A389" s="108"/>
      <c r="B389" s="109"/>
      <c r="C389" s="109"/>
      <c r="D389" s="109"/>
      <c r="E389" s="109"/>
      <c r="F389" s="109"/>
      <c r="G389" s="111"/>
      <c r="H389" s="111"/>
      <c r="I389" s="112"/>
      <c r="J389" s="112"/>
      <c r="K389" s="112"/>
      <c r="L389" s="112"/>
      <c r="M389" s="112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</row>
    <row r="390" spans="1:29" ht="12" customHeight="1">
      <c r="A390" s="108"/>
      <c r="B390" s="109"/>
      <c r="C390" s="109"/>
      <c r="D390" s="109"/>
      <c r="E390" s="109"/>
      <c r="F390" s="109"/>
      <c r="G390" s="111"/>
      <c r="H390" s="111"/>
      <c r="I390" s="112"/>
      <c r="J390" s="112"/>
      <c r="K390" s="112"/>
      <c r="L390" s="112"/>
      <c r="M390" s="112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</row>
    <row r="391" spans="1:29" ht="12" customHeight="1">
      <c r="A391" s="108"/>
      <c r="B391" s="109"/>
      <c r="C391" s="109"/>
      <c r="D391" s="109"/>
      <c r="E391" s="109"/>
      <c r="F391" s="109"/>
      <c r="G391" s="111"/>
      <c r="H391" s="111"/>
      <c r="I391" s="112"/>
      <c r="J391" s="112"/>
      <c r="K391" s="112"/>
      <c r="L391" s="112"/>
      <c r="M391" s="112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</row>
    <row r="392" spans="1:29" ht="12" customHeight="1">
      <c r="A392" s="108"/>
      <c r="B392" s="109"/>
      <c r="C392" s="109"/>
      <c r="D392" s="109"/>
      <c r="E392" s="109"/>
      <c r="F392" s="109"/>
      <c r="G392" s="111"/>
      <c r="H392" s="111"/>
      <c r="I392" s="112"/>
      <c r="J392" s="112"/>
      <c r="K392" s="112"/>
      <c r="L392" s="112"/>
      <c r="M392" s="112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</row>
    <row r="393" spans="1:29" ht="12" customHeight="1">
      <c r="A393" s="108"/>
      <c r="B393" s="109"/>
      <c r="C393" s="109"/>
      <c r="D393" s="109"/>
      <c r="E393" s="109"/>
      <c r="F393" s="109"/>
      <c r="G393" s="111"/>
      <c r="H393" s="111"/>
      <c r="I393" s="112"/>
      <c r="J393" s="112"/>
      <c r="K393" s="112"/>
      <c r="L393" s="112"/>
      <c r="M393" s="112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</row>
    <row r="394" spans="1:29" ht="12" customHeight="1">
      <c r="A394" s="108"/>
      <c r="B394" s="109"/>
      <c r="C394" s="109"/>
      <c r="D394" s="109"/>
      <c r="E394" s="109"/>
      <c r="F394" s="109"/>
      <c r="G394" s="111"/>
      <c r="H394" s="111"/>
      <c r="I394" s="112"/>
      <c r="J394" s="112"/>
      <c r="K394" s="112"/>
      <c r="L394" s="112"/>
      <c r="M394" s="112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</row>
    <row r="395" spans="1:29" ht="12" customHeight="1">
      <c r="A395" s="108"/>
      <c r="B395" s="109"/>
      <c r="C395" s="109"/>
      <c r="D395" s="109"/>
      <c r="E395" s="109"/>
      <c r="F395" s="109"/>
      <c r="G395" s="111"/>
      <c r="H395" s="111"/>
      <c r="I395" s="112"/>
      <c r="J395" s="112"/>
      <c r="K395" s="112"/>
      <c r="L395" s="112"/>
      <c r="M395" s="112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</row>
    <row r="396" spans="1:29" ht="12" customHeight="1">
      <c r="A396" s="108"/>
      <c r="B396" s="109"/>
      <c r="C396" s="109"/>
      <c r="D396" s="109"/>
      <c r="E396" s="109"/>
      <c r="F396" s="109"/>
      <c r="G396" s="111"/>
      <c r="H396" s="111"/>
      <c r="I396" s="112"/>
      <c r="J396" s="112"/>
      <c r="K396" s="112"/>
      <c r="L396" s="112"/>
      <c r="M396" s="112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</row>
    <row r="397" spans="1:29" ht="12" customHeight="1">
      <c r="A397" s="108"/>
      <c r="B397" s="109"/>
      <c r="C397" s="109"/>
      <c r="D397" s="109"/>
      <c r="E397" s="109"/>
      <c r="F397" s="109"/>
      <c r="G397" s="111"/>
      <c r="H397" s="111"/>
      <c r="I397" s="112"/>
      <c r="J397" s="112"/>
      <c r="K397" s="112"/>
      <c r="L397" s="112"/>
      <c r="M397" s="112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</row>
    <row r="398" spans="1:29" ht="12" customHeight="1">
      <c r="A398" s="108"/>
      <c r="B398" s="109"/>
      <c r="C398" s="109"/>
      <c r="D398" s="109"/>
      <c r="E398" s="109"/>
      <c r="F398" s="109"/>
      <c r="G398" s="111"/>
      <c r="H398" s="111"/>
      <c r="I398" s="112"/>
      <c r="J398" s="112"/>
      <c r="K398" s="112"/>
      <c r="L398" s="112"/>
      <c r="M398" s="112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</row>
    <row r="399" spans="1:29" ht="12" customHeight="1">
      <c r="A399" s="108"/>
      <c r="B399" s="109"/>
      <c r="C399" s="109"/>
      <c r="D399" s="109"/>
      <c r="E399" s="109"/>
      <c r="F399" s="109"/>
      <c r="G399" s="111"/>
      <c r="H399" s="111"/>
      <c r="I399" s="112"/>
      <c r="J399" s="112"/>
      <c r="K399" s="112"/>
      <c r="L399" s="112"/>
      <c r="M399" s="112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</row>
    <row r="400" spans="1:29" ht="12" customHeight="1">
      <c r="A400" s="108"/>
      <c r="B400" s="109"/>
      <c r="C400" s="109"/>
      <c r="D400" s="109"/>
      <c r="E400" s="109"/>
      <c r="F400" s="109"/>
      <c r="G400" s="111"/>
      <c r="H400" s="111"/>
      <c r="I400" s="112"/>
      <c r="J400" s="112"/>
      <c r="K400" s="112"/>
      <c r="L400" s="112"/>
      <c r="M400" s="112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</row>
    <row r="401" spans="1:29" ht="12" customHeight="1">
      <c r="A401" s="108"/>
      <c r="B401" s="109"/>
      <c r="C401" s="109"/>
      <c r="D401" s="109"/>
      <c r="E401" s="109"/>
      <c r="F401" s="109"/>
      <c r="G401" s="111"/>
      <c r="H401" s="111"/>
      <c r="I401" s="112"/>
      <c r="J401" s="112"/>
      <c r="K401" s="112"/>
      <c r="L401" s="112"/>
      <c r="M401" s="112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</row>
    <row r="402" spans="1:29" ht="12" customHeight="1">
      <c r="A402" s="108"/>
      <c r="B402" s="109"/>
      <c r="C402" s="109"/>
      <c r="D402" s="109"/>
      <c r="E402" s="109"/>
      <c r="F402" s="109"/>
      <c r="G402" s="111"/>
      <c r="H402" s="111"/>
      <c r="I402" s="112"/>
      <c r="J402" s="112"/>
      <c r="K402" s="112"/>
      <c r="L402" s="112"/>
      <c r="M402" s="112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</row>
    <row r="403" spans="1:29" ht="12" customHeight="1">
      <c r="A403" s="108"/>
      <c r="B403" s="109"/>
      <c r="C403" s="109"/>
      <c r="D403" s="109"/>
      <c r="E403" s="109"/>
      <c r="F403" s="109"/>
      <c r="G403" s="111"/>
      <c r="H403" s="111"/>
      <c r="I403" s="112"/>
      <c r="J403" s="112"/>
      <c r="K403" s="112"/>
      <c r="L403" s="112"/>
      <c r="M403" s="112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</row>
    <row r="404" spans="1:29" ht="12" customHeight="1">
      <c r="A404" s="108"/>
      <c r="B404" s="109"/>
      <c r="C404" s="109"/>
      <c r="D404" s="109"/>
      <c r="E404" s="109"/>
      <c r="F404" s="109"/>
      <c r="G404" s="111"/>
      <c r="H404" s="111"/>
      <c r="I404" s="112"/>
      <c r="J404" s="112"/>
      <c r="K404" s="112"/>
      <c r="L404" s="112"/>
      <c r="M404" s="112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</row>
    <row r="405" spans="1:29" ht="12" customHeight="1">
      <c r="A405" s="108"/>
      <c r="B405" s="109"/>
      <c r="C405" s="109"/>
      <c r="D405" s="109"/>
      <c r="E405" s="109"/>
      <c r="F405" s="109"/>
      <c r="G405" s="111"/>
      <c r="H405" s="111"/>
      <c r="I405" s="112"/>
      <c r="J405" s="112"/>
      <c r="K405" s="112"/>
      <c r="L405" s="112"/>
      <c r="M405" s="112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</row>
    <row r="406" spans="1:29" ht="12" customHeight="1">
      <c r="A406" s="108"/>
      <c r="B406" s="109"/>
      <c r="C406" s="109"/>
      <c r="D406" s="109"/>
      <c r="E406" s="109"/>
      <c r="F406" s="109"/>
      <c r="G406" s="111"/>
      <c r="H406" s="111"/>
      <c r="I406" s="112"/>
      <c r="J406" s="112"/>
      <c r="K406" s="112"/>
      <c r="L406" s="112"/>
      <c r="M406" s="112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</row>
    <row r="407" spans="1:29" ht="12" customHeight="1">
      <c r="A407" s="108"/>
      <c r="B407" s="109"/>
      <c r="C407" s="109"/>
      <c r="D407" s="109"/>
      <c r="E407" s="109"/>
      <c r="F407" s="109"/>
      <c r="G407" s="111"/>
      <c r="H407" s="111"/>
      <c r="I407" s="112"/>
      <c r="J407" s="112"/>
      <c r="K407" s="112"/>
      <c r="L407" s="112"/>
      <c r="M407" s="112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</row>
    <row r="408" spans="1:29" ht="12" customHeight="1">
      <c r="A408" s="108"/>
      <c r="B408" s="109"/>
      <c r="C408" s="109"/>
      <c r="D408" s="109"/>
      <c r="E408" s="109"/>
      <c r="F408" s="109"/>
      <c r="G408" s="111"/>
      <c r="H408" s="111"/>
      <c r="I408" s="112"/>
      <c r="J408" s="112"/>
      <c r="K408" s="112"/>
      <c r="L408" s="112"/>
      <c r="M408" s="112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</row>
    <row r="409" spans="1:29" ht="12" customHeight="1">
      <c r="A409" s="108"/>
      <c r="B409" s="109"/>
      <c r="C409" s="109"/>
      <c r="D409" s="109"/>
      <c r="E409" s="109"/>
      <c r="F409" s="109"/>
      <c r="G409" s="111"/>
      <c r="H409" s="111"/>
      <c r="I409" s="112"/>
      <c r="J409" s="112"/>
      <c r="K409" s="112"/>
      <c r="L409" s="112"/>
      <c r="M409" s="112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</row>
    <row r="410" spans="1:29" ht="12" customHeight="1">
      <c r="A410" s="108"/>
      <c r="B410" s="109"/>
      <c r="C410" s="109"/>
      <c r="D410" s="109"/>
      <c r="E410" s="109"/>
      <c r="F410" s="109"/>
      <c r="G410" s="111"/>
      <c r="H410" s="111"/>
      <c r="I410" s="112"/>
      <c r="J410" s="112"/>
      <c r="K410" s="112"/>
      <c r="L410" s="112"/>
      <c r="M410" s="112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</row>
    <row r="411" spans="1:29" ht="12" customHeight="1">
      <c r="A411" s="108"/>
      <c r="B411" s="109"/>
      <c r="C411" s="109"/>
      <c r="D411" s="109"/>
      <c r="E411" s="109"/>
      <c r="F411" s="109"/>
      <c r="G411" s="111"/>
      <c r="H411" s="111"/>
      <c r="I411" s="112"/>
      <c r="J411" s="112"/>
      <c r="K411" s="112"/>
      <c r="L411" s="112"/>
      <c r="M411" s="112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</row>
    <row r="412" spans="1:29" ht="12" customHeight="1">
      <c r="A412" s="108"/>
      <c r="B412" s="109"/>
      <c r="C412" s="109"/>
      <c r="D412" s="109"/>
      <c r="E412" s="109"/>
      <c r="F412" s="109"/>
      <c r="G412" s="111"/>
      <c r="H412" s="111"/>
      <c r="I412" s="112"/>
      <c r="J412" s="112"/>
      <c r="K412" s="112"/>
      <c r="L412" s="112"/>
      <c r="M412" s="112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</row>
    <row r="413" spans="1:29" ht="12" customHeight="1">
      <c r="A413" s="108"/>
      <c r="B413" s="109"/>
      <c r="C413" s="109"/>
      <c r="D413" s="109"/>
      <c r="E413" s="109"/>
      <c r="F413" s="109"/>
      <c r="G413" s="111"/>
      <c r="H413" s="111"/>
      <c r="I413" s="112"/>
      <c r="J413" s="112"/>
      <c r="K413" s="112"/>
      <c r="L413" s="112"/>
      <c r="M413" s="112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</row>
    <row r="414" spans="1:29" ht="12" customHeight="1">
      <c r="A414" s="108"/>
      <c r="B414" s="109"/>
      <c r="C414" s="109"/>
      <c r="D414" s="109"/>
      <c r="E414" s="109"/>
      <c r="F414" s="109"/>
      <c r="G414" s="111"/>
      <c r="H414" s="111"/>
      <c r="I414" s="112"/>
      <c r="J414" s="112"/>
      <c r="K414" s="112"/>
      <c r="L414" s="112"/>
      <c r="M414" s="112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</row>
    <row r="415" spans="1:29" ht="12" customHeight="1">
      <c r="A415" s="108"/>
      <c r="B415" s="109"/>
      <c r="C415" s="109"/>
      <c r="D415" s="109"/>
      <c r="E415" s="109"/>
      <c r="F415" s="109"/>
      <c r="G415" s="111"/>
      <c r="H415" s="111"/>
      <c r="I415" s="112"/>
      <c r="J415" s="112"/>
      <c r="K415" s="112"/>
      <c r="L415" s="112"/>
      <c r="M415" s="112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</row>
    <row r="416" spans="1:29" ht="12" customHeight="1">
      <c r="A416" s="108"/>
      <c r="B416" s="109"/>
      <c r="C416" s="109"/>
      <c r="D416" s="109"/>
      <c r="E416" s="109"/>
      <c r="F416" s="109"/>
      <c r="G416" s="111"/>
      <c r="H416" s="111"/>
      <c r="I416" s="112"/>
      <c r="J416" s="112"/>
      <c r="K416" s="112"/>
      <c r="L416" s="112"/>
      <c r="M416" s="112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</row>
    <row r="417" spans="1:29" ht="12" customHeight="1">
      <c r="A417" s="108"/>
      <c r="B417" s="109"/>
      <c r="C417" s="109"/>
      <c r="D417" s="109"/>
      <c r="E417" s="109"/>
      <c r="F417" s="109"/>
      <c r="G417" s="111"/>
      <c r="H417" s="111"/>
      <c r="I417" s="112"/>
      <c r="J417" s="112"/>
      <c r="K417" s="112"/>
      <c r="L417" s="112"/>
      <c r="M417" s="112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</row>
    <row r="418" spans="1:29" ht="12" customHeight="1">
      <c r="A418" s="108"/>
      <c r="B418" s="109"/>
      <c r="C418" s="109"/>
      <c r="D418" s="109"/>
      <c r="E418" s="109"/>
      <c r="F418" s="109"/>
      <c r="G418" s="111"/>
      <c r="H418" s="111"/>
      <c r="I418" s="112"/>
      <c r="J418" s="112"/>
      <c r="K418" s="112"/>
      <c r="L418" s="112"/>
      <c r="M418" s="112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</row>
    <row r="419" spans="1:29" ht="12" customHeight="1">
      <c r="A419" s="108"/>
      <c r="B419" s="109"/>
      <c r="C419" s="109"/>
      <c r="D419" s="109"/>
      <c r="E419" s="109"/>
      <c r="F419" s="109"/>
      <c r="G419" s="111"/>
      <c r="H419" s="111"/>
      <c r="I419" s="112"/>
      <c r="J419" s="112"/>
      <c r="K419" s="112"/>
      <c r="L419" s="112"/>
      <c r="M419" s="112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</row>
    <row r="420" spans="1:29" ht="12" customHeight="1">
      <c r="A420" s="108"/>
      <c r="B420" s="109"/>
      <c r="C420" s="109"/>
      <c r="D420" s="109"/>
      <c r="E420" s="109"/>
      <c r="F420" s="109"/>
      <c r="G420" s="111"/>
      <c r="H420" s="111"/>
      <c r="I420" s="112"/>
      <c r="J420" s="112"/>
      <c r="K420" s="112"/>
      <c r="L420" s="112"/>
      <c r="M420" s="112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</row>
    <row r="421" spans="1:29" ht="12" customHeight="1">
      <c r="A421" s="108"/>
      <c r="B421" s="109"/>
      <c r="C421" s="109"/>
      <c r="D421" s="109"/>
      <c r="E421" s="109"/>
      <c r="F421" s="109"/>
      <c r="G421" s="111"/>
      <c r="H421" s="111"/>
      <c r="I421" s="112"/>
      <c r="J421" s="112"/>
      <c r="K421" s="112"/>
      <c r="L421" s="112"/>
      <c r="M421" s="112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</row>
    <row r="422" spans="1:29" ht="12" customHeight="1">
      <c r="A422" s="108"/>
      <c r="B422" s="109"/>
      <c r="C422" s="109"/>
      <c r="D422" s="109"/>
      <c r="E422" s="109"/>
      <c r="F422" s="109"/>
      <c r="G422" s="111"/>
      <c r="H422" s="111"/>
      <c r="I422" s="112"/>
      <c r="J422" s="112"/>
      <c r="K422" s="112"/>
      <c r="L422" s="112"/>
      <c r="M422" s="112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</row>
    <row r="423" spans="1:29" ht="12" customHeight="1">
      <c r="A423" s="108"/>
      <c r="B423" s="109"/>
      <c r="C423" s="109"/>
      <c r="D423" s="109"/>
      <c r="E423" s="109"/>
      <c r="F423" s="109"/>
      <c r="G423" s="111"/>
      <c r="H423" s="111"/>
      <c r="I423" s="112"/>
      <c r="J423" s="112"/>
      <c r="K423" s="112"/>
      <c r="L423" s="112"/>
      <c r="M423" s="112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</row>
    <row r="424" spans="1:29" ht="12" customHeight="1">
      <c r="A424" s="108"/>
      <c r="B424" s="109"/>
      <c r="C424" s="109"/>
      <c r="D424" s="109"/>
      <c r="E424" s="109"/>
      <c r="F424" s="109"/>
      <c r="G424" s="111"/>
      <c r="H424" s="111"/>
      <c r="I424" s="112"/>
      <c r="J424" s="112"/>
      <c r="K424" s="112"/>
      <c r="L424" s="112"/>
      <c r="M424" s="112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</row>
    <row r="425" spans="1:29" ht="12" customHeight="1">
      <c r="A425" s="108"/>
      <c r="B425" s="109"/>
      <c r="C425" s="109"/>
      <c r="D425" s="109"/>
      <c r="E425" s="109"/>
      <c r="F425" s="109"/>
      <c r="G425" s="111"/>
      <c r="H425" s="111"/>
      <c r="I425" s="112"/>
      <c r="J425" s="112"/>
      <c r="K425" s="112"/>
      <c r="L425" s="112"/>
      <c r="M425" s="112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</row>
    <row r="426" spans="1:29" ht="12" customHeight="1">
      <c r="A426" s="108"/>
      <c r="B426" s="109"/>
      <c r="C426" s="109"/>
      <c r="D426" s="109"/>
      <c r="E426" s="109"/>
      <c r="F426" s="109"/>
      <c r="G426" s="111"/>
      <c r="H426" s="111"/>
      <c r="I426" s="112"/>
      <c r="J426" s="112"/>
      <c r="K426" s="112"/>
      <c r="L426" s="112"/>
      <c r="M426" s="112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</row>
    <row r="427" spans="1:29" ht="12" customHeight="1">
      <c r="A427" s="108"/>
      <c r="B427" s="109"/>
      <c r="C427" s="109"/>
      <c r="D427" s="109"/>
      <c r="E427" s="109"/>
      <c r="F427" s="109"/>
      <c r="G427" s="111"/>
      <c r="H427" s="111"/>
      <c r="I427" s="112"/>
      <c r="J427" s="112"/>
      <c r="K427" s="112"/>
      <c r="L427" s="112"/>
      <c r="M427" s="112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</row>
    <row r="428" spans="1:29" ht="12" customHeight="1">
      <c r="A428" s="108"/>
      <c r="B428" s="109"/>
      <c r="C428" s="109"/>
      <c r="D428" s="109"/>
      <c r="E428" s="109"/>
      <c r="F428" s="109"/>
      <c r="G428" s="111"/>
      <c r="H428" s="111"/>
      <c r="I428" s="112"/>
      <c r="J428" s="112"/>
      <c r="K428" s="112"/>
      <c r="L428" s="112"/>
      <c r="M428" s="112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</row>
    <row r="429" spans="1:29" ht="12" customHeight="1">
      <c r="A429" s="108"/>
      <c r="B429" s="109"/>
      <c r="C429" s="109"/>
      <c r="D429" s="109"/>
      <c r="E429" s="109"/>
      <c r="F429" s="109"/>
      <c r="G429" s="111"/>
      <c r="H429" s="111"/>
      <c r="I429" s="112"/>
      <c r="J429" s="112"/>
      <c r="K429" s="112"/>
      <c r="L429" s="112"/>
      <c r="M429" s="112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</row>
    <row r="430" spans="1:29" ht="12" customHeight="1">
      <c r="A430" s="108"/>
      <c r="B430" s="109"/>
      <c r="C430" s="109"/>
      <c r="D430" s="109"/>
      <c r="E430" s="109"/>
      <c r="F430" s="109"/>
      <c r="G430" s="111"/>
      <c r="H430" s="111"/>
      <c r="I430" s="112"/>
      <c r="J430" s="112"/>
      <c r="K430" s="112"/>
      <c r="L430" s="112"/>
      <c r="M430" s="112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</row>
    <row r="431" spans="1:29" ht="12" customHeight="1">
      <c r="A431" s="108"/>
      <c r="B431" s="109"/>
      <c r="C431" s="109"/>
      <c r="D431" s="109"/>
      <c r="E431" s="109"/>
      <c r="F431" s="109"/>
      <c r="G431" s="111"/>
      <c r="H431" s="111"/>
      <c r="I431" s="112"/>
      <c r="J431" s="112"/>
      <c r="K431" s="112"/>
      <c r="L431" s="112"/>
      <c r="M431" s="112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</row>
    <row r="432" spans="1:29" ht="12" customHeight="1">
      <c r="A432" s="108"/>
      <c r="B432" s="109"/>
      <c r="C432" s="109"/>
      <c r="D432" s="109"/>
      <c r="E432" s="109"/>
      <c r="F432" s="109"/>
      <c r="G432" s="111"/>
      <c r="H432" s="111"/>
      <c r="I432" s="112"/>
      <c r="J432" s="112"/>
      <c r="K432" s="112"/>
      <c r="L432" s="112"/>
      <c r="M432" s="112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</row>
    <row r="433" spans="1:29" ht="12" customHeight="1">
      <c r="A433" s="108"/>
      <c r="B433" s="109"/>
      <c r="C433" s="109"/>
      <c r="D433" s="109"/>
      <c r="E433" s="109"/>
      <c r="F433" s="109"/>
      <c r="G433" s="111"/>
      <c r="H433" s="111"/>
      <c r="I433" s="112"/>
      <c r="J433" s="112"/>
      <c r="K433" s="112"/>
      <c r="L433" s="112"/>
      <c r="M433" s="112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</row>
    <row r="434" spans="1:29" ht="12" customHeight="1">
      <c r="A434" s="108"/>
      <c r="B434" s="109"/>
      <c r="C434" s="109"/>
      <c r="D434" s="109"/>
      <c r="E434" s="109"/>
      <c r="F434" s="109"/>
      <c r="G434" s="111"/>
      <c r="H434" s="111"/>
      <c r="I434" s="112"/>
      <c r="J434" s="112"/>
      <c r="K434" s="112"/>
      <c r="L434" s="112"/>
      <c r="M434" s="112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</row>
    <row r="435" spans="1:29" ht="12" customHeight="1">
      <c r="A435" s="108"/>
      <c r="B435" s="109"/>
      <c r="C435" s="109"/>
      <c r="D435" s="109"/>
      <c r="E435" s="109"/>
      <c r="F435" s="109"/>
      <c r="G435" s="111"/>
      <c r="H435" s="111"/>
      <c r="I435" s="112"/>
      <c r="J435" s="112"/>
      <c r="K435" s="112"/>
      <c r="L435" s="112"/>
      <c r="M435" s="112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</row>
    <row r="436" spans="1:29" ht="12" customHeight="1">
      <c r="A436" s="108"/>
      <c r="B436" s="109"/>
      <c r="C436" s="109"/>
      <c r="D436" s="109"/>
      <c r="E436" s="109"/>
      <c r="F436" s="109"/>
      <c r="G436" s="111"/>
      <c r="H436" s="111"/>
      <c r="I436" s="112"/>
      <c r="J436" s="112"/>
      <c r="K436" s="112"/>
      <c r="L436" s="112"/>
      <c r="M436" s="112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</row>
    <row r="437" spans="1:29" ht="12" customHeight="1">
      <c r="A437" s="108"/>
      <c r="B437" s="109"/>
      <c r="C437" s="109"/>
      <c r="D437" s="109"/>
      <c r="E437" s="109"/>
      <c r="F437" s="109"/>
      <c r="G437" s="111"/>
      <c r="H437" s="111"/>
      <c r="I437" s="112"/>
      <c r="J437" s="112"/>
      <c r="K437" s="112"/>
      <c r="L437" s="112"/>
      <c r="M437" s="112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</row>
    <row r="438" spans="1:29" ht="12" customHeight="1">
      <c r="A438" s="108"/>
      <c r="B438" s="109"/>
      <c r="C438" s="109"/>
      <c r="D438" s="109"/>
      <c r="E438" s="109"/>
      <c r="F438" s="109"/>
      <c r="G438" s="111"/>
      <c r="H438" s="111"/>
      <c r="I438" s="112"/>
      <c r="J438" s="112"/>
      <c r="K438" s="112"/>
      <c r="L438" s="112"/>
      <c r="M438" s="112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</row>
    <row r="439" spans="1:29" ht="12" customHeight="1">
      <c r="A439" s="108"/>
      <c r="B439" s="109"/>
      <c r="C439" s="109"/>
      <c r="D439" s="109"/>
      <c r="E439" s="109"/>
      <c r="F439" s="109"/>
      <c r="G439" s="111"/>
      <c r="H439" s="111"/>
      <c r="I439" s="112"/>
      <c r="J439" s="112"/>
      <c r="K439" s="112"/>
      <c r="L439" s="112"/>
      <c r="M439" s="112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</row>
    <row r="440" spans="1:29" ht="12" customHeight="1">
      <c r="A440" s="108"/>
      <c r="B440" s="109"/>
      <c r="C440" s="109"/>
      <c r="D440" s="109"/>
      <c r="E440" s="109"/>
      <c r="F440" s="109"/>
      <c r="G440" s="111"/>
      <c r="H440" s="111"/>
      <c r="I440" s="112"/>
      <c r="J440" s="112"/>
      <c r="K440" s="112"/>
      <c r="L440" s="112"/>
      <c r="M440" s="112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</row>
    <row r="441" spans="1:29" ht="12" customHeight="1">
      <c r="A441" s="108"/>
      <c r="B441" s="109"/>
      <c r="C441" s="109"/>
      <c r="D441" s="109"/>
      <c r="E441" s="109"/>
      <c r="F441" s="109"/>
      <c r="G441" s="111"/>
      <c r="H441" s="111"/>
      <c r="I441" s="112"/>
      <c r="J441" s="112"/>
      <c r="K441" s="112"/>
      <c r="L441" s="112"/>
      <c r="M441" s="112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</row>
    <row r="442" spans="1:29" ht="12" customHeight="1">
      <c r="A442" s="108"/>
      <c r="B442" s="109"/>
      <c r="C442" s="109"/>
      <c r="D442" s="109"/>
      <c r="E442" s="109"/>
      <c r="F442" s="109"/>
      <c r="G442" s="111"/>
      <c r="H442" s="111"/>
      <c r="I442" s="112"/>
      <c r="J442" s="112"/>
      <c r="K442" s="112"/>
      <c r="L442" s="112"/>
      <c r="M442" s="112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</row>
    <row r="443" spans="1:29" ht="12" customHeight="1">
      <c r="A443" s="108"/>
      <c r="B443" s="109"/>
      <c r="C443" s="109"/>
      <c r="D443" s="109"/>
      <c r="E443" s="109"/>
      <c r="F443" s="109"/>
      <c r="G443" s="111"/>
      <c r="H443" s="111"/>
      <c r="I443" s="112"/>
      <c r="J443" s="112"/>
      <c r="K443" s="112"/>
      <c r="L443" s="112"/>
      <c r="M443" s="112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</row>
    <row r="444" spans="1:29" ht="12" customHeight="1">
      <c r="A444" s="108"/>
      <c r="B444" s="109"/>
      <c r="C444" s="109"/>
      <c r="D444" s="109"/>
      <c r="E444" s="109"/>
      <c r="F444" s="109"/>
      <c r="G444" s="111"/>
      <c r="H444" s="111"/>
      <c r="I444" s="112"/>
      <c r="J444" s="112"/>
      <c r="K444" s="112"/>
      <c r="L444" s="112"/>
      <c r="M444" s="112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</row>
    <row r="445" spans="1:29" ht="12" customHeight="1">
      <c r="A445" s="108"/>
      <c r="B445" s="109"/>
      <c r="C445" s="109"/>
      <c r="D445" s="109"/>
      <c r="E445" s="109"/>
      <c r="F445" s="109"/>
      <c r="G445" s="111"/>
      <c r="H445" s="111"/>
      <c r="I445" s="112"/>
      <c r="J445" s="112"/>
      <c r="K445" s="112"/>
      <c r="L445" s="112"/>
      <c r="M445" s="112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</row>
    <row r="446" spans="1:29" ht="12" customHeight="1">
      <c r="A446" s="108"/>
      <c r="B446" s="109"/>
      <c r="C446" s="109"/>
      <c r="D446" s="109"/>
      <c r="E446" s="109"/>
      <c r="F446" s="109"/>
      <c r="G446" s="111"/>
      <c r="H446" s="111"/>
      <c r="I446" s="112"/>
      <c r="J446" s="112"/>
      <c r="K446" s="112"/>
      <c r="L446" s="112"/>
      <c r="M446" s="112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</row>
    <row r="447" spans="1:29" ht="12" customHeight="1">
      <c r="A447" s="108"/>
      <c r="B447" s="109"/>
      <c r="C447" s="109"/>
      <c r="D447" s="109"/>
      <c r="E447" s="109"/>
      <c r="F447" s="109"/>
      <c r="G447" s="111"/>
      <c r="H447" s="111"/>
      <c r="I447" s="112"/>
      <c r="J447" s="112"/>
      <c r="K447" s="112"/>
      <c r="L447" s="112"/>
      <c r="M447" s="112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</row>
    <row r="448" spans="1:29" ht="12" customHeight="1">
      <c r="A448" s="108"/>
      <c r="B448" s="109"/>
      <c r="C448" s="109"/>
      <c r="D448" s="109"/>
      <c r="E448" s="109"/>
      <c r="F448" s="109"/>
      <c r="G448" s="111"/>
      <c r="H448" s="111"/>
      <c r="I448" s="112"/>
      <c r="J448" s="112"/>
      <c r="K448" s="112"/>
      <c r="L448" s="112"/>
      <c r="M448" s="112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</row>
    <row r="449" spans="1:29" ht="12" customHeight="1">
      <c r="A449" s="108"/>
      <c r="B449" s="109"/>
      <c r="C449" s="109"/>
      <c r="D449" s="109"/>
      <c r="E449" s="109"/>
      <c r="F449" s="109"/>
      <c r="G449" s="111"/>
      <c r="H449" s="111"/>
      <c r="I449" s="112"/>
      <c r="J449" s="112"/>
      <c r="K449" s="112"/>
      <c r="L449" s="112"/>
      <c r="M449" s="112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</row>
    <row r="450" spans="1:29" ht="12" customHeight="1">
      <c r="A450" s="108"/>
      <c r="B450" s="109"/>
      <c r="C450" s="109"/>
      <c r="D450" s="109"/>
      <c r="E450" s="109"/>
      <c r="F450" s="109"/>
      <c r="G450" s="111"/>
      <c r="H450" s="111"/>
      <c r="I450" s="112"/>
      <c r="J450" s="112"/>
      <c r="K450" s="112"/>
      <c r="L450" s="112"/>
      <c r="M450" s="112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</row>
    <row r="451" spans="1:29" ht="12" customHeight="1">
      <c r="A451" s="108"/>
      <c r="B451" s="109"/>
      <c r="C451" s="109"/>
      <c r="D451" s="109"/>
      <c r="E451" s="109"/>
      <c r="F451" s="109"/>
      <c r="G451" s="111"/>
      <c r="H451" s="111"/>
      <c r="I451" s="112"/>
      <c r="J451" s="112"/>
      <c r="K451" s="112"/>
      <c r="L451" s="112"/>
      <c r="M451" s="112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</row>
    <row r="452" spans="1:29" ht="12" customHeight="1">
      <c r="A452" s="108"/>
      <c r="B452" s="109"/>
      <c r="C452" s="109"/>
      <c r="D452" s="109"/>
      <c r="E452" s="109"/>
      <c r="F452" s="109"/>
      <c r="G452" s="111"/>
      <c r="H452" s="111"/>
      <c r="I452" s="112"/>
      <c r="J452" s="112"/>
      <c r="K452" s="112"/>
      <c r="L452" s="112"/>
      <c r="M452" s="112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</row>
    <row r="453" spans="1:29" ht="12" customHeight="1">
      <c r="A453" s="108"/>
      <c r="B453" s="109"/>
      <c r="C453" s="109"/>
      <c r="D453" s="109"/>
      <c r="E453" s="109"/>
      <c r="F453" s="109"/>
      <c r="G453" s="111"/>
      <c r="H453" s="111"/>
      <c r="I453" s="112"/>
      <c r="J453" s="112"/>
      <c r="K453" s="112"/>
      <c r="L453" s="112"/>
      <c r="M453" s="112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</row>
    <row r="454" spans="1:29" ht="12" customHeight="1">
      <c r="A454" s="108"/>
      <c r="B454" s="109"/>
      <c r="C454" s="109"/>
      <c r="D454" s="109"/>
      <c r="E454" s="109"/>
      <c r="F454" s="109"/>
      <c r="G454" s="111"/>
      <c r="H454" s="111"/>
      <c r="I454" s="112"/>
      <c r="J454" s="112"/>
      <c r="K454" s="112"/>
      <c r="L454" s="112"/>
      <c r="M454" s="112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</row>
    <row r="455" spans="1:29" ht="12" customHeight="1">
      <c r="A455" s="108"/>
      <c r="B455" s="109"/>
      <c r="C455" s="109"/>
      <c r="D455" s="109"/>
      <c r="E455" s="109"/>
      <c r="F455" s="109"/>
      <c r="G455" s="111"/>
      <c r="H455" s="111"/>
      <c r="I455" s="112"/>
      <c r="J455" s="112"/>
      <c r="K455" s="112"/>
      <c r="L455" s="112"/>
      <c r="M455" s="112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</row>
    <row r="456" spans="1:29" ht="12" customHeight="1">
      <c r="A456" s="108"/>
      <c r="B456" s="109"/>
      <c r="C456" s="109"/>
      <c r="D456" s="109"/>
      <c r="E456" s="109"/>
      <c r="F456" s="109"/>
      <c r="G456" s="111"/>
      <c r="H456" s="111"/>
      <c r="I456" s="112"/>
      <c r="J456" s="112"/>
      <c r="K456" s="112"/>
      <c r="L456" s="112"/>
      <c r="M456" s="112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</row>
    <row r="457" spans="1:29" ht="12" customHeight="1">
      <c r="A457" s="108"/>
      <c r="B457" s="109"/>
      <c r="C457" s="109"/>
      <c r="D457" s="109"/>
      <c r="E457" s="109"/>
      <c r="F457" s="109"/>
      <c r="G457" s="111"/>
      <c r="H457" s="111"/>
      <c r="I457" s="112"/>
      <c r="J457" s="112"/>
      <c r="K457" s="112"/>
      <c r="L457" s="112"/>
      <c r="M457" s="112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</row>
    <row r="458" spans="1:29" ht="12" customHeight="1">
      <c r="A458" s="108"/>
      <c r="B458" s="109"/>
      <c r="C458" s="109"/>
      <c r="D458" s="109"/>
      <c r="E458" s="109"/>
      <c r="F458" s="109"/>
      <c r="G458" s="111"/>
      <c r="H458" s="111"/>
      <c r="I458" s="112"/>
      <c r="J458" s="112"/>
      <c r="K458" s="112"/>
      <c r="L458" s="112"/>
      <c r="M458" s="112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</row>
    <row r="459" spans="1:29" ht="12" customHeight="1">
      <c r="A459" s="108"/>
      <c r="B459" s="109"/>
      <c r="C459" s="109"/>
      <c r="D459" s="109"/>
      <c r="E459" s="109"/>
      <c r="F459" s="109"/>
      <c r="G459" s="111"/>
      <c r="H459" s="111"/>
      <c r="I459" s="112"/>
      <c r="J459" s="112"/>
      <c r="K459" s="112"/>
      <c r="L459" s="112"/>
      <c r="M459" s="112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</row>
    <row r="460" spans="1:29" ht="12" customHeight="1">
      <c r="A460" s="108"/>
      <c r="B460" s="109"/>
      <c r="C460" s="109"/>
      <c r="D460" s="109"/>
      <c r="E460" s="109"/>
      <c r="F460" s="109"/>
      <c r="G460" s="111"/>
      <c r="H460" s="111"/>
      <c r="I460" s="112"/>
      <c r="J460" s="112"/>
      <c r="K460" s="112"/>
      <c r="L460" s="112"/>
      <c r="M460" s="112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</row>
    <row r="461" spans="1:29" ht="12" customHeight="1">
      <c r="A461" s="108"/>
      <c r="B461" s="109"/>
      <c r="C461" s="109"/>
      <c r="D461" s="109"/>
      <c r="E461" s="109"/>
      <c r="F461" s="109"/>
      <c r="G461" s="111"/>
      <c r="H461" s="111"/>
      <c r="I461" s="112"/>
      <c r="J461" s="112"/>
      <c r="K461" s="112"/>
      <c r="L461" s="112"/>
      <c r="M461" s="112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</row>
    <row r="462" spans="1:29" ht="12" customHeight="1">
      <c r="A462" s="108"/>
      <c r="B462" s="109"/>
      <c r="C462" s="109"/>
      <c r="D462" s="109"/>
      <c r="E462" s="109"/>
      <c r="F462" s="109"/>
      <c r="G462" s="111"/>
      <c r="H462" s="111"/>
      <c r="I462" s="112"/>
      <c r="J462" s="112"/>
      <c r="K462" s="112"/>
      <c r="L462" s="112"/>
      <c r="M462" s="112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</row>
    <row r="463" spans="1:29" ht="12" customHeight="1">
      <c r="A463" s="108"/>
      <c r="B463" s="109"/>
      <c r="C463" s="109"/>
      <c r="D463" s="109"/>
      <c r="E463" s="109"/>
      <c r="F463" s="109"/>
      <c r="G463" s="111"/>
      <c r="H463" s="111"/>
      <c r="I463" s="112"/>
      <c r="J463" s="112"/>
      <c r="K463" s="112"/>
      <c r="L463" s="112"/>
      <c r="M463" s="112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</row>
    <row r="464" spans="1:29" ht="12" customHeight="1">
      <c r="A464" s="108"/>
      <c r="B464" s="109"/>
      <c r="C464" s="109"/>
      <c r="D464" s="109"/>
      <c r="E464" s="109"/>
      <c r="F464" s="109"/>
      <c r="G464" s="111"/>
      <c r="H464" s="111"/>
      <c r="I464" s="112"/>
      <c r="J464" s="112"/>
      <c r="K464" s="112"/>
      <c r="L464" s="112"/>
      <c r="M464" s="112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</row>
    <row r="465" spans="1:29" ht="12" customHeight="1">
      <c r="A465" s="108"/>
      <c r="B465" s="109"/>
      <c r="C465" s="109"/>
      <c r="D465" s="109"/>
      <c r="E465" s="109"/>
      <c r="F465" s="109"/>
      <c r="G465" s="111"/>
      <c r="H465" s="111"/>
      <c r="I465" s="112"/>
      <c r="J465" s="112"/>
      <c r="K465" s="112"/>
      <c r="L465" s="112"/>
      <c r="M465" s="112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</row>
    <row r="466" spans="1:29" ht="12" customHeight="1">
      <c r="A466" s="108"/>
      <c r="B466" s="109"/>
      <c r="C466" s="109"/>
      <c r="D466" s="109"/>
      <c r="E466" s="109"/>
      <c r="F466" s="109"/>
      <c r="G466" s="111"/>
      <c r="H466" s="111"/>
      <c r="I466" s="112"/>
      <c r="J466" s="112"/>
      <c r="K466" s="112"/>
      <c r="L466" s="112"/>
      <c r="M466" s="112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</row>
    <row r="467" spans="1:29" ht="12" customHeight="1">
      <c r="A467" s="108"/>
      <c r="B467" s="109"/>
      <c r="C467" s="109"/>
      <c r="D467" s="109"/>
      <c r="E467" s="109"/>
      <c r="F467" s="109"/>
      <c r="G467" s="111"/>
      <c r="H467" s="111"/>
      <c r="I467" s="112"/>
      <c r="J467" s="112"/>
      <c r="K467" s="112"/>
      <c r="L467" s="112"/>
      <c r="M467" s="112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</row>
    <row r="468" spans="1:29" ht="12" customHeight="1">
      <c r="A468" s="108"/>
      <c r="B468" s="109"/>
      <c r="C468" s="109"/>
      <c r="D468" s="109"/>
      <c r="E468" s="109"/>
      <c r="F468" s="109"/>
      <c r="G468" s="111"/>
      <c r="H468" s="111"/>
      <c r="I468" s="112"/>
      <c r="J468" s="112"/>
      <c r="K468" s="112"/>
      <c r="L468" s="112"/>
      <c r="M468" s="112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</row>
    <row r="469" spans="1:29" ht="12" customHeight="1">
      <c r="A469" s="108"/>
      <c r="B469" s="109"/>
      <c r="C469" s="109"/>
      <c r="D469" s="109"/>
      <c r="E469" s="109"/>
      <c r="F469" s="109"/>
      <c r="G469" s="111"/>
      <c r="H469" s="111"/>
      <c r="I469" s="112"/>
      <c r="J469" s="112"/>
      <c r="K469" s="112"/>
      <c r="L469" s="112"/>
      <c r="M469" s="112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</row>
    <row r="470" spans="1:29" ht="12" customHeight="1">
      <c r="A470" s="108"/>
      <c r="B470" s="109"/>
      <c r="C470" s="109"/>
      <c r="D470" s="109"/>
      <c r="E470" s="109"/>
      <c r="F470" s="109"/>
      <c r="G470" s="111"/>
      <c r="H470" s="111"/>
      <c r="I470" s="112"/>
      <c r="J470" s="112"/>
      <c r="K470" s="112"/>
      <c r="L470" s="112"/>
      <c r="M470" s="112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</row>
    <row r="471" spans="1:29" ht="12" customHeight="1">
      <c r="A471" s="108"/>
      <c r="B471" s="109"/>
      <c r="C471" s="109"/>
      <c r="D471" s="109"/>
      <c r="E471" s="109"/>
      <c r="F471" s="109"/>
      <c r="G471" s="111"/>
      <c r="H471" s="111"/>
      <c r="I471" s="112"/>
      <c r="J471" s="112"/>
      <c r="K471" s="112"/>
      <c r="L471" s="112"/>
      <c r="M471" s="112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</row>
    <row r="472" spans="1:29" ht="12" customHeight="1">
      <c r="A472" s="108"/>
      <c r="B472" s="109"/>
      <c r="C472" s="109"/>
      <c r="D472" s="109"/>
      <c r="E472" s="109"/>
      <c r="F472" s="109"/>
      <c r="G472" s="111"/>
      <c r="H472" s="111"/>
      <c r="I472" s="112"/>
      <c r="J472" s="112"/>
      <c r="K472" s="112"/>
      <c r="L472" s="112"/>
      <c r="M472" s="112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</row>
    <row r="473" spans="1:29" ht="12" customHeight="1">
      <c r="A473" s="108"/>
      <c r="B473" s="109"/>
      <c r="C473" s="109"/>
      <c r="D473" s="109"/>
      <c r="E473" s="109"/>
      <c r="F473" s="109"/>
      <c r="G473" s="111"/>
      <c r="H473" s="111"/>
      <c r="I473" s="112"/>
      <c r="J473" s="112"/>
      <c r="K473" s="112"/>
      <c r="L473" s="112"/>
      <c r="M473" s="112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</row>
    <row r="474" spans="1:29" ht="12" customHeight="1">
      <c r="A474" s="108"/>
      <c r="B474" s="109"/>
      <c r="C474" s="109"/>
      <c r="D474" s="109"/>
      <c r="E474" s="109"/>
      <c r="F474" s="109"/>
      <c r="G474" s="111"/>
      <c r="H474" s="111"/>
      <c r="I474" s="112"/>
      <c r="J474" s="112"/>
      <c r="K474" s="112"/>
      <c r="L474" s="112"/>
      <c r="M474" s="112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</row>
    <row r="475" spans="1:29" ht="12" customHeight="1">
      <c r="A475" s="108"/>
      <c r="B475" s="109"/>
      <c r="C475" s="109"/>
      <c r="D475" s="109"/>
      <c r="E475" s="109"/>
      <c r="F475" s="109"/>
      <c r="G475" s="111"/>
      <c r="H475" s="111"/>
      <c r="I475" s="112"/>
      <c r="J475" s="112"/>
      <c r="K475" s="112"/>
      <c r="L475" s="112"/>
      <c r="M475" s="112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</row>
    <row r="476" spans="1:29" ht="12" customHeight="1">
      <c r="A476" s="108"/>
      <c r="B476" s="109"/>
      <c r="C476" s="109"/>
      <c r="D476" s="109"/>
      <c r="E476" s="109"/>
      <c r="F476" s="109"/>
      <c r="G476" s="111"/>
      <c r="H476" s="111"/>
      <c r="I476" s="112"/>
      <c r="J476" s="112"/>
      <c r="K476" s="112"/>
      <c r="L476" s="112"/>
      <c r="M476" s="112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</row>
    <row r="477" spans="1:29" ht="12" customHeight="1">
      <c r="A477" s="108"/>
      <c r="B477" s="109"/>
      <c r="C477" s="109"/>
      <c r="D477" s="109"/>
      <c r="E477" s="109"/>
      <c r="F477" s="109"/>
      <c r="G477" s="111"/>
      <c r="H477" s="111"/>
      <c r="I477" s="112"/>
      <c r="J477" s="112"/>
      <c r="K477" s="112"/>
      <c r="L477" s="112"/>
      <c r="M477" s="112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</row>
    <row r="478" spans="1:29" ht="12" customHeight="1">
      <c r="A478" s="108"/>
      <c r="B478" s="109"/>
      <c r="C478" s="109"/>
      <c r="D478" s="109"/>
      <c r="E478" s="109"/>
      <c r="F478" s="109"/>
      <c r="G478" s="111"/>
      <c r="H478" s="111"/>
      <c r="I478" s="112"/>
      <c r="J478" s="112"/>
      <c r="K478" s="112"/>
      <c r="L478" s="112"/>
      <c r="M478" s="112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</row>
    <row r="479" spans="1:29" ht="12" customHeight="1">
      <c r="A479" s="108"/>
      <c r="B479" s="109"/>
      <c r="C479" s="109"/>
      <c r="D479" s="109"/>
      <c r="E479" s="109"/>
      <c r="F479" s="109"/>
      <c r="G479" s="111"/>
      <c r="H479" s="111"/>
      <c r="I479" s="112"/>
      <c r="J479" s="112"/>
      <c r="K479" s="112"/>
      <c r="L479" s="112"/>
      <c r="M479" s="112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</row>
    <row r="480" spans="1:29" ht="12" customHeight="1">
      <c r="A480" s="108"/>
      <c r="B480" s="109"/>
      <c r="C480" s="109"/>
      <c r="D480" s="109"/>
      <c r="E480" s="109"/>
      <c r="F480" s="109"/>
      <c r="G480" s="111"/>
      <c r="H480" s="111"/>
      <c r="I480" s="112"/>
      <c r="J480" s="112"/>
      <c r="K480" s="112"/>
      <c r="L480" s="112"/>
      <c r="M480" s="112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</row>
    <row r="481" spans="1:29" ht="12" customHeight="1">
      <c r="A481" s="108"/>
      <c r="B481" s="109"/>
      <c r="C481" s="109"/>
      <c r="D481" s="109"/>
      <c r="E481" s="109"/>
      <c r="F481" s="109"/>
      <c r="G481" s="111"/>
      <c r="H481" s="111"/>
      <c r="I481" s="112"/>
      <c r="J481" s="112"/>
      <c r="K481" s="112"/>
      <c r="L481" s="112"/>
      <c r="M481" s="112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</row>
    <row r="482" spans="1:29" ht="12" customHeight="1">
      <c r="A482" s="108"/>
      <c r="B482" s="109"/>
      <c r="C482" s="109"/>
      <c r="D482" s="109"/>
      <c r="E482" s="109"/>
      <c r="F482" s="109"/>
      <c r="G482" s="111"/>
      <c r="H482" s="111"/>
      <c r="I482" s="112"/>
      <c r="J482" s="112"/>
      <c r="K482" s="112"/>
      <c r="L482" s="112"/>
      <c r="M482" s="112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</row>
    <row r="483" spans="1:29" ht="12" customHeight="1">
      <c r="A483" s="108"/>
      <c r="B483" s="109"/>
      <c r="C483" s="109"/>
      <c r="D483" s="109"/>
      <c r="E483" s="109"/>
      <c r="F483" s="109"/>
      <c r="G483" s="111"/>
      <c r="H483" s="111"/>
      <c r="I483" s="112"/>
      <c r="J483" s="112"/>
      <c r="K483" s="112"/>
      <c r="L483" s="112"/>
      <c r="M483" s="112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</row>
    <row r="484" spans="1:29" ht="12" customHeight="1">
      <c r="A484" s="108"/>
      <c r="B484" s="109"/>
      <c r="C484" s="109"/>
      <c r="D484" s="109"/>
      <c r="E484" s="109"/>
      <c r="F484" s="109"/>
      <c r="G484" s="111"/>
      <c r="H484" s="111"/>
      <c r="I484" s="112"/>
      <c r="J484" s="112"/>
      <c r="K484" s="112"/>
      <c r="L484" s="112"/>
      <c r="M484" s="112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</row>
    <row r="485" spans="1:29" ht="12" customHeight="1">
      <c r="A485" s="108"/>
      <c r="B485" s="109"/>
      <c r="C485" s="109"/>
      <c r="D485" s="109"/>
      <c r="E485" s="109"/>
      <c r="F485" s="109"/>
      <c r="G485" s="111"/>
      <c r="H485" s="111"/>
      <c r="I485" s="112"/>
      <c r="J485" s="112"/>
      <c r="K485" s="112"/>
      <c r="L485" s="112"/>
      <c r="M485" s="112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</row>
    <row r="486" spans="1:29" ht="12" customHeight="1">
      <c r="A486" s="108"/>
      <c r="B486" s="109"/>
      <c r="C486" s="109"/>
      <c r="D486" s="109"/>
      <c r="E486" s="109"/>
      <c r="F486" s="109"/>
      <c r="G486" s="111"/>
      <c r="H486" s="111"/>
      <c r="I486" s="112"/>
      <c r="J486" s="112"/>
      <c r="K486" s="112"/>
      <c r="L486" s="112"/>
      <c r="M486" s="112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</row>
    <row r="487" spans="1:29" ht="12" customHeight="1">
      <c r="A487" s="108"/>
      <c r="B487" s="109"/>
      <c r="C487" s="109"/>
      <c r="D487" s="109"/>
      <c r="E487" s="109"/>
      <c r="F487" s="109"/>
      <c r="G487" s="111"/>
      <c r="H487" s="111"/>
      <c r="I487" s="112"/>
      <c r="J487" s="112"/>
      <c r="K487" s="112"/>
      <c r="L487" s="112"/>
      <c r="M487" s="112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</row>
    <row r="488" spans="1:29" ht="12" customHeight="1">
      <c r="A488" s="108"/>
      <c r="B488" s="109"/>
      <c r="C488" s="109"/>
      <c r="D488" s="109"/>
      <c r="E488" s="109"/>
      <c r="F488" s="109"/>
      <c r="G488" s="111"/>
      <c r="H488" s="111"/>
      <c r="I488" s="112"/>
      <c r="J488" s="112"/>
      <c r="K488" s="112"/>
      <c r="L488" s="112"/>
      <c r="M488" s="112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</row>
    <row r="489" spans="1:29" ht="12" customHeight="1">
      <c r="A489" s="108"/>
      <c r="B489" s="109"/>
      <c r="C489" s="109"/>
      <c r="D489" s="109"/>
      <c r="E489" s="109"/>
      <c r="F489" s="109"/>
      <c r="G489" s="111"/>
      <c r="H489" s="111"/>
      <c r="I489" s="112"/>
      <c r="J489" s="112"/>
      <c r="K489" s="112"/>
      <c r="L489" s="112"/>
      <c r="M489" s="112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</row>
    <row r="490" spans="1:29" ht="12" customHeight="1">
      <c r="A490" s="108"/>
      <c r="B490" s="109"/>
      <c r="C490" s="109"/>
      <c r="D490" s="109"/>
      <c r="E490" s="109"/>
      <c r="F490" s="109"/>
      <c r="G490" s="111"/>
      <c r="H490" s="111"/>
      <c r="I490" s="112"/>
      <c r="J490" s="112"/>
      <c r="K490" s="112"/>
      <c r="L490" s="112"/>
      <c r="M490" s="112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</row>
    <row r="491" spans="1:29" ht="12" customHeight="1">
      <c r="A491" s="108"/>
      <c r="B491" s="109"/>
      <c r="C491" s="109"/>
      <c r="D491" s="109"/>
      <c r="E491" s="109"/>
      <c r="F491" s="109"/>
      <c r="G491" s="111"/>
      <c r="H491" s="111"/>
      <c r="I491" s="112"/>
      <c r="J491" s="112"/>
      <c r="K491" s="112"/>
      <c r="L491" s="112"/>
      <c r="M491" s="112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</row>
    <row r="492" spans="1:29" ht="12" customHeight="1">
      <c r="A492" s="108"/>
      <c r="B492" s="109"/>
      <c r="C492" s="109"/>
      <c r="D492" s="109"/>
      <c r="E492" s="109"/>
      <c r="F492" s="109"/>
      <c r="G492" s="111"/>
      <c r="H492" s="111"/>
      <c r="I492" s="112"/>
      <c r="J492" s="112"/>
      <c r="K492" s="112"/>
      <c r="L492" s="112"/>
      <c r="M492" s="112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</row>
    <row r="493" spans="1:29" ht="12" customHeight="1">
      <c r="A493" s="108"/>
      <c r="B493" s="109"/>
      <c r="C493" s="109"/>
      <c r="D493" s="109"/>
      <c r="E493" s="109"/>
      <c r="F493" s="109"/>
      <c r="G493" s="111"/>
      <c r="H493" s="111"/>
      <c r="I493" s="112"/>
      <c r="J493" s="112"/>
      <c r="K493" s="112"/>
      <c r="L493" s="112"/>
      <c r="M493" s="112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</row>
    <row r="494" spans="1:29" ht="12" customHeight="1">
      <c r="A494" s="108"/>
      <c r="B494" s="109"/>
      <c r="C494" s="109"/>
      <c r="D494" s="109"/>
      <c r="E494" s="109"/>
      <c r="F494" s="109"/>
      <c r="G494" s="111"/>
      <c r="H494" s="111"/>
      <c r="I494" s="112"/>
      <c r="J494" s="112"/>
      <c r="K494" s="112"/>
      <c r="L494" s="112"/>
      <c r="M494" s="112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</row>
    <row r="495" spans="1:29" ht="12" customHeight="1">
      <c r="A495" s="108"/>
      <c r="B495" s="109"/>
      <c r="C495" s="109"/>
      <c r="D495" s="109"/>
      <c r="E495" s="109"/>
      <c r="F495" s="109"/>
      <c r="G495" s="111"/>
      <c r="H495" s="111"/>
      <c r="I495" s="112"/>
      <c r="J495" s="112"/>
      <c r="K495" s="112"/>
      <c r="L495" s="112"/>
      <c r="M495" s="112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</row>
    <row r="496" spans="1:29" ht="12" customHeight="1">
      <c r="A496" s="108"/>
      <c r="B496" s="109"/>
      <c r="C496" s="109"/>
      <c r="D496" s="109"/>
      <c r="E496" s="109"/>
      <c r="F496" s="109"/>
      <c r="G496" s="111"/>
      <c r="H496" s="111"/>
      <c r="I496" s="112"/>
      <c r="J496" s="112"/>
      <c r="K496" s="112"/>
      <c r="L496" s="112"/>
      <c r="M496" s="112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</row>
    <row r="497" spans="1:29" ht="12" customHeight="1">
      <c r="A497" s="108"/>
      <c r="B497" s="109"/>
      <c r="C497" s="109"/>
      <c r="D497" s="109"/>
      <c r="E497" s="109"/>
      <c r="F497" s="109"/>
      <c r="G497" s="111"/>
      <c r="H497" s="111"/>
      <c r="I497" s="112"/>
      <c r="J497" s="112"/>
      <c r="K497" s="112"/>
      <c r="L497" s="112"/>
      <c r="M497" s="112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</row>
    <row r="498" spans="1:29" ht="12" customHeight="1">
      <c r="A498" s="108"/>
      <c r="B498" s="109"/>
      <c r="C498" s="109"/>
      <c r="D498" s="109"/>
      <c r="E498" s="109"/>
      <c r="F498" s="109"/>
      <c r="G498" s="111"/>
      <c r="H498" s="111"/>
      <c r="I498" s="112"/>
      <c r="J498" s="112"/>
      <c r="K498" s="112"/>
      <c r="L498" s="112"/>
      <c r="M498" s="112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</row>
    <row r="499" spans="1:29" ht="12" customHeight="1">
      <c r="A499" s="108"/>
      <c r="B499" s="109"/>
      <c r="C499" s="109"/>
      <c r="D499" s="109"/>
      <c r="E499" s="109"/>
      <c r="F499" s="109"/>
      <c r="G499" s="111"/>
      <c r="H499" s="111"/>
      <c r="I499" s="112"/>
      <c r="J499" s="112"/>
      <c r="K499" s="112"/>
      <c r="L499" s="112"/>
      <c r="M499" s="112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</row>
    <row r="500" spans="1:29" ht="12" customHeight="1">
      <c r="A500" s="108"/>
      <c r="B500" s="109"/>
      <c r="C500" s="109"/>
      <c r="D500" s="109"/>
      <c r="E500" s="109"/>
      <c r="F500" s="109"/>
      <c r="G500" s="111"/>
      <c r="H500" s="111"/>
      <c r="I500" s="112"/>
      <c r="J500" s="112"/>
      <c r="K500" s="112"/>
      <c r="L500" s="112"/>
      <c r="M500" s="112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</row>
    <row r="501" spans="1:29" ht="12" customHeight="1">
      <c r="A501" s="108"/>
      <c r="B501" s="109"/>
      <c r="C501" s="109"/>
      <c r="D501" s="109"/>
      <c r="E501" s="109"/>
      <c r="F501" s="109"/>
      <c r="G501" s="111"/>
      <c r="H501" s="111"/>
      <c r="I501" s="112"/>
      <c r="J501" s="112"/>
      <c r="K501" s="112"/>
      <c r="L501" s="112"/>
      <c r="M501" s="112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</row>
    <row r="502" spans="1:29" ht="12" customHeight="1">
      <c r="A502" s="108"/>
      <c r="B502" s="109"/>
      <c r="C502" s="109"/>
      <c r="D502" s="109"/>
      <c r="E502" s="109"/>
      <c r="F502" s="109"/>
      <c r="G502" s="111"/>
      <c r="H502" s="111"/>
      <c r="I502" s="112"/>
      <c r="J502" s="112"/>
      <c r="K502" s="112"/>
      <c r="L502" s="112"/>
      <c r="M502" s="112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</row>
    <row r="503" spans="1:29" ht="12" customHeight="1">
      <c r="A503" s="108"/>
      <c r="B503" s="109"/>
      <c r="C503" s="109"/>
      <c r="D503" s="109"/>
      <c r="E503" s="109"/>
      <c r="F503" s="109"/>
      <c r="G503" s="111"/>
      <c r="H503" s="111"/>
      <c r="I503" s="112"/>
      <c r="J503" s="112"/>
      <c r="K503" s="112"/>
      <c r="L503" s="112"/>
      <c r="M503" s="112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</row>
    <row r="504" spans="1:29" ht="12" customHeight="1">
      <c r="A504" s="108"/>
      <c r="B504" s="109"/>
      <c r="C504" s="109"/>
      <c r="D504" s="109"/>
      <c r="E504" s="109"/>
      <c r="F504" s="109"/>
      <c r="G504" s="111"/>
      <c r="H504" s="111"/>
      <c r="I504" s="112"/>
      <c r="J504" s="112"/>
      <c r="K504" s="112"/>
      <c r="L504" s="112"/>
      <c r="M504" s="112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</row>
    <row r="505" spans="1:29" ht="12" customHeight="1">
      <c r="A505" s="108"/>
      <c r="B505" s="109"/>
      <c r="C505" s="109"/>
      <c r="D505" s="109"/>
      <c r="E505" s="109"/>
      <c r="F505" s="109"/>
      <c r="G505" s="111"/>
      <c r="H505" s="111"/>
      <c r="I505" s="112"/>
      <c r="J505" s="112"/>
      <c r="K505" s="112"/>
      <c r="L505" s="112"/>
      <c r="M505" s="112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</row>
    <row r="506" spans="1:29" ht="12" customHeight="1">
      <c r="A506" s="108"/>
      <c r="B506" s="109"/>
      <c r="C506" s="109"/>
      <c r="D506" s="109"/>
      <c r="E506" s="109"/>
      <c r="F506" s="109"/>
      <c r="G506" s="111"/>
      <c r="H506" s="111"/>
      <c r="I506" s="112"/>
      <c r="J506" s="112"/>
      <c r="K506" s="112"/>
      <c r="L506" s="112"/>
      <c r="M506" s="112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</row>
    <row r="507" spans="1:29" ht="12" customHeight="1">
      <c r="A507" s="108"/>
      <c r="B507" s="109"/>
      <c r="C507" s="109"/>
      <c r="D507" s="109"/>
      <c r="E507" s="109"/>
      <c r="F507" s="109"/>
      <c r="G507" s="111"/>
      <c r="H507" s="111"/>
      <c r="I507" s="112"/>
      <c r="J507" s="112"/>
      <c r="K507" s="112"/>
      <c r="L507" s="112"/>
      <c r="M507" s="112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</row>
    <row r="508" spans="1:29" ht="12" customHeight="1">
      <c r="A508" s="108"/>
      <c r="B508" s="109"/>
      <c r="C508" s="109"/>
      <c r="D508" s="109"/>
      <c r="E508" s="109"/>
      <c r="F508" s="109"/>
      <c r="G508" s="111"/>
      <c r="H508" s="111"/>
      <c r="I508" s="112"/>
      <c r="J508" s="112"/>
      <c r="K508" s="112"/>
      <c r="L508" s="112"/>
      <c r="M508" s="112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</row>
    <row r="509" spans="1:29" ht="12" customHeight="1">
      <c r="A509" s="108"/>
      <c r="B509" s="109"/>
      <c r="C509" s="109"/>
      <c r="D509" s="109"/>
      <c r="E509" s="109"/>
      <c r="F509" s="109"/>
      <c r="G509" s="111"/>
      <c r="H509" s="111"/>
      <c r="I509" s="112"/>
      <c r="J509" s="112"/>
      <c r="K509" s="112"/>
      <c r="L509" s="112"/>
      <c r="M509" s="112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</row>
    <row r="510" spans="1:29" ht="12" customHeight="1">
      <c r="A510" s="108"/>
      <c r="B510" s="109"/>
      <c r="C510" s="109"/>
      <c r="D510" s="109"/>
      <c r="E510" s="109"/>
      <c r="F510" s="109"/>
      <c r="G510" s="111"/>
      <c r="H510" s="111"/>
      <c r="I510" s="112"/>
      <c r="J510" s="112"/>
      <c r="K510" s="112"/>
      <c r="L510" s="112"/>
      <c r="M510" s="112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</row>
    <row r="511" spans="1:29" ht="12" customHeight="1">
      <c r="A511" s="108"/>
      <c r="B511" s="109"/>
      <c r="C511" s="109"/>
      <c r="D511" s="109"/>
      <c r="E511" s="109"/>
      <c r="F511" s="109"/>
      <c r="G511" s="111"/>
      <c r="H511" s="111"/>
      <c r="I511" s="112"/>
      <c r="J511" s="112"/>
      <c r="K511" s="112"/>
      <c r="L511" s="112"/>
      <c r="M511" s="112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</row>
    <row r="512" spans="1:29" ht="12" customHeight="1">
      <c r="A512" s="108"/>
      <c r="B512" s="109"/>
      <c r="C512" s="109"/>
      <c r="D512" s="109"/>
      <c r="E512" s="109"/>
      <c r="F512" s="109"/>
      <c r="G512" s="111"/>
      <c r="H512" s="111"/>
      <c r="I512" s="112"/>
      <c r="J512" s="112"/>
      <c r="K512" s="112"/>
      <c r="L512" s="112"/>
      <c r="M512" s="112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</row>
    <row r="513" spans="1:29" ht="12" customHeight="1">
      <c r="A513" s="108"/>
      <c r="B513" s="109"/>
      <c r="C513" s="109"/>
      <c r="D513" s="109"/>
      <c r="E513" s="109"/>
      <c r="F513" s="109"/>
      <c r="G513" s="111"/>
      <c r="H513" s="111"/>
      <c r="I513" s="112"/>
      <c r="J513" s="112"/>
      <c r="K513" s="112"/>
      <c r="L513" s="112"/>
      <c r="M513" s="112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</row>
    <row r="514" spans="1:29" ht="12" customHeight="1">
      <c r="A514" s="108"/>
      <c r="B514" s="109"/>
      <c r="C514" s="109"/>
      <c r="D514" s="109"/>
      <c r="E514" s="109"/>
      <c r="F514" s="109"/>
      <c r="G514" s="111"/>
      <c r="H514" s="111"/>
      <c r="I514" s="112"/>
      <c r="J514" s="112"/>
      <c r="K514" s="112"/>
      <c r="L514" s="112"/>
      <c r="M514" s="112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</row>
    <row r="515" spans="1:29" ht="12" customHeight="1">
      <c r="A515" s="108"/>
      <c r="B515" s="109"/>
      <c r="C515" s="109"/>
      <c r="D515" s="109"/>
      <c r="E515" s="109"/>
      <c r="F515" s="109"/>
      <c r="G515" s="111"/>
      <c r="H515" s="111"/>
      <c r="I515" s="112"/>
      <c r="J515" s="112"/>
      <c r="K515" s="112"/>
      <c r="L515" s="112"/>
      <c r="M515" s="112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</row>
    <row r="516" spans="1:29" ht="12" customHeight="1">
      <c r="A516" s="108"/>
      <c r="B516" s="109"/>
      <c r="C516" s="109"/>
      <c r="D516" s="109"/>
      <c r="E516" s="109"/>
      <c r="F516" s="109"/>
      <c r="G516" s="111"/>
      <c r="H516" s="111"/>
      <c r="I516" s="112"/>
      <c r="J516" s="112"/>
      <c r="K516" s="112"/>
      <c r="L516" s="112"/>
      <c r="M516" s="112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</row>
    <row r="517" spans="1:29" ht="12" customHeight="1">
      <c r="A517" s="108"/>
      <c r="B517" s="109"/>
      <c r="C517" s="109"/>
      <c r="D517" s="109"/>
      <c r="E517" s="109"/>
      <c r="F517" s="109"/>
      <c r="G517" s="111"/>
      <c r="H517" s="111"/>
      <c r="I517" s="112"/>
      <c r="J517" s="112"/>
      <c r="K517" s="112"/>
      <c r="L517" s="112"/>
      <c r="M517" s="112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</row>
    <row r="518" spans="1:29" ht="12" customHeight="1">
      <c r="A518" s="108"/>
      <c r="B518" s="109"/>
      <c r="C518" s="109"/>
      <c r="D518" s="109"/>
      <c r="E518" s="109"/>
      <c r="F518" s="109"/>
      <c r="G518" s="111"/>
      <c r="H518" s="111"/>
      <c r="I518" s="112"/>
      <c r="J518" s="112"/>
      <c r="K518" s="112"/>
      <c r="L518" s="112"/>
      <c r="M518" s="112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</row>
    <row r="519" spans="1:29" ht="12" customHeight="1">
      <c r="A519" s="108"/>
      <c r="B519" s="109"/>
      <c r="C519" s="109"/>
      <c r="D519" s="109"/>
      <c r="E519" s="109"/>
      <c r="F519" s="109"/>
      <c r="G519" s="111"/>
      <c r="H519" s="111"/>
      <c r="I519" s="112"/>
      <c r="J519" s="112"/>
      <c r="K519" s="112"/>
      <c r="L519" s="112"/>
      <c r="M519" s="112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</row>
    <row r="520" spans="1:29" ht="12" customHeight="1">
      <c r="A520" s="108"/>
      <c r="B520" s="109"/>
      <c r="C520" s="109"/>
      <c r="D520" s="109"/>
      <c r="E520" s="109"/>
      <c r="F520" s="109"/>
      <c r="G520" s="111"/>
      <c r="H520" s="111"/>
      <c r="I520" s="112"/>
      <c r="J520" s="112"/>
      <c r="K520" s="112"/>
      <c r="L520" s="112"/>
      <c r="M520" s="112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</row>
    <row r="521" spans="1:29" ht="12" customHeight="1">
      <c r="A521" s="108"/>
      <c r="B521" s="109"/>
      <c r="C521" s="109"/>
      <c r="D521" s="109"/>
      <c r="E521" s="109"/>
      <c r="F521" s="109"/>
      <c r="G521" s="111"/>
      <c r="H521" s="111"/>
      <c r="I521" s="112"/>
      <c r="J521" s="112"/>
      <c r="K521" s="112"/>
      <c r="L521" s="112"/>
      <c r="M521" s="112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</row>
    <row r="522" spans="1:29" ht="12" customHeight="1">
      <c r="A522" s="108"/>
      <c r="B522" s="109"/>
      <c r="C522" s="109"/>
      <c r="D522" s="109"/>
      <c r="E522" s="109"/>
      <c r="F522" s="109"/>
      <c r="G522" s="111"/>
      <c r="H522" s="111"/>
      <c r="I522" s="112"/>
      <c r="J522" s="112"/>
      <c r="K522" s="112"/>
      <c r="L522" s="112"/>
      <c r="M522" s="112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</row>
    <row r="523" spans="1:29" ht="12" customHeight="1">
      <c r="A523" s="108"/>
      <c r="B523" s="109"/>
      <c r="C523" s="109"/>
      <c r="D523" s="109"/>
      <c r="E523" s="109"/>
      <c r="F523" s="109"/>
      <c r="G523" s="111"/>
      <c r="H523" s="111"/>
      <c r="I523" s="112"/>
      <c r="J523" s="112"/>
      <c r="K523" s="112"/>
      <c r="L523" s="112"/>
      <c r="M523" s="112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</row>
    <row r="524" spans="1:29" ht="12" customHeight="1">
      <c r="A524" s="108"/>
      <c r="B524" s="109"/>
      <c r="C524" s="109"/>
      <c r="D524" s="109"/>
      <c r="E524" s="109"/>
      <c r="F524" s="109"/>
      <c r="G524" s="111"/>
      <c r="H524" s="111"/>
      <c r="I524" s="112"/>
      <c r="J524" s="112"/>
      <c r="K524" s="112"/>
      <c r="L524" s="112"/>
      <c r="M524" s="112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</row>
    <row r="525" spans="1:29" ht="12" customHeight="1">
      <c r="A525" s="108"/>
      <c r="B525" s="109"/>
      <c r="C525" s="109"/>
      <c r="D525" s="109"/>
      <c r="E525" s="109"/>
      <c r="F525" s="109"/>
      <c r="G525" s="111"/>
      <c r="H525" s="111"/>
      <c r="I525" s="112"/>
      <c r="J525" s="112"/>
      <c r="K525" s="112"/>
      <c r="L525" s="112"/>
      <c r="M525" s="112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</row>
    <row r="526" spans="1:29" ht="12" customHeight="1">
      <c r="A526" s="108"/>
      <c r="B526" s="109"/>
      <c r="C526" s="109"/>
      <c r="D526" s="109"/>
      <c r="E526" s="109"/>
      <c r="F526" s="109"/>
      <c r="G526" s="111"/>
      <c r="H526" s="111"/>
      <c r="I526" s="112"/>
      <c r="J526" s="112"/>
      <c r="K526" s="112"/>
      <c r="L526" s="112"/>
      <c r="M526" s="112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</row>
    <row r="527" spans="1:29" ht="12" customHeight="1">
      <c r="A527" s="108"/>
      <c r="B527" s="109"/>
      <c r="C527" s="109"/>
      <c r="D527" s="109"/>
      <c r="E527" s="109"/>
      <c r="F527" s="109"/>
      <c r="G527" s="111"/>
      <c r="H527" s="111"/>
      <c r="I527" s="112"/>
      <c r="J527" s="112"/>
      <c r="K527" s="112"/>
      <c r="L527" s="112"/>
      <c r="M527" s="112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</row>
    <row r="528" spans="1:29" ht="12" customHeight="1">
      <c r="A528" s="108"/>
      <c r="B528" s="109"/>
      <c r="C528" s="109"/>
      <c r="D528" s="109"/>
      <c r="E528" s="109"/>
      <c r="F528" s="109"/>
      <c r="G528" s="111"/>
      <c r="H528" s="111"/>
      <c r="I528" s="112"/>
      <c r="J528" s="112"/>
      <c r="K528" s="112"/>
      <c r="L528" s="112"/>
      <c r="M528" s="112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</row>
    <row r="529" spans="1:29" ht="12" customHeight="1">
      <c r="A529" s="108"/>
      <c r="B529" s="109"/>
      <c r="C529" s="109"/>
      <c r="D529" s="109"/>
      <c r="E529" s="109"/>
      <c r="F529" s="109"/>
      <c r="G529" s="111"/>
      <c r="H529" s="111"/>
      <c r="I529" s="112"/>
      <c r="J529" s="112"/>
      <c r="K529" s="112"/>
      <c r="L529" s="112"/>
      <c r="M529" s="112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</row>
    <row r="530" spans="1:29" ht="12" customHeight="1">
      <c r="A530" s="108"/>
      <c r="B530" s="109"/>
      <c r="C530" s="109"/>
      <c r="D530" s="109"/>
      <c r="E530" s="109"/>
      <c r="F530" s="109"/>
      <c r="G530" s="111"/>
      <c r="H530" s="111"/>
      <c r="I530" s="112"/>
      <c r="J530" s="112"/>
      <c r="K530" s="112"/>
      <c r="L530" s="112"/>
      <c r="M530" s="112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</row>
    <row r="531" spans="1:29" ht="12" customHeight="1">
      <c r="A531" s="108"/>
      <c r="B531" s="109"/>
      <c r="C531" s="109"/>
      <c r="D531" s="109"/>
      <c r="E531" s="109"/>
      <c r="F531" s="109"/>
      <c r="G531" s="111"/>
      <c r="H531" s="111"/>
      <c r="I531" s="112"/>
      <c r="J531" s="112"/>
      <c r="K531" s="112"/>
      <c r="L531" s="112"/>
      <c r="M531" s="112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</row>
    <row r="532" spans="1:29" ht="12" customHeight="1">
      <c r="A532" s="108"/>
      <c r="B532" s="109"/>
      <c r="C532" s="109"/>
      <c r="D532" s="109"/>
      <c r="E532" s="109"/>
      <c r="F532" s="109"/>
      <c r="G532" s="111"/>
      <c r="H532" s="111"/>
      <c r="I532" s="112"/>
      <c r="J532" s="112"/>
      <c r="K532" s="112"/>
      <c r="L532" s="112"/>
      <c r="M532" s="112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</row>
    <row r="533" spans="1:29" ht="12" customHeight="1">
      <c r="A533" s="108"/>
      <c r="B533" s="109"/>
      <c r="C533" s="109"/>
      <c r="D533" s="109"/>
      <c r="E533" s="109"/>
      <c r="F533" s="109"/>
      <c r="G533" s="111"/>
      <c r="H533" s="111"/>
      <c r="I533" s="112"/>
      <c r="J533" s="112"/>
      <c r="K533" s="112"/>
      <c r="L533" s="112"/>
      <c r="M533" s="112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</row>
    <row r="534" spans="1:29" ht="12" customHeight="1">
      <c r="A534" s="108"/>
      <c r="B534" s="109"/>
      <c r="C534" s="109"/>
      <c r="D534" s="109"/>
      <c r="E534" s="109"/>
      <c r="F534" s="109"/>
      <c r="G534" s="111"/>
      <c r="H534" s="111"/>
      <c r="I534" s="112"/>
      <c r="J534" s="112"/>
      <c r="K534" s="112"/>
      <c r="L534" s="112"/>
      <c r="M534" s="112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</row>
    <row r="535" spans="1:29" ht="12" customHeight="1">
      <c r="A535" s="108"/>
      <c r="B535" s="109"/>
      <c r="C535" s="109"/>
      <c r="D535" s="109"/>
      <c r="E535" s="109"/>
      <c r="F535" s="109"/>
      <c r="G535" s="111"/>
      <c r="H535" s="111"/>
      <c r="I535" s="112"/>
      <c r="J535" s="112"/>
      <c r="K535" s="112"/>
      <c r="L535" s="112"/>
      <c r="M535" s="112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</row>
    <row r="536" spans="1:29" ht="12" customHeight="1">
      <c r="A536" s="108"/>
      <c r="B536" s="109"/>
      <c r="C536" s="109"/>
      <c r="D536" s="109"/>
      <c r="E536" s="109"/>
      <c r="F536" s="109"/>
      <c r="G536" s="111"/>
      <c r="H536" s="111"/>
      <c r="I536" s="112"/>
      <c r="J536" s="112"/>
      <c r="K536" s="112"/>
      <c r="L536" s="112"/>
      <c r="M536" s="112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</row>
    <row r="537" spans="1:29" ht="12" customHeight="1">
      <c r="A537" s="108"/>
      <c r="B537" s="109"/>
      <c r="C537" s="109"/>
      <c r="D537" s="109"/>
      <c r="E537" s="109"/>
      <c r="F537" s="109"/>
      <c r="G537" s="111"/>
      <c r="H537" s="111"/>
      <c r="I537" s="112"/>
      <c r="J537" s="112"/>
      <c r="K537" s="112"/>
      <c r="L537" s="112"/>
      <c r="M537" s="112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</row>
    <row r="538" spans="1:29" ht="12" customHeight="1">
      <c r="A538" s="108"/>
      <c r="B538" s="109"/>
      <c r="C538" s="109"/>
      <c r="D538" s="109"/>
      <c r="E538" s="109"/>
      <c r="F538" s="109"/>
      <c r="G538" s="111"/>
      <c r="H538" s="111"/>
      <c r="I538" s="112"/>
      <c r="J538" s="112"/>
      <c r="K538" s="112"/>
      <c r="L538" s="112"/>
      <c r="M538" s="112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</row>
    <row r="539" spans="1:29" ht="12" customHeight="1">
      <c r="A539" s="108"/>
      <c r="B539" s="109"/>
      <c r="C539" s="109"/>
      <c r="D539" s="109"/>
      <c r="E539" s="109"/>
      <c r="F539" s="109"/>
      <c r="G539" s="111"/>
      <c r="H539" s="111"/>
      <c r="I539" s="112"/>
      <c r="J539" s="112"/>
      <c r="K539" s="112"/>
      <c r="L539" s="112"/>
      <c r="M539" s="112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</row>
    <row r="540" spans="1:29" ht="12" customHeight="1">
      <c r="A540" s="108"/>
      <c r="B540" s="109"/>
      <c r="C540" s="109"/>
      <c r="D540" s="109"/>
      <c r="E540" s="109"/>
      <c r="F540" s="109"/>
      <c r="G540" s="111"/>
      <c r="H540" s="111"/>
      <c r="I540" s="112"/>
      <c r="J540" s="112"/>
      <c r="K540" s="112"/>
      <c r="L540" s="112"/>
      <c r="M540" s="112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</row>
    <row r="541" spans="1:29" ht="12" customHeight="1">
      <c r="A541" s="108"/>
      <c r="B541" s="109"/>
      <c r="C541" s="109"/>
      <c r="D541" s="109"/>
      <c r="E541" s="109"/>
      <c r="F541" s="109"/>
      <c r="G541" s="111"/>
      <c r="H541" s="111"/>
      <c r="I541" s="112"/>
      <c r="J541" s="112"/>
      <c r="K541" s="112"/>
      <c r="L541" s="112"/>
      <c r="M541" s="112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</row>
    <row r="542" spans="1:29" ht="12" customHeight="1">
      <c r="A542" s="108"/>
      <c r="B542" s="109"/>
      <c r="C542" s="109"/>
      <c r="D542" s="109"/>
      <c r="E542" s="109"/>
      <c r="F542" s="109"/>
      <c r="G542" s="111"/>
      <c r="H542" s="111"/>
      <c r="I542" s="112"/>
      <c r="J542" s="112"/>
      <c r="K542" s="112"/>
      <c r="L542" s="112"/>
      <c r="M542" s="112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</row>
    <row r="543" spans="1:29" ht="12" customHeight="1">
      <c r="A543" s="108"/>
      <c r="B543" s="109"/>
      <c r="C543" s="109"/>
      <c r="D543" s="109"/>
      <c r="E543" s="109"/>
      <c r="F543" s="109"/>
      <c r="G543" s="111"/>
      <c r="H543" s="111"/>
      <c r="I543" s="112"/>
      <c r="J543" s="112"/>
      <c r="K543" s="112"/>
      <c r="L543" s="112"/>
      <c r="M543" s="112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</row>
    <row r="544" spans="1:29" ht="12" customHeight="1">
      <c r="A544" s="108"/>
      <c r="B544" s="109"/>
      <c r="C544" s="109"/>
      <c r="D544" s="109"/>
      <c r="E544" s="109"/>
      <c r="F544" s="109"/>
      <c r="G544" s="111"/>
      <c r="H544" s="111"/>
      <c r="I544" s="112"/>
      <c r="J544" s="112"/>
      <c r="K544" s="112"/>
      <c r="L544" s="112"/>
      <c r="M544" s="112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</row>
    <row r="545" spans="1:29" ht="12" customHeight="1">
      <c r="A545" s="108"/>
      <c r="B545" s="109"/>
      <c r="C545" s="109"/>
      <c r="D545" s="109"/>
      <c r="E545" s="109"/>
      <c r="F545" s="109"/>
      <c r="G545" s="111"/>
      <c r="H545" s="111"/>
      <c r="I545" s="112"/>
      <c r="J545" s="112"/>
      <c r="K545" s="112"/>
      <c r="L545" s="112"/>
      <c r="M545" s="112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</row>
    <row r="546" spans="1:29" ht="12" customHeight="1">
      <c r="A546" s="108"/>
      <c r="B546" s="109"/>
      <c r="C546" s="109"/>
      <c r="D546" s="109"/>
      <c r="E546" s="109"/>
      <c r="F546" s="109"/>
      <c r="G546" s="111"/>
      <c r="H546" s="111"/>
      <c r="I546" s="112"/>
      <c r="J546" s="112"/>
      <c r="K546" s="112"/>
      <c r="L546" s="112"/>
      <c r="M546" s="112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</row>
    <row r="547" spans="1:29" ht="12" customHeight="1">
      <c r="A547" s="108"/>
      <c r="B547" s="109"/>
      <c r="C547" s="109"/>
      <c r="D547" s="109"/>
      <c r="E547" s="109"/>
      <c r="F547" s="109"/>
      <c r="G547" s="111"/>
      <c r="H547" s="111"/>
      <c r="I547" s="112"/>
      <c r="J547" s="112"/>
      <c r="K547" s="112"/>
      <c r="L547" s="112"/>
      <c r="M547" s="112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</row>
    <row r="548" spans="1:29" ht="12" customHeight="1">
      <c r="A548" s="108"/>
      <c r="B548" s="109"/>
      <c r="C548" s="109"/>
      <c r="D548" s="109"/>
      <c r="E548" s="109"/>
      <c r="F548" s="109"/>
      <c r="G548" s="111"/>
      <c r="H548" s="111"/>
      <c r="I548" s="112"/>
      <c r="J548" s="112"/>
      <c r="K548" s="112"/>
      <c r="L548" s="112"/>
      <c r="M548" s="112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</row>
    <row r="549" spans="1:29" ht="12" customHeight="1">
      <c r="A549" s="108"/>
      <c r="B549" s="109"/>
      <c r="C549" s="109"/>
      <c r="D549" s="109"/>
      <c r="E549" s="109"/>
      <c r="F549" s="109"/>
      <c r="G549" s="111"/>
      <c r="H549" s="111"/>
      <c r="I549" s="112"/>
      <c r="J549" s="112"/>
      <c r="K549" s="112"/>
      <c r="L549" s="112"/>
      <c r="M549" s="112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</row>
    <row r="550" spans="1:29" ht="12" customHeight="1">
      <c r="A550" s="108"/>
      <c r="B550" s="109"/>
      <c r="C550" s="109"/>
      <c r="D550" s="109"/>
      <c r="E550" s="109"/>
      <c r="F550" s="109"/>
      <c r="G550" s="111"/>
      <c r="H550" s="111"/>
      <c r="I550" s="112"/>
      <c r="J550" s="112"/>
      <c r="K550" s="112"/>
      <c r="L550" s="112"/>
      <c r="M550" s="112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</row>
    <row r="551" spans="1:29" ht="12" customHeight="1">
      <c r="A551" s="108"/>
      <c r="B551" s="109"/>
      <c r="C551" s="109"/>
      <c r="D551" s="109"/>
      <c r="E551" s="109"/>
      <c r="F551" s="109"/>
      <c r="G551" s="111"/>
      <c r="H551" s="111"/>
      <c r="I551" s="112"/>
      <c r="J551" s="112"/>
      <c r="K551" s="112"/>
      <c r="L551" s="112"/>
      <c r="M551" s="112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</row>
    <row r="552" spans="1:29" ht="12" customHeight="1">
      <c r="A552" s="108"/>
      <c r="B552" s="109"/>
      <c r="C552" s="109"/>
      <c r="D552" s="109"/>
      <c r="E552" s="109"/>
      <c r="F552" s="109"/>
      <c r="G552" s="111"/>
      <c r="H552" s="111"/>
      <c r="I552" s="112"/>
      <c r="J552" s="112"/>
      <c r="K552" s="112"/>
      <c r="L552" s="112"/>
      <c r="M552" s="112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</row>
    <row r="553" spans="1:29" ht="12" customHeight="1">
      <c r="A553" s="108"/>
      <c r="B553" s="109"/>
      <c r="C553" s="109"/>
      <c r="D553" s="109"/>
      <c r="E553" s="109"/>
      <c r="F553" s="109"/>
      <c r="G553" s="111"/>
      <c r="H553" s="111"/>
      <c r="I553" s="112"/>
      <c r="J553" s="112"/>
      <c r="K553" s="112"/>
      <c r="L553" s="112"/>
      <c r="M553" s="112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</row>
    <row r="554" spans="1:29" ht="12" customHeight="1">
      <c r="A554" s="108"/>
      <c r="B554" s="109"/>
      <c r="C554" s="109"/>
      <c r="D554" s="109"/>
      <c r="E554" s="109"/>
      <c r="F554" s="109"/>
      <c r="G554" s="111"/>
      <c r="H554" s="111"/>
      <c r="I554" s="112"/>
      <c r="J554" s="112"/>
      <c r="K554" s="112"/>
      <c r="L554" s="112"/>
      <c r="M554" s="112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</row>
    <row r="555" spans="1:29" ht="12" customHeight="1">
      <c r="A555" s="108"/>
      <c r="B555" s="109"/>
      <c r="C555" s="109"/>
      <c r="D555" s="109"/>
      <c r="E555" s="109"/>
      <c r="F555" s="109"/>
      <c r="G555" s="111"/>
      <c r="H555" s="111"/>
      <c r="I555" s="112"/>
      <c r="J555" s="112"/>
      <c r="K555" s="112"/>
      <c r="L555" s="112"/>
      <c r="M555" s="112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</row>
    <row r="556" spans="1:29" ht="12" customHeight="1">
      <c r="A556" s="108"/>
      <c r="B556" s="109"/>
      <c r="C556" s="109"/>
      <c r="D556" s="109"/>
      <c r="E556" s="109"/>
      <c r="F556" s="109"/>
      <c r="G556" s="111"/>
      <c r="H556" s="111"/>
      <c r="I556" s="112"/>
      <c r="J556" s="112"/>
      <c r="K556" s="112"/>
      <c r="L556" s="112"/>
      <c r="M556" s="112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</row>
    <row r="557" spans="1:29" ht="12" customHeight="1">
      <c r="A557" s="108"/>
      <c r="B557" s="109"/>
      <c r="C557" s="109"/>
      <c r="D557" s="109"/>
      <c r="E557" s="109"/>
      <c r="F557" s="109"/>
      <c r="G557" s="111"/>
      <c r="H557" s="111"/>
      <c r="I557" s="112"/>
      <c r="J557" s="112"/>
      <c r="K557" s="112"/>
      <c r="L557" s="112"/>
      <c r="M557" s="112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</row>
    <row r="558" spans="1:29" ht="12" customHeight="1">
      <c r="A558" s="108"/>
      <c r="B558" s="109"/>
      <c r="C558" s="109"/>
      <c r="D558" s="109"/>
      <c r="E558" s="109"/>
      <c r="F558" s="109"/>
      <c r="G558" s="111"/>
      <c r="H558" s="111"/>
      <c r="I558" s="112"/>
      <c r="J558" s="112"/>
      <c r="K558" s="112"/>
      <c r="L558" s="112"/>
      <c r="M558" s="112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</row>
    <row r="559" spans="1:29" ht="12" customHeight="1">
      <c r="A559" s="108"/>
      <c r="B559" s="109"/>
      <c r="C559" s="109"/>
      <c r="D559" s="109"/>
      <c r="E559" s="109"/>
      <c r="F559" s="109"/>
      <c r="G559" s="111"/>
      <c r="H559" s="111"/>
      <c r="I559" s="112"/>
      <c r="J559" s="112"/>
      <c r="K559" s="112"/>
      <c r="L559" s="112"/>
      <c r="M559" s="112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</row>
    <row r="560" spans="1:29" ht="12" customHeight="1">
      <c r="A560" s="108"/>
      <c r="B560" s="109"/>
      <c r="C560" s="109"/>
      <c r="D560" s="109"/>
      <c r="E560" s="109"/>
      <c r="F560" s="109"/>
      <c r="G560" s="111"/>
      <c r="H560" s="111"/>
      <c r="I560" s="112"/>
      <c r="J560" s="112"/>
      <c r="K560" s="112"/>
      <c r="L560" s="112"/>
      <c r="M560" s="112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</row>
    <row r="561" spans="1:29" ht="12" customHeight="1">
      <c r="A561" s="108"/>
      <c r="B561" s="109"/>
      <c r="C561" s="109"/>
      <c r="D561" s="109"/>
      <c r="E561" s="109"/>
      <c r="F561" s="109"/>
      <c r="G561" s="111"/>
      <c r="H561" s="111"/>
      <c r="I561" s="112"/>
      <c r="J561" s="112"/>
      <c r="K561" s="112"/>
      <c r="L561" s="112"/>
      <c r="M561" s="112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</row>
    <row r="562" spans="1:29" ht="12" customHeight="1">
      <c r="A562" s="108"/>
      <c r="B562" s="109"/>
      <c r="C562" s="109"/>
      <c r="D562" s="109"/>
      <c r="E562" s="109"/>
      <c r="F562" s="109"/>
      <c r="G562" s="111"/>
      <c r="H562" s="111"/>
      <c r="I562" s="112"/>
      <c r="J562" s="112"/>
      <c r="K562" s="112"/>
      <c r="L562" s="112"/>
      <c r="M562" s="112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</row>
    <row r="563" spans="1:29" ht="12" customHeight="1">
      <c r="A563" s="108"/>
      <c r="B563" s="109"/>
      <c r="C563" s="109"/>
      <c r="D563" s="109"/>
      <c r="E563" s="109"/>
      <c r="F563" s="109"/>
      <c r="G563" s="111"/>
      <c r="H563" s="111"/>
      <c r="I563" s="112"/>
      <c r="J563" s="112"/>
      <c r="K563" s="112"/>
      <c r="L563" s="112"/>
      <c r="M563" s="112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</row>
    <row r="564" spans="1:29" ht="12" customHeight="1">
      <c r="A564" s="108"/>
      <c r="B564" s="109"/>
      <c r="C564" s="109"/>
      <c r="D564" s="109"/>
      <c r="E564" s="109"/>
      <c r="F564" s="109"/>
      <c r="G564" s="111"/>
      <c r="H564" s="111"/>
      <c r="I564" s="112"/>
      <c r="J564" s="112"/>
      <c r="K564" s="112"/>
      <c r="L564" s="112"/>
      <c r="M564" s="112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</row>
    <row r="565" spans="1:29" ht="12" customHeight="1">
      <c r="A565" s="108"/>
      <c r="B565" s="109"/>
      <c r="C565" s="109"/>
      <c r="D565" s="109"/>
      <c r="E565" s="109"/>
      <c r="F565" s="109"/>
      <c r="G565" s="111"/>
      <c r="H565" s="111"/>
      <c r="I565" s="112"/>
      <c r="J565" s="112"/>
      <c r="K565" s="112"/>
      <c r="L565" s="112"/>
      <c r="M565" s="112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</row>
    <row r="566" spans="1:29" ht="12" customHeight="1">
      <c r="A566" s="108"/>
      <c r="B566" s="109"/>
      <c r="C566" s="109"/>
      <c r="D566" s="109"/>
      <c r="E566" s="109"/>
      <c r="F566" s="109"/>
      <c r="G566" s="111"/>
      <c r="H566" s="111"/>
      <c r="I566" s="112"/>
      <c r="J566" s="112"/>
      <c r="K566" s="112"/>
      <c r="L566" s="112"/>
      <c r="M566" s="112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</row>
    <row r="567" spans="1:29" ht="12" customHeight="1">
      <c r="A567" s="108"/>
      <c r="B567" s="109"/>
      <c r="C567" s="109"/>
      <c r="D567" s="109"/>
      <c r="E567" s="109"/>
      <c r="F567" s="109"/>
      <c r="G567" s="111"/>
      <c r="H567" s="111"/>
      <c r="I567" s="112"/>
      <c r="J567" s="112"/>
      <c r="K567" s="112"/>
      <c r="L567" s="112"/>
      <c r="M567" s="112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</row>
    <row r="568" spans="1:29" ht="12" customHeight="1">
      <c r="A568" s="108"/>
      <c r="B568" s="109"/>
      <c r="C568" s="109"/>
      <c r="D568" s="109"/>
      <c r="E568" s="109"/>
      <c r="F568" s="109"/>
      <c r="G568" s="111"/>
      <c r="H568" s="111"/>
      <c r="I568" s="112"/>
      <c r="J568" s="112"/>
      <c r="K568" s="112"/>
      <c r="L568" s="112"/>
      <c r="M568" s="112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</row>
    <row r="569" spans="1:29" ht="12" customHeight="1">
      <c r="A569" s="108"/>
      <c r="B569" s="109"/>
      <c r="C569" s="109"/>
      <c r="D569" s="109"/>
      <c r="E569" s="109"/>
      <c r="F569" s="109"/>
      <c r="G569" s="111"/>
      <c r="H569" s="111"/>
      <c r="I569" s="112"/>
      <c r="J569" s="112"/>
      <c r="K569" s="112"/>
      <c r="L569" s="112"/>
      <c r="M569" s="112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</row>
    <row r="570" spans="1:29" ht="12" customHeight="1">
      <c r="A570" s="108"/>
      <c r="B570" s="109"/>
      <c r="C570" s="109"/>
      <c r="D570" s="109"/>
      <c r="E570" s="109"/>
      <c r="F570" s="109"/>
      <c r="G570" s="111"/>
      <c r="H570" s="111"/>
      <c r="I570" s="112"/>
      <c r="J570" s="112"/>
      <c r="K570" s="112"/>
      <c r="L570" s="112"/>
      <c r="M570" s="112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</row>
    <row r="571" spans="1:29" ht="12" customHeight="1">
      <c r="A571" s="108"/>
      <c r="B571" s="109"/>
      <c r="C571" s="109"/>
      <c r="D571" s="109"/>
      <c r="E571" s="109"/>
      <c r="F571" s="109"/>
      <c r="G571" s="111"/>
      <c r="H571" s="111"/>
      <c r="I571" s="112"/>
      <c r="J571" s="112"/>
      <c r="K571" s="112"/>
      <c r="L571" s="112"/>
      <c r="M571" s="112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</row>
    <row r="572" spans="1:29" ht="12" customHeight="1">
      <c r="A572" s="108"/>
      <c r="B572" s="109"/>
      <c r="C572" s="109"/>
      <c r="D572" s="109"/>
      <c r="E572" s="109"/>
      <c r="F572" s="109"/>
      <c r="G572" s="111"/>
      <c r="H572" s="111"/>
      <c r="I572" s="112"/>
      <c r="J572" s="112"/>
      <c r="K572" s="112"/>
      <c r="L572" s="112"/>
      <c r="M572" s="112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</row>
    <row r="573" spans="1:29" ht="12" customHeight="1">
      <c r="A573" s="108"/>
      <c r="B573" s="109"/>
      <c r="C573" s="109"/>
      <c r="D573" s="109"/>
      <c r="E573" s="109"/>
      <c r="F573" s="109"/>
      <c r="G573" s="111"/>
      <c r="H573" s="111"/>
      <c r="I573" s="112"/>
      <c r="J573" s="112"/>
      <c r="K573" s="112"/>
      <c r="L573" s="112"/>
      <c r="M573" s="112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</row>
    <row r="574" spans="1:29" ht="12" customHeight="1">
      <c r="A574" s="108"/>
      <c r="B574" s="109"/>
      <c r="C574" s="109"/>
      <c r="D574" s="109"/>
      <c r="E574" s="109"/>
      <c r="F574" s="109"/>
      <c r="G574" s="111"/>
      <c r="H574" s="111"/>
      <c r="I574" s="112"/>
      <c r="J574" s="112"/>
      <c r="K574" s="112"/>
      <c r="L574" s="112"/>
      <c r="M574" s="112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</row>
    <row r="575" spans="1:29" ht="12" customHeight="1">
      <c r="A575" s="108"/>
      <c r="B575" s="109"/>
      <c r="C575" s="109"/>
      <c r="D575" s="109"/>
      <c r="E575" s="109"/>
      <c r="F575" s="109"/>
      <c r="G575" s="111"/>
      <c r="H575" s="111"/>
      <c r="I575" s="112"/>
      <c r="J575" s="112"/>
      <c r="K575" s="112"/>
      <c r="L575" s="112"/>
      <c r="M575" s="112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</row>
    <row r="576" spans="1:29" ht="12" customHeight="1">
      <c r="A576" s="108"/>
      <c r="B576" s="109"/>
      <c r="C576" s="109"/>
      <c r="D576" s="109"/>
      <c r="E576" s="109"/>
      <c r="F576" s="109"/>
      <c r="G576" s="111"/>
      <c r="H576" s="111"/>
      <c r="I576" s="112"/>
      <c r="J576" s="112"/>
      <c r="K576" s="112"/>
      <c r="L576" s="112"/>
      <c r="M576" s="112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</row>
    <row r="577" spans="1:29" ht="12" customHeight="1">
      <c r="A577" s="108"/>
      <c r="B577" s="109"/>
      <c r="C577" s="109"/>
      <c r="D577" s="109"/>
      <c r="E577" s="109"/>
      <c r="F577" s="109"/>
      <c r="G577" s="111"/>
      <c r="H577" s="111"/>
      <c r="I577" s="112"/>
      <c r="J577" s="112"/>
      <c r="K577" s="112"/>
      <c r="L577" s="112"/>
      <c r="M577" s="112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</row>
    <row r="578" spans="1:29" ht="12" customHeight="1">
      <c r="A578" s="108"/>
      <c r="B578" s="109"/>
      <c r="C578" s="109"/>
      <c r="D578" s="109"/>
      <c r="E578" s="109"/>
      <c r="F578" s="109"/>
      <c r="G578" s="111"/>
      <c r="H578" s="111"/>
      <c r="I578" s="112"/>
      <c r="J578" s="112"/>
      <c r="K578" s="112"/>
      <c r="L578" s="112"/>
      <c r="M578" s="112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</row>
    <row r="579" spans="1:29" ht="12" customHeight="1">
      <c r="A579" s="108"/>
      <c r="B579" s="109"/>
      <c r="C579" s="109"/>
      <c r="D579" s="109"/>
      <c r="E579" s="109"/>
      <c r="F579" s="109"/>
      <c r="G579" s="111"/>
      <c r="H579" s="111"/>
      <c r="I579" s="112"/>
      <c r="J579" s="112"/>
      <c r="K579" s="112"/>
      <c r="L579" s="112"/>
      <c r="M579" s="112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</row>
    <row r="580" spans="1:29" ht="12" customHeight="1">
      <c r="A580" s="108"/>
      <c r="B580" s="109"/>
      <c r="C580" s="109"/>
      <c r="D580" s="109"/>
      <c r="E580" s="109"/>
      <c r="F580" s="109"/>
      <c r="G580" s="111"/>
      <c r="H580" s="111"/>
      <c r="I580" s="112"/>
      <c r="J580" s="112"/>
      <c r="K580" s="112"/>
      <c r="L580" s="112"/>
      <c r="M580" s="112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</row>
    <row r="581" spans="1:29" ht="12" customHeight="1">
      <c r="A581" s="108"/>
      <c r="B581" s="109"/>
      <c r="C581" s="109"/>
      <c r="D581" s="109"/>
      <c r="E581" s="109"/>
      <c r="F581" s="109"/>
      <c r="G581" s="111"/>
      <c r="H581" s="111"/>
      <c r="I581" s="112"/>
      <c r="J581" s="112"/>
      <c r="K581" s="112"/>
      <c r="L581" s="112"/>
      <c r="M581" s="112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</row>
    <row r="582" spans="1:29" ht="12" customHeight="1">
      <c r="A582" s="108"/>
      <c r="B582" s="109"/>
      <c r="C582" s="109"/>
      <c r="D582" s="109"/>
      <c r="E582" s="109"/>
      <c r="F582" s="109"/>
      <c r="G582" s="111"/>
      <c r="H582" s="111"/>
      <c r="I582" s="112"/>
      <c r="J582" s="112"/>
      <c r="K582" s="112"/>
      <c r="L582" s="112"/>
      <c r="M582" s="112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</row>
    <row r="583" spans="1:29" ht="12" customHeight="1">
      <c r="A583" s="108"/>
      <c r="B583" s="109"/>
      <c r="C583" s="109"/>
      <c r="D583" s="109"/>
      <c r="E583" s="109"/>
      <c r="F583" s="109"/>
      <c r="G583" s="111"/>
      <c r="H583" s="111"/>
      <c r="I583" s="112"/>
      <c r="J583" s="112"/>
      <c r="K583" s="112"/>
      <c r="L583" s="112"/>
      <c r="M583" s="112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</row>
    <row r="584" spans="1:29" ht="12" customHeight="1">
      <c r="A584" s="108"/>
      <c r="B584" s="109"/>
      <c r="C584" s="109"/>
      <c r="D584" s="109"/>
      <c r="E584" s="109"/>
      <c r="F584" s="109"/>
      <c r="G584" s="111"/>
      <c r="H584" s="111"/>
      <c r="I584" s="112"/>
      <c r="J584" s="112"/>
      <c r="K584" s="112"/>
      <c r="L584" s="112"/>
      <c r="M584" s="112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</row>
    <row r="585" spans="1:29" ht="12" customHeight="1">
      <c r="A585" s="108"/>
      <c r="B585" s="109"/>
      <c r="C585" s="109"/>
      <c r="D585" s="109"/>
      <c r="E585" s="109"/>
      <c r="F585" s="109"/>
      <c r="G585" s="111"/>
      <c r="H585" s="111"/>
      <c r="I585" s="112"/>
      <c r="J585" s="112"/>
      <c r="K585" s="112"/>
      <c r="L585" s="112"/>
      <c r="M585" s="112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</row>
    <row r="586" spans="1:29" ht="12" customHeight="1">
      <c r="A586" s="108"/>
      <c r="B586" s="109"/>
      <c r="C586" s="109"/>
      <c r="D586" s="109"/>
      <c r="E586" s="109"/>
      <c r="F586" s="109"/>
      <c r="G586" s="111"/>
      <c r="H586" s="111"/>
      <c r="I586" s="112"/>
      <c r="J586" s="112"/>
      <c r="K586" s="112"/>
      <c r="L586" s="112"/>
      <c r="M586" s="112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</row>
    <row r="587" spans="1:29" ht="12" customHeight="1">
      <c r="A587" s="108"/>
      <c r="B587" s="109"/>
      <c r="C587" s="109"/>
      <c r="D587" s="109"/>
      <c r="E587" s="109"/>
      <c r="F587" s="109"/>
      <c r="G587" s="111"/>
      <c r="H587" s="111"/>
      <c r="I587" s="112"/>
      <c r="J587" s="112"/>
      <c r="K587" s="112"/>
      <c r="L587" s="112"/>
      <c r="M587" s="112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</row>
    <row r="588" spans="1:29" ht="12" customHeight="1">
      <c r="A588" s="108"/>
      <c r="B588" s="109"/>
      <c r="C588" s="109"/>
      <c r="D588" s="109"/>
      <c r="E588" s="109"/>
      <c r="F588" s="109"/>
      <c r="G588" s="111"/>
      <c r="H588" s="111"/>
      <c r="I588" s="112"/>
      <c r="J588" s="112"/>
      <c r="K588" s="112"/>
      <c r="L588" s="112"/>
      <c r="M588" s="112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</row>
    <row r="589" spans="1:29" ht="12" customHeight="1">
      <c r="A589" s="108"/>
      <c r="B589" s="109"/>
      <c r="C589" s="109"/>
      <c r="D589" s="109"/>
      <c r="E589" s="109"/>
      <c r="F589" s="109"/>
      <c r="G589" s="111"/>
      <c r="H589" s="111"/>
      <c r="I589" s="112"/>
      <c r="J589" s="112"/>
      <c r="K589" s="112"/>
      <c r="L589" s="112"/>
      <c r="M589" s="112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</row>
    <row r="590" spans="1:29" ht="12" customHeight="1">
      <c r="A590" s="108"/>
      <c r="B590" s="109"/>
      <c r="C590" s="109"/>
      <c r="D590" s="109"/>
      <c r="E590" s="109"/>
      <c r="F590" s="109"/>
      <c r="G590" s="111"/>
      <c r="H590" s="111"/>
      <c r="I590" s="112"/>
      <c r="J590" s="112"/>
      <c r="K590" s="112"/>
      <c r="L590" s="112"/>
      <c r="M590" s="112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</row>
    <row r="591" spans="1:29" ht="12" customHeight="1">
      <c r="A591" s="108"/>
      <c r="B591" s="109"/>
      <c r="C591" s="109"/>
      <c r="D591" s="109"/>
      <c r="E591" s="109"/>
      <c r="F591" s="109"/>
      <c r="G591" s="111"/>
      <c r="H591" s="111"/>
      <c r="I591" s="112"/>
      <c r="J591" s="112"/>
      <c r="K591" s="112"/>
      <c r="L591" s="112"/>
      <c r="M591" s="112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</row>
    <row r="592" spans="1:29" ht="12" customHeight="1">
      <c r="A592" s="108"/>
      <c r="B592" s="109"/>
      <c r="C592" s="109"/>
      <c r="D592" s="109"/>
      <c r="E592" s="109"/>
      <c r="F592" s="109"/>
      <c r="G592" s="111"/>
      <c r="H592" s="111"/>
      <c r="I592" s="112"/>
      <c r="J592" s="112"/>
      <c r="K592" s="112"/>
      <c r="L592" s="112"/>
      <c r="M592" s="112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</row>
    <row r="593" spans="1:29" ht="12" customHeight="1">
      <c r="A593" s="108"/>
      <c r="B593" s="109"/>
      <c r="C593" s="109"/>
      <c r="D593" s="109"/>
      <c r="E593" s="109"/>
      <c r="F593" s="109"/>
      <c r="G593" s="111"/>
      <c r="H593" s="111"/>
      <c r="I593" s="112"/>
      <c r="J593" s="112"/>
      <c r="K593" s="112"/>
      <c r="L593" s="112"/>
      <c r="M593" s="112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</row>
    <row r="594" spans="1:29" ht="12" customHeight="1">
      <c r="A594" s="108"/>
      <c r="B594" s="109"/>
      <c r="C594" s="109"/>
      <c r="D594" s="109"/>
      <c r="E594" s="109"/>
      <c r="F594" s="109"/>
      <c r="G594" s="111"/>
      <c r="H594" s="111"/>
      <c r="I594" s="112"/>
      <c r="J594" s="112"/>
      <c r="K594" s="112"/>
      <c r="L594" s="112"/>
      <c r="M594" s="112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</row>
    <row r="595" spans="1:29" ht="12" customHeight="1">
      <c r="A595" s="108"/>
      <c r="B595" s="109"/>
      <c r="C595" s="109"/>
      <c r="D595" s="109"/>
      <c r="E595" s="109"/>
      <c r="F595" s="109"/>
      <c r="G595" s="111"/>
      <c r="H595" s="111"/>
      <c r="I595" s="112"/>
      <c r="J595" s="112"/>
      <c r="K595" s="112"/>
      <c r="L595" s="112"/>
      <c r="M595" s="112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</row>
    <row r="596" spans="1:29" ht="12" customHeight="1">
      <c r="A596" s="108"/>
      <c r="B596" s="109"/>
      <c r="C596" s="109"/>
      <c r="D596" s="109"/>
      <c r="E596" s="109"/>
      <c r="F596" s="109"/>
      <c r="G596" s="111"/>
      <c r="H596" s="111"/>
      <c r="I596" s="112"/>
      <c r="J596" s="112"/>
      <c r="K596" s="112"/>
      <c r="L596" s="112"/>
      <c r="M596" s="112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</row>
    <row r="597" spans="1:29" ht="12" customHeight="1">
      <c r="A597" s="108"/>
      <c r="B597" s="109"/>
      <c r="C597" s="109"/>
      <c r="D597" s="109"/>
      <c r="E597" s="109"/>
      <c r="F597" s="109"/>
      <c r="G597" s="111"/>
      <c r="H597" s="111"/>
      <c r="I597" s="112"/>
      <c r="J597" s="112"/>
      <c r="K597" s="112"/>
      <c r="L597" s="112"/>
      <c r="M597" s="112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</row>
    <row r="598" spans="1:29" ht="12" customHeight="1">
      <c r="A598" s="108"/>
      <c r="B598" s="109"/>
      <c r="C598" s="109"/>
      <c r="D598" s="109"/>
      <c r="E598" s="109"/>
      <c r="F598" s="109"/>
      <c r="G598" s="111"/>
      <c r="H598" s="111"/>
      <c r="I598" s="112"/>
      <c r="J598" s="112"/>
      <c r="K598" s="112"/>
      <c r="L598" s="112"/>
      <c r="M598" s="112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</row>
    <row r="599" spans="1:29" ht="12" customHeight="1">
      <c r="A599" s="108"/>
      <c r="B599" s="109"/>
      <c r="C599" s="109"/>
      <c r="D599" s="109"/>
      <c r="E599" s="109"/>
      <c r="F599" s="109"/>
      <c r="G599" s="111"/>
      <c r="H599" s="111"/>
      <c r="I599" s="112"/>
      <c r="J599" s="112"/>
      <c r="K599" s="112"/>
      <c r="L599" s="112"/>
      <c r="M599" s="112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</row>
    <row r="600" spans="1:29" ht="12" customHeight="1">
      <c r="A600" s="108"/>
      <c r="B600" s="109"/>
      <c r="C600" s="109"/>
      <c r="D600" s="109"/>
      <c r="E600" s="109"/>
      <c r="F600" s="109"/>
      <c r="G600" s="111"/>
      <c r="H600" s="111"/>
      <c r="I600" s="112"/>
      <c r="J600" s="112"/>
      <c r="K600" s="112"/>
      <c r="L600" s="112"/>
      <c r="M600" s="112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</row>
    <row r="601" spans="1:29" ht="12" customHeight="1">
      <c r="A601" s="108"/>
      <c r="B601" s="109"/>
      <c r="C601" s="109"/>
      <c r="D601" s="109"/>
      <c r="E601" s="109"/>
      <c r="F601" s="109"/>
      <c r="G601" s="111"/>
      <c r="H601" s="111"/>
      <c r="I601" s="112"/>
      <c r="J601" s="112"/>
      <c r="K601" s="112"/>
      <c r="L601" s="112"/>
      <c r="M601" s="112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</row>
    <row r="602" spans="1:29" ht="12" customHeight="1">
      <c r="A602" s="108"/>
      <c r="B602" s="109"/>
      <c r="C602" s="109"/>
      <c r="D602" s="109"/>
      <c r="E602" s="109"/>
      <c r="F602" s="109"/>
      <c r="G602" s="111"/>
      <c r="H602" s="111"/>
      <c r="I602" s="112"/>
      <c r="J602" s="112"/>
      <c r="K602" s="112"/>
      <c r="L602" s="112"/>
      <c r="M602" s="112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</row>
    <row r="603" spans="1:29" ht="12" customHeight="1">
      <c r="A603" s="108"/>
      <c r="B603" s="109"/>
      <c r="C603" s="109"/>
      <c r="D603" s="109"/>
      <c r="E603" s="109"/>
      <c r="F603" s="109"/>
      <c r="G603" s="111"/>
      <c r="H603" s="111"/>
      <c r="I603" s="112"/>
      <c r="J603" s="112"/>
      <c r="K603" s="112"/>
      <c r="L603" s="112"/>
      <c r="M603" s="112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</row>
    <row r="604" spans="1:29" ht="12" customHeight="1">
      <c r="A604" s="108"/>
      <c r="B604" s="109"/>
      <c r="C604" s="109"/>
      <c r="D604" s="109"/>
      <c r="E604" s="109"/>
      <c r="F604" s="109"/>
      <c r="G604" s="111"/>
      <c r="H604" s="111"/>
      <c r="I604" s="112"/>
      <c r="J604" s="112"/>
      <c r="K604" s="112"/>
      <c r="L604" s="112"/>
      <c r="M604" s="112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</row>
    <row r="605" spans="1:29" ht="12" customHeight="1">
      <c r="A605" s="108"/>
      <c r="B605" s="109"/>
      <c r="C605" s="109"/>
      <c r="D605" s="109"/>
      <c r="E605" s="109"/>
      <c r="F605" s="109"/>
      <c r="G605" s="111"/>
      <c r="H605" s="111"/>
      <c r="I605" s="112"/>
      <c r="J605" s="112"/>
      <c r="K605" s="112"/>
      <c r="L605" s="112"/>
      <c r="M605" s="112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</row>
    <row r="606" spans="1:29" ht="12" customHeight="1">
      <c r="A606" s="108"/>
      <c r="B606" s="109"/>
      <c r="C606" s="109"/>
      <c r="D606" s="109"/>
      <c r="E606" s="109"/>
      <c r="F606" s="109"/>
      <c r="G606" s="111"/>
      <c r="H606" s="111"/>
      <c r="I606" s="112"/>
      <c r="J606" s="112"/>
      <c r="K606" s="112"/>
      <c r="L606" s="112"/>
      <c r="M606" s="112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</row>
    <row r="607" spans="1:29" ht="12" customHeight="1">
      <c r="A607" s="108"/>
      <c r="B607" s="109"/>
      <c r="C607" s="109"/>
      <c r="D607" s="109"/>
      <c r="E607" s="109"/>
      <c r="F607" s="109"/>
      <c r="G607" s="111"/>
      <c r="H607" s="111"/>
      <c r="I607" s="112"/>
      <c r="J607" s="112"/>
      <c r="K607" s="112"/>
      <c r="L607" s="112"/>
      <c r="M607" s="112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</row>
    <row r="608" spans="1:29" ht="12" customHeight="1">
      <c r="A608" s="108"/>
      <c r="B608" s="109"/>
      <c r="C608" s="109"/>
      <c r="D608" s="109"/>
      <c r="E608" s="109"/>
      <c r="F608" s="109"/>
      <c r="G608" s="111"/>
      <c r="H608" s="111"/>
      <c r="I608" s="112"/>
      <c r="J608" s="112"/>
      <c r="K608" s="112"/>
      <c r="L608" s="112"/>
      <c r="M608" s="112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</row>
    <row r="609" spans="1:29" ht="12" customHeight="1">
      <c r="A609" s="108"/>
      <c r="B609" s="109"/>
      <c r="C609" s="109"/>
      <c r="D609" s="109"/>
      <c r="E609" s="109"/>
      <c r="F609" s="109"/>
      <c r="G609" s="111"/>
      <c r="H609" s="111"/>
      <c r="I609" s="112"/>
      <c r="J609" s="112"/>
      <c r="K609" s="112"/>
      <c r="L609" s="112"/>
      <c r="M609" s="112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</row>
    <row r="610" spans="1:29" ht="12" customHeight="1">
      <c r="A610" s="108"/>
      <c r="B610" s="109"/>
      <c r="C610" s="109"/>
      <c r="D610" s="109"/>
      <c r="E610" s="109"/>
      <c r="F610" s="109"/>
      <c r="G610" s="111"/>
      <c r="H610" s="111"/>
      <c r="I610" s="112"/>
      <c r="J610" s="112"/>
      <c r="K610" s="112"/>
      <c r="L610" s="112"/>
      <c r="M610" s="112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</row>
    <row r="611" spans="1:29" ht="12" customHeight="1">
      <c r="A611" s="108"/>
      <c r="B611" s="109"/>
      <c r="C611" s="109"/>
      <c r="D611" s="109"/>
      <c r="E611" s="109"/>
      <c r="F611" s="109"/>
      <c r="G611" s="111"/>
      <c r="H611" s="111"/>
      <c r="I611" s="112"/>
      <c r="J611" s="112"/>
      <c r="K611" s="112"/>
      <c r="L611" s="112"/>
      <c r="M611" s="112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</row>
    <row r="612" spans="1:29" ht="12" customHeight="1">
      <c r="A612" s="108"/>
      <c r="B612" s="109"/>
      <c r="C612" s="109"/>
      <c r="D612" s="109"/>
      <c r="E612" s="109"/>
      <c r="F612" s="109"/>
      <c r="G612" s="111"/>
      <c r="H612" s="111"/>
      <c r="I612" s="112"/>
      <c r="J612" s="112"/>
      <c r="K612" s="112"/>
      <c r="L612" s="112"/>
      <c r="M612" s="112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</row>
    <row r="613" spans="1:29" ht="12" customHeight="1">
      <c r="A613" s="108"/>
      <c r="B613" s="109"/>
      <c r="C613" s="109"/>
      <c r="D613" s="109"/>
      <c r="E613" s="109"/>
      <c r="F613" s="109"/>
      <c r="G613" s="111"/>
      <c r="H613" s="111"/>
      <c r="I613" s="112"/>
      <c r="J613" s="112"/>
      <c r="K613" s="112"/>
      <c r="L613" s="112"/>
      <c r="M613" s="112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</row>
    <row r="614" spans="1:29" ht="12" customHeight="1">
      <c r="A614" s="108"/>
      <c r="B614" s="109"/>
      <c r="C614" s="109"/>
      <c r="D614" s="109"/>
      <c r="E614" s="109"/>
      <c r="F614" s="109"/>
      <c r="G614" s="111"/>
      <c r="H614" s="111"/>
      <c r="I614" s="112"/>
      <c r="J614" s="112"/>
      <c r="K614" s="112"/>
      <c r="L614" s="112"/>
      <c r="M614" s="112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</row>
    <row r="615" spans="1:29" ht="12" customHeight="1">
      <c r="A615" s="108"/>
      <c r="B615" s="109"/>
      <c r="C615" s="109"/>
      <c r="D615" s="109"/>
      <c r="E615" s="109"/>
      <c r="F615" s="109"/>
      <c r="G615" s="111"/>
      <c r="H615" s="111"/>
      <c r="I615" s="112"/>
      <c r="J615" s="112"/>
      <c r="K615" s="112"/>
      <c r="L615" s="112"/>
      <c r="M615" s="112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</row>
    <row r="616" spans="1:29" ht="12" customHeight="1">
      <c r="A616" s="108"/>
      <c r="B616" s="109"/>
      <c r="C616" s="109"/>
      <c r="D616" s="109"/>
      <c r="E616" s="109"/>
      <c r="F616" s="109"/>
      <c r="G616" s="111"/>
      <c r="H616" s="111"/>
      <c r="I616" s="112"/>
      <c r="J616" s="112"/>
      <c r="K616" s="112"/>
      <c r="L616" s="112"/>
      <c r="M616" s="112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</row>
    <row r="617" spans="1:29" ht="12" customHeight="1">
      <c r="A617" s="108"/>
      <c r="B617" s="109"/>
      <c r="C617" s="109"/>
      <c r="D617" s="109"/>
      <c r="E617" s="109"/>
      <c r="F617" s="109"/>
      <c r="G617" s="111"/>
      <c r="H617" s="111"/>
      <c r="I617" s="112"/>
      <c r="J617" s="112"/>
      <c r="K617" s="112"/>
      <c r="L617" s="112"/>
      <c r="M617" s="112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</row>
    <row r="618" spans="1:29" ht="12" customHeight="1">
      <c r="A618" s="108"/>
      <c r="B618" s="109"/>
      <c r="C618" s="109"/>
      <c r="D618" s="109"/>
      <c r="E618" s="109"/>
      <c r="F618" s="109"/>
      <c r="G618" s="111"/>
      <c r="H618" s="111"/>
      <c r="I618" s="112"/>
      <c r="J618" s="112"/>
      <c r="K618" s="112"/>
      <c r="L618" s="112"/>
      <c r="M618" s="112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</row>
    <row r="619" spans="1:29" ht="12" customHeight="1">
      <c r="A619" s="108"/>
      <c r="B619" s="109"/>
      <c r="C619" s="109"/>
      <c r="D619" s="109"/>
      <c r="E619" s="109"/>
      <c r="F619" s="109"/>
      <c r="G619" s="111"/>
      <c r="H619" s="111"/>
      <c r="I619" s="112"/>
      <c r="J619" s="112"/>
      <c r="K619" s="112"/>
      <c r="L619" s="112"/>
      <c r="M619" s="112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</row>
    <row r="620" spans="1:29" ht="12" customHeight="1">
      <c r="A620" s="108"/>
      <c r="B620" s="109"/>
      <c r="C620" s="109"/>
      <c r="D620" s="109"/>
      <c r="E620" s="109"/>
      <c r="F620" s="109"/>
      <c r="G620" s="111"/>
      <c r="H620" s="111"/>
      <c r="I620" s="112"/>
      <c r="J620" s="112"/>
      <c r="K620" s="112"/>
      <c r="L620" s="112"/>
      <c r="M620" s="112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</row>
    <row r="621" spans="1:29" ht="12" customHeight="1">
      <c r="A621" s="108"/>
      <c r="B621" s="109"/>
      <c r="C621" s="109"/>
      <c r="D621" s="109"/>
      <c r="E621" s="109"/>
      <c r="F621" s="109"/>
      <c r="G621" s="111"/>
      <c r="H621" s="111"/>
      <c r="I621" s="112"/>
      <c r="J621" s="112"/>
      <c r="K621" s="112"/>
      <c r="L621" s="112"/>
      <c r="M621" s="112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</row>
    <row r="622" spans="1:29" ht="12" customHeight="1">
      <c r="A622" s="108"/>
      <c r="B622" s="109"/>
      <c r="C622" s="109"/>
      <c r="D622" s="109"/>
      <c r="E622" s="109"/>
      <c r="F622" s="109"/>
      <c r="G622" s="111"/>
      <c r="H622" s="111"/>
      <c r="I622" s="112"/>
      <c r="J622" s="112"/>
      <c r="K622" s="112"/>
      <c r="L622" s="112"/>
      <c r="M622" s="112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</row>
    <row r="623" spans="1:29" ht="12" customHeight="1">
      <c r="A623" s="108"/>
      <c r="B623" s="109"/>
      <c r="C623" s="109"/>
      <c r="D623" s="109"/>
      <c r="E623" s="109"/>
      <c r="F623" s="109"/>
      <c r="G623" s="111"/>
      <c r="H623" s="111"/>
      <c r="I623" s="112"/>
      <c r="J623" s="112"/>
      <c r="K623" s="112"/>
      <c r="L623" s="112"/>
      <c r="M623" s="112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</row>
    <row r="624" spans="1:29" ht="12" customHeight="1">
      <c r="A624" s="108"/>
      <c r="B624" s="109"/>
      <c r="C624" s="109"/>
      <c r="D624" s="109"/>
      <c r="E624" s="109"/>
      <c r="F624" s="109"/>
      <c r="G624" s="111"/>
      <c r="H624" s="111"/>
      <c r="I624" s="112"/>
      <c r="J624" s="112"/>
      <c r="K624" s="112"/>
      <c r="L624" s="112"/>
      <c r="M624" s="112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</row>
    <row r="625" spans="1:29" ht="12" customHeight="1">
      <c r="A625" s="108"/>
      <c r="B625" s="109"/>
      <c r="C625" s="109"/>
      <c r="D625" s="109"/>
      <c r="E625" s="109"/>
      <c r="F625" s="109"/>
      <c r="G625" s="111"/>
      <c r="H625" s="111"/>
      <c r="I625" s="112"/>
      <c r="J625" s="112"/>
      <c r="K625" s="112"/>
      <c r="L625" s="112"/>
      <c r="M625" s="112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</row>
    <row r="626" spans="1:29" ht="12" customHeight="1">
      <c r="A626" s="108"/>
      <c r="B626" s="109"/>
      <c r="C626" s="109"/>
      <c r="D626" s="109"/>
      <c r="E626" s="109"/>
      <c r="F626" s="109"/>
      <c r="G626" s="111"/>
      <c r="H626" s="111"/>
      <c r="I626" s="112"/>
      <c r="J626" s="112"/>
      <c r="K626" s="112"/>
      <c r="L626" s="112"/>
      <c r="M626" s="112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</row>
    <row r="627" spans="1:29" ht="12" customHeight="1">
      <c r="A627" s="108"/>
      <c r="B627" s="109"/>
      <c r="C627" s="109"/>
      <c r="D627" s="109"/>
      <c r="E627" s="109"/>
      <c r="F627" s="109"/>
      <c r="G627" s="111"/>
      <c r="H627" s="111"/>
      <c r="I627" s="112"/>
      <c r="J627" s="112"/>
      <c r="K627" s="112"/>
      <c r="L627" s="112"/>
      <c r="M627" s="112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</row>
    <row r="628" spans="1:29" ht="12" customHeight="1">
      <c r="A628" s="108"/>
      <c r="B628" s="109"/>
      <c r="C628" s="109"/>
      <c r="D628" s="109"/>
      <c r="E628" s="109"/>
      <c r="F628" s="109"/>
      <c r="G628" s="111"/>
      <c r="H628" s="111"/>
      <c r="I628" s="112"/>
      <c r="J628" s="112"/>
      <c r="K628" s="112"/>
      <c r="L628" s="112"/>
      <c r="M628" s="112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</row>
    <row r="629" spans="1:29" ht="12" customHeight="1">
      <c r="A629" s="108"/>
      <c r="B629" s="109"/>
      <c r="C629" s="109"/>
      <c r="D629" s="109"/>
      <c r="E629" s="109"/>
      <c r="F629" s="109"/>
      <c r="G629" s="111"/>
      <c r="H629" s="111"/>
      <c r="I629" s="112"/>
      <c r="J629" s="112"/>
      <c r="K629" s="112"/>
      <c r="L629" s="112"/>
      <c r="M629" s="112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</row>
    <row r="630" spans="1:29" ht="12" customHeight="1">
      <c r="A630" s="108"/>
      <c r="B630" s="109"/>
      <c r="C630" s="109"/>
      <c r="D630" s="109"/>
      <c r="E630" s="109"/>
      <c r="F630" s="109"/>
      <c r="G630" s="111"/>
      <c r="H630" s="111"/>
      <c r="I630" s="112"/>
      <c r="J630" s="112"/>
      <c r="K630" s="112"/>
      <c r="L630" s="112"/>
      <c r="M630" s="112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</row>
    <row r="631" spans="1:29" ht="12" customHeight="1">
      <c r="A631" s="108"/>
      <c r="B631" s="109"/>
      <c r="C631" s="109"/>
      <c r="D631" s="109"/>
      <c r="E631" s="109"/>
      <c r="F631" s="109"/>
      <c r="G631" s="111"/>
      <c r="H631" s="111"/>
      <c r="I631" s="112"/>
      <c r="J631" s="112"/>
      <c r="K631" s="112"/>
      <c r="L631" s="112"/>
      <c r="M631" s="112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</row>
    <row r="632" spans="1:29" ht="12" customHeight="1">
      <c r="A632" s="108"/>
      <c r="B632" s="109"/>
      <c r="C632" s="109"/>
      <c r="D632" s="109"/>
      <c r="E632" s="109"/>
      <c r="F632" s="109"/>
      <c r="G632" s="111"/>
      <c r="H632" s="111"/>
      <c r="I632" s="112"/>
      <c r="J632" s="112"/>
      <c r="K632" s="112"/>
      <c r="L632" s="112"/>
      <c r="M632" s="112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</row>
    <row r="633" spans="1:29" ht="12" customHeight="1">
      <c r="A633" s="108"/>
      <c r="B633" s="109"/>
      <c r="C633" s="109"/>
      <c r="D633" s="109"/>
      <c r="E633" s="109"/>
      <c r="F633" s="109"/>
      <c r="G633" s="111"/>
      <c r="H633" s="111"/>
      <c r="I633" s="112"/>
      <c r="J633" s="112"/>
      <c r="K633" s="112"/>
      <c r="L633" s="112"/>
      <c r="M633" s="112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</row>
    <row r="634" spans="1:29" ht="12" customHeight="1">
      <c r="A634" s="108"/>
      <c r="B634" s="109"/>
      <c r="C634" s="109"/>
      <c r="D634" s="109"/>
      <c r="E634" s="109"/>
      <c r="F634" s="109"/>
      <c r="G634" s="111"/>
      <c r="H634" s="111"/>
      <c r="I634" s="112"/>
      <c r="J634" s="112"/>
      <c r="K634" s="112"/>
      <c r="L634" s="112"/>
      <c r="M634" s="112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</row>
    <row r="635" spans="1:29" ht="12" customHeight="1">
      <c r="A635" s="108"/>
      <c r="B635" s="109"/>
      <c r="C635" s="109"/>
      <c r="D635" s="109"/>
      <c r="E635" s="109"/>
      <c r="F635" s="109"/>
      <c r="G635" s="111"/>
      <c r="H635" s="111"/>
      <c r="I635" s="112"/>
      <c r="J635" s="112"/>
      <c r="K635" s="112"/>
      <c r="L635" s="112"/>
      <c r="M635" s="112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</row>
    <row r="636" spans="1:29" ht="12" customHeight="1">
      <c r="A636" s="108"/>
      <c r="B636" s="109"/>
      <c r="C636" s="109"/>
      <c r="D636" s="109"/>
      <c r="E636" s="109"/>
      <c r="F636" s="109"/>
      <c r="G636" s="111"/>
      <c r="H636" s="111"/>
      <c r="I636" s="112"/>
      <c r="J636" s="112"/>
      <c r="K636" s="112"/>
      <c r="L636" s="112"/>
      <c r="M636" s="112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</row>
    <row r="637" spans="1:29" ht="12" customHeight="1">
      <c r="A637" s="108"/>
      <c r="B637" s="109"/>
      <c r="C637" s="109"/>
      <c r="D637" s="109"/>
      <c r="E637" s="109"/>
      <c r="F637" s="109"/>
      <c r="G637" s="111"/>
      <c r="H637" s="111"/>
      <c r="I637" s="112"/>
      <c r="J637" s="112"/>
      <c r="K637" s="112"/>
      <c r="L637" s="112"/>
      <c r="M637" s="112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</row>
    <row r="638" spans="1:29" ht="12" customHeight="1">
      <c r="A638" s="108"/>
      <c r="B638" s="109"/>
      <c r="C638" s="109"/>
      <c r="D638" s="109"/>
      <c r="E638" s="109"/>
      <c r="F638" s="109"/>
      <c r="G638" s="111"/>
      <c r="H638" s="111"/>
      <c r="I638" s="112"/>
      <c r="J638" s="112"/>
      <c r="K638" s="112"/>
      <c r="L638" s="112"/>
      <c r="M638" s="112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</row>
    <row r="639" spans="1:29" ht="12" customHeight="1">
      <c r="A639" s="108"/>
      <c r="B639" s="109"/>
      <c r="C639" s="109"/>
      <c r="D639" s="109"/>
      <c r="E639" s="109"/>
      <c r="F639" s="109"/>
      <c r="G639" s="111"/>
      <c r="H639" s="111"/>
      <c r="I639" s="112"/>
      <c r="J639" s="112"/>
      <c r="K639" s="112"/>
      <c r="L639" s="112"/>
      <c r="M639" s="112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</row>
    <row r="640" spans="1:29" ht="12" customHeight="1">
      <c r="A640" s="108"/>
      <c r="B640" s="109"/>
      <c r="C640" s="109"/>
      <c r="D640" s="109"/>
      <c r="E640" s="109"/>
      <c r="F640" s="109"/>
      <c r="G640" s="111"/>
      <c r="H640" s="111"/>
      <c r="I640" s="112"/>
      <c r="J640" s="112"/>
      <c r="K640" s="112"/>
      <c r="L640" s="112"/>
      <c r="M640" s="112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</row>
    <row r="641" spans="1:29" ht="12" customHeight="1">
      <c r="A641" s="108"/>
      <c r="B641" s="109"/>
      <c r="C641" s="109"/>
      <c r="D641" s="109"/>
      <c r="E641" s="109"/>
      <c r="F641" s="109"/>
      <c r="G641" s="111"/>
      <c r="H641" s="111"/>
      <c r="I641" s="112"/>
      <c r="J641" s="112"/>
      <c r="K641" s="112"/>
      <c r="L641" s="112"/>
      <c r="M641" s="112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</row>
    <row r="642" spans="1:29" ht="12" customHeight="1">
      <c r="A642" s="108"/>
      <c r="B642" s="109"/>
      <c r="C642" s="109"/>
      <c r="D642" s="109"/>
      <c r="E642" s="109"/>
      <c r="F642" s="109"/>
      <c r="G642" s="111"/>
      <c r="H642" s="111"/>
      <c r="I642" s="112"/>
      <c r="J642" s="112"/>
      <c r="K642" s="112"/>
      <c r="L642" s="112"/>
      <c r="M642" s="112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</row>
    <row r="643" spans="1:29" ht="12" customHeight="1">
      <c r="A643" s="108"/>
      <c r="B643" s="109"/>
      <c r="C643" s="109"/>
      <c r="D643" s="109"/>
      <c r="E643" s="109"/>
      <c r="F643" s="109"/>
      <c r="G643" s="111"/>
      <c r="H643" s="111"/>
      <c r="I643" s="112"/>
      <c r="J643" s="112"/>
      <c r="K643" s="112"/>
      <c r="L643" s="112"/>
      <c r="M643" s="112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</row>
    <row r="644" spans="1:29" ht="12" customHeight="1">
      <c r="A644" s="108"/>
      <c r="B644" s="109"/>
      <c r="C644" s="109"/>
      <c r="D644" s="109"/>
      <c r="E644" s="109"/>
      <c r="F644" s="109"/>
      <c r="G644" s="111"/>
      <c r="H644" s="111"/>
      <c r="I644" s="112"/>
      <c r="J644" s="112"/>
      <c r="K644" s="112"/>
      <c r="L644" s="112"/>
      <c r="M644" s="112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</row>
    <row r="645" spans="1:29" ht="12" customHeight="1">
      <c r="A645" s="108"/>
      <c r="B645" s="109"/>
      <c r="C645" s="109"/>
      <c r="D645" s="109"/>
      <c r="E645" s="109"/>
      <c r="F645" s="109"/>
      <c r="G645" s="111"/>
      <c r="H645" s="111"/>
      <c r="I645" s="112"/>
      <c r="J645" s="112"/>
      <c r="K645" s="112"/>
      <c r="L645" s="112"/>
      <c r="M645" s="112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</row>
    <row r="646" spans="1:29" ht="12" customHeight="1">
      <c r="A646" s="108"/>
      <c r="B646" s="109"/>
      <c r="C646" s="109"/>
      <c r="D646" s="109"/>
      <c r="E646" s="109"/>
      <c r="F646" s="109"/>
      <c r="G646" s="111"/>
      <c r="H646" s="111"/>
      <c r="I646" s="112"/>
      <c r="J646" s="112"/>
      <c r="K646" s="112"/>
      <c r="L646" s="112"/>
      <c r="M646" s="112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</row>
    <row r="647" spans="1:29" ht="12" customHeight="1">
      <c r="A647" s="108"/>
      <c r="B647" s="109"/>
      <c r="C647" s="109"/>
      <c r="D647" s="109"/>
      <c r="E647" s="109"/>
      <c r="F647" s="109"/>
      <c r="G647" s="111"/>
      <c r="H647" s="111"/>
      <c r="I647" s="112"/>
      <c r="J647" s="112"/>
      <c r="K647" s="112"/>
      <c r="L647" s="112"/>
      <c r="M647" s="112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</row>
    <row r="648" spans="1:29" ht="12" customHeight="1">
      <c r="A648" s="108"/>
      <c r="B648" s="109"/>
      <c r="C648" s="109"/>
      <c r="D648" s="109"/>
      <c r="E648" s="109"/>
      <c r="F648" s="109"/>
      <c r="G648" s="111"/>
      <c r="H648" s="111"/>
      <c r="I648" s="112"/>
      <c r="J648" s="112"/>
      <c r="K648" s="112"/>
      <c r="L648" s="112"/>
      <c r="M648" s="112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</row>
    <row r="649" spans="1:29" ht="12" customHeight="1">
      <c r="A649" s="108"/>
      <c r="B649" s="109"/>
      <c r="C649" s="109"/>
      <c r="D649" s="109"/>
      <c r="E649" s="109"/>
      <c r="F649" s="109"/>
      <c r="G649" s="111"/>
      <c r="H649" s="111"/>
      <c r="I649" s="112"/>
      <c r="J649" s="112"/>
      <c r="K649" s="112"/>
      <c r="L649" s="112"/>
      <c r="M649" s="112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</row>
    <row r="650" spans="1:29" ht="12" customHeight="1">
      <c r="A650" s="108"/>
      <c r="B650" s="109"/>
      <c r="C650" s="109"/>
      <c r="D650" s="109"/>
      <c r="E650" s="109"/>
      <c r="F650" s="109"/>
      <c r="G650" s="111"/>
      <c r="H650" s="111"/>
      <c r="I650" s="112"/>
      <c r="J650" s="112"/>
      <c r="K650" s="112"/>
      <c r="L650" s="112"/>
      <c r="M650" s="112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</row>
    <row r="651" spans="1:29" ht="12" customHeight="1">
      <c r="A651" s="108"/>
      <c r="B651" s="109"/>
      <c r="C651" s="109"/>
      <c r="D651" s="109"/>
      <c r="E651" s="109"/>
      <c r="F651" s="109"/>
      <c r="G651" s="111"/>
      <c r="H651" s="111"/>
      <c r="I651" s="112"/>
      <c r="J651" s="112"/>
      <c r="K651" s="112"/>
      <c r="L651" s="112"/>
      <c r="M651" s="112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</row>
    <row r="652" spans="1:29" ht="12" customHeight="1">
      <c r="A652" s="108"/>
      <c r="B652" s="109"/>
      <c r="C652" s="109"/>
      <c r="D652" s="109"/>
      <c r="E652" s="109"/>
      <c r="F652" s="109"/>
      <c r="G652" s="111"/>
      <c r="H652" s="111"/>
      <c r="I652" s="112"/>
      <c r="J652" s="112"/>
      <c r="K652" s="112"/>
      <c r="L652" s="112"/>
      <c r="M652" s="112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</row>
    <row r="653" spans="1:29" ht="12" customHeight="1">
      <c r="A653" s="108"/>
      <c r="B653" s="109"/>
      <c r="C653" s="109"/>
      <c r="D653" s="109"/>
      <c r="E653" s="109"/>
      <c r="F653" s="109"/>
      <c r="G653" s="111"/>
      <c r="H653" s="111"/>
      <c r="I653" s="112"/>
      <c r="J653" s="112"/>
      <c r="K653" s="112"/>
      <c r="L653" s="112"/>
      <c r="M653" s="112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</row>
    <row r="654" spans="1:29" ht="12" customHeight="1">
      <c r="A654" s="108"/>
      <c r="B654" s="109"/>
      <c r="C654" s="109"/>
      <c r="D654" s="109"/>
      <c r="E654" s="109"/>
      <c r="F654" s="109"/>
      <c r="G654" s="111"/>
      <c r="H654" s="111"/>
      <c r="I654" s="112"/>
      <c r="J654" s="112"/>
      <c r="K654" s="112"/>
      <c r="L654" s="112"/>
      <c r="M654" s="112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</row>
    <row r="655" spans="1:29" ht="12" customHeight="1">
      <c r="A655" s="108"/>
      <c r="B655" s="109"/>
      <c r="C655" s="109"/>
      <c r="D655" s="109"/>
      <c r="E655" s="109"/>
      <c r="F655" s="109"/>
      <c r="G655" s="111"/>
      <c r="H655" s="111"/>
      <c r="I655" s="112"/>
      <c r="J655" s="112"/>
      <c r="K655" s="112"/>
      <c r="L655" s="112"/>
      <c r="M655" s="112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</row>
    <row r="656" spans="1:29" ht="12" customHeight="1">
      <c r="A656" s="108"/>
      <c r="B656" s="109"/>
      <c r="C656" s="109"/>
      <c r="D656" s="109"/>
      <c r="E656" s="109"/>
      <c r="F656" s="109"/>
      <c r="G656" s="111"/>
      <c r="H656" s="111"/>
      <c r="I656" s="112"/>
      <c r="J656" s="112"/>
      <c r="K656" s="112"/>
      <c r="L656" s="112"/>
      <c r="M656" s="112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</row>
    <row r="657" spans="1:29" ht="12" customHeight="1">
      <c r="A657" s="108"/>
      <c r="B657" s="109"/>
      <c r="C657" s="109"/>
      <c r="D657" s="109"/>
      <c r="E657" s="109"/>
      <c r="F657" s="109"/>
      <c r="G657" s="111"/>
      <c r="H657" s="111"/>
      <c r="I657" s="112"/>
      <c r="J657" s="112"/>
      <c r="K657" s="112"/>
      <c r="L657" s="112"/>
      <c r="M657" s="112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</row>
    <row r="658" spans="1:29" ht="12" customHeight="1">
      <c r="A658" s="108"/>
      <c r="B658" s="109"/>
      <c r="C658" s="109"/>
      <c r="D658" s="109"/>
      <c r="E658" s="109"/>
      <c r="F658" s="109"/>
      <c r="G658" s="111"/>
      <c r="H658" s="111"/>
      <c r="I658" s="112"/>
      <c r="J658" s="112"/>
      <c r="K658" s="112"/>
      <c r="L658" s="112"/>
      <c r="M658" s="112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</row>
    <row r="659" spans="1:29" ht="12" customHeight="1">
      <c r="A659" s="108"/>
      <c r="B659" s="109"/>
      <c r="C659" s="109"/>
      <c r="D659" s="109"/>
      <c r="E659" s="109"/>
      <c r="F659" s="109"/>
      <c r="G659" s="111"/>
      <c r="H659" s="111"/>
      <c r="I659" s="112"/>
      <c r="J659" s="112"/>
      <c r="K659" s="112"/>
      <c r="L659" s="112"/>
      <c r="M659" s="112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</row>
    <row r="660" spans="1:29" ht="12" customHeight="1">
      <c r="A660" s="108"/>
      <c r="B660" s="109"/>
      <c r="C660" s="109"/>
      <c r="D660" s="109"/>
      <c r="E660" s="109"/>
      <c r="F660" s="109"/>
      <c r="G660" s="111"/>
      <c r="H660" s="111"/>
      <c r="I660" s="112"/>
      <c r="J660" s="112"/>
      <c r="K660" s="112"/>
      <c r="L660" s="112"/>
      <c r="M660" s="112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</row>
    <row r="661" spans="1:29" ht="12" customHeight="1">
      <c r="A661" s="108"/>
      <c r="B661" s="109"/>
      <c r="C661" s="109"/>
      <c r="D661" s="109"/>
      <c r="E661" s="109"/>
      <c r="F661" s="109"/>
      <c r="G661" s="111"/>
      <c r="H661" s="111"/>
      <c r="I661" s="112"/>
      <c r="J661" s="112"/>
      <c r="K661" s="112"/>
      <c r="L661" s="112"/>
      <c r="M661" s="112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</row>
    <row r="662" spans="1:29" ht="12" customHeight="1">
      <c r="A662" s="108"/>
      <c r="B662" s="109"/>
      <c r="C662" s="109"/>
      <c r="D662" s="109"/>
      <c r="E662" s="109"/>
      <c r="F662" s="109"/>
      <c r="G662" s="111"/>
      <c r="H662" s="111"/>
      <c r="I662" s="112"/>
      <c r="J662" s="112"/>
      <c r="K662" s="112"/>
      <c r="L662" s="112"/>
      <c r="M662" s="112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</row>
    <row r="663" spans="1:29" ht="12" customHeight="1">
      <c r="A663" s="108"/>
      <c r="B663" s="109"/>
      <c r="C663" s="109"/>
      <c r="D663" s="109"/>
      <c r="E663" s="109"/>
      <c r="F663" s="109"/>
      <c r="G663" s="111"/>
      <c r="H663" s="111"/>
      <c r="I663" s="112"/>
      <c r="J663" s="112"/>
      <c r="K663" s="112"/>
      <c r="L663" s="112"/>
      <c r="M663" s="112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</row>
    <row r="664" spans="1:29" ht="12" customHeight="1">
      <c r="A664" s="108"/>
      <c r="B664" s="109"/>
      <c r="C664" s="109"/>
      <c r="D664" s="109"/>
      <c r="E664" s="109"/>
      <c r="F664" s="109"/>
      <c r="G664" s="111"/>
      <c r="H664" s="111"/>
      <c r="I664" s="112"/>
      <c r="J664" s="112"/>
      <c r="K664" s="112"/>
      <c r="L664" s="112"/>
      <c r="M664" s="112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</row>
    <row r="665" spans="1:29" ht="12" customHeight="1">
      <c r="A665" s="108"/>
      <c r="B665" s="109"/>
      <c r="C665" s="109"/>
      <c r="D665" s="109"/>
      <c r="E665" s="109"/>
      <c r="F665" s="109"/>
      <c r="G665" s="111"/>
      <c r="H665" s="111"/>
      <c r="I665" s="112"/>
      <c r="J665" s="112"/>
      <c r="K665" s="112"/>
      <c r="L665" s="112"/>
      <c r="M665" s="112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</row>
    <row r="666" spans="1:29" ht="12" customHeight="1">
      <c r="A666" s="108"/>
      <c r="B666" s="109"/>
      <c r="C666" s="109"/>
      <c r="D666" s="109"/>
      <c r="E666" s="109"/>
      <c r="F666" s="109"/>
      <c r="G666" s="111"/>
      <c r="H666" s="111"/>
      <c r="I666" s="112"/>
      <c r="J666" s="112"/>
      <c r="K666" s="112"/>
      <c r="L666" s="112"/>
      <c r="M666" s="112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</row>
    <row r="667" spans="1:29" ht="12" customHeight="1">
      <c r="A667" s="108"/>
      <c r="B667" s="109"/>
      <c r="C667" s="109"/>
      <c r="D667" s="109"/>
      <c r="E667" s="109"/>
      <c r="F667" s="109"/>
      <c r="G667" s="111"/>
      <c r="H667" s="111"/>
      <c r="I667" s="112"/>
      <c r="J667" s="112"/>
      <c r="K667" s="112"/>
      <c r="L667" s="112"/>
      <c r="M667" s="112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</row>
    <row r="668" spans="1:29" ht="12" customHeight="1">
      <c r="A668" s="108"/>
      <c r="B668" s="109"/>
      <c r="C668" s="109"/>
      <c r="D668" s="109"/>
      <c r="E668" s="109"/>
      <c r="F668" s="109"/>
      <c r="G668" s="111"/>
      <c r="H668" s="111"/>
      <c r="I668" s="112"/>
      <c r="J668" s="112"/>
      <c r="K668" s="112"/>
      <c r="L668" s="112"/>
      <c r="M668" s="112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</row>
    <row r="669" spans="1:29" ht="12" customHeight="1">
      <c r="A669" s="108"/>
      <c r="B669" s="109"/>
      <c r="C669" s="109"/>
      <c r="D669" s="109"/>
      <c r="E669" s="109"/>
      <c r="F669" s="109"/>
      <c r="G669" s="111"/>
      <c r="H669" s="111"/>
      <c r="I669" s="112"/>
      <c r="J669" s="112"/>
      <c r="K669" s="112"/>
      <c r="L669" s="112"/>
      <c r="M669" s="112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</row>
    <row r="670" spans="1:29" ht="12" customHeight="1">
      <c r="A670" s="108"/>
      <c r="B670" s="109"/>
      <c r="C670" s="109"/>
      <c r="D670" s="109"/>
      <c r="E670" s="109"/>
      <c r="F670" s="109"/>
      <c r="G670" s="111"/>
      <c r="H670" s="111"/>
      <c r="I670" s="112"/>
      <c r="J670" s="112"/>
      <c r="K670" s="112"/>
      <c r="L670" s="112"/>
      <c r="M670" s="112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</row>
    <row r="671" spans="1:29" ht="12" customHeight="1">
      <c r="A671" s="108"/>
      <c r="B671" s="109"/>
      <c r="C671" s="109"/>
      <c r="D671" s="109"/>
      <c r="E671" s="109"/>
      <c r="F671" s="109"/>
      <c r="G671" s="111"/>
      <c r="H671" s="111"/>
      <c r="I671" s="112"/>
      <c r="J671" s="112"/>
      <c r="K671" s="112"/>
      <c r="L671" s="112"/>
      <c r="M671" s="112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</row>
    <row r="672" spans="1:29" ht="12" customHeight="1">
      <c r="A672" s="108"/>
      <c r="B672" s="109"/>
      <c r="C672" s="109"/>
      <c r="D672" s="109"/>
      <c r="E672" s="109"/>
      <c r="F672" s="109"/>
      <c r="G672" s="111"/>
      <c r="H672" s="111"/>
      <c r="I672" s="112"/>
      <c r="J672" s="112"/>
      <c r="K672" s="112"/>
      <c r="L672" s="112"/>
      <c r="M672" s="112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</row>
    <row r="673" spans="1:29" ht="12" customHeight="1">
      <c r="A673" s="108"/>
      <c r="B673" s="109"/>
      <c r="C673" s="109"/>
      <c r="D673" s="109"/>
      <c r="E673" s="109"/>
      <c r="F673" s="109"/>
      <c r="G673" s="111"/>
      <c r="H673" s="111"/>
      <c r="I673" s="112"/>
      <c r="J673" s="112"/>
      <c r="K673" s="112"/>
      <c r="L673" s="112"/>
      <c r="M673" s="112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</row>
    <row r="674" spans="1:29" ht="12" customHeight="1">
      <c r="A674" s="108"/>
      <c r="B674" s="109"/>
      <c r="C674" s="109"/>
      <c r="D674" s="109"/>
      <c r="E674" s="109"/>
      <c r="F674" s="109"/>
      <c r="G674" s="111"/>
      <c r="H674" s="111"/>
      <c r="I674" s="112"/>
      <c r="J674" s="112"/>
      <c r="K674" s="112"/>
      <c r="L674" s="112"/>
      <c r="M674" s="112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</row>
    <row r="675" spans="1:29" ht="12" customHeight="1">
      <c r="A675" s="108"/>
      <c r="B675" s="109"/>
      <c r="C675" s="109"/>
      <c r="D675" s="109"/>
      <c r="E675" s="109"/>
      <c r="F675" s="109"/>
      <c r="G675" s="111"/>
      <c r="H675" s="111"/>
      <c r="I675" s="112"/>
      <c r="J675" s="112"/>
      <c r="K675" s="112"/>
      <c r="L675" s="112"/>
      <c r="M675" s="112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</row>
    <row r="676" spans="1:29" ht="12" customHeight="1">
      <c r="A676" s="108"/>
      <c r="B676" s="109"/>
      <c r="C676" s="109"/>
      <c r="D676" s="109"/>
      <c r="E676" s="109"/>
      <c r="F676" s="109"/>
      <c r="G676" s="111"/>
      <c r="H676" s="111"/>
      <c r="I676" s="112"/>
      <c r="J676" s="112"/>
      <c r="K676" s="112"/>
      <c r="L676" s="112"/>
      <c r="M676" s="112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</row>
    <row r="677" spans="1:29" ht="12" customHeight="1">
      <c r="A677" s="108"/>
      <c r="B677" s="109"/>
      <c r="C677" s="109"/>
      <c r="D677" s="109"/>
      <c r="E677" s="109"/>
      <c r="F677" s="109"/>
      <c r="G677" s="111"/>
      <c r="H677" s="111"/>
      <c r="I677" s="112"/>
      <c r="J677" s="112"/>
      <c r="K677" s="112"/>
      <c r="L677" s="112"/>
      <c r="M677" s="112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</row>
    <row r="678" spans="1:29" ht="12" customHeight="1">
      <c r="A678" s="108"/>
      <c r="B678" s="109"/>
      <c r="C678" s="109"/>
      <c r="D678" s="109"/>
      <c r="E678" s="109"/>
      <c r="F678" s="109"/>
      <c r="G678" s="111"/>
      <c r="H678" s="111"/>
      <c r="I678" s="112"/>
      <c r="J678" s="112"/>
      <c r="K678" s="112"/>
      <c r="L678" s="112"/>
      <c r="M678" s="112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</row>
    <row r="679" spans="1:29" ht="12" customHeight="1">
      <c r="A679" s="108"/>
      <c r="B679" s="109"/>
      <c r="C679" s="109"/>
      <c r="D679" s="109"/>
      <c r="E679" s="109"/>
      <c r="F679" s="109"/>
      <c r="G679" s="111"/>
      <c r="H679" s="111"/>
      <c r="I679" s="112"/>
      <c r="J679" s="112"/>
      <c r="K679" s="112"/>
      <c r="L679" s="112"/>
      <c r="M679" s="112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</row>
    <row r="680" spans="1:29" ht="12" customHeight="1">
      <c r="A680" s="108"/>
      <c r="B680" s="109"/>
      <c r="C680" s="109"/>
      <c r="D680" s="109"/>
      <c r="E680" s="109"/>
      <c r="F680" s="109"/>
      <c r="G680" s="111"/>
      <c r="H680" s="111"/>
      <c r="I680" s="112"/>
      <c r="J680" s="112"/>
      <c r="K680" s="112"/>
      <c r="L680" s="112"/>
      <c r="M680" s="112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</row>
    <row r="681" spans="1:29" ht="12" customHeight="1">
      <c r="A681" s="108"/>
      <c r="B681" s="109"/>
      <c r="C681" s="109"/>
      <c r="D681" s="109"/>
      <c r="E681" s="109"/>
      <c r="F681" s="109"/>
      <c r="G681" s="111"/>
      <c r="H681" s="111"/>
      <c r="I681" s="112"/>
      <c r="J681" s="112"/>
      <c r="K681" s="112"/>
      <c r="L681" s="112"/>
      <c r="M681" s="112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</row>
    <row r="682" spans="1:29" ht="12" customHeight="1">
      <c r="A682" s="108"/>
      <c r="B682" s="109"/>
      <c r="C682" s="109"/>
      <c r="D682" s="109"/>
      <c r="E682" s="109"/>
      <c r="F682" s="109"/>
      <c r="G682" s="111"/>
      <c r="H682" s="111"/>
      <c r="I682" s="112"/>
      <c r="J682" s="112"/>
      <c r="K682" s="112"/>
      <c r="L682" s="112"/>
      <c r="M682" s="112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</row>
    <row r="683" spans="1:29" ht="12" customHeight="1">
      <c r="A683" s="108"/>
      <c r="B683" s="109"/>
      <c r="C683" s="109"/>
      <c r="D683" s="109"/>
      <c r="E683" s="109"/>
      <c r="F683" s="109"/>
      <c r="G683" s="111"/>
      <c r="H683" s="111"/>
      <c r="I683" s="112"/>
      <c r="J683" s="112"/>
      <c r="K683" s="112"/>
      <c r="L683" s="112"/>
      <c r="M683" s="112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</row>
    <row r="684" spans="1:29" ht="12" customHeight="1">
      <c r="A684" s="108"/>
      <c r="B684" s="109"/>
      <c r="C684" s="109"/>
      <c r="D684" s="109"/>
      <c r="E684" s="109"/>
      <c r="F684" s="109"/>
      <c r="G684" s="111"/>
      <c r="H684" s="111"/>
      <c r="I684" s="112"/>
      <c r="J684" s="112"/>
      <c r="K684" s="112"/>
      <c r="L684" s="112"/>
      <c r="M684" s="112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</row>
    <row r="685" spans="1:29" ht="12" customHeight="1">
      <c r="A685" s="108"/>
      <c r="B685" s="109"/>
      <c r="C685" s="109"/>
      <c r="D685" s="109"/>
      <c r="E685" s="109"/>
      <c r="F685" s="109"/>
      <c r="G685" s="111"/>
      <c r="H685" s="111"/>
      <c r="I685" s="112"/>
      <c r="J685" s="112"/>
      <c r="K685" s="112"/>
      <c r="L685" s="112"/>
      <c r="M685" s="112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</row>
    <row r="686" spans="1:29" ht="12" customHeight="1">
      <c r="A686" s="108"/>
      <c r="B686" s="109"/>
      <c r="C686" s="109"/>
      <c r="D686" s="109"/>
      <c r="E686" s="109"/>
      <c r="F686" s="109"/>
      <c r="G686" s="111"/>
      <c r="H686" s="111"/>
      <c r="I686" s="112"/>
      <c r="J686" s="112"/>
      <c r="K686" s="112"/>
      <c r="L686" s="112"/>
      <c r="M686" s="112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</row>
    <row r="687" spans="1:29" ht="12" customHeight="1">
      <c r="A687" s="108"/>
      <c r="B687" s="109"/>
      <c r="C687" s="109"/>
      <c r="D687" s="109"/>
      <c r="E687" s="109"/>
      <c r="F687" s="109"/>
      <c r="G687" s="111"/>
      <c r="H687" s="111"/>
      <c r="I687" s="112"/>
      <c r="J687" s="112"/>
      <c r="K687" s="112"/>
      <c r="L687" s="112"/>
      <c r="M687" s="112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</row>
    <row r="688" spans="1:29" ht="12" customHeight="1">
      <c r="A688" s="108"/>
      <c r="B688" s="109"/>
      <c r="C688" s="109"/>
      <c r="D688" s="109"/>
      <c r="E688" s="109"/>
      <c r="F688" s="109"/>
      <c r="G688" s="111"/>
      <c r="H688" s="111"/>
      <c r="I688" s="112"/>
      <c r="J688" s="112"/>
      <c r="K688" s="112"/>
      <c r="L688" s="112"/>
      <c r="M688" s="112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</row>
    <row r="689" spans="1:29" ht="12" customHeight="1">
      <c r="A689" s="108"/>
      <c r="B689" s="109"/>
      <c r="C689" s="109"/>
      <c r="D689" s="109"/>
      <c r="E689" s="109"/>
      <c r="F689" s="109"/>
      <c r="G689" s="111"/>
      <c r="H689" s="111"/>
      <c r="I689" s="112"/>
      <c r="J689" s="112"/>
      <c r="K689" s="112"/>
      <c r="L689" s="112"/>
      <c r="M689" s="112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</row>
    <row r="690" spans="1:29" ht="12" customHeight="1">
      <c r="A690" s="108"/>
      <c r="B690" s="109"/>
      <c r="C690" s="109"/>
      <c r="D690" s="109"/>
      <c r="E690" s="109"/>
      <c r="F690" s="109"/>
      <c r="G690" s="111"/>
      <c r="H690" s="111"/>
      <c r="I690" s="112"/>
      <c r="J690" s="112"/>
      <c r="K690" s="112"/>
      <c r="L690" s="112"/>
      <c r="M690" s="112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</row>
    <row r="691" spans="1:29" ht="12" customHeight="1">
      <c r="A691" s="108"/>
      <c r="B691" s="109"/>
      <c r="C691" s="109"/>
      <c r="D691" s="109"/>
      <c r="E691" s="109"/>
      <c r="F691" s="109"/>
      <c r="G691" s="111"/>
      <c r="H691" s="111"/>
      <c r="I691" s="112"/>
      <c r="J691" s="112"/>
      <c r="K691" s="112"/>
      <c r="L691" s="112"/>
      <c r="M691" s="112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</row>
    <row r="692" spans="1:29" ht="12" customHeight="1">
      <c r="A692" s="108"/>
      <c r="B692" s="109"/>
      <c r="C692" s="109"/>
      <c r="D692" s="109"/>
      <c r="E692" s="109"/>
      <c r="F692" s="109"/>
      <c r="G692" s="111"/>
      <c r="H692" s="111"/>
      <c r="I692" s="112"/>
      <c r="J692" s="112"/>
      <c r="K692" s="112"/>
      <c r="L692" s="112"/>
      <c r="M692" s="112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</row>
    <row r="693" spans="1:29" ht="12" customHeight="1">
      <c r="A693" s="108"/>
      <c r="B693" s="109"/>
      <c r="C693" s="109"/>
      <c r="D693" s="109"/>
      <c r="E693" s="109"/>
      <c r="F693" s="109"/>
      <c r="G693" s="111"/>
      <c r="H693" s="111"/>
      <c r="I693" s="112"/>
      <c r="J693" s="112"/>
      <c r="K693" s="112"/>
      <c r="L693" s="112"/>
      <c r="M693" s="112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</row>
    <row r="694" spans="1:29" ht="12" customHeight="1">
      <c r="A694" s="108"/>
      <c r="B694" s="109"/>
      <c r="C694" s="109"/>
      <c r="D694" s="109"/>
      <c r="E694" s="109"/>
      <c r="F694" s="109"/>
      <c r="G694" s="111"/>
      <c r="H694" s="111"/>
      <c r="I694" s="112"/>
      <c r="J694" s="112"/>
      <c r="K694" s="112"/>
      <c r="L694" s="112"/>
      <c r="M694" s="112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</row>
    <row r="695" spans="1:29" ht="12" customHeight="1">
      <c r="A695" s="108"/>
      <c r="B695" s="109"/>
      <c r="C695" s="109"/>
      <c r="D695" s="109"/>
      <c r="E695" s="109"/>
      <c r="F695" s="109"/>
      <c r="G695" s="111"/>
      <c r="H695" s="111"/>
      <c r="I695" s="112"/>
      <c r="J695" s="112"/>
      <c r="K695" s="112"/>
      <c r="L695" s="112"/>
      <c r="M695" s="112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</row>
    <row r="696" spans="1:29" ht="12" customHeight="1">
      <c r="A696" s="108"/>
      <c r="B696" s="109"/>
      <c r="C696" s="109"/>
      <c r="D696" s="109"/>
      <c r="E696" s="109"/>
      <c r="F696" s="109"/>
      <c r="G696" s="111"/>
      <c r="H696" s="111"/>
      <c r="I696" s="112"/>
      <c r="J696" s="112"/>
      <c r="K696" s="112"/>
      <c r="L696" s="112"/>
      <c r="M696" s="112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</row>
    <row r="697" spans="1:29" ht="12" customHeight="1">
      <c r="A697" s="108"/>
      <c r="B697" s="109"/>
      <c r="C697" s="109"/>
      <c r="D697" s="109"/>
      <c r="E697" s="109"/>
      <c r="F697" s="109"/>
      <c r="G697" s="111"/>
      <c r="H697" s="111"/>
      <c r="I697" s="112"/>
      <c r="J697" s="112"/>
      <c r="K697" s="112"/>
      <c r="L697" s="112"/>
      <c r="M697" s="112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</row>
    <row r="698" spans="1:29" ht="12" customHeight="1">
      <c r="A698" s="108"/>
      <c r="B698" s="109"/>
      <c r="C698" s="109"/>
      <c r="D698" s="109"/>
      <c r="E698" s="109"/>
      <c r="F698" s="109"/>
      <c r="G698" s="111"/>
      <c r="H698" s="111"/>
      <c r="I698" s="112"/>
      <c r="J698" s="112"/>
      <c r="K698" s="112"/>
      <c r="L698" s="112"/>
      <c r="M698" s="112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</row>
    <row r="699" spans="1:29" ht="12" customHeight="1">
      <c r="A699" s="108"/>
      <c r="B699" s="109"/>
      <c r="C699" s="109"/>
      <c r="D699" s="109"/>
      <c r="E699" s="109"/>
      <c r="F699" s="109"/>
      <c r="G699" s="111"/>
      <c r="H699" s="111"/>
      <c r="I699" s="112"/>
      <c r="J699" s="112"/>
      <c r="K699" s="112"/>
      <c r="L699" s="112"/>
      <c r="M699" s="112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</row>
    <row r="700" spans="1:29" ht="12" customHeight="1">
      <c r="A700" s="108"/>
      <c r="B700" s="109"/>
      <c r="C700" s="109"/>
      <c r="D700" s="109"/>
      <c r="E700" s="109"/>
      <c r="F700" s="109"/>
      <c r="G700" s="111"/>
      <c r="H700" s="111"/>
      <c r="I700" s="112"/>
      <c r="J700" s="112"/>
      <c r="K700" s="112"/>
      <c r="L700" s="112"/>
      <c r="M700" s="112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</row>
    <row r="701" spans="1:29" ht="12" customHeight="1">
      <c r="A701" s="108"/>
      <c r="B701" s="109"/>
      <c r="C701" s="109"/>
      <c r="D701" s="109"/>
      <c r="E701" s="109"/>
      <c r="F701" s="109"/>
      <c r="G701" s="111"/>
      <c r="H701" s="111"/>
      <c r="I701" s="112"/>
      <c r="J701" s="112"/>
      <c r="K701" s="112"/>
      <c r="L701" s="112"/>
      <c r="M701" s="112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</row>
    <row r="702" spans="1:29" ht="12" customHeight="1">
      <c r="A702" s="108"/>
      <c r="B702" s="109"/>
      <c r="C702" s="109"/>
      <c r="D702" s="109"/>
      <c r="E702" s="109"/>
      <c r="F702" s="109"/>
      <c r="G702" s="111"/>
      <c r="H702" s="111"/>
      <c r="I702" s="112"/>
      <c r="J702" s="112"/>
      <c r="K702" s="112"/>
      <c r="L702" s="112"/>
      <c r="M702" s="112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</row>
    <row r="703" spans="1:29" ht="12" customHeight="1">
      <c r="A703" s="108"/>
      <c r="B703" s="109"/>
      <c r="C703" s="109"/>
      <c r="D703" s="109"/>
      <c r="E703" s="109"/>
      <c r="F703" s="109"/>
      <c r="G703" s="111"/>
      <c r="H703" s="111"/>
      <c r="I703" s="112"/>
      <c r="J703" s="112"/>
      <c r="K703" s="112"/>
      <c r="L703" s="112"/>
      <c r="M703" s="112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</row>
    <row r="704" spans="1:29" ht="12" customHeight="1">
      <c r="A704" s="108"/>
      <c r="B704" s="109"/>
      <c r="C704" s="109"/>
      <c r="D704" s="109"/>
      <c r="E704" s="109"/>
      <c r="F704" s="109"/>
      <c r="G704" s="111"/>
      <c r="H704" s="111"/>
      <c r="I704" s="112"/>
      <c r="J704" s="112"/>
      <c r="K704" s="112"/>
      <c r="L704" s="112"/>
      <c r="M704" s="112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</row>
    <row r="705" spans="1:29" ht="12" customHeight="1">
      <c r="A705" s="108"/>
      <c r="B705" s="109"/>
      <c r="C705" s="109"/>
      <c r="D705" s="109"/>
      <c r="E705" s="109"/>
      <c r="F705" s="109"/>
      <c r="G705" s="111"/>
      <c r="H705" s="111"/>
      <c r="I705" s="112"/>
      <c r="J705" s="112"/>
      <c r="K705" s="112"/>
      <c r="L705" s="112"/>
      <c r="M705" s="112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</row>
    <row r="706" spans="1:29" ht="12" customHeight="1">
      <c r="A706" s="108"/>
      <c r="B706" s="109"/>
      <c r="C706" s="109"/>
      <c r="D706" s="109"/>
      <c r="E706" s="109"/>
      <c r="F706" s="109"/>
      <c r="G706" s="111"/>
      <c r="H706" s="111"/>
      <c r="I706" s="112"/>
      <c r="J706" s="112"/>
      <c r="K706" s="112"/>
      <c r="L706" s="112"/>
      <c r="M706" s="112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</row>
    <row r="707" spans="1:29" ht="12" customHeight="1">
      <c r="A707" s="108"/>
      <c r="B707" s="109"/>
      <c r="C707" s="109"/>
      <c r="D707" s="109"/>
      <c r="E707" s="109"/>
      <c r="F707" s="109"/>
      <c r="G707" s="111"/>
      <c r="H707" s="111"/>
      <c r="I707" s="112"/>
      <c r="J707" s="112"/>
      <c r="K707" s="112"/>
      <c r="L707" s="112"/>
      <c r="M707" s="112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</row>
    <row r="708" spans="1:29" ht="12" customHeight="1">
      <c r="A708" s="108"/>
      <c r="B708" s="109"/>
      <c r="C708" s="109"/>
      <c r="D708" s="109"/>
      <c r="E708" s="109"/>
      <c r="F708" s="109"/>
      <c r="G708" s="111"/>
      <c r="H708" s="111"/>
      <c r="I708" s="112"/>
      <c r="J708" s="112"/>
      <c r="K708" s="112"/>
      <c r="L708" s="112"/>
      <c r="M708" s="112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</row>
    <row r="709" spans="1:29" ht="12" customHeight="1">
      <c r="A709" s="108"/>
      <c r="B709" s="109"/>
      <c r="C709" s="109"/>
      <c r="D709" s="109"/>
      <c r="E709" s="109"/>
      <c r="F709" s="109"/>
      <c r="G709" s="111"/>
      <c r="H709" s="111"/>
      <c r="I709" s="112"/>
      <c r="J709" s="112"/>
      <c r="K709" s="112"/>
      <c r="L709" s="112"/>
      <c r="M709" s="112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</row>
    <row r="710" spans="1:29" ht="12" customHeight="1">
      <c r="A710" s="108"/>
      <c r="B710" s="109"/>
      <c r="C710" s="109"/>
      <c r="D710" s="109"/>
      <c r="E710" s="109"/>
      <c r="F710" s="109"/>
      <c r="G710" s="111"/>
      <c r="H710" s="111"/>
      <c r="I710" s="112"/>
      <c r="J710" s="112"/>
      <c r="K710" s="112"/>
      <c r="L710" s="112"/>
      <c r="M710" s="112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</row>
    <row r="711" spans="1:29" ht="12" customHeight="1">
      <c r="A711" s="108"/>
      <c r="B711" s="109"/>
      <c r="C711" s="109"/>
      <c r="D711" s="109"/>
      <c r="E711" s="109"/>
      <c r="F711" s="109"/>
      <c r="G711" s="111"/>
      <c r="H711" s="111"/>
      <c r="I711" s="112"/>
      <c r="J711" s="112"/>
      <c r="K711" s="112"/>
      <c r="L711" s="112"/>
      <c r="M711" s="112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</row>
    <row r="712" spans="1:29" ht="12" customHeight="1">
      <c r="A712" s="108"/>
      <c r="B712" s="109"/>
      <c r="C712" s="109"/>
      <c r="D712" s="109"/>
      <c r="E712" s="109"/>
      <c r="F712" s="109"/>
      <c r="G712" s="111"/>
      <c r="H712" s="111"/>
      <c r="I712" s="112"/>
      <c r="J712" s="112"/>
      <c r="K712" s="112"/>
      <c r="L712" s="112"/>
      <c r="M712" s="112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</row>
    <row r="713" spans="1:29" ht="12" customHeight="1">
      <c r="A713" s="108"/>
      <c r="B713" s="109"/>
      <c r="C713" s="109"/>
      <c r="D713" s="109"/>
      <c r="E713" s="109"/>
      <c r="F713" s="109"/>
      <c r="G713" s="111"/>
      <c r="H713" s="111"/>
      <c r="I713" s="112"/>
      <c r="J713" s="112"/>
      <c r="K713" s="112"/>
      <c r="L713" s="112"/>
      <c r="M713" s="112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</row>
    <row r="714" spans="1:29" ht="12" customHeight="1">
      <c r="A714" s="108"/>
      <c r="B714" s="109"/>
      <c r="C714" s="109"/>
      <c r="D714" s="109"/>
      <c r="E714" s="109"/>
      <c r="F714" s="109"/>
      <c r="G714" s="111"/>
      <c r="H714" s="111"/>
      <c r="I714" s="112"/>
      <c r="J714" s="112"/>
      <c r="K714" s="112"/>
      <c r="L714" s="112"/>
      <c r="M714" s="112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</row>
    <row r="715" spans="1:29" ht="12" customHeight="1">
      <c r="A715" s="108"/>
      <c r="B715" s="109"/>
      <c r="C715" s="109"/>
      <c r="D715" s="109"/>
      <c r="E715" s="109"/>
      <c r="F715" s="109"/>
      <c r="G715" s="111"/>
      <c r="H715" s="111"/>
      <c r="I715" s="112"/>
      <c r="J715" s="112"/>
      <c r="K715" s="112"/>
      <c r="L715" s="112"/>
      <c r="M715" s="112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</row>
    <row r="716" spans="1:29" ht="12" customHeight="1">
      <c r="A716" s="108"/>
      <c r="B716" s="109"/>
      <c r="C716" s="109"/>
      <c r="D716" s="109"/>
      <c r="E716" s="109"/>
      <c r="F716" s="109"/>
      <c r="G716" s="111"/>
      <c r="H716" s="111"/>
      <c r="I716" s="112"/>
      <c r="J716" s="112"/>
      <c r="K716" s="112"/>
      <c r="L716" s="112"/>
      <c r="M716" s="112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</row>
    <row r="717" spans="1:29" ht="12" customHeight="1">
      <c r="A717" s="108"/>
      <c r="B717" s="109"/>
      <c r="C717" s="109"/>
      <c r="D717" s="109"/>
      <c r="E717" s="109"/>
      <c r="F717" s="109"/>
      <c r="G717" s="111"/>
      <c r="H717" s="111"/>
      <c r="I717" s="112"/>
      <c r="J717" s="112"/>
      <c r="K717" s="112"/>
      <c r="L717" s="112"/>
      <c r="M717" s="112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</row>
    <row r="718" spans="1:29" ht="12" customHeight="1">
      <c r="A718" s="108"/>
      <c r="B718" s="109"/>
      <c r="C718" s="109"/>
      <c r="D718" s="109"/>
      <c r="E718" s="109"/>
      <c r="F718" s="109"/>
      <c r="G718" s="111"/>
      <c r="H718" s="111"/>
      <c r="I718" s="112"/>
      <c r="J718" s="112"/>
      <c r="K718" s="112"/>
      <c r="L718" s="112"/>
      <c r="M718" s="112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</row>
    <row r="719" spans="1:29" ht="12" customHeight="1">
      <c r="A719" s="108"/>
      <c r="B719" s="109"/>
      <c r="C719" s="109"/>
      <c r="D719" s="109"/>
      <c r="E719" s="109"/>
      <c r="F719" s="109"/>
      <c r="G719" s="111"/>
      <c r="H719" s="111"/>
      <c r="I719" s="112"/>
      <c r="J719" s="112"/>
      <c r="K719" s="112"/>
      <c r="L719" s="112"/>
      <c r="M719" s="112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</row>
    <row r="720" spans="1:29" ht="12" customHeight="1">
      <c r="A720" s="108"/>
      <c r="B720" s="109"/>
      <c r="C720" s="109"/>
      <c r="D720" s="109"/>
      <c r="E720" s="109"/>
      <c r="F720" s="109"/>
      <c r="G720" s="111"/>
      <c r="H720" s="111"/>
      <c r="I720" s="112"/>
      <c r="J720" s="112"/>
      <c r="K720" s="112"/>
      <c r="L720" s="112"/>
      <c r="M720" s="112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</row>
    <row r="721" spans="1:29" ht="12" customHeight="1">
      <c r="A721" s="108"/>
      <c r="B721" s="109"/>
      <c r="C721" s="109"/>
      <c r="D721" s="109"/>
      <c r="E721" s="109"/>
      <c r="F721" s="109"/>
      <c r="G721" s="111"/>
      <c r="H721" s="111"/>
      <c r="I721" s="112"/>
      <c r="J721" s="112"/>
      <c r="K721" s="112"/>
      <c r="L721" s="112"/>
      <c r="M721" s="112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</row>
    <row r="722" spans="1:29" ht="12" customHeight="1">
      <c r="A722" s="108"/>
      <c r="B722" s="109"/>
      <c r="C722" s="109"/>
      <c r="D722" s="109"/>
      <c r="E722" s="109"/>
      <c r="F722" s="109"/>
      <c r="G722" s="111"/>
      <c r="H722" s="111"/>
      <c r="I722" s="112"/>
      <c r="J722" s="112"/>
      <c r="K722" s="112"/>
      <c r="L722" s="112"/>
      <c r="M722" s="112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</row>
    <row r="723" spans="1:29" ht="12" customHeight="1">
      <c r="A723" s="108"/>
      <c r="B723" s="109"/>
      <c r="C723" s="109"/>
      <c r="D723" s="109"/>
      <c r="E723" s="109"/>
      <c r="F723" s="109"/>
      <c r="G723" s="111"/>
      <c r="H723" s="111"/>
      <c r="I723" s="112"/>
      <c r="J723" s="112"/>
      <c r="K723" s="112"/>
      <c r="L723" s="112"/>
      <c r="M723" s="112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</row>
    <row r="724" spans="1:29" ht="12" customHeight="1">
      <c r="A724" s="108"/>
      <c r="B724" s="109"/>
      <c r="C724" s="109"/>
      <c r="D724" s="109"/>
      <c r="E724" s="109"/>
      <c r="F724" s="109"/>
      <c r="G724" s="111"/>
      <c r="H724" s="111"/>
      <c r="I724" s="112"/>
      <c r="J724" s="112"/>
      <c r="K724" s="112"/>
      <c r="L724" s="112"/>
      <c r="M724" s="112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</row>
    <row r="725" spans="1:29" ht="12" customHeight="1">
      <c r="A725" s="108"/>
      <c r="B725" s="109"/>
      <c r="C725" s="109"/>
      <c r="D725" s="109"/>
      <c r="E725" s="109"/>
      <c r="F725" s="109"/>
      <c r="G725" s="111"/>
      <c r="H725" s="111"/>
      <c r="I725" s="112"/>
      <c r="J725" s="112"/>
      <c r="K725" s="112"/>
      <c r="L725" s="112"/>
      <c r="M725" s="112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</row>
    <row r="726" spans="1:29" ht="12" customHeight="1">
      <c r="A726" s="108"/>
      <c r="B726" s="109"/>
      <c r="C726" s="109"/>
      <c r="D726" s="109"/>
      <c r="E726" s="109"/>
      <c r="F726" s="109"/>
      <c r="G726" s="111"/>
      <c r="H726" s="111"/>
      <c r="I726" s="112"/>
      <c r="J726" s="112"/>
      <c r="K726" s="112"/>
      <c r="L726" s="112"/>
      <c r="M726" s="112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</row>
    <row r="727" spans="1:29" ht="12" customHeight="1">
      <c r="A727" s="108"/>
      <c r="B727" s="109"/>
      <c r="C727" s="109"/>
      <c r="D727" s="109"/>
      <c r="E727" s="109"/>
      <c r="F727" s="109"/>
      <c r="G727" s="111"/>
      <c r="H727" s="111"/>
      <c r="I727" s="112"/>
      <c r="J727" s="112"/>
      <c r="K727" s="112"/>
      <c r="L727" s="112"/>
      <c r="M727" s="112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</row>
    <row r="728" spans="1:29" ht="12" customHeight="1">
      <c r="A728" s="108"/>
      <c r="B728" s="109"/>
      <c r="C728" s="109"/>
      <c r="D728" s="109"/>
      <c r="E728" s="109"/>
      <c r="F728" s="109"/>
      <c r="G728" s="111"/>
      <c r="H728" s="111"/>
      <c r="I728" s="112"/>
      <c r="J728" s="112"/>
      <c r="K728" s="112"/>
      <c r="L728" s="112"/>
      <c r="M728" s="112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</row>
    <row r="729" spans="1:29" ht="12" customHeight="1">
      <c r="A729" s="108"/>
      <c r="B729" s="109"/>
      <c r="C729" s="109"/>
      <c r="D729" s="109"/>
      <c r="E729" s="109"/>
      <c r="F729" s="109"/>
      <c r="G729" s="111"/>
      <c r="H729" s="111"/>
      <c r="I729" s="112"/>
      <c r="J729" s="112"/>
      <c r="K729" s="112"/>
      <c r="L729" s="112"/>
      <c r="M729" s="112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</row>
    <row r="730" spans="1:29" ht="12" customHeight="1">
      <c r="A730" s="108"/>
      <c r="B730" s="109"/>
      <c r="C730" s="109"/>
      <c r="D730" s="109"/>
      <c r="E730" s="109"/>
      <c r="F730" s="109"/>
      <c r="G730" s="111"/>
      <c r="H730" s="111"/>
      <c r="I730" s="112"/>
      <c r="J730" s="112"/>
      <c r="K730" s="112"/>
      <c r="L730" s="112"/>
      <c r="M730" s="112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</row>
    <row r="731" spans="1:29" ht="12" customHeight="1">
      <c r="A731" s="108"/>
      <c r="B731" s="109"/>
      <c r="C731" s="109"/>
      <c r="D731" s="109"/>
      <c r="E731" s="109"/>
      <c r="F731" s="109"/>
      <c r="G731" s="111"/>
      <c r="H731" s="111"/>
      <c r="I731" s="112"/>
      <c r="J731" s="112"/>
      <c r="K731" s="112"/>
      <c r="L731" s="112"/>
      <c r="M731" s="112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</row>
    <row r="732" spans="1:29" ht="12" customHeight="1">
      <c r="A732" s="108"/>
      <c r="B732" s="109"/>
      <c r="C732" s="109"/>
      <c r="D732" s="109"/>
      <c r="E732" s="109"/>
      <c r="F732" s="109"/>
      <c r="G732" s="111"/>
      <c r="H732" s="111"/>
      <c r="I732" s="112"/>
      <c r="J732" s="112"/>
      <c r="K732" s="112"/>
      <c r="L732" s="112"/>
      <c r="M732" s="112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</row>
    <row r="733" spans="1:29" ht="12" customHeight="1">
      <c r="A733" s="108"/>
      <c r="B733" s="109"/>
      <c r="C733" s="109"/>
      <c r="D733" s="109"/>
      <c r="E733" s="109"/>
      <c r="F733" s="109"/>
      <c r="G733" s="111"/>
      <c r="H733" s="111"/>
      <c r="I733" s="112"/>
      <c r="J733" s="112"/>
      <c r="K733" s="112"/>
      <c r="L733" s="112"/>
      <c r="M733" s="112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</row>
    <row r="734" spans="1:29" ht="12" customHeight="1">
      <c r="A734" s="108"/>
      <c r="B734" s="109"/>
      <c r="C734" s="109"/>
      <c r="D734" s="109"/>
      <c r="E734" s="109"/>
      <c r="F734" s="109"/>
      <c r="G734" s="111"/>
      <c r="H734" s="111"/>
      <c r="I734" s="112"/>
      <c r="J734" s="112"/>
      <c r="K734" s="112"/>
      <c r="L734" s="112"/>
      <c r="M734" s="112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</row>
    <row r="735" spans="1:29" ht="12" customHeight="1">
      <c r="A735" s="108"/>
      <c r="B735" s="109"/>
      <c r="C735" s="109"/>
      <c r="D735" s="109"/>
      <c r="E735" s="109"/>
      <c r="F735" s="109"/>
      <c r="G735" s="111"/>
      <c r="H735" s="111"/>
      <c r="I735" s="112"/>
      <c r="J735" s="112"/>
      <c r="K735" s="112"/>
      <c r="L735" s="112"/>
      <c r="M735" s="112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</row>
    <row r="736" spans="1:29" ht="12" customHeight="1">
      <c r="A736" s="108"/>
      <c r="B736" s="109"/>
      <c r="C736" s="109"/>
      <c r="D736" s="109"/>
      <c r="E736" s="109"/>
      <c r="F736" s="109"/>
      <c r="G736" s="111"/>
      <c r="H736" s="111"/>
      <c r="I736" s="112"/>
      <c r="J736" s="112"/>
      <c r="K736" s="112"/>
      <c r="L736" s="112"/>
      <c r="M736" s="112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</row>
    <row r="737" spans="1:29" ht="12" customHeight="1">
      <c r="A737" s="108"/>
      <c r="B737" s="109"/>
      <c r="C737" s="109"/>
      <c r="D737" s="109"/>
      <c r="E737" s="109"/>
      <c r="F737" s="109"/>
      <c r="G737" s="111"/>
      <c r="H737" s="111"/>
      <c r="I737" s="112"/>
      <c r="J737" s="112"/>
      <c r="K737" s="112"/>
      <c r="L737" s="112"/>
      <c r="M737" s="112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</row>
    <row r="738" spans="1:29" ht="12" customHeight="1">
      <c r="A738" s="108"/>
      <c r="B738" s="109"/>
      <c r="C738" s="109"/>
      <c r="D738" s="109"/>
      <c r="E738" s="109"/>
      <c r="F738" s="109"/>
      <c r="G738" s="111"/>
      <c r="H738" s="111"/>
      <c r="I738" s="112"/>
      <c r="J738" s="112"/>
      <c r="K738" s="112"/>
      <c r="L738" s="112"/>
      <c r="M738" s="112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</row>
    <row r="739" spans="1:29" ht="12" customHeight="1">
      <c r="A739" s="108"/>
      <c r="B739" s="109"/>
      <c r="C739" s="109"/>
      <c r="D739" s="109"/>
      <c r="E739" s="109"/>
      <c r="F739" s="109"/>
      <c r="G739" s="111"/>
      <c r="H739" s="111"/>
      <c r="I739" s="112"/>
      <c r="J739" s="112"/>
      <c r="K739" s="112"/>
      <c r="L739" s="112"/>
      <c r="M739" s="112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</row>
    <row r="740" spans="1:29" ht="12" customHeight="1">
      <c r="A740" s="108"/>
      <c r="B740" s="109"/>
      <c r="C740" s="109"/>
      <c r="D740" s="109"/>
      <c r="E740" s="109"/>
      <c r="F740" s="109"/>
      <c r="G740" s="111"/>
      <c r="H740" s="111"/>
      <c r="I740" s="112"/>
      <c r="J740" s="112"/>
      <c r="K740" s="112"/>
      <c r="L740" s="112"/>
      <c r="M740" s="112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</row>
    <row r="741" spans="1:29" ht="12" customHeight="1">
      <c r="A741" s="108"/>
      <c r="B741" s="109"/>
      <c r="C741" s="109"/>
      <c r="D741" s="109"/>
      <c r="E741" s="109"/>
      <c r="F741" s="109"/>
      <c r="G741" s="111"/>
      <c r="H741" s="111"/>
      <c r="I741" s="112"/>
      <c r="J741" s="112"/>
      <c r="K741" s="112"/>
      <c r="L741" s="112"/>
      <c r="M741" s="112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</row>
    <row r="742" spans="1:29" ht="12" customHeight="1">
      <c r="A742" s="108"/>
      <c r="B742" s="109"/>
      <c r="C742" s="109"/>
      <c r="D742" s="109"/>
      <c r="E742" s="109"/>
      <c r="F742" s="109"/>
      <c r="G742" s="111"/>
      <c r="H742" s="111"/>
      <c r="I742" s="112"/>
      <c r="J742" s="112"/>
      <c r="K742" s="112"/>
      <c r="L742" s="112"/>
      <c r="M742" s="112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</row>
    <row r="743" spans="1:29" ht="12" customHeight="1">
      <c r="A743" s="108"/>
      <c r="B743" s="109"/>
      <c r="C743" s="109"/>
      <c r="D743" s="109"/>
      <c r="E743" s="109"/>
      <c r="F743" s="109"/>
      <c r="G743" s="111"/>
      <c r="H743" s="111"/>
      <c r="I743" s="112"/>
      <c r="J743" s="112"/>
      <c r="K743" s="112"/>
      <c r="L743" s="112"/>
      <c r="M743" s="112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</row>
    <row r="744" spans="1:29" ht="12" customHeight="1">
      <c r="A744" s="108"/>
      <c r="B744" s="109"/>
      <c r="C744" s="109"/>
      <c r="D744" s="109"/>
      <c r="E744" s="109"/>
      <c r="F744" s="109"/>
      <c r="G744" s="111"/>
      <c r="H744" s="111"/>
      <c r="I744" s="112"/>
      <c r="J744" s="112"/>
      <c r="K744" s="112"/>
      <c r="L744" s="112"/>
      <c r="M744" s="112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</row>
    <row r="745" spans="1:29" ht="12" customHeight="1">
      <c r="A745" s="108"/>
      <c r="B745" s="109"/>
      <c r="C745" s="109"/>
      <c r="D745" s="109"/>
      <c r="E745" s="109"/>
      <c r="F745" s="109"/>
      <c r="G745" s="111"/>
      <c r="H745" s="111"/>
      <c r="I745" s="112"/>
      <c r="J745" s="112"/>
      <c r="K745" s="112"/>
      <c r="L745" s="112"/>
      <c r="M745" s="112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</row>
    <row r="746" spans="1:29" ht="12" customHeight="1">
      <c r="A746" s="108"/>
      <c r="B746" s="109"/>
      <c r="C746" s="109"/>
      <c r="D746" s="109"/>
      <c r="E746" s="109"/>
      <c r="F746" s="109"/>
      <c r="G746" s="111"/>
      <c r="H746" s="111"/>
      <c r="I746" s="112"/>
      <c r="J746" s="112"/>
      <c r="K746" s="112"/>
      <c r="L746" s="112"/>
      <c r="M746" s="112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</row>
    <row r="747" spans="1:29" ht="12" customHeight="1">
      <c r="A747" s="108"/>
      <c r="B747" s="109"/>
      <c r="C747" s="109"/>
      <c r="D747" s="109"/>
      <c r="E747" s="109"/>
      <c r="F747" s="109"/>
      <c r="G747" s="111"/>
      <c r="H747" s="111"/>
      <c r="I747" s="112"/>
      <c r="J747" s="112"/>
      <c r="K747" s="112"/>
      <c r="L747" s="112"/>
      <c r="M747" s="112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</row>
    <row r="748" spans="1:29" ht="12" customHeight="1">
      <c r="A748" s="108"/>
      <c r="B748" s="109"/>
      <c r="C748" s="109"/>
      <c r="D748" s="109"/>
      <c r="E748" s="109"/>
      <c r="F748" s="109"/>
      <c r="G748" s="111"/>
      <c r="H748" s="111"/>
      <c r="I748" s="112"/>
      <c r="J748" s="112"/>
      <c r="K748" s="112"/>
      <c r="L748" s="112"/>
      <c r="M748" s="112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</row>
    <row r="749" spans="1:29" ht="12" customHeight="1">
      <c r="A749" s="108"/>
      <c r="B749" s="109"/>
      <c r="C749" s="109"/>
      <c r="D749" s="109"/>
      <c r="E749" s="109"/>
      <c r="F749" s="109"/>
      <c r="G749" s="111"/>
      <c r="H749" s="111"/>
      <c r="I749" s="112"/>
      <c r="J749" s="112"/>
      <c r="K749" s="112"/>
      <c r="L749" s="112"/>
      <c r="M749" s="112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</row>
    <row r="750" spans="1:29" ht="12" customHeight="1">
      <c r="A750" s="108"/>
      <c r="B750" s="109"/>
      <c r="C750" s="109"/>
      <c r="D750" s="109"/>
      <c r="E750" s="109"/>
      <c r="F750" s="109"/>
      <c r="G750" s="111"/>
      <c r="H750" s="111"/>
      <c r="I750" s="112"/>
      <c r="J750" s="112"/>
      <c r="K750" s="112"/>
      <c r="L750" s="112"/>
      <c r="M750" s="112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</row>
    <row r="751" spans="1:29" ht="12" customHeight="1">
      <c r="A751" s="108"/>
      <c r="B751" s="109"/>
      <c r="C751" s="109"/>
      <c r="D751" s="109"/>
      <c r="E751" s="109"/>
      <c r="F751" s="109"/>
      <c r="G751" s="111"/>
      <c r="H751" s="111"/>
      <c r="I751" s="112"/>
      <c r="J751" s="112"/>
      <c r="K751" s="112"/>
      <c r="L751" s="112"/>
      <c r="M751" s="112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</row>
    <row r="752" spans="1:29" ht="12" customHeight="1">
      <c r="A752" s="108"/>
      <c r="B752" s="109"/>
      <c r="C752" s="109"/>
      <c r="D752" s="109"/>
      <c r="E752" s="109"/>
      <c r="F752" s="109"/>
      <c r="G752" s="111"/>
      <c r="H752" s="111"/>
      <c r="I752" s="112"/>
      <c r="J752" s="112"/>
      <c r="K752" s="112"/>
      <c r="L752" s="112"/>
      <c r="M752" s="112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</row>
    <row r="753" spans="1:29" ht="12" customHeight="1">
      <c r="A753" s="108"/>
      <c r="B753" s="109"/>
      <c r="C753" s="109"/>
      <c r="D753" s="109"/>
      <c r="E753" s="109"/>
      <c r="F753" s="109"/>
      <c r="G753" s="111"/>
      <c r="H753" s="111"/>
      <c r="I753" s="112"/>
      <c r="J753" s="112"/>
      <c r="K753" s="112"/>
      <c r="L753" s="112"/>
      <c r="M753" s="112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</row>
    <row r="754" spans="1:29" ht="12" customHeight="1">
      <c r="A754" s="108"/>
      <c r="B754" s="109"/>
      <c r="C754" s="109"/>
      <c r="D754" s="109"/>
      <c r="E754" s="109"/>
      <c r="F754" s="109"/>
      <c r="G754" s="111"/>
      <c r="H754" s="111"/>
      <c r="I754" s="112"/>
      <c r="J754" s="112"/>
      <c r="K754" s="112"/>
      <c r="L754" s="112"/>
      <c r="M754" s="112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</row>
    <row r="755" spans="1:29" ht="12" customHeight="1">
      <c r="A755" s="108"/>
      <c r="B755" s="109"/>
      <c r="C755" s="109"/>
      <c r="D755" s="109"/>
      <c r="E755" s="109"/>
      <c r="F755" s="109"/>
      <c r="G755" s="111"/>
      <c r="H755" s="111"/>
      <c r="I755" s="112"/>
      <c r="J755" s="112"/>
      <c r="K755" s="112"/>
      <c r="L755" s="112"/>
      <c r="M755" s="112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</row>
    <row r="756" spans="1:29" ht="12" customHeight="1">
      <c r="A756" s="108"/>
      <c r="B756" s="109"/>
      <c r="C756" s="109"/>
      <c r="D756" s="109"/>
      <c r="E756" s="109"/>
      <c r="F756" s="109"/>
      <c r="G756" s="111"/>
      <c r="H756" s="111"/>
      <c r="I756" s="112"/>
      <c r="J756" s="112"/>
      <c r="K756" s="112"/>
      <c r="L756" s="112"/>
      <c r="M756" s="112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</row>
    <row r="757" spans="1:29" ht="12" customHeight="1">
      <c r="A757" s="108"/>
      <c r="B757" s="109"/>
      <c r="C757" s="109"/>
      <c r="D757" s="109"/>
      <c r="E757" s="109"/>
      <c r="F757" s="109"/>
      <c r="G757" s="111"/>
      <c r="H757" s="111"/>
      <c r="I757" s="112"/>
      <c r="J757" s="112"/>
      <c r="K757" s="112"/>
      <c r="L757" s="112"/>
      <c r="M757" s="112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</row>
    <row r="758" spans="1:29" ht="12" customHeight="1">
      <c r="A758" s="108"/>
      <c r="B758" s="109"/>
      <c r="C758" s="109"/>
      <c r="D758" s="109"/>
      <c r="E758" s="109"/>
      <c r="F758" s="109"/>
      <c r="G758" s="111"/>
      <c r="H758" s="111"/>
      <c r="I758" s="112"/>
      <c r="J758" s="112"/>
      <c r="K758" s="112"/>
      <c r="L758" s="112"/>
      <c r="M758" s="112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</row>
    <row r="759" spans="1:29" ht="12" customHeight="1">
      <c r="A759" s="108"/>
      <c r="B759" s="109"/>
      <c r="C759" s="109"/>
      <c r="D759" s="109"/>
      <c r="E759" s="109"/>
      <c r="F759" s="109"/>
      <c r="G759" s="111"/>
      <c r="H759" s="111"/>
      <c r="I759" s="112"/>
      <c r="J759" s="112"/>
      <c r="K759" s="112"/>
      <c r="L759" s="112"/>
      <c r="M759" s="112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</row>
    <row r="760" spans="1:29" ht="12" customHeight="1">
      <c r="A760" s="108"/>
      <c r="B760" s="109"/>
      <c r="C760" s="109"/>
      <c r="D760" s="109"/>
      <c r="E760" s="109"/>
      <c r="F760" s="109"/>
      <c r="G760" s="111"/>
      <c r="H760" s="111"/>
      <c r="I760" s="112"/>
      <c r="J760" s="112"/>
      <c r="K760" s="112"/>
      <c r="L760" s="112"/>
      <c r="M760" s="112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</row>
    <row r="761" spans="1:29" ht="12" customHeight="1">
      <c r="A761" s="108"/>
      <c r="B761" s="109"/>
      <c r="C761" s="109"/>
      <c r="D761" s="109"/>
      <c r="E761" s="109"/>
      <c r="F761" s="109"/>
      <c r="G761" s="111"/>
      <c r="H761" s="111"/>
      <c r="I761" s="112"/>
      <c r="J761" s="112"/>
      <c r="K761" s="112"/>
      <c r="L761" s="112"/>
      <c r="M761" s="112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</row>
    <row r="762" spans="1:29" ht="12" customHeight="1">
      <c r="A762" s="108"/>
      <c r="B762" s="109"/>
      <c r="C762" s="109"/>
      <c r="D762" s="109"/>
      <c r="E762" s="109"/>
      <c r="F762" s="109"/>
      <c r="G762" s="111"/>
      <c r="H762" s="111"/>
      <c r="I762" s="112"/>
      <c r="J762" s="112"/>
      <c r="K762" s="112"/>
      <c r="L762" s="112"/>
      <c r="M762" s="112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</row>
    <row r="763" spans="1:29" ht="12" customHeight="1">
      <c r="A763" s="108"/>
      <c r="B763" s="109"/>
      <c r="C763" s="109"/>
      <c r="D763" s="109"/>
      <c r="E763" s="109"/>
      <c r="F763" s="109"/>
      <c r="G763" s="111"/>
      <c r="H763" s="111"/>
      <c r="I763" s="112"/>
      <c r="J763" s="112"/>
      <c r="K763" s="112"/>
      <c r="L763" s="112"/>
      <c r="M763" s="112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</row>
    <row r="764" spans="1:29" ht="12" customHeight="1">
      <c r="A764" s="108"/>
      <c r="B764" s="109"/>
      <c r="C764" s="109"/>
      <c r="D764" s="109"/>
      <c r="E764" s="109"/>
      <c r="F764" s="109"/>
      <c r="G764" s="111"/>
      <c r="H764" s="111"/>
      <c r="I764" s="112"/>
      <c r="J764" s="112"/>
      <c r="K764" s="112"/>
      <c r="L764" s="112"/>
      <c r="M764" s="112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</row>
    <row r="765" spans="1:29" ht="12" customHeight="1">
      <c r="A765" s="108"/>
      <c r="B765" s="109"/>
      <c r="C765" s="109"/>
      <c r="D765" s="109"/>
      <c r="E765" s="109"/>
      <c r="F765" s="109"/>
      <c r="G765" s="111"/>
      <c r="H765" s="111"/>
      <c r="I765" s="112"/>
      <c r="J765" s="112"/>
      <c r="K765" s="112"/>
      <c r="L765" s="112"/>
      <c r="M765" s="112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</row>
    <row r="766" spans="1:29" ht="12" customHeight="1">
      <c r="A766" s="108"/>
      <c r="B766" s="109"/>
      <c r="C766" s="109"/>
      <c r="D766" s="109"/>
      <c r="E766" s="109"/>
      <c r="F766" s="109"/>
      <c r="G766" s="111"/>
      <c r="H766" s="111"/>
      <c r="I766" s="112"/>
      <c r="J766" s="112"/>
      <c r="K766" s="112"/>
      <c r="L766" s="112"/>
      <c r="M766" s="112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</row>
    <row r="767" spans="1:29" ht="12" customHeight="1">
      <c r="A767" s="108"/>
      <c r="B767" s="109"/>
      <c r="C767" s="109"/>
      <c r="D767" s="109"/>
      <c r="E767" s="109"/>
      <c r="F767" s="109"/>
      <c r="G767" s="111"/>
      <c r="H767" s="111"/>
      <c r="I767" s="112"/>
      <c r="J767" s="112"/>
      <c r="K767" s="112"/>
      <c r="L767" s="112"/>
      <c r="M767" s="112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</row>
    <row r="768" spans="1:29" ht="12" customHeight="1">
      <c r="A768" s="108"/>
      <c r="B768" s="109"/>
      <c r="C768" s="109"/>
      <c r="D768" s="109"/>
      <c r="E768" s="109"/>
      <c r="F768" s="109"/>
      <c r="G768" s="111"/>
      <c r="H768" s="111"/>
      <c r="I768" s="112"/>
      <c r="J768" s="112"/>
      <c r="K768" s="112"/>
      <c r="L768" s="112"/>
      <c r="M768" s="112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</row>
    <row r="769" spans="1:29" ht="12" customHeight="1">
      <c r="A769" s="108"/>
      <c r="B769" s="109"/>
      <c r="C769" s="109"/>
      <c r="D769" s="109"/>
      <c r="E769" s="109"/>
      <c r="F769" s="109"/>
      <c r="G769" s="111"/>
      <c r="H769" s="111"/>
      <c r="I769" s="112"/>
      <c r="J769" s="112"/>
      <c r="K769" s="112"/>
      <c r="L769" s="112"/>
      <c r="M769" s="112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</row>
    <row r="770" spans="1:29" ht="12" customHeight="1">
      <c r="A770" s="108"/>
      <c r="B770" s="109"/>
      <c r="C770" s="109"/>
      <c r="D770" s="109"/>
      <c r="E770" s="109"/>
      <c r="F770" s="109"/>
      <c r="G770" s="111"/>
      <c r="H770" s="111"/>
      <c r="I770" s="112"/>
      <c r="J770" s="112"/>
      <c r="K770" s="112"/>
      <c r="L770" s="112"/>
      <c r="M770" s="112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</row>
    <row r="771" spans="1:29" ht="12" customHeight="1">
      <c r="A771" s="108"/>
      <c r="B771" s="109"/>
      <c r="C771" s="109"/>
      <c r="D771" s="109"/>
      <c r="E771" s="109"/>
      <c r="F771" s="109"/>
      <c r="G771" s="111"/>
      <c r="H771" s="111"/>
      <c r="I771" s="112"/>
      <c r="J771" s="112"/>
      <c r="K771" s="112"/>
      <c r="L771" s="112"/>
      <c r="M771" s="112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</row>
    <row r="772" spans="1:29" ht="12" customHeight="1">
      <c r="A772" s="108"/>
      <c r="B772" s="109"/>
      <c r="C772" s="109"/>
      <c r="D772" s="109"/>
      <c r="E772" s="109"/>
      <c r="F772" s="109"/>
      <c r="G772" s="111"/>
      <c r="H772" s="111"/>
      <c r="I772" s="112"/>
      <c r="J772" s="112"/>
      <c r="K772" s="112"/>
      <c r="L772" s="112"/>
      <c r="M772" s="112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</row>
    <row r="773" spans="1:29" ht="12" customHeight="1">
      <c r="A773" s="108"/>
      <c r="B773" s="109"/>
      <c r="C773" s="109"/>
      <c r="D773" s="109"/>
      <c r="E773" s="109"/>
      <c r="F773" s="109"/>
      <c r="G773" s="111"/>
      <c r="H773" s="111"/>
      <c r="I773" s="112"/>
      <c r="J773" s="112"/>
      <c r="K773" s="112"/>
      <c r="L773" s="112"/>
      <c r="M773" s="112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</row>
    <row r="774" spans="1:29" ht="12" customHeight="1">
      <c r="A774" s="108"/>
      <c r="B774" s="109"/>
      <c r="C774" s="109"/>
      <c r="D774" s="109"/>
      <c r="E774" s="109"/>
      <c r="F774" s="109"/>
      <c r="G774" s="111"/>
      <c r="H774" s="111"/>
      <c r="I774" s="112"/>
      <c r="J774" s="112"/>
      <c r="K774" s="112"/>
      <c r="L774" s="112"/>
      <c r="M774" s="112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</row>
    <row r="775" spans="1:29" ht="12" customHeight="1">
      <c r="A775" s="108"/>
      <c r="B775" s="109"/>
      <c r="C775" s="109"/>
      <c r="D775" s="109"/>
      <c r="E775" s="109"/>
      <c r="F775" s="109"/>
      <c r="G775" s="111"/>
      <c r="H775" s="111"/>
      <c r="I775" s="112"/>
      <c r="J775" s="112"/>
      <c r="K775" s="112"/>
      <c r="L775" s="112"/>
      <c r="M775" s="112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</row>
    <row r="776" spans="1:29" ht="12" customHeight="1">
      <c r="A776" s="108"/>
      <c r="B776" s="109"/>
      <c r="C776" s="109"/>
      <c r="D776" s="109"/>
      <c r="E776" s="109"/>
      <c r="F776" s="109"/>
      <c r="G776" s="111"/>
      <c r="H776" s="111"/>
      <c r="I776" s="112"/>
      <c r="J776" s="112"/>
      <c r="K776" s="112"/>
      <c r="L776" s="112"/>
      <c r="M776" s="112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</row>
    <row r="777" spans="1:29" ht="12" customHeight="1">
      <c r="A777" s="108"/>
      <c r="B777" s="109"/>
      <c r="C777" s="109"/>
      <c r="D777" s="109"/>
      <c r="E777" s="109"/>
      <c r="F777" s="109"/>
      <c r="G777" s="111"/>
      <c r="H777" s="111"/>
      <c r="I777" s="112"/>
      <c r="J777" s="112"/>
      <c r="K777" s="112"/>
      <c r="L777" s="112"/>
      <c r="M777" s="112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</row>
    <row r="778" spans="1:29" ht="12" customHeight="1">
      <c r="A778" s="108"/>
      <c r="B778" s="109"/>
      <c r="C778" s="109"/>
      <c r="D778" s="109"/>
      <c r="E778" s="109"/>
      <c r="F778" s="109"/>
      <c r="G778" s="111"/>
      <c r="H778" s="111"/>
      <c r="I778" s="112"/>
      <c r="J778" s="112"/>
      <c r="K778" s="112"/>
      <c r="L778" s="112"/>
      <c r="M778" s="112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</row>
    <row r="779" spans="1:29" ht="12" customHeight="1">
      <c r="A779" s="108"/>
      <c r="B779" s="109"/>
      <c r="C779" s="109"/>
      <c r="D779" s="109"/>
      <c r="E779" s="109"/>
      <c r="F779" s="109"/>
      <c r="G779" s="111"/>
      <c r="H779" s="111"/>
      <c r="I779" s="112"/>
      <c r="J779" s="112"/>
      <c r="K779" s="112"/>
      <c r="L779" s="112"/>
      <c r="M779" s="112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</row>
    <row r="780" spans="1:29" ht="12" customHeight="1">
      <c r="A780" s="108"/>
      <c r="B780" s="109"/>
      <c r="C780" s="109"/>
      <c r="D780" s="109"/>
      <c r="E780" s="109"/>
      <c r="F780" s="109"/>
      <c r="G780" s="111"/>
      <c r="H780" s="111"/>
      <c r="I780" s="112"/>
      <c r="J780" s="112"/>
      <c r="K780" s="112"/>
      <c r="L780" s="112"/>
      <c r="M780" s="112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</row>
    <row r="781" spans="1:29" ht="12" customHeight="1">
      <c r="A781" s="108"/>
      <c r="B781" s="109"/>
      <c r="C781" s="109"/>
      <c r="D781" s="109"/>
      <c r="E781" s="109"/>
      <c r="F781" s="109"/>
      <c r="G781" s="111"/>
      <c r="H781" s="111"/>
      <c r="I781" s="112"/>
      <c r="J781" s="112"/>
      <c r="K781" s="112"/>
      <c r="L781" s="112"/>
      <c r="M781" s="112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</row>
    <row r="782" spans="1:29" ht="12" customHeight="1">
      <c r="A782" s="108"/>
      <c r="B782" s="109"/>
      <c r="C782" s="109"/>
      <c r="D782" s="109"/>
      <c r="E782" s="109"/>
      <c r="F782" s="109"/>
      <c r="G782" s="111"/>
      <c r="H782" s="111"/>
      <c r="I782" s="112"/>
      <c r="J782" s="112"/>
      <c r="K782" s="112"/>
      <c r="L782" s="112"/>
      <c r="M782" s="112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</row>
    <row r="783" spans="1:29" ht="12" customHeight="1">
      <c r="A783" s="108"/>
      <c r="B783" s="109"/>
      <c r="C783" s="109"/>
      <c r="D783" s="109"/>
      <c r="E783" s="109"/>
      <c r="F783" s="109"/>
      <c r="G783" s="111"/>
      <c r="H783" s="111"/>
      <c r="I783" s="112"/>
      <c r="J783" s="112"/>
      <c r="K783" s="112"/>
      <c r="L783" s="112"/>
      <c r="M783" s="112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</row>
    <row r="784" spans="1:29" ht="12" customHeight="1">
      <c r="A784" s="108"/>
      <c r="B784" s="109"/>
      <c r="C784" s="109"/>
      <c r="D784" s="109"/>
      <c r="E784" s="109"/>
      <c r="F784" s="109"/>
      <c r="G784" s="111"/>
      <c r="H784" s="111"/>
      <c r="I784" s="112"/>
      <c r="J784" s="112"/>
      <c r="K784" s="112"/>
      <c r="L784" s="112"/>
      <c r="M784" s="112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</row>
    <row r="785" spans="1:29" ht="12" customHeight="1">
      <c r="A785" s="108"/>
      <c r="B785" s="109"/>
      <c r="C785" s="109"/>
      <c r="D785" s="109"/>
      <c r="E785" s="109"/>
      <c r="F785" s="109"/>
      <c r="G785" s="111"/>
      <c r="H785" s="111"/>
      <c r="I785" s="112"/>
      <c r="J785" s="112"/>
      <c r="K785" s="112"/>
      <c r="L785" s="112"/>
      <c r="M785" s="112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</row>
    <row r="786" spans="1:29" ht="12" customHeight="1">
      <c r="A786" s="108"/>
      <c r="B786" s="109"/>
      <c r="C786" s="109"/>
      <c r="D786" s="109"/>
      <c r="E786" s="109"/>
      <c r="F786" s="109"/>
      <c r="G786" s="111"/>
      <c r="H786" s="111"/>
      <c r="I786" s="112"/>
      <c r="J786" s="112"/>
      <c r="K786" s="112"/>
      <c r="L786" s="112"/>
      <c r="M786" s="112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</row>
    <row r="787" spans="1:29" ht="12" customHeight="1">
      <c r="A787" s="108"/>
      <c r="B787" s="109"/>
      <c r="C787" s="109"/>
      <c r="D787" s="109"/>
      <c r="E787" s="109"/>
      <c r="F787" s="109"/>
      <c r="G787" s="111"/>
      <c r="H787" s="111"/>
      <c r="I787" s="112"/>
      <c r="J787" s="112"/>
      <c r="K787" s="112"/>
      <c r="L787" s="112"/>
      <c r="M787" s="112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</row>
    <row r="788" spans="1:29" ht="12" customHeight="1">
      <c r="A788" s="108"/>
      <c r="B788" s="109"/>
      <c r="C788" s="109"/>
      <c r="D788" s="109"/>
      <c r="E788" s="109"/>
      <c r="F788" s="109"/>
      <c r="G788" s="111"/>
      <c r="H788" s="111"/>
      <c r="I788" s="112"/>
      <c r="J788" s="112"/>
      <c r="K788" s="112"/>
      <c r="L788" s="112"/>
      <c r="M788" s="112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</row>
    <row r="789" spans="1:29" ht="12" customHeight="1">
      <c r="A789" s="108"/>
      <c r="B789" s="109"/>
      <c r="C789" s="109"/>
      <c r="D789" s="109"/>
      <c r="E789" s="109"/>
      <c r="F789" s="109"/>
      <c r="G789" s="111"/>
      <c r="H789" s="111"/>
      <c r="I789" s="112"/>
      <c r="J789" s="112"/>
      <c r="K789" s="112"/>
      <c r="L789" s="112"/>
      <c r="M789" s="112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</row>
    <row r="790" spans="1:29" ht="12" customHeight="1">
      <c r="A790" s="108"/>
      <c r="B790" s="109"/>
      <c r="C790" s="109"/>
      <c r="D790" s="109"/>
      <c r="E790" s="109"/>
      <c r="F790" s="109"/>
      <c r="G790" s="111"/>
      <c r="H790" s="111"/>
      <c r="I790" s="112"/>
      <c r="J790" s="112"/>
      <c r="K790" s="112"/>
      <c r="L790" s="112"/>
      <c r="M790" s="112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</row>
    <row r="791" spans="1:29" ht="12" customHeight="1">
      <c r="A791" s="108"/>
      <c r="B791" s="109"/>
      <c r="C791" s="109"/>
      <c r="D791" s="109"/>
      <c r="E791" s="109"/>
      <c r="F791" s="109"/>
      <c r="G791" s="111"/>
      <c r="H791" s="111"/>
      <c r="I791" s="112"/>
      <c r="J791" s="112"/>
      <c r="K791" s="112"/>
      <c r="L791" s="112"/>
      <c r="M791" s="112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</row>
    <row r="792" spans="1:29" ht="12" customHeight="1">
      <c r="A792" s="108"/>
      <c r="B792" s="109"/>
      <c r="C792" s="109"/>
      <c r="D792" s="109"/>
      <c r="E792" s="109"/>
      <c r="F792" s="109"/>
      <c r="G792" s="111"/>
      <c r="H792" s="111"/>
      <c r="I792" s="112"/>
      <c r="J792" s="112"/>
      <c r="K792" s="112"/>
      <c r="L792" s="112"/>
      <c r="M792" s="112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</row>
    <row r="793" spans="1:29" ht="12" customHeight="1">
      <c r="A793" s="108"/>
      <c r="B793" s="109"/>
      <c r="C793" s="109"/>
      <c r="D793" s="109"/>
      <c r="E793" s="109"/>
      <c r="F793" s="109"/>
      <c r="G793" s="111"/>
      <c r="H793" s="111"/>
      <c r="I793" s="112"/>
      <c r="J793" s="112"/>
      <c r="K793" s="112"/>
      <c r="L793" s="112"/>
      <c r="M793" s="112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</row>
    <row r="794" spans="1:29" ht="12" customHeight="1">
      <c r="A794" s="108"/>
      <c r="B794" s="109"/>
      <c r="C794" s="109"/>
      <c r="D794" s="109"/>
      <c r="E794" s="109"/>
      <c r="F794" s="109"/>
      <c r="G794" s="111"/>
      <c r="H794" s="111"/>
      <c r="I794" s="112"/>
      <c r="J794" s="112"/>
      <c r="K794" s="112"/>
      <c r="L794" s="112"/>
      <c r="M794" s="112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</row>
    <row r="795" spans="1:29" ht="12" customHeight="1">
      <c r="A795" s="108"/>
      <c r="B795" s="109"/>
      <c r="C795" s="109"/>
      <c r="D795" s="109"/>
      <c r="E795" s="109"/>
      <c r="F795" s="109"/>
      <c r="G795" s="111"/>
      <c r="H795" s="111"/>
      <c r="I795" s="112"/>
      <c r="J795" s="112"/>
      <c r="K795" s="112"/>
      <c r="L795" s="112"/>
      <c r="M795" s="112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</row>
    <row r="796" spans="1:29" ht="12" customHeight="1">
      <c r="A796" s="108"/>
      <c r="B796" s="109"/>
      <c r="C796" s="109"/>
      <c r="D796" s="109"/>
      <c r="E796" s="109"/>
      <c r="F796" s="109"/>
      <c r="G796" s="111"/>
      <c r="H796" s="111"/>
      <c r="I796" s="112"/>
      <c r="J796" s="112"/>
      <c r="K796" s="112"/>
      <c r="L796" s="112"/>
      <c r="M796" s="112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</row>
    <row r="797" spans="1:29" ht="12" customHeight="1">
      <c r="A797" s="108"/>
      <c r="B797" s="109"/>
      <c r="C797" s="109"/>
      <c r="D797" s="109"/>
      <c r="E797" s="109"/>
      <c r="F797" s="109"/>
      <c r="G797" s="111"/>
      <c r="H797" s="111"/>
      <c r="I797" s="112"/>
      <c r="J797" s="112"/>
      <c r="K797" s="112"/>
      <c r="L797" s="112"/>
      <c r="M797" s="112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</row>
    <row r="798" spans="1:29" ht="12" customHeight="1">
      <c r="A798" s="108"/>
      <c r="B798" s="109"/>
      <c r="C798" s="109"/>
      <c r="D798" s="109"/>
      <c r="E798" s="109"/>
      <c r="F798" s="109"/>
      <c r="G798" s="111"/>
      <c r="H798" s="111"/>
      <c r="I798" s="112"/>
      <c r="J798" s="112"/>
      <c r="K798" s="112"/>
      <c r="L798" s="112"/>
      <c r="M798" s="112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</row>
    <row r="799" spans="1:29" ht="12" customHeight="1">
      <c r="A799" s="108"/>
      <c r="B799" s="109"/>
      <c r="C799" s="109"/>
      <c r="D799" s="109"/>
      <c r="E799" s="109"/>
      <c r="F799" s="109"/>
      <c r="G799" s="111"/>
      <c r="H799" s="111"/>
      <c r="I799" s="112"/>
      <c r="J799" s="112"/>
      <c r="K799" s="112"/>
      <c r="L799" s="112"/>
      <c r="M799" s="112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</row>
    <row r="800" spans="1:29" ht="12" customHeight="1">
      <c r="A800" s="108"/>
      <c r="B800" s="109"/>
      <c r="C800" s="109"/>
      <c r="D800" s="109"/>
      <c r="E800" s="109"/>
      <c r="F800" s="109"/>
      <c r="G800" s="111"/>
      <c r="H800" s="111"/>
      <c r="I800" s="112"/>
      <c r="J800" s="112"/>
      <c r="K800" s="112"/>
      <c r="L800" s="112"/>
      <c r="M800" s="112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</row>
    <row r="801" spans="1:29" ht="12" customHeight="1">
      <c r="A801" s="108"/>
      <c r="B801" s="109"/>
      <c r="C801" s="109"/>
      <c r="D801" s="109"/>
      <c r="E801" s="109"/>
      <c r="F801" s="109"/>
      <c r="G801" s="111"/>
      <c r="H801" s="111"/>
      <c r="I801" s="112"/>
      <c r="J801" s="112"/>
      <c r="K801" s="112"/>
      <c r="L801" s="112"/>
      <c r="M801" s="112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</row>
    <row r="802" spans="1:29" ht="12" customHeight="1">
      <c r="A802" s="108"/>
      <c r="B802" s="109"/>
      <c r="C802" s="109"/>
      <c r="D802" s="109"/>
      <c r="E802" s="109"/>
      <c r="F802" s="109"/>
      <c r="G802" s="111"/>
      <c r="H802" s="111"/>
      <c r="I802" s="112"/>
      <c r="J802" s="112"/>
      <c r="K802" s="112"/>
      <c r="L802" s="112"/>
      <c r="M802" s="112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</row>
    <row r="803" spans="1:29" ht="12" customHeight="1">
      <c r="A803" s="108"/>
      <c r="B803" s="109"/>
      <c r="C803" s="109"/>
      <c r="D803" s="109"/>
      <c r="E803" s="109"/>
      <c r="F803" s="109"/>
      <c r="G803" s="111"/>
      <c r="H803" s="111"/>
      <c r="I803" s="112"/>
      <c r="J803" s="112"/>
      <c r="K803" s="112"/>
      <c r="L803" s="112"/>
      <c r="M803" s="112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</row>
    <row r="804" spans="1:29" ht="12" customHeight="1">
      <c r="A804" s="108"/>
      <c r="B804" s="109"/>
      <c r="C804" s="109"/>
      <c r="D804" s="109"/>
      <c r="E804" s="109"/>
      <c r="F804" s="109"/>
      <c r="G804" s="111"/>
      <c r="H804" s="111"/>
      <c r="I804" s="112"/>
      <c r="J804" s="112"/>
      <c r="K804" s="112"/>
      <c r="L804" s="112"/>
      <c r="M804" s="112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</row>
    <row r="805" spans="1:29" ht="12" customHeight="1">
      <c r="A805" s="108"/>
      <c r="B805" s="109"/>
      <c r="C805" s="109"/>
      <c r="D805" s="109"/>
      <c r="E805" s="109"/>
      <c r="F805" s="109"/>
      <c r="G805" s="111"/>
      <c r="H805" s="111"/>
      <c r="I805" s="112"/>
      <c r="J805" s="112"/>
      <c r="K805" s="112"/>
      <c r="L805" s="112"/>
      <c r="M805" s="112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</row>
    <row r="806" spans="1:29" ht="12" customHeight="1">
      <c r="A806" s="108"/>
      <c r="B806" s="109"/>
      <c r="C806" s="109"/>
      <c r="D806" s="109"/>
      <c r="E806" s="109"/>
      <c r="F806" s="109"/>
      <c r="G806" s="111"/>
      <c r="H806" s="111"/>
      <c r="I806" s="112"/>
      <c r="J806" s="112"/>
      <c r="K806" s="112"/>
      <c r="L806" s="112"/>
      <c r="M806" s="112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</row>
    <row r="807" spans="1:29" ht="12" customHeight="1">
      <c r="A807" s="108"/>
      <c r="B807" s="109"/>
      <c r="C807" s="109"/>
      <c r="D807" s="109"/>
      <c r="E807" s="109"/>
      <c r="F807" s="109"/>
      <c r="G807" s="111"/>
      <c r="H807" s="111"/>
      <c r="I807" s="112"/>
      <c r="J807" s="112"/>
      <c r="K807" s="112"/>
      <c r="L807" s="112"/>
      <c r="M807" s="112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</row>
    <row r="808" spans="1:29" ht="12" customHeight="1">
      <c r="A808" s="108"/>
      <c r="B808" s="109"/>
      <c r="C808" s="109"/>
      <c r="D808" s="109"/>
      <c r="E808" s="109"/>
      <c r="F808" s="109"/>
      <c r="G808" s="111"/>
      <c r="H808" s="111"/>
      <c r="I808" s="112"/>
      <c r="J808" s="112"/>
      <c r="K808" s="112"/>
      <c r="L808" s="112"/>
      <c r="M808" s="112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</row>
    <row r="809" spans="1:29" ht="12" customHeight="1">
      <c r="A809" s="108"/>
      <c r="B809" s="109"/>
      <c r="C809" s="109"/>
      <c r="D809" s="109"/>
      <c r="E809" s="109"/>
      <c r="F809" s="109"/>
      <c r="G809" s="111"/>
      <c r="H809" s="111"/>
      <c r="I809" s="112"/>
      <c r="J809" s="112"/>
      <c r="K809" s="112"/>
      <c r="L809" s="112"/>
      <c r="M809" s="112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</row>
    <row r="810" spans="1:29" ht="12" customHeight="1">
      <c r="A810" s="108"/>
      <c r="B810" s="109"/>
      <c r="C810" s="109"/>
      <c r="D810" s="109"/>
      <c r="E810" s="109"/>
      <c r="F810" s="109"/>
      <c r="G810" s="111"/>
      <c r="H810" s="111"/>
      <c r="I810" s="112"/>
      <c r="J810" s="112"/>
      <c r="K810" s="112"/>
      <c r="L810" s="112"/>
      <c r="M810" s="112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</row>
    <row r="811" spans="1:29" ht="12" customHeight="1">
      <c r="A811" s="108"/>
      <c r="B811" s="109"/>
      <c r="C811" s="109"/>
      <c r="D811" s="109"/>
      <c r="E811" s="109"/>
      <c r="F811" s="109"/>
      <c r="G811" s="111"/>
      <c r="H811" s="111"/>
      <c r="I811" s="112"/>
      <c r="J811" s="112"/>
      <c r="K811" s="112"/>
      <c r="L811" s="112"/>
      <c r="M811" s="112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</row>
    <row r="812" spans="1:29" ht="12" customHeight="1">
      <c r="A812" s="108"/>
      <c r="B812" s="109"/>
      <c r="C812" s="109"/>
      <c r="D812" s="109"/>
      <c r="E812" s="109"/>
      <c r="F812" s="109"/>
      <c r="G812" s="111"/>
      <c r="H812" s="111"/>
      <c r="I812" s="112"/>
      <c r="J812" s="112"/>
      <c r="K812" s="112"/>
      <c r="L812" s="112"/>
      <c r="M812" s="112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</row>
    <row r="813" spans="1:29" ht="12" customHeight="1">
      <c r="A813" s="108"/>
      <c r="B813" s="109"/>
      <c r="C813" s="109"/>
      <c r="D813" s="109"/>
      <c r="E813" s="109"/>
      <c r="F813" s="109"/>
      <c r="G813" s="111"/>
      <c r="H813" s="111"/>
      <c r="I813" s="112"/>
      <c r="J813" s="112"/>
      <c r="K813" s="112"/>
      <c r="L813" s="112"/>
      <c r="M813" s="112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</row>
    <row r="814" spans="1:29" ht="12" customHeight="1">
      <c r="A814" s="108"/>
      <c r="B814" s="109"/>
      <c r="C814" s="109"/>
      <c r="D814" s="109"/>
      <c r="E814" s="109"/>
      <c r="F814" s="109"/>
      <c r="G814" s="111"/>
      <c r="H814" s="111"/>
      <c r="I814" s="112"/>
      <c r="J814" s="112"/>
      <c r="K814" s="112"/>
      <c r="L814" s="112"/>
      <c r="M814" s="112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</row>
    <row r="815" spans="1:29" ht="12" customHeight="1">
      <c r="A815" s="108"/>
      <c r="B815" s="109"/>
      <c r="C815" s="109"/>
      <c r="D815" s="109"/>
      <c r="E815" s="109"/>
      <c r="F815" s="109"/>
      <c r="G815" s="111"/>
      <c r="H815" s="111"/>
      <c r="I815" s="112"/>
      <c r="J815" s="112"/>
      <c r="K815" s="112"/>
      <c r="L815" s="112"/>
      <c r="M815" s="112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</row>
    <row r="816" spans="1:29" ht="12" customHeight="1">
      <c r="A816" s="108"/>
      <c r="B816" s="109"/>
      <c r="C816" s="109"/>
      <c r="D816" s="109"/>
      <c r="E816" s="109"/>
      <c r="F816" s="109"/>
      <c r="G816" s="111"/>
      <c r="H816" s="111"/>
      <c r="I816" s="112"/>
      <c r="J816" s="112"/>
      <c r="K816" s="112"/>
      <c r="L816" s="112"/>
      <c r="M816" s="112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</row>
    <row r="817" spans="1:29" ht="12" customHeight="1">
      <c r="A817" s="108"/>
      <c r="B817" s="109"/>
      <c r="C817" s="109"/>
      <c r="D817" s="109"/>
      <c r="E817" s="109"/>
      <c r="F817" s="109"/>
      <c r="G817" s="111"/>
      <c r="H817" s="111"/>
      <c r="I817" s="112"/>
      <c r="J817" s="112"/>
      <c r="K817" s="112"/>
      <c r="L817" s="112"/>
      <c r="M817" s="112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</row>
    <row r="818" spans="1:29" ht="12" customHeight="1">
      <c r="A818" s="108"/>
      <c r="B818" s="109"/>
      <c r="C818" s="109"/>
      <c r="D818" s="109"/>
      <c r="E818" s="109"/>
      <c r="F818" s="109"/>
      <c r="G818" s="111"/>
      <c r="H818" s="111"/>
      <c r="I818" s="112"/>
      <c r="J818" s="112"/>
      <c r="K818" s="112"/>
      <c r="L818" s="112"/>
      <c r="M818" s="112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</row>
    <row r="819" spans="1:29" ht="12" customHeight="1">
      <c r="A819" s="108"/>
      <c r="B819" s="109"/>
      <c r="C819" s="109"/>
      <c r="D819" s="109"/>
      <c r="E819" s="109"/>
      <c r="F819" s="109"/>
      <c r="G819" s="111"/>
      <c r="H819" s="111"/>
      <c r="I819" s="112"/>
      <c r="J819" s="112"/>
      <c r="K819" s="112"/>
      <c r="L819" s="112"/>
      <c r="M819" s="112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</row>
    <row r="820" spans="1:29" ht="12" customHeight="1">
      <c r="A820" s="108"/>
      <c r="B820" s="109"/>
      <c r="C820" s="109"/>
      <c r="D820" s="109"/>
      <c r="E820" s="109"/>
      <c r="F820" s="109"/>
      <c r="G820" s="111"/>
      <c r="H820" s="111"/>
      <c r="I820" s="112"/>
      <c r="J820" s="112"/>
      <c r="K820" s="112"/>
      <c r="L820" s="112"/>
      <c r="M820" s="112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</row>
    <row r="821" spans="1:29" ht="12" customHeight="1">
      <c r="A821" s="108"/>
      <c r="B821" s="109"/>
      <c r="C821" s="109"/>
      <c r="D821" s="109"/>
      <c r="E821" s="109"/>
      <c r="F821" s="109"/>
      <c r="G821" s="111"/>
      <c r="H821" s="111"/>
      <c r="I821" s="112"/>
      <c r="J821" s="112"/>
      <c r="K821" s="112"/>
      <c r="L821" s="112"/>
      <c r="M821" s="112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</row>
    <row r="822" spans="1:29" ht="12" customHeight="1">
      <c r="A822" s="108"/>
      <c r="B822" s="109"/>
      <c r="C822" s="109"/>
      <c r="D822" s="109"/>
      <c r="E822" s="109"/>
      <c r="F822" s="109"/>
      <c r="G822" s="111"/>
      <c r="H822" s="111"/>
      <c r="I822" s="112"/>
      <c r="J822" s="112"/>
      <c r="K822" s="112"/>
      <c r="L822" s="112"/>
      <c r="M822" s="112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</row>
    <row r="823" spans="1:29" ht="12" customHeight="1">
      <c r="A823" s="108"/>
      <c r="B823" s="109"/>
      <c r="C823" s="109"/>
      <c r="D823" s="109"/>
      <c r="E823" s="109"/>
      <c r="F823" s="109"/>
      <c r="G823" s="111"/>
      <c r="H823" s="111"/>
      <c r="I823" s="112"/>
      <c r="J823" s="112"/>
      <c r="K823" s="112"/>
      <c r="L823" s="112"/>
      <c r="M823" s="112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</row>
    <row r="824" spans="1:29" ht="12" customHeight="1">
      <c r="A824" s="108"/>
      <c r="B824" s="109"/>
      <c r="C824" s="109"/>
      <c r="D824" s="109"/>
      <c r="E824" s="109"/>
      <c r="F824" s="109"/>
      <c r="G824" s="111"/>
      <c r="H824" s="111"/>
      <c r="I824" s="112"/>
      <c r="J824" s="112"/>
      <c r="K824" s="112"/>
      <c r="L824" s="112"/>
      <c r="M824" s="112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</row>
    <row r="825" spans="1:29" ht="12" customHeight="1">
      <c r="A825" s="108"/>
      <c r="B825" s="109"/>
      <c r="C825" s="109"/>
      <c r="D825" s="109"/>
      <c r="E825" s="109"/>
      <c r="F825" s="109"/>
      <c r="G825" s="111"/>
      <c r="H825" s="111"/>
      <c r="I825" s="112"/>
      <c r="J825" s="112"/>
      <c r="K825" s="112"/>
      <c r="L825" s="112"/>
      <c r="M825" s="112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</row>
    <row r="826" spans="1:29" ht="12" customHeight="1">
      <c r="A826" s="108"/>
      <c r="B826" s="109"/>
      <c r="C826" s="109"/>
      <c r="D826" s="109"/>
      <c r="E826" s="109"/>
      <c r="F826" s="109"/>
      <c r="G826" s="111"/>
      <c r="H826" s="111"/>
      <c r="I826" s="112"/>
      <c r="J826" s="112"/>
      <c r="K826" s="112"/>
      <c r="L826" s="112"/>
      <c r="M826" s="112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</row>
    <row r="827" spans="1:29" ht="12" customHeight="1">
      <c r="A827" s="108"/>
      <c r="B827" s="109"/>
      <c r="C827" s="109"/>
      <c r="D827" s="109"/>
      <c r="E827" s="109"/>
      <c r="F827" s="109"/>
      <c r="G827" s="111"/>
      <c r="H827" s="111"/>
      <c r="I827" s="112"/>
      <c r="J827" s="112"/>
      <c r="K827" s="112"/>
      <c r="L827" s="112"/>
      <c r="M827" s="112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</row>
    <row r="828" spans="1:29" ht="12" customHeight="1">
      <c r="A828" s="108"/>
      <c r="B828" s="109"/>
      <c r="C828" s="109"/>
      <c r="D828" s="109"/>
      <c r="E828" s="109"/>
      <c r="F828" s="109"/>
      <c r="G828" s="111"/>
      <c r="H828" s="111"/>
      <c r="I828" s="112"/>
      <c r="J828" s="112"/>
      <c r="K828" s="112"/>
      <c r="L828" s="112"/>
      <c r="M828" s="112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</row>
    <row r="829" spans="1:29" ht="12" customHeight="1">
      <c r="A829" s="108"/>
      <c r="B829" s="109"/>
      <c r="C829" s="109"/>
      <c r="D829" s="109"/>
      <c r="E829" s="109"/>
      <c r="F829" s="109"/>
      <c r="G829" s="111"/>
      <c r="H829" s="111"/>
      <c r="I829" s="112"/>
      <c r="J829" s="112"/>
      <c r="K829" s="112"/>
      <c r="L829" s="112"/>
      <c r="M829" s="112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</row>
    <row r="830" spans="1:29" ht="12" customHeight="1">
      <c r="A830" s="108"/>
      <c r="B830" s="109"/>
      <c r="C830" s="109"/>
      <c r="D830" s="109"/>
      <c r="E830" s="109"/>
      <c r="F830" s="109"/>
      <c r="G830" s="111"/>
      <c r="H830" s="111"/>
      <c r="I830" s="112"/>
      <c r="J830" s="112"/>
      <c r="K830" s="112"/>
      <c r="L830" s="112"/>
      <c r="M830" s="112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</row>
    <row r="831" spans="1:29" ht="12" customHeight="1">
      <c r="A831" s="108"/>
      <c r="B831" s="109"/>
      <c r="C831" s="109"/>
      <c r="D831" s="109"/>
      <c r="E831" s="109"/>
      <c r="F831" s="109"/>
      <c r="G831" s="111"/>
      <c r="H831" s="111"/>
      <c r="I831" s="112"/>
      <c r="J831" s="112"/>
      <c r="K831" s="112"/>
      <c r="L831" s="112"/>
      <c r="M831" s="112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</row>
    <row r="832" spans="1:29" ht="12" customHeight="1">
      <c r="A832" s="108"/>
      <c r="B832" s="109"/>
      <c r="C832" s="109"/>
      <c r="D832" s="109"/>
      <c r="E832" s="109"/>
      <c r="F832" s="109"/>
      <c r="G832" s="111"/>
      <c r="H832" s="111"/>
      <c r="I832" s="112"/>
      <c r="J832" s="112"/>
      <c r="K832" s="112"/>
      <c r="L832" s="112"/>
      <c r="M832" s="112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</row>
    <row r="833" spans="1:29" ht="12" customHeight="1">
      <c r="A833" s="108"/>
      <c r="B833" s="109"/>
      <c r="C833" s="109"/>
      <c r="D833" s="109"/>
      <c r="E833" s="109"/>
      <c r="F833" s="109"/>
      <c r="G833" s="111"/>
      <c r="H833" s="111"/>
      <c r="I833" s="112"/>
      <c r="J833" s="112"/>
      <c r="K833" s="112"/>
      <c r="L833" s="112"/>
      <c r="M833" s="112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</row>
    <row r="834" spans="1:29" ht="12" customHeight="1">
      <c r="A834" s="108"/>
      <c r="B834" s="109"/>
      <c r="C834" s="109"/>
      <c r="D834" s="109"/>
      <c r="E834" s="109"/>
      <c r="F834" s="109"/>
      <c r="G834" s="111"/>
      <c r="H834" s="111"/>
      <c r="I834" s="112"/>
      <c r="J834" s="112"/>
      <c r="K834" s="112"/>
      <c r="L834" s="112"/>
      <c r="M834" s="112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</row>
    <row r="835" spans="1:29" ht="12" customHeight="1">
      <c r="A835" s="108"/>
      <c r="B835" s="109"/>
      <c r="C835" s="109"/>
      <c r="D835" s="109"/>
      <c r="E835" s="109"/>
      <c r="F835" s="109"/>
      <c r="G835" s="111"/>
      <c r="H835" s="111"/>
      <c r="I835" s="112"/>
      <c r="J835" s="112"/>
      <c r="K835" s="112"/>
      <c r="L835" s="112"/>
      <c r="M835" s="112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</row>
    <row r="836" spans="1:29" ht="12" customHeight="1">
      <c r="A836" s="108"/>
      <c r="B836" s="109"/>
      <c r="C836" s="109"/>
      <c r="D836" s="109"/>
      <c r="E836" s="109"/>
      <c r="F836" s="109"/>
      <c r="G836" s="111"/>
      <c r="H836" s="111"/>
      <c r="I836" s="112"/>
      <c r="J836" s="112"/>
      <c r="K836" s="112"/>
      <c r="L836" s="112"/>
      <c r="M836" s="112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</row>
    <row r="837" spans="1:29" ht="12" customHeight="1">
      <c r="A837" s="108"/>
      <c r="B837" s="109"/>
      <c r="C837" s="109"/>
      <c r="D837" s="109"/>
      <c r="E837" s="109"/>
      <c r="F837" s="109"/>
      <c r="G837" s="111"/>
      <c r="H837" s="111"/>
      <c r="I837" s="112"/>
      <c r="J837" s="112"/>
      <c r="K837" s="112"/>
      <c r="L837" s="112"/>
      <c r="M837" s="112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</row>
    <row r="838" spans="1:29" ht="12" customHeight="1">
      <c r="A838" s="108"/>
      <c r="B838" s="109"/>
      <c r="C838" s="109"/>
      <c r="D838" s="109"/>
      <c r="E838" s="109"/>
      <c r="F838" s="109"/>
      <c r="G838" s="111"/>
      <c r="H838" s="111"/>
      <c r="I838" s="112"/>
      <c r="J838" s="112"/>
      <c r="K838" s="112"/>
      <c r="L838" s="112"/>
      <c r="M838" s="112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</row>
    <row r="839" spans="1:29" ht="12" customHeight="1">
      <c r="A839" s="108"/>
      <c r="B839" s="109"/>
      <c r="C839" s="109"/>
      <c r="D839" s="109"/>
      <c r="E839" s="109"/>
      <c r="F839" s="109"/>
      <c r="G839" s="111"/>
      <c r="H839" s="111"/>
      <c r="I839" s="112"/>
      <c r="J839" s="112"/>
      <c r="K839" s="112"/>
      <c r="L839" s="112"/>
      <c r="M839" s="112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</row>
    <row r="840" spans="1:29" ht="12" customHeight="1">
      <c r="A840" s="108"/>
      <c r="B840" s="109"/>
      <c r="C840" s="109"/>
      <c r="D840" s="109"/>
      <c r="E840" s="109"/>
      <c r="F840" s="109"/>
      <c r="G840" s="111"/>
      <c r="H840" s="111"/>
      <c r="I840" s="112"/>
      <c r="J840" s="112"/>
      <c r="K840" s="112"/>
      <c r="L840" s="112"/>
      <c r="M840" s="112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</row>
    <row r="841" spans="1:29" ht="12" customHeight="1">
      <c r="A841" s="108"/>
      <c r="B841" s="109"/>
      <c r="C841" s="109"/>
      <c r="D841" s="109"/>
      <c r="E841" s="109"/>
      <c r="F841" s="109"/>
      <c r="G841" s="111"/>
      <c r="H841" s="111"/>
      <c r="I841" s="112"/>
      <c r="J841" s="112"/>
      <c r="K841" s="112"/>
      <c r="L841" s="112"/>
      <c r="M841" s="112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</row>
    <row r="842" spans="1:29" ht="12" customHeight="1">
      <c r="A842" s="108"/>
      <c r="B842" s="109"/>
      <c r="C842" s="109"/>
      <c r="D842" s="109"/>
      <c r="E842" s="109"/>
      <c r="F842" s="109"/>
      <c r="G842" s="111"/>
      <c r="H842" s="111"/>
      <c r="I842" s="112"/>
      <c r="J842" s="112"/>
      <c r="K842" s="112"/>
      <c r="L842" s="112"/>
      <c r="M842" s="112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</row>
    <row r="843" spans="1:29" ht="12" customHeight="1">
      <c r="A843" s="108"/>
      <c r="B843" s="109"/>
      <c r="C843" s="109"/>
      <c r="D843" s="109"/>
      <c r="E843" s="109"/>
      <c r="F843" s="109"/>
      <c r="G843" s="111"/>
      <c r="H843" s="111"/>
      <c r="I843" s="112"/>
      <c r="J843" s="112"/>
      <c r="K843" s="112"/>
      <c r="L843" s="112"/>
      <c r="M843" s="112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</row>
    <row r="844" spans="1:29" ht="12" customHeight="1">
      <c r="A844" s="108"/>
      <c r="B844" s="109"/>
      <c r="C844" s="109"/>
      <c r="D844" s="109"/>
      <c r="E844" s="109"/>
      <c r="F844" s="109"/>
      <c r="G844" s="111"/>
      <c r="H844" s="111"/>
      <c r="I844" s="112"/>
      <c r="J844" s="112"/>
      <c r="K844" s="112"/>
      <c r="L844" s="112"/>
      <c r="M844" s="112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</row>
    <row r="845" spans="1:29" ht="12" customHeight="1">
      <c r="A845" s="108"/>
      <c r="B845" s="109"/>
      <c r="C845" s="109"/>
      <c r="D845" s="109"/>
      <c r="E845" s="109"/>
      <c r="F845" s="109"/>
      <c r="G845" s="111"/>
      <c r="H845" s="111"/>
      <c r="I845" s="112"/>
      <c r="J845" s="112"/>
      <c r="K845" s="112"/>
      <c r="L845" s="112"/>
      <c r="M845" s="112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</row>
    <row r="846" spans="1:29" ht="12" customHeight="1">
      <c r="A846" s="108"/>
      <c r="B846" s="109"/>
      <c r="C846" s="109"/>
      <c r="D846" s="109"/>
      <c r="E846" s="109"/>
      <c r="F846" s="109"/>
      <c r="G846" s="111"/>
      <c r="H846" s="111"/>
      <c r="I846" s="112"/>
      <c r="J846" s="112"/>
      <c r="K846" s="112"/>
      <c r="L846" s="112"/>
      <c r="M846" s="112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</row>
    <row r="847" spans="1:29" ht="12" customHeight="1">
      <c r="A847" s="108"/>
      <c r="B847" s="109"/>
      <c r="C847" s="109"/>
      <c r="D847" s="109"/>
      <c r="E847" s="109"/>
      <c r="F847" s="109"/>
      <c r="G847" s="111"/>
      <c r="H847" s="111"/>
      <c r="I847" s="112"/>
      <c r="J847" s="112"/>
      <c r="K847" s="112"/>
      <c r="L847" s="112"/>
      <c r="M847" s="112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</row>
    <row r="848" spans="1:29" ht="12" customHeight="1">
      <c r="A848" s="108"/>
      <c r="B848" s="109"/>
      <c r="C848" s="109"/>
      <c r="D848" s="109"/>
      <c r="E848" s="109"/>
      <c r="F848" s="109"/>
      <c r="G848" s="111"/>
      <c r="H848" s="111"/>
      <c r="I848" s="112"/>
      <c r="J848" s="112"/>
      <c r="K848" s="112"/>
      <c r="L848" s="112"/>
      <c r="M848" s="112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</row>
    <row r="849" spans="1:29" ht="12" customHeight="1">
      <c r="A849" s="108"/>
      <c r="B849" s="109"/>
      <c r="C849" s="109"/>
      <c r="D849" s="109"/>
      <c r="E849" s="109"/>
      <c r="F849" s="109"/>
      <c r="G849" s="111"/>
      <c r="H849" s="111"/>
      <c r="I849" s="112"/>
      <c r="J849" s="112"/>
      <c r="K849" s="112"/>
      <c r="L849" s="112"/>
      <c r="M849" s="112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</row>
    <row r="850" spans="1:29" ht="12" customHeight="1">
      <c r="A850" s="108"/>
      <c r="B850" s="109"/>
      <c r="C850" s="109"/>
      <c r="D850" s="109"/>
      <c r="E850" s="109"/>
      <c r="F850" s="109"/>
      <c r="G850" s="111"/>
      <c r="H850" s="111"/>
      <c r="I850" s="112"/>
      <c r="J850" s="112"/>
      <c r="K850" s="112"/>
      <c r="L850" s="112"/>
      <c r="M850" s="112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</row>
    <row r="851" spans="1:29" ht="12" customHeight="1">
      <c r="A851" s="108"/>
      <c r="B851" s="109"/>
      <c r="C851" s="109"/>
      <c r="D851" s="109"/>
      <c r="E851" s="109"/>
      <c r="F851" s="109"/>
      <c r="G851" s="111"/>
      <c r="H851" s="111"/>
      <c r="I851" s="112"/>
      <c r="J851" s="112"/>
      <c r="K851" s="112"/>
      <c r="L851" s="112"/>
      <c r="M851" s="112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</row>
    <row r="852" spans="1:29" ht="12" customHeight="1">
      <c r="A852" s="108"/>
      <c r="B852" s="109"/>
      <c r="C852" s="109"/>
      <c r="D852" s="109"/>
      <c r="E852" s="109"/>
      <c r="F852" s="109"/>
      <c r="G852" s="111"/>
      <c r="H852" s="111"/>
      <c r="I852" s="112"/>
      <c r="J852" s="112"/>
      <c r="K852" s="112"/>
      <c r="L852" s="112"/>
      <c r="M852" s="112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</row>
    <row r="853" spans="1:29" ht="12" customHeight="1">
      <c r="A853" s="108"/>
      <c r="B853" s="109"/>
      <c r="C853" s="109"/>
      <c r="D853" s="109"/>
      <c r="E853" s="109"/>
      <c r="F853" s="109"/>
      <c r="G853" s="111"/>
      <c r="H853" s="111"/>
      <c r="I853" s="112"/>
      <c r="J853" s="112"/>
      <c r="K853" s="112"/>
      <c r="L853" s="112"/>
      <c r="M853" s="112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</row>
    <row r="854" spans="1:29" ht="12" customHeight="1">
      <c r="A854" s="108"/>
      <c r="B854" s="109"/>
      <c r="C854" s="109"/>
      <c r="D854" s="109"/>
      <c r="E854" s="109"/>
      <c r="F854" s="109"/>
      <c r="G854" s="111"/>
      <c r="H854" s="111"/>
      <c r="I854" s="112"/>
      <c r="J854" s="112"/>
      <c r="K854" s="112"/>
      <c r="L854" s="112"/>
      <c r="M854" s="112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</row>
    <row r="855" spans="1:29" ht="12" customHeight="1">
      <c r="A855" s="108"/>
      <c r="B855" s="109"/>
      <c r="C855" s="109"/>
      <c r="D855" s="109"/>
      <c r="E855" s="109"/>
      <c r="F855" s="109"/>
      <c r="G855" s="111"/>
      <c r="H855" s="111"/>
      <c r="I855" s="112"/>
      <c r="J855" s="112"/>
      <c r="K855" s="112"/>
      <c r="L855" s="112"/>
      <c r="M855" s="112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</row>
    <row r="856" spans="1:29" ht="12" customHeight="1">
      <c r="A856" s="108"/>
      <c r="B856" s="109"/>
      <c r="C856" s="109"/>
      <c r="D856" s="109"/>
      <c r="E856" s="109"/>
      <c r="F856" s="109"/>
      <c r="G856" s="111"/>
      <c r="H856" s="111"/>
      <c r="I856" s="112"/>
      <c r="J856" s="112"/>
      <c r="K856" s="112"/>
      <c r="L856" s="112"/>
      <c r="M856" s="112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</row>
    <row r="857" spans="1:29" ht="12" customHeight="1">
      <c r="A857" s="108"/>
      <c r="B857" s="109"/>
      <c r="C857" s="109"/>
      <c r="D857" s="109"/>
      <c r="E857" s="109"/>
      <c r="F857" s="109"/>
      <c r="G857" s="111"/>
      <c r="H857" s="111"/>
      <c r="I857" s="112"/>
      <c r="J857" s="112"/>
      <c r="K857" s="112"/>
      <c r="L857" s="112"/>
      <c r="M857" s="112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</row>
    <row r="858" spans="1:29" ht="12" customHeight="1">
      <c r="A858" s="108"/>
      <c r="B858" s="109"/>
      <c r="C858" s="109"/>
      <c r="D858" s="109"/>
      <c r="E858" s="109"/>
      <c r="F858" s="109"/>
      <c r="G858" s="111"/>
      <c r="H858" s="111"/>
      <c r="I858" s="112"/>
      <c r="J858" s="112"/>
      <c r="K858" s="112"/>
      <c r="L858" s="112"/>
      <c r="M858" s="112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</row>
    <row r="859" spans="1:29" ht="12" customHeight="1">
      <c r="A859" s="108"/>
      <c r="B859" s="109"/>
      <c r="C859" s="109"/>
      <c r="D859" s="109"/>
      <c r="E859" s="109"/>
      <c r="F859" s="109"/>
      <c r="G859" s="111"/>
      <c r="H859" s="111"/>
      <c r="I859" s="112"/>
      <c r="J859" s="112"/>
      <c r="K859" s="112"/>
      <c r="L859" s="112"/>
      <c r="M859" s="112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</row>
    <row r="860" spans="1:29" ht="12" customHeight="1">
      <c r="A860" s="108"/>
      <c r="B860" s="109"/>
      <c r="C860" s="109"/>
      <c r="D860" s="109"/>
      <c r="E860" s="109"/>
      <c r="F860" s="109"/>
      <c r="G860" s="111"/>
      <c r="H860" s="111"/>
      <c r="I860" s="112"/>
      <c r="J860" s="112"/>
      <c r="K860" s="112"/>
      <c r="L860" s="112"/>
      <c r="M860" s="112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</row>
    <row r="861" spans="1:29" ht="12" customHeight="1">
      <c r="A861" s="108"/>
      <c r="B861" s="109"/>
      <c r="C861" s="109"/>
      <c r="D861" s="109"/>
      <c r="E861" s="109"/>
      <c r="F861" s="109"/>
      <c r="G861" s="111"/>
      <c r="H861" s="111"/>
      <c r="I861" s="112"/>
      <c r="J861" s="112"/>
      <c r="K861" s="112"/>
      <c r="L861" s="112"/>
      <c r="M861" s="112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</row>
    <row r="862" spans="1:29" ht="12" customHeight="1">
      <c r="A862" s="108"/>
      <c r="B862" s="109"/>
      <c r="C862" s="109"/>
      <c r="D862" s="109"/>
      <c r="E862" s="109"/>
      <c r="F862" s="109"/>
      <c r="G862" s="111"/>
      <c r="H862" s="111"/>
      <c r="I862" s="112"/>
      <c r="J862" s="112"/>
      <c r="K862" s="112"/>
      <c r="L862" s="112"/>
      <c r="M862" s="112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</row>
    <row r="863" spans="1:29" ht="12" customHeight="1">
      <c r="A863" s="108"/>
      <c r="B863" s="109"/>
      <c r="C863" s="109"/>
      <c r="D863" s="109"/>
      <c r="E863" s="109"/>
      <c r="F863" s="109"/>
      <c r="G863" s="111"/>
      <c r="H863" s="111"/>
      <c r="I863" s="112"/>
      <c r="J863" s="112"/>
      <c r="K863" s="112"/>
      <c r="L863" s="112"/>
      <c r="M863" s="112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</row>
    <row r="864" spans="1:29" ht="12" customHeight="1">
      <c r="A864" s="108"/>
      <c r="B864" s="109"/>
      <c r="C864" s="109"/>
      <c r="D864" s="109"/>
      <c r="E864" s="109"/>
      <c r="F864" s="109"/>
      <c r="G864" s="111"/>
      <c r="H864" s="111"/>
      <c r="I864" s="112"/>
      <c r="J864" s="112"/>
      <c r="K864" s="112"/>
      <c r="L864" s="112"/>
      <c r="M864" s="112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</row>
    <row r="865" spans="1:29" ht="12" customHeight="1">
      <c r="A865" s="108"/>
      <c r="B865" s="109"/>
      <c r="C865" s="109"/>
      <c r="D865" s="109"/>
      <c r="E865" s="109"/>
      <c r="F865" s="109"/>
      <c r="G865" s="111"/>
      <c r="H865" s="111"/>
      <c r="I865" s="112"/>
      <c r="J865" s="112"/>
      <c r="K865" s="112"/>
      <c r="L865" s="112"/>
      <c r="M865" s="112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</row>
    <row r="866" spans="1:29" ht="12" customHeight="1">
      <c r="A866" s="108"/>
      <c r="B866" s="109"/>
      <c r="C866" s="109"/>
      <c r="D866" s="109"/>
      <c r="E866" s="109"/>
      <c r="F866" s="109"/>
      <c r="G866" s="111"/>
      <c r="H866" s="111"/>
      <c r="I866" s="112"/>
      <c r="J866" s="112"/>
      <c r="K866" s="112"/>
      <c r="L866" s="112"/>
      <c r="M866" s="112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</row>
    <row r="867" spans="1:29" ht="12" customHeight="1">
      <c r="A867" s="108"/>
      <c r="B867" s="109"/>
      <c r="C867" s="109"/>
      <c r="D867" s="109"/>
      <c r="E867" s="109"/>
      <c r="F867" s="109"/>
      <c r="G867" s="111"/>
      <c r="H867" s="111"/>
      <c r="I867" s="112"/>
      <c r="J867" s="112"/>
      <c r="K867" s="112"/>
      <c r="L867" s="112"/>
      <c r="M867" s="112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</row>
    <row r="868" spans="1:29" ht="12" customHeight="1">
      <c r="A868" s="108"/>
      <c r="B868" s="109"/>
      <c r="C868" s="109"/>
      <c r="D868" s="109"/>
      <c r="E868" s="109"/>
      <c r="F868" s="109"/>
      <c r="G868" s="111"/>
      <c r="H868" s="111"/>
      <c r="I868" s="112"/>
      <c r="J868" s="112"/>
      <c r="K868" s="112"/>
      <c r="L868" s="112"/>
      <c r="M868" s="112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</row>
    <row r="869" spans="1:29" ht="12" customHeight="1">
      <c r="A869" s="108"/>
      <c r="B869" s="109"/>
      <c r="C869" s="109"/>
      <c r="D869" s="109"/>
      <c r="E869" s="109"/>
      <c r="F869" s="109"/>
      <c r="G869" s="111"/>
      <c r="H869" s="111"/>
      <c r="I869" s="112"/>
      <c r="J869" s="112"/>
      <c r="K869" s="112"/>
      <c r="L869" s="112"/>
      <c r="M869" s="112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</row>
    <row r="870" spans="1:29" ht="12" customHeight="1">
      <c r="A870" s="108"/>
      <c r="B870" s="109"/>
      <c r="C870" s="109"/>
      <c r="D870" s="109"/>
      <c r="E870" s="109"/>
      <c r="F870" s="109"/>
      <c r="G870" s="111"/>
      <c r="H870" s="111"/>
      <c r="I870" s="112"/>
      <c r="J870" s="112"/>
      <c r="K870" s="112"/>
      <c r="L870" s="112"/>
      <c r="M870" s="112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</row>
    <row r="871" spans="1:29" ht="12" customHeight="1">
      <c r="A871" s="108"/>
      <c r="B871" s="109"/>
      <c r="C871" s="109"/>
      <c r="D871" s="109"/>
      <c r="E871" s="109"/>
      <c r="F871" s="109"/>
      <c r="G871" s="111"/>
      <c r="H871" s="111"/>
      <c r="I871" s="112"/>
      <c r="J871" s="112"/>
      <c r="K871" s="112"/>
      <c r="L871" s="112"/>
      <c r="M871" s="112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</row>
    <row r="872" spans="1:29" ht="12" customHeight="1">
      <c r="A872" s="108"/>
      <c r="B872" s="109"/>
      <c r="C872" s="109"/>
      <c r="D872" s="109"/>
      <c r="E872" s="109"/>
      <c r="F872" s="109"/>
      <c r="G872" s="111"/>
      <c r="H872" s="111"/>
      <c r="I872" s="112"/>
      <c r="J872" s="112"/>
      <c r="K872" s="112"/>
      <c r="L872" s="112"/>
      <c r="M872" s="112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</row>
    <row r="873" spans="1:29" ht="12" customHeight="1">
      <c r="A873" s="108"/>
      <c r="B873" s="109"/>
      <c r="C873" s="109"/>
      <c r="D873" s="109"/>
      <c r="E873" s="109"/>
      <c r="F873" s="109"/>
      <c r="G873" s="111"/>
      <c r="H873" s="111"/>
      <c r="I873" s="112"/>
      <c r="J873" s="112"/>
      <c r="K873" s="112"/>
      <c r="L873" s="112"/>
      <c r="M873" s="112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</row>
    <row r="874" spans="1:29" ht="12" customHeight="1">
      <c r="A874" s="108"/>
      <c r="B874" s="109"/>
      <c r="C874" s="109"/>
      <c r="D874" s="109"/>
      <c r="E874" s="109"/>
      <c r="F874" s="109"/>
      <c r="G874" s="111"/>
      <c r="H874" s="111"/>
      <c r="I874" s="112"/>
      <c r="J874" s="112"/>
      <c r="K874" s="112"/>
      <c r="L874" s="112"/>
      <c r="M874" s="112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</row>
    <row r="875" spans="1:29" ht="12" customHeight="1">
      <c r="A875" s="108"/>
      <c r="B875" s="109"/>
      <c r="C875" s="109"/>
      <c r="D875" s="109"/>
      <c r="E875" s="109"/>
      <c r="F875" s="109"/>
      <c r="G875" s="111"/>
      <c r="H875" s="111"/>
      <c r="I875" s="112"/>
      <c r="J875" s="112"/>
      <c r="K875" s="112"/>
      <c r="L875" s="112"/>
      <c r="M875" s="112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</row>
    <row r="876" spans="1:29" ht="12" customHeight="1">
      <c r="A876" s="108"/>
      <c r="B876" s="109"/>
      <c r="C876" s="109"/>
      <c r="D876" s="109"/>
      <c r="E876" s="109"/>
      <c r="F876" s="109"/>
      <c r="G876" s="111"/>
      <c r="H876" s="111"/>
      <c r="I876" s="112"/>
      <c r="J876" s="112"/>
      <c r="K876" s="112"/>
      <c r="L876" s="112"/>
      <c r="M876" s="112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</row>
    <row r="877" spans="1:29" ht="12" customHeight="1">
      <c r="A877" s="108"/>
      <c r="B877" s="109"/>
      <c r="C877" s="109"/>
      <c r="D877" s="109"/>
      <c r="E877" s="109"/>
      <c r="F877" s="109"/>
      <c r="G877" s="111"/>
      <c r="H877" s="111"/>
      <c r="I877" s="112"/>
      <c r="J877" s="112"/>
      <c r="K877" s="112"/>
      <c r="L877" s="112"/>
      <c r="M877" s="112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</row>
    <row r="878" spans="1:29" ht="12" customHeight="1">
      <c r="A878" s="108"/>
      <c r="B878" s="109"/>
      <c r="C878" s="109"/>
      <c r="D878" s="109"/>
      <c r="E878" s="109"/>
      <c r="F878" s="109"/>
      <c r="G878" s="111"/>
      <c r="H878" s="111"/>
      <c r="I878" s="112"/>
      <c r="J878" s="112"/>
      <c r="K878" s="112"/>
      <c r="L878" s="112"/>
      <c r="M878" s="112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</row>
    <row r="879" spans="1:29" ht="12" customHeight="1">
      <c r="A879" s="108"/>
      <c r="B879" s="109"/>
      <c r="C879" s="109"/>
      <c r="D879" s="109"/>
      <c r="E879" s="109"/>
      <c r="F879" s="109"/>
      <c r="G879" s="111"/>
      <c r="H879" s="111"/>
      <c r="I879" s="112"/>
      <c r="J879" s="112"/>
      <c r="K879" s="112"/>
      <c r="L879" s="112"/>
      <c r="M879" s="112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</row>
    <row r="880" spans="1:29" ht="12" customHeight="1">
      <c r="A880" s="108"/>
      <c r="B880" s="109"/>
      <c r="C880" s="109"/>
      <c r="D880" s="109"/>
      <c r="E880" s="109"/>
      <c r="F880" s="109"/>
      <c r="G880" s="111"/>
      <c r="H880" s="111"/>
      <c r="I880" s="112"/>
      <c r="J880" s="112"/>
      <c r="K880" s="112"/>
      <c r="L880" s="112"/>
      <c r="M880" s="112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</row>
    <row r="881" spans="1:29" ht="12" customHeight="1">
      <c r="A881" s="108"/>
      <c r="B881" s="109"/>
      <c r="C881" s="109"/>
      <c r="D881" s="109"/>
      <c r="E881" s="109"/>
      <c r="F881" s="109"/>
      <c r="G881" s="111"/>
      <c r="H881" s="111"/>
      <c r="I881" s="112"/>
      <c r="J881" s="112"/>
      <c r="K881" s="112"/>
      <c r="L881" s="112"/>
      <c r="M881" s="112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</row>
    <row r="882" spans="1:29" ht="12" customHeight="1">
      <c r="A882" s="108"/>
      <c r="B882" s="109"/>
      <c r="C882" s="109"/>
      <c r="D882" s="109"/>
      <c r="E882" s="109"/>
      <c r="F882" s="109"/>
      <c r="G882" s="111"/>
      <c r="H882" s="111"/>
      <c r="I882" s="112"/>
      <c r="J882" s="112"/>
      <c r="K882" s="112"/>
      <c r="L882" s="112"/>
      <c r="M882" s="112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</row>
    <row r="883" spans="1:29" ht="12" customHeight="1">
      <c r="A883" s="108"/>
      <c r="B883" s="109"/>
      <c r="C883" s="109"/>
      <c r="D883" s="109"/>
      <c r="E883" s="109"/>
      <c r="F883" s="109"/>
      <c r="G883" s="111"/>
      <c r="H883" s="111"/>
      <c r="I883" s="112"/>
      <c r="J883" s="112"/>
      <c r="K883" s="112"/>
      <c r="L883" s="112"/>
      <c r="M883" s="112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</row>
    <row r="884" spans="1:29" ht="12" customHeight="1">
      <c r="A884" s="108"/>
      <c r="B884" s="109"/>
      <c r="C884" s="109"/>
      <c r="D884" s="109"/>
      <c r="E884" s="109"/>
      <c r="F884" s="109"/>
      <c r="G884" s="111"/>
      <c r="H884" s="111"/>
      <c r="I884" s="112"/>
      <c r="J884" s="112"/>
      <c r="K884" s="112"/>
      <c r="L884" s="112"/>
      <c r="M884" s="112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</row>
    <row r="885" spans="1:29" ht="12" customHeight="1">
      <c r="A885" s="108"/>
      <c r="B885" s="109"/>
      <c r="C885" s="109"/>
      <c r="D885" s="109"/>
      <c r="E885" s="109"/>
      <c r="F885" s="109"/>
      <c r="G885" s="111"/>
      <c r="H885" s="111"/>
      <c r="I885" s="112"/>
      <c r="J885" s="112"/>
      <c r="K885" s="112"/>
      <c r="L885" s="112"/>
      <c r="M885" s="112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</row>
    <row r="886" spans="1:29" ht="12" customHeight="1">
      <c r="A886" s="108"/>
      <c r="B886" s="109"/>
      <c r="C886" s="109"/>
      <c r="D886" s="109"/>
      <c r="E886" s="109"/>
      <c r="F886" s="109"/>
      <c r="G886" s="111"/>
      <c r="H886" s="111"/>
      <c r="I886" s="112"/>
      <c r="J886" s="112"/>
      <c r="K886" s="112"/>
      <c r="L886" s="112"/>
      <c r="M886" s="112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</row>
    <row r="887" spans="1:29" ht="12" customHeight="1">
      <c r="A887" s="108"/>
      <c r="B887" s="109"/>
      <c r="C887" s="109"/>
      <c r="D887" s="109"/>
      <c r="E887" s="109"/>
      <c r="F887" s="109"/>
      <c r="G887" s="111"/>
      <c r="H887" s="111"/>
      <c r="I887" s="112"/>
      <c r="J887" s="112"/>
      <c r="K887" s="112"/>
      <c r="L887" s="112"/>
      <c r="M887" s="112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</row>
    <row r="888" spans="1:29" ht="12" customHeight="1">
      <c r="A888" s="108"/>
      <c r="B888" s="109"/>
      <c r="C888" s="109"/>
      <c r="D888" s="109"/>
      <c r="E888" s="109"/>
      <c r="F888" s="109"/>
      <c r="G888" s="111"/>
      <c r="H888" s="111"/>
      <c r="I888" s="112"/>
      <c r="J888" s="112"/>
      <c r="K888" s="112"/>
      <c r="L888" s="112"/>
      <c r="M888" s="112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</row>
    <row r="889" spans="1:29" ht="12" customHeight="1">
      <c r="A889" s="108"/>
      <c r="B889" s="109"/>
      <c r="C889" s="109"/>
      <c r="D889" s="109"/>
      <c r="E889" s="109"/>
      <c r="F889" s="109"/>
      <c r="G889" s="111"/>
      <c r="H889" s="111"/>
      <c r="I889" s="112"/>
      <c r="J889" s="112"/>
      <c r="K889" s="112"/>
      <c r="L889" s="112"/>
      <c r="M889" s="112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</row>
    <row r="890" spans="1:29" ht="12" customHeight="1">
      <c r="A890" s="108"/>
      <c r="B890" s="109"/>
      <c r="C890" s="109"/>
      <c r="D890" s="109"/>
      <c r="E890" s="109"/>
      <c r="F890" s="109"/>
      <c r="G890" s="111"/>
      <c r="H890" s="111"/>
      <c r="I890" s="112"/>
      <c r="J890" s="112"/>
      <c r="K890" s="112"/>
      <c r="L890" s="112"/>
      <c r="M890" s="112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</row>
    <row r="891" spans="1:29" ht="12" customHeight="1">
      <c r="A891" s="108"/>
      <c r="B891" s="109"/>
      <c r="C891" s="109"/>
      <c r="D891" s="109"/>
      <c r="E891" s="109"/>
      <c r="F891" s="109"/>
      <c r="G891" s="111"/>
      <c r="H891" s="111"/>
      <c r="I891" s="112"/>
      <c r="J891" s="112"/>
      <c r="K891" s="112"/>
      <c r="L891" s="112"/>
      <c r="M891" s="112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</row>
    <row r="892" spans="1:29" ht="12" customHeight="1">
      <c r="A892" s="108"/>
      <c r="B892" s="109"/>
      <c r="C892" s="109"/>
      <c r="D892" s="109"/>
      <c r="E892" s="109"/>
      <c r="F892" s="109"/>
      <c r="G892" s="111"/>
      <c r="H892" s="111"/>
      <c r="I892" s="112"/>
      <c r="J892" s="112"/>
      <c r="K892" s="112"/>
      <c r="L892" s="112"/>
      <c r="M892" s="112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</row>
    <row r="893" spans="1:29" ht="12" customHeight="1">
      <c r="A893" s="108"/>
      <c r="B893" s="109"/>
      <c r="C893" s="109"/>
      <c r="D893" s="109"/>
      <c r="E893" s="109"/>
      <c r="F893" s="109"/>
      <c r="G893" s="111"/>
      <c r="H893" s="111"/>
      <c r="I893" s="112"/>
      <c r="J893" s="112"/>
      <c r="K893" s="112"/>
      <c r="L893" s="112"/>
      <c r="M893" s="112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</row>
    <row r="894" spans="1:29" ht="12" customHeight="1">
      <c r="A894" s="108"/>
      <c r="B894" s="109"/>
      <c r="C894" s="109"/>
      <c r="D894" s="109"/>
      <c r="E894" s="109"/>
      <c r="F894" s="109"/>
      <c r="G894" s="111"/>
      <c r="H894" s="111"/>
      <c r="I894" s="112"/>
      <c r="J894" s="112"/>
      <c r="K894" s="112"/>
      <c r="L894" s="112"/>
      <c r="M894" s="112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</row>
    <row r="895" spans="1:29" ht="12" customHeight="1">
      <c r="A895" s="108"/>
      <c r="B895" s="109"/>
      <c r="C895" s="109"/>
      <c r="D895" s="109"/>
      <c r="E895" s="109"/>
      <c r="F895" s="109"/>
      <c r="G895" s="111"/>
      <c r="H895" s="111"/>
      <c r="I895" s="112"/>
      <c r="J895" s="112"/>
      <c r="K895" s="112"/>
      <c r="L895" s="112"/>
      <c r="M895" s="112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</row>
    <row r="896" spans="1:29" ht="12" customHeight="1">
      <c r="A896" s="108"/>
      <c r="B896" s="109"/>
      <c r="C896" s="109"/>
      <c r="D896" s="109"/>
      <c r="E896" s="109"/>
      <c r="F896" s="109"/>
      <c r="G896" s="111"/>
      <c r="H896" s="111"/>
      <c r="I896" s="112"/>
      <c r="J896" s="112"/>
      <c r="K896" s="112"/>
      <c r="L896" s="112"/>
      <c r="M896" s="112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</row>
    <row r="897" spans="1:29" ht="12" customHeight="1">
      <c r="A897" s="108"/>
      <c r="B897" s="109"/>
      <c r="C897" s="109"/>
      <c r="D897" s="109"/>
      <c r="E897" s="109"/>
      <c r="F897" s="109"/>
      <c r="G897" s="111"/>
      <c r="H897" s="111"/>
      <c r="I897" s="112"/>
      <c r="J897" s="112"/>
      <c r="K897" s="112"/>
      <c r="L897" s="112"/>
      <c r="M897" s="112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</row>
    <row r="898" spans="1:29" ht="12" customHeight="1">
      <c r="A898" s="108"/>
      <c r="B898" s="109"/>
      <c r="C898" s="109"/>
      <c r="D898" s="109"/>
      <c r="E898" s="109"/>
      <c r="F898" s="109"/>
      <c r="G898" s="111"/>
      <c r="H898" s="111"/>
      <c r="I898" s="112"/>
      <c r="J898" s="112"/>
      <c r="K898" s="112"/>
      <c r="L898" s="112"/>
      <c r="M898" s="112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</row>
    <row r="899" spans="1:29" ht="12" customHeight="1">
      <c r="A899" s="108"/>
      <c r="B899" s="109"/>
      <c r="C899" s="109"/>
      <c r="D899" s="109"/>
      <c r="E899" s="109"/>
      <c r="F899" s="109"/>
      <c r="G899" s="111"/>
      <c r="H899" s="111"/>
      <c r="I899" s="112"/>
      <c r="J899" s="112"/>
      <c r="K899" s="112"/>
      <c r="L899" s="112"/>
      <c r="M899" s="112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</row>
    <row r="900" spans="1:29" ht="12" customHeight="1">
      <c r="A900" s="108"/>
      <c r="B900" s="109"/>
      <c r="C900" s="109"/>
      <c r="D900" s="109"/>
      <c r="E900" s="109"/>
      <c r="F900" s="109"/>
      <c r="G900" s="111"/>
      <c r="H900" s="111"/>
      <c r="I900" s="112"/>
      <c r="J900" s="112"/>
      <c r="K900" s="112"/>
      <c r="L900" s="112"/>
      <c r="M900" s="112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</row>
    <row r="901" spans="1:29" ht="12" customHeight="1">
      <c r="A901" s="108"/>
      <c r="B901" s="109"/>
      <c r="C901" s="109"/>
      <c r="D901" s="109"/>
      <c r="E901" s="109"/>
      <c r="F901" s="109"/>
      <c r="G901" s="111"/>
      <c r="H901" s="111"/>
      <c r="I901" s="112"/>
      <c r="J901" s="112"/>
      <c r="K901" s="112"/>
      <c r="L901" s="112"/>
      <c r="M901" s="112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</row>
    <row r="902" spans="1:29" ht="12" customHeight="1">
      <c r="A902" s="108"/>
      <c r="B902" s="109"/>
      <c r="C902" s="109"/>
      <c r="D902" s="109"/>
      <c r="E902" s="109"/>
      <c r="F902" s="109"/>
      <c r="G902" s="111"/>
      <c r="H902" s="111"/>
      <c r="I902" s="112"/>
      <c r="J902" s="112"/>
      <c r="K902" s="112"/>
      <c r="L902" s="112"/>
      <c r="M902" s="112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</row>
    <row r="903" spans="1:29" ht="12" customHeight="1">
      <c r="A903" s="108"/>
      <c r="B903" s="109"/>
      <c r="C903" s="109"/>
      <c r="D903" s="109"/>
      <c r="E903" s="109"/>
      <c r="F903" s="109"/>
      <c r="G903" s="111"/>
      <c r="H903" s="111"/>
      <c r="I903" s="112"/>
      <c r="J903" s="112"/>
      <c r="K903" s="112"/>
      <c r="L903" s="112"/>
      <c r="M903" s="112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</row>
    <row r="904" spans="1:29" ht="12" customHeight="1">
      <c r="A904" s="108"/>
      <c r="B904" s="109"/>
      <c r="C904" s="109"/>
      <c r="D904" s="109"/>
      <c r="E904" s="109"/>
      <c r="F904" s="109"/>
      <c r="G904" s="111"/>
      <c r="H904" s="111"/>
      <c r="I904" s="112"/>
      <c r="J904" s="112"/>
      <c r="K904" s="112"/>
      <c r="L904" s="112"/>
      <c r="M904" s="112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</row>
    <row r="905" spans="1:29" ht="12" customHeight="1">
      <c r="A905" s="108"/>
      <c r="B905" s="109"/>
      <c r="C905" s="109"/>
      <c r="D905" s="109"/>
      <c r="E905" s="109"/>
      <c r="F905" s="109"/>
      <c r="G905" s="111"/>
      <c r="H905" s="111"/>
      <c r="I905" s="112"/>
      <c r="J905" s="112"/>
      <c r="K905" s="112"/>
      <c r="L905" s="112"/>
      <c r="M905" s="112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</row>
    <row r="906" spans="1:29" ht="12" customHeight="1">
      <c r="A906" s="108"/>
      <c r="B906" s="109"/>
      <c r="C906" s="109"/>
      <c r="D906" s="109"/>
      <c r="E906" s="109"/>
      <c r="F906" s="109"/>
      <c r="G906" s="111"/>
      <c r="H906" s="111"/>
      <c r="I906" s="112"/>
      <c r="J906" s="112"/>
      <c r="K906" s="112"/>
      <c r="L906" s="112"/>
      <c r="M906" s="112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</row>
    <row r="907" spans="1:29" ht="12" customHeight="1">
      <c r="A907" s="108"/>
      <c r="B907" s="109"/>
      <c r="C907" s="109"/>
      <c r="D907" s="109"/>
      <c r="E907" s="109"/>
      <c r="F907" s="109"/>
      <c r="G907" s="111"/>
      <c r="H907" s="111"/>
      <c r="I907" s="112"/>
      <c r="J907" s="112"/>
      <c r="K907" s="112"/>
      <c r="L907" s="112"/>
      <c r="M907" s="112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</row>
    <row r="908" spans="1:29" ht="12" customHeight="1">
      <c r="A908" s="108"/>
      <c r="B908" s="109"/>
      <c r="C908" s="109"/>
      <c r="D908" s="109"/>
      <c r="E908" s="109"/>
      <c r="F908" s="109"/>
      <c r="G908" s="111"/>
      <c r="H908" s="111"/>
      <c r="I908" s="112"/>
      <c r="J908" s="112"/>
      <c r="K908" s="112"/>
      <c r="L908" s="112"/>
      <c r="M908" s="112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</row>
    <row r="909" spans="1:29" ht="12" customHeight="1">
      <c r="A909" s="108"/>
      <c r="B909" s="109"/>
      <c r="C909" s="109"/>
      <c r="D909" s="109"/>
      <c r="E909" s="109"/>
      <c r="F909" s="109"/>
      <c r="G909" s="111"/>
      <c r="H909" s="111"/>
      <c r="I909" s="112"/>
      <c r="J909" s="112"/>
      <c r="K909" s="112"/>
      <c r="L909" s="112"/>
      <c r="M909" s="112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</row>
    <row r="910" spans="1:29" ht="12" customHeight="1">
      <c r="A910" s="108"/>
      <c r="B910" s="109"/>
      <c r="C910" s="109"/>
      <c r="D910" s="109"/>
      <c r="E910" s="109"/>
      <c r="F910" s="109"/>
      <c r="G910" s="111"/>
      <c r="H910" s="111"/>
      <c r="I910" s="112"/>
      <c r="J910" s="112"/>
      <c r="K910" s="112"/>
      <c r="L910" s="112"/>
      <c r="M910" s="112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</row>
    <row r="911" spans="1:29" ht="12" customHeight="1">
      <c r="A911" s="108"/>
      <c r="B911" s="109"/>
      <c r="C911" s="109"/>
      <c r="D911" s="109"/>
      <c r="E911" s="109"/>
      <c r="F911" s="109"/>
      <c r="G911" s="111"/>
      <c r="H911" s="111"/>
      <c r="I911" s="112"/>
      <c r="J911" s="112"/>
      <c r="K911" s="112"/>
      <c r="L911" s="112"/>
      <c r="M911" s="112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</row>
    <row r="912" spans="1:29" ht="12" customHeight="1">
      <c r="A912" s="108"/>
      <c r="B912" s="109"/>
      <c r="C912" s="109"/>
      <c r="D912" s="109"/>
      <c r="E912" s="109"/>
      <c r="F912" s="109"/>
      <c r="G912" s="111"/>
      <c r="H912" s="111"/>
      <c r="I912" s="112"/>
      <c r="J912" s="112"/>
      <c r="K912" s="112"/>
      <c r="L912" s="112"/>
      <c r="M912" s="112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</row>
    <row r="913" spans="1:29" ht="12" customHeight="1">
      <c r="A913" s="108"/>
      <c r="B913" s="109"/>
      <c r="C913" s="109"/>
      <c r="D913" s="109"/>
      <c r="E913" s="109"/>
      <c r="F913" s="109"/>
      <c r="G913" s="111"/>
      <c r="H913" s="111"/>
      <c r="I913" s="112"/>
      <c r="J913" s="112"/>
      <c r="K913" s="112"/>
      <c r="L913" s="112"/>
      <c r="M913" s="112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</row>
    <row r="914" spans="1:29" ht="12" customHeight="1">
      <c r="A914" s="108"/>
      <c r="B914" s="109"/>
      <c r="C914" s="109"/>
      <c r="D914" s="109"/>
      <c r="E914" s="109"/>
      <c r="F914" s="109"/>
      <c r="G914" s="111"/>
      <c r="H914" s="111"/>
      <c r="I914" s="112"/>
      <c r="J914" s="112"/>
      <c r="K914" s="112"/>
      <c r="L914" s="112"/>
      <c r="M914" s="112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</row>
    <row r="915" spans="1:29" ht="12" customHeight="1">
      <c r="A915" s="108"/>
      <c r="B915" s="109"/>
      <c r="C915" s="109"/>
      <c r="D915" s="109"/>
      <c r="E915" s="109"/>
      <c r="F915" s="109"/>
      <c r="G915" s="111"/>
      <c r="H915" s="111"/>
      <c r="I915" s="112"/>
      <c r="J915" s="112"/>
      <c r="K915" s="112"/>
      <c r="L915" s="112"/>
      <c r="M915" s="112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</row>
    <row r="916" spans="1:29" ht="12" customHeight="1">
      <c r="A916" s="108"/>
      <c r="B916" s="109"/>
      <c r="C916" s="109"/>
      <c r="D916" s="109"/>
      <c r="E916" s="109"/>
      <c r="F916" s="109"/>
      <c r="G916" s="111"/>
      <c r="H916" s="111"/>
      <c r="I916" s="112"/>
      <c r="J916" s="112"/>
      <c r="K916" s="112"/>
      <c r="L916" s="112"/>
      <c r="M916" s="112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</row>
    <row r="917" spans="1:29" ht="12" customHeight="1">
      <c r="A917" s="108"/>
      <c r="B917" s="109"/>
      <c r="C917" s="109"/>
      <c r="D917" s="109"/>
      <c r="E917" s="109"/>
      <c r="F917" s="109"/>
      <c r="G917" s="111"/>
      <c r="H917" s="111"/>
      <c r="I917" s="112"/>
      <c r="J917" s="112"/>
      <c r="K917" s="112"/>
      <c r="L917" s="112"/>
      <c r="M917" s="112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</row>
    <row r="918" spans="1:29" ht="12" customHeight="1">
      <c r="A918" s="108"/>
      <c r="B918" s="109"/>
      <c r="C918" s="109"/>
      <c r="D918" s="109"/>
      <c r="E918" s="109"/>
      <c r="F918" s="109"/>
      <c r="G918" s="111"/>
      <c r="H918" s="111"/>
      <c r="I918" s="112"/>
      <c r="J918" s="112"/>
      <c r="K918" s="112"/>
      <c r="L918" s="112"/>
      <c r="M918" s="112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</row>
    <row r="919" spans="1:29" ht="12" customHeight="1">
      <c r="A919" s="108"/>
      <c r="B919" s="109"/>
      <c r="C919" s="109"/>
      <c r="D919" s="109"/>
      <c r="E919" s="109"/>
      <c r="F919" s="109"/>
      <c r="G919" s="111"/>
      <c r="H919" s="111"/>
      <c r="I919" s="112"/>
      <c r="J919" s="112"/>
      <c r="K919" s="112"/>
      <c r="L919" s="112"/>
      <c r="M919" s="112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</row>
    <row r="920" spans="1:29" ht="12" customHeight="1">
      <c r="A920" s="108"/>
      <c r="B920" s="109"/>
      <c r="C920" s="109"/>
      <c r="D920" s="109"/>
      <c r="E920" s="109"/>
      <c r="F920" s="109"/>
      <c r="G920" s="111"/>
      <c r="H920" s="111"/>
      <c r="I920" s="112"/>
      <c r="J920" s="112"/>
      <c r="K920" s="112"/>
      <c r="L920" s="112"/>
      <c r="M920" s="112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</row>
    <row r="921" spans="1:29" ht="12" customHeight="1">
      <c r="A921" s="108"/>
      <c r="B921" s="109"/>
      <c r="C921" s="109"/>
      <c r="D921" s="109"/>
      <c r="E921" s="109"/>
      <c r="F921" s="109"/>
      <c r="G921" s="111"/>
      <c r="H921" s="111"/>
      <c r="I921" s="112"/>
      <c r="J921" s="112"/>
      <c r="K921" s="112"/>
      <c r="L921" s="112"/>
      <c r="M921" s="112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</row>
    <row r="922" spans="1:29" ht="12" customHeight="1">
      <c r="A922" s="108"/>
      <c r="B922" s="109"/>
      <c r="C922" s="109"/>
      <c r="D922" s="109"/>
      <c r="E922" s="109"/>
      <c r="F922" s="109"/>
      <c r="G922" s="111"/>
      <c r="H922" s="111"/>
      <c r="I922" s="112"/>
      <c r="J922" s="112"/>
      <c r="K922" s="112"/>
      <c r="L922" s="112"/>
      <c r="M922" s="112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</row>
    <row r="923" spans="1:29" ht="12" customHeight="1">
      <c r="A923" s="108"/>
      <c r="B923" s="109"/>
      <c r="C923" s="109"/>
      <c r="D923" s="109"/>
      <c r="E923" s="109"/>
      <c r="F923" s="109"/>
      <c r="G923" s="111"/>
      <c r="H923" s="111"/>
      <c r="I923" s="112"/>
      <c r="J923" s="112"/>
      <c r="K923" s="112"/>
      <c r="L923" s="112"/>
      <c r="M923" s="112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</row>
    <row r="924" spans="1:29" ht="12" customHeight="1">
      <c r="A924" s="108"/>
      <c r="B924" s="109"/>
      <c r="C924" s="109"/>
      <c r="D924" s="109"/>
      <c r="E924" s="109"/>
      <c r="F924" s="109"/>
      <c r="G924" s="111"/>
      <c r="H924" s="111"/>
      <c r="I924" s="112"/>
      <c r="J924" s="112"/>
      <c r="K924" s="112"/>
      <c r="L924" s="112"/>
      <c r="M924" s="112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</row>
    <row r="925" spans="1:29" ht="12" customHeight="1">
      <c r="A925" s="108"/>
      <c r="B925" s="109"/>
      <c r="C925" s="109"/>
      <c r="D925" s="109"/>
      <c r="E925" s="109"/>
      <c r="F925" s="109"/>
      <c r="G925" s="111"/>
      <c r="H925" s="111"/>
      <c r="I925" s="112"/>
      <c r="J925" s="112"/>
      <c r="K925" s="112"/>
      <c r="L925" s="112"/>
      <c r="M925" s="112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</row>
    <row r="926" spans="1:29" ht="12" customHeight="1">
      <c r="A926" s="108"/>
      <c r="B926" s="109"/>
      <c r="C926" s="109"/>
      <c r="D926" s="109"/>
      <c r="E926" s="109"/>
      <c r="F926" s="109"/>
      <c r="G926" s="111"/>
      <c r="H926" s="111"/>
      <c r="I926" s="112"/>
      <c r="J926" s="112"/>
      <c r="K926" s="112"/>
      <c r="L926" s="112"/>
      <c r="M926" s="112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</row>
    <row r="927" spans="1:29" ht="12" customHeight="1">
      <c r="A927" s="108"/>
      <c r="B927" s="109"/>
      <c r="C927" s="109"/>
      <c r="D927" s="109"/>
      <c r="E927" s="109"/>
      <c r="F927" s="109"/>
      <c r="G927" s="111"/>
      <c r="H927" s="111"/>
      <c r="I927" s="112"/>
      <c r="J927" s="112"/>
      <c r="K927" s="112"/>
      <c r="L927" s="112"/>
      <c r="M927" s="112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</row>
    <row r="928" spans="1:29" ht="12" customHeight="1">
      <c r="A928" s="108"/>
      <c r="B928" s="109"/>
      <c r="C928" s="109"/>
      <c r="D928" s="109"/>
      <c r="E928" s="109"/>
      <c r="F928" s="109"/>
      <c r="G928" s="111"/>
      <c r="H928" s="111"/>
      <c r="I928" s="112"/>
      <c r="J928" s="112"/>
      <c r="K928" s="112"/>
      <c r="L928" s="112"/>
      <c r="M928" s="112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</row>
    <row r="929" spans="1:29" ht="12" customHeight="1">
      <c r="A929" s="108"/>
      <c r="B929" s="109"/>
      <c r="C929" s="109"/>
      <c r="D929" s="109"/>
      <c r="E929" s="109"/>
      <c r="F929" s="109"/>
      <c r="G929" s="111"/>
      <c r="H929" s="111"/>
      <c r="I929" s="112"/>
      <c r="J929" s="112"/>
      <c r="K929" s="112"/>
      <c r="L929" s="112"/>
      <c r="M929" s="112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</row>
    <row r="930" spans="1:29" ht="12" customHeight="1">
      <c r="A930" s="108"/>
      <c r="B930" s="109"/>
      <c r="C930" s="109"/>
      <c r="D930" s="109"/>
      <c r="E930" s="109"/>
      <c r="F930" s="109"/>
      <c r="G930" s="111"/>
      <c r="H930" s="111"/>
      <c r="I930" s="112"/>
      <c r="J930" s="112"/>
      <c r="K930" s="112"/>
      <c r="L930" s="112"/>
      <c r="M930" s="112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</row>
    <row r="931" spans="1:29" ht="12" customHeight="1">
      <c r="A931" s="108"/>
      <c r="B931" s="109"/>
      <c r="C931" s="109"/>
      <c r="D931" s="109"/>
      <c r="E931" s="109"/>
      <c r="F931" s="109"/>
      <c r="G931" s="111"/>
      <c r="H931" s="111"/>
      <c r="I931" s="112"/>
      <c r="J931" s="112"/>
      <c r="K931" s="112"/>
      <c r="L931" s="112"/>
      <c r="M931" s="112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</row>
    <row r="932" spans="1:29" ht="12" customHeight="1">
      <c r="A932" s="108"/>
      <c r="B932" s="109"/>
      <c r="C932" s="109"/>
      <c r="D932" s="109"/>
      <c r="E932" s="109"/>
      <c r="F932" s="109"/>
      <c r="G932" s="111"/>
      <c r="H932" s="111"/>
      <c r="I932" s="112"/>
      <c r="J932" s="112"/>
      <c r="K932" s="112"/>
      <c r="L932" s="112"/>
      <c r="M932" s="112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</row>
    <row r="933" spans="1:29" ht="12" customHeight="1">
      <c r="A933" s="108"/>
      <c r="B933" s="109"/>
      <c r="C933" s="109"/>
      <c r="D933" s="109"/>
      <c r="E933" s="109"/>
      <c r="F933" s="109"/>
      <c r="G933" s="111"/>
      <c r="H933" s="111"/>
      <c r="I933" s="112"/>
      <c r="J933" s="112"/>
      <c r="K933" s="112"/>
      <c r="L933" s="112"/>
      <c r="M933" s="112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</row>
    <row r="934" spans="1:29" ht="12" customHeight="1">
      <c r="A934" s="108"/>
      <c r="B934" s="109"/>
      <c r="C934" s="109"/>
      <c r="D934" s="109"/>
      <c r="E934" s="109"/>
      <c r="F934" s="109"/>
      <c r="G934" s="111"/>
      <c r="H934" s="111"/>
      <c r="I934" s="112"/>
      <c r="J934" s="112"/>
      <c r="K934" s="112"/>
      <c r="L934" s="112"/>
      <c r="M934" s="112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</row>
    <row r="935" spans="1:29" ht="12" customHeight="1">
      <c r="A935" s="108"/>
      <c r="B935" s="109"/>
      <c r="C935" s="109"/>
      <c r="D935" s="109"/>
      <c r="E935" s="109"/>
      <c r="F935" s="109"/>
      <c r="G935" s="111"/>
      <c r="H935" s="111"/>
      <c r="I935" s="112"/>
      <c r="J935" s="112"/>
      <c r="K935" s="112"/>
      <c r="L935" s="112"/>
      <c r="M935" s="112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</row>
    <row r="936" spans="1:29" ht="12" customHeight="1">
      <c r="A936" s="108"/>
      <c r="B936" s="109"/>
      <c r="C936" s="109"/>
      <c r="D936" s="109"/>
      <c r="E936" s="109"/>
      <c r="F936" s="109"/>
      <c r="G936" s="111"/>
      <c r="H936" s="111"/>
      <c r="I936" s="112"/>
      <c r="J936" s="112"/>
      <c r="K936" s="112"/>
      <c r="L936" s="112"/>
      <c r="M936" s="112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</row>
    <row r="937" spans="1:29" ht="12" customHeight="1">
      <c r="A937" s="108"/>
      <c r="B937" s="109"/>
      <c r="C937" s="109"/>
      <c r="D937" s="109"/>
      <c r="E937" s="109"/>
      <c r="F937" s="109"/>
      <c r="G937" s="111"/>
      <c r="H937" s="111"/>
      <c r="I937" s="112"/>
      <c r="J937" s="112"/>
      <c r="K937" s="112"/>
      <c r="L937" s="112"/>
      <c r="M937" s="112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</row>
    <row r="938" spans="1:29" ht="12" customHeight="1">
      <c r="A938" s="108"/>
      <c r="B938" s="109"/>
      <c r="C938" s="109"/>
      <c r="D938" s="109"/>
      <c r="E938" s="109"/>
      <c r="F938" s="109"/>
      <c r="G938" s="111"/>
      <c r="H938" s="111"/>
      <c r="I938" s="112"/>
      <c r="J938" s="112"/>
      <c r="K938" s="112"/>
      <c r="L938" s="112"/>
      <c r="M938" s="112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</row>
    <row r="939" spans="1:29" ht="12" customHeight="1">
      <c r="A939" s="108"/>
      <c r="B939" s="109"/>
      <c r="C939" s="109"/>
      <c r="D939" s="109"/>
      <c r="E939" s="109"/>
      <c r="F939" s="109"/>
      <c r="G939" s="111"/>
      <c r="H939" s="111"/>
      <c r="I939" s="112"/>
      <c r="J939" s="112"/>
      <c r="K939" s="112"/>
      <c r="L939" s="112"/>
      <c r="M939" s="112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</row>
    <row r="940" spans="1:29" ht="12" customHeight="1">
      <c r="A940" s="108"/>
      <c r="B940" s="109"/>
      <c r="C940" s="109"/>
      <c r="D940" s="109"/>
      <c r="E940" s="109"/>
      <c r="F940" s="109"/>
      <c r="G940" s="111"/>
      <c r="H940" s="111"/>
      <c r="I940" s="112"/>
      <c r="J940" s="112"/>
      <c r="K940" s="112"/>
      <c r="L940" s="112"/>
      <c r="M940" s="112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</row>
    <row r="941" spans="1:29" ht="12" customHeight="1">
      <c r="A941" s="108"/>
      <c r="B941" s="109"/>
      <c r="C941" s="109"/>
      <c r="D941" s="109"/>
      <c r="E941" s="109"/>
      <c r="F941" s="109"/>
      <c r="G941" s="111"/>
      <c r="H941" s="111"/>
      <c r="I941" s="112"/>
      <c r="J941" s="112"/>
      <c r="K941" s="112"/>
      <c r="L941" s="112"/>
      <c r="M941" s="112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</row>
    <row r="942" spans="1:29" ht="12" customHeight="1">
      <c r="A942" s="108"/>
      <c r="B942" s="109"/>
      <c r="C942" s="109"/>
      <c r="D942" s="109"/>
      <c r="E942" s="109"/>
      <c r="F942" s="109"/>
      <c r="G942" s="111"/>
      <c r="H942" s="111"/>
      <c r="I942" s="112"/>
      <c r="J942" s="112"/>
      <c r="K942" s="112"/>
      <c r="L942" s="112"/>
      <c r="M942" s="112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</row>
    <row r="943" spans="1:29" ht="12" customHeight="1">
      <c r="A943" s="108"/>
      <c r="B943" s="109"/>
      <c r="C943" s="109"/>
      <c r="D943" s="109"/>
      <c r="E943" s="109"/>
      <c r="F943" s="109"/>
      <c r="G943" s="111"/>
      <c r="H943" s="111"/>
      <c r="I943" s="112"/>
      <c r="J943" s="112"/>
      <c r="K943" s="112"/>
      <c r="L943" s="112"/>
      <c r="M943" s="112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</row>
    <row r="944" spans="1:29" ht="12" customHeight="1">
      <c r="A944" s="108"/>
      <c r="B944" s="109"/>
      <c r="C944" s="109"/>
      <c r="D944" s="109"/>
      <c r="E944" s="109"/>
      <c r="F944" s="109"/>
      <c r="G944" s="111"/>
      <c r="H944" s="111"/>
      <c r="I944" s="112"/>
      <c r="J944" s="112"/>
      <c r="K944" s="112"/>
      <c r="L944" s="112"/>
      <c r="M944" s="112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</row>
    <row r="945" spans="1:29" ht="12" customHeight="1">
      <c r="A945" s="108"/>
      <c r="B945" s="109"/>
      <c r="C945" s="109"/>
      <c r="D945" s="109"/>
      <c r="E945" s="109"/>
      <c r="F945" s="109"/>
      <c r="G945" s="111"/>
      <c r="H945" s="111"/>
      <c r="I945" s="112"/>
      <c r="J945" s="112"/>
      <c r="K945" s="112"/>
      <c r="L945" s="112"/>
      <c r="M945" s="112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</row>
    <row r="946" spans="1:29" ht="12" customHeight="1">
      <c r="A946" s="108"/>
      <c r="B946" s="109"/>
      <c r="C946" s="109"/>
      <c r="D946" s="109"/>
      <c r="E946" s="109"/>
      <c r="F946" s="109"/>
      <c r="G946" s="111"/>
      <c r="H946" s="111"/>
      <c r="I946" s="112"/>
      <c r="J946" s="112"/>
      <c r="K946" s="112"/>
      <c r="L946" s="112"/>
      <c r="M946" s="112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</row>
    <row r="947" spans="1:29" ht="12" customHeight="1">
      <c r="A947" s="108"/>
      <c r="B947" s="109"/>
      <c r="C947" s="109"/>
      <c r="D947" s="109"/>
      <c r="E947" s="109"/>
      <c r="F947" s="109"/>
      <c r="G947" s="111"/>
      <c r="H947" s="111"/>
      <c r="I947" s="112"/>
      <c r="J947" s="112"/>
      <c r="K947" s="112"/>
      <c r="L947" s="112"/>
      <c r="M947" s="112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</row>
  </sheetData>
  <autoFilter ref="A1:M2" xr:uid="{00000000-0009-0000-0000-000004000000}"/>
  <phoneticPr fontId="24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3922-D68F-AF48-81A6-FECD868D80D5}">
  <dimension ref="A1:AC947"/>
  <sheetViews>
    <sheetView workbookViewId="0">
      <selection activeCell="G41" sqref="G41"/>
    </sheetView>
  </sheetViews>
  <sheetFormatPr baseColWidth="10" defaultColWidth="12.6640625" defaultRowHeight="15" customHeight="1"/>
  <cols>
    <col min="1" max="1" width="9.6640625" customWidth="1"/>
    <col min="2" max="2" width="11.5" bestFit="1" customWidth="1"/>
    <col min="3" max="3" width="15.33203125" customWidth="1"/>
    <col min="4" max="5" width="16.1640625" customWidth="1"/>
    <col min="6" max="6" width="7.83203125" customWidth="1"/>
    <col min="7" max="7" width="81.83203125" customWidth="1"/>
    <col min="8" max="8" width="10" bestFit="1" customWidth="1"/>
    <col min="9" max="9" width="8" customWidth="1"/>
    <col min="10" max="10" width="13.6640625" bestFit="1" customWidth="1"/>
    <col min="11" max="11" width="8" customWidth="1"/>
    <col min="12" max="12" width="8.33203125" customWidth="1"/>
    <col min="13" max="13" width="10" customWidth="1"/>
    <col min="14" max="29" width="7.6640625" customWidth="1"/>
  </cols>
  <sheetData>
    <row r="1" spans="1:29" ht="12" customHeight="1">
      <c r="A1" s="108" t="s">
        <v>126</v>
      </c>
      <c r="B1" s="109" t="s">
        <v>190</v>
      </c>
      <c r="C1" s="109" t="s">
        <v>131</v>
      </c>
      <c r="D1" s="109" t="s">
        <v>139</v>
      </c>
      <c r="E1" s="109" t="s">
        <v>133</v>
      </c>
      <c r="F1" s="109" t="s">
        <v>133</v>
      </c>
      <c r="G1" s="109" t="s">
        <v>134</v>
      </c>
      <c r="H1" s="109" t="s">
        <v>135</v>
      </c>
      <c r="I1" s="110" t="s">
        <v>192</v>
      </c>
      <c r="J1" s="110" t="s">
        <v>214</v>
      </c>
      <c r="K1" s="110" t="s">
        <v>193</v>
      </c>
      <c r="L1" s="110" t="s">
        <v>137</v>
      </c>
      <c r="M1" s="110" t="s">
        <v>194</v>
      </c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</row>
    <row r="2" spans="1:29">
      <c r="A2" s="108" t="s">
        <v>305</v>
      </c>
      <c r="B2" s="109" t="s">
        <v>191</v>
      </c>
      <c r="C2" s="322"/>
      <c r="D2" s="111" t="s">
        <v>1080</v>
      </c>
      <c r="E2" s="109" t="s">
        <v>1071</v>
      </c>
      <c r="F2" s="123"/>
      <c r="G2" s="123" t="s">
        <v>1072</v>
      </c>
      <c r="H2" s="123">
        <v>1</v>
      </c>
      <c r="I2" s="112">
        <v>6800</v>
      </c>
      <c r="J2" s="112">
        <f>H2*I2</f>
        <v>6800</v>
      </c>
      <c r="K2" s="112">
        <v>3740</v>
      </c>
      <c r="L2" s="112"/>
      <c r="M2" s="117">
        <f>H2*K2</f>
        <v>3740</v>
      </c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</row>
    <row r="3" spans="1:29" ht="12" customHeight="1">
      <c r="A3" s="108"/>
      <c r="C3" s="109"/>
      <c r="D3" s="109"/>
      <c r="E3" s="109"/>
      <c r="F3" s="109"/>
      <c r="G3" s="109"/>
      <c r="H3" s="111"/>
      <c r="I3" s="111"/>
      <c r="J3" s="112"/>
      <c r="K3" s="112"/>
      <c r="L3" s="112"/>
      <c r="M3" s="112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</row>
    <row r="4" spans="1:29" ht="12" customHeight="1">
      <c r="A4" s="108"/>
      <c r="B4" s="109"/>
      <c r="C4" s="109"/>
      <c r="D4" s="109"/>
      <c r="E4" s="109"/>
      <c r="F4" s="109"/>
      <c r="G4" s="111"/>
      <c r="H4" s="112">
        <f>SUM(H2:H3)</f>
        <v>1</v>
      </c>
      <c r="I4" s="112"/>
      <c r="J4" s="112">
        <f>SUM(J2:J3)</f>
        <v>6800</v>
      </c>
      <c r="K4" s="112"/>
      <c r="L4" s="112"/>
      <c r="M4" s="112">
        <f>SUM(M2:M3)</f>
        <v>3740</v>
      </c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</row>
    <row r="5" spans="1:29" ht="12" customHeight="1">
      <c r="A5" s="108"/>
      <c r="B5" s="109"/>
      <c r="C5" s="109"/>
      <c r="D5" s="109"/>
      <c r="E5" s="109"/>
      <c r="F5" s="109"/>
      <c r="G5" s="111"/>
      <c r="H5" s="111"/>
      <c r="I5" s="112"/>
      <c r="J5" s="112"/>
      <c r="K5" s="112"/>
      <c r="L5" s="112"/>
      <c r="M5" s="112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</row>
    <row r="6" spans="1:29" ht="12" customHeight="1">
      <c r="A6" s="108"/>
      <c r="B6" s="109"/>
      <c r="C6" s="109"/>
      <c r="D6" s="109"/>
      <c r="E6" s="109"/>
      <c r="F6" s="109"/>
      <c r="G6" s="111"/>
      <c r="H6" s="111"/>
      <c r="I6" s="112"/>
      <c r="J6" s="112"/>
      <c r="K6" s="112"/>
      <c r="L6" s="112"/>
      <c r="M6" s="112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</row>
    <row r="7" spans="1:29" ht="12" customHeight="1">
      <c r="A7" s="108"/>
      <c r="B7" s="109"/>
      <c r="C7" s="109"/>
      <c r="D7" s="109"/>
      <c r="E7" s="109"/>
      <c r="F7" s="109"/>
      <c r="G7" s="111"/>
      <c r="H7" s="111"/>
      <c r="I7" s="112"/>
      <c r="J7" s="112"/>
      <c r="K7" s="112"/>
      <c r="L7" s="112"/>
      <c r="M7" s="112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</row>
    <row r="8" spans="1:29" ht="12" customHeight="1">
      <c r="A8" s="108"/>
      <c r="B8" s="109"/>
      <c r="C8" s="109"/>
      <c r="D8" s="109"/>
      <c r="E8" s="109"/>
      <c r="F8" s="109"/>
      <c r="G8" s="111"/>
      <c r="H8" s="111"/>
      <c r="I8" s="112"/>
      <c r="J8" s="112"/>
      <c r="K8" s="112"/>
      <c r="L8" s="112"/>
      <c r="M8" s="112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</row>
    <row r="9" spans="1:29" ht="12" customHeight="1">
      <c r="A9" s="108"/>
      <c r="B9" s="109"/>
      <c r="C9" s="109"/>
      <c r="D9" s="109"/>
      <c r="E9" s="109"/>
      <c r="F9" s="109"/>
      <c r="G9" s="111"/>
      <c r="H9" s="111"/>
      <c r="I9" s="112"/>
      <c r="J9" s="112"/>
      <c r="K9" s="112"/>
      <c r="L9" s="112"/>
      <c r="M9" s="112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</row>
    <row r="10" spans="1:29" ht="12" customHeight="1">
      <c r="A10" s="108"/>
      <c r="B10" s="109"/>
      <c r="C10" s="109"/>
      <c r="D10" s="109"/>
      <c r="E10" s="109"/>
      <c r="F10" s="109"/>
      <c r="G10" s="111"/>
      <c r="H10" s="111"/>
      <c r="I10" s="112"/>
      <c r="J10" s="112"/>
      <c r="K10" s="112"/>
      <c r="L10" s="112"/>
      <c r="M10" s="112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</row>
    <row r="11" spans="1:29" ht="12" customHeight="1">
      <c r="A11" s="108"/>
      <c r="B11" s="109"/>
      <c r="C11" s="109"/>
      <c r="D11" s="109"/>
      <c r="E11" s="109"/>
      <c r="F11" s="109"/>
      <c r="G11" s="111"/>
      <c r="H11" s="111"/>
      <c r="I11" s="112"/>
      <c r="J11" s="112"/>
      <c r="K11" s="112"/>
      <c r="L11" s="112"/>
      <c r="M11" s="112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</row>
    <row r="12" spans="1:29" ht="12" customHeight="1">
      <c r="A12" s="108"/>
      <c r="B12" s="109"/>
      <c r="C12" s="109"/>
      <c r="D12" s="109"/>
      <c r="E12" s="109"/>
      <c r="F12" s="109"/>
      <c r="G12" s="111"/>
      <c r="H12" s="111"/>
      <c r="I12" s="112"/>
      <c r="J12" s="112"/>
      <c r="K12" s="112"/>
      <c r="L12" s="112"/>
      <c r="M12" s="112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</row>
    <row r="13" spans="1:29" ht="12" customHeight="1">
      <c r="A13" s="108"/>
      <c r="B13" s="109"/>
      <c r="C13" s="109"/>
      <c r="D13" s="109"/>
      <c r="E13" s="109"/>
      <c r="F13" s="109"/>
      <c r="G13" s="111"/>
      <c r="H13" s="111"/>
      <c r="I13" s="112"/>
      <c r="J13" s="112"/>
      <c r="K13" s="112"/>
      <c r="L13" s="112"/>
      <c r="M13" s="112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</row>
    <row r="14" spans="1:29" ht="12" customHeight="1">
      <c r="A14" s="108"/>
      <c r="B14" s="109"/>
      <c r="C14" s="109"/>
      <c r="D14" s="109"/>
      <c r="E14" s="109"/>
      <c r="F14" s="109"/>
      <c r="G14" s="111"/>
      <c r="H14" s="111"/>
      <c r="I14" s="112"/>
      <c r="J14" s="112"/>
      <c r="K14" s="112"/>
      <c r="L14" s="112"/>
      <c r="M14" s="112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</row>
    <row r="15" spans="1:29" ht="12" customHeight="1">
      <c r="A15" s="108"/>
      <c r="B15" s="109"/>
      <c r="C15" s="109"/>
      <c r="D15" s="109"/>
      <c r="E15" s="109"/>
      <c r="F15" s="109"/>
      <c r="G15" s="111"/>
      <c r="H15" s="111"/>
      <c r="I15" s="112"/>
      <c r="J15" s="112"/>
      <c r="K15" s="112"/>
      <c r="L15" s="112"/>
      <c r="M15" s="112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</row>
    <row r="16" spans="1:29" ht="12" customHeight="1">
      <c r="A16" s="108"/>
      <c r="B16" s="109"/>
      <c r="C16" s="109"/>
      <c r="D16" s="109"/>
      <c r="E16" s="109"/>
      <c r="F16" s="109"/>
      <c r="G16" s="111"/>
      <c r="H16" s="111"/>
      <c r="I16" s="112"/>
      <c r="J16" s="112"/>
      <c r="K16" s="112"/>
      <c r="L16" s="112"/>
      <c r="M16" s="112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</row>
    <row r="17" spans="1:29" ht="12" customHeight="1">
      <c r="A17" s="108"/>
      <c r="B17" s="109"/>
      <c r="C17" s="109"/>
      <c r="D17" s="109"/>
      <c r="E17" s="109"/>
      <c r="F17" s="109"/>
      <c r="G17" s="111"/>
      <c r="H17" s="111"/>
      <c r="I17" s="112"/>
      <c r="J17" s="112"/>
      <c r="K17" s="112"/>
      <c r="L17" s="112"/>
      <c r="M17" s="112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</row>
    <row r="18" spans="1:29" ht="12" customHeight="1">
      <c r="A18" s="108"/>
      <c r="B18" s="109"/>
      <c r="C18" s="109"/>
      <c r="D18" s="109"/>
      <c r="E18" s="109"/>
      <c r="F18" s="109"/>
      <c r="G18" s="111"/>
      <c r="H18" s="111"/>
      <c r="I18" s="112"/>
      <c r="J18" s="112"/>
      <c r="K18" s="112"/>
      <c r="L18" s="112"/>
      <c r="M18" s="112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</row>
    <row r="19" spans="1:29" ht="12" customHeight="1">
      <c r="A19" s="108"/>
      <c r="B19" s="109"/>
      <c r="C19" s="109"/>
      <c r="D19" s="109"/>
      <c r="E19" s="109"/>
      <c r="F19" s="109"/>
      <c r="G19" s="111"/>
      <c r="H19" s="111"/>
      <c r="I19" s="112"/>
      <c r="J19" s="112"/>
      <c r="K19" s="112"/>
      <c r="L19" s="112"/>
      <c r="M19" s="112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</row>
    <row r="20" spans="1:29" ht="12" customHeight="1">
      <c r="A20" s="108"/>
      <c r="B20" s="109"/>
      <c r="C20" s="109"/>
      <c r="D20" s="109"/>
      <c r="E20" s="109"/>
      <c r="F20" s="109"/>
      <c r="G20" s="111"/>
      <c r="H20" s="111"/>
      <c r="I20" s="112"/>
      <c r="J20" s="112"/>
      <c r="K20" s="112"/>
      <c r="L20" s="112"/>
      <c r="M20" s="112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</row>
    <row r="21" spans="1:29" ht="12" customHeight="1">
      <c r="A21" s="108"/>
      <c r="B21" s="109"/>
      <c r="C21" s="109"/>
      <c r="D21" s="109"/>
      <c r="E21" s="109"/>
      <c r="F21" s="109"/>
      <c r="G21" s="111"/>
      <c r="H21" s="111"/>
      <c r="I21" s="112"/>
      <c r="J21" s="112"/>
      <c r="K21" s="112"/>
      <c r="L21" s="112"/>
      <c r="M21" s="112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</row>
    <row r="22" spans="1:29" ht="12" customHeight="1">
      <c r="A22" s="108"/>
      <c r="B22" s="109"/>
      <c r="C22" s="109"/>
      <c r="D22" s="109"/>
      <c r="E22" s="109"/>
      <c r="F22" s="109"/>
      <c r="G22" s="111"/>
      <c r="H22" s="111"/>
      <c r="I22" s="112"/>
      <c r="J22" s="112"/>
      <c r="K22" s="112"/>
      <c r="L22" s="112"/>
      <c r="M22" s="112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</row>
    <row r="23" spans="1:29" ht="12" customHeight="1">
      <c r="A23" s="108"/>
      <c r="B23" s="109"/>
      <c r="C23" s="109"/>
      <c r="D23" s="109"/>
      <c r="E23" s="109"/>
      <c r="F23" s="109"/>
      <c r="G23" s="111"/>
      <c r="H23" s="111"/>
      <c r="I23" s="112"/>
      <c r="J23" s="112"/>
      <c r="K23" s="112"/>
      <c r="L23" s="112"/>
      <c r="M23" s="112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ht="12" customHeight="1">
      <c r="A24" s="108"/>
      <c r="B24" s="109"/>
      <c r="C24" s="109"/>
      <c r="D24" s="109"/>
      <c r="E24" s="109"/>
      <c r="F24" s="109"/>
      <c r="G24" s="111"/>
      <c r="H24" s="111"/>
      <c r="I24" s="112"/>
      <c r="J24" s="112"/>
      <c r="K24" s="112"/>
      <c r="L24" s="112"/>
      <c r="M24" s="112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</row>
    <row r="25" spans="1:29" ht="12" customHeight="1">
      <c r="A25" s="108"/>
      <c r="B25" s="109"/>
      <c r="C25" s="109"/>
      <c r="D25" s="109"/>
      <c r="E25" s="109"/>
      <c r="F25" s="109"/>
      <c r="G25" s="111"/>
      <c r="H25" s="111"/>
      <c r="I25" s="112"/>
      <c r="J25" s="112"/>
      <c r="K25" s="112"/>
      <c r="L25" s="112"/>
      <c r="M25" s="112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</row>
    <row r="26" spans="1:29" ht="12" customHeight="1">
      <c r="A26" s="108"/>
      <c r="B26" s="109"/>
      <c r="C26" s="109"/>
      <c r="D26" s="109"/>
      <c r="E26" s="109"/>
      <c r="F26" s="109"/>
      <c r="G26" s="111"/>
      <c r="H26" s="111"/>
      <c r="I26" s="112"/>
      <c r="J26" s="112"/>
      <c r="K26" s="112"/>
      <c r="L26" s="112"/>
      <c r="M26" s="112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</row>
    <row r="27" spans="1:29" ht="12" customHeight="1">
      <c r="A27" s="108"/>
      <c r="B27" s="109"/>
      <c r="C27" s="109"/>
      <c r="D27" s="109"/>
      <c r="E27" s="109"/>
      <c r="F27" s="109"/>
      <c r="G27" s="111"/>
      <c r="H27" s="111"/>
      <c r="I27" s="112"/>
      <c r="J27" s="112"/>
      <c r="K27" s="112"/>
      <c r="L27" s="112"/>
      <c r="M27" s="112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</row>
    <row r="28" spans="1:29" ht="12" customHeight="1">
      <c r="A28" s="108"/>
      <c r="B28" s="109"/>
      <c r="C28" s="109"/>
      <c r="D28" s="109"/>
      <c r="E28" s="109"/>
      <c r="F28" s="109"/>
      <c r="G28" s="111"/>
      <c r="H28" s="111"/>
      <c r="I28" s="112"/>
      <c r="J28" s="112"/>
      <c r="K28" s="112"/>
      <c r="L28" s="112"/>
      <c r="M28" s="112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</row>
    <row r="29" spans="1:29" ht="12" customHeight="1">
      <c r="A29" s="108"/>
      <c r="B29" s="109"/>
      <c r="C29" s="109"/>
      <c r="D29" s="109"/>
      <c r="E29" s="109"/>
      <c r="F29" s="109"/>
      <c r="G29" s="111"/>
      <c r="H29" s="111"/>
      <c r="I29" s="112"/>
      <c r="J29" s="112"/>
      <c r="K29" s="112"/>
      <c r="L29" s="112"/>
      <c r="M29" s="112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</row>
    <row r="30" spans="1:29" ht="12" customHeight="1">
      <c r="A30" s="108"/>
      <c r="B30" s="109"/>
      <c r="C30" s="109"/>
      <c r="D30" s="109"/>
      <c r="E30" s="109"/>
      <c r="F30" s="109"/>
      <c r="G30" s="111"/>
      <c r="H30" s="111"/>
      <c r="I30" s="112"/>
      <c r="J30" s="112"/>
      <c r="K30" s="112"/>
      <c r="L30" s="112"/>
      <c r="M30" s="112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</row>
    <row r="31" spans="1:29" ht="12" customHeight="1">
      <c r="A31" s="108"/>
      <c r="B31" s="109"/>
      <c r="C31" s="109"/>
      <c r="D31" s="109"/>
      <c r="E31" s="109"/>
      <c r="F31" s="109"/>
      <c r="G31" s="111"/>
      <c r="H31" s="111"/>
      <c r="I31" s="112"/>
      <c r="J31" s="112"/>
      <c r="K31" s="112"/>
      <c r="L31" s="112"/>
      <c r="M31" s="112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</row>
    <row r="32" spans="1:29" ht="12" customHeight="1">
      <c r="A32" s="108"/>
      <c r="B32" s="109"/>
      <c r="C32" s="109"/>
      <c r="D32" s="109"/>
      <c r="E32" s="109"/>
      <c r="F32" s="109"/>
      <c r="G32" s="111"/>
      <c r="H32" s="111"/>
      <c r="I32" s="112"/>
      <c r="J32" s="112"/>
      <c r="K32" s="112"/>
      <c r="L32" s="112"/>
      <c r="M32" s="112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</row>
    <row r="33" spans="1:29" ht="12" customHeight="1">
      <c r="A33" s="108"/>
      <c r="B33" s="109"/>
      <c r="C33" s="109"/>
      <c r="D33" s="109"/>
      <c r="E33" s="109"/>
      <c r="F33" s="109"/>
      <c r="G33" s="111"/>
      <c r="H33" s="111"/>
      <c r="I33" s="112"/>
      <c r="J33" s="112"/>
      <c r="K33" s="112"/>
      <c r="L33" s="112"/>
      <c r="M33" s="112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 spans="1:29" ht="12" customHeight="1">
      <c r="A34" s="108"/>
      <c r="B34" s="109"/>
      <c r="C34" s="109"/>
      <c r="D34" s="109"/>
      <c r="E34" s="109"/>
      <c r="F34" s="109"/>
      <c r="G34" s="111"/>
      <c r="H34" s="111"/>
      <c r="I34" s="112"/>
      <c r="J34" s="112"/>
      <c r="K34" s="112"/>
      <c r="L34" s="112"/>
      <c r="M34" s="112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</row>
    <row r="35" spans="1:29" ht="12" customHeight="1">
      <c r="A35" s="108"/>
      <c r="B35" s="109"/>
      <c r="C35" s="109"/>
      <c r="D35" s="109"/>
      <c r="E35" s="109"/>
      <c r="F35" s="109"/>
      <c r="G35" s="111"/>
      <c r="H35" s="111"/>
      <c r="I35" s="112"/>
      <c r="J35" s="112"/>
      <c r="K35" s="112"/>
      <c r="L35" s="112"/>
      <c r="M35" s="112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ht="12" customHeight="1">
      <c r="A36" s="108"/>
      <c r="B36" s="109"/>
      <c r="C36" s="109"/>
      <c r="D36" s="109"/>
      <c r="E36" s="109"/>
      <c r="F36" s="109"/>
      <c r="G36" s="111"/>
      <c r="H36" s="111"/>
      <c r="I36" s="112"/>
      <c r="J36" s="112"/>
      <c r="K36" s="112"/>
      <c r="L36" s="112"/>
      <c r="M36" s="112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</row>
    <row r="37" spans="1:29" ht="12" customHeight="1">
      <c r="A37" s="108"/>
      <c r="B37" s="109"/>
      <c r="C37" s="109"/>
      <c r="D37" s="109"/>
      <c r="E37" s="109"/>
      <c r="F37" s="109"/>
      <c r="G37" s="111"/>
      <c r="H37" s="111"/>
      <c r="I37" s="112"/>
      <c r="J37" s="112"/>
      <c r="K37" s="112"/>
      <c r="L37" s="112"/>
      <c r="M37" s="112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</row>
    <row r="38" spans="1:29" ht="12" customHeight="1">
      <c r="A38" s="108"/>
      <c r="B38" s="109"/>
      <c r="C38" s="109"/>
      <c r="D38" s="109"/>
      <c r="E38" s="109"/>
      <c r="F38" s="109"/>
      <c r="G38" s="111"/>
      <c r="H38" s="111"/>
      <c r="I38" s="112"/>
      <c r="J38" s="112"/>
      <c r="K38" s="112"/>
      <c r="L38" s="112"/>
      <c r="M38" s="112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</row>
    <row r="39" spans="1:29" ht="12" customHeight="1">
      <c r="A39" s="108"/>
      <c r="B39" s="109"/>
      <c r="C39" s="109"/>
      <c r="D39" s="109"/>
      <c r="E39" s="109"/>
      <c r="F39" s="109"/>
      <c r="G39" s="111"/>
      <c r="H39" s="111"/>
      <c r="I39" s="112"/>
      <c r="J39" s="112"/>
      <c r="K39" s="112"/>
      <c r="L39" s="112"/>
      <c r="M39" s="112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</row>
    <row r="40" spans="1:29" ht="12" customHeight="1">
      <c r="A40" s="108"/>
      <c r="B40" s="109"/>
      <c r="C40" s="109"/>
      <c r="D40" s="109"/>
      <c r="E40" s="109"/>
      <c r="F40" s="109"/>
      <c r="G40" s="111"/>
      <c r="H40" s="111"/>
      <c r="I40" s="112"/>
      <c r="J40" s="112"/>
      <c r="K40" s="112"/>
      <c r="L40" s="112"/>
      <c r="M40" s="112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</row>
    <row r="41" spans="1:29" ht="12" customHeight="1">
      <c r="A41" s="108"/>
      <c r="B41" s="109"/>
      <c r="C41" s="109"/>
      <c r="D41" s="109"/>
      <c r="E41" s="109"/>
      <c r="F41" s="109"/>
      <c r="G41" s="111"/>
      <c r="H41" s="111"/>
      <c r="I41" s="112"/>
      <c r="J41" s="112"/>
      <c r="K41" s="112"/>
      <c r="L41" s="112"/>
      <c r="M41" s="112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</row>
    <row r="42" spans="1:29" ht="12" customHeight="1">
      <c r="A42" s="108"/>
      <c r="B42" s="109"/>
      <c r="C42" s="109"/>
      <c r="D42" s="109"/>
      <c r="E42" s="109"/>
      <c r="F42" s="109"/>
      <c r="G42" s="111"/>
      <c r="H42" s="111"/>
      <c r="I42" s="112"/>
      <c r="J42" s="112"/>
      <c r="K42" s="112"/>
      <c r="L42" s="112"/>
      <c r="M42" s="112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</row>
    <row r="43" spans="1:29" ht="12" customHeight="1">
      <c r="A43" s="108"/>
      <c r="B43" s="109"/>
      <c r="C43" s="109"/>
      <c r="D43" s="109"/>
      <c r="E43" s="109"/>
      <c r="F43" s="109"/>
      <c r="G43" s="111"/>
      <c r="H43" s="111"/>
      <c r="I43" s="112"/>
      <c r="J43" s="112"/>
      <c r="K43" s="112"/>
      <c r="L43" s="112"/>
      <c r="M43" s="112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</row>
    <row r="44" spans="1:29" ht="12" customHeight="1">
      <c r="A44" s="108"/>
      <c r="B44" s="109"/>
      <c r="C44" s="109"/>
      <c r="D44" s="109"/>
      <c r="E44" s="109"/>
      <c r="F44" s="109"/>
      <c r="G44" s="111"/>
      <c r="H44" s="111"/>
      <c r="I44" s="112"/>
      <c r="J44" s="112"/>
      <c r="K44" s="112"/>
      <c r="L44" s="112"/>
      <c r="M44" s="112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</row>
    <row r="45" spans="1:29" ht="12" customHeight="1">
      <c r="A45" s="108"/>
      <c r="B45" s="109"/>
      <c r="C45" s="109"/>
      <c r="D45" s="109"/>
      <c r="E45" s="109"/>
      <c r="F45" s="109"/>
      <c r="G45" s="111"/>
      <c r="H45" s="111"/>
      <c r="I45" s="112"/>
      <c r="J45" s="112"/>
      <c r="K45" s="112"/>
      <c r="L45" s="112"/>
      <c r="M45" s="112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</row>
    <row r="46" spans="1:29" ht="12" customHeight="1">
      <c r="A46" s="108"/>
      <c r="B46" s="109"/>
      <c r="C46" s="109"/>
      <c r="D46" s="109"/>
      <c r="E46" s="109"/>
      <c r="F46" s="109"/>
      <c r="G46" s="111"/>
      <c r="H46" s="111"/>
      <c r="I46" s="112"/>
      <c r="J46" s="112"/>
      <c r="K46" s="112"/>
      <c r="L46" s="112"/>
      <c r="M46" s="112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</row>
    <row r="47" spans="1:29" ht="12" customHeight="1">
      <c r="A47" s="108"/>
      <c r="B47" s="109"/>
      <c r="C47" s="109"/>
      <c r="D47" s="109"/>
      <c r="E47" s="109"/>
      <c r="F47" s="109"/>
      <c r="G47" s="111"/>
      <c r="H47" s="111"/>
      <c r="I47" s="112"/>
      <c r="J47" s="112"/>
      <c r="K47" s="112"/>
      <c r="L47" s="112"/>
      <c r="M47" s="112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ht="12" customHeight="1">
      <c r="A48" s="108"/>
      <c r="B48" s="109"/>
      <c r="C48" s="109"/>
      <c r="D48" s="109"/>
      <c r="E48" s="109"/>
      <c r="F48" s="109"/>
      <c r="G48" s="111"/>
      <c r="H48" s="111"/>
      <c r="I48" s="112"/>
      <c r="J48" s="112"/>
      <c r="K48" s="112"/>
      <c r="L48" s="112"/>
      <c r="M48" s="112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</row>
    <row r="49" spans="1:29" ht="12" customHeight="1">
      <c r="A49" s="108"/>
      <c r="B49" s="109"/>
      <c r="C49" s="109"/>
      <c r="D49" s="109"/>
      <c r="E49" s="109"/>
      <c r="F49" s="109"/>
      <c r="G49" s="111"/>
      <c r="H49" s="111"/>
      <c r="I49" s="112"/>
      <c r="J49" s="112"/>
      <c r="K49" s="112"/>
      <c r="L49" s="112"/>
      <c r="M49" s="112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</row>
    <row r="50" spans="1:29" ht="12" customHeight="1">
      <c r="A50" s="108"/>
      <c r="B50" s="109"/>
      <c r="C50" s="109"/>
      <c r="D50" s="109"/>
      <c r="E50" s="109"/>
      <c r="F50" s="109"/>
      <c r="G50" s="111"/>
      <c r="H50" s="111"/>
      <c r="I50" s="112"/>
      <c r="J50" s="112"/>
      <c r="K50" s="112"/>
      <c r="L50" s="112"/>
      <c r="M50" s="112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</row>
    <row r="51" spans="1:29" ht="12" customHeight="1">
      <c r="A51" s="108"/>
      <c r="B51" s="109"/>
      <c r="C51" s="109"/>
      <c r="D51" s="109"/>
      <c r="E51" s="109"/>
      <c r="F51" s="109"/>
      <c r="G51" s="111"/>
      <c r="H51" s="111"/>
      <c r="I51" s="112"/>
      <c r="J51" s="112"/>
      <c r="K51" s="112"/>
      <c r="L51" s="112"/>
      <c r="M51" s="112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</row>
    <row r="52" spans="1:29" ht="12" customHeight="1">
      <c r="A52" s="108"/>
      <c r="B52" s="109"/>
      <c r="C52" s="109"/>
      <c r="D52" s="109"/>
      <c r="E52" s="109"/>
      <c r="F52" s="109"/>
      <c r="G52" s="111"/>
      <c r="H52" s="111"/>
      <c r="I52" s="112"/>
      <c r="J52" s="112"/>
      <c r="K52" s="112"/>
      <c r="L52" s="112"/>
      <c r="M52" s="112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</row>
    <row r="53" spans="1:29" ht="12" customHeight="1">
      <c r="A53" s="108"/>
      <c r="B53" s="109"/>
      <c r="C53" s="109"/>
      <c r="D53" s="109"/>
      <c r="E53" s="109"/>
      <c r="F53" s="109"/>
      <c r="G53" s="111"/>
      <c r="H53" s="111"/>
      <c r="I53" s="112"/>
      <c r="J53" s="112"/>
      <c r="K53" s="112"/>
      <c r="L53" s="112"/>
      <c r="M53" s="112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</row>
    <row r="54" spans="1:29" ht="12" customHeight="1">
      <c r="A54" s="108"/>
      <c r="B54" s="109"/>
      <c r="C54" s="109"/>
      <c r="D54" s="109"/>
      <c r="E54" s="109"/>
      <c r="F54" s="109"/>
      <c r="G54" s="111"/>
      <c r="H54" s="111"/>
      <c r="I54" s="112"/>
      <c r="J54" s="112"/>
      <c r="K54" s="112"/>
      <c r="L54" s="112"/>
      <c r="M54" s="112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</row>
    <row r="55" spans="1:29" ht="12" customHeight="1">
      <c r="A55" s="108"/>
      <c r="B55" s="109"/>
      <c r="C55" s="109"/>
      <c r="D55" s="109"/>
      <c r="E55" s="109"/>
      <c r="F55" s="109"/>
      <c r="G55" s="111"/>
      <c r="H55" s="111"/>
      <c r="I55" s="112"/>
      <c r="J55" s="112"/>
      <c r="K55" s="112"/>
      <c r="L55" s="112"/>
      <c r="M55" s="112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</row>
    <row r="56" spans="1:29" ht="12" customHeight="1">
      <c r="A56" s="108"/>
      <c r="B56" s="109"/>
      <c r="C56" s="109"/>
      <c r="D56" s="109"/>
      <c r="E56" s="109"/>
      <c r="F56" s="109"/>
      <c r="G56" s="111"/>
      <c r="H56" s="111"/>
      <c r="I56" s="112"/>
      <c r="J56" s="112"/>
      <c r="K56" s="112"/>
      <c r="L56" s="112"/>
      <c r="M56" s="112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</row>
    <row r="57" spans="1:29" ht="12" customHeight="1">
      <c r="A57" s="108"/>
      <c r="B57" s="109"/>
      <c r="C57" s="109"/>
      <c r="D57" s="109"/>
      <c r="E57" s="109"/>
      <c r="F57" s="109"/>
      <c r="G57" s="111"/>
      <c r="H57" s="111"/>
      <c r="I57" s="112"/>
      <c r="J57" s="112"/>
      <c r="K57" s="112"/>
      <c r="L57" s="112"/>
      <c r="M57" s="112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</row>
    <row r="58" spans="1:29" ht="12" customHeight="1">
      <c r="A58" s="108"/>
      <c r="B58" s="109"/>
      <c r="C58" s="109"/>
      <c r="D58" s="109"/>
      <c r="E58" s="109"/>
      <c r="F58" s="109"/>
      <c r="G58" s="111"/>
      <c r="H58" s="111"/>
      <c r="I58" s="112"/>
      <c r="J58" s="112"/>
      <c r="K58" s="112"/>
      <c r="L58" s="112"/>
      <c r="M58" s="112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</row>
    <row r="59" spans="1:29" ht="12" customHeight="1">
      <c r="A59" s="108"/>
      <c r="B59" s="109"/>
      <c r="C59" s="109"/>
      <c r="D59" s="109"/>
      <c r="E59" s="109"/>
      <c r="F59" s="109"/>
      <c r="G59" s="111"/>
      <c r="H59" s="111"/>
      <c r="I59" s="112"/>
      <c r="J59" s="112"/>
      <c r="K59" s="112"/>
      <c r="L59" s="112"/>
      <c r="M59" s="112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</row>
    <row r="60" spans="1:29" ht="12" customHeight="1">
      <c r="A60" s="108"/>
      <c r="B60" s="109"/>
      <c r="C60" s="109"/>
      <c r="D60" s="109"/>
      <c r="E60" s="109"/>
      <c r="F60" s="109"/>
      <c r="G60" s="111"/>
      <c r="H60" s="111"/>
      <c r="I60" s="112"/>
      <c r="J60" s="112"/>
      <c r="K60" s="112"/>
      <c r="L60" s="112"/>
      <c r="M60" s="112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</row>
    <row r="61" spans="1:29" ht="12" customHeight="1">
      <c r="A61" s="108"/>
      <c r="B61" s="109"/>
      <c r="C61" s="109"/>
      <c r="D61" s="109"/>
      <c r="E61" s="109"/>
      <c r="F61" s="109"/>
      <c r="G61" s="111"/>
      <c r="H61" s="111"/>
      <c r="I61" s="112"/>
      <c r="J61" s="112"/>
      <c r="K61" s="112"/>
      <c r="L61" s="112"/>
      <c r="M61" s="112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</row>
    <row r="62" spans="1:29" ht="12" customHeight="1">
      <c r="A62" s="108"/>
      <c r="B62" s="109"/>
      <c r="C62" s="109"/>
      <c r="D62" s="109"/>
      <c r="E62" s="109"/>
      <c r="F62" s="109"/>
      <c r="G62" s="111"/>
      <c r="H62" s="111"/>
      <c r="I62" s="112"/>
      <c r="J62" s="112"/>
      <c r="K62" s="112"/>
      <c r="L62" s="112"/>
      <c r="M62" s="112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</row>
    <row r="63" spans="1:29" ht="12" customHeight="1">
      <c r="A63" s="108"/>
      <c r="B63" s="109"/>
      <c r="C63" s="109"/>
      <c r="D63" s="109"/>
      <c r="E63" s="109"/>
      <c r="F63" s="109"/>
      <c r="G63" s="111"/>
      <c r="H63" s="111"/>
      <c r="I63" s="112"/>
      <c r="J63" s="112"/>
      <c r="K63" s="112"/>
      <c r="L63" s="112"/>
      <c r="M63" s="112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</row>
    <row r="64" spans="1:29" ht="12" customHeight="1">
      <c r="A64" s="108"/>
      <c r="B64" s="109"/>
      <c r="C64" s="109"/>
      <c r="D64" s="109"/>
      <c r="E64" s="109"/>
      <c r="F64" s="109"/>
      <c r="G64" s="111"/>
      <c r="H64" s="111"/>
      <c r="I64" s="112"/>
      <c r="J64" s="112"/>
      <c r="K64" s="112"/>
      <c r="L64" s="112"/>
      <c r="M64" s="112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</row>
    <row r="65" spans="1:29" ht="12" customHeight="1">
      <c r="A65" s="108"/>
      <c r="B65" s="109"/>
      <c r="C65" s="109"/>
      <c r="D65" s="109"/>
      <c r="E65" s="109"/>
      <c r="F65" s="109"/>
      <c r="G65" s="111"/>
      <c r="H65" s="111"/>
      <c r="I65" s="112"/>
      <c r="J65" s="112"/>
      <c r="K65" s="112"/>
      <c r="L65" s="112"/>
      <c r="M65" s="112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</row>
    <row r="66" spans="1:29" ht="12" customHeight="1">
      <c r="A66" s="108"/>
      <c r="B66" s="109"/>
      <c r="C66" s="109"/>
      <c r="D66" s="109"/>
      <c r="E66" s="109"/>
      <c r="F66" s="109"/>
      <c r="G66" s="111"/>
      <c r="H66" s="111"/>
      <c r="I66" s="112"/>
      <c r="J66" s="112"/>
      <c r="K66" s="112"/>
      <c r="L66" s="112"/>
      <c r="M66" s="112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</row>
    <row r="67" spans="1:29" ht="12" customHeight="1">
      <c r="A67" s="108"/>
      <c r="B67" s="109"/>
      <c r="C67" s="109"/>
      <c r="D67" s="109"/>
      <c r="E67" s="109"/>
      <c r="F67" s="109"/>
      <c r="G67" s="111"/>
      <c r="H67" s="111"/>
      <c r="I67" s="112"/>
      <c r="J67" s="112"/>
      <c r="K67" s="112"/>
      <c r="L67" s="112"/>
      <c r="M67" s="112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</row>
    <row r="68" spans="1:29" ht="12" customHeight="1">
      <c r="A68" s="108"/>
      <c r="B68" s="109"/>
      <c r="C68" s="109"/>
      <c r="D68" s="109"/>
      <c r="E68" s="109"/>
      <c r="F68" s="109"/>
      <c r="G68" s="111"/>
      <c r="H68" s="111"/>
      <c r="I68" s="112"/>
      <c r="J68" s="112"/>
      <c r="K68" s="112"/>
      <c r="L68" s="112"/>
      <c r="M68" s="112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</row>
    <row r="69" spans="1:29" ht="12" customHeight="1">
      <c r="A69" s="108"/>
      <c r="B69" s="109"/>
      <c r="C69" s="109"/>
      <c r="D69" s="109"/>
      <c r="E69" s="109"/>
      <c r="F69" s="109"/>
      <c r="G69" s="111"/>
      <c r="H69" s="111"/>
      <c r="I69" s="112"/>
      <c r="J69" s="112"/>
      <c r="K69" s="112"/>
      <c r="L69" s="112"/>
      <c r="M69" s="112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</row>
    <row r="70" spans="1:29" ht="12" customHeight="1">
      <c r="A70" s="108"/>
      <c r="B70" s="109"/>
      <c r="C70" s="109"/>
      <c r="D70" s="109"/>
      <c r="E70" s="109"/>
      <c r="F70" s="109"/>
      <c r="G70" s="111"/>
      <c r="H70" s="111"/>
      <c r="I70" s="112"/>
      <c r="J70" s="112"/>
      <c r="K70" s="112"/>
      <c r="L70" s="112"/>
      <c r="M70" s="112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</row>
    <row r="71" spans="1:29" ht="12" customHeight="1">
      <c r="A71" s="108"/>
      <c r="B71" s="109"/>
      <c r="C71" s="109"/>
      <c r="D71" s="109"/>
      <c r="E71" s="109"/>
      <c r="F71" s="109"/>
      <c r="G71" s="111"/>
      <c r="H71" s="111"/>
      <c r="I71" s="112"/>
      <c r="J71" s="112"/>
      <c r="K71" s="112"/>
      <c r="L71" s="112"/>
      <c r="M71" s="112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</row>
    <row r="72" spans="1:29" ht="12" customHeight="1">
      <c r="A72" s="108"/>
      <c r="B72" s="109"/>
      <c r="C72" s="109"/>
      <c r="D72" s="109"/>
      <c r="E72" s="109"/>
      <c r="F72" s="109"/>
      <c r="G72" s="111"/>
      <c r="H72" s="111"/>
      <c r="I72" s="112"/>
      <c r="J72" s="112"/>
      <c r="K72" s="112"/>
      <c r="L72" s="112"/>
      <c r="M72" s="112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</row>
    <row r="73" spans="1:29" ht="12" customHeight="1">
      <c r="A73" s="108"/>
      <c r="B73" s="109"/>
      <c r="C73" s="109"/>
      <c r="D73" s="109"/>
      <c r="E73" s="109"/>
      <c r="F73" s="109"/>
      <c r="G73" s="111"/>
      <c r="H73" s="111"/>
      <c r="I73" s="112"/>
      <c r="J73" s="112"/>
      <c r="K73" s="112"/>
      <c r="L73" s="112"/>
      <c r="M73" s="112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</row>
    <row r="74" spans="1:29" ht="12" customHeight="1">
      <c r="A74" s="108"/>
      <c r="B74" s="109"/>
      <c r="C74" s="109"/>
      <c r="D74" s="109"/>
      <c r="E74" s="109"/>
      <c r="F74" s="109"/>
      <c r="G74" s="111"/>
      <c r="H74" s="111"/>
      <c r="I74" s="112"/>
      <c r="J74" s="112"/>
      <c r="K74" s="112"/>
      <c r="L74" s="112"/>
      <c r="M74" s="112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</row>
    <row r="75" spans="1:29" ht="12" customHeight="1">
      <c r="A75" s="108"/>
      <c r="B75" s="109"/>
      <c r="C75" s="109"/>
      <c r="D75" s="109"/>
      <c r="E75" s="109"/>
      <c r="F75" s="109"/>
      <c r="G75" s="111"/>
      <c r="H75" s="111"/>
      <c r="I75" s="112"/>
      <c r="J75" s="112"/>
      <c r="K75" s="112"/>
      <c r="L75" s="112"/>
      <c r="M75" s="112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</row>
    <row r="76" spans="1:29" ht="12" customHeight="1">
      <c r="A76" s="108"/>
      <c r="B76" s="109"/>
      <c r="C76" s="109"/>
      <c r="D76" s="109"/>
      <c r="E76" s="109"/>
      <c r="F76" s="109"/>
      <c r="G76" s="111"/>
      <c r="H76" s="111"/>
      <c r="I76" s="112"/>
      <c r="J76" s="112"/>
      <c r="K76" s="112"/>
      <c r="L76" s="112"/>
      <c r="M76" s="112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</row>
    <row r="77" spans="1:29" ht="12" customHeight="1">
      <c r="A77" s="108"/>
      <c r="B77" s="109"/>
      <c r="C77" s="109"/>
      <c r="D77" s="109"/>
      <c r="E77" s="109"/>
      <c r="F77" s="109"/>
      <c r="G77" s="111"/>
      <c r="H77" s="111"/>
      <c r="I77" s="112"/>
      <c r="J77" s="112"/>
      <c r="K77" s="112"/>
      <c r="L77" s="112"/>
      <c r="M77" s="112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</row>
    <row r="78" spans="1:29" ht="12" customHeight="1">
      <c r="A78" s="108"/>
      <c r="B78" s="109"/>
      <c r="C78" s="109"/>
      <c r="D78" s="109"/>
      <c r="E78" s="109"/>
      <c r="F78" s="109"/>
      <c r="G78" s="111"/>
      <c r="H78" s="111"/>
      <c r="I78" s="112"/>
      <c r="J78" s="112"/>
      <c r="K78" s="112"/>
      <c r="L78" s="112"/>
      <c r="M78" s="112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</row>
    <row r="79" spans="1:29" ht="12" customHeight="1">
      <c r="A79" s="108"/>
      <c r="B79" s="109"/>
      <c r="C79" s="109"/>
      <c r="D79" s="109"/>
      <c r="E79" s="109"/>
      <c r="F79" s="109"/>
      <c r="G79" s="111"/>
      <c r="H79" s="111"/>
      <c r="I79" s="112"/>
      <c r="J79" s="112"/>
      <c r="K79" s="112"/>
      <c r="L79" s="112"/>
      <c r="M79" s="112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</row>
    <row r="80" spans="1:29" ht="12" customHeight="1">
      <c r="A80" s="108"/>
      <c r="B80" s="109"/>
      <c r="C80" s="109"/>
      <c r="D80" s="109"/>
      <c r="E80" s="109"/>
      <c r="F80" s="109"/>
      <c r="G80" s="111"/>
      <c r="H80" s="111"/>
      <c r="I80" s="112"/>
      <c r="J80" s="112"/>
      <c r="K80" s="112"/>
      <c r="L80" s="112"/>
      <c r="M80" s="112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</row>
    <row r="81" spans="1:29" ht="12" customHeight="1">
      <c r="A81" s="108"/>
      <c r="B81" s="109"/>
      <c r="C81" s="109"/>
      <c r="D81" s="109"/>
      <c r="E81" s="109"/>
      <c r="F81" s="109"/>
      <c r="G81" s="111"/>
      <c r="H81" s="111"/>
      <c r="I81" s="112"/>
      <c r="J81" s="112"/>
      <c r="K81" s="112"/>
      <c r="L81" s="112"/>
      <c r="M81" s="112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</row>
    <row r="82" spans="1:29" ht="12" customHeight="1">
      <c r="A82" s="108"/>
      <c r="B82" s="109"/>
      <c r="C82" s="109"/>
      <c r="D82" s="109"/>
      <c r="E82" s="109"/>
      <c r="F82" s="109"/>
      <c r="G82" s="111"/>
      <c r="H82" s="111"/>
      <c r="I82" s="112"/>
      <c r="J82" s="112"/>
      <c r="K82" s="112"/>
      <c r="L82" s="112"/>
      <c r="M82" s="112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</row>
    <row r="83" spans="1:29" ht="12" customHeight="1">
      <c r="A83" s="108"/>
      <c r="B83" s="109"/>
      <c r="C83" s="109"/>
      <c r="D83" s="109"/>
      <c r="E83" s="109"/>
      <c r="F83" s="109"/>
      <c r="G83" s="111"/>
      <c r="H83" s="111"/>
      <c r="I83" s="112"/>
      <c r="J83" s="112"/>
      <c r="K83" s="112"/>
      <c r="L83" s="112"/>
      <c r="M83" s="112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</row>
    <row r="84" spans="1:29" ht="12" customHeight="1">
      <c r="A84" s="108"/>
      <c r="B84" s="109"/>
      <c r="C84" s="109"/>
      <c r="D84" s="109"/>
      <c r="E84" s="109"/>
      <c r="F84" s="109"/>
      <c r="G84" s="111"/>
      <c r="H84" s="111"/>
      <c r="I84" s="112"/>
      <c r="J84" s="112"/>
      <c r="K84" s="112"/>
      <c r="L84" s="112"/>
      <c r="M84" s="112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</row>
    <row r="85" spans="1:29" ht="12" customHeight="1">
      <c r="A85" s="108"/>
      <c r="B85" s="109"/>
      <c r="C85" s="109"/>
      <c r="D85" s="109"/>
      <c r="E85" s="109"/>
      <c r="F85" s="109"/>
      <c r="G85" s="111"/>
      <c r="H85" s="111"/>
      <c r="I85" s="112"/>
      <c r="J85" s="112"/>
      <c r="K85" s="112"/>
      <c r="L85" s="112"/>
      <c r="M85" s="112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9" ht="12" customHeight="1">
      <c r="A86" s="108"/>
      <c r="B86" s="109"/>
      <c r="C86" s="109"/>
      <c r="D86" s="109"/>
      <c r="E86" s="109"/>
      <c r="F86" s="109"/>
      <c r="G86" s="111"/>
      <c r="H86" s="111"/>
      <c r="I86" s="112"/>
      <c r="J86" s="112"/>
      <c r="K86" s="112"/>
      <c r="L86" s="112"/>
      <c r="M86" s="112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</row>
    <row r="87" spans="1:29" ht="12" customHeight="1">
      <c r="A87" s="108"/>
      <c r="B87" s="109"/>
      <c r="C87" s="109"/>
      <c r="D87" s="109"/>
      <c r="E87" s="109"/>
      <c r="F87" s="109"/>
      <c r="G87" s="111"/>
      <c r="H87" s="111"/>
      <c r="I87" s="112"/>
      <c r="J87" s="112"/>
      <c r="K87" s="112"/>
      <c r="L87" s="112"/>
      <c r="M87" s="112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</row>
    <row r="88" spans="1:29" ht="12" customHeight="1">
      <c r="A88" s="108"/>
      <c r="B88" s="109"/>
      <c r="C88" s="109"/>
      <c r="D88" s="109"/>
      <c r="E88" s="109"/>
      <c r="F88" s="109"/>
      <c r="G88" s="111"/>
      <c r="H88" s="111"/>
      <c r="I88" s="112"/>
      <c r="J88" s="112"/>
      <c r="K88" s="112"/>
      <c r="L88" s="112"/>
      <c r="M88" s="112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</row>
    <row r="89" spans="1:29" ht="12" customHeight="1">
      <c r="A89" s="108"/>
      <c r="B89" s="109"/>
      <c r="C89" s="109"/>
      <c r="D89" s="109"/>
      <c r="E89" s="109"/>
      <c r="F89" s="109"/>
      <c r="G89" s="111"/>
      <c r="H89" s="111"/>
      <c r="I89" s="112"/>
      <c r="J89" s="112"/>
      <c r="K89" s="112"/>
      <c r="L89" s="112"/>
      <c r="M89" s="112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</row>
    <row r="90" spans="1:29" ht="12" customHeight="1">
      <c r="A90" s="108"/>
      <c r="B90" s="109"/>
      <c r="C90" s="109"/>
      <c r="D90" s="109"/>
      <c r="E90" s="109"/>
      <c r="F90" s="109"/>
      <c r="G90" s="111"/>
      <c r="H90" s="111"/>
      <c r="I90" s="112"/>
      <c r="J90" s="112"/>
      <c r="K90" s="112"/>
      <c r="L90" s="112"/>
      <c r="M90" s="112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</row>
    <row r="91" spans="1:29" ht="12" customHeight="1">
      <c r="A91" s="108"/>
      <c r="B91" s="109"/>
      <c r="C91" s="109"/>
      <c r="D91" s="109"/>
      <c r="E91" s="109"/>
      <c r="F91" s="109"/>
      <c r="G91" s="111"/>
      <c r="H91" s="111"/>
      <c r="I91" s="112"/>
      <c r="J91" s="112"/>
      <c r="K91" s="112"/>
      <c r="L91" s="112"/>
      <c r="M91" s="112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</row>
    <row r="92" spans="1:29" ht="12" customHeight="1">
      <c r="A92" s="108"/>
      <c r="B92" s="109"/>
      <c r="C92" s="109"/>
      <c r="D92" s="109"/>
      <c r="E92" s="109"/>
      <c r="F92" s="109"/>
      <c r="G92" s="111"/>
      <c r="H92" s="111"/>
      <c r="I92" s="112"/>
      <c r="J92" s="112"/>
      <c r="K92" s="112"/>
      <c r="L92" s="112"/>
      <c r="M92" s="112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</row>
    <row r="93" spans="1:29" ht="12" customHeight="1">
      <c r="A93" s="108"/>
      <c r="B93" s="109"/>
      <c r="C93" s="109"/>
      <c r="D93" s="109"/>
      <c r="E93" s="109"/>
      <c r="F93" s="109"/>
      <c r="G93" s="111"/>
      <c r="H93" s="111"/>
      <c r="I93" s="112"/>
      <c r="J93" s="112"/>
      <c r="K93" s="112"/>
      <c r="L93" s="112"/>
      <c r="M93" s="112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</row>
    <row r="94" spans="1:29" ht="12" customHeight="1">
      <c r="A94" s="108"/>
      <c r="B94" s="109"/>
      <c r="C94" s="109"/>
      <c r="D94" s="109"/>
      <c r="E94" s="109"/>
      <c r="F94" s="109"/>
      <c r="G94" s="111"/>
      <c r="H94" s="111"/>
      <c r="I94" s="112"/>
      <c r="J94" s="112"/>
      <c r="K94" s="112"/>
      <c r="L94" s="112"/>
      <c r="M94" s="112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</row>
    <row r="95" spans="1:29" ht="12" customHeight="1">
      <c r="A95" s="108"/>
      <c r="B95" s="109"/>
      <c r="C95" s="109"/>
      <c r="D95" s="109"/>
      <c r="E95" s="109"/>
      <c r="F95" s="109"/>
      <c r="G95" s="111"/>
      <c r="H95" s="111"/>
      <c r="I95" s="112"/>
      <c r="J95" s="112"/>
      <c r="K95" s="112"/>
      <c r="L95" s="112"/>
      <c r="M95" s="112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</row>
    <row r="96" spans="1:29" ht="12" customHeight="1">
      <c r="A96" s="108"/>
      <c r="B96" s="109"/>
      <c r="C96" s="109"/>
      <c r="D96" s="109"/>
      <c r="E96" s="109"/>
      <c r="F96" s="109"/>
      <c r="G96" s="111"/>
      <c r="H96" s="111"/>
      <c r="I96" s="112"/>
      <c r="J96" s="112"/>
      <c r="K96" s="112"/>
      <c r="L96" s="112"/>
      <c r="M96" s="112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</row>
    <row r="97" spans="1:29" ht="12" customHeight="1">
      <c r="A97" s="108"/>
      <c r="B97" s="109"/>
      <c r="C97" s="109"/>
      <c r="D97" s="109"/>
      <c r="E97" s="109"/>
      <c r="F97" s="109"/>
      <c r="G97" s="111"/>
      <c r="H97" s="111"/>
      <c r="I97" s="112"/>
      <c r="J97" s="112"/>
      <c r="K97" s="112"/>
      <c r="L97" s="112"/>
      <c r="M97" s="112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</row>
    <row r="98" spans="1:29" ht="12" customHeight="1">
      <c r="A98" s="108"/>
      <c r="B98" s="109"/>
      <c r="C98" s="109"/>
      <c r="D98" s="109"/>
      <c r="E98" s="109"/>
      <c r="F98" s="109"/>
      <c r="G98" s="111"/>
      <c r="H98" s="111"/>
      <c r="I98" s="112"/>
      <c r="J98" s="112"/>
      <c r="K98" s="112"/>
      <c r="L98" s="112"/>
      <c r="M98" s="112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</row>
    <row r="99" spans="1:29" ht="12" customHeight="1">
      <c r="A99" s="108"/>
      <c r="B99" s="109"/>
      <c r="C99" s="109"/>
      <c r="D99" s="109"/>
      <c r="E99" s="109"/>
      <c r="F99" s="109"/>
      <c r="G99" s="111"/>
      <c r="H99" s="111"/>
      <c r="I99" s="112"/>
      <c r="J99" s="112"/>
      <c r="K99" s="112"/>
      <c r="L99" s="112"/>
      <c r="M99" s="112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</row>
    <row r="100" spans="1:29" ht="12" customHeight="1">
      <c r="A100" s="108"/>
      <c r="B100" s="109"/>
      <c r="C100" s="109"/>
      <c r="D100" s="109"/>
      <c r="E100" s="109"/>
      <c r="F100" s="109"/>
      <c r="G100" s="111"/>
      <c r="H100" s="111"/>
      <c r="I100" s="112"/>
      <c r="J100" s="112"/>
      <c r="K100" s="112"/>
      <c r="L100" s="112"/>
      <c r="M100" s="112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</row>
    <row r="101" spans="1:29" ht="12" customHeight="1">
      <c r="A101" s="108"/>
      <c r="B101" s="109"/>
      <c r="C101" s="109"/>
      <c r="D101" s="109"/>
      <c r="E101" s="109"/>
      <c r="F101" s="109"/>
      <c r="G101" s="111"/>
      <c r="H101" s="111"/>
      <c r="I101" s="112"/>
      <c r="J101" s="112"/>
      <c r="K101" s="112"/>
      <c r="L101" s="112"/>
      <c r="M101" s="112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</row>
    <row r="102" spans="1:29" ht="12" customHeight="1">
      <c r="A102" s="108"/>
      <c r="B102" s="109"/>
      <c r="C102" s="109"/>
      <c r="D102" s="109"/>
      <c r="E102" s="109"/>
      <c r="F102" s="109"/>
      <c r="G102" s="111"/>
      <c r="H102" s="111"/>
      <c r="I102" s="112"/>
      <c r="J102" s="112"/>
      <c r="K102" s="112"/>
      <c r="L102" s="112"/>
      <c r="M102" s="112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</row>
    <row r="103" spans="1:29" ht="12" customHeight="1">
      <c r="A103" s="108"/>
      <c r="B103" s="109"/>
      <c r="C103" s="109"/>
      <c r="D103" s="109"/>
      <c r="E103" s="109"/>
      <c r="F103" s="109"/>
      <c r="G103" s="111"/>
      <c r="H103" s="111"/>
      <c r="I103" s="112"/>
      <c r="J103" s="112"/>
      <c r="K103" s="112"/>
      <c r="L103" s="112"/>
      <c r="M103" s="112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</row>
    <row r="104" spans="1:29" ht="12" customHeight="1">
      <c r="A104" s="108"/>
      <c r="B104" s="109"/>
      <c r="C104" s="109"/>
      <c r="D104" s="109"/>
      <c r="E104" s="109"/>
      <c r="F104" s="109"/>
      <c r="G104" s="111"/>
      <c r="H104" s="111"/>
      <c r="I104" s="112"/>
      <c r="J104" s="112"/>
      <c r="K104" s="112"/>
      <c r="L104" s="112"/>
      <c r="M104" s="112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</row>
    <row r="105" spans="1:29" ht="12" customHeight="1">
      <c r="A105" s="108"/>
      <c r="B105" s="109"/>
      <c r="C105" s="109"/>
      <c r="D105" s="109"/>
      <c r="E105" s="109"/>
      <c r="F105" s="109"/>
      <c r="G105" s="111"/>
      <c r="H105" s="111"/>
      <c r="I105" s="112"/>
      <c r="J105" s="112"/>
      <c r="K105" s="112"/>
      <c r="L105" s="112"/>
      <c r="M105" s="112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</row>
    <row r="106" spans="1:29" ht="12" customHeight="1">
      <c r="A106" s="108"/>
      <c r="B106" s="109"/>
      <c r="C106" s="109"/>
      <c r="D106" s="109"/>
      <c r="E106" s="109"/>
      <c r="F106" s="109"/>
      <c r="G106" s="111"/>
      <c r="H106" s="111"/>
      <c r="I106" s="112"/>
      <c r="J106" s="112"/>
      <c r="K106" s="112"/>
      <c r="L106" s="112"/>
      <c r="M106" s="112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</row>
    <row r="107" spans="1:29" ht="12" customHeight="1">
      <c r="A107" s="108"/>
      <c r="B107" s="109"/>
      <c r="C107" s="109"/>
      <c r="D107" s="109"/>
      <c r="E107" s="109"/>
      <c r="F107" s="109"/>
      <c r="G107" s="111"/>
      <c r="H107" s="111"/>
      <c r="I107" s="112"/>
      <c r="J107" s="112"/>
      <c r="K107" s="112"/>
      <c r="L107" s="112"/>
      <c r="M107" s="112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</row>
    <row r="108" spans="1:29" ht="12" customHeight="1">
      <c r="A108" s="108"/>
      <c r="B108" s="109"/>
      <c r="C108" s="109"/>
      <c r="D108" s="109"/>
      <c r="E108" s="109"/>
      <c r="F108" s="109"/>
      <c r="G108" s="111"/>
      <c r="H108" s="111"/>
      <c r="I108" s="112"/>
      <c r="J108" s="112"/>
      <c r="K108" s="112"/>
      <c r="L108" s="112"/>
      <c r="M108" s="112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</row>
    <row r="109" spans="1:29" ht="12" customHeight="1">
      <c r="A109" s="108"/>
      <c r="B109" s="109"/>
      <c r="C109" s="109"/>
      <c r="D109" s="109"/>
      <c r="E109" s="109"/>
      <c r="F109" s="109"/>
      <c r="G109" s="111"/>
      <c r="H109" s="111"/>
      <c r="I109" s="112"/>
      <c r="J109" s="112"/>
      <c r="K109" s="112"/>
      <c r="L109" s="112"/>
      <c r="M109" s="112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</row>
    <row r="110" spans="1:29" ht="12" customHeight="1">
      <c r="A110" s="108"/>
      <c r="B110" s="109"/>
      <c r="C110" s="109"/>
      <c r="D110" s="109"/>
      <c r="E110" s="109"/>
      <c r="F110" s="109"/>
      <c r="G110" s="111"/>
      <c r="H110" s="111"/>
      <c r="I110" s="112"/>
      <c r="J110" s="112"/>
      <c r="K110" s="112"/>
      <c r="L110" s="112"/>
      <c r="M110" s="112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</row>
    <row r="111" spans="1:29" ht="12" customHeight="1">
      <c r="A111" s="108"/>
      <c r="B111" s="109"/>
      <c r="C111" s="109"/>
      <c r="D111" s="109"/>
      <c r="E111" s="109"/>
      <c r="F111" s="109"/>
      <c r="G111" s="111"/>
      <c r="H111" s="111"/>
      <c r="I111" s="112"/>
      <c r="J111" s="112"/>
      <c r="K111" s="112"/>
      <c r="L111" s="112"/>
      <c r="M111" s="112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</row>
    <row r="112" spans="1:29" ht="12" customHeight="1">
      <c r="A112" s="108"/>
      <c r="B112" s="109"/>
      <c r="C112" s="109"/>
      <c r="D112" s="109"/>
      <c r="E112" s="109"/>
      <c r="F112" s="109"/>
      <c r="G112" s="111"/>
      <c r="H112" s="111"/>
      <c r="I112" s="112"/>
      <c r="J112" s="112"/>
      <c r="K112" s="112"/>
      <c r="L112" s="112"/>
      <c r="M112" s="112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</row>
    <row r="113" spans="1:29" ht="12" customHeight="1">
      <c r="A113" s="108"/>
      <c r="B113" s="109"/>
      <c r="C113" s="109"/>
      <c r="D113" s="109"/>
      <c r="E113" s="109"/>
      <c r="F113" s="109"/>
      <c r="G113" s="111"/>
      <c r="H113" s="111"/>
      <c r="I113" s="112"/>
      <c r="J113" s="112"/>
      <c r="K113" s="112"/>
      <c r="L113" s="112"/>
      <c r="M113" s="112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</row>
    <row r="114" spans="1:29" ht="12" customHeight="1">
      <c r="A114" s="108"/>
      <c r="B114" s="109"/>
      <c r="C114" s="109"/>
      <c r="D114" s="109"/>
      <c r="E114" s="109"/>
      <c r="F114" s="109"/>
      <c r="G114" s="111"/>
      <c r="H114" s="111"/>
      <c r="I114" s="112"/>
      <c r="J114" s="112"/>
      <c r="K114" s="112"/>
      <c r="L114" s="112"/>
      <c r="M114" s="112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</row>
    <row r="115" spans="1:29" ht="12" customHeight="1">
      <c r="A115" s="108"/>
      <c r="B115" s="109"/>
      <c r="C115" s="109"/>
      <c r="D115" s="109"/>
      <c r="E115" s="109"/>
      <c r="F115" s="109"/>
      <c r="G115" s="111"/>
      <c r="H115" s="111"/>
      <c r="I115" s="112"/>
      <c r="J115" s="112"/>
      <c r="K115" s="112"/>
      <c r="L115" s="112"/>
      <c r="M115" s="112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</row>
    <row r="116" spans="1:29" ht="12" customHeight="1">
      <c r="A116" s="108"/>
      <c r="B116" s="109"/>
      <c r="C116" s="109"/>
      <c r="D116" s="109"/>
      <c r="E116" s="109"/>
      <c r="F116" s="109"/>
      <c r="G116" s="111"/>
      <c r="H116" s="111"/>
      <c r="I116" s="112"/>
      <c r="J116" s="112"/>
      <c r="K116" s="112"/>
      <c r="L116" s="112"/>
      <c r="M116" s="112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</row>
    <row r="117" spans="1:29" ht="12" customHeight="1">
      <c r="A117" s="108"/>
      <c r="B117" s="109"/>
      <c r="C117" s="109"/>
      <c r="D117" s="109"/>
      <c r="E117" s="109"/>
      <c r="F117" s="109"/>
      <c r="G117" s="111"/>
      <c r="H117" s="111"/>
      <c r="I117" s="112"/>
      <c r="J117" s="112"/>
      <c r="K117" s="112"/>
      <c r="L117" s="112"/>
      <c r="M117" s="112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</row>
    <row r="118" spans="1:29" ht="12" customHeight="1">
      <c r="A118" s="108"/>
      <c r="B118" s="109"/>
      <c r="C118" s="109"/>
      <c r="D118" s="109"/>
      <c r="E118" s="109"/>
      <c r="F118" s="109"/>
      <c r="G118" s="111"/>
      <c r="H118" s="111"/>
      <c r="I118" s="112"/>
      <c r="J118" s="112"/>
      <c r="K118" s="112"/>
      <c r="L118" s="112"/>
      <c r="M118" s="112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</row>
    <row r="119" spans="1:29" ht="12" customHeight="1">
      <c r="A119" s="108"/>
      <c r="B119" s="109"/>
      <c r="C119" s="109"/>
      <c r="D119" s="109"/>
      <c r="E119" s="109"/>
      <c r="F119" s="109"/>
      <c r="G119" s="111"/>
      <c r="H119" s="111"/>
      <c r="I119" s="112"/>
      <c r="J119" s="112"/>
      <c r="K119" s="112"/>
      <c r="L119" s="112"/>
      <c r="M119" s="112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</row>
    <row r="120" spans="1:29" ht="12" customHeight="1">
      <c r="A120" s="108"/>
      <c r="B120" s="109"/>
      <c r="C120" s="109"/>
      <c r="D120" s="109"/>
      <c r="E120" s="109"/>
      <c r="F120" s="109"/>
      <c r="G120" s="111"/>
      <c r="H120" s="111"/>
      <c r="I120" s="112"/>
      <c r="J120" s="112"/>
      <c r="K120" s="112"/>
      <c r="L120" s="112"/>
      <c r="M120" s="112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</row>
    <row r="121" spans="1:29" ht="12" customHeight="1">
      <c r="A121" s="108"/>
      <c r="B121" s="109"/>
      <c r="C121" s="109"/>
      <c r="D121" s="109"/>
      <c r="E121" s="109"/>
      <c r="F121" s="109"/>
      <c r="G121" s="111"/>
      <c r="H121" s="111"/>
      <c r="I121" s="112"/>
      <c r="J121" s="112"/>
      <c r="K121" s="112"/>
      <c r="L121" s="112"/>
      <c r="M121" s="112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</row>
    <row r="122" spans="1:29" ht="12" customHeight="1">
      <c r="A122" s="108"/>
      <c r="B122" s="109"/>
      <c r="C122" s="109"/>
      <c r="D122" s="109"/>
      <c r="E122" s="109"/>
      <c r="F122" s="109"/>
      <c r="G122" s="111"/>
      <c r="H122" s="111"/>
      <c r="I122" s="112"/>
      <c r="J122" s="112"/>
      <c r="K122" s="112"/>
      <c r="L122" s="112"/>
      <c r="M122" s="112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</row>
    <row r="123" spans="1:29" ht="12" customHeight="1">
      <c r="A123" s="108"/>
      <c r="B123" s="109"/>
      <c r="C123" s="109"/>
      <c r="D123" s="109"/>
      <c r="E123" s="109"/>
      <c r="F123" s="109"/>
      <c r="G123" s="111"/>
      <c r="H123" s="111"/>
      <c r="I123" s="112"/>
      <c r="J123" s="112"/>
      <c r="K123" s="112"/>
      <c r="L123" s="112"/>
      <c r="M123" s="112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</row>
    <row r="124" spans="1:29" ht="12" customHeight="1">
      <c r="A124" s="108"/>
      <c r="B124" s="109"/>
      <c r="C124" s="109"/>
      <c r="D124" s="109"/>
      <c r="E124" s="109"/>
      <c r="F124" s="109"/>
      <c r="G124" s="111"/>
      <c r="H124" s="111"/>
      <c r="I124" s="112"/>
      <c r="J124" s="112"/>
      <c r="K124" s="112"/>
      <c r="L124" s="112"/>
      <c r="M124" s="112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</row>
    <row r="125" spans="1:29" ht="12" customHeight="1">
      <c r="A125" s="108"/>
      <c r="B125" s="109"/>
      <c r="C125" s="109"/>
      <c r="D125" s="109"/>
      <c r="E125" s="109"/>
      <c r="F125" s="109"/>
      <c r="G125" s="111"/>
      <c r="H125" s="111"/>
      <c r="I125" s="112"/>
      <c r="J125" s="112"/>
      <c r="K125" s="112"/>
      <c r="L125" s="112"/>
      <c r="M125" s="112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</row>
    <row r="126" spans="1:29" ht="12" customHeight="1">
      <c r="A126" s="108"/>
      <c r="B126" s="109"/>
      <c r="C126" s="109"/>
      <c r="D126" s="109"/>
      <c r="E126" s="109"/>
      <c r="F126" s="109"/>
      <c r="G126" s="111"/>
      <c r="H126" s="111"/>
      <c r="I126" s="112"/>
      <c r="J126" s="112"/>
      <c r="K126" s="112"/>
      <c r="L126" s="112"/>
      <c r="M126" s="112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</row>
    <row r="127" spans="1:29" ht="12" customHeight="1">
      <c r="A127" s="108"/>
      <c r="B127" s="109"/>
      <c r="C127" s="109"/>
      <c r="D127" s="109"/>
      <c r="E127" s="109"/>
      <c r="F127" s="109"/>
      <c r="G127" s="111"/>
      <c r="H127" s="111"/>
      <c r="I127" s="112"/>
      <c r="J127" s="112"/>
      <c r="K127" s="112"/>
      <c r="L127" s="112"/>
      <c r="M127" s="112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</row>
    <row r="128" spans="1:29" ht="12" customHeight="1">
      <c r="A128" s="108"/>
      <c r="B128" s="109"/>
      <c r="C128" s="109"/>
      <c r="D128" s="109"/>
      <c r="E128" s="109"/>
      <c r="F128" s="109"/>
      <c r="G128" s="111"/>
      <c r="H128" s="111"/>
      <c r="I128" s="112"/>
      <c r="J128" s="112"/>
      <c r="K128" s="112"/>
      <c r="L128" s="112"/>
      <c r="M128" s="112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</row>
    <row r="129" spans="1:29" ht="12" customHeight="1">
      <c r="A129" s="108"/>
      <c r="B129" s="109"/>
      <c r="C129" s="109"/>
      <c r="D129" s="109"/>
      <c r="E129" s="109"/>
      <c r="F129" s="109"/>
      <c r="G129" s="111"/>
      <c r="H129" s="111"/>
      <c r="I129" s="112"/>
      <c r="J129" s="112"/>
      <c r="K129" s="112"/>
      <c r="L129" s="112"/>
      <c r="M129" s="112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</row>
    <row r="130" spans="1:29" ht="12" customHeight="1">
      <c r="A130" s="108"/>
      <c r="B130" s="109"/>
      <c r="C130" s="109"/>
      <c r="D130" s="109"/>
      <c r="E130" s="109"/>
      <c r="F130" s="109"/>
      <c r="G130" s="111"/>
      <c r="H130" s="111"/>
      <c r="I130" s="112"/>
      <c r="J130" s="112"/>
      <c r="K130" s="112"/>
      <c r="L130" s="112"/>
      <c r="M130" s="112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</row>
    <row r="131" spans="1:29" ht="12" customHeight="1">
      <c r="A131" s="108"/>
      <c r="B131" s="109"/>
      <c r="C131" s="109"/>
      <c r="D131" s="109"/>
      <c r="E131" s="109"/>
      <c r="F131" s="109"/>
      <c r="G131" s="111"/>
      <c r="H131" s="111"/>
      <c r="I131" s="112"/>
      <c r="J131" s="112"/>
      <c r="K131" s="112"/>
      <c r="L131" s="112"/>
      <c r="M131" s="112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</row>
    <row r="132" spans="1:29" ht="12" customHeight="1">
      <c r="A132" s="108"/>
      <c r="B132" s="109"/>
      <c r="C132" s="109"/>
      <c r="D132" s="109"/>
      <c r="E132" s="109"/>
      <c r="F132" s="109"/>
      <c r="G132" s="111"/>
      <c r="H132" s="111"/>
      <c r="I132" s="112"/>
      <c r="J132" s="112"/>
      <c r="K132" s="112"/>
      <c r="L132" s="112"/>
      <c r="M132" s="112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</row>
    <row r="133" spans="1:29" ht="12" customHeight="1">
      <c r="A133" s="108"/>
      <c r="B133" s="109"/>
      <c r="C133" s="109"/>
      <c r="D133" s="109"/>
      <c r="E133" s="109"/>
      <c r="F133" s="109"/>
      <c r="G133" s="111"/>
      <c r="H133" s="111"/>
      <c r="I133" s="112"/>
      <c r="J133" s="112"/>
      <c r="K133" s="112"/>
      <c r="L133" s="112"/>
      <c r="M133" s="112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</row>
    <row r="134" spans="1:29" ht="12" customHeight="1">
      <c r="A134" s="108"/>
      <c r="B134" s="109"/>
      <c r="C134" s="109"/>
      <c r="D134" s="109"/>
      <c r="E134" s="109"/>
      <c r="F134" s="109"/>
      <c r="G134" s="111"/>
      <c r="H134" s="111"/>
      <c r="I134" s="112"/>
      <c r="J134" s="112"/>
      <c r="K134" s="112"/>
      <c r="L134" s="112"/>
      <c r="M134" s="112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</row>
    <row r="135" spans="1:29" ht="12" customHeight="1">
      <c r="A135" s="108"/>
      <c r="B135" s="109"/>
      <c r="C135" s="109"/>
      <c r="D135" s="109"/>
      <c r="E135" s="109"/>
      <c r="F135" s="109"/>
      <c r="G135" s="111"/>
      <c r="H135" s="111"/>
      <c r="I135" s="112"/>
      <c r="J135" s="112"/>
      <c r="K135" s="112"/>
      <c r="L135" s="112"/>
      <c r="M135" s="112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</row>
    <row r="136" spans="1:29" ht="12" customHeight="1">
      <c r="A136" s="108"/>
      <c r="B136" s="109"/>
      <c r="C136" s="109"/>
      <c r="D136" s="109"/>
      <c r="E136" s="109"/>
      <c r="F136" s="109"/>
      <c r="G136" s="111"/>
      <c r="H136" s="111"/>
      <c r="I136" s="112"/>
      <c r="J136" s="112"/>
      <c r="K136" s="112"/>
      <c r="L136" s="112"/>
      <c r="M136" s="112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</row>
    <row r="137" spans="1:29" ht="12" customHeight="1">
      <c r="A137" s="108"/>
      <c r="B137" s="109"/>
      <c r="C137" s="109"/>
      <c r="D137" s="109"/>
      <c r="E137" s="109"/>
      <c r="F137" s="109"/>
      <c r="G137" s="111"/>
      <c r="H137" s="111"/>
      <c r="I137" s="112"/>
      <c r="J137" s="112"/>
      <c r="K137" s="112"/>
      <c r="L137" s="112"/>
      <c r="M137" s="112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</row>
    <row r="138" spans="1:29" ht="12" customHeight="1">
      <c r="A138" s="108"/>
      <c r="B138" s="109"/>
      <c r="C138" s="109"/>
      <c r="D138" s="109"/>
      <c r="E138" s="109"/>
      <c r="F138" s="109"/>
      <c r="G138" s="111"/>
      <c r="H138" s="111"/>
      <c r="I138" s="112"/>
      <c r="J138" s="112"/>
      <c r="K138" s="112"/>
      <c r="L138" s="112"/>
      <c r="M138" s="112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</row>
    <row r="139" spans="1:29" ht="12" customHeight="1">
      <c r="A139" s="108"/>
      <c r="B139" s="109"/>
      <c r="C139" s="109"/>
      <c r="D139" s="109"/>
      <c r="E139" s="109"/>
      <c r="F139" s="109"/>
      <c r="G139" s="111"/>
      <c r="H139" s="111"/>
      <c r="I139" s="112"/>
      <c r="J139" s="112"/>
      <c r="K139" s="112"/>
      <c r="L139" s="112"/>
      <c r="M139" s="112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</row>
    <row r="140" spans="1:29" ht="12" customHeight="1">
      <c r="A140" s="108"/>
      <c r="B140" s="109"/>
      <c r="C140" s="109"/>
      <c r="D140" s="109"/>
      <c r="E140" s="109"/>
      <c r="F140" s="109"/>
      <c r="G140" s="111"/>
      <c r="H140" s="111"/>
      <c r="I140" s="112"/>
      <c r="J140" s="112"/>
      <c r="K140" s="112"/>
      <c r="L140" s="112"/>
      <c r="M140" s="112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</row>
    <row r="141" spans="1:29" ht="12" customHeight="1">
      <c r="A141" s="108"/>
      <c r="B141" s="109"/>
      <c r="C141" s="109"/>
      <c r="D141" s="109"/>
      <c r="E141" s="109"/>
      <c r="F141" s="109"/>
      <c r="G141" s="111"/>
      <c r="H141" s="111"/>
      <c r="I141" s="112"/>
      <c r="J141" s="112"/>
      <c r="K141" s="112"/>
      <c r="L141" s="112"/>
      <c r="M141" s="112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</row>
    <row r="142" spans="1:29" ht="12" customHeight="1">
      <c r="A142" s="108"/>
      <c r="B142" s="109"/>
      <c r="C142" s="109"/>
      <c r="D142" s="109"/>
      <c r="E142" s="109"/>
      <c r="F142" s="109"/>
      <c r="G142" s="111"/>
      <c r="H142" s="111"/>
      <c r="I142" s="112"/>
      <c r="J142" s="112"/>
      <c r="K142" s="112"/>
      <c r="L142" s="112"/>
      <c r="M142" s="112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</row>
    <row r="143" spans="1:29" ht="12" customHeight="1">
      <c r="A143" s="108"/>
      <c r="B143" s="109"/>
      <c r="C143" s="109"/>
      <c r="D143" s="109"/>
      <c r="E143" s="109"/>
      <c r="F143" s="109"/>
      <c r="G143" s="111"/>
      <c r="H143" s="111"/>
      <c r="I143" s="112"/>
      <c r="J143" s="112"/>
      <c r="K143" s="112"/>
      <c r="L143" s="112"/>
      <c r="M143" s="112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</row>
    <row r="144" spans="1:29" ht="12" customHeight="1">
      <c r="A144" s="108"/>
      <c r="B144" s="109"/>
      <c r="C144" s="109"/>
      <c r="D144" s="109"/>
      <c r="E144" s="109"/>
      <c r="F144" s="109"/>
      <c r="G144" s="111"/>
      <c r="H144" s="111"/>
      <c r="I144" s="112"/>
      <c r="J144" s="112"/>
      <c r="K144" s="112"/>
      <c r="L144" s="112"/>
      <c r="M144" s="112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</row>
    <row r="145" spans="1:29" ht="12" customHeight="1">
      <c r="A145" s="108"/>
      <c r="B145" s="109"/>
      <c r="C145" s="109"/>
      <c r="D145" s="109"/>
      <c r="E145" s="109"/>
      <c r="F145" s="109"/>
      <c r="G145" s="111"/>
      <c r="H145" s="111"/>
      <c r="I145" s="112"/>
      <c r="J145" s="112"/>
      <c r="K145" s="112"/>
      <c r="L145" s="112"/>
      <c r="M145" s="112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</row>
    <row r="146" spans="1:29" ht="12" customHeight="1">
      <c r="A146" s="108"/>
      <c r="B146" s="109"/>
      <c r="C146" s="109"/>
      <c r="D146" s="109"/>
      <c r="E146" s="109"/>
      <c r="F146" s="109"/>
      <c r="G146" s="111"/>
      <c r="H146" s="111"/>
      <c r="I146" s="112"/>
      <c r="J146" s="112"/>
      <c r="K146" s="112"/>
      <c r="L146" s="112"/>
      <c r="M146" s="112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</row>
    <row r="147" spans="1:29" ht="12" customHeight="1">
      <c r="A147" s="108"/>
      <c r="B147" s="109"/>
      <c r="C147" s="109"/>
      <c r="D147" s="109"/>
      <c r="E147" s="109"/>
      <c r="F147" s="109"/>
      <c r="G147" s="111"/>
      <c r="H147" s="111"/>
      <c r="I147" s="112"/>
      <c r="J147" s="112"/>
      <c r="K147" s="112"/>
      <c r="L147" s="112"/>
      <c r="M147" s="112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</row>
    <row r="148" spans="1:29" ht="12" customHeight="1">
      <c r="A148" s="108"/>
      <c r="B148" s="109"/>
      <c r="C148" s="109"/>
      <c r="D148" s="109"/>
      <c r="E148" s="109"/>
      <c r="F148" s="109"/>
      <c r="G148" s="111"/>
      <c r="H148" s="111"/>
      <c r="I148" s="112"/>
      <c r="J148" s="112"/>
      <c r="K148" s="112"/>
      <c r="L148" s="112"/>
      <c r="M148" s="112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</row>
    <row r="149" spans="1:29" ht="12" customHeight="1">
      <c r="A149" s="108"/>
      <c r="B149" s="109"/>
      <c r="C149" s="109"/>
      <c r="D149" s="109"/>
      <c r="E149" s="109"/>
      <c r="F149" s="109"/>
      <c r="G149" s="111"/>
      <c r="H149" s="111"/>
      <c r="I149" s="112"/>
      <c r="J149" s="112"/>
      <c r="K149" s="112"/>
      <c r="L149" s="112"/>
      <c r="M149" s="112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</row>
    <row r="150" spans="1:29" ht="12" customHeight="1">
      <c r="A150" s="108"/>
      <c r="B150" s="109"/>
      <c r="C150" s="109"/>
      <c r="D150" s="109"/>
      <c r="E150" s="109"/>
      <c r="F150" s="109"/>
      <c r="G150" s="111"/>
      <c r="H150" s="111"/>
      <c r="I150" s="112"/>
      <c r="J150" s="112"/>
      <c r="K150" s="112"/>
      <c r="L150" s="112"/>
      <c r="M150" s="112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</row>
    <row r="151" spans="1:29" ht="12" customHeight="1">
      <c r="A151" s="108"/>
      <c r="B151" s="109"/>
      <c r="C151" s="109"/>
      <c r="D151" s="109"/>
      <c r="E151" s="109"/>
      <c r="F151" s="109"/>
      <c r="G151" s="111"/>
      <c r="H151" s="111"/>
      <c r="I151" s="112"/>
      <c r="J151" s="112"/>
      <c r="K151" s="112"/>
      <c r="L151" s="112"/>
      <c r="M151" s="112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</row>
    <row r="152" spans="1:29" ht="12" customHeight="1">
      <c r="A152" s="108"/>
      <c r="B152" s="109"/>
      <c r="C152" s="109"/>
      <c r="D152" s="109"/>
      <c r="E152" s="109"/>
      <c r="F152" s="109"/>
      <c r="G152" s="111"/>
      <c r="H152" s="111"/>
      <c r="I152" s="112"/>
      <c r="J152" s="112"/>
      <c r="K152" s="112"/>
      <c r="L152" s="112"/>
      <c r="M152" s="112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</row>
    <row r="153" spans="1:29" ht="12" customHeight="1">
      <c r="A153" s="108"/>
      <c r="B153" s="109"/>
      <c r="C153" s="109"/>
      <c r="D153" s="109"/>
      <c r="E153" s="109"/>
      <c r="F153" s="109"/>
      <c r="G153" s="111"/>
      <c r="H153" s="111"/>
      <c r="I153" s="112"/>
      <c r="J153" s="112"/>
      <c r="K153" s="112"/>
      <c r="L153" s="112"/>
      <c r="M153" s="112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</row>
    <row r="154" spans="1:29" ht="12" customHeight="1">
      <c r="A154" s="108"/>
      <c r="B154" s="109"/>
      <c r="C154" s="109"/>
      <c r="D154" s="109"/>
      <c r="E154" s="109"/>
      <c r="F154" s="109"/>
      <c r="G154" s="111"/>
      <c r="H154" s="111"/>
      <c r="I154" s="112"/>
      <c r="J154" s="112"/>
      <c r="K154" s="112"/>
      <c r="L154" s="112"/>
      <c r="M154" s="112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</row>
    <row r="155" spans="1:29" ht="12" customHeight="1">
      <c r="A155" s="108"/>
      <c r="B155" s="109"/>
      <c r="C155" s="109"/>
      <c r="D155" s="109"/>
      <c r="E155" s="109"/>
      <c r="F155" s="109"/>
      <c r="G155" s="111"/>
      <c r="H155" s="111"/>
      <c r="I155" s="112"/>
      <c r="J155" s="112"/>
      <c r="K155" s="112"/>
      <c r="L155" s="112"/>
      <c r="M155" s="112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</row>
    <row r="156" spans="1:29" ht="12" customHeight="1">
      <c r="A156" s="108"/>
      <c r="B156" s="109"/>
      <c r="C156" s="109"/>
      <c r="D156" s="109"/>
      <c r="E156" s="109"/>
      <c r="F156" s="109"/>
      <c r="G156" s="111"/>
      <c r="H156" s="111"/>
      <c r="I156" s="112"/>
      <c r="J156" s="112"/>
      <c r="K156" s="112"/>
      <c r="L156" s="112"/>
      <c r="M156" s="112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</row>
    <row r="157" spans="1:29" ht="12" customHeight="1">
      <c r="A157" s="108"/>
      <c r="B157" s="109"/>
      <c r="C157" s="109"/>
      <c r="D157" s="109"/>
      <c r="E157" s="109"/>
      <c r="F157" s="109"/>
      <c r="G157" s="111"/>
      <c r="H157" s="111"/>
      <c r="I157" s="112"/>
      <c r="J157" s="112"/>
      <c r="K157" s="112"/>
      <c r="L157" s="112"/>
      <c r="M157" s="112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</row>
    <row r="158" spans="1:29" ht="12" customHeight="1">
      <c r="A158" s="108"/>
      <c r="B158" s="109"/>
      <c r="C158" s="109"/>
      <c r="D158" s="109"/>
      <c r="E158" s="109"/>
      <c r="F158" s="109"/>
      <c r="G158" s="111"/>
      <c r="H158" s="111"/>
      <c r="I158" s="112"/>
      <c r="J158" s="112"/>
      <c r="K158" s="112"/>
      <c r="L158" s="112"/>
      <c r="M158" s="112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</row>
    <row r="159" spans="1:29" ht="12" customHeight="1">
      <c r="A159" s="108"/>
      <c r="B159" s="109"/>
      <c r="C159" s="109"/>
      <c r="D159" s="109"/>
      <c r="E159" s="109"/>
      <c r="F159" s="109"/>
      <c r="G159" s="111"/>
      <c r="H159" s="111"/>
      <c r="I159" s="112"/>
      <c r="J159" s="112"/>
      <c r="K159" s="112"/>
      <c r="L159" s="112"/>
      <c r="M159" s="112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</row>
    <row r="160" spans="1:29" ht="12" customHeight="1">
      <c r="A160" s="108"/>
      <c r="B160" s="109"/>
      <c r="C160" s="109"/>
      <c r="D160" s="109"/>
      <c r="E160" s="109"/>
      <c r="F160" s="109"/>
      <c r="G160" s="111"/>
      <c r="H160" s="111"/>
      <c r="I160" s="112"/>
      <c r="J160" s="112"/>
      <c r="K160" s="112"/>
      <c r="L160" s="112"/>
      <c r="M160" s="112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</row>
    <row r="161" spans="1:29" ht="12" customHeight="1">
      <c r="A161" s="108"/>
      <c r="B161" s="109"/>
      <c r="C161" s="109"/>
      <c r="D161" s="109"/>
      <c r="E161" s="109"/>
      <c r="F161" s="109"/>
      <c r="G161" s="111"/>
      <c r="H161" s="111"/>
      <c r="I161" s="112"/>
      <c r="J161" s="112"/>
      <c r="K161" s="112"/>
      <c r="L161" s="112"/>
      <c r="M161" s="112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</row>
    <row r="162" spans="1:29" ht="12" customHeight="1">
      <c r="A162" s="108"/>
      <c r="B162" s="109"/>
      <c r="C162" s="109"/>
      <c r="D162" s="109"/>
      <c r="E162" s="109"/>
      <c r="F162" s="109"/>
      <c r="G162" s="111"/>
      <c r="H162" s="111"/>
      <c r="I162" s="112"/>
      <c r="J162" s="112"/>
      <c r="K162" s="112"/>
      <c r="L162" s="112"/>
      <c r="M162" s="112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</row>
    <row r="163" spans="1:29" ht="12" customHeight="1">
      <c r="A163" s="108"/>
      <c r="B163" s="109"/>
      <c r="C163" s="109"/>
      <c r="D163" s="109"/>
      <c r="E163" s="109"/>
      <c r="F163" s="109"/>
      <c r="G163" s="111"/>
      <c r="H163" s="111"/>
      <c r="I163" s="112"/>
      <c r="J163" s="112"/>
      <c r="K163" s="112"/>
      <c r="L163" s="112"/>
      <c r="M163" s="112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</row>
    <row r="164" spans="1:29" ht="12" customHeight="1">
      <c r="A164" s="108"/>
      <c r="B164" s="109"/>
      <c r="C164" s="109"/>
      <c r="D164" s="109"/>
      <c r="E164" s="109"/>
      <c r="F164" s="109"/>
      <c r="G164" s="111"/>
      <c r="H164" s="111"/>
      <c r="I164" s="112"/>
      <c r="J164" s="112"/>
      <c r="K164" s="112"/>
      <c r="L164" s="112"/>
      <c r="M164" s="112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</row>
    <row r="165" spans="1:29" ht="12" customHeight="1">
      <c r="A165" s="108"/>
      <c r="B165" s="109"/>
      <c r="C165" s="109"/>
      <c r="D165" s="109"/>
      <c r="E165" s="109"/>
      <c r="F165" s="109"/>
      <c r="G165" s="111"/>
      <c r="H165" s="111"/>
      <c r="I165" s="112"/>
      <c r="J165" s="112"/>
      <c r="K165" s="112"/>
      <c r="L165" s="112"/>
      <c r="M165" s="112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</row>
    <row r="166" spans="1:29" ht="12" customHeight="1">
      <c r="A166" s="108"/>
      <c r="B166" s="109"/>
      <c r="C166" s="109"/>
      <c r="D166" s="109"/>
      <c r="E166" s="109"/>
      <c r="F166" s="109"/>
      <c r="G166" s="111"/>
      <c r="H166" s="111"/>
      <c r="I166" s="112"/>
      <c r="J166" s="112"/>
      <c r="K166" s="112"/>
      <c r="L166" s="112"/>
      <c r="M166" s="112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</row>
    <row r="167" spans="1:29" ht="12" customHeight="1">
      <c r="A167" s="108"/>
      <c r="B167" s="109"/>
      <c r="C167" s="109"/>
      <c r="D167" s="109"/>
      <c r="E167" s="109"/>
      <c r="F167" s="109"/>
      <c r="G167" s="111"/>
      <c r="H167" s="111"/>
      <c r="I167" s="112"/>
      <c r="J167" s="112"/>
      <c r="K167" s="112"/>
      <c r="L167" s="112"/>
      <c r="M167" s="112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</row>
    <row r="168" spans="1:29" ht="12" customHeight="1">
      <c r="A168" s="108"/>
      <c r="B168" s="109"/>
      <c r="C168" s="109"/>
      <c r="D168" s="109"/>
      <c r="E168" s="109"/>
      <c r="F168" s="109"/>
      <c r="G168" s="111"/>
      <c r="H168" s="111"/>
      <c r="I168" s="112"/>
      <c r="J168" s="112"/>
      <c r="K168" s="112"/>
      <c r="L168" s="112"/>
      <c r="M168" s="112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</row>
    <row r="169" spans="1:29" ht="12" customHeight="1">
      <c r="A169" s="108"/>
      <c r="B169" s="109"/>
      <c r="C169" s="109"/>
      <c r="D169" s="109"/>
      <c r="E169" s="109"/>
      <c r="F169" s="109"/>
      <c r="G169" s="111"/>
      <c r="H169" s="111"/>
      <c r="I169" s="112"/>
      <c r="J169" s="112"/>
      <c r="K169" s="112"/>
      <c r="L169" s="112"/>
      <c r="M169" s="112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</row>
    <row r="170" spans="1:29" ht="12" customHeight="1">
      <c r="A170" s="108"/>
      <c r="B170" s="109"/>
      <c r="C170" s="109"/>
      <c r="D170" s="109"/>
      <c r="E170" s="109"/>
      <c r="F170" s="109"/>
      <c r="G170" s="111"/>
      <c r="H170" s="111"/>
      <c r="I170" s="112"/>
      <c r="J170" s="112"/>
      <c r="K170" s="112"/>
      <c r="L170" s="112"/>
      <c r="M170" s="112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</row>
    <row r="171" spans="1:29" ht="12" customHeight="1">
      <c r="A171" s="108"/>
      <c r="B171" s="109"/>
      <c r="C171" s="109"/>
      <c r="D171" s="109"/>
      <c r="E171" s="109"/>
      <c r="F171" s="109"/>
      <c r="G171" s="111"/>
      <c r="H171" s="111"/>
      <c r="I171" s="112"/>
      <c r="J171" s="112"/>
      <c r="K171" s="112"/>
      <c r="L171" s="112"/>
      <c r="M171" s="112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</row>
    <row r="172" spans="1:29" ht="12" customHeight="1">
      <c r="A172" s="108"/>
      <c r="B172" s="109"/>
      <c r="C172" s="109"/>
      <c r="D172" s="109"/>
      <c r="E172" s="109"/>
      <c r="F172" s="109"/>
      <c r="G172" s="111"/>
      <c r="H172" s="111"/>
      <c r="I172" s="112"/>
      <c r="J172" s="112"/>
      <c r="K172" s="112"/>
      <c r="L172" s="112"/>
      <c r="M172" s="112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</row>
    <row r="173" spans="1:29" ht="12" customHeight="1">
      <c r="A173" s="108"/>
      <c r="B173" s="109"/>
      <c r="C173" s="109"/>
      <c r="D173" s="109"/>
      <c r="E173" s="109"/>
      <c r="F173" s="109"/>
      <c r="G173" s="111"/>
      <c r="H173" s="111"/>
      <c r="I173" s="112"/>
      <c r="J173" s="112"/>
      <c r="K173" s="112"/>
      <c r="L173" s="112"/>
      <c r="M173" s="112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</row>
    <row r="174" spans="1:29" ht="12" customHeight="1">
      <c r="A174" s="108"/>
      <c r="B174" s="109"/>
      <c r="C174" s="109"/>
      <c r="D174" s="109"/>
      <c r="E174" s="109"/>
      <c r="F174" s="109"/>
      <c r="G174" s="111"/>
      <c r="H174" s="111"/>
      <c r="I174" s="112"/>
      <c r="J174" s="112"/>
      <c r="K174" s="112"/>
      <c r="L174" s="112"/>
      <c r="M174" s="112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</row>
    <row r="175" spans="1:29" ht="12" customHeight="1">
      <c r="A175" s="108"/>
      <c r="B175" s="109"/>
      <c r="C175" s="109"/>
      <c r="D175" s="109"/>
      <c r="E175" s="109"/>
      <c r="F175" s="109"/>
      <c r="G175" s="111"/>
      <c r="H175" s="111"/>
      <c r="I175" s="112"/>
      <c r="J175" s="112"/>
      <c r="K175" s="112"/>
      <c r="L175" s="112"/>
      <c r="M175" s="112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</row>
    <row r="176" spans="1:29" ht="12" customHeight="1">
      <c r="A176" s="108"/>
      <c r="B176" s="109"/>
      <c r="C176" s="109"/>
      <c r="D176" s="109"/>
      <c r="E176" s="109"/>
      <c r="F176" s="109"/>
      <c r="G176" s="111"/>
      <c r="H176" s="111"/>
      <c r="I176" s="112"/>
      <c r="J176" s="112"/>
      <c r="K176" s="112"/>
      <c r="L176" s="112"/>
      <c r="M176" s="112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</row>
    <row r="177" spans="1:29" ht="12" customHeight="1">
      <c r="A177" s="108"/>
      <c r="B177" s="109"/>
      <c r="C177" s="109"/>
      <c r="D177" s="109"/>
      <c r="E177" s="109"/>
      <c r="F177" s="109"/>
      <c r="G177" s="111"/>
      <c r="H177" s="111"/>
      <c r="I177" s="112"/>
      <c r="J177" s="112"/>
      <c r="K177" s="112"/>
      <c r="L177" s="112"/>
      <c r="M177" s="112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</row>
    <row r="178" spans="1:29" ht="12" customHeight="1">
      <c r="A178" s="108"/>
      <c r="B178" s="109"/>
      <c r="C178" s="109"/>
      <c r="D178" s="109"/>
      <c r="E178" s="109"/>
      <c r="F178" s="109"/>
      <c r="G178" s="111"/>
      <c r="H178" s="111"/>
      <c r="I178" s="112"/>
      <c r="J178" s="112"/>
      <c r="K178" s="112"/>
      <c r="L178" s="112"/>
      <c r="M178" s="112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</row>
    <row r="179" spans="1:29" ht="12" customHeight="1">
      <c r="A179" s="108"/>
      <c r="B179" s="109"/>
      <c r="C179" s="109"/>
      <c r="D179" s="109"/>
      <c r="E179" s="109"/>
      <c r="F179" s="109"/>
      <c r="G179" s="111"/>
      <c r="H179" s="111"/>
      <c r="I179" s="112"/>
      <c r="J179" s="112"/>
      <c r="K179" s="112"/>
      <c r="L179" s="112"/>
      <c r="M179" s="112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</row>
    <row r="180" spans="1:29" ht="12" customHeight="1">
      <c r="A180" s="108"/>
      <c r="B180" s="109"/>
      <c r="C180" s="109"/>
      <c r="D180" s="109"/>
      <c r="E180" s="109"/>
      <c r="F180" s="109"/>
      <c r="G180" s="111"/>
      <c r="H180" s="111"/>
      <c r="I180" s="112"/>
      <c r="J180" s="112"/>
      <c r="K180" s="112"/>
      <c r="L180" s="112"/>
      <c r="M180" s="112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</row>
    <row r="181" spans="1:29" ht="12" customHeight="1">
      <c r="A181" s="108"/>
      <c r="B181" s="109"/>
      <c r="C181" s="109"/>
      <c r="D181" s="109"/>
      <c r="E181" s="109"/>
      <c r="F181" s="109"/>
      <c r="G181" s="111"/>
      <c r="H181" s="111"/>
      <c r="I181" s="112"/>
      <c r="J181" s="112"/>
      <c r="K181" s="112"/>
      <c r="L181" s="112"/>
      <c r="M181" s="112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</row>
    <row r="182" spans="1:29" ht="12" customHeight="1">
      <c r="A182" s="108"/>
      <c r="B182" s="109"/>
      <c r="C182" s="109"/>
      <c r="D182" s="109"/>
      <c r="E182" s="109"/>
      <c r="F182" s="109"/>
      <c r="G182" s="111"/>
      <c r="H182" s="111"/>
      <c r="I182" s="112"/>
      <c r="J182" s="112"/>
      <c r="K182" s="112"/>
      <c r="L182" s="112"/>
      <c r="M182" s="112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</row>
    <row r="183" spans="1:29" ht="12" customHeight="1">
      <c r="A183" s="108"/>
      <c r="B183" s="109"/>
      <c r="C183" s="109"/>
      <c r="D183" s="109"/>
      <c r="E183" s="109"/>
      <c r="F183" s="109"/>
      <c r="G183" s="111"/>
      <c r="H183" s="111"/>
      <c r="I183" s="112"/>
      <c r="J183" s="112"/>
      <c r="K183" s="112"/>
      <c r="L183" s="112"/>
      <c r="M183" s="112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</row>
    <row r="184" spans="1:29" ht="12" customHeight="1">
      <c r="A184" s="108"/>
      <c r="B184" s="109"/>
      <c r="C184" s="109"/>
      <c r="D184" s="109"/>
      <c r="E184" s="109"/>
      <c r="F184" s="109"/>
      <c r="G184" s="111"/>
      <c r="H184" s="111"/>
      <c r="I184" s="112"/>
      <c r="J184" s="112"/>
      <c r="K184" s="112"/>
      <c r="L184" s="112"/>
      <c r="M184" s="112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</row>
    <row r="185" spans="1:29" ht="12" customHeight="1">
      <c r="A185" s="108"/>
      <c r="B185" s="109"/>
      <c r="C185" s="109"/>
      <c r="D185" s="109"/>
      <c r="E185" s="109"/>
      <c r="F185" s="109"/>
      <c r="G185" s="111"/>
      <c r="H185" s="111"/>
      <c r="I185" s="112"/>
      <c r="J185" s="112"/>
      <c r="K185" s="112"/>
      <c r="L185" s="112"/>
      <c r="M185" s="112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</row>
    <row r="186" spans="1:29" ht="12" customHeight="1">
      <c r="A186" s="108"/>
      <c r="B186" s="109"/>
      <c r="C186" s="109"/>
      <c r="D186" s="109"/>
      <c r="E186" s="109"/>
      <c r="F186" s="109"/>
      <c r="G186" s="111"/>
      <c r="H186" s="111"/>
      <c r="I186" s="112"/>
      <c r="J186" s="112"/>
      <c r="K186" s="112"/>
      <c r="L186" s="112"/>
      <c r="M186" s="112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</row>
    <row r="187" spans="1:29" ht="12" customHeight="1">
      <c r="A187" s="108"/>
      <c r="B187" s="109"/>
      <c r="C187" s="109"/>
      <c r="D187" s="109"/>
      <c r="E187" s="109"/>
      <c r="F187" s="109"/>
      <c r="G187" s="111"/>
      <c r="H187" s="111"/>
      <c r="I187" s="112"/>
      <c r="J187" s="112"/>
      <c r="K187" s="112"/>
      <c r="L187" s="112"/>
      <c r="M187" s="112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</row>
    <row r="188" spans="1:29" ht="12" customHeight="1">
      <c r="A188" s="108"/>
      <c r="B188" s="109"/>
      <c r="C188" s="109"/>
      <c r="D188" s="109"/>
      <c r="E188" s="109"/>
      <c r="F188" s="109"/>
      <c r="G188" s="111"/>
      <c r="H188" s="111"/>
      <c r="I188" s="112"/>
      <c r="J188" s="112"/>
      <c r="K188" s="112"/>
      <c r="L188" s="112"/>
      <c r="M188" s="112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</row>
    <row r="189" spans="1:29" ht="12" customHeight="1">
      <c r="A189" s="108"/>
      <c r="B189" s="109"/>
      <c r="C189" s="109"/>
      <c r="D189" s="109"/>
      <c r="E189" s="109"/>
      <c r="F189" s="109"/>
      <c r="G189" s="111"/>
      <c r="H189" s="111"/>
      <c r="I189" s="112"/>
      <c r="J189" s="112"/>
      <c r="K189" s="112"/>
      <c r="L189" s="112"/>
      <c r="M189" s="112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</row>
    <row r="190" spans="1:29" ht="12" customHeight="1">
      <c r="A190" s="108"/>
      <c r="B190" s="109"/>
      <c r="C190" s="109"/>
      <c r="D190" s="109"/>
      <c r="E190" s="109"/>
      <c r="F190" s="109"/>
      <c r="G190" s="111"/>
      <c r="H190" s="111"/>
      <c r="I190" s="112"/>
      <c r="J190" s="112"/>
      <c r="K190" s="112"/>
      <c r="L190" s="112"/>
      <c r="M190" s="112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</row>
    <row r="191" spans="1:29" ht="12" customHeight="1">
      <c r="A191" s="108"/>
      <c r="B191" s="109"/>
      <c r="C191" s="109"/>
      <c r="D191" s="109"/>
      <c r="E191" s="109"/>
      <c r="F191" s="109"/>
      <c r="G191" s="111"/>
      <c r="H191" s="111"/>
      <c r="I191" s="112"/>
      <c r="J191" s="112"/>
      <c r="K191" s="112"/>
      <c r="L191" s="112"/>
      <c r="M191" s="112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</row>
    <row r="192" spans="1:29" ht="12" customHeight="1">
      <c r="A192" s="108"/>
      <c r="B192" s="109"/>
      <c r="C192" s="109"/>
      <c r="D192" s="109"/>
      <c r="E192" s="109"/>
      <c r="F192" s="109"/>
      <c r="G192" s="111"/>
      <c r="H192" s="111"/>
      <c r="I192" s="112"/>
      <c r="J192" s="112"/>
      <c r="K192" s="112"/>
      <c r="L192" s="112"/>
      <c r="M192" s="112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</row>
    <row r="193" spans="1:29" ht="12" customHeight="1">
      <c r="A193" s="108"/>
      <c r="B193" s="109"/>
      <c r="C193" s="109"/>
      <c r="D193" s="109"/>
      <c r="E193" s="109"/>
      <c r="F193" s="109"/>
      <c r="G193" s="111"/>
      <c r="H193" s="111"/>
      <c r="I193" s="112"/>
      <c r="J193" s="112"/>
      <c r="K193" s="112"/>
      <c r="L193" s="112"/>
      <c r="M193" s="112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</row>
    <row r="194" spans="1:29" ht="12" customHeight="1">
      <c r="A194" s="108"/>
      <c r="B194" s="109"/>
      <c r="C194" s="109"/>
      <c r="D194" s="109"/>
      <c r="E194" s="109"/>
      <c r="F194" s="109"/>
      <c r="G194" s="111"/>
      <c r="H194" s="111"/>
      <c r="I194" s="112"/>
      <c r="J194" s="112"/>
      <c r="K194" s="112"/>
      <c r="L194" s="112"/>
      <c r="M194" s="112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</row>
    <row r="195" spans="1:29" ht="12" customHeight="1">
      <c r="A195" s="108"/>
      <c r="B195" s="109"/>
      <c r="C195" s="109"/>
      <c r="D195" s="109"/>
      <c r="E195" s="109"/>
      <c r="F195" s="109"/>
      <c r="G195" s="111"/>
      <c r="H195" s="111"/>
      <c r="I195" s="112"/>
      <c r="J195" s="112"/>
      <c r="K195" s="112"/>
      <c r="L195" s="112"/>
      <c r="M195" s="112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</row>
    <row r="196" spans="1:29" ht="12" customHeight="1">
      <c r="A196" s="108"/>
      <c r="B196" s="109"/>
      <c r="C196" s="109"/>
      <c r="D196" s="109"/>
      <c r="E196" s="109"/>
      <c r="F196" s="109"/>
      <c r="G196" s="111"/>
      <c r="H196" s="111"/>
      <c r="I196" s="112"/>
      <c r="J196" s="112"/>
      <c r="K196" s="112"/>
      <c r="L196" s="112"/>
      <c r="M196" s="112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</row>
    <row r="197" spans="1:29" ht="12" customHeight="1">
      <c r="A197" s="108"/>
      <c r="B197" s="109"/>
      <c r="C197" s="109"/>
      <c r="D197" s="109"/>
      <c r="E197" s="109"/>
      <c r="F197" s="109"/>
      <c r="G197" s="111"/>
      <c r="H197" s="111"/>
      <c r="I197" s="112"/>
      <c r="J197" s="112"/>
      <c r="K197" s="112"/>
      <c r="L197" s="112"/>
      <c r="M197" s="112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</row>
    <row r="198" spans="1:29" ht="12" customHeight="1">
      <c r="A198" s="108"/>
      <c r="B198" s="109"/>
      <c r="C198" s="109"/>
      <c r="D198" s="109"/>
      <c r="E198" s="109"/>
      <c r="F198" s="109"/>
      <c r="G198" s="111"/>
      <c r="H198" s="111"/>
      <c r="I198" s="112"/>
      <c r="J198" s="112"/>
      <c r="K198" s="112"/>
      <c r="L198" s="112"/>
      <c r="M198" s="112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</row>
    <row r="199" spans="1:29" ht="12" customHeight="1">
      <c r="A199" s="108"/>
      <c r="B199" s="109"/>
      <c r="C199" s="109"/>
      <c r="D199" s="109"/>
      <c r="E199" s="109"/>
      <c r="F199" s="109"/>
      <c r="G199" s="111"/>
      <c r="H199" s="111"/>
      <c r="I199" s="112"/>
      <c r="J199" s="112"/>
      <c r="K199" s="112"/>
      <c r="L199" s="112"/>
      <c r="M199" s="112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</row>
    <row r="200" spans="1:29" ht="12" customHeight="1">
      <c r="A200" s="108"/>
      <c r="B200" s="109"/>
      <c r="C200" s="109"/>
      <c r="D200" s="109"/>
      <c r="E200" s="109"/>
      <c r="F200" s="109"/>
      <c r="G200" s="111"/>
      <c r="H200" s="111"/>
      <c r="I200" s="112"/>
      <c r="J200" s="112"/>
      <c r="K200" s="112"/>
      <c r="L200" s="112"/>
      <c r="M200" s="112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</row>
    <row r="201" spans="1:29" ht="12" customHeight="1">
      <c r="A201" s="108"/>
      <c r="B201" s="109"/>
      <c r="C201" s="109"/>
      <c r="D201" s="109"/>
      <c r="E201" s="109"/>
      <c r="F201" s="109"/>
      <c r="G201" s="111"/>
      <c r="H201" s="111"/>
      <c r="I201" s="112"/>
      <c r="J201" s="112"/>
      <c r="K201" s="112"/>
      <c r="L201" s="112"/>
      <c r="M201" s="112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</row>
    <row r="202" spans="1:29" ht="12" customHeight="1">
      <c r="A202" s="108"/>
      <c r="B202" s="109"/>
      <c r="C202" s="109"/>
      <c r="D202" s="109"/>
      <c r="E202" s="109"/>
      <c r="F202" s="109"/>
      <c r="G202" s="111"/>
      <c r="H202" s="111"/>
      <c r="I202" s="112"/>
      <c r="J202" s="112"/>
      <c r="K202" s="112"/>
      <c r="L202" s="112"/>
      <c r="M202" s="112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</row>
    <row r="203" spans="1:29" ht="12" customHeight="1">
      <c r="A203" s="108"/>
      <c r="B203" s="109"/>
      <c r="C203" s="109"/>
      <c r="D203" s="109"/>
      <c r="E203" s="109"/>
      <c r="F203" s="109"/>
      <c r="G203" s="111"/>
      <c r="H203" s="111"/>
      <c r="I203" s="112"/>
      <c r="J203" s="112"/>
      <c r="K203" s="112"/>
      <c r="L203" s="112"/>
      <c r="M203" s="112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</row>
    <row r="204" spans="1:29" ht="12" customHeight="1">
      <c r="A204" s="108"/>
      <c r="B204" s="109"/>
      <c r="C204" s="109"/>
      <c r="D204" s="109"/>
      <c r="E204" s="109"/>
      <c r="F204" s="109"/>
      <c r="G204" s="111"/>
      <c r="H204" s="111"/>
      <c r="I204" s="112"/>
      <c r="J204" s="112"/>
      <c r="K204" s="112"/>
      <c r="L204" s="112"/>
      <c r="M204" s="112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</row>
    <row r="205" spans="1:29" ht="12" customHeight="1">
      <c r="A205" s="108"/>
      <c r="B205" s="109"/>
      <c r="C205" s="109"/>
      <c r="D205" s="109"/>
      <c r="E205" s="109"/>
      <c r="F205" s="109"/>
      <c r="G205" s="111"/>
      <c r="H205" s="111"/>
      <c r="I205" s="112"/>
      <c r="J205" s="112"/>
      <c r="K205" s="112"/>
      <c r="L205" s="112"/>
      <c r="M205" s="112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</row>
    <row r="206" spans="1:29" ht="12" customHeight="1">
      <c r="A206" s="108"/>
      <c r="B206" s="109"/>
      <c r="C206" s="109"/>
      <c r="D206" s="109"/>
      <c r="E206" s="109"/>
      <c r="F206" s="109"/>
      <c r="G206" s="111"/>
      <c r="H206" s="111"/>
      <c r="I206" s="112"/>
      <c r="J206" s="112"/>
      <c r="K206" s="112"/>
      <c r="L206" s="112"/>
      <c r="M206" s="112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</row>
    <row r="207" spans="1:29" ht="12" customHeight="1">
      <c r="A207" s="108"/>
      <c r="B207" s="109"/>
      <c r="C207" s="109"/>
      <c r="D207" s="109"/>
      <c r="E207" s="109"/>
      <c r="F207" s="109"/>
      <c r="G207" s="111"/>
      <c r="H207" s="111"/>
      <c r="I207" s="112"/>
      <c r="J207" s="112"/>
      <c r="K207" s="112"/>
      <c r="L207" s="112"/>
      <c r="M207" s="112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</row>
    <row r="208" spans="1:29" ht="12" customHeight="1">
      <c r="A208" s="108"/>
      <c r="B208" s="109"/>
      <c r="C208" s="109"/>
      <c r="D208" s="109"/>
      <c r="E208" s="109"/>
      <c r="F208" s="109"/>
      <c r="G208" s="111"/>
      <c r="H208" s="111"/>
      <c r="I208" s="112"/>
      <c r="J208" s="112"/>
      <c r="K208" s="112"/>
      <c r="L208" s="112"/>
      <c r="M208" s="112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</row>
    <row r="209" spans="1:29" ht="12" customHeight="1">
      <c r="A209" s="108"/>
      <c r="B209" s="109"/>
      <c r="C209" s="109"/>
      <c r="D209" s="109"/>
      <c r="E209" s="109"/>
      <c r="F209" s="109"/>
      <c r="G209" s="111"/>
      <c r="H209" s="111"/>
      <c r="I209" s="112"/>
      <c r="J209" s="112"/>
      <c r="K209" s="112"/>
      <c r="L209" s="112"/>
      <c r="M209" s="112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</row>
    <row r="210" spans="1:29" ht="12" customHeight="1">
      <c r="A210" s="108"/>
      <c r="B210" s="109"/>
      <c r="C210" s="109"/>
      <c r="D210" s="109"/>
      <c r="E210" s="109"/>
      <c r="F210" s="109"/>
      <c r="G210" s="111"/>
      <c r="H210" s="111"/>
      <c r="I210" s="112"/>
      <c r="J210" s="112"/>
      <c r="K210" s="112"/>
      <c r="L210" s="112"/>
      <c r="M210" s="112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</row>
    <row r="211" spans="1:29" ht="12" customHeight="1">
      <c r="A211" s="108"/>
      <c r="B211" s="109"/>
      <c r="C211" s="109"/>
      <c r="D211" s="109"/>
      <c r="E211" s="109"/>
      <c r="F211" s="109"/>
      <c r="G211" s="111"/>
      <c r="H211" s="111"/>
      <c r="I211" s="112"/>
      <c r="J211" s="112"/>
      <c r="K211" s="112"/>
      <c r="L211" s="112"/>
      <c r="M211" s="112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</row>
    <row r="212" spans="1:29" ht="12" customHeight="1">
      <c r="A212" s="108"/>
      <c r="B212" s="109"/>
      <c r="C212" s="109"/>
      <c r="D212" s="109"/>
      <c r="E212" s="109"/>
      <c r="F212" s="109"/>
      <c r="G212" s="111"/>
      <c r="H212" s="111"/>
      <c r="I212" s="112"/>
      <c r="J212" s="112"/>
      <c r="K212" s="112"/>
      <c r="L212" s="112"/>
      <c r="M212" s="112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</row>
    <row r="213" spans="1:29" ht="12" customHeight="1">
      <c r="A213" s="108"/>
      <c r="B213" s="109"/>
      <c r="C213" s="109"/>
      <c r="D213" s="109"/>
      <c r="E213" s="109"/>
      <c r="F213" s="109"/>
      <c r="G213" s="111"/>
      <c r="H213" s="111"/>
      <c r="I213" s="112"/>
      <c r="J213" s="112"/>
      <c r="K213" s="112"/>
      <c r="L213" s="112"/>
      <c r="M213" s="112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</row>
    <row r="214" spans="1:29" ht="12" customHeight="1">
      <c r="A214" s="108"/>
      <c r="B214" s="109"/>
      <c r="C214" s="109"/>
      <c r="D214" s="109"/>
      <c r="E214" s="109"/>
      <c r="F214" s="109"/>
      <c r="G214" s="111"/>
      <c r="H214" s="111"/>
      <c r="I214" s="112"/>
      <c r="J214" s="112"/>
      <c r="K214" s="112"/>
      <c r="L214" s="112"/>
      <c r="M214" s="112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</row>
    <row r="215" spans="1:29" ht="12" customHeight="1">
      <c r="A215" s="108"/>
      <c r="B215" s="109"/>
      <c r="C215" s="109"/>
      <c r="D215" s="109"/>
      <c r="E215" s="109"/>
      <c r="F215" s="109"/>
      <c r="G215" s="111"/>
      <c r="H215" s="111"/>
      <c r="I215" s="112"/>
      <c r="J215" s="112"/>
      <c r="K215" s="112"/>
      <c r="L215" s="112"/>
      <c r="M215" s="112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</row>
    <row r="216" spans="1:29" ht="12" customHeight="1">
      <c r="A216" s="108"/>
      <c r="B216" s="109"/>
      <c r="C216" s="109"/>
      <c r="D216" s="109"/>
      <c r="E216" s="109"/>
      <c r="F216" s="109"/>
      <c r="G216" s="111"/>
      <c r="H216" s="111"/>
      <c r="I216" s="112"/>
      <c r="J216" s="112"/>
      <c r="K216" s="112"/>
      <c r="L216" s="112"/>
      <c r="M216" s="112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</row>
    <row r="217" spans="1:29" ht="12" customHeight="1">
      <c r="A217" s="108"/>
      <c r="B217" s="109"/>
      <c r="C217" s="109"/>
      <c r="D217" s="109"/>
      <c r="E217" s="109"/>
      <c r="F217" s="109"/>
      <c r="G217" s="111"/>
      <c r="H217" s="111"/>
      <c r="I217" s="112"/>
      <c r="J217" s="112"/>
      <c r="K217" s="112"/>
      <c r="L217" s="112"/>
      <c r="M217" s="112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</row>
    <row r="218" spans="1:29" ht="12" customHeight="1">
      <c r="A218" s="108"/>
      <c r="B218" s="109"/>
      <c r="C218" s="109"/>
      <c r="D218" s="109"/>
      <c r="E218" s="109"/>
      <c r="F218" s="109"/>
      <c r="G218" s="111"/>
      <c r="H218" s="111"/>
      <c r="I218" s="112"/>
      <c r="J218" s="112"/>
      <c r="K218" s="112"/>
      <c r="L218" s="112"/>
      <c r="M218" s="112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</row>
    <row r="219" spans="1:29" ht="12" customHeight="1">
      <c r="A219" s="108"/>
      <c r="B219" s="109"/>
      <c r="C219" s="109"/>
      <c r="D219" s="109"/>
      <c r="E219" s="109"/>
      <c r="F219" s="109"/>
      <c r="G219" s="111"/>
      <c r="H219" s="111"/>
      <c r="I219" s="112"/>
      <c r="J219" s="112"/>
      <c r="K219" s="112"/>
      <c r="L219" s="112"/>
      <c r="M219" s="112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</row>
    <row r="220" spans="1:29" ht="12" customHeight="1">
      <c r="A220" s="108"/>
      <c r="B220" s="109"/>
      <c r="C220" s="109"/>
      <c r="D220" s="109"/>
      <c r="E220" s="109"/>
      <c r="F220" s="109"/>
      <c r="G220" s="111"/>
      <c r="H220" s="111"/>
      <c r="I220" s="112"/>
      <c r="J220" s="112"/>
      <c r="K220" s="112"/>
      <c r="L220" s="112"/>
      <c r="M220" s="112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</row>
    <row r="221" spans="1:29" ht="12" customHeight="1">
      <c r="A221" s="108"/>
      <c r="B221" s="109"/>
      <c r="C221" s="109"/>
      <c r="D221" s="109"/>
      <c r="E221" s="109"/>
      <c r="F221" s="109"/>
      <c r="G221" s="111"/>
      <c r="H221" s="111"/>
      <c r="I221" s="112"/>
      <c r="J221" s="112"/>
      <c r="K221" s="112"/>
      <c r="L221" s="112"/>
      <c r="M221" s="112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</row>
    <row r="222" spans="1:29" ht="12" customHeight="1">
      <c r="A222" s="108"/>
      <c r="B222" s="109"/>
      <c r="C222" s="109"/>
      <c r="D222" s="109"/>
      <c r="E222" s="109"/>
      <c r="F222" s="109"/>
      <c r="G222" s="111"/>
      <c r="H222" s="111"/>
      <c r="I222" s="112"/>
      <c r="J222" s="112"/>
      <c r="K222" s="112"/>
      <c r="L222" s="112"/>
      <c r="M222" s="112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</row>
    <row r="223" spans="1:29" ht="12" customHeight="1">
      <c r="A223" s="108"/>
      <c r="B223" s="109"/>
      <c r="C223" s="109"/>
      <c r="D223" s="109"/>
      <c r="E223" s="109"/>
      <c r="F223" s="109"/>
      <c r="G223" s="111"/>
      <c r="H223" s="111"/>
      <c r="I223" s="112"/>
      <c r="J223" s="112"/>
      <c r="K223" s="112"/>
      <c r="L223" s="112"/>
      <c r="M223" s="112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</row>
    <row r="224" spans="1:29" ht="12" customHeight="1">
      <c r="A224" s="108"/>
      <c r="B224" s="109"/>
      <c r="C224" s="109"/>
      <c r="D224" s="109"/>
      <c r="E224" s="109"/>
      <c r="F224" s="109"/>
      <c r="G224" s="111"/>
      <c r="H224" s="111"/>
      <c r="I224" s="112"/>
      <c r="J224" s="112"/>
      <c r="K224" s="112"/>
      <c r="L224" s="112"/>
      <c r="M224" s="112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</row>
    <row r="225" spans="1:29" ht="12" customHeight="1">
      <c r="A225" s="108"/>
      <c r="B225" s="109"/>
      <c r="C225" s="109"/>
      <c r="D225" s="109"/>
      <c r="E225" s="109"/>
      <c r="F225" s="109"/>
      <c r="G225" s="111"/>
      <c r="H225" s="111"/>
      <c r="I225" s="112"/>
      <c r="J225" s="112"/>
      <c r="K225" s="112"/>
      <c r="L225" s="112"/>
      <c r="M225" s="112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</row>
    <row r="226" spans="1:29" ht="12" customHeight="1">
      <c r="A226" s="108"/>
      <c r="B226" s="109"/>
      <c r="C226" s="109"/>
      <c r="D226" s="109"/>
      <c r="E226" s="109"/>
      <c r="F226" s="109"/>
      <c r="G226" s="111"/>
      <c r="H226" s="111"/>
      <c r="I226" s="112"/>
      <c r="J226" s="112"/>
      <c r="K226" s="112"/>
      <c r="L226" s="112"/>
      <c r="M226" s="112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</row>
    <row r="227" spans="1:29" ht="12" customHeight="1">
      <c r="A227" s="108"/>
      <c r="B227" s="109"/>
      <c r="C227" s="109"/>
      <c r="D227" s="109"/>
      <c r="E227" s="109"/>
      <c r="F227" s="109"/>
      <c r="G227" s="111"/>
      <c r="H227" s="111"/>
      <c r="I227" s="112"/>
      <c r="J227" s="112"/>
      <c r="K227" s="112"/>
      <c r="L227" s="112"/>
      <c r="M227" s="112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</row>
    <row r="228" spans="1:29" ht="12" customHeight="1">
      <c r="A228" s="108"/>
      <c r="B228" s="109"/>
      <c r="C228" s="109"/>
      <c r="D228" s="109"/>
      <c r="E228" s="109"/>
      <c r="F228" s="109"/>
      <c r="G228" s="111"/>
      <c r="H228" s="111"/>
      <c r="I228" s="112"/>
      <c r="J228" s="112"/>
      <c r="K228" s="112"/>
      <c r="L228" s="112"/>
      <c r="M228" s="112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</row>
    <row r="229" spans="1:29" ht="12" customHeight="1">
      <c r="A229" s="108"/>
      <c r="B229" s="109"/>
      <c r="C229" s="109"/>
      <c r="D229" s="109"/>
      <c r="E229" s="109"/>
      <c r="F229" s="109"/>
      <c r="G229" s="111"/>
      <c r="H229" s="111"/>
      <c r="I229" s="112"/>
      <c r="J229" s="112"/>
      <c r="K229" s="112"/>
      <c r="L229" s="112"/>
      <c r="M229" s="112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</row>
    <row r="230" spans="1:29" ht="12" customHeight="1">
      <c r="A230" s="108"/>
      <c r="B230" s="109"/>
      <c r="C230" s="109"/>
      <c r="D230" s="109"/>
      <c r="E230" s="109"/>
      <c r="F230" s="109"/>
      <c r="G230" s="111"/>
      <c r="H230" s="111"/>
      <c r="I230" s="112"/>
      <c r="J230" s="112"/>
      <c r="K230" s="112"/>
      <c r="L230" s="112"/>
      <c r="M230" s="112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</row>
    <row r="231" spans="1:29" ht="12" customHeight="1">
      <c r="A231" s="108"/>
      <c r="B231" s="109"/>
      <c r="C231" s="109"/>
      <c r="D231" s="109"/>
      <c r="E231" s="109"/>
      <c r="F231" s="109"/>
      <c r="G231" s="111"/>
      <c r="H231" s="111"/>
      <c r="I231" s="112"/>
      <c r="J231" s="112"/>
      <c r="K231" s="112"/>
      <c r="L231" s="112"/>
      <c r="M231" s="112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</row>
    <row r="232" spans="1:29" ht="12" customHeight="1">
      <c r="A232" s="108"/>
      <c r="B232" s="109"/>
      <c r="C232" s="109"/>
      <c r="D232" s="109"/>
      <c r="E232" s="109"/>
      <c r="F232" s="109"/>
      <c r="G232" s="111"/>
      <c r="H232" s="111"/>
      <c r="I232" s="112"/>
      <c r="J232" s="112"/>
      <c r="K232" s="112"/>
      <c r="L232" s="112"/>
      <c r="M232" s="112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</row>
    <row r="233" spans="1:29" ht="12" customHeight="1">
      <c r="A233" s="108"/>
      <c r="B233" s="109"/>
      <c r="C233" s="109"/>
      <c r="D233" s="109"/>
      <c r="E233" s="109"/>
      <c r="F233" s="109"/>
      <c r="G233" s="111"/>
      <c r="H233" s="111"/>
      <c r="I233" s="112"/>
      <c r="J233" s="112"/>
      <c r="K233" s="112"/>
      <c r="L233" s="112"/>
      <c r="M233" s="112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</row>
    <row r="234" spans="1:29" ht="12" customHeight="1">
      <c r="A234" s="108"/>
      <c r="B234" s="109"/>
      <c r="C234" s="109"/>
      <c r="D234" s="109"/>
      <c r="E234" s="109"/>
      <c r="F234" s="109"/>
      <c r="G234" s="111"/>
      <c r="H234" s="111"/>
      <c r="I234" s="112"/>
      <c r="J234" s="112"/>
      <c r="K234" s="112"/>
      <c r="L234" s="112"/>
      <c r="M234" s="112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</row>
    <row r="235" spans="1:29" ht="12" customHeight="1">
      <c r="A235" s="108"/>
      <c r="B235" s="109"/>
      <c r="C235" s="109"/>
      <c r="D235" s="109"/>
      <c r="E235" s="109"/>
      <c r="F235" s="109"/>
      <c r="G235" s="111"/>
      <c r="H235" s="111"/>
      <c r="I235" s="112"/>
      <c r="J235" s="112"/>
      <c r="K235" s="112"/>
      <c r="L235" s="112"/>
      <c r="M235" s="112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</row>
    <row r="236" spans="1:29" ht="12" customHeight="1">
      <c r="A236" s="108"/>
      <c r="B236" s="109"/>
      <c r="C236" s="109"/>
      <c r="D236" s="109"/>
      <c r="E236" s="109"/>
      <c r="F236" s="109"/>
      <c r="G236" s="111"/>
      <c r="H236" s="111"/>
      <c r="I236" s="112"/>
      <c r="J236" s="112"/>
      <c r="K236" s="112"/>
      <c r="L236" s="112"/>
      <c r="M236" s="112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</row>
    <row r="237" spans="1:29" ht="12" customHeight="1">
      <c r="A237" s="108"/>
      <c r="B237" s="109"/>
      <c r="C237" s="109"/>
      <c r="D237" s="109"/>
      <c r="E237" s="109"/>
      <c r="F237" s="109"/>
      <c r="G237" s="111"/>
      <c r="H237" s="111"/>
      <c r="I237" s="112"/>
      <c r="J237" s="112"/>
      <c r="K237" s="112"/>
      <c r="L237" s="112"/>
      <c r="M237" s="112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</row>
    <row r="238" spans="1:29" ht="12" customHeight="1">
      <c r="A238" s="108"/>
      <c r="B238" s="109"/>
      <c r="C238" s="109"/>
      <c r="D238" s="109"/>
      <c r="E238" s="109"/>
      <c r="F238" s="109"/>
      <c r="G238" s="111"/>
      <c r="H238" s="111"/>
      <c r="I238" s="112"/>
      <c r="J238" s="112"/>
      <c r="K238" s="112"/>
      <c r="L238" s="112"/>
      <c r="M238" s="112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</row>
    <row r="239" spans="1:29" ht="12" customHeight="1">
      <c r="A239" s="108"/>
      <c r="B239" s="109"/>
      <c r="C239" s="109"/>
      <c r="D239" s="109"/>
      <c r="E239" s="109"/>
      <c r="F239" s="109"/>
      <c r="G239" s="111"/>
      <c r="H239" s="111"/>
      <c r="I239" s="112"/>
      <c r="J239" s="112"/>
      <c r="K239" s="112"/>
      <c r="L239" s="112"/>
      <c r="M239" s="112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</row>
    <row r="240" spans="1:29" ht="12" customHeight="1">
      <c r="A240" s="108"/>
      <c r="B240" s="109"/>
      <c r="C240" s="109"/>
      <c r="D240" s="109"/>
      <c r="E240" s="109"/>
      <c r="F240" s="109"/>
      <c r="G240" s="111"/>
      <c r="H240" s="111"/>
      <c r="I240" s="112"/>
      <c r="J240" s="112"/>
      <c r="K240" s="112"/>
      <c r="L240" s="112"/>
      <c r="M240" s="112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</row>
    <row r="241" spans="1:29" ht="12" customHeight="1">
      <c r="A241" s="108"/>
      <c r="B241" s="109"/>
      <c r="C241" s="109"/>
      <c r="D241" s="109"/>
      <c r="E241" s="109"/>
      <c r="F241" s="109"/>
      <c r="G241" s="111"/>
      <c r="H241" s="111"/>
      <c r="I241" s="112"/>
      <c r="J241" s="112"/>
      <c r="K241" s="112"/>
      <c r="L241" s="112"/>
      <c r="M241" s="112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</row>
    <row r="242" spans="1:29" ht="12" customHeight="1">
      <c r="A242" s="108"/>
      <c r="B242" s="109"/>
      <c r="C242" s="109"/>
      <c r="D242" s="109"/>
      <c r="E242" s="109"/>
      <c r="F242" s="109"/>
      <c r="G242" s="111"/>
      <c r="H242" s="111"/>
      <c r="I242" s="112"/>
      <c r="J242" s="112"/>
      <c r="K242" s="112"/>
      <c r="L242" s="112"/>
      <c r="M242" s="112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</row>
    <row r="243" spans="1:29" ht="12" customHeight="1">
      <c r="A243" s="108"/>
      <c r="B243" s="109"/>
      <c r="C243" s="109"/>
      <c r="D243" s="109"/>
      <c r="E243" s="109"/>
      <c r="F243" s="109"/>
      <c r="G243" s="111"/>
      <c r="H243" s="111"/>
      <c r="I243" s="112"/>
      <c r="J243" s="112"/>
      <c r="K243" s="112"/>
      <c r="L243" s="112"/>
      <c r="M243" s="112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</row>
    <row r="244" spans="1:29" ht="12" customHeight="1">
      <c r="A244" s="108"/>
      <c r="B244" s="109"/>
      <c r="C244" s="109"/>
      <c r="D244" s="109"/>
      <c r="E244" s="109"/>
      <c r="F244" s="109"/>
      <c r="G244" s="111"/>
      <c r="H244" s="111"/>
      <c r="I244" s="112"/>
      <c r="J244" s="112"/>
      <c r="K244" s="112"/>
      <c r="L244" s="112"/>
      <c r="M244" s="112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</row>
    <row r="245" spans="1:29" ht="12" customHeight="1">
      <c r="A245" s="108"/>
      <c r="B245" s="109"/>
      <c r="C245" s="109"/>
      <c r="D245" s="109"/>
      <c r="E245" s="109"/>
      <c r="F245" s="109"/>
      <c r="G245" s="111"/>
      <c r="H245" s="111"/>
      <c r="I245" s="112"/>
      <c r="J245" s="112"/>
      <c r="K245" s="112"/>
      <c r="L245" s="112"/>
      <c r="M245" s="112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</row>
    <row r="246" spans="1:29" ht="12" customHeight="1">
      <c r="A246" s="108"/>
      <c r="B246" s="109"/>
      <c r="C246" s="109"/>
      <c r="D246" s="109"/>
      <c r="E246" s="109"/>
      <c r="F246" s="109"/>
      <c r="G246" s="111"/>
      <c r="H246" s="111"/>
      <c r="I246" s="112"/>
      <c r="J246" s="112"/>
      <c r="K246" s="112"/>
      <c r="L246" s="112"/>
      <c r="M246" s="112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</row>
    <row r="247" spans="1:29" ht="12" customHeight="1">
      <c r="A247" s="108"/>
      <c r="B247" s="109"/>
      <c r="C247" s="109"/>
      <c r="D247" s="109"/>
      <c r="E247" s="109"/>
      <c r="F247" s="109"/>
      <c r="G247" s="111"/>
      <c r="H247" s="111"/>
      <c r="I247" s="112"/>
      <c r="J247" s="112"/>
      <c r="K247" s="112"/>
      <c r="L247" s="112"/>
      <c r="M247" s="112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</row>
    <row r="248" spans="1:29" ht="12" customHeight="1">
      <c r="A248" s="108"/>
      <c r="B248" s="109"/>
      <c r="C248" s="109"/>
      <c r="D248" s="109"/>
      <c r="E248" s="109"/>
      <c r="F248" s="109"/>
      <c r="G248" s="111"/>
      <c r="H248" s="111"/>
      <c r="I248" s="112"/>
      <c r="J248" s="112"/>
      <c r="K248" s="112"/>
      <c r="L248" s="112"/>
      <c r="M248" s="112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</row>
    <row r="249" spans="1:29" ht="12" customHeight="1">
      <c r="A249" s="108"/>
      <c r="B249" s="109"/>
      <c r="C249" s="109"/>
      <c r="D249" s="109"/>
      <c r="E249" s="109"/>
      <c r="F249" s="109"/>
      <c r="G249" s="111"/>
      <c r="H249" s="111"/>
      <c r="I249" s="112"/>
      <c r="J249" s="112"/>
      <c r="K249" s="112"/>
      <c r="L249" s="112"/>
      <c r="M249" s="112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</row>
    <row r="250" spans="1:29" ht="12" customHeight="1">
      <c r="A250" s="108"/>
      <c r="B250" s="109"/>
      <c r="C250" s="109"/>
      <c r="D250" s="109"/>
      <c r="E250" s="109"/>
      <c r="F250" s="109"/>
      <c r="G250" s="111"/>
      <c r="H250" s="111"/>
      <c r="I250" s="112"/>
      <c r="J250" s="112"/>
      <c r="K250" s="112"/>
      <c r="L250" s="112"/>
      <c r="M250" s="112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</row>
    <row r="251" spans="1:29" ht="12" customHeight="1">
      <c r="A251" s="108"/>
      <c r="B251" s="109"/>
      <c r="C251" s="109"/>
      <c r="D251" s="109"/>
      <c r="E251" s="109"/>
      <c r="F251" s="109"/>
      <c r="G251" s="111"/>
      <c r="H251" s="111"/>
      <c r="I251" s="112"/>
      <c r="J251" s="112"/>
      <c r="K251" s="112"/>
      <c r="L251" s="112"/>
      <c r="M251" s="112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</row>
    <row r="252" spans="1:29" ht="12" customHeight="1">
      <c r="A252" s="108"/>
      <c r="B252" s="109"/>
      <c r="C252" s="109"/>
      <c r="D252" s="109"/>
      <c r="E252" s="109"/>
      <c r="F252" s="109"/>
      <c r="G252" s="111"/>
      <c r="H252" s="111"/>
      <c r="I252" s="112"/>
      <c r="J252" s="112"/>
      <c r="K252" s="112"/>
      <c r="L252" s="112"/>
      <c r="M252" s="112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</row>
    <row r="253" spans="1:29" ht="12" customHeight="1">
      <c r="A253" s="108"/>
      <c r="B253" s="109"/>
      <c r="C253" s="109"/>
      <c r="D253" s="109"/>
      <c r="E253" s="109"/>
      <c r="F253" s="109"/>
      <c r="G253" s="111"/>
      <c r="H253" s="111"/>
      <c r="I253" s="112"/>
      <c r="J253" s="112"/>
      <c r="K253" s="112"/>
      <c r="L253" s="112"/>
      <c r="M253" s="112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</row>
    <row r="254" spans="1:29" ht="12" customHeight="1">
      <c r="A254" s="108"/>
      <c r="B254" s="109"/>
      <c r="C254" s="109"/>
      <c r="D254" s="109"/>
      <c r="E254" s="109"/>
      <c r="F254" s="109"/>
      <c r="G254" s="111"/>
      <c r="H254" s="111"/>
      <c r="I254" s="112"/>
      <c r="J254" s="112"/>
      <c r="K254" s="112"/>
      <c r="L254" s="112"/>
      <c r="M254" s="112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</row>
    <row r="255" spans="1:29" ht="12" customHeight="1">
      <c r="A255" s="108"/>
      <c r="B255" s="109"/>
      <c r="C255" s="109"/>
      <c r="D255" s="109"/>
      <c r="E255" s="109"/>
      <c r="F255" s="109"/>
      <c r="G255" s="111"/>
      <c r="H255" s="111"/>
      <c r="I255" s="112"/>
      <c r="J255" s="112"/>
      <c r="K255" s="112"/>
      <c r="L255" s="112"/>
      <c r="M255" s="112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</row>
    <row r="256" spans="1:29" ht="12" customHeight="1">
      <c r="A256" s="108"/>
      <c r="B256" s="109"/>
      <c r="C256" s="109"/>
      <c r="D256" s="109"/>
      <c r="E256" s="109"/>
      <c r="F256" s="109"/>
      <c r="G256" s="111"/>
      <c r="H256" s="111"/>
      <c r="I256" s="112"/>
      <c r="J256" s="112"/>
      <c r="K256" s="112"/>
      <c r="L256" s="112"/>
      <c r="M256" s="112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</row>
    <row r="257" spans="1:29" ht="12" customHeight="1">
      <c r="A257" s="108"/>
      <c r="B257" s="109"/>
      <c r="C257" s="109"/>
      <c r="D257" s="109"/>
      <c r="E257" s="109"/>
      <c r="F257" s="109"/>
      <c r="G257" s="111"/>
      <c r="H257" s="111"/>
      <c r="I257" s="112"/>
      <c r="J257" s="112"/>
      <c r="K257" s="112"/>
      <c r="L257" s="112"/>
      <c r="M257" s="112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</row>
    <row r="258" spans="1:29" ht="12" customHeight="1">
      <c r="A258" s="108"/>
      <c r="B258" s="109"/>
      <c r="C258" s="109"/>
      <c r="D258" s="109"/>
      <c r="E258" s="109"/>
      <c r="F258" s="109"/>
      <c r="G258" s="111"/>
      <c r="H258" s="111"/>
      <c r="I258" s="112"/>
      <c r="J258" s="112"/>
      <c r="K258" s="112"/>
      <c r="L258" s="112"/>
      <c r="M258" s="112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</row>
    <row r="259" spans="1:29" ht="12" customHeight="1">
      <c r="A259" s="108"/>
      <c r="B259" s="109"/>
      <c r="C259" s="109"/>
      <c r="D259" s="109"/>
      <c r="E259" s="109"/>
      <c r="F259" s="109"/>
      <c r="G259" s="111"/>
      <c r="H259" s="111"/>
      <c r="I259" s="112"/>
      <c r="J259" s="112"/>
      <c r="K259" s="112"/>
      <c r="L259" s="112"/>
      <c r="M259" s="112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</row>
    <row r="260" spans="1:29" ht="12" customHeight="1">
      <c r="A260" s="108"/>
      <c r="B260" s="109"/>
      <c r="C260" s="109"/>
      <c r="D260" s="109"/>
      <c r="E260" s="109"/>
      <c r="F260" s="109"/>
      <c r="G260" s="111"/>
      <c r="H260" s="111"/>
      <c r="I260" s="112"/>
      <c r="J260" s="112"/>
      <c r="K260" s="112"/>
      <c r="L260" s="112"/>
      <c r="M260" s="112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</row>
    <row r="261" spans="1:29" ht="12" customHeight="1">
      <c r="A261" s="108"/>
      <c r="B261" s="109"/>
      <c r="C261" s="109"/>
      <c r="D261" s="109"/>
      <c r="E261" s="109"/>
      <c r="F261" s="109"/>
      <c r="G261" s="111"/>
      <c r="H261" s="111"/>
      <c r="I261" s="112"/>
      <c r="J261" s="112"/>
      <c r="K261" s="112"/>
      <c r="L261" s="112"/>
      <c r="M261" s="112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</row>
    <row r="262" spans="1:29" ht="12" customHeight="1">
      <c r="A262" s="108"/>
      <c r="B262" s="109"/>
      <c r="C262" s="109"/>
      <c r="D262" s="109"/>
      <c r="E262" s="109"/>
      <c r="F262" s="109"/>
      <c r="G262" s="111"/>
      <c r="H262" s="111"/>
      <c r="I262" s="112"/>
      <c r="J262" s="112"/>
      <c r="K262" s="112"/>
      <c r="L262" s="112"/>
      <c r="M262" s="112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</row>
    <row r="263" spans="1:29" ht="12" customHeight="1">
      <c r="A263" s="108"/>
      <c r="B263" s="109"/>
      <c r="C263" s="109"/>
      <c r="D263" s="109"/>
      <c r="E263" s="109"/>
      <c r="F263" s="109"/>
      <c r="G263" s="111"/>
      <c r="H263" s="111"/>
      <c r="I263" s="112"/>
      <c r="J263" s="112"/>
      <c r="K263" s="112"/>
      <c r="L263" s="112"/>
      <c r="M263" s="112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</row>
    <row r="264" spans="1:29" ht="12" customHeight="1">
      <c r="A264" s="108"/>
      <c r="B264" s="109"/>
      <c r="C264" s="109"/>
      <c r="D264" s="109"/>
      <c r="E264" s="109"/>
      <c r="F264" s="109"/>
      <c r="G264" s="111"/>
      <c r="H264" s="111"/>
      <c r="I264" s="112"/>
      <c r="J264" s="112"/>
      <c r="K264" s="112"/>
      <c r="L264" s="112"/>
      <c r="M264" s="112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</row>
    <row r="265" spans="1:29" ht="12" customHeight="1">
      <c r="A265" s="108"/>
      <c r="B265" s="109"/>
      <c r="C265" s="109"/>
      <c r="D265" s="109"/>
      <c r="E265" s="109"/>
      <c r="F265" s="109"/>
      <c r="G265" s="111"/>
      <c r="H265" s="111"/>
      <c r="I265" s="112"/>
      <c r="J265" s="112"/>
      <c r="K265" s="112"/>
      <c r="L265" s="112"/>
      <c r="M265" s="112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</row>
    <row r="266" spans="1:29" ht="12" customHeight="1">
      <c r="A266" s="108"/>
      <c r="B266" s="109"/>
      <c r="C266" s="109"/>
      <c r="D266" s="109"/>
      <c r="E266" s="109"/>
      <c r="F266" s="109"/>
      <c r="G266" s="111"/>
      <c r="H266" s="111"/>
      <c r="I266" s="112"/>
      <c r="J266" s="112"/>
      <c r="K266" s="112"/>
      <c r="L266" s="112"/>
      <c r="M266" s="112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</row>
    <row r="267" spans="1:29" ht="12" customHeight="1">
      <c r="A267" s="108"/>
      <c r="B267" s="109"/>
      <c r="C267" s="109"/>
      <c r="D267" s="109"/>
      <c r="E267" s="109"/>
      <c r="F267" s="109"/>
      <c r="G267" s="111"/>
      <c r="H267" s="111"/>
      <c r="I267" s="112"/>
      <c r="J267" s="112"/>
      <c r="K267" s="112"/>
      <c r="L267" s="112"/>
      <c r="M267" s="112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</row>
    <row r="268" spans="1:29" ht="12" customHeight="1">
      <c r="A268" s="108"/>
      <c r="B268" s="109"/>
      <c r="C268" s="109"/>
      <c r="D268" s="109"/>
      <c r="E268" s="109"/>
      <c r="F268" s="109"/>
      <c r="G268" s="111"/>
      <c r="H268" s="111"/>
      <c r="I268" s="112"/>
      <c r="J268" s="112"/>
      <c r="K268" s="112"/>
      <c r="L268" s="112"/>
      <c r="M268" s="112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</row>
    <row r="269" spans="1:29" ht="12" customHeight="1">
      <c r="A269" s="108"/>
      <c r="B269" s="109"/>
      <c r="C269" s="109"/>
      <c r="D269" s="109"/>
      <c r="E269" s="109"/>
      <c r="F269" s="109"/>
      <c r="G269" s="111"/>
      <c r="H269" s="111"/>
      <c r="I269" s="112"/>
      <c r="J269" s="112"/>
      <c r="K269" s="112"/>
      <c r="L269" s="112"/>
      <c r="M269" s="112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</row>
    <row r="270" spans="1:29" ht="12" customHeight="1">
      <c r="A270" s="108"/>
      <c r="B270" s="109"/>
      <c r="C270" s="109"/>
      <c r="D270" s="109"/>
      <c r="E270" s="109"/>
      <c r="F270" s="109"/>
      <c r="G270" s="111"/>
      <c r="H270" s="111"/>
      <c r="I270" s="112"/>
      <c r="J270" s="112"/>
      <c r="K270" s="112"/>
      <c r="L270" s="112"/>
      <c r="M270" s="112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</row>
    <row r="271" spans="1:29" ht="12" customHeight="1">
      <c r="A271" s="108"/>
      <c r="B271" s="109"/>
      <c r="C271" s="109"/>
      <c r="D271" s="109"/>
      <c r="E271" s="109"/>
      <c r="F271" s="109"/>
      <c r="G271" s="111"/>
      <c r="H271" s="111"/>
      <c r="I271" s="112"/>
      <c r="J271" s="112"/>
      <c r="K271" s="112"/>
      <c r="L271" s="112"/>
      <c r="M271" s="112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</row>
    <row r="272" spans="1:29" ht="12" customHeight="1">
      <c r="A272" s="108"/>
      <c r="B272" s="109"/>
      <c r="C272" s="109"/>
      <c r="D272" s="109"/>
      <c r="E272" s="109"/>
      <c r="F272" s="109"/>
      <c r="G272" s="111"/>
      <c r="H272" s="111"/>
      <c r="I272" s="112"/>
      <c r="J272" s="112"/>
      <c r="K272" s="112"/>
      <c r="L272" s="112"/>
      <c r="M272" s="112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</row>
    <row r="273" spans="1:29" ht="12" customHeight="1">
      <c r="A273" s="108"/>
      <c r="B273" s="109"/>
      <c r="C273" s="109"/>
      <c r="D273" s="109"/>
      <c r="E273" s="109"/>
      <c r="F273" s="109"/>
      <c r="G273" s="111"/>
      <c r="H273" s="111"/>
      <c r="I273" s="112"/>
      <c r="J273" s="112"/>
      <c r="K273" s="112"/>
      <c r="L273" s="112"/>
      <c r="M273" s="112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</row>
    <row r="274" spans="1:29" ht="12" customHeight="1">
      <c r="A274" s="108"/>
      <c r="B274" s="109"/>
      <c r="C274" s="109"/>
      <c r="D274" s="109"/>
      <c r="E274" s="109"/>
      <c r="F274" s="109"/>
      <c r="G274" s="111"/>
      <c r="H274" s="111"/>
      <c r="I274" s="112"/>
      <c r="J274" s="112"/>
      <c r="K274" s="112"/>
      <c r="L274" s="112"/>
      <c r="M274" s="112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</row>
    <row r="275" spans="1:29" ht="12" customHeight="1">
      <c r="A275" s="108"/>
      <c r="B275" s="109"/>
      <c r="C275" s="109"/>
      <c r="D275" s="109"/>
      <c r="E275" s="109"/>
      <c r="F275" s="109"/>
      <c r="G275" s="111"/>
      <c r="H275" s="111"/>
      <c r="I275" s="112"/>
      <c r="J275" s="112"/>
      <c r="K275" s="112"/>
      <c r="L275" s="112"/>
      <c r="M275" s="112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</row>
    <row r="276" spans="1:29" ht="12" customHeight="1">
      <c r="A276" s="108"/>
      <c r="B276" s="109"/>
      <c r="C276" s="109"/>
      <c r="D276" s="109"/>
      <c r="E276" s="109"/>
      <c r="F276" s="109"/>
      <c r="G276" s="111"/>
      <c r="H276" s="111"/>
      <c r="I276" s="112"/>
      <c r="J276" s="112"/>
      <c r="K276" s="112"/>
      <c r="L276" s="112"/>
      <c r="M276" s="112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</row>
    <row r="277" spans="1:29" ht="12" customHeight="1">
      <c r="A277" s="108"/>
      <c r="B277" s="109"/>
      <c r="C277" s="109"/>
      <c r="D277" s="109"/>
      <c r="E277" s="109"/>
      <c r="F277" s="109"/>
      <c r="G277" s="111"/>
      <c r="H277" s="111"/>
      <c r="I277" s="112"/>
      <c r="J277" s="112"/>
      <c r="K277" s="112"/>
      <c r="L277" s="112"/>
      <c r="M277" s="112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</row>
    <row r="278" spans="1:29" ht="12" customHeight="1">
      <c r="A278" s="108"/>
      <c r="B278" s="109"/>
      <c r="C278" s="109"/>
      <c r="D278" s="109"/>
      <c r="E278" s="109"/>
      <c r="F278" s="109"/>
      <c r="G278" s="111"/>
      <c r="H278" s="111"/>
      <c r="I278" s="112"/>
      <c r="J278" s="112"/>
      <c r="K278" s="112"/>
      <c r="L278" s="112"/>
      <c r="M278" s="112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</row>
    <row r="279" spans="1:29" ht="12" customHeight="1">
      <c r="A279" s="108"/>
      <c r="B279" s="109"/>
      <c r="C279" s="109"/>
      <c r="D279" s="109"/>
      <c r="E279" s="109"/>
      <c r="F279" s="109"/>
      <c r="G279" s="111"/>
      <c r="H279" s="111"/>
      <c r="I279" s="112"/>
      <c r="J279" s="112"/>
      <c r="K279" s="112"/>
      <c r="L279" s="112"/>
      <c r="M279" s="112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</row>
    <row r="280" spans="1:29" ht="12" customHeight="1">
      <c r="A280" s="108"/>
      <c r="B280" s="109"/>
      <c r="C280" s="109"/>
      <c r="D280" s="109"/>
      <c r="E280" s="109"/>
      <c r="F280" s="109"/>
      <c r="G280" s="111"/>
      <c r="H280" s="111"/>
      <c r="I280" s="112"/>
      <c r="J280" s="112"/>
      <c r="K280" s="112"/>
      <c r="L280" s="112"/>
      <c r="M280" s="112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</row>
    <row r="281" spans="1:29" ht="12" customHeight="1">
      <c r="A281" s="108"/>
      <c r="B281" s="109"/>
      <c r="C281" s="109"/>
      <c r="D281" s="109"/>
      <c r="E281" s="109"/>
      <c r="F281" s="109"/>
      <c r="G281" s="111"/>
      <c r="H281" s="111"/>
      <c r="I281" s="112"/>
      <c r="J281" s="112"/>
      <c r="K281" s="112"/>
      <c r="L281" s="112"/>
      <c r="M281" s="112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</row>
    <row r="282" spans="1:29" ht="12" customHeight="1">
      <c r="A282" s="108"/>
      <c r="B282" s="109"/>
      <c r="C282" s="109"/>
      <c r="D282" s="109"/>
      <c r="E282" s="109"/>
      <c r="F282" s="109"/>
      <c r="G282" s="111"/>
      <c r="H282" s="111"/>
      <c r="I282" s="112"/>
      <c r="J282" s="112"/>
      <c r="K282" s="112"/>
      <c r="L282" s="112"/>
      <c r="M282" s="112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</row>
    <row r="283" spans="1:29" ht="12" customHeight="1">
      <c r="A283" s="108"/>
      <c r="B283" s="109"/>
      <c r="C283" s="109"/>
      <c r="D283" s="109"/>
      <c r="E283" s="109"/>
      <c r="F283" s="109"/>
      <c r="G283" s="111"/>
      <c r="H283" s="111"/>
      <c r="I283" s="112"/>
      <c r="J283" s="112"/>
      <c r="K283" s="112"/>
      <c r="L283" s="112"/>
      <c r="M283" s="112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</row>
    <row r="284" spans="1:29" ht="12" customHeight="1">
      <c r="A284" s="108"/>
      <c r="B284" s="109"/>
      <c r="C284" s="109"/>
      <c r="D284" s="109"/>
      <c r="E284" s="109"/>
      <c r="F284" s="109"/>
      <c r="G284" s="111"/>
      <c r="H284" s="111"/>
      <c r="I284" s="112"/>
      <c r="J284" s="112"/>
      <c r="K284" s="112"/>
      <c r="L284" s="112"/>
      <c r="M284" s="112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</row>
    <row r="285" spans="1:29" ht="12" customHeight="1">
      <c r="A285" s="108"/>
      <c r="B285" s="109"/>
      <c r="C285" s="109"/>
      <c r="D285" s="109"/>
      <c r="E285" s="109"/>
      <c r="F285" s="109"/>
      <c r="G285" s="111"/>
      <c r="H285" s="111"/>
      <c r="I285" s="112"/>
      <c r="J285" s="112"/>
      <c r="K285" s="112"/>
      <c r="L285" s="112"/>
      <c r="M285" s="112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</row>
    <row r="286" spans="1:29" ht="12" customHeight="1">
      <c r="A286" s="108"/>
      <c r="B286" s="109"/>
      <c r="C286" s="109"/>
      <c r="D286" s="109"/>
      <c r="E286" s="109"/>
      <c r="F286" s="109"/>
      <c r="G286" s="111"/>
      <c r="H286" s="111"/>
      <c r="I286" s="112"/>
      <c r="J286" s="112"/>
      <c r="K286" s="112"/>
      <c r="L286" s="112"/>
      <c r="M286" s="112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</row>
    <row r="287" spans="1:29" ht="12" customHeight="1">
      <c r="A287" s="108"/>
      <c r="B287" s="109"/>
      <c r="C287" s="109"/>
      <c r="D287" s="109"/>
      <c r="E287" s="109"/>
      <c r="F287" s="109"/>
      <c r="G287" s="111"/>
      <c r="H287" s="111"/>
      <c r="I287" s="112"/>
      <c r="J287" s="112"/>
      <c r="K287" s="112"/>
      <c r="L287" s="112"/>
      <c r="M287" s="112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</row>
    <row r="288" spans="1:29" ht="12" customHeight="1">
      <c r="A288" s="108"/>
      <c r="B288" s="109"/>
      <c r="C288" s="109"/>
      <c r="D288" s="109"/>
      <c r="E288" s="109"/>
      <c r="F288" s="109"/>
      <c r="G288" s="111"/>
      <c r="H288" s="111"/>
      <c r="I288" s="112"/>
      <c r="J288" s="112"/>
      <c r="K288" s="112"/>
      <c r="L288" s="112"/>
      <c r="M288" s="112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</row>
    <row r="289" spans="1:29" ht="12" customHeight="1">
      <c r="A289" s="108"/>
      <c r="B289" s="109"/>
      <c r="C289" s="109"/>
      <c r="D289" s="109"/>
      <c r="E289" s="109"/>
      <c r="F289" s="109"/>
      <c r="G289" s="111"/>
      <c r="H289" s="111"/>
      <c r="I289" s="112"/>
      <c r="J289" s="112"/>
      <c r="K289" s="112"/>
      <c r="L289" s="112"/>
      <c r="M289" s="112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</row>
    <row r="290" spans="1:29" ht="12" customHeight="1">
      <c r="A290" s="108"/>
      <c r="B290" s="109"/>
      <c r="C290" s="109"/>
      <c r="D290" s="109"/>
      <c r="E290" s="109"/>
      <c r="F290" s="109"/>
      <c r="G290" s="111"/>
      <c r="H290" s="111"/>
      <c r="I290" s="112"/>
      <c r="J290" s="112"/>
      <c r="K290" s="112"/>
      <c r="L290" s="112"/>
      <c r="M290" s="112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</row>
    <row r="291" spans="1:29" ht="12" customHeight="1">
      <c r="A291" s="108"/>
      <c r="B291" s="109"/>
      <c r="C291" s="109"/>
      <c r="D291" s="109"/>
      <c r="E291" s="109"/>
      <c r="F291" s="109"/>
      <c r="G291" s="111"/>
      <c r="H291" s="111"/>
      <c r="I291" s="112"/>
      <c r="J291" s="112"/>
      <c r="K291" s="112"/>
      <c r="L291" s="112"/>
      <c r="M291" s="112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</row>
    <row r="292" spans="1:29" ht="12" customHeight="1">
      <c r="A292" s="108"/>
      <c r="B292" s="109"/>
      <c r="C292" s="109"/>
      <c r="D292" s="109"/>
      <c r="E292" s="109"/>
      <c r="F292" s="109"/>
      <c r="G292" s="111"/>
      <c r="H292" s="111"/>
      <c r="I292" s="112"/>
      <c r="J292" s="112"/>
      <c r="K292" s="112"/>
      <c r="L292" s="112"/>
      <c r="M292" s="112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</row>
    <row r="293" spans="1:29" ht="12" customHeight="1">
      <c r="A293" s="108"/>
      <c r="B293" s="109"/>
      <c r="C293" s="109"/>
      <c r="D293" s="109"/>
      <c r="E293" s="109"/>
      <c r="F293" s="109"/>
      <c r="G293" s="111"/>
      <c r="H293" s="111"/>
      <c r="I293" s="112"/>
      <c r="J293" s="112"/>
      <c r="K293" s="112"/>
      <c r="L293" s="112"/>
      <c r="M293" s="112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</row>
    <row r="294" spans="1:29" ht="12" customHeight="1">
      <c r="A294" s="108"/>
      <c r="B294" s="109"/>
      <c r="C294" s="109"/>
      <c r="D294" s="109"/>
      <c r="E294" s="109"/>
      <c r="F294" s="109"/>
      <c r="G294" s="111"/>
      <c r="H294" s="111"/>
      <c r="I294" s="112"/>
      <c r="J294" s="112"/>
      <c r="K294" s="112"/>
      <c r="L294" s="112"/>
      <c r="M294" s="112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</row>
    <row r="295" spans="1:29" ht="12" customHeight="1">
      <c r="A295" s="108"/>
      <c r="B295" s="109"/>
      <c r="C295" s="109"/>
      <c r="D295" s="109"/>
      <c r="E295" s="109"/>
      <c r="F295" s="109"/>
      <c r="G295" s="111"/>
      <c r="H295" s="111"/>
      <c r="I295" s="112"/>
      <c r="J295" s="112"/>
      <c r="K295" s="112"/>
      <c r="L295" s="112"/>
      <c r="M295" s="112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</row>
    <row r="296" spans="1:29" ht="12" customHeight="1">
      <c r="A296" s="108"/>
      <c r="B296" s="109"/>
      <c r="C296" s="109"/>
      <c r="D296" s="109"/>
      <c r="E296" s="109"/>
      <c r="F296" s="109"/>
      <c r="G296" s="111"/>
      <c r="H296" s="111"/>
      <c r="I296" s="112"/>
      <c r="J296" s="112"/>
      <c r="K296" s="112"/>
      <c r="L296" s="112"/>
      <c r="M296" s="112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</row>
    <row r="297" spans="1:29" ht="12" customHeight="1">
      <c r="A297" s="108"/>
      <c r="B297" s="109"/>
      <c r="C297" s="109"/>
      <c r="D297" s="109"/>
      <c r="E297" s="109"/>
      <c r="F297" s="109"/>
      <c r="G297" s="111"/>
      <c r="H297" s="111"/>
      <c r="I297" s="112"/>
      <c r="J297" s="112"/>
      <c r="K297" s="112"/>
      <c r="L297" s="112"/>
      <c r="M297" s="112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</row>
    <row r="298" spans="1:29" ht="12" customHeight="1">
      <c r="A298" s="108"/>
      <c r="B298" s="109"/>
      <c r="C298" s="109"/>
      <c r="D298" s="109"/>
      <c r="E298" s="109"/>
      <c r="F298" s="109"/>
      <c r="G298" s="111"/>
      <c r="H298" s="111"/>
      <c r="I298" s="112"/>
      <c r="J298" s="112"/>
      <c r="K298" s="112"/>
      <c r="L298" s="112"/>
      <c r="M298" s="112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</row>
    <row r="299" spans="1:29" ht="12" customHeight="1">
      <c r="A299" s="108"/>
      <c r="B299" s="109"/>
      <c r="C299" s="109"/>
      <c r="D299" s="109"/>
      <c r="E299" s="109"/>
      <c r="F299" s="109"/>
      <c r="G299" s="111"/>
      <c r="H299" s="111"/>
      <c r="I299" s="112"/>
      <c r="J299" s="112"/>
      <c r="K299" s="112"/>
      <c r="L299" s="112"/>
      <c r="M299" s="112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</row>
    <row r="300" spans="1:29" ht="12" customHeight="1">
      <c r="A300" s="108"/>
      <c r="B300" s="109"/>
      <c r="C300" s="109"/>
      <c r="D300" s="109"/>
      <c r="E300" s="109"/>
      <c r="F300" s="109"/>
      <c r="G300" s="111"/>
      <c r="H300" s="111"/>
      <c r="I300" s="112"/>
      <c r="J300" s="112"/>
      <c r="K300" s="112"/>
      <c r="L300" s="112"/>
      <c r="M300" s="112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</row>
    <row r="301" spans="1:29" ht="12" customHeight="1">
      <c r="A301" s="108"/>
      <c r="B301" s="109"/>
      <c r="C301" s="109"/>
      <c r="D301" s="109"/>
      <c r="E301" s="109"/>
      <c r="F301" s="109"/>
      <c r="G301" s="111"/>
      <c r="H301" s="111"/>
      <c r="I301" s="112"/>
      <c r="J301" s="112"/>
      <c r="K301" s="112"/>
      <c r="L301" s="112"/>
      <c r="M301" s="112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</row>
    <row r="302" spans="1:29" ht="12" customHeight="1">
      <c r="A302" s="108"/>
      <c r="B302" s="109"/>
      <c r="C302" s="109"/>
      <c r="D302" s="109"/>
      <c r="E302" s="109"/>
      <c r="F302" s="109"/>
      <c r="G302" s="111"/>
      <c r="H302" s="111"/>
      <c r="I302" s="112"/>
      <c r="J302" s="112"/>
      <c r="K302" s="112"/>
      <c r="L302" s="112"/>
      <c r="M302" s="112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</row>
    <row r="303" spans="1:29" ht="12" customHeight="1">
      <c r="A303" s="108"/>
      <c r="B303" s="109"/>
      <c r="C303" s="109"/>
      <c r="D303" s="109"/>
      <c r="E303" s="109"/>
      <c r="F303" s="109"/>
      <c r="G303" s="111"/>
      <c r="H303" s="111"/>
      <c r="I303" s="112"/>
      <c r="J303" s="112"/>
      <c r="K303" s="112"/>
      <c r="L303" s="112"/>
      <c r="M303" s="112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</row>
    <row r="304" spans="1:29" ht="12" customHeight="1">
      <c r="A304" s="108"/>
      <c r="B304" s="109"/>
      <c r="C304" s="109"/>
      <c r="D304" s="109"/>
      <c r="E304" s="109"/>
      <c r="F304" s="109"/>
      <c r="G304" s="111"/>
      <c r="H304" s="111"/>
      <c r="I304" s="112"/>
      <c r="J304" s="112"/>
      <c r="K304" s="112"/>
      <c r="L304" s="112"/>
      <c r="M304" s="112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</row>
    <row r="305" spans="1:29" ht="12" customHeight="1">
      <c r="A305" s="108"/>
      <c r="B305" s="109"/>
      <c r="C305" s="109"/>
      <c r="D305" s="109"/>
      <c r="E305" s="109"/>
      <c r="F305" s="109"/>
      <c r="G305" s="111"/>
      <c r="H305" s="111"/>
      <c r="I305" s="112"/>
      <c r="J305" s="112"/>
      <c r="K305" s="112"/>
      <c r="L305" s="112"/>
      <c r="M305" s="112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</row>
    <row r="306" spans="1:29" ht="12" customHeight="1">
      <c r="A306" s="108"/>
      <c r="B306" s="109"/>
      <c r="C306" s="109"/>
      <c r="D306" s="109"/>
      <c r="E306" s="109"/>
      <c r="F306" s="109"/>
      <c r="G306" s="111"/>
      <c r="H306" s="111"/>
      <c r="I306" s="112"/>
      <c r="J306" s="112"/>
      <c r="K306" s="112"/>
      <c r="L306" s="112"/>
      <c r="M306" s="112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</row>
    <row r="307" spans="1:29" ht="12" customHeight="1">
      <c r="A307" s="108"/>
      <c r="B307" s="109"/>
      <c r="C307" s="109"/>
      <c r="D307" s="109"/>
      <c r="E307" s="109"/>
      <c r="F307" s="109"/>
      <c r="G307" s="111"/>
      <c r="H307" s="111"/>
      <c r="I307" s="112"/>
      <c r="J307" s="112"/>
      <c r="K307" s="112"/>
      <c r="L307" s="112"/>
      <c r="M307" s="112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</row>
    <row r="308" spans="1:29" ht="12" customHeight="1">
      <c r="A308" s="108"/>
      <c r="B308" s="109"/>
      <c r="C308" s="109"/>
      <c r="D308" s="109"/>
      <c r="E308" s="109"/>
      <c r="F308" s="109"/>
      <c r="G308" s="111"/>
      <c r="H308" s="111"/>
      <c r="I308" s="112"/>
      <c r="J308" s="112"/>
      <c r="K308" s="112"/>
      <c r="L308" s="112"/>
      <c r="M308" s="112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spans="1:29" ht="12" customHeight="1">
      <c r="A309" s="108"/>
      <c r="B309" s="109"/>
      <c r="C309" s="109"/>
      <c r="D309" s="109"/>
      <c r="E309" s="109"/>
      <c r="F309" s="109"/>
      <c r="G309" s="111"/>
      <c r="H309" s="111"/>
      <c r="I309" s="112"/>
      <c r="J309" s="112"/>
      <c r="K309" s="112"/>
      <c r="L309" s="112"/>
      <c r="M309" s="112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</row>
    <row r="310" spans="1:29" ht="12" customHeight="1">
      <c r="A310" s="108"/>
      <c r="B310" s="109"/>
      <c r="C310" s="109"/>
      <c r="D310" s="109"/>
      <c r="E310" s="109"/>
      <c r="F310" s="109"/>
      <c r="G310" s="111"/>
      <c r="H310" s="111"/>
      <c r="I310" s="112"/>
      <c r="J310" s="112"/>
      <c r="K310" s="112"/>
      <c r="L310" s="112"/>
      <c r="M310" s="112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</row>
    <row r="311" spans="1:29" ht="12" customHeight="1">
      <c r="A311" s="108"/>
      <c r="B311" s="109"/>
      <c r="C311" s="109"/>
      <c r="D311" s="109"/>
      <c r="E311" s="109"/>
      <c r="F311" s="109"/>
      <c r="G311" s="111"/>
      <c r="H311" s="111"/>
      <c r="I311" s="112"/>
      <c r="J311" s="112"/>
      <c r="K311" s="112"/>
      <c r="L311" s="112"/>
      <c r="M311" s="112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</row>
    <row r="312" spans="1:29" ht="12" customHeight="1">
      <c r="A312" s="108"/>
      <c r="B312" s="109"/>
      <c r="C312" s="109"/>
      <c r="D312" s="109"/>
      <c r="E312" s="109"/>
      <c r="F312" s="109"/>
      <c r="G312" s="111"/>
      <c r="H312" s="111"/>
      <c r="I312" s="112"/>
      <c r="J312" s="112"/>
      <c r="K312" s="112"/>
      <c r="L312" s="112"/>
      <c r="M312" s="112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</row>
    <row r="313" spans="1:29" ht="12" customHeight="1">
      <c r="A313" s="108"/>
      <c r="B313" s="109"/>
      <c r="C313" s="109"/>
      <c r="D313" s="109"/>
      <c r="E313" s="109"/>
      <c r="F313" s="109"/>
      <c r="G313" s="111"/>
      <c r="H313" s="111"/>
      <c r="I313" s="112"/>
      <c r="J313" s="112"/>
      <c r="K313" s="112"/>
      <c r="L313" s="112"/>
      <c r="M313" s="112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</row>
    <row r="314" spans="1:29" ht="12" customHeight="1">
      <c r="A314" s="108"/>
      <c r="B314" s="109"/>
      <c r="C314" s="109"/>
      <c r="D314" s="109"/>
      <c r="E314" s="109"/>
      <c r="F314" s="109"/>
      <c r="G314" s="111"/>
      <c r="H314" s="111"/>
      <c r="I314" s="112"/>
      <c r="J314" s="112"/>
      <c r="K314" s="112"/>
      <c r="L314" s="112"/>
      <c r="M314" s="112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</row>
    <row r="315" spans="1:29" ht="12" customHeight="1">
      <c r="A315" s="108"/>
      <c r="B315" s="109"/>
      <c r="C315" s="109"/>
      <c r="D315" s="109"/>
      <c r="E315" s="109"/>
      <c r="F315" s="109"/>
      <c r="G315" s="111"/>
      <c r="H315" s="111"/>
      <c r="I315" s="112"/>
      <c r="J315" s="112"/>
      <c r="K315" s="112"/>
      <c r="L315" s="112"/>
      <c r="M315" s="112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</row>
    <row r="316" spans="1:29" ht="12" customHeight="1">
      <c r="A316" s="108"/>
      <c r="B316" s="109"/>
      <c r="C316" s="109"/>
      <c r="D316" s="109"/>
      <c r="E316" s="109"/>
      <c r="F316" s="109"/>
      <c r="G316" s="111"/>
      <c r="H316" s="111"/>
      <c r="I316" s="112"/>
      <c r="J316" s="112"/>
      <c r="K316" s="112"/>
      <c r="L316" s="112"/>
      <c r="M316" s="112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</row>
    <row r="317" spans="1:29" ht="12" customHeight="1">
      <c r="A317" s="108"/>
      <c r="B317" s="109"/>
      <c r="C317" s="109"/>
      <c r="D317" s="109"/>
      <c r="E317" s="109"/>
      <c r="F317" s="109"/>
      <c r="G317" s="111"/>
      <c r="H317" s="111"/>
      <c r="I317" s="112"/>
      <c r="J317" s="112"/>
      <c r="K317" s="112"/>
      <c r="L317" s="112"/>
      <c r="M317" s="112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</row>
    <row r="318" spans="1:29" ht="12" customHeight="1">
      <c r="A318" s="108"/>
      <c r="B318" s="109"/>
      <c r="C318" s="109"/>
      <c r="D318" s="109"/>
      <c r="E318" s="109"/>
      <c r="F318" s="109"/>
      <c r="G318" s="111"/>
      <c r="H318" s="111"/>
      <c r="I318" s="112"/>
      <c r="J318" s="112"/>
      <c r="K318" s="112"/>
      <c r="L318" s="112"/>
      <c r="M318" s="112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</row>
    <row r="319" spans="1:29" ht="12" customHeight="1">
      <c r="A319" s="108"/>
      <c r="B319" s="109"/>
      <c r="C319" s="109"/>
      <c r="D319" s="109"/>
      <c r="E319" s="109"/>
      <c r="F319" s="109"/>
      <c r="G319" s="111"/>
      <c r="H319" s="111"/>
      <c r="I319" s="112"/>
      <c r="J319" s="112"/>
      <c r="K319" s="112"/>
      <c r="L319" s="112"/>
      <c r="M319" s="112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</row>
    <row r="320" spans="1:29" ht="12" customHeight="1">
      <c r="A320" s="108"/>
      <c r="B320" s="109"/>
      <c r="C320" s="109"/>
      <c r="D320" s="109"/>
      <c r="E320" s="109"/>
      <c r="F320" s="109"/>
      <c r="G320" s="111"/>
      <c r="H320" s="111"/>
      <c r="I320" s="112"/>
      <c r="J320" s="112"/>
      <c r="K320" s="112"/>
      <c r="L320" s="112"/>
      <c r="M320" s="112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</row>
    <row r="321" spans="1:29" ht="12" customHeight="1">
      <c r="A321" s="108"/>
      <c r="B321" s="109"/>
      <c r="C321" s="109"/>
      <c r="D321" s="109"/>
      <c r="E321" s="109"/>
      <c r="F321" s="109"/>
      <c r="G321" s="111"/>
      <c r="H321" s="111"/>
      <c r="I321" s="112"/>
      <c r="J321" s="112"/>
      <c r="K321" s="112"/>
      <c r="L321" s="112"/>
      <c r="M321" s="112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</row>
    <row r="322" spans="1:29" ht="12" customHeight="1">
      <c r="A322" s="108"/>
      <c r="B322" s="109"/>
      <c r="C322" s="109"/>
      <c r="D322" s="109"/>
      <c r="E322" s="109"/>
      <c r="F322" s="109"/>
      <c r="G322" s="111"/>
      <c r="H322" s="111"/>
      <c r="I322" s="112"/>
      <c r="J322" s="112"/>
      <c r="K322" s="112"/>
      <c r="L322" s="112"/>
      <c r="M322" s="112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</row>
    <row r="323" spans="1:29" ht="12" customHeight="1">
      <c r="A323" s="108"/>
      <c r="B323" s="109"/>
      <c r="C323" s="109"/>
      <c r="D323" s="109"/>
      <c r="E323" s="109"/>
      <c r="F323" s="109"/>
      <c r="G323" s="111"/>
      <c r="H323" s="111"/>
      <c r="I323" s="112"/>
      <c r="J323" s="112"/>
      <c r="K323" s="112"/>
      <c r="L323" s="112"/>
      <c r="M323" s="112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</row>
    <row r="324" spans="1:29" ht="12" customHeight="1">
      <c r="A324" s="108"/>
      <c r="B324" s="109"/>
      <c r="C324" s="109"/>
      <c r="D324" s="109"/>
      <c r="E324" s="109"/>
      <c r="F324" s="109"/>
      <c r="G324" s="111"/>
      <c r="H324" s="111"/>
      <c r="I324" s="112"/>
      <c r="J324" s="112"/>
      <c r="K324" s="112"/>
      <c r="L324" s="112"/>
      <c r="M324" s="112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</row>
    <row r="325" spans="1:29" ht="12" customHeight="1">
      <c r="A325" s="108"/>
      <c r="B325" s="109"/>
      <c r="C325" s="109"/>
      <c r="D325" s="109"/>
      <c r="E325" s="109"/>
      <c r="F325" s="109"/>
      <c r="G325" s="111"/>
      <c r="H325" s="111"/>
      <c r="I325" s="112"/>
      <c r="J325" s="112"/>
      <c r="K325" s="112"/>
      <c r="L325" s="112"/>
      <c r="M325" s="112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</row>
    <row r="326" spans="1:29" ht="12" customHeight="1">
      <c r="A326" s="108"/>
      <c r="B326" s="109"/>
      <c r="C326" s="109"/>
      <c r="D326" s="109"/>
      <c r="E326" s="109"/>
      <c r="F326" s="109"/>
      <c r="G326" s="111"/>
      <c r="H326" s="111"/>
      <c r="I326" s="112"/>
      <c r="J326" s="112"/>
      <c r="K326" s="112"/>
      <c r="L326" s="112"/>
      <c r="M326" s="112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</row>
    <row r="327" spans="1:29" ht="12" customHeight="1">
      <c r="A327" s="108"/>
      <c r="B327" s="109"/>
      <c r="C327" s="109"/>
      <c r="D327" s="109"/>
      <c r="E327" s="109"/>
      <c r="F327" s="109"/>
      <c r="G327" s="111"/>
      <c r="H327" s="111"/>
      <c r="I327" s="112"/>
      <c r="J327" s="112"/>
      <c r="K327" s="112"/>
      <c r="L327" s="112"/>
      <c r="M327" s="112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</row>
    <row r="328" spans="1:29" ht="12" customHeight="1">
      <c r="A328" s="108"/>
      <c r="B328" s="109"/>
      <c r="C328" s="109"/>
      <c r="D328" s="109"/>
      <c r="E328" s="109"/>
      <c r="F328" s="109"/>
      <c r="G328" s="111"/>
      <c r="H328" s="111"/>
      <c r="I328" s="112"/>
      <c r="J328" s="112"/>
      <c r="K328" s="112"/>
      <c r="L328" s="112"/>
      <c r="M328" s="112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</row>
    <row r="329" spans="1:29" ht="12" customHeight="1">
      <c r="A329" s="108"/>
      <c r="B329" s="109"/>
      <c r="C329" s="109"/>
      <c r="D329" s="109"/>
      <c r="E329" s="109"/>
      <c r="F329" s="109"/>
      <c r="G329" s="111"/>
      <c r="H329" s="111"/>
      <c r="I329" s="112"/>
      <c r="J329" s="112"/>
      <c r="K329" s="112"/>
      <c r="L329" s="112"/>
      <c r="M329" s="112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</row>
    <row r="330" spans="1:29" ht="12" customHeight="1">
      <c r="A330" s="108"/>
      <c r="B330" s="109"/>
      <c r="C330" s="109"/>
      <c r="D330" s="109"/>
      <c r="E330" s="109"/>
      <c r="F330" s="109"/>
      <c r="G330" s="111"/>
      <c r="H330" s="111"/>
      <c r="I330" s="112"/>
      <c r="J330" s="112"/>
      <c r="K330" s="112"/>
      <c r="L330" s="112"/>
      <c r="M330" s="112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</row>
    <row r="331" spans="1:29" ht="12" customHeight="1">
      <c r="A331" s="108"/>
      <c r="B331" s="109"/>
      <c r="C331" s="109"/>
      <c r="D331" s="109"/>
      <c r="E331" s="109"/>
      <c r="F331" s="109"/>
      <c r="G331" s="111"/>
      <c r="H331" s="111"/>
      <c r="I331" s="112"/>
      <c r="J331" s="112"/>
      <c r="K331" s="112"/>
      <c r="L331" s="112"/>
      <c r="M331" s="112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</row>
    <row r="332" spans="1:29" ht="12" customHeight="1">
      <c r="A332" s="108"/>
      <c r="B332" s="109"/>
      <c r="C332" s="109"/>
      <c r="D332" s="109"/>
      <c r="E332" s="109"/>
      <c r="F332" s="109"/>
      <c r="G332" s="111"/>
      <c r="H332" s="111"/>
      <c r="I332" s="112"/>
      <c r="J332" s="112"/>
      <c r="K332" s="112"/>
      <c r="L332" s="112"/>
      <c r="M332" s="112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</row>
    <row r="333" spans="1:29" ht="12" customHeight="1">
      <c r="A333" s="108"/>
      <c r="B333" s="109"/>
      <c r="C333" s="109"/>
      <c r="D333" s="109"/>
      <c r="E333" s="109"/>
      <c r="F333" s="109"/>
      <c r="G333" s="111"/>
      <c r="H333" s="111"/>
      <c r="I333" s="112"/>
      <c r="J333" s="112"/>
      <c r="K333" s="112"/>
      <c r="L333" s="112"/>
      <c r="M333" s="112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</row>
    <row r="334" spans="1:29" ht="12" customHeight="1">
      <c r="A334" s="108"/>
      <c r="B334" s="109"/>
      <c r="C334" s="109"/>
      <c r="D334" s="109"/>
      <c r="E334" s="109"/>
      <c r="F334" s="109"/>
      <c r="G334" s="111"/>
      <c r="H334" s="111"/>
      <c r="I334" s="112"/>
      <c r="J334" s="112"/>
      <c r="K334" s="112"/>
      <c r="L334" s="112"/>
      <c r="M334" s="112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</row>
    <row r="335" spans="1:29" ht="12" customHeight="1">
      <c r="A335" s="108"/>
      <c r="B335" s="109"/>
      <c r="C335" s="109"/>
      <c r="D335" s="109"/>
      <c r="E335" s="109"/>
      <c r="F335" s="109"/>
      <c r="G335" s="111"/>
      <c r="H335" s="111"/>
      <c r="I335" s="112"/>
      <c r="J335" s="112"/>
      <c r="K335" s="112"/>
      <c r="L335" s="112"/>
      <c r="M335" s="112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</row>
    <row r="336" spans="1:29" ht="12" customHeight="1">
      <c r="A336" s="108"/>
      <c r="B336" s="109"/>
      <c r="C336" s="109"/>
      <c r="D336" s="109"/>
      <c r="E336" s="109"/>
      <c r="F336" s="109"/>
      <c r="G336" s="111"/>
      <c r="H336" s="111"/>
      <c r="I336" s="112"/>
      <c r="J336" s="112"/>
      <c r="K336" s="112"/>
      <c r="L336" s="112"/>
      <c r="M336" s="112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</row>
    <row r="337" spans="1:29" ht="12" customHeight="1">
      <c r="A337" s="108"/>
      <c r="B337" s="109"/>
      <c r="C337" s="109"/>
      <c r="D337" s="109"/>
      <c r="E337" s="109"/>
      <c r="F337" s="109"/>
      <c r="G337" s="111"/>
      <c r="H337" s="111"/>
      <c r="I337" s="112"/>
      <c r="J337" s="112"/>
      <c r="K337" s="112"/>
      <c r="L337" s="112"/>
      <c r="M337" s="112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</row>
    <row r="338" spans="1:29" ht="12" customHeight="1">
      <c r="A338" s="108"/>
      <c r="B338" s="109"/>
      <c r="C338" s="109"/>
      <c r="D338" s="109"/>
      <c r="E338" s="109"/>
      <c r="F338" s="109"/>
      <c r="G338" s="111"/>
      <c r="H338" s="111"/>
      <c r="I338" s="112"/>
      <c r="J338" s="112"/>
      <c r="K338" s="112"/>
      <c r="L338" s="112"/>
      <c r="M338" s="112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</row>
    <row r="339" spans="1:29" ht="12" customHeight="1">
      <c r="A339" s="108"/>
      <c r="B339" s="109"/>
      <c r="C339" s="109"/>
      <c r="D339" s="109"/>
      <c r="E339" s="109"/>
      <c r="F339" s="109"/>
      <c r="G339" s="111"/>
      <c r="H339" s="111"/>
      <c r="I339" s="112"/>
      <c r="J339" s="112"/>
      <c r="K339" s="112"/>
      <c r="L339" s="112"/>
      <c r="M339" s="112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</row>
    <row r="340" spans="1:29" ht="12" customHeight="1">
      <c r="A340" s="108"/>
      <c r="B340" s="109"/>
      <c r="C340" s="109"/>
      <c r="D340" s="109"/>
      <c r="E340" s="109"/>
      <c r="F340" s="109"/>
      <c r="G340" s="111"/>
      <c r="H340" s="111"/>
      <c r="I340" s="112"/>
      <c r="J340" s="112"/>
      <c r="K340" s="112"/>
      <c r="L340" s="112"/>
      <c r="M340" s="112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</row>
    <row r="341" spans="1:29" ht="12" customHeight="1">
      <c r="A341" s="108"/>
      <c r="B341" s="109"/>
      <c r="C341" s="109"/>
      <c r="D341" s="109"/>
      <c r="E341" s="109"/>
      <c r="F341" s="109"/>
      <c r="G341" s="111"/>
      <c r="H341" s="111"/>
      <c r="I341" s="112"/>
      <c r="J341" s="112"/>
      <c r="K341" s="112"/>
      <c r="L341" s="112"/>
      <c r="M341" s="112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</row>
    <row r="342" spans="1:29" ht="12" customHeight="1">
      <c r="A342" s="108"/>
      <c r="B342" s="109"/>
      <c r="C342" s="109"/>
      <c r="D342" s="109"/>
      <c r="E342" s="109"/>
      <c r="F342" s="109"/>
      <c r="G342" s="111"/>
      <c r="H342" s="111"/>
      <c r="I342" s="112"/>
      <c r="J342" s="112"/>
      <c r="K342" s="112"/>
      <c r="L342" s="112"/>
      <c r="M342" s="112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</row>
    <row r="343" spans="1:29" ht="12" customHeight="1">
      <c r="A343" s="108"/>
      <c r="B343" s="109"/>
      <c r="C343" s="109"/>
      <c r="D343" s="109"/>
      <c r="E343" s="109"/>
      <c r="F343" s="109"/>
      <c r="G343" s="111"/>
      <c r="H343" s="111"/>
      <c r="I343" s="112"/>
      <c r="J343" s="112"/>
      <c r="K343" s="112"/>
      <c r="L343" s="112"/>
      <c r="M343" s="112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</row>
    <row r="344" spans="1:29" ht="12" customHeight="1">
      <c r="A344" s="108"/>
      <c r="B344" s="109"/>
      <c r="C344" s="109"/>
      <c r="D344" s="109"/>
      <c r="E344" s="109"/>
      <c r="F344" s="109"/>
      <c r="G344" s="111"/>
      <c r="H344" s="111"/>
      <c r="I344" s="112"/>
      <c r="J344" s="112"/>
      <c r="K344" s="112"/>
      <c r="L344" s="112"/>
      <c r="M344" s="112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</row>
    <row r="345" spans="1:29" ht="12" customHeight="1">
      <c r="A345" s="108"/>
      <c r="B345" s="109"/>
      <c r="C345" s="109"/>
      <c r="D345" s="109"/>
      <c r="E345" s="109"/>
      <c r="F345" s="109"/>
      <c r="G345" s="111"/>
      <c r="H345" s="111"/>
      <c r="I345" s="112"/>
      <c r="J345" s="112"/>
      <c r="K345" s="112"/>
      <c r="L345" s="112"/>
      <c r="M345" s="112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</row>
    <row r="346" spans="1:29" ht="12" customHeight="1">
      <c r="A346" s="108"/>
      <c r="B346" s="109"/>
      <c r="C346" s="109"/>
      <c r="D346" s="109"/>
      <c r="E346" s="109"/>
      <c r="F346" s="109"/>
      <c r="G346" s="111"/>
      <c r="H346" s="111"/>
      <c r="I346" s="112"/>
      <c r="J346" s="112"/>
      <c r="K346" s="112"/>
      <c r="L346" s="112"/>
      <c r="M346" s="112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</row>
    <row r="347" spans="1:29" ht="12" customHeight="1">
      <c r="A347" s="108"/>
      <c r="B347" s="109"/>
      <c r="C347" s="109"/>
      <c r="D347" s="109"/>
      <c r="E347" s="109"/>
      <c r="F347" s="109"/>
      <c r="G347" s="111"/>
      <c r="H347" s="111"/>
      <c r="I347" s="112"/>
      <c r="J347" s="112"/>
      <c r="K347" s="112"/>
      <c r="L347" s="112"/>
      <c r="M347" s="112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</row>
    <row r="348" spans="1:29" ht="12" customHeight="1">
      <c r="A348" s="108"/>
      <c r="B348" s="109"/>
      <c r="C348" s="109"/>
      <c r="D348" s="109"/>
      <c r="E348" s="109"/>
      <c r="F348" s="109"/>
      <c r="G348" s="111"/>
      <c r="H348" s="111"/>
      <c r="I348" s="112"/>
      <c r="J348" s="112"/>
      <c r="K348" s="112"/>
      <c r="L348" s="112"/>
      <c r="M348" s="112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</row>
    <row r="349" spans="1:29" ht="12" customHeight="1">
      <c r="A349" s="108"/>
      <c r="B349" s="109"/>
      <c r="C349" s="109"/>
      <c r="D349" s="109"/>
      <c r="E349" s="109"/>
      <c r="F349" s="109"/>
      <c r="G349" s="111"/>
      <c r="H349" s="111"/>
      <c r="I349" s="112"/>
      <c r="J349" s="112"/>
      <c r="K349" s="112"/>
      <c r="L349" s="112"/>
      <c r="M349" s="112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</row>
    <row r="350" spans="1:29" ht="12" customHeight="1">
      <c r="A350" s="108"/>
      <c r="B350" s="109"/>
      <c r="C350" s="109"/>
      <c r="D350" s="109"/>
      <c r="E350" s="109"/>
      <c r="F350" s="109"/>
      <c r="G350" s="111"/>
      <c r="H350" s="111"/>
      <c r="I350" s="112"/>
      <c r="J350" s="112"/>
      <c r="K350" s="112"/>
      <c r="L350" s="112"/>
      <c r="M350" s="112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</row>
    <row r="351" spans="1:29" ht="12" customHeight="1">
      <c r="A351" s="108"/>
      <c r="B351" s="109"/>
      <c r="C351" s="109"/>
      <c r="D351" s="109"/>
      <c r="E351" s="109"/>
      <c r="F351" s="109"/>
      <c r="G351" s="111"/>
      <c r="H351" s="111"/>
      <c r="I351" s="112"/>
      <c r="J351" s="112"/>
      <c r="K351" s="112"/>
      <c r="L351" s="112"/>
      <c r="M351" s="112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</row>
    <row r="352" spans="1:29" ht="12" customHeight="1">
      <c r="A352" s="108"/>
      <c r="B352" s="109"/>
      <c r="C352" s="109"/>
      <c r="D352" s="109"/>
      <c r="E352" s="109"/>
      <c r="F352" s="109"/>
      <c r="G352" s="111"/>
      <c r="H352" s="111"/>
      <c r="I352" s="112"/>
      <c r="J352" s="112"/>
      <c r="K352" s="112"/>
      <c r="L352" s="112"/>
      <c r="M352" s="112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</row>
    <row r="353" spans="1:29" ht="12" customHeight="1">
      <c r="A353" s="108"/>
      <c r="B353" s="109"/>
      <c r="C353" s="109"/>
      <c r="D353" s="109"/>
      <c r="E353" s="109"/>
      <c r="F353" s="109"/>
      <c r="G353" s="111"/>
      <c r="H353" s="111"/>
      <c r="I353" s="112"/>
      <c r="J353" s="112"/>
      <c r="K353" s="112"/>
      <c r="L353" s="112"/>
      <c r="M353" s="112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</row>
    <row r="354" spans="1:29" ht="12" customHeight="1">
      <c r="A354" s="108"/>
      <c r="B354" s="109"/>
      <c r="C354" s="109"/>
      <c r="D354" s="109"/>
      <c r="E354" s="109"/>
      <c r="F354" s="109"/>
      <c r="G354" s="111"/>
      <c r="H354" s="111"/>
      <c r="I354" s="112"/>
      <c r="J354" s="112"/>
      <c r="K354" s="112"/>
      <c r="L354" s="112"/>
      <c r="M354" s="112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</row>
    <row r="355" spans="1:29" ht="12" customHeight="1">
      <c r="A355" s="108"/>
      <c r="B355" s="109"/>
      <c r="C355" s="109"/>
      <c r="D355" s="109"/>
      <c r="E355" s="109"/>
      <c r="F355" s="109"/>
      <c r="G355" s="111"/>
      <c r="H355" s="111"/>
      <c r="I355" s="112"/>
      <c r="J355" s="112"/>
      <c r="K355" s="112"/>
      <c r="L355" s="112"/>
      <c r="M355" s="112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</row>
    <row r="356" spans="1:29" ht="12" customHeight="1">
      <c r="A356" s="108"/>
      <c r="B356" s="109"/>
      <c r="C356" s="109"/>
      <c r="D356" s="109"/>
      <c r="E356" s="109"/>
      <c r="F356" s="109"/>
      <c r="G356" s="111"/>
      <c r="H356" s="111"/>
      <c r="I356" s="112"/>
      <c r="J356" s="112"/>
      <c r="K356" s="112"/>
      <c r="L356" s="112"/>
      <c r="M356" s="112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</row>
    <row r="357" spans="1:29" ht="12" customHeight="1">
      <c r="A357" s="108"/>
      <c r="B357" s="109"/>
      <c r="C357" s="109"/>
      <c r="D357" s="109"/>
      <c r="E357" s="109"/>
      <c r="F357" s="109"/>
      <c r="G357" s="111"/>
      <c r="H357" s="111"/>
      <c r="I357" s="112"/>
      <c r="J357" s="112"/>
      <c r="K357" s="112"/>
      <c r="L357" s="112"/>
      <c r="M357" s="112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</row>
    <row r="358" spans="1:29" ht="12" customHeight="1">
      <c r="A358" s="108"/>
      <c r="B358" s="109"/>
      <c r="C358" s="109"/>
      <c r="D358" s="109"/>
      <c r="E358" s="109"/>
      <c r="F358" s="109"/>
      <c r="G358" s="111"/>
      <c r="H358" s="111"/>
      <c r="I358" s="112"/>
      <c r="J358" s="112"/>
      <c r="K358" s="112"/>
      <c r="L358" s="112"/>
      <c r="M358" s="112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</row>
    <row r="359" spans="1:29" ht="12" customHeight="1">
      <c r="A359" s="108"/>
      <c r="B359" s="109"/>
      <c r="C359" s="109"/>
      <c r="D359" s="109"/>
      <c r="E359" s="109"/>
      <c r="F359" s="109"/>
      <c r="G359" s="111"/>
      <c r="H359" s="111"/>
      <c r="I359" s="112"/>
      <c r="J359" s="112"/>
      <c r="K359" s="112"/>
      <c r="L359" s="112"/>
      <c r="M359" s="112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</row>
    <row r="360" spans="1:29" ht="12" customHeight="1">
      <c r="A360" s="108"/>
      <c r="B360" s="109"/>
      <c r="C360" s="109"/>
      <c r="D360" s="109"/>
      <c r="E360" s="109"/>
      <c r="F360" s="109"/>
      <c r="G360" s="111"/>
      <c r="H360" s="111"/>
      <c r="I360" s="112"/>
      <c r="J360" s="112"/>
      <c r="K360" s="112"/>
      <c r="L360" s="112"/>
      <c r="M360" s="112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</row>
    <row r="361" spans="1:29" ht="12" customHeight="1">
      <c r="A361" s="108"/>
      <c r="B361" s="109"/>
      <c r="C361" s="109"/>
      <c r="D361" s="109"/>
      <c r="E361" s="109"/>
      <c r="F361" s="109"/>
      <c r="G361" s="111"/>
      <c r="H361" s="111"/>
      <c r="I361" s="112"/>
      <c r="J361" s="112"/>
      <c r="K361" s="112"/>
      <c r="L361" s="112"/>
      <c r="M361" s="112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</row>
    <row r="362" spans="1:29" ht="12" customHeight="1">
      <c r="A362" s="108"/>
      <c r="B362" s="109"/>
      <c r="C362" s="109"/>
      <c r="D362" s="109"/>
      <c r="E362" s="109"/>
      <c r="F362" s="109"/>
      <c r="G362" s="111"/>
      <c r="H362" s="111"/>
      <c r="I362" s="112"/>
      <c r="J362" s="112"/>
      <c r="K362" s="112"/>
      <c r="L362" s="112"/>
      <c r="M362" s="112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</row>
    <row r="363" spans="1:29" ht="12" customHeight="1">
      <c r="A363" s="108"/>
      <c r="B363" s="109"/>
      <c r="C363" s="109"/>
      <c r="D363" s="109"/>
      <c r="E363" s="109"/>
      <c r="F363" s="109"/>
      <c r="G363" s="111"/>
      <c r="H363" s="111"/>
      <c r="I363" s="112"/>
      <c r="J363" s="112"/>
      <c r="K363" s="112"/>
      <c r="L363" s="112"/>
      <c r="M363" s="112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</row>
    <row r="364" spans="1:29" ht="12" customHeight="1">
      <c r="A364" s="108"/>
      <c r="B364" s="109"/>
      <c r="C364" s="109"/>
      <c r="D364" s="109"/>
      <c r="E364" s="109"/>
      <c r="F364" s="109"/>
      <c r="G364" s="111"/>
      <c r="H364" s="111"/>
      <c r="I364" s="112"/>
      <c r="J364" s="112"/>
      <c r="K364" s="112"/>
      <c r="L364" s="112"/>
      <c r="M364" s="112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</row>
    <row r="365" spans="1:29" ht="12" customHeight="1">
      <c r="A365" s="108"/>
      <c r="B365" s="109"/>
      <c r="C365" s="109"/>
      <c r="D365" s="109"/>
      <c r="E365" s="109"/>
      <c r="F365" s="109"/>
      <c r="G365" s="111"/>
      <c r="H365" s="111"/>
      <c r="I365" s="112"/>
      <c r="J365" s="112"/>
      <c r="K365" s="112"/>
      <c r="L365" s="112"/>
      <c r="M365" s="112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</row>
    <row r="366" spans="1:29" ht="12" customHeight="1">
      <c r="A366" s="108"/>
      <c r="B366" s="109"/>
      <c r="C366" s="109"/>
      <c r="D366" s="109"/>
      <c r="E366" s="109"/>
      <c r="F366" s="109"/>
      <c r="G366" s="111"/>
      <c r="H366" s="111"/>
      <c r="I366" s="112"/>
      <c r="J366" s="112"/>
      <c r="K366" s="112"/>
      <c r="L366" s="112"/>
      <c r="M366" s="112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</row>
    <row r="367" spans="1:29" ht="12" customHeight="1">
      <c r="A367" s="108"/>
      <c r="B367" s="109"/>
      <c r="C367" s="109"/>
      <c r="D367" s="109"/>
      <c r="E367" s="109"/>
      <c r="F367" s="109"/>
      <c r="G367" s="111"/>
      <c r="H367" s="111"/>
      <c r="I367" s="112"/>
      <c r="J367" s="112"/>
      <c r="K367" s="112"/>
      <c r="L367" s="112"/>
      <c r="M367" s="112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</row>
    <row r="368" spans="1:29" ht="12" customHeight="1">
      <c r="A368" s="108"/>
      <c r="B368" s="109"/>
      <c r="C368" s="109"/>
      <c r="D368" s="109"/>
      <c r="E368" s="109"/>
      <c r="F368" s="109"/>
      <c r="G368" s="111"/>
      <c r="H368" s="111"/>
      <c r="I368" s="112"/>
      <c r="J368" s="112"/>
      <c r="K368" s="112"/>
      <c r="L368" s="112"/>
      <c r="M368" s="112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</row>
    <row r="369" spans="1:29" ht="12" customHeight="1">
      <c r="A369" s="108"/>
      <c r="B369" s="109"/>
      <c r="C369" s="109"/>
      <c r="D369" s="109"/>
      <c r="E369" s="109"/>
      <c r="F369" s="109"/>
      <c r="G369" s="111"/>
      <c r="H369" s="111"/>
      <c r="I369" s="112"/>
      <c r="J369" s="112"/>
      <c r="K369" s="112"/>
      <c r="L369" s="112"/>
      <c r="M369" s="112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</row>
    <row r="370" spans="1:29" ht="12" customHeight="1">
      <c r="A370" s="108"/>
      <c r="B370" s="109"/>
      <c r="C370" s="109"/>
      <c r="D370" s="109"/>
      <c r="E370" s="109"/>
      <c r="F370" s="109"/>
      <c r="G370" s="111"/>
      <c r="H370" s="111"/>
      <c r="I370" s="112"/>
      <c r="J370" s="112"/>
      <c r="K370" s="112"/>
      <c r="L370" s="112"/>
      <c r="M370" s="112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</row>
    <row r="371" spans="1:29" ht="12" customHeight="1">
      <c r="A371" s="108"/>
      <c r="B371" s="109"/>
      <c r="C371" s="109"/>
      <c r="D371" s="109"/>
      <c r="E371" s="109"/>
      <c r="F371" s="109"/>
      <c r="G371" s="111"/>
      <c r="H371" s="111"/>
      <c r="I371" s="112"/>
      <c r="J371" s="112"/>
      <c r="K371" s="112"/>
      <c r="L371" s="112"/>
      <c r="M371" s="112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</row>
    <row r="372" spans="1:29" ht="12" customHeight="1">
      <c r="A372" s="108"/>
      <c r="B372" s="109"/>
      <c r="C372" s="109"/>
      <c r="D372" s="109"/>
      <c r="E372" s="109"/>
      <c r="F372" s="109"/>
      <c r="G372" s="111"/>
      <c r="H372" s="111"/>
      <c r="I372" s="112"/>
      <c r="J372" s="112"/>
      <c r="K372" s="112"/>
      <c r="L372" s="112"/>
      <c r="M372" s="112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</row>
    <row r="373" spans="1:29" ht="12" customHeight="1">
      <c r="A373" s="108"/>
      <c r="B373" s="109"/>
      <c r="C373" s="109"/>
      <c r="D373" s="109"/>
      <c r="E373" s="109"/>
      <c r="F373" s="109"/>
      <c r="G373" s="111"/>
      <c r="H373" s="111"/>
      <c r="I373" s="112"/>
      <c r="J373" s="112"/>
      <c r="K373" s="112"/>
      <c r="L373" s="112"/>
      <c r="M373" s="112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</row>
    <row r="374" spans="1:29" ht="12" customHeight="1">
      <c r="A374" s="108"/>
      <c r="B374" s="109"/>
      <c r="C374" s="109"/>
      <c r="D374" s="109"/>
      <c r="E374" s="109"/>
      <c r="F374" s="109"/>
      <c r="G374" s="111"/>
      <c r="H374" s="111"/>
      <c r="I374" s="112"/>
      <c r="J374" s="112"/>
      <c r="K374" s="112"/>
      <c r="L374" s="112"/>
      <c r="M374" s="112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</row>
    <row r="375" spans="1:29" ht="12" customHeight="1">
      <c r="A375" s="108"/>
      <c r="B375" s="109"/>
      <c r="C375" s="109"/>
      <c r="D375" s="109"/>
      <c r="E375" s="109"/>
      <c r="F375" s="109"/>
      <c r="G375" s="111"/>
      <c r="H375" s="111"/>
      <c r="I375" s="112"/>
      <c r="J375" s="112"/>
      <c r="K375" s="112"/>
      <c r="L375" s="112"/>
      <c r="M375" s="112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</row>
    <row r="376" spans="1:29" ht="12" customHeight="1">
      <c r="A376" s="108"/>
      <c r="B376" s="109"/>
      <c r="C376" s="109"/>
      <c r="D376" s="109"/>
      <c r="E376" s="109"/>
      <c r="F376" s="109"/>
      <c r="G376" s="111"/>
      <c r="H376" s="111"/>
      <c r="I376" s="112"/>
      <c r="J376" s="112"/>
      <c r="K376" s="112"/>
      <c r="L376" s="112"/>
      <c r="M376" s="112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</row>
    <row r="377" spans="1:29" ht="12" customHeight="1">
      <c r="A377" s="108"/>
      <c r="B377" s="109"/>
      <c r="C377" s="109"/>
      <c r="D377" s="109"/>
      <c r="E377" s="109"/>
      <c r="F377" s="109"/>
      <c r="G377" s="111"/>
      <c r="H377" s="111"/>
      <c r="I377" s="112"/>
      <c r="J377" s="112"/>
      <c r="K377" s="112"/>
      <c r="L377" s="112"/>
      <c r="M377" s="112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</row>
    <row r="378" spans="1:29" ht="12" customHeight="1">
      <c r="A378" s="108"/>
      <c r="B378" s="109"/>
      <c r="C378" s="109"/>
      <c r="D378" s="109"/>
      <c r="E378" s="109"/>
      <c r="F378" s="109"/>
      <c r="G378" s="111"/>
      <c r="H378" s="111"/>
      <c r="I378" s="112"/>
      <c r="J378" s="112"/>
      <c r="K378" s="112"/>
      <c r="L378" s="112"/>
      <c r="M378" s="112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</row>
    <row r="379" spans="1:29" ht="12" customHeight="1">
      <c r="A379" s="108"/>
      <c r="B379" s="109"/>
      <c r="C379" s="109"/>
      <c r="D379" s="109"/>
      <c r="E379" s="109"/>
      <c r="F379" s="109"/>
      <c r="G379" s="111"/>
      <c r="H379" s="111"/>
      <c r="I379" s="112"/>
      <c r="J379" s="112"/>
      <c r="K379" s="112"/>
      <c r="L379" s="112"/>
      <c r="M379" s="112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</row>
    <row r="380" spans="1:29" ht="12" customHeight="1">
      <c r="A380" s="108"/>
      <c r="B380" s="109"/>
      <c r="C380" s="109"/>
      <c r="D380" s="109"/>
      <c r="E380" s="109"/>
      <c r="F380" s="109"/>
      <c r="G380" s="111"/>
      <c r="H380" s="111"/>
      <c r="I380" s="112"/>
      <c r="J380" s="112"/>
      <c r="K380" s="112"/>
      <c r="L380" s="112"/>
      <c r="M380" s="112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</row>
    <row r="381" spans="1:29" ht="12" customHeight="1">
      <c r="A381" s="108"/>
      <c r="B381" s="109"/>
      <c r="C381" s="109"/>
      <c r="D381" s="109"/>
      <c r="E381" s="109"/>
      <c r="F381" s="109"/>
      <c r="G381" s="111"/>
      <c r="H381" s="111"/>
      <c r="I381" s="112"/>
      <c r="J381" s="112"/>
      <c r="K381" s="112"/>
      <c r="L381" s="112"/>
      <c r="M381" s="112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</row>
    <row r="382" spans="1:29" ht="12" customHeight="1">
      <c r="A382" s="108"/>
      <c r="B382" s="109"/>
      <c r="C382" s="109"/>
      <c r="D382" s="109"/>
      <c r="E382" s="109"/>
      <c r="F382" s="109"/>
      <c r="G382" s="111"/>
      <c r="H382" s="111"/>
      <c r="I382" s="112"/>
      <c r="J382" s="112"/>
      <c r="K382" s="112"/>
      <c r="L382" s="112"/>
      <c r="M382" s="112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</row>
    <row r="383" spans="1:29" ht="12" customHeight="1">
      <c r="A383" s="108"/>
      <c r="B383" s="109"/>
      <c r="C383" s="109"/>
      <c r="D383" s="109"/>
      <c r="E383" s="109"/>
      <c r="F383" s="109"/>
      <c r="G383" s="111"/>
      <c r="H383" s="111"/>
      <c r="I383" s="112"/>
      <c r="J383" s="112"/>
      <c r="K383" s="112"/>
      <c r="L383" s="112"/>
      <c r="M383" s="112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</row>
    <row r="384" spans="1:29" ht="12" customHeight="1">
      <c r="A384" s="108"/>
      <c r="B384" s="109"/>
      <c r="C384" s="109"/>
      <c r="D384" s="109"/>
      <c r="E384" s="109"/>
      <c r="F384" s="109"/>
      <c r="G384" s="111"/>
      <c r="H384" s="111"/>
      <c r="I384" s="112"/>
      <c r="J384" s="112"/>
      <c r="K384" s="112"/>
      <c r="L384" s="112"/>
      <c r="M384" s="112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</row>
    <row r="385" spans="1:29" ht="12" customHeight="1">
      <c r="A385" s="108"/>
      <c r="B385" s="109"/>
      <c r="C385" s="109"/>
      <c r="D385" s="109"/>
      <c r="E385" s="109"/>
      <c r="F385" s="109"/>
      <c r="G385" s="111"/>
      <c r="H385" s="111"/>
      <c r="I385" s="112"/>
      <c r="J385" s="112"/>
      <c r="K385" s="112"/>
      <c r="L385" s="112"/>
      <c r="M385" s="112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</row>
    <row r="386" spans="1:29" ht="12" customHeight="1">
      <c r="A386" s="108"/>
      <c r="B386" s="109"/>
      <c r="C386" s="109"/>
      <c r="D386" s="109"/>
      <c r="E386" s="109"/>
      <c r="F386" s="109"/>
      <c r="G386" s="111"/>
      <c r="H386" s="111"/>
      <c r="I386" s="112"/>
      <c r="J386" s="112"/>
      <c r="K386" s="112"/>
      <c r="L386" s="112"/>
      <c r="M386" s="112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</row>
    <row r="387" spans="1:29" ht="12" customHeight="1">
      <c r="A387" s="108"/>
      <c r="B387" s="109"/>
      <c r="C387" s="109"/>
      <c r="D387" s="109"/>
      <c r="E387" s="109"/>
      <c r="F387" s="109"/>
      <c r="G387" s="111"/>
      <c r="H387" s="111"/>
      <c r="I387" s="112"/>
      <c r="J387" s="112"/>
      <c r="K387" s="112"/>
      <c r="L387" s="112"/>
      <c r="M387" s="112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</row>
    <row r="388" spans="1:29" ht="12" customHeight="1">
      <c r="A388" s="108"/>
      <c r="B388" s="109"/>
      <c r="C388" s="109"/>
      <c r="D388" s="109"/>
      <c r="E388" s="109"/>
      <c r="F388" s="109"/>
      <c r="G388" s="111"/>
      <c r="H388" s="111"/>
      <c r="I388" s="112"/>
      <c r="J388" s="112"/>
      <c r="K388" s="112"/>
      <c r="L388" s="112"/>
      <c r="M388" s="112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</row>
    <row r="389" spans="1:29" ht="12" customHeight="1">
      <c r="A389" s="108"/>
      <c r="B389" s="109"/>
      <c r="C389" s="109"/>
      <c r="D389" s="109"/>
      <c r="E389" s="109"/>
      <c r="F389" s="109"/>
      <c r="G389" s="111"/>
      <c r="H389" s="111"/>
      <c r="I389" s="112"/>
      <c r="J389" s="112"/>
      <c r="K389" s="112"/>
      <c r="L389" s="112"/>
      <c r="M389" s="112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</row>
    <row r="390" spans="1:29" ht="12" customHeight="1">
      <c r="A390" s="108"/>
      <c r="B390" s="109"/>
      <c r="C390" s="109"/>
      <c r="D390" s="109"/>
      <c r="E390" s="109"/>
      <c r="F390" s="109"/>
      <c r="G390" s="111"/>
      <c r="H390" s="111"/>
      <c r="I390" s="112"/>
      <c r="J390" s="112"/>
      <c r="K390" s="112"/>
      <c r="L390" s="112"/>
      <c r="M390" s="112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</row>
    <row r="391" spans="1:29" ht="12" customHeight="1">
      <c r="A391" s="108"/>
      <c r="B391" s="109"/>
      <c r="C391" s="109"/>
      <c r="D391" s="109"/>
      <c r="E391" s="109"/>
      <c r="F391" s="109"/>
      <c r="G391" s="111"/>
      <c r="H391" s="111"/>
      <c r="I391" s="112"/>
      <c r="J391" s="112"/>
      <c r="K391" s="112"/>
      <c r="L391" s="112"/>
      <c r="M391" s="112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</row>
    <row r="392" spans="1:29" ht="12" customHeight="1">
      <c r="A392" s="108"/>
      <c r="B392" s="109"/>
      <c r="C392" s="109"/>
      <c r="D392" s="109"/>
      <c r="E392" s="109"/>
      <c r="F392" s="109"/>
      <c r="G392" s="111"/>
      <c r="H392" s="111"/>
      <c r="I392" s="112"/>
      <c r="J392" s="112"/>
      <c r="K392" s="112"/>
      <c r="L392" s="112"/>
      <c r="M392" s="112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</row>
    <row r="393" spans="1:29" ht="12" customHeight="1">
      <c r="A393" s="108"/>
      <c r="B393" s="109"/>
      <c r="C393" s="109"/>
      <c r="D393" s="109"/>
      <c r="E393" s="109"/>
      <c r="F393" s="109"/>
      <c r="G393" s="111"/>
      <c r="H393" s="111"/>
      <c r="I393" s="112"/>
      <c r="J393" s="112"/>
      <c r="K393" s="112"/>
      <c r="L393" s="112"/>
      <c r="M393" s="112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</row>
    <row r="394" spans="1:29" ht="12" customHeight="1">
      <c r="A394" s="108"/>
      <c r="B394" s="109"/>
      <c r="C394" s="109"/>
      <c r="D394" s="109"/>
      <c r="E394" s="109"/>
      <c r="F394" s="109"/>
      <c r="G394" s="111"/>
      <c r="H394" s="111"/>
      <c r="I394" s="112"/>
      <c r="J394" s="112"/>
      <c r="K394" s="112"/>
      <c r="L394" s="112"/>
      <c r="M394" s="112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</row>
    <row r="395" spans="1:29" ht="12" customHeight="1">
      <c r="A395" s="108"/>
      <c r="B395" s="109"/>
      <c r="C395" s="109"/>
      <c r="D395" s="109"/>
      <c r="E395" s="109"/>
      <c r="F395" s="109"/>
      <c r="G395" s="111"/>
      <c r="H395" s="111"/>
      <c r="I395" s="112"/>
      <c r="J395" s="112"/>
      <c r="K395" s="112"/>
      <c r="L395" s="112"/>
      <c r="M395" s="112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</row>
    <row r="396" spans="1:29" ht="12" customHeight="1">
      <c r="A396" s="108"/>
      <c r="B396" s="109"/>
      <c r="C396" s="109"/>
      <c r="D396" s="109"/>
      <c r="E396" s="109"/>
      <c r="F396" s="109"/>
      <c r="G396" s="111"/>
      <c r="H396" s="111"/>
      <c r="I396" s="112"/>
      <c r="J396" s="112"/>
      <c r="K396" s="112"/>
      <c r="L396" s="112"/>
      <c r="M396" s="112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</row>
    <row r="397" spans="1:29" ht="12" customHeight="1">
      <c r="A397" s="108"/>
      <c r="B397" s="109"/>
      <c r="C397" s="109"/>
      <c r="D397" s="109"/>
      <c r="E397" s="109"/>
      <c r="F397" s="109"/>
      <c r="G397" s="111"/>
      <c r="H397" s="111"/>
      <c r="I397" s="112"/>
      <c r="J397" s="112"/>
      <c r="K397" s="112"/>
      <c r="L397" s="112"/>
      <c r="M397" s="112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</row>
    <row r="398" spans="1:29" ht="12" customHeight="1">
      <c r="A398" s="108"/>
      <c r="B398" s="109"/>
      <c r="C398" s="109"/>
      <c r="D398" s="109"/>
      <c r="E398" s="109"/>
      <c r="F398" s="109"/>
      <c r="G398" s="111"/>
      <c r="H398" s="111"/>
      <c r="I398" s="112"/>
      <c r="J398" s="112"/>
      <c r="K398" s="112"/>
      <c r="L398" s="112"/>
      <c r="M398" s="112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</row>
    <row r="399" spans="1:29" ht="12" customHeight="1">
      <c r="A399" s="108"/>
      <c r="B399" s="109"/>
      <c r="C399" s="109"/>
      <c r="D399" s="109"/>
      <c r="E399" s="109"/>
      <c r="F399" s="109"/>
      <c r="G399" s="111"/>
      <c r="H399" s="111"/>
      <c r="I399" s="112"/>
      <c r="J399" s="112"/>
      <c r="K399" s="112"/>
      <c r="L399" s="112"/>
      <c r="M399" s="112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</row>
    <row r="400" spans="1:29" ht="12" customHeight="1">
      <c r="A400" s="108"/>
      <c r="B400" s="109"/>
      <c r="C400" s="109"/>
      <c r="D400" s="109"/>
      <c r="E400" s="109"/>
      <c r="F400" s="109"/>
      <c r="G400" s="111"/>
      <c r="H400" s="111"/>
      <c r="I400" s="112"/>
      <c r="J400" s="112"/>
      <c r="K400" s="112"/>
      <c r="L400" s="112"/>
      <c r="M400" s="112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</row>
    <row r="401" spans="1:29" ht="12" customHeight="1">
      <c r="A401" s="108"/>
      <c r="B401" s="109"/>
      <c r="C401" s="109"/>
      <c r="D401" s="109"/>
      <c r="E401" s="109"/>
      <c r="F401" s="109"/>
      <c r="G401" s="111"/>
      <c r="H401" s="111"/>
      <c r="I401" s="112"/>
      <c r="J401" s="112"/>
      <c r="K401" s="112"/>
      <c r="L401" s="112"/>
      <c r="M401" s="112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</row>
    <row r="402" spans="1:29" ht="12" customHeight="1">
      <c r="A402" s="108"/>
      <c r="B402" s="109"/>
      <c r="C402" s="109"/>
      <c r="D402" s="109"/>
      <c r="E402" s="109"/>
      <c r="F402" s="109"/>
      <c r="G402" s="111"/>
      <c r="H402" s="111"/>
      <c r="I402" s="112"/>
      <c r="J402" s="112"/>
      <c r="K402" s="112"/>
      <c r="L402" s="112"/>
      <c r="M402" s="112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</row>
    <row r="403" spans="1:29" ht="12" customHeight="1">
      <c r="A403" s="108"/>
      <c r="B403" s="109"/>
      <c r="C403" s="109"/>
      <c r="D403" s="109"/>
      <c r="E403" s="109"/>
      <c r="F403" s="109"/>
      <c r="G403" s="111"/>
      <c r="H403" s="111"/>
      <c r="I403" s="112"/>
      <c r="J403" s="112"/>
      <c r="K403" s="112"/>
      <c r="L403" s="112"/>
      <c r="M403" s="112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</row>
    <row r="404" spans="1:29" ht="12" customHeight="1">
      <c r="A404" s="108"/>
      <c r="B404" s="109"/>
      <c r="C404" s="109"/>
      <c r="D404" s="109"/>
      <c r="E404" s="109"/>
      <c r="F404" s="109"/>
      <c r="G404" s="111"/>
      <c r="H404" s="111"/>
      <c r="I404" s="112"/>
      <c r="J404" s="112"/>
      <c r="K404" s="112"/>
      <c r="L404" s="112"/>
      <c r="M404" s="112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</row>
    <row r="405" spans="1:29" ht="12" customHeight="1">
      <c r="A405" s="108"/>
      <c r="B405" s="109"/>
      <c r="C405" s="109"/>
      <c r="D405" s="109"/>
      <c r="E405" s="109"/>
      <c r="F405" s="109"/>
      <c r="G405" s="111"/>
      <c r="H405" s="111"/>
      <c r="I405" s="112"/>
      <c r="J405" s="112"/>
      <c r="K405" s="112"/>
      <c r="L405" s="112"/>
      <c r="M405" s="112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</row>
    <row r="406" spans="1:29" ht="12" customHeight="1">
      <c r="A406" s="108"/>
      <c r="B406" s="109"/>
      <c r="C406" s="109"/>
      <c r="D406" s="109"/>
      <c r="E406" s="109"/>
      <c r="F406" s="109"/>
      <c r="G406" s="111"/>
      <c r="H406" s="111"/>
      <c r="I406" s="112"/>
      <c r="J406" s="112"/>
      <c r="K406" s="112"/>
      <c r="L406" s="112"/>
      <c r="M406" s="112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</row>
    <row r="407" spans="1:29" ht="12" customHeight="1">
      <c r="A407" s="108"/>
      <c r="B407" s="109"/>
      <c r="C407" s="109"/>
      <c r="D407" s="109"/>
      <c r="E407" s="109"/>
      <c r="F407" s="109"/>
      <c r="G407" s="111"/>
      <c r="H407" s="111"/>
      <c r="I407" s="112"/>
      <c r="J407" s="112"/>
      <c r="K407" s="112"/>
      <c r="L407" s="112"/>
      <c r="M407" s="112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</row>
    <row r="408" spans="1:29" ht="12" customHeight="1">
      <c r="A408" s="108"/>
      <c r="B408" s="109"/>
      <c r="C408" s="109"/>
      <c r="D408" s="109"/>
      <c r="E408" s="109"/>
      <c r="F408" s="109"/>
      <c r="G408" s="111"/>
      <c r="H408" s="111"/>
      <c r="I408" s="112"/>
      <c r="J408" s="112"/>
      <c r="K408" s="112"/>
      <c r="L408" s="112"/>
      <c r="M408" s="112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</row>
    <row r="409" spans="1:29" ht="12" customHeight="1">
      <c r="A409" s="108"/>
      <c r="B409" s="109"/>
      <c r="C409" s="109"/>
      <c r="D409" s="109"/>
      <c r="E409" s="109"/>
      <c r="F409" s="109"/>
      <c r="G409" s="111"/>
      <c r="H409" s="111"/>
      <c r="I409" s="112"/>
      <c r="J409" s="112"/>
      <c r="K409" s="112"/>
      <c r="L409" s="112"/>
      <c r="M409" s="112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</row>
    <row r="410" spans="1:29" ht="12" customHeight="1">
      <c r="A410" s="108"/>
      <c r="B410" s="109"/>
      <c r="C410" s="109"/>
      <c r="D410" s="109"/>
      <c r="E410" s="109"/>
      <c r="F410" s="109"/>
      <c r="G410" s="111"/>
      <c r="H410" s="111"/>
      <c r="I410" s="112"/>
      <c r="J410" s="112"/>
      <c r="K410" s="112"/>
      <c r="L410" s="112"/>
      <c r="M410" s="112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</row>
    <row r="411" spans="1:29" ht="12" customHeight="1">
      <c r="A411" s="108"/>
      <c r="B411" s="109"/>
      <c r="C411" s="109"/>
      <c r="D411" s="109"/>
      <c r="E411" s="109"/>
      <c r="F411" s="109"/>
      <c r="G411" s="111"/>
      <c r="H411" s="111"/>
      <c r="I411" s="112"/>
      <c r="J411" s="112"/>
      <c r="K411" s="112"/>
      <c r="L411" s="112"/>
      <c r="M411" s="112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</row>
    <row r="412" spans="1:29" ht="12" customHeight="1">
      <c r="A412" s="108"/>
      <c r="B412" s="109"/>
      <c r="C412" s="109"/>
      <c r="D412" s="109"/>
      <c r="E412" s="109"/>
      <c r="F412" s="109"/>
      <c r="G412" s="111"/>
      <c r="H412" s="111"/>
      <c r="I412" s="112"/>
      <c r="J412" s="112"/>
      <c r="K412" s="112"/>
      <c r="L412" s="112"/>
      <c r="M412" s="112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</row>
    <row r="413" spans="1:29" ht="12" customHeight="1">
      <c r="A413" s="108"/>
      <c r="B413" s="109"/>
      <c r="C413" s="109"/>
      <c r="D413" s="109"/>
      <c r="E413" s="109"/>
      <c r="F413" s="109"/>
      <c r="G413" s="111"/>
      <c r="H413" s="111"/>
      <c r="I413" s="112"/>
      <c r="J413" s="112"/>
      <c r="K413" s="112"/>
      <c r="L413" s="112"/>
      <c r="M413" s="112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</row>
    <row r="414" spans="1:29" ht="12" customHeight="1">
      <c r="A414" s="108"/>
      <c r="B414" s="109"/>
      <c r="C414" s="109"/>
      <c r="D414" s="109"/>
      <c r="E414" s="109"/>
      <c r="F414" s="109"/>
      <c r="G414" s="111"/>
      <c r="H414" s="111"/>
      <c r="I414" s="112"/>
      <c r="J414" s="112"/>
      <c r="K414" s="112"/>
      <c r="L414" s="112"/>
      <c r="M414" s="112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</row>
    <row r="415" spans="1:29" ht="12" customHeight="1">
      <c r="A415" s="108"/>
      <c r="B415" s="109"/>
      <c r="C415" s="109"/>
      <c r="D415" s="109"/>
      <c r="E415" s="109"/>
      <c r="F415" s="109"/>
      <c r="G415" s="111"/>
      <c r="H415" s="111"/>
      <c r="I415" s="112"/>
      <c r="J415" s="112"/>
      <c r="K415" s="112"/>
      <c r="L415" s="112"/>
      <c r="M415" s="112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</row>
    <row r="416" spans="1:29" ht="12" customHeight="1">
      <c r="A416" s="108"/>
      <c r="B416" s="109"/>
      <c r="C416" s="109"/>
      <c r="D416" s="109"/>
      <c r="E416" s="109"/>
      <c r="F416" s="109"/>
      <c r="G416" s="111"/>
      <c r="H416" s="111"/>
      <c r="I416" s="112"/>
      <c r="J416" s="112"/>
      <c r="K416" s="112"/>
      <c r="L416" s="112"/>
      <c r="M416" s="112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</row>
    <row r="417" spans="1:29" ht="12" customHeight="1">
      <c r="A417" s="108"/>
      <c r="B417" s="109"/>
      <c r="C417" s="109"/>
      <c r="D417" s="109"/>
      <c r="E417" s="109"/>
      <c r="F417" s="109"/>
      <c r="G417" s="111"/>
      <c r="H417" s="111"/>
      <c r="I417" s="112"/>
      <c r="J417" s="112"/>
      <c r="K417" s="112"/>
      <c r="L417" s="112"/>
      <c r="M417" s="112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</row>
    <row r="418" spans="1:29" ht="12" customHeight="1">
      <c r="A418" s="108"/>
      <c r="B418" s="109"/>
      <c r="C418" s="109"/>
      <c r="D418" s="109"/>
      <c r="E418" s="109"/>
      <c r="F418" s="109"/>
      <c r="G418" s="111"/>
      <c r="H418" s="111"/>
      <c r="I418" s="112"/>
      <c r="J418" s="112"/>
      <c r="K418" s="112"/>
      <c r="L418" s="112"/>
      <c r="M418" s="112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</row>
    <row r="419" spans="1:29" ht="12" customHeight="1">
      <c r="A419" s="108"/>
      <c r="B419" s="109"/>
      <c r="C419" s="109"/>
      <c r="D419" s="109"/>
      <c r="E419" s="109"/>
      <c r="F419" s="109"/>
      <c r="G419" s="111"/>
      <c r="H419" s="111"/>
      <c r="I419" s="112"/>
      <c r="J419" s="112"/>
      <c r="K419" s="112"/>
      <c r="L419" s="112"/>
      <c r="M419" s="112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</row>
    <row r="420" spans="1:29" ht="12" customHeight="1">
      <c r="A420" s="108"/>
      <c r="B420" s="109"/>
      <c r="C420" s="109"/>
      <c r="D420" s="109"/>
      <c r="E420" s="109"/>
      <c r="F420" s="109"/>
      <c r="G420" s="111"/>
      <c r="H420" s="111"/>
      <c r="I420" s="112"/>
      <c r="J420" s="112"/>
      <c r="K420" s="112"/>
      <c r="L420" s="112"/>
      <c r="M420" s="112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</row>
    <row r="421" spans="1:29" ht="12" customHeight="1">
      <c r="A421" s="108"/>
      <c r="B421" s="109"/>
      <c r="C421" s="109"/>
      <c r="D421" s="109"/>
      <c r="E421" s="109"/>
      <c r="F421" s="109"/>
      <c r="G421" s="111"/>
      <c r="H421" s="111"/>
      <c r="I421" s="112"/>
      <c r="J421" s="112"/>
      <c r="K421" s="112"/>
      <c r="L421" s="112"/>
      <c r="M421" s="112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</row>
    <row r="422" spans="1:29" ht="12" customHeight="1">
      <c r="A422" s="108"/>
      <c r="B422" s="109"/>
      <c r="C422" s="109"/>
      <c r="D422" s="109"/>
      <c r="E422" s="109"/>
      <c r="F422" s="109"/>
      <c r="G422" s="111"/>
      <c r="H422" s="111"/>
      <c r="I422" s="112"/>
      <c r="J422" s="112"/>
      <c r="K422" s="112"/>
      <c r="L422" s="112"/>
      <c r="M422" s="112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</row>
    <row r="423" spans="1:29" ht="12" customHeight="1">
      <c r="A423" s="108"/>
      <c r="B423" s="109"/>
      <c r="C423" s="109"/>
      <c r="D423" s="109"/>
      <c r="E423" s="109"/>
      <c r="F423" s="109"/>
      <c r="G423" s="111"/>
      <c r="H423" s="111"/>
      <c r="I423" s="112"/>
      <c r="J423" s="112"/>
      <c r="K423" s="112"/>
      <c r="L423" s="112"/>
      <c r="M423" s="112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</row>
    <row r="424" spans="1:29" ht="12" customHeight="1">
      <c r="A424" s="108"/>
      <c r="B424" s="109"/>
      <c r="C424" s="109"/>
      <c r="D424" s="109"/>
      <c r="E424" s="109"/>
      <c r="F424" s="109"/>
      <c r="G424" s="111"/>
      <c r="H424" s="111"/>
      <c r="I424" s="112"/>
      <c r="J424" s="112"/>
      <c r="K424" s="112"/>
      <c r="L424" s="112"/>
      <c r="M424" s="112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</row>
    <row r="425" spans="1:29" ht="12" customHeight="1">
      <c r="A425" s="108"/>
      <c r="B425" s="109"/>
      <c r="C425" s="109"/>
      <c r="D425" s="109"/>
      <c r="E425" s="109"/>
      <c r="F425" s="109"/>
      <c r="G425" s="111"/>
      <c r="H425" s="111"/>
      <c r="I425" s="112"/>
      <c r="J425" s="112"/>
      <c r="K425" s="112"/>
      <c r="L425" s="112"/>
      <c r="M425" s="112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</row>
    <row r="426" spans="1:29" ht="12" customHeight="1">
      <c r="A426" s="108"/>
      <c r="B426" s="109"/>
      <c r="C426" s="109"/>
      <c r="D426" s="109"/>
      <c r="E426" s="109"/>
      <c r="F426" s="109"/>
      <c r="G426" s="111"/>
      <c r="H426" s="111"/>
      <c r="I426" s="112"/>
      <c r="J426" s="112"/>
      <c r="K426" s="112"/>
      <c r="L426" s="112"/>
      <c r="M426" s="112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</row>
    <row r="427" spans="1:29" ht="12" customHeight="1">
      <c r="A427" s="108"/>
      <c r="B427" s="109"/>
      <c r="C427" s="109"/>
      <c r="D427" s="109"/>
      <c r="E427" s="109"/>
      <c r="F427" s="109"/>
      <c r="G427" s="111"/>
      <c r="H427" s="111"/>
      <c r="I427" s="112"/>
      <c r="J427" s="112"/>
      <c r="K427" s="112"/>
      <c r="L427" s="112"/>
      <c r="M427" s="112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</row>
    <row r="428" spans="1:29" ht="12" customHeight="1">
      <c r="A428" s="108"/>
      <c r="B428" s="109"/>
      <c r="C428" s="109"/>
      <c r="D428" s="109"/>
      <c r="E428" s="109"/>
      <c r="F428" s="109"/>
      <c r="G428" s="111"/>
      <c r="H428" s="111"/>
      <c r="I428" s="112"/>
      <c r="J428" s="112"/>
      <c r="K428" s="112"/>
      <c r="L428" s="112"/>
      <c r="M428" s="112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</row>
    <row r="429" spans="1:29" ht="12" customHeight="1">
      <c r="A429" s="108"/>
      <c r="B429" s="109"/>
      <c r="C429" s="109"/>
      <c r="D429" s="109"/>
      <c r="E429" s="109"/>
      <c r="F429" s="109"/>
      <c r="G429" s="111"/>
      <c r="H429" s="111"/>
      <c r="I429" s="112"/>
      <c r="J429" s="112"/>
      <c r="K429" s="112"/>
      <c r="L429" s="112"/>
      <c r="M429" s="112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</row>
    <row r="430" spans="1:29" ht="12" customHeight="1">
      <c r="A430" s="108"/>
      <c r="B430" s="109"/>
      <c r="C430" s="109"/>
      <c r="D430" s="109"/>
      <c r="E430" s="109"/>
      <c r="F430" s="109"/>
      <c r="G430" s="111"/>
      <c r="H430" s="111"/>
      <c r="I430" s="112"/>
      <c r="J430" s="112"/>
      <c r="K430" s="112"/>
      <c r="L430" s="112"/>
      <c r="M430" s="112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</row>
    <row r="431" spans="1:29" ht="12" customHeight="1">
      <c r="A431" s="108"/>
      <c r="B431" s="109"/>
      <c r="C431" s="109"/>
      <c r="D431" s="109"/>
      <c r="E431" s="109"/>
      <c r="F431" s="109"/>
      <c r="G431" s="111"/>
      <c r="H431" s="111"/>
      <c r="I431" s="112"/>
      <c r="J431" s="112"/>
      <c r="K431" s="112"/>
      <c r="L431" s="112"/>
      <c r="M431" s="112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</row>
    <row r="432" spans="1:29" ht="12" customHeight="1">
      <c r="A432" s="108"/>
      <c r="B432" s="109"/>
      <c r="C432" s="109"/>
      <c r="D432" s="109"/>
      <c r="E432" s="109"/>
      <c r="F432" s="109"/>
      <c r="G432" s="111"/>
      <c r="H432" s="111"/>
      <c r="I432" s="112"/>
      <c r="J432" s="112"/>
      <c r="K432" s="112"/>
      <c r="L432" s="112"/>
      <c r="M432" s="112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</row>
    <row r="433" spans="1:29" ht="12" customHeight="1">
      <c r="A433" s="108"/>
      <c r="B433" s="109"/>
      <c r="C433" s="109"/>
      <c r="D433" s="109"/>
      <c r="E433" s="109"/>
      <c r="F433" s="109"/>
      <c r="G433" s="111"/>
      <c r="H433" s="111"/>
      <c r="I433" s="112"/>
      <c r="J433" s="112"/>
      <c r="K433" s="112"/>
      <c r="L433" s="112"/>
      <c r="M433" s="112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</row>
    <row r="434" spans="1:29" ht="12" customHeight="1">
      <c r="A434" s="108"/>
      <c r="B434" s="109"/>
      <c r="C434" s="109"/>
      <c r="D434" s="109"/>
      <c r="E434" s="109"/>
      <c r="F434" s="109"/>
      <c r="G434" s="111"/>
      <c r="H434" s="111"/>
      <c r="I434" s="112"/>
      <c r="J434" s="112"/>
      <c r="K434" s="112"/>
      <c r="L434" s="112"/>
      <c r="M434" s="112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</row>
    <row r="435" spans="1:29" ht="12" customHeight="1">
      <c r="A435" s="108"/>
      <c r="B435" s="109"/>
      <c r="C435" s="109"/>
      <c r="D435" s="109"/>
      <c r="E435" s="109"/>
      <c r="F435" s="109"/>
      <c r="G435" s="111"/>
      <c r="H435" s="111"/>
      <c r="I435" s="112"/>
      <c r="J435" s="112"/>
      <c r="K435" s="112"/>
      <c r="L435" s="112"/>
      <c r="M435" s="112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</row>
    <row r="436" spans="1:29" ht="12" customHeight="1">
      <c r="A436" s="108"/>
      <c r="B436" s="109"/>
      <c r="C436" s="109"/>
      <c r="D436" s="109"/>
      <c r="E436" s="109"/>
      <c r="F436" s="109"/>
      <c r="G436" s="111"/>
      <c r="H436" s="111"/>
      <c r="I436" s="112"/>
      <c r="J436" s="112"/>
      <c r="K436" s="112"/>
      <c r="L436" s="112"/>
      <c r="M436" s="112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</row>
    <row r="437" spans="1:29" ht="12" customHeight="1">
      <c r="A437" s="108"/>
      <c r="B437" s="109"/>
      <c r="C437" s="109"/>
      <c r="D437" s="109"/>
      <c r="E437" s="109"/>
      <c r="F437" s="109"/>
      <c r="G437" s="111"/>
      <c r="H437" s="111"/>
      <c r="I437" s="112"/>
      <c r="J437" s="112"/>
      <c r="K437" s="112"/>
      <c r="L437" s="112"/>
      <c r="M437" s="112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</row>
    <row r="438" spans="1:29" ht="12" customHeight="1">
      <c r="A438" s="108"/>
      <c r="B438" s="109"/>
      <c r="C438" s="109"/>
      <c r="D438" s="109"/>
      <c r="E438" s="109"/>
      <c r="F438" s="109"/>
      <c r="G438" s="111"/>
      <c r="H438" s="111"/>
      <c r="I438" s="112"/>
      <c r="J438" s="112"/>
      <c r="K438" s="112"/>
      <c r="L438" s="112"/>
      <c r="M438" s="112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</row>
    <row r="439" spans="1:29" ht="12" customHeight="1">
      <c r="A439" s="108"/>
      <c r="B439" s="109"/>
      <c r="C439" s="109"/>
      <c r="D439" s="109"/>
      <c r="E439" s="109"/>
      <c r="F439" s="109"/>
      <c r="G439" s="111"/>
      <c r="H439" s="111"/>
      <c r="I439" s="112"/>
      <c r="J439" s="112"/>
      <c r="K439" s="112"/>
      <c r="L439" s="112"/>
      <c r="M439" s="112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</row>
    <row r="440" spans="1:29" ht="12" customHeight="1">
      <c r="A440" s="108"/>
      <c r="B440" s="109"/>
      <c r="C440" s="109"/>
      <c r="D440" s="109"/>
      <c r="E440" s="109"/>
      <c r="F440" s="109"/>
      <c r="G440" s="111"/>
      <c r="H440" s="111"/>
      <c r="I440" s="112"/>
      <c r="J440" s="112"/>
      <c r="K440" s="112"/>
      <c r="L440" s="112"/>
      <c r="M440" s="112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</row>
    <row r="441" spans="1:29" ht="12" customHeight="1">
      <c r="A441" s="108"/>
      <c r="B441" s="109"/>
      <c r="C441" s="109"/>
      <c r="D441" s="109"/>
      <c r="E441" s="109"/>
      <c r="F441" s="109"/>
      <c r="G441" s="111"/>
      <c r="H441" s="111"/>
      <c r="I441" s="112"/>
      <c r="J441" s="112"/>
      <c r="K441" s="112"/>
      <c r="L441" s="112"/>
      <c r="M441" s="112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</row>
    <row r="442" spans="1:29" ht="12" customHeight="1">
      <c r="A442" s="108"/>
      <c r="B442" s="109"/>
      <c r="C442" s="109"/>
      <c r="D442" s="109"/>
      <c r="E442" s="109"/>
      <c r="F442" s="109"/>
      <c r="G442" s="111"/>
      <c r="H442" s="111"/>
      <c r="I442" s="112"/>
      <c r="J442" s="112"/>
      <c r="K442" s="112"/>
      <c r="L442" s="112"/>
      <c r="M442" s="112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</row>
    <row r="443" spans="1:29" ht="12" customHeight="1">
      <c r="A443" s="108"/>
      <c r="B443" s="109"/>
      <c r="C443" s="109"/>
      <c r="D443" s="109"/>
      <c r="E443" s="109"/>
      <c r="F443" s="109"/>
      <c r="G443" s="111"/>
      <c r="H443" s="111"/>
      <c r="I443" s="112"/>
      <c r="J443" s="112"/>
      <c r="K443" s="112"/>
      <c r="L443" s="112"/>
      <c r="M443" s="112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</row>
    <row r="444" spans="1:29" ht="12" customHeight="1">
      <c r="A444" s="108"/>
      <c r="B444" s="109"/>
      <c r="C444" s="109"/>
      <c r="D444" s="109"/>
      <c r="E444" s="109"/>
      <c r="F444" s="109"/>
      <c r="G444" s="111"/>
      <c r="H444" s="111"/>
      <c r="I444" s="112"/>
      <c r="J444" s="112"/>
      <c r="K444" s="112"/>
      <c r="L444" s="112"/>
      <c r="M444" s="112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</row>
    <row r="445" spans="1:29" ht="12" customHeight="1">
      <c r="A445" s="108"/>
      <c r="B445" s="109"/>
      <c r="C445" s="109"/>
      <c r="D445" s="109"/>
      <c r="E445" s="109"/>
      <c r="F445" s="109"/>
      <c r="G445" s="111"/>
      <c r="H445" s="111"/>
      <c r="I445" s="112"/>
      <c r="J445" s="112"/>
      <c r="K445" s="112"/>
      <c r="L445" s="112"/>
      <c r="M445" s="112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</row>
    <row r="446" spans="1:29" ht="12" customHeight="1">
      <c r="A446" s="108"/>
      <c r="B446" s="109"/>
      <c r="C446" s="109"/>
      <c r="D446" s="109"/>
      <c r="E446" s="109"/>
      <c r="F446" s="109"/>
      <c r="G446" s="111"/>
      <c r="H446" s="111"/>
      <c r="I446" s="112"/>
      <c r="J446" s="112"/>
      <c r="K446" s="112"/>
      <c r="L446" s="112"/>
      <c r="M446" s="112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</row>
    <row r="447" spans="1:29" ht="12" customHeight="1">
      <c r="A447" s="108"/>
      <c r="B447" s="109"/>
      <c r="C447" s="109"/>
      <c r="D447" s="109"/>
      <c r="E447" s="109"/>
      <c r="F447" s="109"/>
      <c r="G447" s="111"/>
      <c r="H447" s="111"/>
      <c r="I447" s="112"/>
      <c r="J447" s="112"/>
      <c r="K447" s="112"/>
      <c r="L447" s="112"/>
      <c r="M447" s="112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</row>
    <row r="448" spans="1:29" ht="12" customHeight="1">
      <c r="A448" s="108"/>
      <c r="B448" s="109"/>
      <c r="C448" s="109"/>
      <c r="D448" s="109"/>
      <c r="E448" s="109"/>
      <c r="F448" s="109"/>
      <c r="G448" s="111"/>
      <c r="H448" s="111"/>
      <c r="I448" s="112"/>
      <c r="J448" s="112"/>
      <c r="K448" s="112"/>
      <c r="L448" s="112"/>
      <c r="M448" s="112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</row>
    <row r="449" spans="1:29" ht="12" customHeight="1">
      <c r="A449" s="108"/>
      <c r="B449" s="109"/>
      <c r="C449" s="109"/>
      <c r="D449" s="109"/>
      <c r="E449" s="109"/>
      <c r="F449" s="109"/>
      <c r="G449" s="111"/>
      <c r="H449" s="111"/>
      <c r="I449" s="112"/>
      <c r="J449" s="112"/>
      <c r="K449" s="112"/>
      <c r="L449" s="112"/>
      <c r="M449" s="112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</row>
    <row r="450" spans="1:29" ht="12" customHeight="1">
      <c r="A450" s="108"/>
      <c r="B450" s="109"/>
      <c r="C450" s="109"/>
      <c r="D450" s="109"/>
      <c r="E450" s="109"/>
      <c r="F450" s="109"/>
      <c r="G450" s="111"/>
      <c r="H450" s="111"/>
      <c r="I450" s="112"/>
      <c r="J450" s="112"/>
      <c r="K450" s="112"/>
      <c r="L450" s="112"/>
      <c r="M450" s="112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</row>
    <row r="451" spans="1:29" ht="12" customHeight="1">
      <c r="A451" s="108"/>
      <c r="B451" s="109"/>
      <c r="C451" s="109"/>
      <c r="D451" s="109"/>
      <c r="E451" s="109"/>
      <c r="F451" s="109"/>
      <c r="G451" s="111"/>
      <c r="H451" s="111"/>
      <c r="I451" s="112"/>
      <c r="J451" s="112"/>
      <c r="K451" s="112"/>
      <c r="L451" s="112"/>
      <c r="M451" s="112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</row>
    <row r="452" spans="1:29" ht="12" customHeight="1">
      <c r="A452" s="108"/>
      <c r="B452" s="109"/>
      <c r="C452" s="109"/>
      <c r="D452" s="109"/>
      <c r="E452" s="109"/>
      <c r="F452" s="109"/>
      <c r="G452" s="111"/>
      <c r="H452" s="111"/>
      <c r="I452" s="112"/>
      <c r="J452" s="112"/>
      <c r="K452" s="112"/>
      <c r="L452" s="112"/>
      <c r="M452" s="112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</row>
    <row r="453" spans="1:29" ht="12" customHeight="1">
      <c r="A453" s="108"/>
      <c r="B453" s="109"/>
      <c r="C453" s="109"/>
      <c r="D453" s="109"/>
      <c r="E453" s="109"/>
      <c r="F453" s="109"/>
      <c r="G453" s="111"/>
      <c r="H453" s="111"/>
      <c r="I453" s="112"/>
      <c r="J453" s="112"/>
      <c r="K453" s="112"/>
      <c r="L453" s="112"/>
      <c r="M453" s="112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</row>
    <row r="454" spans="1:29" ht="12" customHeight="1">
      <c r="A454" s="108"/>
      <c r="B454" s="109"/>
      <c r="C454" s="109"/>
      <c r="D454" s="109"/>
      <c r="E454" s="109"/>
      <c r="F454" s="109"/>
      <c r="G454" s="111"/>
      <c r="H454" s="111"/>
      <c r="I454" s="112"/>
      <c r="J454" s="112"/>
      <c r="K454" s="112"/>
      <c r="L454" s="112"/>
      <c r="M454" s="112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</row>
    <row r="455" spans="1:29" ht="12" customHeight="1">
      <c r="A455" s="108"/>
      <c r="B455" s="109"/>
      <c r="C455" s="109"/>
      <c r="D455" s="109"/>
      <c r="E455" s="109"/>
      <c r="F455" s="109"/>
      <c r="G455" s="111"/>
      <c r="H455" s="111"/>
      <c r="I455" s="112"/>
      <c r="J455" s="112"/>
      <c r="K455" s="112"/>
      <c r="L455" s="112"/>
      <c r="M455" s="112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</row>
    <row r="456" spans="1:29" ht="12" customHeight="1">
      <c r="A456" s="108"/>
      <c r="B456" s="109"/>
      <c r="C456" s="109"/>
      <c r="D456" s="109"/>
      <c r="E456" s="109"/>
      <c r="F456" s="109"/>
      <c r="G456" s="111"/>
      <c r="H456" s="111"/>
      <c r="I456" s="112"/>
      <c r="J456" s="112"/>
      <c r="K456" s="112"/>
      <c r="L456" s="112"/>
      <c r="M456" s="112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</row>
    <row r="457" spans="1:29" ht="12" customHeight="1">
      <c r="A457" s="108"/>
      <c r="B457" s="109"/>
      <c r="C457" s="109"/>
      <c r="D457" s="109"/>
      <c r="E457" s="109"/>
      <c r="F457" s="109"/>
      <c r="G457" s="111"/>
      <c r="H457" s="111"/>
      <c r="I457" s="112"/>
      <c r="J457" s="112"/>
      <c r="K457" s="112"/>
      <c r="L457" s="112"/>
      <c r="M457" s="112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</row>
    <row r="458" spans="1:29" ht="12" customHeight="1">
      <c r="A458" s="108"/>
      <c r="B458" s="109"/>
      <c r="C458" s="109"/>
      <c r="D458" s="109"/>
      <c r="E458" s="109"/>
      <c r="F458" s="109"/>
      <c r="G458" s="111"/>
      <c r="H458" s="111"/>
      <c r="I458" s="112"/>
      <c r="J458" s="112"/>
      <c r="K458" s="112"/>
      <c r="L458" s="112"/>
      <c r="M458" s="112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</row>
    <row r="459" spans="1:29" ht="12" customHeight="1">
      <c r="A459" s="108"/>
      <c r="B459" s="109"/>
      <c r="C459" s="109"/>
      <c r="D459" s="109"/>
      <c r="E459" s="109"/>
      <c r="F459" s="109"/>
      <c r="G459" s="111"/>
      <c r="H459" s="111"/>
      <c r="I459" s="112"/>
      <c r="J459" s="112"/>
      <c r="K459" s="112"/>
      <c r="L459" s="112"/>
      <c r="M459" s="112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</row>
    <row r="460" spans="1:29" ht="12" customHeight="1">
      <c r="A460" s="108"/>
      <c r="B460" s="109"/>
      <c r="C460" s="109"/>
      <c r="D460" s="109"/>
      <c r="E460" s="109"/>
      <c r="F460" s="109"/>
      <c r="G460" s="111"/>
      <c r="H460" s="111"/>
      <c r="I460" s="112"/>
      <c r="J460" s="112"/>
      <c r="K460" s="112"/>
      <c r="L460" s="112"/>
      <c r="M460" s="112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</row>
    <row r="461" spans="1:29" ht="12" customHeight="1">
      <c r="A461" s="108"/>
      <c r="B461" s="109"/>
      <c r="C461" s="109"/>
      <c r="D461" s="109"/>
      <c r="E461" s="109"/>
      <c r="F461" s="109"/>
      <c r="G461" s="111"/>
      <c r="H461" s="111"/>
      <c r="I461" s="112"/>
      <c r="J461" s="112"/>
      <c r="K461" s="112"/>
      <c r="L461" s="112"/>
      <c r="M461" s="112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</row>
    <row r="462" spans="1:29" ht="12" customHeight="1">
      <c r="A462" s="108"/>
      <c r="B462" s="109"/>
      <c r="C462" s="109"/>
      <c r="D462" s="109"/>
      <c r="E462" s="109"/>
      <c r="F462" s="109"/>
      <c r="G462" s="111"/>
      <c r="H462" s="111"/>
      <c r="I462" s="112"/>
      <c r="J462" s="112"/>
      <c r="K462" s="112"/>
      <c r="L462" s="112"/>
      <c r="M462" s="112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</row>
    <row r="463" spans="1:29" ht="12" customHeight="1">
      <c r="A463" s="108"/>
      <c r="B463" s="109"/>
      <c r="C463" s="109"/>
      <c r="D463" s="109"/>
      <c r="E463" s="109"/>
      <c r="F463" s="109"/>
      <c r="G463" s="111"/>
      <c r="H463" s="111"/>
      <c r="I463" s="112"/>
      <c r="J463" s="112"/>
      <c r="K463" s="112"/>
      <c r="L463" s="112"/>
      <c r="M463" s="112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</row>
    <row r="464" spans="1:29" ht="12" customHeight="1">
      <c r="A464" s="108"/>
      <c r="B464" s="109"/>
      <c r="C464" s="109"/>
      <c r="D464" s="109"/>
      <c r="E464" s="109"/>
      <c r="F464" s="109"/>
      <c r="G464" s="111"/>
      <c r="H464" s="111"/>
      <c r="I464" s="112"/>
      <c r="J464" s="112"/>
      <c r="K464" s="112"/>
      <c r="L464" s="112"/>
      <c r="M464" s="112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</row>
    <row r="465" spans="1:29" ht="12" customHeight="1">
      <c r="A465" s="108"/>
      <c r="B465" s="109"/>
      <c r="C465" s="109"/>
      <c r="D465" s="109"/>
      <c r="E465" s="109"/>
      <c r="F465" s="109"/>
      <c r="G465" s="111"/>
      <c r="H465" s="111"/>
      <c r="I465" s="112"/>
      <c r="J465" s="112"/>
      <c r="K465" s="112"/>
      <c r="L465" s="112"/>
      <c r="M465" s="112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</row>
    <row r="466" spans="1:29" ht="12" customHeight="1">
      <c r="A466" s="108"/>
      <c r="B466" s="109"/>
      <c r="C466" s="109"/>
      <c r="D466" s="109"/>
      <c r="E466" s="109"/>
      <c r="F466" s="109"/>
      <c r="G466" s="111"/>
      <c r="H466" s="111"/>
      <c r="I466" s="112"/>
      <c r="J466" s="112"/>
      <c r="K466" s="112"/>
      <c r="L466" s="112"/>
      <c r="M466" s="112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</row>
    <row r="467" spans="1:29" ht="12" customHeight="1">
      <c r="A467" s="108"/>
      <c r="B467" s="109"/>
      <c r="C467" s="109"/>
      <c r="D467" s="109"/>
      <c r="E467" s="109"/>
      <c r="F467" s="109"/>
      <c r="G467" s="111"/>
      <c r="H467" s="111"/>
      <c r="I467" s="112"/>
      <c r="J467" s="112"/>
      <c r="K467" s="112"/>
      <c r="L467" s="112"/>
      <c r="M467" s="112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</row>
    <row r="468" spans="1:29" ht="12" customHeight="1">
      <c r="A468" s="108"/>
      <c r="B468" s="109"/>
      <c r="C468" s="109"/>
      <c r="D468" s="109"/>
      <c r="E468" s="109"/>
      <c r="F468" s="109"/>
      <c r="G468" s="111"/>
      <c r="H468" s="111"/>
      <c r="I468" s="112"/>
      <c r="J468" s="112"/>
      <c r="K468" s="112"/>
      <c r="L468" s="112"/>
      <c r="M468" s="112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</row>
    <row r="469" spans="1:29" ht="12" customHeight="1">
      <c r="A469" s="108"/>
      <c r="B469" s="109"/>
      <c r="C469" s="109"/>
      <c r="D469" s="109"/>
      <c r="E469" s="109"/>
      <c r="F469" s="109"/>
      <c r="G469" s="111"/>
      <c r="H469" s="111"/>
      <c r="I469" s="112"/>
      <c r="J469" s="112"/>
      <c r="K469" s="112"/>
      <c r="L469" s="112"/>
      <c r="M469" s="112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</row>
    <row r="470" spans="1:29" ht="12" customHeight="1">
      <c r="A470" s="108"/>
      <c r="B470" s="109"/>
      <c r="C470" s="109"/>
      <c r="D470" s="109"/>
      <c r="E470" s="109"/>
      <c r="F470" s="109"/>
      <c r="G470" s="111"/>
      <c r="H470" s="111"/>
      <c r="I470" s="112"/>
      <c r="J470" s="112"/>
      <c r="K470" s="112"/>
      <c r="L470" s="112"/>
      <c r="M470" s="112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</row>
    <row r="471" spans="1:29" ht="12" customHeight="1">
      <c r="A471" s="108"/>
      <c r="B471" s="109"/>
      <c r="C471" s="109"/>
      <c r="D471" s="109"/>
      <c r="E471" s="109"/>
      <c r="F471" s="109"/>
      <c r="G471" s="111"/>
      <c r="H471" s="111"/>
      <c r="I471" s="112"/>
      <c r="J471" s="112"/>
      <c r="K471" s="112"/>
      <c r="L471" s="112"/>
      <c r="M471" s="112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</row>
    <row r="472" spans="1:29" ht="12" customHeight="1">
      <c r="A472" s="108"/>
      <c r="B472" s="109"/>
      <c r="C472" s="109"/>
      <c r="D472" s="109"/>
      <c r="E472" s="109"/>
      <c r="F472" s="109"/>
      <c r="G472" s="111"/>
      <c r="H472" s="111"/>
      <c r="I472" s="112"/>
      <c r="J472" s="112"/>
      <c r="K472" s="112"/>
      <c r="L472" s="112"/>
      <c r="M472" s="112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</row>
    <row r="473" spans="1:29" ht="12" customHeight="1">
      <c r="A473" s="108"/>
      <c r="B473" s="109"/>
      <c r="C473" s="109"/>
      <c r="D473" s="109"/>
      <c r="E473" s="109"/>
      <c r="F473" s="109"/>
      <c r="G473" s="111"/>
      <c r="H473" s="111"/>
      <c r="I473" s="112"/>
      <c r="J473" s="112"/>
      <c r="K473" s="112"/>
      <c r="L473" s="112"/>
      <c r="M473" s="112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</row>
    <row r="474" spans="1:29" ht="12" customHeight="1">
      <c r="A474" s="108"/>
      <c r="B474" s="109"/>
      <c r="C474" s="109"/>
      <c r="D474" s="109"/>
      <c r="E474" s="109"/>
      <c r="F474" s="109"/>
      <c r="G474" s="111"/>
      <c r="H474" s="111"/>
      <c r="I474" s="112"/>
      <c r="J474" s="112"/>
      <c r="K474" s="112"/>
      <c r="L474" s="112"/>
      <c r="M474" s="112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</row>
    <row r="475" spans="1:29" ht="12" customHeight="1">
      <c r="A475" s="108"/>
      <c r="B475" s="109"/>
      <c r="C475" s="109"/>
      <c r="D475" s="109"/>
      <c r="E475" s="109"/>
      <c r="F475" s="109"/>
      <c r="G475" s="111"/>
      <c r="H475" s="111"/>
      <c r="I475" s="112"/>
      <c r="J475" s="112"/>
      <c r="K475" s="112"/>
      <c r="L475" s="112"/>
      <c r="M475" s="112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</row>
    <row r="476" spans="1:29" ht="12" customHeight="1">
      <c r="A476" s="108"/>
      <c r="B476" s="109"/>
      <c r="C476" s="109"/>
      <c r="D476" s="109"/>
      <c r="E476" s="109"/>
      <c r="F476" s="109"/>
      <c r="G476" s="111"/>
      <c r="H476" s="111"/>
      <c r="I476" s="112"/>
      <c r="J476" s="112"/>
      <c r="K476" s="112"/>
      <c r="L476" s="112"/>
      <c r="M476" s="112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</row>
    <row r="477" spans="1:29" ht="12" customHeight="1">
      <c r="A477" s="108"/>
      <c r="B477" s="109"/>
      <c r="C477" s="109"/>
      <c r="D477" s="109"/>
      <c r="E477" s="109"/>
      <c r="F477" s="109"/>
      <c r="G477" s="111"/>
      <c r="H477" s="111"/>
      <c r="I477" s="112"/>
      <c r="J477" s="112"/>
      <c r="K477" s="112"/>
      <c r="L477" s="112"/>
      <c r="M477" s="112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</row>
    <row r="478" spans="1:29" ht="12" customHeight="1">
      <c r="A478" s="108"/>
      <c r="B478" s="109"/>
      <c r="C478" s="109"/>
      <c r="D478" s="109"/>
      <c r="E478" s="109"/>
      <c r="F478" s="109"/>
      <c r="G478" s="111"/>
      <c r="H478" s="111"/>
      <c r="I478" s="112"/>
      <c r="J478" s="112"/>
      <c r="K478" s="112"/>
      <c r="L478" s="112"/>
      <c r="M478" s="112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</row>
    <row r="479" spans="1:29" ht="12" customHeight="1">
      <c r="A479" s="108"/>
      <c r="B479" s="109"/>
      <c r="C479" s="109"/>
      <c r="D479" s="109"/>
      <c r="E479" s="109"/>
      <c r="F479" s="109"/>
      <c r="G479" s="111"/>
      <c r="H479" s="111"/>
      <c r="I479" s="112"/>
      <c r="J479" s="112"/>
      <c r="K479" s="112"/>
      <c r="L479" s="112"/>
      <c r="M479" s="112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</row>
    <row r="480" spans="1:29" ht="12" customHeight="1">
      <c r="A480" s="108"/>
      <c r="B480" s="109"/>
      <c r="C480" s="109"/>
      <c r="D480" s="109"/>
      <c r="E480" s="109"/>
      <c r="F480" s="109"/>
      <c r="G480" s="111"/>
      <c r="H480" s="111"/>
      <c r="I480" s="112"/>
      <c r="J480" s="112"/>
      <c r="K480" s="112"/>
      <c r="L480" s="112"/>
      <c r="M480" s="112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</row>
    <row r="481" spans="1:29" ht="12" customHeight="1">
      <c r="A481" s="108"/>
      <c r="B481" s="109"/>
      <c r="C481" s="109"/>
      <c r="D481" s="109"/>
      <c r="E481" s="109"/>
      <c r="F481" s="109"/>
      <c r="G481" s="111"/>
      <c r="H481" s="111"/>
      <c r="I481" s="112"/>
      <c r="J481" s="112"/>
      <c r="K481" s="112"/>
      <c r="L481" s="112"/>
      <c r="M481" s="112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</row>
    <row r="482" spans="1:29" ht="12" customHeight="1">
      <c r="A482" s="108"/>
      <c r="B482" s="109"/>
      <c r="C482" s="109"/>
      <c r="D482" s="109"/>
      <c r="E482" s="109"/>
      <c r="F482" s="109"/>
      <c r="G482" s="111"/>
      <c r="H482" s="111"/>
      <c r="I482" s="112"/>
      <c r="J482" s="112"/>
      <c r="K482" s="112"/>
      <c r="L482" s="112"/>
      <c r="M482" s="112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</row>
    <row r="483" spans="1:29" ht="12" customHeight="1">
      <c r="A483" s="108"/>
      <c r="B483" s="109"/>
      <c r="C483" s="109"/>
      <c r="D483" s="109"/>
      <c r="E483" s="109"/>
      <c r="F483" s="109"/>
      <c r="G483" s="111"/>
      <c r="H483" s="111"/>
      <c r="I483" s="112"/>
      <c r="J483" s="112"/>
      <c r="K483" s="112"/>
      <c r="L483" s="112"/>
      <c r="M483" s="112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</row>
    <row r="484" spans="1:29" ht="12" customHeight="1">
      <c r="A484" s="108"/>
      <c r="B484" s="109"/>
      <c r="C484" s="109"/>
      <c r="D484" s="109"/>
      <c r="E484" s="109"/>
      <c r="F484" s="109"/>
      <c r="G484" s="111"/>
      <c r="H484" s="111"/>
      <c r="I484" s="112"/>
      <c r="J484" s="112"/>
      <c r="K484" s="112"/>
      <c r="L484" s="112"/>
      <c r="M484" s="112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</row>
    <row r="485" spans="1:29" ht="12" customHeight="1">
      <c r="A485" s="108"/>
      <c r="B485" s="109"/>
      <c r="C485" s="109"/>
      <c r="D485" s="109"/>
      <c r="E485" s="109"/>
      <c r="F485" s="109"/>
      <c r="G485" s="111"/>
      <c r="H485" s="111"/>
      <c r="I485" s="112"/>
      <c r="J485" s="112"/>
      <c r="K485" s="112"/>
      <c r="L485" s="112"/>
      <c r="M485" s="112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</row>
    <row r="486" spans="1:29" ht="12" customHeight="1">
      <c r="A486" s="108"/>
      <c r="B486" s="109"/>
      <c r="C486" s="109"/>
      <c r="D486" s="109"/>
      <c r="E486" s="109"/>
      <c r="F486" s="109"/>
      <c r="G486" s="111"/>
      <c r="H486" s="111"/>
      <c r="I486" s="112"/>
      <c r="J486" s="112"/>
      <c r="K486" s="112"/>
      <c r="L486" s="112"/>
      <c r="M486" s="112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</row>
    <row r="487" spans="1:29" ht="12" customHeight="1">
      <c r="A487" s="108"/>
      <c r="B487" s="109"/>
      <c r="C487" s="109"/>
      <c r="D487" s="109"/>
      <c r="E487" s="109"/>
      <c r="F487" s="109"/>
      <c r="G487" s="111"/>
      <c r="H487" s="111"/>
      <c r="I487" s="112"/>
      <c r="J487" s="112"/>
      <c r="K487" s="112"/>
      <c r="L487" s="112"/>
      <c r="M487" s="112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</row>
    <row r="488" spans="1:29" ht="12" customHeight="1">
      <c r="A488" s="108"/>
      <c r="B488" s="109"/>
      <c r="C488" s="109"/>
      <c r="D488" s="109"/>
      <c r="E488" s="109"/>
      <c r="F488" s="109"/>
      <c r="G488" s="111"/>
      <c r="H488" s="111"/>
      <c r="I488" s="112"/>
      <c r="J488" s="112"/>
      <c r="K488" s="112"/>
      <c r="L488" s="112"/>
      <c r="M488" s="112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</row>
    <row r="489" spans="1:29" ht="12" customHeight="1">
      <c r="A489" s="108"/>
      <c r="B489" s="109"/>
      <c r="C489" s="109"/>
      <c r="D489" s="109"/>
      <c r="E489" s="109"/>
      <c r="F489" s="109"/>
      <c r="G489" s="111"/>
      <c r="H489" s="111"/>
      <c r="I489" s="112"/>
      <c r="J489" s="112"/>
      <c r="K489" s="112"/>
      <c r="L489" s="112"/>
      <c r="M489" s="112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</row>
    <row r="490" spans="1:29" ht="12" customHeight="1">
      <c r="A490" s="108"/>
      <c r="B490" s="109"/>
      <c r="C490" s="109"/>
      <c r="D490" s="109"/>
      <c r="E490" s="109"/>
      <c r="F490" s="109"/>
      <c r="G490" s="111"/>
      <c r="H490" s="111"/>
      <c r="I490" s="112"/>
      <c r="J490" s="112"/>
      <c r="K490" s="112"/>
      <c r="L490" s="112"/>
      <c r="M490" s="112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</row>
    <row r="491" spans="1:29" ht="12" customHeight="1">
      <c r="A491" s="108"/>
      <c r="B491" s="109"/>
      <c r="C491" s="109"/>
      <c r="D491" s="109"/>
      <c r="E491" s="109"/>
      <c r="F491" s="109"/>
      <c r="G491" s="111"/>
      <c r="H491" s="111"/>
      <c r="I491" s="112"/>
      <c r="J491" s="112"/>
      <c r="K491" s="112"/>
      <c r="L491" s="112"/>
      <c r="M491" s="112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</row>
    <row r="492" spans="1:29" ht="12" customHeight="1">
      <c r="A492" s="108"/>
      <c r="B492" s="109"/>
      <c r="C492" s="109"/>
      <c r="D492" s="109"/>
      <c r="E492" s="109"/>
      <c r="F492" s="109"/>
      <c r="G492" s="111"/>
      <c r="H492" s="111"/>
      <c r="I492" s="112"/>
      <c r="J492" s="112"/>
      <c r="K492" s="112"/>
      <c r="L492" s="112"/>
      <c r="M492" s="112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</row>
    <row r="493" spans="1:29" ht="12" customHeight="1">
      <c r="A493" s="108"/>
      <c r="B493" s="109"/>
      <c r="C493" s="109"/>
      <c r="D493" s="109"/>
      <c r="E493" s="109"/>
      <c r="F493" s="109"/>
      <c r="G493" s="111"/>
      <c r="H493" s="111"/>
      <c r="I493" s="112"/>
      <c r="J493" s="112"/>
      <c r="K493" s="112"/>
      <c r="L493" s="112"/>
      <c r="M493" s="112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</row>
    <row r="494" spans="1:29" ht="12" customHeight="1">
      <c r="A494" s="108"/>
      <c r="B494" s="109"/>
      <c r="C494" s="109"/>
      <c r="D494" s="109"/>
      <c r="E494" s="109"/>
      <c r="F494" s="109"/>
      <c r="G494" s="111"/>
      <c r="H494" s="111"/>
      <c r="I494" s="112"/>
      <c r="J494" s="112"/>
      <c r="K494" s="112"/>
      <c r="L494" s="112"/>
      <c r="M494" s="112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</row>
    <row r="495" spans="1:29" ht="12" customHeight="1">
      <c r="A495" s="108"/>
      <c r="B495" s="109"/>
      <c r="C495" s="109"/>
      <c r="D495" s="109"/>
      <c r="E495" s="109"/>
      <c r="F495" s="109"/>
      <c r="G495" s="111"/>
      <c r="H495" s="111"/>
      <c r="I495" s="112"/>
      <c r="J495" s="112"/>
      <c r="K495" s="112"/>
      <c r="L495" s="112"/>
      <c r="M495" s="112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</row>
    <row r="496" spans="1:29" ht="12" customHeight="1">
      <c r="A496" s="108"/>
      <c r="B496" s="109"/>
      <c r="C496" s="109"/>
      <c r="D496" s="109"/>
      <c r="E496" s="109"/>
      <c r="F496" s="109"/>
      <c r="G496" s="111"/>
      <c r="H496" s="111"/>
      <c r="I496" s="112"/>
      <c r="J496" s="112"/>
      <c r="K496" s="112"/>
      <c r="L496" s="112"/>
      <c r="M496" s="112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</row>
    <row r="497" spans="1:29" ht="12" customHeight="1">
      <c r="A497" s="108"/>
      <c r="B497" s="109"/>
      <c r="C497" s="109"/>
      <c r="D497" s="109"/>
      <c r="E497" s="109"/>
      <c r="F497" s="109"/>
      <c r="G497" s="111"/>
      <c r="H497" s="111"/>
      <c r="I497" s="112"/>
      <c r="J497" s="112"/>
      <c r="K497" s="112"/>
      <c r="L497" s="112"/>
      <c r="M497" s="112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</row>
    <row r="498" spans="1:29" ht="12" customHeight="1">
      <c r="A498" s="108"/>
      <c r="B498" s="109"/>
      <c r="C498" s="109"/>
      <c r="D498" s="109"/>
      <c r="E498" s="109"/>
      <c r="F498" s="109"/>
      <c r="G498" s="111"/>
      <c r="H498" s="111"/>
      <c r="I498" s="112"/>
      <c r="J498" s="112"/>
      <c r="K498" s="112"/>
      <c r="L498" s="112"/>
      <c r="M498" s="112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</row>
    <row r="499" spans="1:29" ht="12" customHeight="1">
      <c r="A499" s="108"/>
      <c r="B499" s="109"/>
      <c r="C499" s="109"/>
      <c r="D499" s="109"/>
      <c r="E499" s="109"/>
      <c r="F499" s="109"/>
      <c r="G499" s="111"/>
      <c r="H499" s="111"/>
      <c r="I499" s="112"/>
      <c r="J499" s="112"/>
      <c r="K499" s="112"/>
      <c r="L499" s="112"/>
      <c r="M499" s="112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</row>
    <row r="500" spans="1:29" ht="12" customHeight="1">
      <c r="A500" s="108"/>
      <c r="B500" s="109"/>
      <c r="C500" s="109"/>
      <c r="D500" s="109"/>
      <c r="E500" s="109"/>
      <c r="F500" s="109"/>
      <c r="G500" s="111"/>
      <c r="H500" s="111"/>
      <c r="I500" s="112"/>
      <c r="J500" s="112"/>
      <c r="K500" s="112"/>
      <c r="L500" s="112"/>
      <c r="M500" s="112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</row>
    <row r="501" spans="1:29" ht="12" customHeight="1">
      <c r="A501" s="108"/>
      <c r="B501" s="109"/>
      <c r="C501" s="109"/>
      <c r="D501" s="109"/>
      <c r="E501" s="109"/>
      <c r="F501" s="109"/>
      <c r="G501" s="111"/>
      <c r="H501" s="111"/>
      <c r="I501" s="112"/>
      <c r="J501" s="112"/>
      <c r="K501" s="112"/>
      <c r="L501" s="112"/>
      <c r="M501" s="112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</row>
    <row r="502" spans="1:29" ht="12" customHeight="1">
      <c r="A502" s="108"/>
      <c r="B502" s="109"/>
      <c r="C502" s="109"/>
      <c r="D502" s="109"/>
      <c r="E502" s="109"/>
      <c r="F502" s="109"/>
      <c r="G502" s="111"/>
      <c r="H502" s="111"/>
      <c r="I502" s="112"/>
      <c r="J502" s="112"/>
      <c r="K502" s="112"/>
      <c r="L502" s="112"/>
      <c r="M502" s="112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</row>
    <row r="503" spans="1:29" ht="12" customHeight="1">
      <c r="A503" s="108"/>
      <c r="B503" s="109"/>
      <c r="C503" s="109"/>
      <c r="D503" s="109"/>
      <c r="E503" s="109"/>
      <c r="F503" s="109"/>
      <c r="G503" s="111"/>
      <c r="H503" s="111"/>
      <c r="I503" s="112"/>
      <c r="J503" s="112"/>
      <c r="K503" s="112"/>
      <c r="L503" s="112"/>
      <c r="M503" s="112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</row>
    <row r="504" spans="1:29" ht="12" customHeight="1">
      <c r="A504" s="108"/>
      <c r="B504" s="109"/>
      <c r="C504" s="109"/>
      <c r="D504" s="109"/>
      <c r="E504" s="109"/>
      <c r="F504" s="109"/>
      <c r="G504" s="111"/>
      <c r="H504" s="111"/>
      <c r="I504" s="112"/>
      <c r="J504" s="112"/>
      <c r="K504" s="112"/>
      <c r="L504" s="112"/>
      <c r="M504" s="112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</row>
    <row r="505" spans="1:29" ht="12" customHeight="1">
      <c r="A505" s="108"/>
      <c r="B505" s="109"/>
      <c r="C505" s="109"/>
      <c r="D505" s="109"/>
      <c r="E505" s="109"/>
      <c r="F505" s="109"/>
      <c r="G505" s="111"/>
      <c r="H505" s="111"/>
      <c r="I505" s="112"/>
      <c r="J505" s="112"/>
      <c r="K505" s="112"/>
      <c r="L505" s="112"/>
      <c r="M505" s="112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</row>
    <row r="506" spans="1:29" ht="12" customHeight="1">
      <c r="A506" s="108"/>
      <c r="B506" s="109"/>
      <c r="C506" s="109"/>
      <c r="D506" s="109"/>
      <c r="E506" s="109"/>
      <c r="F506" s="109"/>
      <c r="G506" s="111"/>
      <c r="H506" s="111"/>
      <c r="I506" s="112"/>
      <c r="J506" s="112"/>
      <c r="K506" s="112"/>
      <c r="L506" s="112"/>
      <c r="M506" s="112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</row>
    <row r="507" spans="1:29" ht="12" customHeight="1">
      <c r="A507" s="108"/>
      <c r="B507" s="109"/>
      <c r="C507" s="109"/>
      <c r="D507" s="109"/>
      <c r="E507" s="109"/>
      <c r="F507" s="109"/>
      <c r="G507" s="111"/>
      <c r="H507" s="111"/>
      <c r="I507" s="112"/>
      <c r="J507" s="112"/>
      <c r="K507" s="112"/>
      <c r="L507" s="112"/>
      <c r="M507" s="112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</row>
    <row r="508" spans="1:29" ht="12" customHeight="1">
      <c r="A508" s="108"/>
      <c r="B508" s="109"/>
      <c r="C508" s="109"/>
      <c r="D508" s="109"/>
      <c r="E508" s="109"/>
      <c r="F508" s="109"/>
      <c r="G508" s="111"/>
      <c r="H508" s="111"/>
      <c r="I508" s="112"/>
      <c r="J508" s="112"/>
      <c r="K508" s="112"/>
      <c r="L508" s="112"/>
      <c r="M508" s="112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</row>
    <row r="509" spans="1:29" ht="12" customHeight="1">
      <c r="A509" s="108"/>
      <c r="B509" s="109"/>
      <c r="C509" s="109"/>
      <c r="D509" s="109"/>
      <c r="E509" s="109"/>
      <c r="F509" s="109"/>
      <c r="G509" s="111"/>
      <c r="H509" s="111"/>
      <c r="I509" s="112"/>
      <c r="J509" s="112"/>
      <c r="K509" s="112"/>
      <c r="L509" s="112"/>
      <c r="M509" s="112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</row>
    <row r="510" spans="1:29" ht="12" customHeight="1">
      <c r="A510" s="108"/>
      <c r="B510" s="109"/>
      <c r="C510" s="109"/>
      <c r="D510" s="109"/>
      <c r="E510" s="109"/>
      <c r="F510" s="109"/>
      <c r="G510" s="111"/>
      <c r="H510" s="111"/>
      <c r="I510" s="112"/>
      <c r="J510" s="112"/>
      <c r="K510" s="112"/>
      <c r="L510" s="112"/>
      <c r="M510" s="112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</row>
    <row r="511" spans="1:29" ht="12" customHeight="1">
      <c r="A511" s="108"/>
      <c r="B511" s="109"/>
      <c r="C511" s="109"/>
      <c r="D511" s="109"/>
      <c r="E511" s="109"/>
      <c r="F511" s="109"/>
      <c r="G511" s="111"/>
      <c r="H511" s="111"/>
      <c r="I511" s="112"/>
      <c r="J511" s="112"/>
      <c r="K511" s="112"/>
      <c r="L511" s="112"/>
      <c r="M511" s="112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</row>
    <row r="512" spans="1:29" ht="12" customHeight="1">
      <c r="A512" s="108"/>
      <c r="B512" s="109"/>
      <c r="C512" s="109"/>
      <c r="D512" s="109"/>
      <c r="E512" s="109"/>
      <c r="F512" s="109"/>
      <c r="G512" s="111"/>
      <c r="H512" s="111"/>
      <c r="I512" s="112"/>
      <c r="J512" s="112"/>
      <c r="K512" s="112"/>
      <c r="L512" s="112"/>
      <c r="M512" s="112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</row>
    <row r="513" spans="1:29" ht="12" customHeight="1">
      <c r="A513" s="108"/>
      <c r="B513" s="109"/>
      <c r="C513" s="109"/>
      <c r="D513" s="109"/>
      <c r="E513" s="109"/>
      <c r="F513" s="109"/>
      <c r="G513" s="111"/>
      <c r="H513" s="111"/>
      <c r="I513" s="112"/>
      <c r="J513" s="112"/>
      <c r="K513" s="112"/>
      <c r="L513" s="112"/>
      <c r="M513" s="112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</row>
    <row r="514" spans="1:29" ht="12" customHeight="1">
      <c r="A514" s="108"/>
      <c r="B514" s="109"/>
      <c r="C514" s="109"/>
      <c r="D514" s="109"/>
      <c r="E514" s="109"/>
      <c r="F514" s="109"/>
      <c r="G514" s="111"/>
      <c r="H514" s="111"/>
      <c r="I514" s="112"/>
      <c r="J514" s="112"/>
      <c r="K514" s="112"/>
      <c r="L514" s="112"/>
      <c r="M514" s="112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</row>
    <row r="515" spans="1:29" ht="12" customHeight="1">
      <c r="A515" s="108"/>
      <c r="B515" s="109"/>
      <c r="C515" s="109"/>
      <c r="D515" s="109"/>
      <c r="E515" s="109"/>
      <c r="F515" s="109"/>
      <c r="G515" s="111"/>
      <c r="H515" s="111"/>
      <c r="I515" s="112"/>
      <c r="J515" s="112"/>
      <c r="K515" s="112"/>
      <c r="L515" s="112"/>
      <c r="M515" s="112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</row>
    <row r="516" spans="1:29" ht="12" customHeight="1">
      <c r="A516" s="108"/>
      <c r="B516" s="109"/>
      <c r="C516" s="109"/>
      <c r="D516" s="109"/>
      <c r="E516" s="109"/>
      <c r="F516" s="109"/>
      <c r="G516" s="111"/>
      <c r="H516" s="111"/>
      <c r="I516" s="112"/>
      <c r="J516" s="112"/>
      <c r="K516" s="112"/>
      <c r="L516" s="112"/>
      <c r="M516" s="112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</row>
    <row r="517" spans="1:29" ht="12" customHeight="1">
      <c r="A517" s="108"/>
      <c r="B517" s="109"/>
      <c r="C517" s="109"/>
      <c r="D517" s="109"/>
      <c r="E517" s="109"/>
      <c r="F517" s="109"/>
      <c r="G517" s="111"/>
      <c r="H517" s="111"/>
      <c r="I517" s="112"/>
      <c r="J517" s="112"/>
      <c r="K517" s="112"/>
      <c r="L517" s="112"/>
      <c r="M517" s="112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</row>
    <row r="518" spans="1:29" ht="12" customHeight="1">
      <c r="A518" s="108"/>
      <c r="B518" s="109"/>
      <c r="C518" s="109"/>
      <c r="D518" s="109"/>
      <c r="E518" s="109"/>
      <c r="F518" s="109"/>
      <c r="G518" s="111"/>
      <c r="H518" s="111"/>
      <c r="I518" s="112"/>
      <c r="J518" s="112"/>
      <c r="K518" s="112"/>
      <c r="L518" s="112"/>
      <c r="M518" s="112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</row>
    <row r="519" spans="1:29" ht="12" customHeight="1">
      <c r="A519" s="108"/>
      <c r="B519" s="109"/>
      <c r="C519" s="109"/>
      <c r="D519" s="109"/>
      <c r="E519" s="109"/>
      <c r="F519" s="109"/>
      <c r="G519" s="111"/>
      <c r="H519" s="111"/>
      <c r="I519" s="112"/>
      <c r="J519" s="112"/>
      <c r="K519" s="112"/>
      <c r="L519" s="112"/>
      <c r="M519" s="112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</row>
    <row r="520" spans="1:29" ht="12" customHeight="1">
      <c r="A520" s="108"/>
      <c r="B520" s="109"/>
      <c r="C520" s="109"/>
      <c r="D520" s="109"/>
      <c r="E520" s="109"/>
      <c r="F520" s="109"/>
      <c r="G520" s="111"/>
      <c r="H520" s="111"/>
      <c r="I520" s="112"/>
      <c r="J520" s="112"/>
      <c r="K520" s="112"/>
      <c r="L520" s="112"/>
      <c r="M520" s="112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</row>
    <row r="521" spans="1:29" ht="12" customHeight="1">
      <c r="A521" s="108"/>
      <c r="B521" s="109"/>
      <c r="C521" s="109"/>
      <c r="D521" s="109"/>
      <c r="E521" s="109"/>
      <c r="F521" s="109"/>
      <c r="G521" s="111"/>
      <c r="H521" s="111"/>
      <c r="I521" s="112"/>
      <c r="J521" s="112"/>
      <c r="K521" s="112"/>
      <c r="L521" s="112"/>
      <c r="M521" s="112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</row>
    <row r="522" spans="1:29" ht="12" customHeight="1">
      <c r="A522" s="108"/>
      <c r="B522" s="109"/>
      <c r="C522" s="109"/>
      <c r="D522" s="109"/>
      <c r="E522" s="109"/>
      <c r="F522" s="109"/>
      <c r="G522" s="111"/>
      <c r="H522" s="111"/>
      <c r="I522" s="112"/>
      <c r="J522" s="112"/>
      <c r="K522" s="112"/>
      <c r="L522" s="112"/>
      <c r="M522" s="112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</row>
    <row r="523" spans="1:29" ht="12" customHeight="1">
      <c r="A523" s="108"/>
      <c r="B523" s="109"/>
      <c r="C523" s="109"/>
      <c r="D523" s="109"/>
      <c r="E523" s="109"/>
      <c r="F523" s="109"/>
      <c r="G523" s="111"/>
      <c r="H523" s="111"/>
      <c r="I523" s="112"/>
      <c r="J523" s="112"/>
      <c r="K523" s="112"/>
      <c r="L523" s="112"/>
      <c r="M523" s="112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</row>
    <row r="524" spans="1:29" ht="12" customHeight="1">
      <c r="A524" s="108"/>
      <c r="B524" s="109"/>
      <c r="C524" s="109"/>
      <c r="D524" s="109"/>
      <c r="E524" s="109"/>
      <c r="F524" s="109"/>
      <c r="G524" s="111"/>
      <c r="H524" s="111"/>
      <c r="I524" s="112"/>
      <c r="J524" s="112"/>
      <c r="K524" s="112"/>
      <c r="L524" s="112"/>
      <c r="M524" s="112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</row>
    <row r="525" spans="1:29" ht="12" customHeight="1">
      <c r="A525" s="108"/>
      <c r="B525" s="109"/>
      <c r="C525" s="109"/>
      <c r="D525" s="109"/>
      <c r="E525" s="109"/>
      <c r="F525" s="109"/>
      <c r="G525" s="111"/>
      <c r="H525" s="111"/>
      <c r="I525" s="112"/>
      <c r="J525" s="112"/>
      <c r="K525" s="112"/>
      <c r="L525" s="112"/>
      <c r="M525" s="112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</row>
    <row r="526" spans="1:29" ht="12" customHeight="1">
      <c r="A526" s="108"/>
      <c r="B526" s="109"/>
      <c r="C526" s="109"/>
      <c r="D526" s="109"/>
      <c r="E526" s="109"/>
      <c r="F526" s="109"/>
      <c r="G526" s="111"/>
      <c r="H526" s="111"/>
      <c r="I526" s="112"/>
      <c r="J526" s="112"/>
      <c r="K526" s="112"/>
      <c r="L526" s="112"/>
      <c r="M526" s="112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</row>
    <row r="527" spans="1:29" ht="12" customHeight="1">
      <c r="A527" s="108"/>
      <c r="B527" s="109"/>
      <c r="C527" s="109"/>
      <c r="D527" s="109"/>
      <c r="E527" s="109"/>
      <c r="F527" s="109"/>
      <c r="G527" s="111"/>
      <c r="H527" s="111"/>
      <c r="I527" s="112"/>
      <c r="J527" s="112"/>
      <c r="K527" s="112"/>
      <c r="L527" s="112"/>
      <c r="M527" s="112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</row>
    <row r="528" spans="1:29" ht="12" customHeight="1">
      <c r="A528" s="108"/>
      <c r="B528" s="109"/>
      <c r="C528" s="109"/>
      <c r="D528" s="109"/>
      <c r="E528" s="109"/>
      <c r="F528" s="109"/>
      <c r="G528" s="111"/>
      <c r="H528" s="111"/>
      <c r="I528" s="112"/>
      <c r="J528" s="112"/>
      <c r="K528" s="112"/>
      <c r="L528" s="112"/>
      <c r="M528" s="112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</row>
    <row r="529" spans="1:29" ht="12" customHeight="1">
      <c r="A529" s="108"/>
      <c r="B529" s="109"/>
      <c r="C529" s="109"/>
      <c r="D529" s="109"/>
      <c r="E529" s="109"/>
      <c r="F529" s="109"/>
      <c r="G529" s="111"/>
      <c r="H529" s="111"/>
      <c r="I529" s="112"/>
      <c r="J529" s="112"/>
      <c r="K529" s="112"/>
      <c r="L529" s="112"/>
      <c r="M529" s="112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</row>
    <row r="530" spans="1:29" ht="12" customHeight="1">
      <c r="A530" s="108"/>
      <c r="B530" s="109"/>
      <c r="C530" s="109"/>
      <c r="D530" s="109"/>
      <c r="E530" s="109"/>
      <c r="F530" s="109"/>
      <c r="G530" s="111"/>
      <c r="H530" s="111"/>
      <c r="I530" s="112"/>
      <c r="J530" s="112"/>
      <c r="K530" s="112"/>
      <c r="L530" s="112"/>
      <c r="M530" s="112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</row>
    <row r="531" spans="1:29" ht="12" customHeight="1">
      <c r="A531" s="108"/>
      <c r="B531" s="109"/>
      <c r="C531" s="109"/>
      <c r="D531" s="109"/>
      <c r="E531" s="109"/>
      <c r="F531" s="109"/>
      <c r="G531" s="111"/>
      <c r="H531" s="111"/>
      <c r="I531" s="112"/>
      <c r="J531" s="112"/>
      <c r="K531" s="112"/>
      <c r="L531" s="112"/>
      <c r="M531" s="112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</row>
    <row r="532" spans="1:29" ht="12" customHeight="1">
      <c r="A532" s="108"/>
      <c r="B532" s="109"/>
      <c r="C532" s="109"/>
      <c r="D532" s="109"/>
      <c r="E532" s="109"/>
      <c r="F532" s="109"/>
      <c r="G532" s="111"/>
      <c r="H532" s="111"/>
      <c r="I532" s="112"/>
      <c r="J532" s="112"/>
      <c r="K532" s="112"/>
      <c r="L532" s="112"/>
      <c r="M532" s="112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</row>
    <row r="533" spans="1:29" ht="12" customHeight="1">
      <c r="A533" s="108"/>
      <c r="B533" s="109"/>
      <c r="C533" s="109"/>
      <c r="D533" s="109"/>
      <c r="E533" s="109"/>
      <c r="F533" s="109"/>
      <c r="G533" s="111"/>
      <c r="H533" s="111"/>
      <c r="I533" s="112"/>
      <c r="J533" s="112"/>
      <c r="K533" s="112"/>
      <c r="L533" s="112"/>
      <c r="M533" s="112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</row>
    <row r="534" spans="1:29" ht="12" customHeight="1">
      <c r="A534" s="108"/>
      <c r="B534" s="109"/>
      <c r="C534" s="109"/>
      <c r="D534" s="109"/>
      <c r="E534" s="109"/>
      <c r="F534" s="109"/>
      <c r="G534" s="111"/>
      <c r="H534" s="111"/>
      <c r="I534" s="112"/>
      <c r="J534" s="112"/>
      <c r="K534" s="112"/>
      <c r="L534" s="112"/>
      <c r="M534" s="112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</row>
    <row r="535" spans="1:29" ht="12" customHeight="1">
      <c r="A535" s="108"/>
      <c r="B535" s="109"/>
      <c r="C535" s="109"/>
      <c r="D535" s="109"/>
      <c r="E535" s="109"/>
      <c r="F535" s="109"/>
      <c r="G535" s="111"/>
      <c r="H535" s="111"/>
      <c r="I535" s="112"/>
      <c r="J535" s="112"/>
      <c r="K535" s="112"/>
      <c r="L535" s="112"/>
      <c r="M535" s="112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</row>
    <row r="536" spans="1:29" ht="12" customHeight="1">
      <c r="A536" s="108"/>
      <c r="B536" s="109"/>
      <c r="C536" s="109"/>
      <c r="D536" s="109"/>
      <c r="E536" s="109"/>
      <c r="F536" s="109"/>
      <c r="G536" s="111"/>
      <c r="H536" s="111"/>
      <c r="I536" s="112"/>
      <c r="J536" s="112"/>
      <c r="K536" s="112"/>
      <c r="L536" s="112"/>
      <c r="M536" s="112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</row>
    <row r="537" spans="1:29" ht="12" customHeight="1">
      <c r="A537" s="108"/>
      <c r="B537" s="109"/>
      <c r="C537" s="109"/>
      <c r="D537" s="109"/>
      <c r="E537" s="109"/>
      <c r="F537" s="109"/>
      <c r="G537" s="111"/>
      <c r="H537" s="111"/>
      <c r="I537" s="112"/>
      <c r="J537" s="112"/>
      <c r="K537" s="112"/>
      <c r="L537" s="112"/>
      <c r="M537" s="112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</row>
    <row r="538" spans="1:29" ht="12" customHeight="1">
      <c r="A538" s="108"/>
      <c r="B538" s="109"/>
      <c r="C538" s="109"/>
      <c r="D538" s="109"/>
      <c r="E538" s="109"/>
      <c r="F538" s="109"/>
      <c r="G538" s="111"/>
      <c r="H538" s="111"/>
      <c r="I538" s="112"/>
      <c r="J538" s="112"/>
      <c r="K538" s="112"/>
      <c r="L538" s="112"/>
      <c r="M538" s="112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</row>
    <row r="539" spans="1:29" ht="12" customHeight="1">
      <c r="A539" s="108"/>
      <c r="B539" s="109"/>
      <c r="C539" s="109"/>
      <c r="D539" s="109"/>
      <c r="E539" s="109"/>
      <c r="F539" s="109"/>
      <c r="G539" s="111"/>
      <c r="H539" s="111"/>
      <c r="I539" s="112"/>
      <c r="J539" s="112"/>
      <c r="K539" s="112"/>
      <c r="L539" s="112"/>
      <c r="M539" s="112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</row>
    <row r="540" spans="1:29" ht="12" customHeight="1">
      <c r="A540" s="108"/>
      <c r="B540" s="109"/>
      <c r="C540" s="109"/>
      <c r="D540" s="109"/>
      <c r="E540" s="109"/>
      <c r="F540" s="109"/>
      <c r="G540" s="111"/>
      <c r="H540" s="111"/>
      <c r="I540" s="112"/>
      <c r="J540" s="112"/>
      <c r="K540" s="112"/>
      <c r="L540" s="112"/>
      <c r="M540" s="112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</row>
    <row r="541" spans="1:29" ht="12" customHeight="1">
      <c r="A541" s="108"/>
      <c r="B541" s="109"/>
      <c r="C541" s="109"/>
      <c r="D541" s="109"/>
      <c r="E541" s="109"/>
      <c r="F541" s="109"/>
      <c r="G541" s="111"/>
      <c r="H541" s="111"/>
      <c r="I541" s="112"/>
      <c r="J541" s="112"/>
      <c r="K541" s="112"/>
      <c r="L541" s="112"/>
      <c r="M541" s="112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</row>
    <row r="542" spans="1:29" ht="12" customHeight="1">
      <c r="A542" s="108"/>
      <c r="B542" s="109"/>
      <c r="C542" s="109"/>
      <c r="D542" s="109"/>
      <c r="E542" s="109"/>
      <c r="F542" s="109"/>
      <c r="G542" s="111"/>
      <c r="H542" s="111"/>
      <c r="I542" s="112"/>
      <c r="J542" s="112"/>
      <c r="K542" s="112"/>
      <c r="L542" s="112"/>
      <c r="M542" s="112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</row>
    <row r="543" spans="1:29" ht="12" customHeight="1">
      <c r="A543" s="108"/>
      <c r="B543" s="109"/>
      <c r="C543" s="109"/>
      <c r="D543" s="109"/>
      <c r="E543" s="109"/>
      <c r="F543" s="109"/>
      <c r="G543" s="111"/>
      <c r="H543" s="111"/>
      <c r="I543" s="112"/>
      <c r="J543" s="112"/>
      <c r="K543" s="112"/>
      <c r="L543" s="112"/>
      <c r="M543" s="112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</row>
    <row r="544" spans="1:29" ht="12" customHeight="1">
      <c r="A544" s="108"/>
      <c r="B544" s="109"/>
      <c r="C544" s="109"/>
      <c r="D544" s="109"/>
      <c r="E544" s="109"/>
      <c r="F544" s="109"/>
      <c r="G544" s="111"/>
      <c r="H544" s="111"/>
      <c r="I544" s="112"/>
      <c r="J544" s="112"/>
      <c r="K544" s="112"/>
      <c r="L544" s="112"/>
      <c r="M544" s="112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</row>
    <row r="545" spans="1:29" ht="12" customHeight="1">
      <c r="A545" s="108"/>
      <c r="B545" s="109"/>
      <c r="C545" s="109"/>
      <c r="D545" s="109"/>
      <c r="E545" s="109"/>
      <c r="F545" s="109"/>
      <c r="G545" s="111"/>
      <c r="H545" s="111"/>
      <c r="I545" s="112"/>
      <c r="J545" s="112"/>
      <c r="K545" s="112"/>
      <c r="L545" s="112"/>
      <c r="M545" s="112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</row>
    <row r="546" spans="1:29" ht="12" customHeight="1">
      <c r="A546" s="108"/>
      <c r="B546" s="109"/>
      <c r="C546" s="109"/>
      <c r="D546" s="109"/>
      <c r="E546" s="109"/>
      <c r="F546" s="109"/>
      <c r="G546" s="111"/>
      <c r="H546" s="111"/>
      <c r="I546" s="112"/>
      <c r="J546" s="112"/>
      <c r="K546" s="112"/>
      <c r="L546" s="112"/>
      <c r="M546" s="112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</row>
    <row r="547" spans="1:29" ht="12" customHeight="1">
      <c r="A547" s="108"/>
      <c r="B547" s="109"/>
      <c r="C547" s="109"/>
      <c r="D547" s="109"/>
      <c r="E547" s="109"/>
      <c r="F547" s="109"/>
      <c r="G547" s="111"/>
      <c r="H547" s="111"/>
      <c r="I547" s="112"/>
      <c r="J547" s="112"/>
      <c r="K547" s="112"/>
      <c r="L547" s="112"/>
      <c r="M547" s="112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</row>
    <row r="548" spans="1:29" ht="12" customHeight="1">
      <c r="A548" s="108"/>
      <c r="B548" s="109"/>
      <c r="C548" s="109"/>
      <c r="D548" s="109"/>
      <c r="E548" s="109"/>
      <c r="F548" s="109"/>
      <c r="G548" s="111"/>
      <c r="H548" s="111"/>
      <c r="I548" s="112"/>
      <c r="J548" s="112"/>
      <c r="K548" s="112"/>
      <c r="L548" s="112"/>
      <c r="M548" s="112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</row>
    <row r="549" spans="1:29" ht="12" customHeight="1">
      <c r="A549" s="108"/>
      <c r="B549" s="109"/>
      <c r="C549" s="109"/>
      <c r="D549" s="109"/>
      <c r="E549" s="109"/>
      <c r="F549" s="109"/>
      <c r="G549" s="111"/>
      <c r="H549" s="111"/>
      <c r="I549" s="112"/>
      <c r="J549" s="112"/>
      <c r="K549" s="112"/>
      <c r="L549" s="112"/>
      <c r="M549" s="112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</row>
    <row r="550" spans="1:29" ht="12" customHeight="1">
      <c r="A550" s="108"/>
      <c r="B550" s="109"/>
      <c r="C550" s="109"/>
      <c r="D550" s="109"/>
      <c r="E550" s="109"/>
      <c r="F550" s="109"/>
      <c r="G550" s="111"/>
      <c r="H550" s="111"/>
      <c r="I550" s="112"/>
      <c r="J550" s="112"/>
      <c r="K550" s="112"/>
      <c r="L550" s="112"/>
      <c r="M550" s="112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</row>
    <row r="551" spans="1:29" ht="12" customHeight="1">
      <c r="A551" s="108"/>
      <c r="B551" s="109"/>
      <c r="C551" s="109"/>
      <c r="D551" s="109"/>
      <c r="E551" s="109"/>
      <c r="F551" s="109"/>
      <c r="G551" s="111"/>
      <c r="H551" s="111"/>
      <c r="I551" s="112"/>
      <c r="J551" s="112"/>
      <c r="K551" s="112"/>
      <c r="L551" s="112"/>
      <c r="M551" s="112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</row>
    <row r="552" spans="1:29" ht="12" customHeight="1">
      <c r="A552" s="108"/>
      <c r="B552" s="109"/>
      <c r="C552" s="109"/>
      <c r="D552" s="109"/>
      <c r="E552" s="109"/>
      <c r="F552" s="109"/>
      <c r="G552" s="111"/>
      <c r="H552" s="111"/>
      <c r="I552" s="112"/>
      <c r="J552" s="112"/>
      <c r="K552" s="112"/>
      <c r="L552" s="112"/>
      <c r="M552" s="112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</row>
    <row r="553" spans="1:29" ht="12" customHeight="1">
      <c r="A553" s="108"/>
      <c r="B553" s="109"/>
      <c r="C553" s="109"/>
      <c r="D553" s="109"/>
      <c r="E553" s="109"/>
      <c r="F553" s="109"/>
      <c r="G553" s="111"/>
      <c r="H553" s="111"/>
      <c r="I553" s="112"/>
      <c r="J553" s="112"/>
      <c r="K553" s="112"/>
      <c r="L553" s="112"/>
      <c r="M553" s="112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</row>
    <row r="554" spans="1:29" ht="12" customHeight="1">
      <c r="A554" s="108"/>
      <c r="B554" s="109"/>
      <c r="C554" s="109"/>
      <c r="D554" s="109"/>
      <c r="E554" s="109"/>
      <c r="F554" s="109"/>
      <c r="G554" s="111"/>
      <c r="H554" s="111"/>
      <c r="I554" s="112"/>
      <c r="J554" s="112"/>
      <c r="K554" s="112"/>
      <c r="L554" s="112"/>
      <c r="M554" s="112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</row>
    <row r="555" spans="1:29" ht="12" customHeight="1">
      <c r="A555" s="108"/>
      <c r="B555" s="109"/>
      <c r="C555" s="109"/>
      <c r="D555" s="109"/>
      <c r="E555" s="109"/>
      <c r="F555" s="109"/>
      <c r="G555" s="111"/>
      <c r="H555" s="111"/>
      <c r="I555" s="112"/>
      <c r="J555" s="112"/>
      <c r="K555" s="112"/>
      <c r="L555" s="112"/>
      <c r="M555" s="112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</row>
    <row r="556" spans="1:29" ht="12" customHeight="1">
      <c r="A556" s="108"/>
      <c r="B556" s="109"/>
      <c r="C556" s="109"/>
      <c r="D556" s="109"/>
      <c r="E556" s="109"/>
      <c r="F556" s="109"/>
      <c r="G556" s="111"/>
      <c r="H556" s="111"/>
      <c r="I556" s="112"/>
      <c r="J556" s="112"/>
      <c r="K556" s="112"/>
      <c r="L556" s="112"/>
      <c r="M556" s="112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</row>
    <row r="557" spans="1:29" ht="12" customHeight="1">
      <c r="A557" s="108"/>
      <c r="B557" s="109"/>
      <c r="C557" s="109"/>
      <c r="D557" s="109"/>
      <c r="E557" s="109"/>
      <c r="F557" s="109"/>
      <c r="G557" s="111"/>
      <c r="H557" s="111"/>
      <c r="I557" s="112"/>
      <c r="J557" s="112"/>
      <c r="K557" s="112"/>
      <c r="L557" s="112"/>
      <c r="M557" s="112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</row>
    <row r="558" spans="1:29" ht="12" customHeight="1">
      <c r="A558" s="108"/>
      <c r="B558" s="109"/>
      <c r="C558" s="109"/>
      <c r="D558" s="109"/>
      <c r="E558" s="109"/>
      <c r="F558" s="109"/>
      <c r="G558" s="111"/>
      <c r="H558" s="111"/>
      <c r="I558" s="112"/>
      <c r="J558" s="112"/>
      <c r="K558" s="112"/>
      <c r="L558" s="112"/>
      <c r="M558" s="112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</row>
    <row r="559" spans="1:29" ht="12" customHeight="1">
      <c r="A559" s="108"/>
      <c r="B559" s="109"/>
      <c r="C559" s="109"/>
      <c r="D559" s="109"/>
      <c r="E559" s="109"/>
      <c r="F559" s="109"/>
      <c r="G559" s="111"/>
      <c r="H559" s="111"/>
      <c r="I559" s="112"/>
      <c r="J559" s="112"/>
      <c r="K559" s="112"/>
      <c r="L559" s="112"/>
      <c r="M559" s="112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</row>
    <row r="560" spans="1:29" ht="12" customHeight="1">
      <c r="A560" s="108"/>
      <c r="B560" s="109"/>
      <c r="C560" s="109"/>
      <c r="D560" s="109"/>
      <c r="E560" s="109"/>
      <c r="F560" s="109"/>
      <c r="G560" s="111"/>
      <c r="H560" s="111"/>
      <c r="I560" s="112"/>
      <c r="J560" s="112"/>
      <c r="K560" s="112"/>
      <c r="L560" s="112"/>
      <c r="M560" s="112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</row>
    <row r="561" spans="1:29" ht="12" customHeight="1">
      <c r="A561" s="108"/>
      <c r="B561" s="109"/>
      <c r="C561" s="109"/>
      <c r="D561" s="109"/>
      <c r="E561" s="109"/>
      <c r="F561" s="109"/>
      <c r="G561" s="111"/>
      <c r="H561" s="111"/>
      <c r="I561" s="112"/>
      <c r="J561" s="112"/>
      <c r="K561" s="112"/>
      <c r="L561" s="112"/>
      <c r="M561" s="112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</row>
    <row r="562" spans="1:29" ht="12" customHeight="1">
      <c r="A562" s="108"/>
      <c r="B562" s="109"/>
      <c r="C562" s="109"/>
      <c r="D562" s="109"/>
      <c r="E562" s="109"/>
      <c r="F562" s="109"/>
      <c r="G562" s="111"/>
      <c r="H562" s="111"/>
      <c r="I562" s="112"/>
      <c r="J562" s="112"/>
      <c r="K562" s="112"/>
      <c r="L562" s="112"/>
      <c r="M562" s="112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</row>
    <row r="563" spans="1:29" ht="12" customHeight="1">
      <c r="A563" s="108"/>
      <c r="B563" s="109"/>
      <c r="C563" s="109"/>
      <c r="D563" s="109"/>
      <c r="E563" s="109"/>
      <c r="F563" s="109"/>
      <c r="G563" s="111"/>
      <c r="H563" s="111"/>
      <c r="I563" s="112"/>
      <c r="J563" s="112"/>
      <c r="K563" s="112"/>
      <c r="L563" s="112"/>
      <c r="M563" s="112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</row>
    <row r="564" spans="1:29" ht="12" customHeight="1">
      <c r="A564" s="108"/>
      <c r="B564" s="109"/>
      <c r="C564" s="109"/>
      <c r="D564" s="109"/>
      <c r="E564" s="109"/>
      <c r="F564" s="109"/>
      <c r="G564" s="111"/>
      <c r="H564" s="111"/>
      <c r="I564" s="112"/>
      <c r="J564" s="112"/>
      <c r="K564" s="112"/>
      <c r="L564" s="112"/>
      <c r="M564" s="112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</row>
    <row r="565" spans="1:29" ht="12" customHeight="1">
      <c r="A565" s="108"/>
      <c r="B565" s="109"/>
      <c r="C565" s="109"/>
      <c r="D565" s="109"/>
      <c r="E565" s="109"/>
      <c r="F565" s="109"/>
      <c r="G565" s="111"/>
      <c r="H565" s="111"/>
      <c r="I565" s="112"/>
      <c r="J565" s="112"/>
      <c r="K565" s="112"/>
      <c r="L565" s="112"/>
      <c r="M565" s="112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</row>
    <row r="566" spans="1:29" ht="12" customHeight="1">
      <c r="A566" s="108"/>
      <c r="B566" s="109"/>
      <c r="C566" s="109"/>
      <c r="D566" s="109"/>
      <c r="E566" s="109"/>
      <c r="F566" s="109"/>
      <c r="G566" s="111"/>
      <c r="H566" s="111"/>
      <c r="I566" s="112"/>
      <c r="J566" s="112"/>
      <c r="K566" s="112"/>
      <c r="L566" s="112"/>
      <c r="M566" s="112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</row>
    <row r="567" spans="1:29" ht="12" customHeight="1">
      <c r="A567" s="108"/>
      <c r="B567" s="109"/>
      <c r="C567" s="109"/>
      <c r="D567" s="109"/>
      <c r="E567" s="109"/>
      <c r="F567" s="109"/>
      <c r="G567" s="111"/>
      <c r="H567" s="111"/>
      <c r="I567" s="112"/>
      <c r="J567" s="112"/>
      <c r="K567" s="112"/>
      <c r="L567" s="112"/>
      <c r="M567" s="112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</row>
    <row r="568" spans="1:29" ht="12" customHeight="1">
      <c r="A568" s="108"/>
      <c r="B568" s="109"/>
      <c r="C568" s="109"/>
      <c r="D568" s="109"/>
      <c r="E568" s="109"/>
      <c r="F568" s="109"/>
      <c r="G568" s="111"/>
      <c r="H568" s="111"/>
      <c r="I568" s="112"/>
      <c r="J568" s="112"/>
      <c r="K568" s="112"/>
      <c r="L568" s="112"/>
      <c r="M568" s="112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</row>
    <row r="569" spans="1:29" ht="12" customHeight="1">
      <c r="A569" s="108"/>
      <c r="B569" s="109"/>
      <c r="C569" s="109"/>
      <c r="D569" s="109"/>
      <c r="E569" s="109"/>
      <c r="F569" s="109"/>
      <c r="G569" s="111"/>
      <c r="H569" s="111"/>
      <c r="I569" s="112"/>
      <c r="J569" s="112"/>
      <c r="K569" s="112"/>
      <c r="L569" s="112"/>
      <c r="M569" s="112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</row>
    <row r="570" spans="1:29" ht="12" customHeight="1">
      <c r="A570" s="108"/>
      <c r="B570" s="109"/>
      <c r="C570" s="109"/>
      <c r="D570" s="109"/>
      <c r="E570" s="109"/>
      <c r="F570" s="109"/>
      <c r="G570" s="111"/>
      <c r="H570" s="111"/>
      <c r="I570" s="112"/>
      <c r="J570" s="112"/>
      <c r="K570" s="112"/>
      <c r="L570" s="112"/>
      <c r="M570" s="112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</row>
    <row r="571" spans="1:29" ht="12" customHeight="1">
      <c r="A571" s="108"/>
      <c r="B571" s="109"/>
      <c r="C571" s="109"/>
      <c r="D571" s="109"/>
      <c r="E571" s="109"/>
      <c r="F571" s="109"/>
      <c r="G571" s="111"/>
      <c r="H571" s="111"/>
      <c r="I571" s="112"/>
      <c r="J571" s="112"/>
      <c r="K571" s="112"/>
      <c r="L571" s="112"/>
      <c r="M571" s="112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</row>
    <row r="572" spans="1:29" ht="12" customHeight="1">
      <c r="A572" s="108"/>
      <c r="B572" s="109"/>
      <c r="C572" s="109"/>
      <c r="D572" s="109"/>
      <c r="E572" s="109"/>
      <c r="F572" s="109"/>
      <c r="G572" s="111"/>
      <c r="H572" s="111"/>
      <c r="I572" s="112"/>
      <c r="J572" s="112"/>
      <c r="K572" s="112"/>
      <c r="L572" s="112"/>
      <c r="M572" s="112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</row>
    <row r="573" spans="1:29" ht="12" customHeight="1">
      <c r="A573" s="108"/>
      <c r="B573" s="109"/>
      <c r="C573" s="109"/>
      <c r="D573" s="109"/>
      <c r="E573" s="109"/>
      <c r="F573" s="109"/>
      <c r="G573" s="111"/>
      <c r="H573" s="111"/>
      <c r="I573" s="112"/>
      <c r="J573" s="112"/>
      <c r="K573" s="112"/>
      <c r="L573" s="112"/>
      <c r="M573" s="112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</row>
    <row r="574" spans="1:29" ht="12" customHeight="1">
      <c r="A574" s="108"/>
      <c r="B574" s="109"/>
      <c r="C574" s="109"/>
      <c r="D574" s="109"/>
      <c r="E574" s="109"/>
      <c r="F574" s="109"/>
      <c r="G574" s="111"/>
      <c r="H574" s="111"/>
      <c r="I574" s="112"/>
      <c r="J574" s="112"/>
      <c r="K574" s="112"/>
      <c r="L574" s="112"/>
      <c r="M574" s="112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</row>
    <row r="575" spans="1:29" ht="12" customHeight="1">
      <c r="A575" s="108"/>
      <c r="B575" s="109"/>
      <c r="C575" s="109"/>
      <c r="D575" s="109"/>
      <c r="E575" s="109"/>
      <c r="F575" s="109"/>
      <c r="G575" s="111"/>
      <c r="H575" s="111"/>
      <c r="I575" s="112"/>
      <c r="J575" s="112"/>
      <c r="K575" s="112"/>
      <c r="L575" s="112"/>
      <c r="M575" s="112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</row>
    <row r="576" spans="1:29" ht="12" customHeight="1">
      <c r="A576" s="108"/>
      <c r="B576" s="109"/>
      <c r="C576" s="109"/>
      <c r="D576" s="109"/>
      <c r="E576" s="109"/>
      <c r="F576" s="109"/>
      <c r="G576" s="111"/>
      <c r="H576" s="111"/>
      <c r="I576" s="112"/>
      <c r="J576" s="112"/>
      <c r="K576" s="112"/>
      <c r="L576" s="112"/>
      <c r="M576" s="112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</row>
    <row r="577" spans="1:29" ht="12" customHeight="1">
      <c r="A577" s="108"/>
      <c r="B577" s="109"/>
      <c r="C577" s="109"/>
      <c r="D577" s="109"/>
      <c r="E577" s="109"/>
      <c r="F577" s="109"/>
      <c r="G577" s="111"/>
      <c r="H577" s="111"/>
      <c r="I577" s="112"/>
      <c r="J577" s="112"/>
      <c r="K577" s="112"/>
      <c r="L577" s="112"/>
      <c r="M577" s="112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</row>
    <row r="578" spans="1:29" ht="12" customHeight="1">
      <c r="A578" s="108"/>
      <c r="B578" s="109"/>
      <c r="C578" s="109"/>
      <c r="D578" s="109"/>
      <c r="E578" s="109"/>
      <c r="F578" s="109"/>
      <c r="G578" s="111"/>
      <c r="H578" s="111"/>
      <c r="I578" s="112"/>
      <c r="J578" s="112"/>
      <c r="K578" s="112"/>
      <c r="L578" s="112"/>
      <c r="M578" s="112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</row>
    <row r="579" spans="1:29" ht="12" customHeight="1">
      <c r="A579" s="108"/>
      <c r="B579" s="109"/>
      <c r="C579" s="109"/>
      <c r="D579" s="109"/>
      <c r="E579" s="109"/>
      <c r="F579" s="109"/>
      <c r="G579" s="111"/>
      <c r="H579" s="111"/>
      <c r="I579" s="112"/>
      <c r="J579" s="112"/>
      <c r="K579" s="112"/>
      <c r="L579" s="112"/>
      <c r="M579" s="112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</row>
    <row r="580" spans="1:29" ht="12" customHeight="1">
      <c r="A580" s="108"/>
      <c r="B580" s="109"/>
      <c r="C580" s="109"/>
      <c r="D580" s="109"/>
      <c r="E580" s="109"/>
      <c r="F580" s="109"/>
      <c r="G580" s="111"/>
      <c r="H580" s="111"/>
      <c r="I580" s="112"/>
      <c r="J580" s="112"/>
      <c r="K580" s="112"/>
      <c r="L580" s="112"/>
      <c r="M580" s="112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</row>
    <row r="581" spans="1:29" ht="12" customHeight="1">
      <c r="A581" s="108"/>
      <c r="B581" s="109"/>
      <c r="C581" s="109"/>
      <c r="D581" s="109"/>
      <c r="E581" s="109"/>
      <c r="F581" s="109"/>
      <c r="G581" s="111"/>
      <c r="H581" s="111"/>
      <c r="I581" s="112"/>
      <c r="J581" s="112"/>
      <c r="K581" s="112"/>
      <c r="L581" s="112"/>
      <c r="M581" s="112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</row>
    <row r="582" spans="1:29" ht="12" customHeight="1">
      <c r="A582" s="108"/>
      <c r="B582" s="109"/>
      <c r="C582" s="109"/>
      <c r="D582" s="109"/>
      <c r="E582" s="109"/>
      <c r="F582" s="109"/>
      <c r="G582" s="111"/>
      <c r="H582" s="111"/>
      <c r="I582" s="112"/>
      <c r="J582" s="112"/>
      <c r="K582" s="112"/>
      <c r="L582" s="112"/>
      <c r="M582" s="112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</row>
    <row r="583" spans="1:29" ht="12" customHeight="1">
      <c r="A583" s="108"/>
      <c r="B583" s="109"/>
      <c r="C583" s="109"/>
      <c r="D583" s="109"/>
      <c r="E583" s="109"/>
      <c r="F583" s="109"/>
      <c r="G583" s="111"/>
      <c r="H583" s="111"/>
      <c r="I583" s="112"/>
      <c r="J583" s="112"/>
      <c r="K583" s="112"/>
      <c r="L583" s="112"/>
      <c r="M583" s="112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</row>
    <row r="584" spans="1:29" ht="12" customHeight="1">
      <c r="A584" s="108"/>
      <c r="B584" s="109"/>
      <c r="C584" s="109"/>
      <c r="D584" s="109"/>
      <c r="E584" s="109"/>
      <c r="F584" s="109"/>
      <c r="G584" s="111"/>
      <c r="H584" s="111"/>
      <c r="I584" s="112"/>
      <c r="J584" s="112"/>
      <c r="K584" s="112"/>
      <c r="L584" s="112"/>
      <c r="M584" s="112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</row>
    <row r="585" spans="1:29" ht="12" customHeight="1">
      <c r="A585" s="108"/>
      <c r="B585" s="109"/>
      <c r="C585" s="109"/>
      <c r="D585" s="109"/>
      <c r="E585" s="109"/>
      <c r="F585" s="109"/>
      <c r="G585" s="111"/>
      <c r="H585" s="111"/>
      <c r="I585" s="112"/>
      <c r="J585" s="112"/>
      <c r="K585" s="112"/>
      <c r="L585" s="112"/>
      <c r="M585" s="112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</row>
    <row r="586" spans="1:29" ht="12" customHeight="1">
      <c r="A586" s="108"/>
      <c r="B586" s="109"/>
      <c r="C586" s="109"/>
      <c r="D586" s="109"/>
      <c r="E586" s="109"/>
      <c r="F586" s="109"/>
      <c r="G586" s="111"/>
      <c r="H586" s="111"/>
      <c r="I586" s="112"/>
      <c r="J586" s="112"/>
      <c r="K586" s="112"/>
      <c r="L586" s="112"/>
      <c r="M586" s="112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</row>
    <row r="587" spans="1:29" ht="12" customHeight="1">
      <c r="A587" s="108"/>
      <c r="B587" s="109"/>
      <c r="C587" s="109"/>
      <c r="D587" s="109"/>
      <c r="E587" s="109"/>
      <c r="F587" s="109"/>
      <c r="G587" s="111"/>
      <c r="H587" s="111"/>
      <c r="I587" s="112"/>
      <c r="J587" s="112"/>
      <c r="K587" s="112"/>
      <c r="L587" s="112"/>
      <c r="M587" s="112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</row>
    <row r="588" spans="1:29" ht="12" customHeight="1">
      <c r="A588" s="108"/>
      <c r="B588" s="109"/>
      <c r="C588" s="109"/>
      <c r="D588" s="109"/>
      <c r="E588" s="109"/>
      <c r="F588" s="109"/>
      <c r="G588" s="111"/>
      <c r="H588" s="111"/>
      <c r="I588" s="112"/>
      <c r="J588" s="112"/>
      <c r="K588" s="112"/>
      <c r="L588" s="112"/>
      <c r="M588" s="112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</row>
    <row r="589" spans="1:29" ht="12" customHeight="1">
      <c r="A589" s="108"/>
      <c r="B589" s="109"/>
      <c r="C589" s="109"/>
      <c r="D589" s="109"/>
      <c r="E589" s="109"/>
      <c r="F589" s="109"/>
      <c r="G589" s="111"/>
      <c r="H589" s="111"/>
      <c r="I589" s="112"/>
      <c r="J589" s="112"/>
      <c r="K589" s="112"/>
      <c r="L589" s="112"/>
      <c r="M589" s="112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</row>
    <row r="590" spans="1:29" ht="12" customHeight="1">
      <c r="A590" s="108"/>
      <c r="B590" s="109"/>
      <c r="C590" s="109"/>
      <c r="D590" s="109"/>
      <c r="E590" s="109"/>
      <c r="F590" s="109"/>
      <c r="G590" s="111"/>
      <c r="H590" s="111"/>
      <c r="I590" s="112"/>
      <c r="J590" s="112"/>
      <c r="K590" s="112"/>
      <c r="L590" s="112"/>
      <c r="M590" s="112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</row>
    <row r="591" spans="1:29" ht="12" customHeight="1">
      <c r="A591" s="108"/>
      <c r="B591" s="109"/>
      <c r="C591" s="109"/>
      <c r="D591" s="109"/>
      <c r="E591" s="109"/>
      <c r="F591" s="109"/>
      <c r="G591" s="111"/>
      <c r="H591" s="111"/>
      <c r="I591" s="112"/>
      <c r="J591" s="112"/>
      <c r="K591" s="112"/>
      <c r="L591" s="112"/>
      <c r="M591" s="112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</row>
    <row r="592" spans="1:29" ht="12" customHeight="1">
      <c r="A592" s="108"/>
      <c r="B592" s="109"/>
      <c r="C592" s="109"/>
      <c r="D592" s="109"/>
      <c r="E592" s="109"/>
      <c r="F592" s="109"/>
      <c r="G592" s="111"/>
      <c r="H592" s="111"/>
      <c r="I592" s="112"/>
      <c r="J592" s="112"/>
      <c r="K592" s="112"/>
      <c r="L592" s="112"/>
      <c r="M592" s="112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</row>
    <row r="593" spans="1:29" ht="12" customHeight="1">
      <c r="A593" s="108"/>
      <c r="B593" s="109"/>
      <c r="C593" s="109"/>
      <c r="D593" s="109"/>
      <c r="E593" s="109"/>
      <c r="F593" s="109"/>
      <c r="G593" s="111"/>
      <c r="H593" s="111"/>
      <c r="I593" s="112"/>
      <c r="J593" s="112"/>
      <c r="K593" s="112"/>
      <c r="L593" s="112"/>
      <c r="M593" s="112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</row>
    <row r="594" spans="1:29" ht="12" customHeight="1">
      <c r="A594" s="108"/>
      <c r="B594" s="109"/>
      <c r="C594" s="109"/>
      <c r="D594" s="109"/>
      <c r="E594" s="109"/>
      <c r="F594" s="109"/>
      <c r="G594" s="111"/>
      <c r="H594" s="111"/>
      <c r="I594" s="112"/>
      <c r="J594" s="112"/>
      <c r="K594" s="112"/>
      <c r="L594" s="112"/>
      <c r="M594" s="112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</row>
    <row r="595" spans="1:29" ht="12" customHeight="1">
      <c r="A595" s="108"/>
      <c r="B595" s="109"/>
      <c r="C595" s="109"/>
      <c r="D595" s="109"/>
      <c r="E595" s="109"/>
      <c r="F595" s="109"/>
      <c r="G595" s="111"/>
      <c r="H595" s="111"/>
      <c r="I595" s="112"/>
      <c r="J595" s="112"/>
      <c r="K595" s="112"/>
      <c r="L595" s="112"/>
      <c r="M595" s="112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</row>
    <row r="596" spans="1:29" ht="12" customHeight="1">
      <c r="A596" s="108"/>
      <c r="B596" s="109"/>
      <c r="C596" s="109"/>
      <c r="D596" s="109"/>
      <c r="E596" s="109"/>
      <c r="F596" s="109"/>
      <c r="G596" s="111"/>
      <c r="H596" s="111"/>
      <c r="I596" s="112"/>
      <c r="J596" s="112"/>
      <c r="K596" s="112"/>
      <c r="L596" s="112"/>
      <c r="M596" s="112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</row>
    <row r="597" spans="1:29" ht="12" customHeight="1">
      <c r="A597" s="108"/>
      <c r="B597" s="109"/>
      <c r="C597" s="109"/>
      <c r="D597" s="109"/>
      <c r="E597" s="109"/>
      <c r="F597" s="109"/>
      <c r="G597" s="111"/>
      <c r="H597" s="111"/>
      <c r="I597" s="112"/>
      <c r="J597" s="112"/>
      <c r="K597" s="112"/>
      <c r="L597" s="112"/>
      <c r="M597" s="112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</row>
    <row r="598" spans="1:29" ht="12" customHeight="1">
      <c r="A598" s="108"/>
      <c r="B598" s="109"/>
      <c r="C598" s="109"/>
      <c r="D598" s="109"/>
      <c r="E598" s="109"/>
      <c r="F598" s="109"/>
      <c r="G598" s="111"/>
      <c r="H598" s="111"/>
      <c r="I598" s="112"/>
      <c r="J598" s="112"/>
      <c r="K598" s="112"/>
      <c r="L598" s="112"/>
      <c r="M598" s="112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</row>
    <row r="599" spans="1:29" ht="12" customHeight="1">
      <c r="A599" s="108"/>
      <c r="B599" s="109"/>
      <c r="C599" s="109"/>
      <c r="D599" s="109"/>
      <c r="E599" s="109"/>
      <c r="F599" s="109"/>
      <c r="G599" s="111"/>
      <c r="H599" s="111"/>
      <c r="I599" s="112"/>
      <c r="J599" s="112"/>
      <c r="K599" s="112"/>
      <c r="L599" s="112"/>
      <c r="M599" s="112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</row>
    <row r="600" spans="1:29" ht="12" customHeight="1">
      <c r="A600" s="108"/>
      <c r="B600" s="109"/>
      <c r="C600" s="109"/>
      <c r="D600" s="109"/>
      <c r="E600" s="109"/>
      <c r="F600" s="109"/>
      <c r="G600" s="111"/>
      <c r="H600" s="111"/>
      <c r="I600" s="112"/>
      <c r="J600" s="112"/>
      <c r="K600" s="112"/>
      <c r="L600" s="112"/>
      <c r="M600" s="112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</row>
    <row r="601" spans="1:29" ht="12" customHeight="1">
      <c r="A601" s="108"/>
      <c r="B601" s="109"/>
      <c r="C601" s="109"/>
      <c r="D601" s="109"/>
      <c r="E601" s="109"/>
      <c r="F601" s="109"/>
      <c r="G601" s="111"/>
      <c r="H601" s="111"/>
      <c r="I601" s="112"/>
      <c r="J601" s="112"/>
      <c r="K601" s="112"/>
      <c r="L601" s="112"/>
      <c r="M601" s="112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</row>
    <row r="602" spans="1:29" ht="12" customHeight="1">
      <c r="A602" s="108"/>
      <c r="B602" s="109"/>
      <c r="C602" s="109"/>
      <c r="D602" s="109"/>
      <c r="E602" s="109"/>
      <c r="F602" s="109"/>
      <c r="G602" s="111"/>
      <c r="H602" s="111"/>
      <c r="I602" s="112"/>
      <c r="J602" s="112"/>
      <c r="K602" s="112"/>
      <c r="L602" s="112"/>
      <c r="M602" s="112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</row>
    <row r="603" spans="1:29" ht="12" customHeight="1">
      <c r="A603" s="108"/>
      <c r="B603" s="109"/>
      <c r="C603" s="109"/>
      <c r="D603" s="109"/>
      <c r="E603" s="109"/>
      <c r="F603" s="109"/>
      <c r="G603" s="111"/>
      <c r="H603" s="111"/>
      <c r="I603" s="112"/>
      <c r="J603" s="112"/>
      <c r="K603" s="112"/>
      <c r="L603" s="112"/>
      <c r="M603" s="112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</row>
    <row r="604" spans="1:29" ht="12" customHeight="1">
      <c r="A604" s="108"/>
      <c r="B604" s="109"/>
      <c r="C604" s="109"/>
      <c r="D604" s="109"/>
      <c r="E604" s="109"/>
      <c r="F604" s="109"/>
      <c r="G604" s="111"/>
      <c r="H604" s="111"/>
      <c r="I604" s="112"/>
      <c r="J604" s="112"/>
      <c r="K604" s="112"/>
      <c r="L604" s="112"/>
      <c r="M604" s="112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</row>
    <row r="605" spans="1:29" ht="12" customHeight="1">
      <c r="A605" s="108"/>
      <c r="B605" s="109"/>
      <c r="C605" s="109"/>
      <c r="D605" s="109"/>
      <c r="E605" s="109"/>
      <c r="F605" s="109"/>
      <c r="G605" s="111"/>
      <c r="H605" s="111"/>
      <c r="I605" s="112"/>
      <c r="J605" s="112"/>
      <c r="K605" s="112"/>
      <c r="L605" s="112"/>
      <c r="M605" s="112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</row>
    <row r="606" spans="1:29" ht="12" customHeight="1">
      <c r="A606" s="108"/>
      <c r="B606" s="109"/>
      <c r="C606" s="109"/>
      <c r="D606" s="109"/>
      <c r="E606" s="109"/>
      <c r="F606" s="109"/>
      <c r="G606" s="111"/>
      <c r="H606" s="111"/>
      <c r="I606" s="112"/>
      <c r="J606" s="112"/>
      <c r="K606" s="112"/>
      <c r="L606" s="112"/>
      <c r="M606" s="112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</row>
    <row r="607" spans="1:29" ht="12" customHeight="1">
      <c r="A607" s="108"/>
      <c r="B607" s="109"/>
      <c r="C607" s="109"/>
      <c r="D607" s="109"/>
      <c r="E607" s="109"/>
      <c r="F607" s="109"/>
      <c r="G607" s="111"/>
      <c r="H607" s="111"/>
      <c r="I607" s="112"/>
      <c r="J607" s="112"/>
      <c r="K607" s="112"/>
      <c r="L607" s="112"/>
      <c r="M607" s="112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</row>
    <row r="608" spans="1:29" ht="12" customHeight="1">
      <c r="A608" s="108"/>
      <c r="B608" s="109"/>
      <c r="C608" s="109"/>
      <c r="D608" s="109"/>
      <c r="E608" s="109"/>
      <c r="F608" s="109"/>
      <c r="G608" s="111"/>
      <c r="H608" s="111"/>
      <c r="I608" s="112"/>
      <c r="J608" s="112"/>
      <c r="K608" s="112"/>
      <c r="L608" s="112"/>
      <c r="M608" s="112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</row>
    <row r="609" spans="1:29" ht="12" customHeight="1">
      <c r="A609" s="108"/>
      <c r="B609" s="109"/>
      <c r="C609" s="109"/>
      <c r="D609" s="109"/>
      <c r="E609" s="109"/>
      <c r="F609" s="109"/>
      <c r="G609" s="111"/>
      <c r="H609" s="111"/>
      <c r="I609" s="112"/>
      <c r="J609" s="112"/>
      <c r="K609" s="112"/>
      <c r="L609" s="112"/>
      <c r="M609" s="112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</row>
    <row r="610" spans="1:29" ht="12" customHeight="1">
      <c r="A610" s="108"/>
      <c r="B610" s="109"/>
      <c r="C610" s="109"/>
      <c r="D610" s="109"/>
      <c r="E610" s="109"/>
      <c r="F610" s="109"/>
      <c r="G610" s="111"/>
      <c r="H610" s="111"/>
      <c r="I610" s="112"/>
      <c r="J610" s="112"/>
      <c r="K610" s="112"/>
      <c r="L610" s="112"/>
      <c r="M610" s="112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</row>
    <row r="611" spans="1:29" ht="12" customHeight="1">
      <c r="A611" s="108"/>
      <c r="B611" s="109"/>
      <c r="C611" s="109"/>
      <c r="D611" s="109"/>
      <c r="E611" s="109"/>
      <c r="F611" s="109"/>
      <c r="G611" s="111"/>
      <c r="H611" s="111"/>
      <c r="I611" s="112"/>
      <c r="J611" s="112"/>
      <c r="K611" s="112"/>
      <c r="L611" s="112"/>
      <c r="M611" s="112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</row>
    <row r="612" spans="1:29" ht="12" customHeight="1">
      <c r="A612" s="108"/>
      <c r="B612" s="109"/>
      <c r="C612" s="109"/>
      <c r="D612" s="109"/>
      <c r="E612" s="109"/>
      <c r="F612" s="109"/>
      <c r="G612" s="111"/>
      <c r="H612" s="111"/>
      <c r="I612" s="112"/>
      <c r="J612" s="112"/>
      <c r="K612" s="112"/>
      <c r="L612" s="112"/>
      <c r="M612" s="112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</row>
    <row r="613" spans="1:29" ht="12" customHeight="1">
      <c r="A613" s="108"/>
      <c r="B613" s="109"/>
      <c r="C613" s="109"/>
      <c r="D613" s="109"/>
      <c r="E613" s="109"/>
      <c r="F613" s="109"/>
      <c r="G613" s="111"/>
      <c r="H613" s="111"/>
      <c r="I613" s="112"/>
      <c r="J613" s="112"/>
      <c r="K613" s="112"/>
      <c r="L613" s="112"/>
      <c r="M613" s="112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</row>
    <row r="614" spans="1:29" ht="12" customHeight="1">
      <c r="A614" s="108"/>
      <c r="B614" s="109"/>
      <c r="C614" s="109"/>
      <c r="D614" s="109"/>
      <c r="E614" s="109"/>
      <c r="F614" s="109"/>
      <c r="G614" s="111"/>
      <c r="H614" s="111"/>
      <c r="I614" s="112"/>
      <c r="J614" s="112"/>
      <c r="K614" s="112"/>
      <c r="L614" s="112"/>
      <c r="M614" s="112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</row>
    <row r="615" spans="1:29" ht="12" customHeight="1">
      <c r="A615" s="108"/>
      <c r="B615" s="109"/>
      <c r="C615" s="109"/>
      <c r="D615" s="109"/>
      <c r="E615" s="109"/>
      <c r="F615" s="109"/>
      <c r="G615" s="111"/>
      <c r="H615" s="111"/>
      <c r="I615" s="112"/>
      <c r="J615" s="112"/>
      <c r="K615" s="112"/>
      <c r="L615" s="112"/>
      <c r="M615" s="112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</row>
    <row r="616" spans="1:29" ht="12" customHeight="1">
      <c r="A616" s="108"/>
      <c r="B616" s="109"/>
      <c r="C616" s="109"/>
      <c r="D616" s="109"/>
      <c r="E616" s="109"/>
      <c r="F616" s="109"/>
      <c r="G616" s="111"/>
      <c r="H616" s="111"/>
      <c r="I616" s="112"/>
      <c r="J616" s="112"/>
      <c r="K616" s="112"/>
      <c r="L616" s="112"/>
      <c r="M616" s="112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</row>
    <row r="617" spans="1:29" ht="12" customHeight="1">
      <c r="A617" s="108"/>
      <c r="B617" s="109"/>
      <c r="C617" s="109"/>
      <c r="D617" s="109"/>
      <c r="E617" s="109"/>
      <c r="F617" s="109"/>
      <c r="G617" s="111"/>
      <c r="H617" s="111"/>
      <c r="I617" s="112"/>
      <c r="J617" s="112"/>
      <c r="K617" s="112"/>
      <c r="L617" s="112"/>
      <c r="M617" s="112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</row>
    <row r="618" spans="1:29" ht="12" customHeight="1">
      <c r="A618" s="108"/>
      <c r="B618" s="109"/>
      <c r="C618" s="109"/>
      <c r="D618" s="109"/>
      <c r="E618" s="109"/>
      <c r="F618" s="109"/>
      <c r="G618" s="111"/>
      <c r="H618" s="111"/>
      <c r="I618" s="112"/>
      <c r="J618" s="112"/>
      <c r="K618" s="112"/>
      <c r="L618" s="112"/>
      <c r="M618" s="112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</row>
    <row r="619" spans="1:29" ht="12" customHeight="1">
      <c r="A619" s="108"/>
      <c r="B619" s="109"/>
      <c r="C619" s="109"/>
      <c r="D619" s="109"/>
      <c r="E619" s="109"/>
      <c r="F619" s="109"/>
      <c r="G619" s="111"/>
      <c r="H619" s="111"/>
      <c r="I619" s="112"/>
      <c r="J619" s="112"/>
      <c r="K619" s="112"/>
      <c r="L619" s="112"/>
      <c r="M619" s="112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</row>
    <row r="620" spans="1:29" ht="12" customHeight="1">
      <c r="A620" s="108"/>
      <c r="B620" s="109"/>
      <c r="C620" s="109"/>
      <c r="D620" s="109"/>
      <c r="E620" s="109"/>
      <c r="F620" s="109"/>
      <c r="G620" s="111"/>
      <c r="H620" s="111"/>
      <c r="I620" s="112"/>
      <c r="J620" s="112"/>
      <c r="K620" s="112"/>
      <c r="L620" s="112"/>
      <c r="M620" s="112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</row>
    <row r="621" spans="1:29" ht="12" customHeight="1">
      <c r="A621" s="108"/>
      <c r="B621" s="109"/>
      <c r="C621" s="109"/>
      <c r="D621" s="109"/>
      <c r="E621" s="109"/>
      <c r="F621" s="109"/>
      <c r="G621" s="111"/>
      <c r="H621" s="111"/>
      <c r="I621" s="112"/>
      <c r="J621" s="112"/>
      <c r="K621" s="112"/>
      <c r="L621" s="112"/>
      <c r="M621" s="112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</row>
    <row r="622" spans="1:29" ht="12" customHeight="1">
      <c r="A622" s="108"/>
      <c r="B622" s="109"/>
      <c r="C622" s="109"/>
      <c r="D622" s="109"/>
      <c r="E622" s="109"/>
      <c r="F622" s="109"/>
      <c r="G622" s="111"/>
      <c r="H622" s="111"/>
      <c r="I622" s="112"/>
      <c r="J622" s="112"/>
      <c r="K622" s="112"/>
      <c r="L622" s="112"/>
      <c r="M622" s="112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</row>
    <row r="623" spans="1:29" ht="12" customHeight="1">
      <c r="A623" s="108"/>
      <c r="B623" s="109"/>
      <c r="C623" s="109"/>
      <c r="D623" s="109"/>
      <c r="E623" s="109"/>
      <c r="F623" s="109"/>
      <c r="G623" s="111"/>
      <c r="H623" s="111"/>
      <c r="I623" s="112"/>
      <c r="J623" s="112"/>
      <c r="K623" s="112"/>
      <c r="L623" s="112"/>
      <c r="M623" s="112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</row>
    <row r="624" spans="1:29" ht="12" customHeight="1">
      <c r="A624" s="108"/>
      <c r="B624" s="109"/>
      <c r="C624" s="109"/>
      <c r="D624" s="109"/>
      <c r="E624" s="109"/>
      <c r="F624" s="109"/>
      <c r="G624" s="111"/>
      <c r="H624" s="111"/>
      <c r="I624" s="112"/>
      <c r="J624" s="112"/>
      <c r="K624" s="112"/>
      <c r="L624" s="112"/>
      <c r="M624" s="112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</row>
    <row r="625" spans="1:29" ht="12" customHeight="1">
      <c r="A625" s="108"/>
      <c r="B625" s="109"/>
      <c r="C625" s="109"/>
      <c r="D625" s="109"/>
      <c r="E625" s="109"/>
      <c r="F625" s="109"/>
      <c r="G625" s="111"/>
      <c r="H625" s="111"/>
      <c r="I625" s="112"/>
      <c r="J625" s="112"/>
      <c r="K625" s="112"/>
      <c r="L625" s="112"/>
      <c r="M625" s="112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</row>
    <row r="626" spans="1:29" ht="12" customHeight="1">
      <c r="A626" s="108"/>
      <c r="B626" s="109"/>
      <c r="C626" s="109"/>
      <c r="D626" s="109"/>
      <c r="E626" s="109"/>
      <c r="F626" s="109"/>
      <c r="G626" s="111"/>
      <c r="H626" s="111"/>
      <c r="I626" s="112"/>
      <c r="J626" s="112"/>
      <c r="K626" s="112"/>
      <c r="L626" s="112"/>
      <c r="M626" s="112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</row>
    <row r="627" spans="1:29" ht="12" customHeight="1">
      <c r="A627" s="108"/>
      <c r="B627" s="109"/>
      <c r="C627" s="109"/>
      <c r="D627" s="109"/>
      <c r="E627" s="109"/>
      <c r="F627" s="109"/>
      <c r="G627" s="111"/>
      <c r="H627" s="111"/>
      <c r="I627" s="112"/>
      <c r="J627" s="112"/>
      <c r="K627" s="112"/>
      <c r="L627" s="112"/>
      <c r="M627" s="112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</row>
    <row r="628" spans="1:29" ht="12" customHeight="1">
      <c r="A628" s="108"/>
      <c r="B628" s="109"/>
      <c r="C628" s="109"/>
      <c r="D628" s="109"/>
      <c r="E628" s="109"/>
      <c r="F628" s="109"/>
      <c r="G628" s="111"/>
      <c r="H628" s="111"/>
      <c r="I628" s="112"/>
      <c r="J628" s="112"/>
      <c r="K628" s="112"/>
      <c r="L628" s="112"/>
      <c r="M628" s="112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</row>
    <row r="629" spans="1:29" ht="12" customHeight="1">
      <c r="A629" s="108"/>
      <c r="B629" s="109"/>
      <c r="C629" s="109"/>
      <c r="D629" s="109"/>
      <c r="E629" s="109"/>
      <c r="F629" s="109"/>
      <c r="G629" s="111"/>
      <c r="H629" s="111"/>
      <c r="I629" s="112"/>
      <c r="J629" s="112"/>
      <c r="K629" s="112"/>
      <c r="L629" s="112"/>
      <c r="M629" s="112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</row>
    <row r="630" spans="1:29" ht="12" customHeight="1">
      <c r="A630" s="108"/>
      <c r="B630" s="109"/>
      <c r="C630" s="109"/>
      <c r="D630" s="109"/>
      <c r="E630" s="109"/>
      <c r="F630" s="109"/>
      <c r="G630" s="111"/>
      <c r="H630" s="111"/>
      <c r="I630" s="112"/>
      <c r="J630" s="112"/>
      <c r="K630" s="112"/>
      <c r="L630" s="112"/>
      <c r="M630" s="112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</row>
    <row r="631" spans="1:29" ht="12" customHeight="1">
      <c r="A631" s="108"/>
      <c r="B631" s="109"/>
      <c r="C631" s="109"/>
      <c r="D631" s="109"/>
      <c r="E631" s="109"/>
      <c r="F631" s="109"/>
      <c r="G631" s="111"/>
      <c r="H631" s="111"/>
      <c r="I631" s="112"/>
      <c r="J631" s="112"/>
      <c r="K631" s="112"/>
      <c r="L631" s="112"/>
      <c r="M631" s="112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</row>
    <row r="632" spans="1:29" ht="12" customHeight="1">
      <c r="A632" s="108"/>
      <c r="B632" s="109"/>
      <c r="C632" s="109"/>
      <c r="D632" s="109"/>
      <c r="E632" s="109"/>
      <c r="F632" s="109"/>
      <c r="G632" s="111"/>
      <c r="H632" s="111"/>
      <c r="I632" s="112"/>
      <c r="J632" s="112"/>
      <c r="K632" s="112"/>
      <c r="L632" s="112"/>
      <c r="M632" s="112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</row>
    <row r="633" spans="1:29" ht="12" customHeight="1">
      <c r="A633" s="108"/>
      <c r="B633" s="109"/>
      <c r="C633" s="109"/>
      <c r="D633" s="109"/>
      <c r="E633" s="109"/>
      <c r="F633" s="109"/>
      <c r="G633" s="111"/>
      <c r="H633" s="111"/>
      <c r="I633" s="112"/>
      <c r="J633" s="112"/>
      <c r="K633" s="112"/>
      <c r="L633" s="112"/>
      <c r="M633" s="112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</row>
    <row r="634" spans="1:29" ht="12" customHeight="1">
      <c r="A634" s="108"/>
      <c r="B634" s="109"/>
      <c r="C634" s="109"/>
      <c r="D634" s="109"/>
      <c r="E634" s="109"/>
      <c r="F634" s="109"/>
      <c r="G634" s="111"/>
      <c r="H634" s="111"/>
      <c r="I634" s="112"/>
      <c r="J634" s="112"/>
      <c r="K634" s="112"/>
      <c r="L634" s="112"/>
      <c r="M634" s="112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</row>
    <row r="635" spans="1:29" ht="12" customHeight="1">
      <c r="A635" s="108"/>
      <c r="B635" s="109"/>
      <c r="C635" s="109"/>
      <c r="D635" s="109"/>
      <c r="E635" s="109"/>
      <c r="F635" s="109"/>
      <c r="G635" s="111"/>
      <c r="H635" s="111"/>
      <c r="I635" s="112"/>
      <c r="J635" s="112"/>
      <c r="K635" s="112"/>
      <c r="L635" s="112"/>
      <c r="M635" s="112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</row>
    <row r="636" spans="1:29" ht="12" customHeight="1">
      <c r="A636" s="108"/>
      <c r="B636" s="109"/>
      <c r="C636" s="109"/>
      <c r="D636" s="109"/>
      <c r="E636" s="109"/>
      <c r="F636" s="109"/>
      <c r="G636" s="111"/>
      <c r="H636" s="111"/>
      <c r="I636" s="112"/>
      <c r="J636" s="112"/>
      <c r="K636" s="112"/>
      <c r="L636" s="112"/>
      <c r="M636" s="112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</row>
    <row r="637" spans="1:29" ht="12" customHeight="1">
      <c r="A637" s="108"/>
      <c r="B637" s="109"/>
      <c r="C637" s="109"/>
      <c r="D637" s="109"/>
      <c r="E637" s="109"/>
      <c r="F637" s="109"/>
      <c r="G637" s="111"/>
      <c r="H637" s="111"/>
      <c r="I637" s="112"/>
      <c r="J637" s="112"/>
      <c r="K637" s="112"/>
      <c r="L637" s="112"/>
      <c r="M637" s="112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</row>
    <row r="638" spans="1:29" ht="12" customHeight="1">
      <c r="A638" s="108"/>
      <c r="B638" s="109"/>
      <c r="C638" s="109"/>
      <c r="D638" s="109"/>
      <c r="E638" s="109"/>
      <c r="F638" s="109"/>
      <c r="G638" s="111"/>
      <c r="H638" s="111"/>
      <c r="I638" s="112"/>
      <c r="J638" s="112"/>
      <c r="K638" s="112"/>
      <c r="L638" s="112"/>
      <c r="M638" s="112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</row>
    <row r="639" spans="1:29" ht="12" customHeight="1">
      <c r="A639" s="108"/>
      <c r="B639" s="109"/>
      <c r="C639" s="109"/>
      <c r="D639" s="109"/>
      <c r="E639" s="109"/>
      <c r="F639" s="109"/>
      <c r="G639" s="111"/>
      <c r="H639" s="111"/>
      <c r="I639" s="112"/>
      <c r="J639" s="112"/>
      <c r="K639" s="112"/>
      <c r="L639" s="112"/>
      <c r="M639" s="112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</row>
    <row r="640" spans="1:29" ht="12" customHeight="1">
      <c r="A640" s="108"/>
      <c r="B640" s="109"/>
      <c r="C640" s="109"/>
      <c r="D640" s="109"/>
      <c r="E640" s="109"/>
      <c r="F640" s="109"/>
      <c r="G640" s="111"/>
      <c r="H640" s="111"/>
      <c r="I640" s="112"/>
      <c r="J640" s="112"/>
      <c r="K640" s="112"/>
      <c r="L640" s="112"/>
      <c r="M640" s="112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</row>
    <row r="641" spans="1:29" ht="12" customHeight="1">
      <c r="A641" s="108"/>
      <c r="B641" s="109"/>
      <c r="C641" s="109"/>
      <c r="D641" s="109"/>
      <c r="E641" s="109"/>
      <c r="F641" s="109"/>
      <c r="G641" s="111"/>
      <c r="H641" s="111"/>
      <c r="I641" s="112"/>
      <c r="J641" s="112"/>
      <c r="K641" s="112"/>
      <c r="L641" s="112"/>
      <c r="M641" s="112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</row>
    <row r="642" spans="1:29" ht="12" customHeight="1">
      <c r="A642" s="108"/>
      <c r="B642" s="109"/>
      <c r="C642" s="109"/>
      <c r="D642" s="109"/>
      <c r="E642" s="109"/>
      <c r="F642" s="109"/>
      <c r="G642" s="111"/>
      <c r="H642" s="111"/>
      <c r="I642" s="112"/>
      <c r="J642" s="112"/>
      <c r="K642" s="112"/>
      <c r="L642" s="112"/>
      <c r="M642" s="112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</row>
    <row r="643" spans="1:29" ht="12" customHeight="1">
      <c r="A643" s="108"/>
      <c r="B643" s="109"/>
      <c r="C643" s="109"/>
      <c r="D643" s="109"/>
      <c r="E643" s="109"/>
      <c r="F643" s="109"/>
      <c r="G643" s="111"/>
      <c r="H643" s="111"/>
      <c r="I643" s="112"/>
      <c r="J643" s="112"/>
      <c r="K643" s="112"/>
      <c r="L643" s="112"/>
      <c r="M643" s="112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</row>
    <row r="644" spans="1:29" ht="12" customHeight="1">
      <c r="A644" s="108"/>
      <c r="B644" s="109"/>
      <c r="C644" s="109"/>
      <c r="D644" s="109"/>
      <c r="E644" s="109"/>
      <c r="F644" s="109"/>
      <c r="G644" s="111"/>
      <c r="H644" s="111"/>
      <c r="I644" s="112"/>
      <c r="J644" s="112"/>
      <c r="K644" s="112"/>
      <c r="L644" s="112"/>
      <c r="M644" s="112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</row>
    <row r="645" spans="1:29" ht="12" customHeight="1">
      <c r="A645" s="108"/>
      <c r="B645" s="109"/>
      <c r="C645" s="109"/>
      <c r="D645" s="109"/>
      <c r="E645" s="109"/>
      <c r="F645" s="109"/>
      <c r="G645" s="111"/>
      <c r="H645" s="111"/>
      <c r="I645" s="112"/>
      <c r="J645" s="112"/>
      <c r="K645" s="112"/>
      <c r="L645" s="112"/>
      <c r="M645" s="112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</row>
    <row r="646" spans="1:29" ht="12" customHeight="1">
      <c r="A646" s="108"/>
      <c r="B646" s="109"/>
      <c r="C646" s="109"/>
      <c r="D646" s="109"/>
      <c r="E646" s="109"/>
      <c r="F646" s="109"/>
      <c r="G646" s="111"/>
      <c r="H646" s="111"/>
      <c r="I646" s="112"/>
      <c r="J646" s="112"/>
      <c r="K646" s="112"/>
      <c r="L646" s="112"/>
      <c r="M646" s="112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</row>
    <row r="647" spans="1:29" ht="12" customHeight="1">
      <c r="A647" s="108"/>
      <c r="B647" s="109"/>
      <c r="C647" s="109"/>
      <c r="D647" s="109"/>
      <c r="E647" s="109"/>
      <c r="F647" s="109"/>
      <c r="G647" s="111"/>
      <c r="H647" s="111"/>
      <c r="I647" s="112"/>
      <c r="J647" s="112"/>
      <c r="K647" s="112"/>
      <c r="L647" s="112"/>
      <c r="M647" s="112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</row>
    <row r="648" spans="1:29" ht="12" customHeight="1">
      <c r="A648" s="108"/>
      <c r="B648" s="109"/>
      <c r="C648" s="109"/>
      <c r="D648" s="109"/>
      <c r="E648" s="109"/>
      <c r="F648" s="109"/>
      <c r="G648" s="111"/>
      <c r="H648" s="111"/>
      <c r="I648" s="112"/>
      <c r="J648" s="112"/>
      <c r="K648" s="112"/>
      <c r="L648" s="112"/>
      <c r="M648" s="112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</row>
    <row r="649" spans="1:29" ht="12" customHeight="1">
      <c r="A649" s="108"/>
      <c r="B649" s="109"/>
      <c r="C649" s="109"/>
      <c r="D649" s="109"/>
      <c r="E649" s="109"/>
      <c r="F649" s="109"/>
      <c r="G649" s="111"/>
      <c r="H649" s="111"/>
      <c r="I649" s="112"/>
      <c r="J649" s="112"/>
      <c r="K649" s="112"/>
      <c r="L649" s="112"/>
      <c r="M649" s="112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</row>
    <row r="650" spans="1:29" ht="12" customHeight="1">
      <c r="A650" s="108"/>
      <c r="B650" s="109"/>
      <c r="C650" s="109"/>
      <c r="D650" s="109"/>
      <c r="E650" s="109"/>
      <c r="F650" s="109"/>
      <c r="G650" s="111"/>
      <c r="H650" s="111"/>
      <c r="I650" s="112"/>
      <c r="J650" s="112"/>
      <c r="K650" s="112"/>
      <c r="L650" s="112"/>
      <c r="M650" s="112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</row>
    <row r="651" spans="1:29" ht="12" customHeight="1">
      <c r="A651" s="108"/>
      <c r="B651" s="109"/>
      <c r="C651" s="109"/>
      <c r="D651" s="109"/>
      <c r="E651" s="109"/>
      <c r="F651" s="109"/>
      <c r="G651" s="111"/>
      <c r="H651" s="111"/>
      <c r="I651" s="112"/>
      <c r="J651" s="112"/>
      <c r="K651" s="112"/>
      <c r="L651" s="112"/>
      <c r="M651" s="112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</row>
    <row r="652" spans="1:29" ht="12" customHeight="1">
      <c r="A652" s="108"/>
      <c r="B652" s="109"/>
      <c r="C652" s="109"/>
      <c r="D652" s="109"/>
      <c r="E652" s="109"/>
      <c r="F652" s="109"/>
      <c r="G652" s="111"/>
      <c r="H652" s="111"/>
      <c r="I652" s="112"/>
      <c r="J652" s="112"/>
      <c r="K652" s="112"/>
      <c r="L652" s="112"/>
      <c r="M652" s="112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</row>
    <row r="653" spans="1:29" ht="12" customHeight="1">
      <c r="A653" s="108"/>
      <c r="B653" s="109"/>
      <c r="C653" s="109"/>
      <c r="D653" s="109"/>
      <c r="E653" s="109"/>
      <c r="F653" s="109"/>
      <c r="G653" s="111"/>
      <c r="H653" s="111"/>
      <c r="I653" s="112"/>
      <c r="J653" s="112"/>
      <c r="K653" s="112"/>
      <c r="L653" s="112"/>
      <c r="M653" s="112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</row>
    <row r="654" spans="1:29" ht="12" customHeight="1">
      <c r="A654" s="108"/>
      <c r="B654" s="109"/>
      <c r="C654" s="109"/>
      <c r="D654" s="109"/>
      <c r="E654" s="109"/>
      <c r="F654" s="109"/>
      <c r="G654" s="111"/>
      <c r="H654" s="111"/>
      <c r="I654" s="112"/>
      <c r="J654" s="112"/>
      <c r="K654" s="112"/>
      <c r="L654" s="112"/>
      <c r="M654" s="112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</row>
    <row r="655" spans="1:29" ht="12" customHeight="1">
      <c r="A655" s="108"/>
      <c r="B655" s="109"/>
      <c r="C655" s="109"/>
      <c r="D655" s="109"/>
      <c r="E655" s="109"/>
      <c r="F655" s="109"/>
      <c r="G655" s="111"/>
      <c r="H655" s="111"/>
      <c r="I655" s="112"/>
      <c r="J655" s="112"/>
      <c r="K655" s="112"/>
      <c r="L655" s="112"/>
      <c r="M655" s="112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</row>
    <row r="656" spans="1:29" ht="12" customHeight="1">
      <c r="A656" s="108"/>
      <c r="B656" s="109"/>
      <c r="C656" s="109"/>
      <c r="D656" s="109"/>
      <c r="E656" s="109"/>
      <c r="F656" s="109"/>
      <c r="G656" s="111"/>
      <c r="H656" s="111"/>
      <c r="I656" s="112"/>
      <c r="J656" s="112"/>
      <c r="K656" s="112"/>
      <c r="L656" s="112"/>
      <c r="M656" s="112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</row>
    <row r="657" spans="1:29" ht="12" customHeight="1">
      <c r="A657" s="108"/>
      <c r="B657" s="109"/>
      <c r="C657" s="109"/>
      <c r="D657" s="109"/>
      <c r="E657" s="109"/>
      <c r="F657" s="109"/>
      <c r="G657" s="111"/>
      <c r="H657" s="111"/>
      <c r="I657" s="112"/>
      <c r="J657" s="112"/>
      <c r="K657" s="112"/>
      <c r="L657" s="112"/>
      <c r="M657" s="112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</row>
    <row r="658" spans="1:29" ht="12" customHeight="1">
      <c r="A658" s="108"/>
      <c r="B658" s="109"/>
      <c r="C658" s="109"/>
      <c r="D658" s="109"/>
      <c r="E658" s="109"/>
      <c r="F658" s="109"/>
      <c r="G658" s="111"/>
      <c r="H658" s="111"/>
      <c r="I658" s="112"/>
      <c r="J658" s="112"/>
      <c r="K658" s="112"/>
      <c r="L658" s="112"/>
      <c r="M658" s="112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</row>
    <row r="659" spans="1:29" ht="12" customHeight="1">
      <c r="A659" s="108"/>
      <c r="B659" s="109"/>
      <c r="C659" s="109"/>
      <c r="D659" s="109"/>
      <c r="E659" s="109"/>
      <c r="F659" s="109"/>
      <c r="G659" s="111"/>
      <c r="H659" s="111"/>
      <c r="I659" s="112"/>
      <c r="J659" s="112"/>
      <c r="K659" s="112"/>
      <c r="L659" s="112"/>
      <c r="M659" s="112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</row>
    <row r="660" spans="1:29" ht="12" customHeight="1">
      <c r="A660" s="108"/>
      <c r="B660" s="109"/>
      <c r="C660" s="109"/>
      <c r="D660" s="109"/>
      <c r="E660" s="109"/>
      <c r="F660" s="109"/>
      <c r="G660" s="111"/>
      <c r="H660" s="111"/>
      <c r="I660" s="112"/>
      <c r="J660" s="112"/>
      <c r="K660" s="112"/>
      <c r="L660" s="112"/>
      <c r="M660" s="112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</row>
    <row r="661" spans="1:29" ht="12" customHeight="1">
      <c r="A661" s="108"/>
      <c r="B661" s="109"/>
      <c r="C661" s="109"/>
      <c r="D661" s="109"/>
      <c r="E661" s="109"/>
      <c r="F661" s="109"/>
      <c r="G661" s="111"/>
      <c r="H661" s="111"/>
      <c r="I661" s="112"/>
      <c r="J661" s="112"/>
      <c r="K661" s="112"/>
      <c r="L661" s="112"/>
      <c r="M661" s="112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</row>
    <row r="662" spans="1:29" ht="12" customHeight="1">
      <c r="A662" s="108"/>
      <c r="B662" s="109"/>
      <c r="C662" s="109"/>
      <c r="D662" s="109"/>
      <c r="E662" s="109"/>
      <c r="F662" s="109"/>
      <c r="G662" s="111"/>
      <c r="H662" s="111"/>
      <c r="I662" s="112"/>
      <c r="J662" s="112"/>
      <c r="K662" s="112"/>
      <c r="L662" s="112"/>
      <c r="M662" s="112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</row>
    <row r="663" spans="1:29" ht="12" customHeight="1">
      <c r="A663" s="108"/>
      <c r="B663" s="109"/>
      <c r="C663" s="109"/>
      <c r="D663" s="109"/>
      <c r="E663" s="109"/>
      <c r="F663" s="109"/>
      <c r="G663" s="111"/>
      <c r="H663" s="111"/>
      <c r="I663" s="112"/>
      <c r="J663" s="112"/>
      <c r="K663" s="112"/>
      <c r="L663" s="112"/>
      <c r="M663" s="112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</row>
    <row r="664" spans="1:29" ht="12" customHeight="1">
      <c r="A664" s="108"/>
      <c r="B664" s="109"/>
      <c r="C664" s="109"/>
      <c r="D664" s="109"/>
      <c r="E664" s="109"/>
      <c r="F664" s="109"/>
      <c r="G664" s="111"/>
      <c r="H664" s="111"/>
      <c r="I664" s="112"/>
      <c r="J664" s="112"/>
      <c r="K664" s="112"/>
      <c r="L664" s="112"/>
      <c r="M664" s="112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</row>
    <row r="665" spans="1:29" ht="12" customHeight="1">
      <c r="A665" s="108"/>
      <c r="B665" s="109"/>
      <c r="C665" s="109"/>
      <c r="D665" s="109"/>
      <c r="E665" s="109"/>
      <c r="F665" s="109"/>
      <c r="G665" s="111"/>
      <c r="H665" s="111"/>
      <c r="I665" s="112"/>
      <c r="J665" s="112"/>
      <c r="K665" s="112"/>
      <c r="L665" s="112"/>
      <c r="M665" s="112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</row>
    <row r="666" spans="1:29" ht="12" customHeight="1">
      <c r="A666" s="108"/>
      <c r="B666" s="109"/>
      <c r="C666" s="109"/>
      <c r="D666" s="109"/>
      <c r="E666" s="109"/>
      <c r="F666" s="109"/>
      <c r="G666" s="111"/>
      <c r="H666" s="111"/>
      <c r="I666" s="112"/>
      <c r="J666" s="112"/>
      <c r="K666" s="112"/>
      <c r="L666" s="112"/>
      <c r="M666" s="112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</row>
    <row r="667" spans="1:29" ht="12" customHeight="1">
      <c r="A667" s="108"/>
      <c r="B667" s="109"/>
      <c r="C667" s="109"/>
      <c r="D667" s="109"/>
      <c r="E667" s="109"/>
      <c r="F667" s="109"/>
      <c r="G667" s="111"/>
      <c r="H667" s="111"/>
      <c r="I667" s="112"/>
      <c r="J667" s="112"/>
      <c r="K667" s="112"/>
      <c r="L667" s="112"/>
      <c r="M667" s="112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</row>
    <row r="668" spans="1:29" ht="12" customHeight="1">
      <c r="A668" s="108"/>
      <c r="B668" s="109"/>
      <c r="C668" s="109"/>
      <c r="D668" s="109"/>
      <c r="E668" s="109"/>
      <c r="F668" s="109"/>
      <c r="G668" s="111"/>
      <c r="H668" s="111"/>
      <c r="I668" s="112"/>
      <c r="J668" s="112"/>
      <c r="K668" s="112"/>
      <c r="L668" s="112"/>
      <c r="M668" s="112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</row>
    <row r="669" spans="1:29" ht="12" customHeight="1">
      <c r="A669" s="108"/>
      <c r="B669" s="109"/>
      <c r="C669" s="109"/>
      <c r="D669" s="109"/>
      <c r="E669" s="109"/>
      <c r="F669" s="109"/>
      <c r="G669" s="111"/>
      <c r="H669" s="111"/>
      <c r="I669" s="112"/>
      <c r="J669" s="112"/>
      <c r="K669" s="112"/>
      <c r="L669" s="112"/>
      <c r="M669" s="112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</row>
    <row r="670" spans="1:29" ht="12" customHeight="1">
      <c r="A670" s="108"/>
      <c r="B670" s="109"/>
      <c r="C670" s="109"/>
      <c r="D670" s="109"/>
      <c r="E670" s="109"/>
      <c r="F670" s="109"/>
      <c r="G670" s="111"/>
      <c r="H670" s="111"/>
      <c r="I670" s="112"/>
      <c r="J670" s="112"/>
      <c r="K670" s="112"/>
      <c r="L670" s="112"/>
      <c r="M670" s="112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</row>
    <row r="671" spans="1:29" ht="12" customHeight="1">
      <c r="A671" s="108"/>
      <c r="B671" s="109"/>
      <c r="C671" s="109"/>
      <c r="D671" s="109"/>
      <c r="E671" s="109"/>
      <c r="F671" s="109"/>
      <c r="G671" s="111"/>
      <c r="H671" s="111"/>
      <c r="I671" s="112"/>
      <c r="J671" s="112"/>
      <c r="K671" s="112"/>
      <c r="L671" s="112"/>
      <c r="M671" s="112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</row>
    <row r="672" spans="1:29" ht="12" customHeight="1">
      <c r="A672" s="108"/>
      <c r="B672" s="109"/>
      <c r="C672" s="109"/>
      <c r="D672" s="109"/>
      <c r="E672" s="109"/>
      <c r="F672" s="109"/>
      <c r="G672" s="111"/>
      <c r="H672" s="111"/>
      <c r="I672" s="112"/>
      <c r="J672" s="112"/>
      <c r="K672" s="112"/>
      <c r="L672" s="112"/>
      <c r="M672" s="112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</row>
    <row r="673" spans="1:29" ht="12" customHeight="1">
      <c r="A673" s="108"/>
      <c r="B673" s="109"/>
      <c r="C673" s="109"/>
      <c r="D673" s="109"/>
      <c r="E673" s="109"/>
      <c r="F673" s="109"/>
      <c r="G673" s="111"/>
      <c r="H673" s="111"/>
      <c r="I673" s="112"/>
      <c r="J673" s="112"/>
      <c r="K673" s="112"/>
      <c r="L673" s="112"/>
      <c r="M673" s="112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</row>
    <row r="674" spans="1:29" ht="12" customHeight="1">
      <c r="A674" s="108"/>
      <c r="B674" s="109"/>
      <c r="C674" s="109"/>
      <c r="D674" s="109"/>
      <c r="E674" s="109"/>
      <c r="F674" s="109"/>
      <c r="G674" s="111"/>
      <c r="H674" s="111"/>
      <c r="I674" s="112"/>
      <c r="J674" s="112"/>
      <c r="K674" s="112"/>
      <c r="L674" s="112"/>
      <c r="M674" s="112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</row>
    <row r="675" spans="1:29" ht="12" customHeight="1">
      <c r="A675" s="108"/>
      <c r="B675" s="109"/>
      <c r="C675" s="109"/>
      <c r="D675" s="109"/>
      <c r="E675" s="109"/>
      <c r="F675" s="109"/>
      <c r="G675" s="111"/>
      <c r="H675" s="111"/>
      <c r="I675" s="112"/>
      <c r="J675" s="112"/>
      <c r="K675" s="112"/>
      <c r="L675" s="112"/>
      <c r="M675" s="112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</row>
    <row r="676" spans="1:29" ht="12" customHeight="1">
      <c r="A676" s="108"/>
      <c r="B676" s="109"/>
      <c r="C676" s="109"/>
      <c r="D676" s="109"/>
      <c r="E676" s="109"/>
      <c r="F676" s="109"/>
      <c r="G676" s="111"/>
      <c r="H676" s="111"/>
      <c r="I676" s="112"/>
      <c r="J676" s="112"/>
      <c r="K676" s="112"/>
      <c r="L676" s="112"/>
      <c r="M676" s="112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</row>
    <row r="677" spans="1:29" ht="12" customHeight="1">
      <c r="A677" s="108"/>
      <c r="B677" s="109"/>
      <c r="C677" s="109"/>
      <c r="D677" s="109"/>
      <c r="E677" s="109"/>
      <c r="F677" s="109"/>
      <c r="G677" s="111"/>
      <c r="H677" s="111"/>
      <c r="I677" s="112"/>
      <c r="J677" s="112"/>
      <c r="K677" s="112"/>
      <c r="L677" s="112"/>
      <c r="M677" s="112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</row>
    <row r="678" spans="1:29" ht="12" customHeight="1">
      <c r="A678" s="108"/>
      <c r="B678" s="109"/>
      <c r="C678" s="109"/>
      <c r="D678" s="109"/>
      <c r="E678" s="109"/>
      <c r="F678" s="109"/>
      <c r="G678" s="111"/>
      <c r="H678" s="111"/>
      <c r="I678" s="112"/>
      <c r="J678" s="112"/>
      <c r="K678" s="112"/>
      <c r="L678" s="112"/>
      <c r="M678" s="112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</row>
    <row r="679" spans="1:29" ht="12" customHeight="1">
      <c r="A679" s="108"/>
      <c r="B679" s="109"/>
      <c r="C679" s="109"/>
      <c r="D679" s="109"/>
      <c r="E679" s="109"/>
      <c r="F679" s="109"/>
      <c r="G679" s="111"/>
      <c r="H679" s="111"/>
      <c r="I679" s="112"/>
      <c r="J679" s="112"/>
      <c r="K679" s="112"/>
      <c r="L679" s="112"/>
      <c r="M679" s="112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</row>
    <row r="680" spans="1:29" ht="12" customHeight="1">
      <c r="A680" s="108"/>
      <c r="B680" s="109"/>
      <c r="C680" s="109"/>
      <c r="D680" s="109"/>
      <c r="E680" s="109"/>
      <c r="F680" s="109"/>
      <c r="G680" s="111"/>
      <c r="H680" s="111"/>
      <c r="I680" s="112"/>
      <c r="J680" s="112"/>
      <c r="K680" s="112"/>
      <c r="L680" s="112"/>
      <c r="M680" s="112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</row>
    <row r="681" spans="1:29" ht="12" customHeight="1">
      <c r="A681" s="108"/>
      <c r="B681" s="109"/>
      <c r="C681" s="109"/>
      <c r="D681" s="109"/>
      <c r="E681" s="109"/>
      <c r="F681" s="109"/>
      <c r="G681" s="111"/>
      <c r="H681" s="111"/>
      <c r="I681" s="112"/>
      <c r="J681" s="112"/>
      <c r="K681" s="112"/>
      <c r="L681" s="112"/>
      <c r="M681" s="112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</row>
    <row r="682" spans="1:29" ht="12" customHeight="1">
      <c r="A682" s="108"/>
      <c r="B682" s="109"/>
      <c r="C682" s="109"/>
      <c r="D682" s="109"/>
      <c r="E682" s="109"/>
      <c r="F682" s="109"/>
      <c r="G682" s="111"/>
      <c r="H682" s="111"/>
      <c r="I682" s="112"/>
      <c r="J682" s="112"/>
      <c r="K682" s="112"/>
      <c r="L682" s="112"/>
      <c r="M682" s="112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</row>
    <row r="683" spans="1:29" ht="12" customHeight="1">
      <c r="A683" s="108"/>
      <c r="B683" s="109"/>
      <c r="C683" s="109"/>
      <c r="D683" s="109"/>
      <c r="E683" s="109"/>
      <c r="F683" s="109"/>
      <c r="G683" s="111"/>
      <c r="H683" s="111"/>
      <c r="I683" s="112"/>
      <c r="J683" s="112"/>
      <c r="K683" s="112"/>
      <c r="L683" s="112"/>
      <c r="M683" s="112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</row>
    <row r="684" spans="1:29" ht="12" customHeight="1">
      <c r="A684" s="108"/>
      <c r="B684" s="109"/>
      <c r="C684" s="109"/>
      <c r="D684" s="109"/>
      <c r="E684" s="109"/>
      <c r="F684" s="109"/>
      <c r="G684" s="111"/>
      <c r="H684" s="111"/>
      <c r="I684" s="112"/>
      <c r="J684" s="112"/>
      <c r="K684" s="112"/>
      <c r="L684" s="112"/>
      <c r="M684" s="112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</row>
    <row r="685" spans="1:29" ht="12" customHeight="1">
      <c r="A685" s="108"/>
      <c r="B685" s="109"/>
      <c r="C685" s="109"/>
      <c r="D685" s="109"/>
      <c r="E685" s="109"/>
      <c r="F685" s="109"/>
      <c r="G685" s="111"/>
      <c r="H685" s="111"/>
      <c r="I685" s="112"/>
      <c r="J685" s="112"/>
      <c r="K685" s="112"/>
      <c r="L685" s="112"/>
      <c r="M685" s="112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</row>
    <row r="686" spans="1:29" ht="12" customHeight="1">
      <c r="A686" s="108"/>
      <c r="B686" s="109"/>
      <c r="C686" s="109"/>
      <c r="D686" s="109"/>
      <c r="E686" s="109"/>
      <c r="F686" s="109"/>
      <c r="G686" s="111"/>
      <c r="H686" s="111"/>
      <c r="I686" s="112"/>
      <c r="J686" s="112"/>
      <c r="K686" s="112"/>
      <c r="L686" s="112"/>
      <c r="M686" s="112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</row>
    <row r="687" spans="1:29" ht="12" customHeight="1">
      <c r="A687" s="108"/>
      <c r="B687" s="109"/>
      <c r="C687" s="109"/>
      <c r="D687" s="109"/>
      <c r="E687" s="109"/>
      <c r="F687" s="109"/>
      <c r="G687" s="111"/>
      <c r="H687" s="111"/>
      <c r="I687" s="112"/>
      <c r="J687" s="112"/>
      <c r="K687" s="112"/>
      <c r="L687" s="112"/>
      <c r="M687" s="112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</row>
    <row r="688" spans="1:29" ht="12" customHeight="1">
      <c r="A688" s="108"/>
      <c r="B688" s="109"/>
      <c r="C688" s="109"/>
      <c r="D688" s="109"/>
      <c r="E688" s="109"/>
      <c r="F688" s="109"/>
      <c r="G688" s="111"/>
      <c r="H688" s="111"/>
      <c r="I688" s="112"/>
      <c r="J688" s="112"/>
      <c r="K688" s="112"/>
      <c r="L688" s="112"/>
      <c r="M688" s="112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</row>
    <row r="689" spans="1:29" ht="12" customHeight="1">
      <c r="A689" s="108"/>
      <c r="B689" s="109"/>
      <c r="C689" s="109"/>
      <c r="D689" s="109"/>
      <c r="E689" s="109"/>
      <c r="F689" s="109"/>
      <c r="G689" s="111"/>
      <c r="H689" s="111"/>
      <c r="I689" s="112"/>
      <c r="J689" s="112"/>
      <c r="K689" s="112"/>
      <c r="L689" s="112"/>
      <c r="M689" s="112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</row>
    <row r="690" spans="1:29" ht="12" customHeight="1">
      <c r="A690" s="108"/>
      <c r="B690" s="109"/>
      <c r="C690" s="109"/>
      <c r="D690" s="109"/>
      <c r="E690" s="109"/>
      <c r="F690" s="109"/>
      <c r="G690" s="111"/>
      <c r="H690" s="111"/>
      <c r="I690" s="112"/>
      <c r="J690" s="112"/>
      <c r="K690" s="112"/>
      <c r="L690" s="112"/>
      <c r="M690" s="112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</row>
    <row r="691" spans="1:29" ht="12" customHeight="1">
      <c r="A691" s="108"/>
      <c r="B691" s="109"/>
      <c r="C691" s="109"/>
      <c r="D691" s="109"/>
      <c r="E691" s="109"/>
      <c r="F691" s="109"/>
      <c r="G691" s="111"/>
      <c r="H691" s="111"/>
      <c r="I691" s="112"/>
      <c r="J691" s="112"/>
      <c r="K691" s="112"/>
      <c r="L691" s="112"/>
      <c r="M691" s="112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</row>
    <row r="692" spans="1:29" ht="12" customHeight="1">
      <c r="A692" s="108"/>
      <c r="B692" s="109"/>
      <c r="C692" s="109"/>
      <c r="D692" s="109"/>
      <c r="E692" s="109"/>
      <c r="F692" s="109"/>
      <c r="G692" s="111"/>
      <c r="H692" s="111"/>
      <c r="I692" s="112"/>
      <c r="J692" s="112"/>
      <c r="K692" s="112"/>
      <c r="L692" s="112"/>
      <c r="M692" s="112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</row>
    <row r="693" spans="1:29" ht="12" customHeight="1">
      <c r="A693" s="108"/>
      <c r="B693" s="109"/>
      <c r="C693" s="109"/>
      <c r="D693" s="109"/>
      <c r="E693" s="109"/>
      <c r="F693" s="109"/>
      <c r="G693" s="111"/>
      <c r="H693" s="111"/>
      <c r="I693" s="112"/>
      <c r="J693" s="112"/>
      <c r="K693" s="112"/>
      <c r="L693" s="112"/>
      <c r="M693" s="112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</row>
    <row r="694" spans="1:29" ht="12" customHeight="1">
      <c r="A694" s="108"/>
      <c r="B694" s="109"/>
      <c r="C694" s="109"/>
      <c r="D694" s="109"/>
      <c r="E694" s="109"/>
      <c r="F694" s="109"/>
      <c r="G694" s="111"/>
      <c r="H694" s="111"/>
      <c r="I694" s="112"/>
      <c r="J694" s="112"/>
      <c r="K694" s="112"/>
      <c r="L694" s="112"/>
      <c r="M694" s="112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</row>
    <row r="695" spans="1:29" ht="12" customHeight="1">
      <c r="A695" s="108"/>
      <c r="B695" s="109"/>
      <c r="C695" s="109"/>
      <c r="D695" s="109"/>
      <c r="E695" s="109"/>
      <c r="F695" s="109"/>
      <c r="G695" s="111"/>
      <c r="H695" s="111"/>
      <c r="I695" s="112"/>
      <c r="J695" s="112"/>
      <c r="K695" s="112"/>
      <c r="L695" s="112"/>
      <c r="M695" s="112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</row>
    <row r="696" spans="1:29" ht="12" customHeight="1">
      <c r="A696" s="108"/>
      <c r="B696" s="109"/>
      <c r="C696" s="109"/>
      <c r="D696" s="109"/>
      <c r="E696" s="109"/>
      <c r="F696" s="109"/>
      <c r="G696" s="111"/>
      <c r="H696" s="111"/>
      <c r="I696" s="112"/>
      <c r="J696" s="112"/>
      <c r="K696" s="112"/>
      <c r="L696" s="112"/>
      <c r="M696" s="112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</row>
    <row r="697" spans="1:29" ht="12" customHeight="1">
      <c r="A697" s="108"/>
      <c r="B697" s="109"/>
      <c r="C697" s="109"/>
      <c r="D697" s="109"/>
      <c r="E697" s="109"/>
      <c r="F697" s="109"/>
      <c r="G697" s="111"/>
      <c r="H697" s="111"/>
      <c r="I697" s="112"/>
      <c r="J697" s="112"/>
      <c r="K697" s="112"/>
      <c r="L697" s="112"/>
      <c r="M697" s="112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</row>
    <row r="698" spans="1:29" ht="12" customHeight="1">
      <c r="A698" s="108"/>
      <c r="B698" s="109"/>
      <c r="C698" s="109"/>
      <c r="D698" s="109"/>
      <c r="E698" s="109"/>
      <c r="F698" s="109"/>
      <c r="G698" s="111"/>
      <c r="H698" s="111"/>
      <c r="I698" s="112"/>
      <c r="J698" s="112"/>
      <c r="K698" s="112"/>
      <c r="L698" s="112"/>
      <c r="M698" s="112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</row>
    <row r="699" spans="1:29" ht="12" customHeight="1">
      <c r="A699" s="108"/>
      <c r="B699" s="109"/>
      <c r="C699" s="109"/>
      <c r="D699" s="109"/>
      <c r="E699" s="109"/>
      <c r="F699" s="109"/>
      <c r="G699" s="111"/>
      <c r="H699" s="111"/>
      <c r="I699" s="112"/>
      <c r="J699" s="112"/>
      <c r="K699" s="112"/>
      <c r="L699" s="112"/>
      <c r="M699" s="112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</row>
    <row r="700" spans="1:29" ht="12" customHeight="1">
      <c r="A700" s="108"/>
      <c r="B700" s="109"/>
      <c r="C700" s="109"/>
      <c r="D700" s="109"/>
      <c r="E700" s="109"/>
      <c r="F700" s="109"/>
      <c r="G700" s="111"/>
      <c r="H700" s="111"/>
      <c r="I700" s="112"/>
      <c r="J700" s="112"/>
      <c r="K700" s="112"/>
      <c r="L700" s="112"/>
      <c r="M700" s="112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</row>
    <row r="701" spans="1:29" ht="12" customHeight="1">
      <c r="A701" s="108"/>
      <c r="B701" s="109"/>
      <c r="C701" s="109"/>
      <c r="D701" s="109"/>
      <c r="E701" s="109"/>
      <c r="F701" s="109"/>
      <c r="G701" s="111"/>
      <c r="H701" s="111"/>
      <c r="I701" s="112"/>
      <c r="J701" s="112"/>
      <c r="K701" s="112"/>
      <c r="L701" s="112"/>
      <c r="M701" s="112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</row>
    <row r="702" spans="1:29" ht="12" customHeight="1">
      <c r="A702" s="108"/>
      <c r="B702" s="109"/>
      <c r="C702" s="109"/>
      <c r="D702" s="109"/>
      <c r="E702" s="109"/>
      <c r="F702" s="109"/>
      <c r="G702" s="111"/>
      <c r="H702" s="111"/>
      <c r="I702" s="112"/>
      <c r="J702" s="112"/>
      <c r="K702" s="112"/>
      <c r="L702" s="112"/>
      <c r="M702" s="112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</row>
    <row r="703" spans="1:29" ht="12" customHeight="1">
      <c r="A703" s="108"/>
      <c r="B703" s="109"/>
      <c r="C703" s="109"/>
      <c r="D703" s="109"/>
      <c r="E703" s="109"/>
      <c r="F703" s="109"/>
      <c r="G703" s="111"/>
      <c r="H703" s="111"/>
      <c r="I703" s="112"/>
      <c r="J703" s="112"/>
      <c r="K703" s="112"/>
      <c r="L703" s="112"/>
      <c r="M703" s="112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</row>
    <row r="704" spans="1:29" ht="12" customHeight="1">
      <c r="A704" s="108"/>
      <c r="B704" s="109"/>
      <c r="C704" s="109"/>
      <c r="D704" s="109"/>
      <c r="E704" s="109"/>
      <c r="F704" s="109"/>
      <c r="G704" s="111"/>
      <c r="H704" s="111"/>
      <c r="I704" s="112"/>
      <c r="J704" s="112"/>
      <c r="K704" s="112"/>
      <c r="L704" s="112"/>
      <c r="M704" s="112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</row>
    <row r="705" spans="1:29" ht="12" customHeight="1">
      <c r="A705" s="108"/>
      <c r="B705" s="109"/>
      <c r="C705" s="109"/>
      <c r="D705" s="109"/>
      <c r="E705" s="109"/>
      <c r="F705" s="109"/>
      <c r="G705" s="111"/>
      <c r="H705" s="111"/>
      <c r="I705" s="112"/>
      <c r="J705" s="112"/>
      <c r="K705" s="112"/>
      <c r="L705" s="112"/>
      <c r="M705" s="112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</row>
    <row r="706" spans="1:29" ht="12" customHeight="1">
      <c r="A706" s="108"/>
      <c r="B706" s="109"/>
      <c r="C706" s="109"/>
      <c r="D706" s="109"/>
      <c r="E706" s="109"/>
      <c r="F706" s="109"/>
      <c r="G706" s="111"/>
      <c r="H706" s="111"/>
      <c r="I706" s="112"/>
      <c r="J706" s="112"/>
      <c r="K706" s="112"/>
      <c r="L706" s="112"/>
      <c r="M706" s="112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</row>
    <row r="707" spans="1:29" ht="12" customHeight="1">
      <c r="A707" s="108"/>
      <c r="B707" s="109"/>
      <c r="C707" s="109"/>
      <c r="D707" s="109"/>
      <c r="E707" s="109"/>
      <c r="F707" s="109"/>
      <c r="G707" s="111"/>
      <c r="H707" s="111"/>
      <c r="I707" s="112"/>
      <c r="J707" s="112"/>
      <c r="K707" s="112"/>
      <c r="L707" s="112"/>
      <c r="M707" s="112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</row>
    <row r="708" spans="1:29" ht="12" customHeight="1">
      <c r="A708" s="108"/>
      <c r="B708" s="109"/>
      <c r="C708" s="109"/>
      <c r="D708" s="109"/>
      <c r="E708" s="109"/>
      <c r="F708" s="109"/>
      <c r="G708" s="111"/>
      <c r="H708" s="111"/>
      <c r="I708" s="112"/>
      <c r="J708" s="112"/>
      <c r="K708" s="112"/>
      <c r="L708" s="112"/>
      <c r="M708" s="112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</row>
    <row r="709" spans="1:29" ht="12" customHeight="1">
      <c r="A709" s="108"/>
      <c r="B709" s="109"/>
      <c r="C709" s="109"/>
      <c r="D709" s="109"/>
      <c r="E709" s="109"/>
      <c r="F709" s="109"/>
      <c r="G709" s="111"/>
      <c r="H709" s="111"/>
      <c r="I709" s="112"/>
      <c r="J709" s="112"/>
      <c r="K709" s="112"/>
      <c r="L709" s="112"/>
      <c r="M709" s="112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</row>
    <row r="710" spans="1:29" ht="12" customHeight="1">
      <c r="A710" s="108"/>
      <c r="B710" s="109"/>
      <c r="C710" s="109"/>
      <c r="D710" s="109"/>
      <c r="E710" s="109"/>
      <c r="F710" s="109"/>
      <c r="G710" s="111"/>
      <c r="H710" s="111"/>
      <c r="I710" s="112"/>
      <c r="J710" s="112"/>
      <c r="K710" s="112"/>
      <c r="L710" s="112"/>
      <c r="M710" s="112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</row>
    <row r="711" spans="1:29" ht="12" customHeight="1">
      <c r="A711" s="108"/>
      <c r="B711" s="109"/>
      <c r="C711" s="109"/>
      <c r="D711" s="109"/>
      <c r="E711" s="109"/>
      <c r="F711" s="109"/>
      <c r="G711" s="111"/>
      <c r="H711" s="111"/>
      <c r="I711" s="112"/>
      <c r="J711" s="112"/>
      <c r="K711" s="112"/>
      <c r="L711" s="112"/>
      <c r="M711" s="112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</row>
    <row r="712" spans="1:29" ht="12" customHeight="1">
      <c r="A712" s="108"/>
      <c r="B712" s="109"/>
      <c r="C712" s="109"/>
      <c r="D712" s="109"/>
      <c r="E712" s="109"/>
      <c r="F712" s="109"/>
      <c r="G712" s="111"/>
      <c r="H712" s="111"/>
      <c r="I712" s="112"/>
      <c r="J712" s="112"/>
      <c r="K712" s="112"/>
      <c r="L712" s="112"/>
      <c r="M712" s="112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</row>
    <row r="713" spans="1:29" ht="12" customHeight="1">
      <c r="A713" s="108"/>
      <c r="B713" s="109"/>
      <c r="C713" s="109"/>
      <c r="D713" s="109"/>
      <c r="E713" s="109"/>
      <c r="F713" s="109"/>
      <c r="G713" s="111"/>
      <c r="H713" s="111"/>
      <c r="I713" s="112"/>
      <c r="J713" s="112"/>
      <c r="K713" s="112"/>
      <c r="L713" s="112"/>
      <c r="M713" s="112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</row>
    <row r="714" spans="1:29" ht="12" customHeight="1">
      <c r="A714" s="108"/>
      <c r="B714" s="109"/>
      <c r="C714" s="109"/>
      <c r="D714" s="109"/>
      <c r="E714" s="109"/>
      <c r="F714" s="109"/>
      <c r="G714" s="111"/>
      <c r="H714" s="111"/>
      <c r="I714" s="112"/>
      <c r="J714" s="112"/>
      <c r="K714" s="112"/>
      <c r="L714" s="112"/>
      <c r="M714" s="112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</row>
    <row r="715" spans="1:29" ht="12" customHeight="1">
      <c r="A715" s="108"/>
      <c r="B715" s="109"/>
      <c r="C715" s="109"/>
      <c r="D715" s="109"/>
      <c r="E715" s="109"/>
      <c r="F715" s="109"/>
      <c r="G715" s="111"/>
      <c r="H715" s="111"/>
      <c r="I715" s="112"/>
      <c r="J715" s="112"/>
      <c r="K715" s="112"/>
      <c r="L715" s="112"/>
      <c r="M715" s="112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</row>
    <row r="716" spans="1:29" ht="12" customHeight="1">
      <c r="A716" s="108"/>
      <c r="B716" s="109"/>
      <c r="C716" s="109"/>
      <c r="D716" s="109"/>
      <c r="E716" s="109"/>
      <c r="F716" s="109"/>
      <c r="G716" s="111"/>
      <c r="H716" s="111"/>
      <c r="I716" s="112"/>
      <c r="J716" s="112"/>
      <c r="K716" s="112"/>
      <c r="L716" s="112"/>
      <c r="M716" s="112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</row>
    <row r="717" spans="1:29" ht="12" customHeight="1">
      <c r="A717" s="108"/>
      <c r="B717" s="109"/>
      <c r="C717" s="109"/>
      <c r="D717" s="109"/>
      <c r="E717" s="109"/>
      <c r="F717" s="109"/>
      <c r="G717" s="111"/>
      <c r="H717" s="111"/>
      <c r="I717" s="112"/>
      <c r="J717" s="112"/>
      <c r="K717" s="112"/>
      <c r="L717" s="112"/>
      <c r="M717" s="112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</row>
    <row r="718" spans="1:29" ht="12" customHeight="1">
      <c r="A718" s="108"/>
      <c r="B718" s="109"/>
      <c r="C718" s="109"/>
      <c r="D718" s="109"/>
      <c r="E718" s="109"/>
      <c r="F718" s="109"/>
      <c r="G718" s="111"/>
      <c r="H718" s="111"/>
      <c r="I718" s="112"/>
      <c r="J718" s="112"/>
      <c r="K718" s="112"/>
      <c r="L718" s="112"/>
      <c r="M718" s="112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</row>
    <row r="719" spans="1:29" ht="12" customHeight="1">
      <c r="A719" s="108"/>
      <c r="B719" s="109"/>
      <c r="C719" s="109"/>
      <c r="D719" s="109"/>
      <c r="E719" s="109"/>
      <c r="F719" s="109"/>
      <c r="G719" s="111"/>
      <c r="H719" s="111"/>
      <c r="I719" s="112"/>
      <c r="J719" s="112"/>
      <c r="K719" s="112"/>
      <c r="L719" s="112"/>
      <c r="M719" s="112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</row>
    <row r="720" spans="1:29" ht="12" customHeight="1">
      <c r="A720" s="108"/>
      <c r="B720" s="109"/>
      <c r="C720" s="109"/>
      <c r="D720" s="109"/>
      <c r="E720" s="109"/>
      <c r="F720" s="109"/>
      <c r="G720" s="111"/>
      <c r="H720" s="111"/>
      <c r="I720" s="112"/>
      <c r="J720" s="112"/>
      <c r="K720" s="112"/>
      <c r="L720" s="112"/>
      <c r="M720" s="112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</row>
    <row r="721" spans="1:29" ht="12" customHeight="1">
      <c r="A721" s="108"/>
      <c r="B721" s="109"/>
      <c r="C721" s="109"/>
      <c r="D721" s="109"/>
      <c r="E721" s="109"/>
      <c r="F721" s="109"/>
      <c r="G721" s="111"/>
      <c r="H721" s="111"/>
      <c r="I721" s="112"/>
      <c r="J721" s="112"/>
      <c r="K721" s="112"/>
      <c r="L721" s="112"/>
      <c r="M721" s="112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</row>
    <row r="722" spans="1:29" ht="12" customHeight="1">
      <c r="A722" s="108"/>
      <c r="B722" s="109"/>
      <c r="C722" s="109"/>
      <c r="D722" s="109"/>
      <c r="E722" s="109"/>
      <c r="F722" s="109"/>
      <c r="G722" s="111"/>
      <c r="H722" s="111"/>
      <c r="I722" s="112"/>
      <c r="J722" s="112"/>
      <c r="K722" s="112"/>
      <c r="L722" s="112"/>
      <c r="M722" s="112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</row>
    <row r="723" spans="1:29" ht="12" customHeight="1">
      <c r="A723" s="108"/>
      <c r="B723" s="109"/>
      <c r="C723" s="109"/>
      <c r="D723" s="109"/>
      <c r="E723" s="109"/>
      <c r="F723" s="109"/>
      <c r="G723" s="111"/>
      <c r="H723" s="111"/>
      <c r="I723" s="112"/>
      <c r="J723" s="112"/>
      <c r="K723" s="112"/>
      <c r="L723" s="112"/>
      <c r="M723" s="112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</row>
    <row r="724" spans="1:29" ht="12" customHeight="1">
      <c r="A724" s="108"/>
      <c r="B724" s="109"/>
      <c r="C724" s="109"/>
      <c r="D724" s="109"/>
      <c r="E724" s="109"/>
      <c r="F724" s="109"/>
      <c r="G724" s="111"/>
      <c r="H724" s="111"/>
      <c r="I724" s="112"/>
      <c r="J724" s="112"/>
      <c r="K724" s="112"/>
      <c r="L724" s="112"/>
      <c r="M724" s="112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</row>
    <row r="725" spans="1:29" ht="12" customHeight="1">
      <c r="A725" s="108"/>
      <c r="B725" s="109"/>
      <c r="C725" s="109"/>
      <c r="D725" s="109"/>
      <c r="E725" s="109"/>
      <c r="F725" s="109"/>
      <c r="G725" s="111"/>
      <c r="H725" s="111"/>
      <c r="I725" s="112"/>
      <c r="J725" s="112"/>
      <c r="K725" s="112"/>
      <c r="L725" s="112"/>
      <c r="M725" s="112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</row>
    <row r="726" spans="1:29" ht="12" customHeight="1">
      <c r="A726" s="108"/>
      <c r="B726" s="109"/>
      <c r="C726" s="109"/>
      <c r="D726" s="109"/>
      <c r="E726" s="109"/>
      <c r="F726" s="109"/>
      <c r="G726" s="111"/>
      <c r="H726" s="111"/>
      <c r="I726" s="112"/>
      <c r="J726" s="112"/>
      <c r="K726" s="112"/>
      <c r="L726" s="112"/>
      <c r="M726" s="112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</row>
    <row r="727" spans="1:29" ht="12" customHeight="1">
      <c r="A727" s="108"/>
      <c r="B727" s="109"/>
      <c r="C727" s="109"/>
      <c r="D727" s="109"/>
      <c r="E727" s="109"/>
      <c r="F727" s="109"/>
      <c r="G727" s="111"/>
      <c r="H727" s="111"/>
      <c r="I727" s="112"/>
      <c r="J727" s="112"/>
      <c r="K727" s="112"/>
      <c r="L727" s="112"/>
      <c r="M727" s="112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</row>
    <row r="728" spans="1:29" ht="12" customHeight="1">
      <c r="A728" s="108"/>
      <c r="B728" s="109"/>
      <c r="C728" s="109"/>
      <c r="D728" s="109"/>
      <c r="E728" s="109"/>
      <c r="F728" s="109"/>
      <c r="G728" s="111"/>
      <c r="H728" s="111"/>
      <c r="I728" s="112"/>
      <c r="J728" s="112"/>
      <c r="K728" s="112"/>
      <c r="L728" s="112"/>
      <c r="M728" s="112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</row>
    <row r="729" spans="1:29" ht="12" customHeight="1">
      <c r="A729" s="108"/>
      <c r="B729" s="109"/>
      <c r="C729" s="109"/>
      <c r="D729" s="109"/>
      <c r="E729" s="109"/>
      <c r="F729" s="109"/>
      <c r="G729" s="111"/>
      <c r="H729" s="111"/>
      <c r="I729" s="112"/>
      <c r="J729" s="112"/>
      <c r="K729" s="112"/>
      <c r="L729" s="112"/>
      <c r="M729" s="112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</row>
    <row r="730" spans="1:29" ht="12" customHeight="1">
      <c r="A730" s="108"/>
      <c r="B730" s="109"/>
      <c r="C730" s="109"/>
      <c r="D730" s="109"/>
      <c r="E730" s="109"/>
      <c r="F730" s="109"/>
      <c r="G730" s="111"/>
      <c r="H730" s="111"/>
      <c r="I730" s="112"/>
      <c r="J730" s="112"/>
      <c r="K730" s="112"/>
      <c r="L730" s="112"/>
      <c r="M730" s="112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</row>
    <row r="731" spans="1:29" ht="12" customHeight="1">
      <c r="A731" s="108"/>
      <c r="B731" s="109"/>
      <c r="C731" s="109"/>
      <c r="D731" s="109"/>
      <c r="E731" s="109"/>
      <c r="F731" s="109"/>
      <c r="G731" s="111"/>
      <c r="H731" s="111"/>
      <c r="I731" s="112"/>
      <c r="J731" s="112"/>
      <c r="K731" s="112"/>
      <c r="L731" s="112"/>
      <c r="M731" s="112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</row>
    <row r="732" spans="1:29" ht="12" customHeight="1">
      <c r="A732" s="108"/>
      <c r="B732" s="109"/>
      <c r="C732" s="109"/>
      <c r="D732" s="109"/>
      <c r="E732" s="109"/>
      <c r="F732" s="109"/>
      <c r="G732" s="111"/>
      <c r="H732" s="111"/>
      <c r="I732" s="112"/>
      <c r="J732" s="112"/>
      <c r="K732" s="112"/>
      <c r="L732" s="112"/>
      <c r="M732" s="112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</row>
    <row r="733" spans="1:29" ht="12" customHeight="1">
      <c r="A733" s="108"/>
      <c r="B733" s="109"/>
      <c r="C733" s="109"/>
      <c r="D733" s="109"/>
      <c r="E733" s="109"/>
      <c r="F733" s="109"/>
      <c r="G733" s="111"/>
      <c r="H733" s="111"/>
      <c r="I733" s="112"/>
      <c r="J733" s="112"/>
      <c r="K733" s="112"/>
      <c r="L733" s="112"/>
      <c r="M733" s="112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</row>
    <row r="734" spans="1:29" ht="12" customHeight="1">
      <c r="A734" s="108"/>
      <c r="B734" s="109"/>
      <c r="C734" s="109"/>
      <c r="D734" s="109"/>
      <c r="E734" s="109"/>
      <c r="F734" s="109"/>
      <c r="G734" s="111"/>
      <c r="H734" s="111"/>
      <c r="I734" s="112"/>
      <c r="J734" s="112"/>
      <c r="K734" s="112"/>
      <c r="L734" s="112"/>
      <c r="M734" s="112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</row>
    <row r="735" spans="1:29" ht="12" customHeight="1">
      <c r="A735" s="108"/>
      <c r="B735" s="109"/>
      <c r="C735" s="109"/>
      <c r="D735" s="109"/>
      <c r="E735" s="109"/>
      <c r="F735" s="109"/>
      <c r="G735" s="111"/>
      <c r="H735" s="111"/>
      <c r="I735" s="112"/>
      <c r="J735" s="112"/>
      <c r="K735" s="112"/>
      <c r="L735" s="112"/>
      <c r="M735" s="112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</row>
    <row r="736" spans="1:29" ht="12" customHeight="1">
      <c r="A736" s="108"/>
      <c r="B736" s="109"/>
      <c r="C736" s="109"/>
      <c r="D736" s="109"/>
      <c r="E736" s="109"/>
      <c r="F736" s="109"/>
      <c r="G736" s="111"/>
      <c r="H736" s="111"/>
      <c r="I736" s="112"/>
      <c r="J736" s="112"/>
      <c r="K736" s="112"/>
      <c r="L736" s="112"/>
      <c r="M736" s="112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</row>
    <row r="737" spans="1:29" ht="12" customHeight="1">
      <c r="A737" s="108"/>
      <c r="B737" s="109"/>
      <c r="C737" s="109"/>
      <c r="D737" s="109"/>
      <c r="E737" s="109"/>
      <c r="F737" s="109"/>
      <c r="G737" s="111"/>
      <c r="H737" s="111"/>
      <c r="I737" s="112"/>
      <c r="J737" s="112"/>
      <c r="K737" s="112"/>
      <c r="L737" s="112"/>
      <c r="M737" s="112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</row>
    <row r="738" spans="1:29" ht="12" customHeight="1">
      <c r="A738" s="108"/>
      <c r="B738" s="109"/>
      <c r="C738" s="109"/>
      <c r="D738" s="109"/>
      <c r="E738" s="109"/>
      <c r="F738" s="109"/>
      <c r="G738" s="111"/>
      <c r="H738" s="111"/>
      <c r="I738" s="112"/>
      <c r="J738" s="112"/>
      <c r="K738" s="112"/>
      <c r="L738" s="112"/>
      <c r="M738" s="112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</row>
    <row r="739" spans="1:29" ht="12" customHeight="1">
      <c r="A739" s="108"/>
      <c r="B739" s="109"/>
      <c r="C739" s="109"/>
      <c r="D739" s="109"/>
      <c r="E739" s="109"/>
      <c r="F739" s="109"/>
      <c r="G739" s="111"/>
      <c r="H739" s="111"/>
      <c r="I739" s="112"/>
      <c r="J739" s="112"/>
      <c r="K739" s="112"/>
      <c r="L739" s="112"/>
      <c r="M739" s="112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</row>
    <row r="740" spans="1:29" ht="12" customHeight="1">
      <c r="A740" s="108"/>
      <c r="B740" s="109"/>
      <c r="C740" s="109"/>
      <c r="D740" s="109"/>
      <c r="E740" s="109"/>
      <c r="F740" s="109"/>
      <c r="G740" s="111"/>
      <c r="H740" s="111"/>
      <c r="I740" s="112"/>
      <c r="J740" s="112"/>
      <c r="K740" s="112"/>
      <c r="L740" s="112"/>
      <c r="M740" s="112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</row>
    <row r="741" spans="1:29" ht="12" customHeight="1">
      <c r="A741" s="108"/>
      <c r="B741" s="109"/>
      <c r="C741" s="109"/>
      <c r="D741" s="109"/>
      <c r="E741" s="109"/>
      <c r="F741" s="109"/>
      <c r="G741" s="111"/>
      <c r="H741" s="111"/>
      <c r="I741" s="112"/>
      <c r="J741" s="112"/>
      <c r="K741" s="112"/>
      <c r="L741" s="112"/>
      <c r="M741" s="112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</row>
    <row r="742" spans="1:29" ht="12" customHeight="1">
      <c r="A742" s="108"/>
      <c r="B742" s="109"/>
      <c r="C742" s="109"/>
      <c r="D742" s="109"/>
      <c r="E742" s="109"/>
      <c r="F742" s="109"/>
      <c r="G742" s="111"/>
      <c r="H742" s="111"/>
      <c r="I742" s="112"/>
      <c r="J742" s="112"/>
      <c r="K742" s="112"/>
      <c r="L742" s="112"/>
      <c r="M742" s="112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</row>
    <row r="743" spans="1:29" ht="12" customHeight="1">
      <c r="A743" s="108"/>
      <c r="B743" s="109"/>
      <c r="C743" s="109"/>
      <c r="D743" s="109"/>
      <c r="E743" s="109"/>
      <c r="F743" s="109"/>
      <c r="G743" s="111"/>
      <c r="H743" s="111"/>
      <c r="I743" s="112"/>
      <c r="J743" s="112"/>
      <c r="K743" s="112"/>
      <c r="L743" s="112"/>
      <c r="M743" s="112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</row>
    <row r="744" spans="1:29" ht="12" customHeight="1">
      <c r="A744" s="108"/>
      <c r="B744" s="109"/>
      <c r="C744" s="109"/>
      <c r="D744" s="109"/>
      <c r="E744" s="109"/>
      <c r="F744" s="109"/>
      <c r="G744" s="111"/>
      <c r="H744" s="111"/>
      <c r="I744" s="112"/>
      <c r="J744" s="112"/>
      <c r="K744" s="112"/>
      <c r="L744" s="112"/>
      <c r="M744" s="112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</row>
    <row r="745" spans="1:29" ht="12" customHeight="1">
      <c r="A745" s="108"/>
      <c r="B745" s="109"/>
      <c r="C745" s="109"/>
      <c r="D745" s="109"/>
      <c r="E745" s="109"/>
      <c r="F745" s="109"/>
      <c r="G745" s="111"/>
      <c r="H745" s="111"/>
      <c r="I745" s="112"/>
      <c r="J745" s="112"/>
      <c r="K745" s="112"/>
      <c r="L745" s="112"/>
      <c r="M745" s="112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</row>
    <row r="746" spans="1:29" ht="12" customHeight="1">
      <c r="A746" s="108"/>
      <c r="B746" s="109"/>
      <c r="C746" s="109"/>
      <c r="D746" s="109"/>
      <c r="E746" s="109"/>
      <c r="F746" s="109"/>
      <c r="G746" s="111"/>
      <c r="H746" s="111"/>
      <c r="I746" s="112"/>
      <c r="J746" s="112"/>
      <c r="K746" s="112"/>
      <c r="L746" s="112"/>
      <c r="M746" s="112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</row>
    <row r="747" spans="1:29" ht="12" customHeight="1">
      <c r="A747" s="108"/>
      <c r="B747" s="109"/>
      <c r="C747" s="109"/>
      <c r="D747" s="109"/>
      <c r="E747" s="109"/>
      <c r="F747" s="109"/>
      <c r="G747" s="111"/>
      <c r="H747" s="111"/>
      <c r="I747" s="112"/>
      <c r="J747" s="112"/>
      <c r="K747" s="112"/>
      <c r="L747" s="112"/>
      <c r="M747" s="112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</row>
    <row r="748" spans="1:29" ht="12" customHeight="1">
      <c r="A748" s="108"/>
      <c r="B748" s="109"/>
      <c r="C748" s="109"/>
      <c r="D748" s="109"/>
      <c r="E748" s="109"/>
      <c r="F748" s="109"/>
      <c r="G748" s="111"/>
      <c r="H748" s="111"/>
      <c r="I748" s="112"/>
      <c r="J748" s="112"/>
      <c r="K748" s="112"/>
      <c r="L748" s="112"/>
      <c r="M748" s="112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</row>
    <row r="749" spans="1:29" ht="12" customHeight="1">
      <c r="A749" s="108"/>
      <c r="B749" s="109"/>
      <c r="C749" s="109"/>
      <c r="D749" s="109"/>
      <c r="E749" s="109"/>
      <c r="F749" s="109"/>
      <c r="G749" s="111"/>
      <c r="H749" s="111"/>
      <c r="I749" s="112"/>
      <c r="J749" s="112"/>
      <c r="K749" s="112"/>
      <c r="L749" s="112"/>
      <c r="M749" s="112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</row>
    <row r="750" spans="1:29" ht="12" customHeight="1">
      <c r="A750" s="108"/>
      <c r="B750" s="109"/>
      <c r="C750" s="109"/>
      <c r="D750" s="109"/>
      <c r="E750" s="109"/>
      <c r="F750" s="109"/>
      <c r="G750" s="111"/>
      <c r="H750" s="111"/>
      <c r="I750" s="112"/>
      <c r="J750" s="112"/>
      <c r="K750" s="112"/>
      <c r="L750" s="112"/>
      <c r="M750" s="112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</row>
    <row r="751" spans="1:29" ht="12" customHeight="1">
      <c r="A751" s="108"/>
      <c r="B751" s="109"/>
      <c r="C751" s="109"/>
      <c r="D751" s="109"/>
      <c r="E751" s="109"/>
      <c r="F751" s="109"/>
      <c r="G751" s="111"/>
      <c r="H751" s="111"/>
      <c r="I751" s="112"/>
      <c r="J751" s="112"/>
      <c r="K751" s="112"/>
      <c r="L751" s="112"/>
      <c r="M751" s="112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</row>
    <row r="752" spans="1:29" ht="12" customHeight="1">
      <c r="A752" s="108"/>
      <c r="B752" s="109"/>
      <c r="C752" s="109"/>
      <c r="D752" s="109"/>
      <c r="E752" s="109"/>
      <c r="F752" s="109"/>
      <c r="G752" s="111"/>
      <c r="H752" s="111"/>
      <c r="I752" s="112"/>
      <c r="J752" s="112"/>
      <c r="K752" s="112"/>
      <c r="L752" s="112"/>
      <c r="M752" s="112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</row>
    <row r="753" spans="1:29" ht="12" customHeight="1">
      <c r="A753" s="108"/>
      <c r="B753" s="109"/>
      <c r="C753" s="109"/>
      <c r="D753" s="109"/>
      <c r="E753" s="109"/>
      <c r="F753" s="109"/>
      <c r="G753" s="111"/>
      <c r="H753" s="111"/>
      <c r="I753" s="112"/>
      <c r="J753" s="112"/>
      <c r="K753" s="112"/>
      <c r="L753" s="112"/>
      <c r="M753" s="112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</row>
    <row r="754" spans="1:29" ht="12" customHeight="1">
      <c r="A754" s="108"/>
      <c r="B754" s="109"/>
      <c r="C754" s="109"/>
      <c r="D754" s="109"/>
      <c r="E754" s="109"/>
      <c r="F754" s="109"/>
      <c r="G754" s="111"/>
      <c r="H754" s="111"/>
      <c r="I754" s="112"/>
      <c r="J754" s="112"/>
      <c r="K754" s="112"/>
      <c r="L754" s="112"/>
      <c r="M754" s="112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</row>
    <row r="755" spans="1:29" ht="12" customHeight="1">
      <c r="A755" s="108"/>
      <c r="B755" s="109"/>
      <c r="C755" s="109"/>
      <c r="D755" s="109"/>
      <c r="E755" s="109"/>
      <c r="F755" s="109"/>
      <c r="G755" s="111"/>
      <c r="H755" s="111"/>
      <c r="I755" s="112"/>
      <c r="J755" s="112"/>
      <c r="K755" s="112"/>
      <c r="L755" s="112"/>
      <c r="M755" s="112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</row>
    <row r="756" spans="1:29" ht="12" customHeight="1">
      <c r="A756" s="108"/>
      <c r="B756" s="109"/>
      <c r="C756" s="109"/>
      <c r="D756" s="109"/>
      <c r="E756" s="109"/>
      <c r="F756" s="109"/>
      <c r="G756" s="111"/>
      <c r="H756" s="111"/>
      <c r="I756" s="112"/>
      <c r="J756" s="112"/>
      <c r="K756" s="112"/>
      <c r="L756" s="112"/>
      <c r="M756" s="112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</row>
    <row r="757" spans="1:29" ht="12" customHeight="1">
      <c r="A757" s="108"/>
      <c r="B757" s="109"/>
      <c r="C757" s="109"/>
      <c r="D757" s="109"/>
      <c r="E757" s="109"/>
      <c r="F757" s="109"/>
      <c r="G757" s="111"/>
      <c r="H757" s="111"/>
      <c r="I757" s="112"/>
      <c r="J757" s="112"/>
      <c r="K757" s="112"/>
      <c r="L757" s="112"/>
      <c r="M757" s="112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</row>
    <row r="758" spans="1:29" ht="12" customHeight="1">
      <c r="A758" s="108"/>
      <c r="B758" s="109"/>
      <c r="C758" s="109"/>
      <c r="D758" s="109"/>
      <c r="E758" s="109"/>
      <c r="F758" s="109"/>
      <c r="G758" s="111"/>
      <c r="H758" s="111"/>
      <c r="I758" s="112"/>
      <c r="J758" s="112"/>
      <c r="K758" s="112"/>
      <c r="L758" s="112"/>
      <c r="M758" s="112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</row>
    <row r="759" spans="1:29" ht="12" customHeight="1">
      <c r="A759" s="108"/>
      <c r="B759" s="109"/>
      <c r="C759" s="109"/>
      <c r="D759" s="109"/>
      <c r="E759" s="109"/>
      <c r="F759" s="109"/>
      <c r="G759" s="111"/>
      <c r="H759" s="111"/>
      <c r="I759" s="112"/>
      <c r="J759" s="112"/>
      <c r="K759" s="112"/>
      <c r="L759" s="112"/>
      <c r="M759" s="112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</row>
    <row r="760" spans="1:29" ht="12" customHeight="1">
      <c r="A760" s="108"/>
      <c r="B760" s="109"/>
      <c r="C760" s="109"/>
      <c r="D760" s="109"/>
      <c r="E760" s="109"/>
      <c r="F760" s="109"/>
      <c r="G760" s="111"/>
      <c r="H760" s="111"/>
      <c r="I760" s="112"/>
      <c r="J760" s="112"/>
      <c r="K760" s="112"/>
      <c r="L760" s="112"/>
      <c r="M760" s="112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</row>
    <row r="761" spans="1:29" ht="12" customHeight="1">
      <c r="A761" s="108"/>
      <c r="B761" s="109"/>
      <c r="C761" s="109"/>
      <c r="D761" s="109"/>
      <c r="E761" s="109"/>
      <c r="F761" s="109"/>
      <c r="G761" s="111"/>
      <c r="H761" s="111"/>
      <c r="I761" s="112"/>
      <c r="J761" s="112"/>
      <c r="K761" s="112"/>
      <c r="L761" s="112"/>
      <c r="M761" s="112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</row>
    <row r="762" spans="1:29" ht="12" customHeight="1">
      <c r="A762" s="108"/>
      <c r="B762" s="109"/>
      <c r="C762" s="109"/>
      <c r="D762" s="109"/>
      <c r="E762" s="109"/>
      <c r="F762" s="109"/>
      <c r="G762" s="111"/>
      <c r="H762" s="111"/>
      <c r="I762" s="112"/>
      <c r="J762" s="112"/>
      <c r="K762" s="112"/>
      <c r="L762" s="112"/>
      <c r="M762" s="112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</row>
    <row r="763" spans="1:29" ht="12" customHeight="1">
      <c r="A763" s="108"/>
      <c r="B763" s="109"/>
      <c r="C763" s="109"/>
      <c r="D763" s="109"/>
      <c r="E763" s="109"/>
      <c r="F763" s="109"/>
      <c r="G763" s="111"/>
      <c r="H763" s="111"/>
      <c r="I763" s="112"/>
      <c r="J763" s="112"/>
      <c r="K763" s="112"/>
      <c r="L763" s="112"/>
      <c r="M763" s="112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</row>
    <row r="764" spans="1:29" ht="12" customHeight="1">
      <c r="A764" s="108"/>
      <c r="B764" s="109"/>
      <c r="C764" s="109"/>
      <c r="D764" s="109"/>
      <c r="E764" s="109"/>
      <c r="F764" s="109"/>
      <c r="G764" s="111"/>
      <c r="H764" s="111"/>
      <c r="I764" s="112"/>
      <c r="J764" s="112"/>
      <c r="K764" s="112"/>
      <c r="L764" s="112"/>
      <c r="M764" s="112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</row>
    <row r="765" spans="1:29" ht="12" customHeight="1">
      <c r="A765" s="108"/>
      <c r="B765" s="109"/>
      <c r="C765" s="109"/>
      <c r="D765" s="109"/>
      <c r="E765" s="109"/>
      <c r="F765" s="109"/>
      <c r="G765" s="111"/>
      <c r="H765" s="111"/>
      <c r="I765" s="112"/>
      <c r="J765" s="112"/>
      <c r="K765" s="112"/>
      <c r="L765" s="112"/>
      <c r="M765" s="112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</row>
    <row r="766" spans="1:29" ht="12" customHeight="1">
      <c r="A766" s="108"/>
      <c r="B766" s="109"/>
      <c r="C766" s="109"/>
      <c r="D766" s="109"/>
      <c r="E766" s="109"/>
      <c r="F766" s="109"/>
      <c r="G766" s="111"/>
      <c r="H766" s="111"/>
      <c r="I766" s="112"/>
      <c r="J766" s="112"/>
      <c r="K766" s="112"/>
      <c r="L766" s="112"/>
      <c r="M766" s="112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</row>
    <row r="767" spans="1:29" ht="12" customHeight="1">
      <c r="A767" s="108"/>
      <c r="B767" s="109"/>
      <c r="C767" s="109"/>
      <c r="D767" s="109"/>
      <c r="E767" s="109"/>
      <c r="F767" s="109"/>
      <c r="G767" s="111"/>
      <c r="H767" s="111"/>
      <c r="I767" s="112"/>
      <c r="J767" s="112"/>
      <c r="K767" s="112"/>
      <c r="L767" s="112"/>
      <c r="M767" s="112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</row>
    <row r="768" spans="1:29" ht="12" customHeight="1">
      <c r="A768" s="108"/>
      <c r="B768" s="109"/>
      <c r="C768" s="109"/>
      <c r="D768" s="109"/>
      <c r="E768" s="109"/>
      <c r="F768" s="109"/>
      <c r="G768" s="111"/>
      <c r="H768" s="111"/>
      <c r="I768" s="112"/>
      <c r="J768" s="112"/>
      <c r="K768" s="112"/>
      <c r="L768" s="112"/>
      <c r="M768" s="112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</row>
    <row r="769" spans="1:29" ht="12" customHeight="1">
      <c r="A769" s="108"/>
      <c r="B769" s="109"/>
      <c r="C769" s="109"/>
      <c r="D769" s="109"/>
      <c r="E769" s="109"/>
      <c r="F769" s="109"/>
      <c r="G769" s="111"/>
      <c r="H769" s="111"/>
      <c r="I769" s="112"/>
      <c r="J769" s="112"/>
      <c r="K769" s="112"/>
      <c r="L769" s="112"/>
      <c r="M769" s="112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</row>
    <row r="770" spans="1:29" ht="12" customHeight="1">
      <c r="A770" s="108"/>
      <c r="B770" s="109"/>
      <c r="C770" s="109"/>
      <c r="D770" s="109"/>
      <c r="E770" s="109"/>
      <c r="F770" s="109"/>
      <c r="G770" s="111"/>
      <c r="H770" s="111"/>
      <c r="I770" s="112"/>
      <c r="J770" s="112"/>
      <c r="K770" s="112"/>
      <c r="L770" s="112"/>
      <c r="M770" s="112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</row>
    <row r="771" spans="1:29" ht="12" customHeight="1">
      <c r="A771" s="108"/>
      <c r="B771" s="109"/>
      <c r="C771" s="109"/>
      <c r="D771" s="109"/>
      <c r="E771" s="109"/>
      <c r="F771" s="109"/>
      <c r="G771" s="111"/>
      <c r="H771" s="111"/>
      <c r="I771" s="112"/>
      <c r="J771" s="112"/>
      <c r="K771" s="112"/>
      <c r="L771" s="112"/>
      <c r="M771" s="112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</row>
    <row r="772" spans="1:29" ht="12" customHeight="1">
      <c r="A772" s="108"/>
      <c r="B772" s="109"/>
      <c r="C772" s="109"/>
      <c r="D772" s="109"/>
      <c r="E772" s="109"/>
      <c r="F772" s="109"/>
      <c r="G772" s="111"/>
      <c r="H772" s="111"/>
      <c r="I772" s="112"/>
      <c r="J772" s="112"/>
      <c r="K772" s="112"/>
      <c r="L772" s="112"/>
      <c r="M772" s="112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</row>
    <row r="773" spans="1:29" ht="12" customHeight="1">
      <c r="A773" s="108"/>
      <c r="B773" s="109"/>
      <c r="C773" s="109"/>
      <c r="D773" s="109"/>
      <c r="E773" s="109"/>
      <c r="F773" s="109"/>
      <c r="G773" s="111"/>
      <c r="H773" s="111"/>
      <c r="I773" s="112"/>
      <c r="J773" s="112"/>
      <c r="K773" s="112"/>
      <c r="L773" s="112"/>
      <c r="M773" s="112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</row>
    <row r="774" spans="1:29" ht="12" customHeight="1">
      <c r="A774" s="108"/>
      <c r="B774" s="109"/>
      <c r="C774" s="109"/>
      <c r="D774" s="109"/>
      <c r="E774" s="109"/>
      <c r="F774" s="109"/>
      <c r="G774" s="111"/>
      <c r="H774" s="111"/>
      <c r="I774" s="112"/>
      <c r="J774" s="112"/>
      <c r="K774" s="112"/>
      <c r="L774" s="112"/>
      <c r="M774" s="112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</row>
    <row r="775" spans="1:29" ht="12" customHeight="1">
      <c r="A775" s="108"/>
      <c r="B775" s="109"/>
      <c r="C775" s="109"/>
      <c r="D775" s="109"/>
      <c r="E775" s="109"/>
      <c r="F775" s="109"/>
      <c r="G775" s="111"/>
      <c r="H775" s="111"/>
      <c r="I775" s="112"/>
      <c r="J775" s="112"/>
      <c r="K775" s="112"/>
      <c r="L775" s="112"/>
      <c r="M775" s="112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</row>
    <row r="776" spans="1:29" ht="12" customHeight="1">
      <c r="A776" s="108"/>
      <c r="B776" s="109"/>
      <c r="C776" s="109"/>
      <c r="D776" s="109"/>
      <c r="E776" s="109"/>
      <c r="F776" s="109"/>
      <c r="G776" s="111"/>
      <c r="H776" s="111"/>
      <c r="I776" s="112"/>
      <c r="J776" s="112"/>
      <c r="K776" s="112"/>
      <c r="L776" s="112"/>
      <c r="M776" s="112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</row>
    <row r="777" spans="1:29" ht="12" customHeight="1">
      <c r="A777" s="108"/>
      <c r="B777" s="109"/>
      <c r="C777" s="109"/>
      <c r="D777" s="109"/>
      <c r="E777" s="109"/>
      <c r="F777" s="109"/>
      <c r="G777" s="111"/>
      <c r="H777" s="111"/>
      <c r="I777" s="112"/>
      <c r="J777" s="112"/>
      <c r="K777" s="112"/>
      <c r="L777" s="112"/>
      <c r="M777" s="112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</row>
    <row r="778" spans="1:29" ht="12" customHeight="1">
      <c r="A778" s="108"/>
      <c r="B778" s="109"/>
      <c r="C778" s="109"/>
      <c r="D778" s="109"/>
      <c r="E778" s="109"/>
      <c r="F778" s="109"/>
      <c r="G778" s="111"/>
      <c r="H778" s="111"/>
      <c r="I778" s="112"/>
      <c r="J778" s="112"/>
      <c r="K778" s="112"/>
      <c r="L778" s="112"/>
      <c r="M778" s="112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</row>
    <row r="779" spans="1:29" ht="12" customHeight="1">
      <c r="A779" s="108"/>
      <c r="B779" s="109"/>
      <c r="C779" s="109"/>
      <c r="D779" s="109"/>
      <c r="E779" s="109"/>
      <c r="F779" s="109"/>
      <c r="G779" s="111"/>
      <c r="H779" s="111"/>
      <c r="I779" s="112"/>
      <c r="J779" s="112"/>
      <c r="K779" s="112"/>
      <c r="L779" s="112"/>
      <c r="M779" s="112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</row>
    <row r="780" spans="1:29" ht="12" customHeight="1">
      <c r="A780" s="108"/>
      <c r="B780" s="109"/>
      <c r="C780" s="109"/>
      <c r="D780" s="109"/>
      <c r="E780" s="109"/>
      <c r="F780" s="109"/>
      <c r="G780" s="111"/>
      <c r="H780" s="111"/>
      <c r="I780" s="112"/>
      <c r="J780" s="112"/>
      <c r="K780" s="112"/>
      <c r="L780" s="112"/>
      <c r="M780" s="112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</row>
    <row r="781" spans="1:29" ht="12" customHeight="1">
      <c r="A781" s="108"/>
      <c r="B781" s="109"/>
      <c r="C781" s="109"/>
      <c r="D781" s="109"/>
      <c r="E781" s="109"/>
      <c r="F781" s="109"/>
      <c r="G781" s="111"/>
      <c r="H781" s="111"/>
      <c r="I781" s="112"/>
      <c r="J781" s="112"/>
      <c r="K781" s="112"/>
      <c r="L781" s="112"/>
      <c r="M781" s="112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</row>
    <row r="782" spans="1:29" ht="12" customHeight="1">
      <c r="A782" s="108"/>
      <c r="B782" s="109"/>
      <c r="C782" s="109"/>
      <c r="D782" s="109"/>
      <c r="E782" s="109"/>
      <c r="F782" s="109"/>
      <c r="G782" s="111"/>
      <c r="H782" s="111"/>
      <c r="I782" s="112"/>
      <c r="J782" s="112"/>
      <c r="K782" s="112"/>
      <c r="L782" s="112"/>
      <c r="M782" s="112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</row>
    <row r="783" spans="1:29" ht="12" customHeight="1">
      <c r="A783" s="108"/>
      <c r="B783" s="109"/>
      <c r="C783" s="109"/>
      <c r="D783" s="109"/>
      <c r="E783" s="109"/>
      <c r="F783" s="109"/>
      <c r="G783" s="111"/>
      <c r="H783" s="111"/>
      <c r="I783" s="112"/>
      <c r="J783" s="112"/>
      <c r="K783" s="112"/>
      <c r="L783" s="112"/>
      <c r="M783" s="112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</row>
    <row r="784" spans="1:29" ht="12" customHeight="1">
      <c r="A784" s="108"/>
      <c r="B784" s="109"/>
      <c r="C784" s="109"/>
      <c r="D784" s="109"/>
      <c r="E784" s="109"/>
      <c r="F784" s="109"/>
      <c r="G784" s="111"/>
      <c r="H784" s="111"/>
      <c r="I784" s="112"/>
      <c r="J784" s="112"/>
      <c r="K784" s="112"/>
      <c r="L784" s="112"/>
      <c r="M784" s="112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</row>
    <row r="785" spans="1:29" ht="12" customHeight="1">
      <c r="A785" s="108"/>
      <c r="B785" s="109"/>
      <c r="C785" s="109"/>
      <c r="D785" s="109"/>
      <c r="E785" s="109"/>
      <c r="F785" s="109"/>
      <c r="G785" s="111"/>
      <c r="H785" s="111"/>
      <c r="I785" s="112"/>
      <c r="J785" s="112"/>
      <c r="K785" s="112"/>
      <c r="L785" s="112"/>
      <c r="M785" s="112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</row>
    <row r="786" spans="1:29" ht="12" customHeight="1">
      <c r="A786" s="108"/>
      <c r="B786" s="109"/>
      <c r="C786" s="109"/>
      <c r="D786" s="109"/>
      <c r="E786" s="109"/>
      <c r="F786" s="109"/>
      <c r="G786" s="111"/>
      <c r="H786" s="111"/>
      <c r="I786" s="112"/>
      <c r="J786" s="112"/>
      <c r="K786" s="112"/>
      <c r="L786" s="112"/>
      <c r="M786" s="112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</row>
    <row r="787" spans="1:29" ht="12" customHeight="1">
      <c r="A787" s="108"/>
      <c r="B787" s="109"/>
      <c r="C787" s="109"/>
      <c r="D787" s="109"/>
      <c r="E787" s="109"/>
      <c r="F787" s="109"/>
      <c r="G787" s="111"/>
      <c r="H787" s="111"/>
      <c r="I787" s="112"/>
      <c r="J787" s="112"/>
      <c r="K787" s="112"/>
      <c r="L787" s="112"/>
      <c r="M787" s="112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</row>
    <row r="788" spans="1:29" ht="12" customHeight="1">
      <c r="A788" s="108"/>
      <c r="B788" s="109"/>
      <c r="C788" s="109"/>
      <c r="D788" s="109"/>
      <c r="E788" s="109"/>
      <c r="F788" s="109"/>
      <c r="G788" s="111"/>
      <c r="H788" s="111"/>
      <c r="I788" s="112"/>
      <c r="J788" s="112"/>
      <c r="K788" s="112"/>
      <c r="L788" s="112"/>
      <c r="M788" s="112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</row>
    <row r="789" spans="1:29" ht="12" customHeight="1">
      <c r="A789" s="108"/>
      <c r="B789" s="109"/>
      <c r="C789" s="109"/>
      <c r="D789" s="109"/>
      <c r="E789" s="109"/>
      <c r="F789" s="109"/>
      <c r="G789" s="111"/>
      <c r="H789" s="111"/>
      <c r="I789" s="112"/>
      <c r="J789" s="112"/>
      <c r="K789" s="112"/>
      <c r="L789" s="112"/>
      <c r="M789" s="112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</row>
    <row r="790" spans="1:29" ht="12" customHeight="1">
      <c r="A790" s="108"/>
      <c r="B790" s="109"/>
      <c r="C790" s="109"/>
      <c r="D790" s="109"/>
      <c r="E790" s="109"/>
      <c r="F790" s="109"/>
      <c r="G790" s="111"/>
      <c r="H790" s="111"/>
      <c r="I790" s="112"/>
      <c r="J790" s="112"/>
      <c r="K790" s="112"/>
      <c r="L790" s="112"/>
      <c r="M790" s="112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</row>
    <row r="791" spans="1:29" ht="12" customHeight="1">
      <c r="A791" s="108"/>
      <c r="B791" s="109"/>
      <c r="C791" s="109"/>
      <c r="D791" s="109"/>
      <c r="E791" s="109"/>
      <c r="F791" s="109"/>
      <c r="G791" s="111"/>
      <c r="H791" s="111"/>
      <c r="I791" s="112"/>
      <c r="J791" s="112"/>
      <c r="K791" s="112"/>
      <c r="L791" s="112"/>
      <c r="M791" s="112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</row>
    <row r="792" spans="1:29" ht="12" customHeight="1">
      <c r="A792" s="108"/>
      <c r="B792" s="109"/>
      <c r="C792" s="109"/>
      <c r="D792" s="109"/>
      <c r="E792" s="109"/>
      <c r="F792" s="109"/>
      <c r="G792" s="111"/>
      <c r="H792" s="111"/>
      <c r="I792" s="112"/>
      <c r="J792" s="112"/>
      <c r="K792" s="112"/>
      <c r="L792" s="112"/>
      <c r="M792" s="112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</row>
    <row r="793" spans="1:29" ht="12" customHeight="1">
      <c r="A793" s="108"/>
      <c r="B793" s="109"/>
      <c r="C793" s="109"/>
      <c r="D793" s="109"/>
      <c r="E793" s="109"/>
      <c r="F793" s="109"/>
      <c r="G793" s="111"/>
      <c r="H793" s="111"/>
      <c r="I793" s="112"/>
      <c r="J793" s="112"/>
      <c r="K793" s="112"/>
      <c r="L793" s="112"/>
      <c r="M793" s="112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</row>
    <row r="794" spans="1:29" ht="12" customHeight="1">
      <c r="A794" s="108"/>
      <c r="B794" s="109"/>
      <c r="C794" s="109"/>
      <c r="D794" s="109"/>
      <c r="E794" s="109"/>
      <c r="F794" s="109"/>
      <c r="G794" s="111"/>
      <c r="H794" s="111"/>
      <c r="I794" s="112"/>
      <c r="J794" s="112"/>
      <c r="K794" s="112"/>
      <c r="L794" s="112"/>
      <c r="M794" s="112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</row>
    <row r="795" spans="1:29" ht="12" customHeight="1">
      <c r="A795" s="108"/>
      <c r="B795" s="109"/>
      <c r="C795" s="109"/>
      <c r="D795" s="109"/>
      <c r="E795" s="109"/>
      <c r="F795" s="109"/>
      <c r="G795" s="111"/>
      <c r="H795" s="111"/>
      <c r="I795" s="112"/>
      <c r="J795" s="112"/>
      <c r="K795" s="112"/>
      <c r="L795" s="112"/>
      <c r="M795" s="112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</row>
    <row r="796" spans="1:29" ht="12" customHeight="1">
      <c r="A796" s="108"/>
      <c r="B796" s="109"/>
      <c r="C796" s="109"/>
      <c r="D796" s="109"/>
      <c r="E796" s="109"/>
      <c r="F796" s="109"/>
      <c r="G796" s="111"/>
      <c r="H796" s="111"/>
      <c r="I796" s="112"/>
      <c r="J796" s="112"/>
      <c r="K796" s="112"/>
      <c r="L796" s="112"/>
      <c r="M796" s="112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</row>
    <row r="797" spans="1:29" ht="12" customHeight="1">
      <c r="A797" s="108"/>
      <c r="B797" s="109"/>
      <c r="C797" s="109"/>
      <c r="D797" s="109"/>
      <c r="E797" s="109"/>
      <c r="F797" s="109"/>
      <c r="G797" s="111"/>
      <c r="H797" s="111"/>
      <c r="I797" s="112"/>
      <c r="J797" s="112"/>
      <c r="K797" s="112"/>
      <c r="L797" s="112"/>
      <c r="M797" s="112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</row>
    <row r="798" spans="1:29" ht="12" customHeight="1">
      <c r="A798" s="108"/>
      <c r="B798" s="109"/>
      <c r="C798" s="109"/>
      <c r="D798" s="109"/>
      <c r="E798" s="109"/>
      <c r="F798" s="109"/>
      <c r="G798" s="111"/>
      <c r="H798" s="111"/>
      <c r="I798" s="112"/>
      <c r="J798" s="112"/>
      <c r="K798" s="112"/>
      <c r="L798" s="112"/>
      <c r="M798" s="112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</row>
    <row r="799" spans="1:29" ht="12" customHeight="1">
      <c r="A799" s="108"/>
      <c r="B799" s="109"/>
      <c r="C799" s="109"/>
      <c r="D799" s="109"/>
      <c r="E799" s="109"/>
      <c r="F799" s="109"/>
      <c r="G799" s="111"/>
      <c r="H799" s="111"/>
      <c r="I799" s="112"/>
      <c r="J799" s="112"/>
      <c r="K799" s="112"/>
      <c r="L799" s="112"/>
      <c r="M799" s="112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</row>
    <row r="800" spans="1:29" ht="12" customHeight="1">
      <c r="A800" s="108"/>
      <c r="B800" s="109"/>
      <c r="C800" s="109"/>
      <c r="D800" s="109"/>
      <c r="E800" s="109"/>
      <c r="F800" s="109"/>
      <c r="G800" s="111"/>
      <c r="H800" s="111"/>
      <c r="I800" s="112"/>
      <c r="J800" s="112"/>
      <c r="K800" s="112"/>
      <c r="L800" s="112"/>
      <c r="M800" s="112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</row>
    <row r="801" spans="1:29" ht="12" customHeight="1">
      <c r="A801" s="108"/>
      <c r="B801" s="109"/>
      <c r="C801" s="109"/>
      <c r="D801" s="109"/>
      <c r="E801" s="109"/>
      <c r="F801" s="109"/>
      <c r="G801" s="111"/>
      <c r="H801" s="111"/>
      <c r="I801" s="112"/>
      <c r="J801" s="112"/>
      <c r="K801" s="112"/>
      <c r="L801" s="112"/>
      <c r="M801" s="112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</row>
    <row r="802" spans="1:29" ht="12" customHeight="1">
      <c r="A802" s="108"/>
      <c r="B802" s="109"/>
      <c r="C802" s="109"/>
      <c r="D802" s="109"/>
      <c r="E802" s="109"/>
      <c r="F802" s="109"/>
      <c r="G802" s="111"/>
      <c r="H802" s="111"/>
      <c r="I802" s="112"/>
      <c r="J802" s="112"/>
      <c r="K802" s="112"/>
      <c r="L802" s="112"/>
      <c r="M802" s="112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</row>
    <row r="803" spans="1:29" ht="12" customHeight="1">
      <c r="A803" s="108"/>
      <c r="B803" s="109"/>
      <c r="C803" s="109"/>
      <c r="D803" s="109"/>
      <c r="E803" s="109"/>
      <c r="F803" s="109"/>
      <c r="G803" s="111"/>
      <c r="H803" s="111"/>
      <c r="I803" s="112"/>
      <c r="J803" s="112"/>
      <c r="K803" s="112"/>
      <c r="L803" s="112"/>
      <c r="M803" s="112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</row>
    <row r="804" spans="1:29" ht="12" customHeight="1">
      <c r="A804" s="108"/>
      <c r="B804" s="109"/>
      <c r="C804" s="109"/>
      <c r="D804" s="109"/>
      <c r="E804" s="109"/>
      <c r="F804" s="109"/>
      <c r="G804" s="111"/>
      <c r="H804" s="111"/>
      <c r="I804" s="112"/>
      <c r="J804" s="112"/>
      <c r="K804" s="112"/>
      <c r="L804" s="112"/>
      <c r="M804" s="112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</row>
    <row r="805" spans="1:29" ht="12" customHeight="1">
      <c r="A805" s="108"/>
      <c r="B805" s="109"/>
      <c r="C805" s="109"/>
      <c r="D805" s="109"/>
      <c r="E805" s="109"/>
      <c r="F805" s="109"/>
      <c r="G805" s="111"/>
      <c r="H805" s="111"/>
      <c r="I805" s="112"/>
      <c r="J805" s="112"/>
      <c r="K805" s="112"/>
      <c r="L805" s="112"/>
      <c r="M805" s="112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</row>
    <row r="806" spans="1:29" ht="12" customHeight="1">
      <c r="A806" s="108"/>
      <c r="B806" s="109"/>
      <c r="C806" s="109"/>
      <c r="D806" s="109"/>
      <c r="E806" s="109"/>
      <c r="F806" s="109"/>
      <c r="G806" s="111"/>
      <c r="H806" s="111"/>
      <c r="I806" s="112"/>
      <c r="J806" s="112"/>
      <c r="K806" s="112"/>
      <c r="L806" s="112"/>
      <c r="M806" s="112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</row>
    <row r="807" spans="1:29" ht="12" customHeight="1">
      <c r="A807" s="108"/>
      <c r="B807" s="109"/>
      <c r="C807" s="109"/>
      <c r="D807" s="109"/>
      <c r="E807" s="109"/>
      <c r="F807" s="109"/>
      <c r="G807" s="111"/>
      <c r="H807" s="111"/>
      <c r="I807" s="112"/>
      <c r="J807" s="112"/>
      <c r="K807" s="112"/>
      <c r="L807" s="112"/>
      <c r="M807" s="112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</row>
    <row r="808" spans="1:29" ht="12" customHeight="1">
      <c r="A808" s="108"/>
      <c r="B808" s="109"/>
      <c r="C808" s="109"/>
      <c r="D808" s="109"/>
      <c r="E808" s="109"/>
      <c r="F808" s="109"/>
      <c r="G808" s="111"/>
      <c r="H808" s="111"/>
      <c r="I808" s="112"/>
      <c r="J808" s="112"/>
      <c r="K808" s="112"/>
      <c r="L808" s="112"/>
      <c r="M808" s="112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</row>
    <row r="809" spans="1:29" ht="12" customHeight="1">
      <c r="A809" s="108"/>
      <c r="B809" s="109"/>
      <c r="C809" s="109"/>
      <c r="D809" s="109"/>
      <c r="E809" s="109"/>
      <c r="F809" s="109"/>
      <c r="G809" s="111"/>
      <c r="H809" s="111"/>
      <c r="I809" s="112"/>
      <c r="J809" s="112"/>
      <c r="K809" s="112"/>
      <c r="L809" s="112"/>
      <c r="M809" s="112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</row>
    <row r="810" spans="1:29" ht="12" customHeight="1">
      <c r="A810" s="108"/>
      <c r="B810" s="109"/>
      <c r="C810" s="109"/>
      <c r="D810" s="109"/>
      <c r="E810" s="109"/>
      <c r="F810" s="109"/>
      <c r="G810" s="111"/>
      <c r="H810" s="111"/>
      <c r="I810" s="112"/>
      <c r="J810" s="112"/>
      <c r="K810" s="112"/>
      <c r="L810" s="112"/>
      <c r="M810" s="112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</row>
    <row r="811" spans="1:29" ht="12" customHeight="1">
      <c r="A811" s="108"/>
      <c r="B811" s="109"/>
      <c r="C811" s="109"/>
      <c r="D811" s="109"/>
      <c r="E811" s="109"/>
      <c r="F811" s="109"/>
      <c r="G811" s="111"/>
      <c r="H811" s="111"/>
      <c r="I811" s="112"/>
      <c r="J811" s="112"/>
      <c r="K811" s="112"/>
      <c r="L811" s="112"/>
      <c r="M811" s="112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</row>
    <row r="812" spans="1:29" ht="12" customHeight="1">
      <c r="A812" s="108"/>
      <c r="B812" s="109"/>
      <c r="C812" s="109"/>
      <c r="D812" s="109"/>
      <c r="E812" s="109"/>
      <c r="F812" s="109"/>
      <c r="G812" s="111"/>
      <c r="H812" s="111"/>
      <c r="I812" s="112"/>
      <c r="J812" s="112"/>
      <c r="K812" s="112"/>
      <c r="L812" s="112"/>
      <c r="M812" s="112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</row>
    <row r="813" spans="1:29" ht="12" customHeight="1">
      <c r="A813" s="108"/>
      <c r="B813" s="109"/>
      <c r="C813" s="109"/>
      <c r="D813" s="109"/>
      <c r="E813" s="109"/>
      <c r="F813" s="109"/>
      <c r="G813" s="111"/>
      <c r="H813" s="111"/>
      <c r="I813" s="112"/>
      <c r="J813" s="112"/>
      <c r="K813" s="112"/>
      <c r="L813" s="112"/>
      <c r="M813" s="112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</row>
    <row r="814" spans="1:29" ht="12" customHeight="1">
      <c r="A814" s="108"/>
      <c r="B814" s="109"/>
      <c r="C814" s="109"/>
      <c r="D814" s="109"/>
      <c r="E814" s="109"/>
      <c r="F814" s="109"/>
      <c r="G814" s="111"/>
      <c r="H814" s="111"/>
      <c r="I814" s="112"/>
      <c r="J814" s="112"/>
      <c r="K814" s="112"/>
      <c r="L814" s="112"/>
      <c r="M814" s="112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</row>
    <row r="815" spans="1:29" ht="12" customHeight="1">
      <c r="A815" s="108"/>
      <c r="B815" s="109"/>
      <c r="C815" s="109"/>
      <c r="D815" s="109"/>
      <c r="E815" s="109"/>
      <c r="F815" s="109"/>
      <c r="G815" s="111"/>
      <c r="H815" s="111"/>
      <c r="I815" s="112"/>
      <c r="J815" s="112"/>
      <c r="K815" s="112"/>
      <c r="L815" s="112"/>
      <c r="M815" s="112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</row>
    <row r="816" spans="1:29" ht="12" customHeight="1">
      <c r="A816" s="108"/>
      <c r="B816" s="109"/>
      <c r="C816" s="109"/>
      <c r="D816" s="109"/>
      <c r="E816" s="109"/>
      <c r="F816" s="109"/>
      <c r="G816" s="111"/>
      <c r="H816" s="111"/>
      <c r="I816" s="112"/>
      <c r="J816" s="112"/>
      <c r="K816" s="112"/>
      <c r="L816" s="112"/>
      <c r="M816" s="112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</row>
    <row r="817" spans="1:29" ht="12" customHeight="1">
      <c r="A817" s="108"/>
      <c r="B817" s="109"/>
      <c r="C817" s="109"/>
      <c r="D817" s="109"/>
      <c r="E817" s="109"/>
      <c r="F817" s="109"/>
      <c r="G817" s="111"/>
      <c r="H817" s="111"/>
      <c r="I817" s="112"/>
      <c r="J817" s="112"/>
      <c r="K817" s="112"/>
      <c r="L817" s="112"/>
      <c r="M817" s="112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</row>
    <row r="818" spans="1:29" ht="12" customHeight="1">
      <c r="A818" s="108"/>
      <c r="B818" s="109"/>
      <c r="C818" s="109"/>
      <c r="D818" s="109"/>
      <c r="E818" s="109"/>
      <c r="F818" s="109"/>
      <c r="G818" s="111"/>
      <c r="H818" s="111"/>
      <c r="I818" s="112"/>
      <c r="J818" s="112"/>
      <c r="K818" s="112"/>
      <c r="L818" s="112"/>
      <c r="M818" s="112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</row>
    <row r="819" spans="1:29" ht="12" customHeight="1">
      <c r="A819" s="108"/>
      <c r="B819" s="109"/>
      <c r="C819" s="109"/>
      <c r="D819" s="109"/>
      <c r="E819" s="109"/>
      <c r="F819" s="109"/>
      <c r="G819" s="111"/>
      <c r="H819" s="111"/>
      <c r="I819" s="112"/>
      <c r="J819" s="112"/>
      <c r="K819" s="112"/>
      <c r="L819" s="112"/>
      <c r="M819" s="112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</row>
    <row r="820" spans="1:29" ht="12" customHeight="1">
      <c r="A820" s="108"/>
      <c r="B820" s="109"/>
      <c r="C820" s="109"/>
      <c r="D820" s="109"/>
      <c r="E820" s="109"/>
      <c r="F820" s="109"/>
      <c r="G820" s="111"/>
      <c r="H820" s="111"/>
      <c r="I820" s="112"/>
      <c r="J820" s="112"/>
      <c r="K820" s="112"/>
      <c r="L820" s="112"/>
      <c r="M820" s="112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</row>
    <row r="821" spans="1:29" ht="12" customHeight="1">
      <c r="A821" s="108"/>
      <c r="B821" s="109"/>
      <c r="C821" s="109"/>
      <c r="D821" s="109"/>
      <c r="E821" s="109"/>
      <c r="F821" s="109"/>
      <c r="G821" s="111"/>
      <c r="H821" s="111"/>
      <c r="I821" s="112"/>
      <c r="J821" s="112"/>
      <c r="K821" s="112"/>
      <c r="L821" s="112"/>
      <c r="M821" s="112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</row>
    <row r="822" spans="1:29" ht="12" customHeight="1">
      <c r="A822" s="108"/>
      <c r="B822" s="109"/>
      <c r="C822" s="109"/>
      <c r="D822" s="109"/>
      <c r="E822" s="109"/>
      <c r="F822" s="109"/>
      <c r="G822" s="111"/>
      <c r="H822" s="111"/>
      <c r="I822" s="112"/>
      <c r="J822" s="112"/>
      <c r="K822" s="112"/>
      <c r="L822" s="112"/>
      <c r="M822" s="112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</row>
    <row r="823" spans="1:29" ht="12" customHeight="1">
      <c r="A823" s="108"/>
      <c r="B823" s="109"/>
      <c r="C823" s="109"/>
      <c r="D823" s="109"/>
      <c r="E823" s="109"/>
      <c r="F823" s="109"/>
      <c r="G823" s="111"/>
      <c r="H823" s="111"/>
      <c r="I823" s="112"/>
      <c r="J823" s="112"/>
      <c r="K823" s="112"/>
      <c r="L823" s="112"/>
      <c r="M823" s="112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</row>
    <row r="824" spans="1:29" ht="12" customHeight="1">
      <c r="A824" s="108"/>
      <c r="B824" s="109"/>
      <c r="C824" s="109"/>
      <c r="D824" s="109"/>
      <c r="E824" s="109"/>
      <c r="F824" s="109"/>
      <c r="G824" s="111"/>
      <c r="H824" s="111"/>
      <c r="I824" s="112"/>
      <c r="J824" s="112"/>
      <c r="K824" s="112"/>
      <c r="L824" s="112"/>
      <c r="M824" s="112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</row>
    <row r="825" spans="1:29" ht="12" customHeight="1">
      <c r="A825" s="108"/>
      <c r="B825" s="109"/>
      <c r="C825" s="109"/>
      <c r="D825" s="109"/>
      <c r="E825" s="109"/>
      <c r="F825" s="109"/>
      <c r="G825" s="111"/>
      <c r="H825" s="111"/>
      <c r="I825" s="112"/>
      <c r="J825" s="112"/>
      <c r="K825" s="112"/>
      <c r="L825" s="112"/>
      <c r="M825" s="112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</row>
    <row r="826" spans="1:29" ht="12" customHeight="1">
      <c r="A826" s="108"/>
      <c r="B826" s="109"/>
      <c r="C826" s="109"/>
      <c r="D826" s="109"/>
      <c r="E826" s="109"/>
      <c r="F826" s="109"/>
      <c r="G826" s="111"/>
      <c r="H826" s="111"/>
      <c r="I826" s="112"/>
      <c r="J826" s="112"/>
      <c r="K826" s="112"/>
      <c r="L826" s="112"/>
      <c r="M826" s="112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</row>
    <row r="827" spans="1:29" ht="12" customHeight="1">
      <c r="A827" s="108"/>
      <c r="B827" s="109"/>
      <c r="C827" s="109"/>
      <c r="D827" s="109"/>
      <c r="E827" s="109"/>
      <c r="F827" s="109"/>
      <c r="G827" s="111"/>
      <c r="H827" s="111"/>
      <c r="I827" s="112"/>
      <c r="J827" s="112"/>
      <c r="K827" s="112"/>
      <c r="L827" s="112"/>
      <c r="M827" s="112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</row>
    <row r="828" spans="1:29" ht="12" customHeight="1">
      <c r="A828" s="108"/>
      <c r="B828" s="109"/>
      <c r="C828" s="109"/>
      <c r="D828" s="109"/>
      <c r="E828" s="109"/>
      <c r="F828" s="109"/>
      <c r="G828" s="111"/>
      <c r="H828" s="111"/>
      <c r="I828" s="112"/>
      <c r="J828" s="112"/>
      <c r="K828" s="112"/>
      <c r="L828" s="112"/>
      <c r="M828" s="112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</row>
    <row r="829" spans="1:29" ht="12" customHeight="1">
      <c r="A829" s="108"/>
      <c r="B829" s="109"/>
      <c r="C829" s="109"/>
      <c r="D829" s="109"/>
      <c r="E829" s="109"/>
      <c r="F829" s="109"/>
      <c r="G829" s="111"/>
      <c r="H829" s="111"/>
      <c r="I829" s="112"/>
      <c r="J829" s="112"/>
      <c r="K829" s="112"/>
      <c r="L829" s="112"/>
      <c r="M829" s="112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</row>
    <row r="830" spans="1:29" ht="12" customHeight="1">
      <c r="A830" s="108"/>
      <c r="B830" s="109"/>
      <c r="C830" s="109"/>
      <c r="D830" s="109"/>
      <c r="E830" s="109"/>
      <c r="F830" s="109"/>
      <c r="G830" s="111"/>
      <c r="H830" s="111"/>
      <c r="I830" s="112"/>
      <c r="J830" s="112"/>
      <c r="K830" s="112"/>
      <c r="L830" s="112"/>
      <c r="M830" s="112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</row>
    <row r="831" spans="1:29" ht="12" customHeight="1">
      <c r="A831" s="108"/>
      <c r="B831" s="109"/>
      <c r="C831" s="109"/>
      <c r="D831" s="109"/>
      <c r="E831" s="109"/>
      <c r="F831" s="109"/>
      <c r="G831" s="111"/>
      <c r="H831" s="111"/>
      <c r="I831" s="112"/>
      <c r="J831" s="112"/>
      <c r="K831" s="112"/>
      <c r="L831" s="112"/>
      <c r="M831" s="112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</row>
    <row r="832" spans="1:29" ht="12" customHeight="1">
      <c r="A832" s="108"/>
      <c r="B832" s="109"/>
      <c r="C832" s="109"/>
      <c r="D832" s="109"/>
      <c r="E832" s="109"/>
      <c r="F832" s="109"/>
      <c r="G832" s="111"/>
      <c r="H832" s="111"/>
      <c r="I832" s="112"/>
      <c r="J832" s="112"/>
      <c r="K832" s="112"/>
      <c r="L832" s="112"/>
      <c r="M832" s="112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</row>
    <row r="833" spans="1:29" ht="12" customHeight="1">
      <c r="A833" s="108"/>
      <c r="B833" s="109"/>
      <c r="C833" s="109"/>
      <c r="D833" s="109"/>
      <c r="E833" s="109"/>
      <c r="F833" s="109"/>
      <c r="G833" s="111"/>
      <c r="H833" s="111"/>
      <c r="I833" s="112"/>
      <c r="J833" s="112"/>
      <c r="K833" s="112"/>
      <c r="L833" s="112"/>
      <c r="M833" s="112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</row>
    <row r="834" spans="1:29" ht="12" customHeight="1">
      <c r="A834" s="108"/>
      <c r="B834" s="109"/>
      <c r="C834" s="109"/>
      <c r="D834" s="109"/>
      <c r="E834" s="109"/>
      <c r="F834" s="109"/>
      <c r="G834" s="111"/>
      <c r="H834" s="111"/>
      <c r="I834" s="112"/>
      <c r="J834" s="112"/>
      <c r="K834" s="112"/>
      <c r="L834" s="112"/>
      <c r="M834" s="112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</row>
    <row r="835" spans="1:29" ht="12" customHeight="1">
      <c r="A835" s="108"/>
      <c r="B835" s="109"/>
      <c r="C835" s="109"/>
      <c r="D835" s="109"/>
      <c r="E835" s="109"/>
      <c r="F835" s="109"/>
      <c r="G835" s="111"/>
      <c r="H835" s="111"/>
      <c r="I835" s="112"/>
      <c r="J835" s="112"/>
      <c r="K835" s="112"/>
      <c r="L835" s="112"/>
      <c r="M835" s="112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</row>
    <row r="836" spans="1:29" ht="12" customHeight="1">
      <c r="A836" s="108"/>
      <c r="B836" s="109"/>
      <c r="C836" s="109"/>
      <c r="D836" s="109"/>
      <c r="E836" s="109"/>
      <c r="F836" s="109"/>
      <c r="G836" s="111"/>
      <c r="H836" s="111"/>
      <c r="I836" s="112"/>
      <c r="J836" s="112"/>
      <c r="K836" s="112"/>
      <c r="L836" s="112"/>
      <c r="M836" s="112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</row>
    <row r="837" spans="1:29" ht="12" customHeight="1">
      <c r="A837" s="108"/>
      <c r="B837" s="109"/>
      <c r="C837" s="109"/>
      <c r="D837" s="109"/>
      <c r="E837" s="109"/>
      <c r="F837" s="109"/>
      <c r="G837" s="111"/>
      <c r="H837" s="111"/>
      <c r="I837" s="112"/>
      <c r="J837" s="112"/>
      <c r="K837" s="112"/>
      <c r="L837" s="112"/>
      <c r="M837" s="112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</row>
    <row r="838" spans="1:29" ht="12" customHeight="1">
      <c r="A838" s="108"/>
      <c r="B838" s="109"/>
      <c r="C838" s="109"/>
      <c r="D838" s="109"/>
      <c r="E838" s="109"/>
      <c r="F838" s="109"/>
      <c r="G838" s="111"/>
      <c r="H838" s="111"/>
      <c r="I838" s="112"/>
      <c r="J838" s="112"/>
      <c r="K838" s="112"/>
      <c r="L838" s="112"/>
      <c r="M838" s="112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</row>
    <row r="839" spans="1:29" ht="12" customHeight="1">
      <c r="A839" s="108"/>
      <c r="B839" s="109"/>
      <c r="C839" s="109"/>
      <c r="D839" s="109"/>
      <c r="E839" s="109"/>
      <c r="F839" s="109"/>
      <c r="G839" s="111"/>
      <c r="H839" s="111"/>
      <c r="I839" s="112"/>
      <c r="J839" s="112"/>
      <c r="K839" s="112"/>
      <c r="L839" s="112"/>
      <c r="M839" s="112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</row>
    <row r="840" spans="1:29" ht="12" customHeight="1">
      <c r="A840" s="108"/>
      <c r="B840" s="109"/>
      <c r="C840" s="109"/>
      <c r="D840" s="109"/>
      <c r="E840" s="109"/>
      <c r="F840" s="109"/>
      <c r="G840" s="111"/>
      <c r="H840" s="111"/>
      <c r="I840" s="112"/>
      <c r="J840" s="112"/>
      <c r="K840" s="112"/>
      <c r="L840" s="112"/>
      <c r="M840" s="112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</row>
    <row r="841" spans="1:29" ht="12" customHeight="1">
      <c r="A841" s="108"/>
      <c r="B841" s="109"/>
      <c r="C841" s="109"/>
      <c r="D841" s="109"/>
      <c r="E841" s="109"/>
      <c r="F841" s="109"/>
      <c r="G841" s="111"/>
      <c r="H841" s="111"/>
      <c r="I841" s="112"/>
      <c r="J841" s="112"/>
      <c r="K841" s="112"/>
      <c r="L841" s="112"/>
      <c r="M841" s="112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</row>
    <row r="842" spans="1:29" ht="12" customHeight="1">
      <c r="A842" s="108"/>
      <c r="B842" s="109"/>
      <c r="C842" s="109"/>
      <c r="D842" s="109"/>
      <c r="E842" s="109"/>
      <c r="F842" s="109"/>
      <c r="G842" s="111"/>
      <c r="H842" s="111"/>
      <c r="I842" s="112"/>
      <c r="J842" s="112"/>
      <c r="K842" s="112"/>
      <c r="L842" s="112"/>
      <c r="M842" s="112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</row>
    <row r="843" spans="1:29" ht="12" customHeight="1">
      <c r="A843" s="108"/>
      <c r="B843" s="109"/>
      <c r="C843" s="109"/>
      <c r="D843" s="109"/>
      <c r="E843" s="109"/>
      <c r="F843" s="109"/>
      <c r="G843" s="111"/>
      <c r="H843" s="111"/>
      <c r="I843" s="112"/>
      <c r="J843" s="112"/>
      <c r="K843" s="112"/>
      <c r="L843" s="112"/>
      <c r="M843" s="112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</row>
    <row r="844" spans="1:29" ht="12" customHeight="1">
      <c r="A844" s="108"/>
      <c r="B844" s="109"/>
      <c r="C844" s="109"/>
      <c r="D844" s="109"/>
      <c r="E844" s="109"/>
      <c r="F844" s="109"/>
      <c r="G844" s="111"/>
      <c r="H844" s="111"/>
      <c r="I844" s="112"/>
      <c r="J844" s="112"/>
      <c r="K844" s="112"/>
      <c r="L844" s="112"/>
      <c r="M844" s="112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</row>
    <row r="845" spans="1:29" ht="12" customHeight="1">
      <c r="A845" s="108"/>
      <c r="B845" s="109"/>
      <c r="C845" s="109"/>
      <c r="D845" s="109"/>
      <c r="E845" s="109"/>
      <c r="F845" s="109"/>
      <c r="G845" s="111"/>
      <c r="H845" s="111"/>
      <c r="I845" s="112"/>
      <c r="J845" s="112"/>
      <c r="K845" s="112"/>
      <c r="L845" s="112"/>
      <c r="M845" s="112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</row>
    <row r="846" spans="1:29" ht="12" customHeight="1">
      <c r="A846" s="108"/>
      <c r="B846" s="109"/>
      <c r="C846" s="109"/>
      <c r="D846" s="109"/>
      <c r="E846" s="109"/>
      <c r="F846" s="109"/>
      <c r="G846" s="111"/>
      <c r="H846" s="111"/>
      <c r="I846" s="112"/>
      <c r="J846" s="112"/>
      <c r="K846" s="112"/>
      <c r="L846" s="112"/>
      <c r="M846" s="112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</row>
    <row r="847" spans="1:29" ht="12" customHeight="1">
      <c r="A847" s="108"/>
      <c r="B847" s="109"/>
      <c r="C847" s="109"/>
      <c r="D847" s="109"/>
      <c r="E847" s="109"/>
      <c r="F847" s="109"/>
      <c r="G847" s="111"/>
      <c r="H847" s="111"/>
      <c r="I847" s="112"/>
      <c r="J847" s="112"/>
      <c r="K847" s="112"/>
      <c r="L847" s="112"/>
      <c r="M847" s="112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</row>
    <row r="848" spans="1:29" ht="12" customHeight="1">
      <c r="A848" s="108"/>
      <c r="B848" s="109"/>
      <c r="C848" s="109"/>
      <c r="D848" s="109"/>
      <c r="E848" s="109"/>
      <c r="F848" s="109"/>
      <c r="G848" s="111"/>
      <c r="H848" s="111"/>
      <c r="I848" s="112"/>
      <c r="J848" s="112"/>
      <c r="K848" s="112"/>
      <c r="L848" s="112"/>
      <c r="M848" s="112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</row>
    <row r="849" spans="1:29" ht="12" customHeight="1">
      <c r="A849" s="108"/>
      <c r="B849" s="109"/>
      <c r="C849" s="109"/>
      <c r="D849" s="109"/>
      <c r="E849" s="109"/>
      <c r="F849" s="109"/>
      <c r="G849" s="111"/>
      <c r="H849" s="111"/>
      <c r="I849" s="112"/>
      <c r="J849" s="112"/>
      <c r="K849" s="112"/>
      <c r="L849" s="112"/>
      <c r="M849" s="112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</row>
    <row r="850" spans="1:29" ht="12" customHeight="1">
      <c r="A850" s="108"/>
      <c r="B850" s="109"/>
      <c r="C850" s="109"/>
      <c r="D850" s="109"/>
      <c r="E850" s="109"/>
      <c r="F850" s="109"/>
      <c r="G850" s="111"/>
      <c r="H850" s="111"/>
      <c r="I850" s="112"/>
      <c r="J850" s="112"/>
      <c r="K850" s="112"/>
      <c r="L850" s="112"/>
      <c r="M850" s="112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</row>
    <row r="851" spans="1:29" ht="12" customHeight="1">
      <c r="A851" s="108"/>
      <c r="B851" s="109"/>
      <c r="C851" s="109"/>
      <c r="D851" s="109"/>
      <c r="E851" s="109"/>
      <c r="F851" s="109"/>
      <c r="G851" s="111"/>
      <c r="H851" s="111"/>
      <c r="I851" s="112"/>
      <c r="J851" s="112"/>
      <c r="K851" s="112"/>
      <c r="L851" s="112"/>
      <c r="M851" s="112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</row>
    <row r="852" spans="1:29" ht="12" customHeight="1">
      <c r="A852" s="108"/>
      <c r="B852" s="109"/>
      <c r="C852" s="109"/>
      <c r="D852" s="109"/>
      <c r="E852" s="109"/>
      <c r="F852" s="109"/>
      <c r="G852" s="111"/>
      <c r="H852" s="111"/>
      <c r="I852" s="112"/>
      <c r="J852" s="112"/>
      <c r="K852" s="112"/>
      <c r="L852" s="112"/>
      <c r="M852" s="112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</row>
    <row r="853" spans="1:29" ht="12" customHeight="1">
      <c r="A853" s="108"/>
      <c r="B853" s="109"/>
      <c r="C853" s="109"/>
      <c r="D853" s="109"/>
      <c r="E853" s="109"/>
      <c r="F853" s="109"/>
      <c r="G853" s="111"/>
      <c r="H853" s="111"/>
      <c r="I853" s="112"/>
      <c r="J853" s="112"/>
      <c r="K853" s="112"/>
      <c r="L853" s="112"/>
      <c r="M853" s="112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</row>
    <row r="854" spans="1:29" ht="12" customHeight="1">
      <c r="A854" s="108"/>
      <c r="B854" s="109"/>
      <c r="C854" s="109"/>
      <c r="D854" s="109"/>
      <c r="E854" s="109"/>
      <c r="F854" s="109"/>
      <c r="G854" s="111"/>
      <c r="H854" s="111"/>
      <c r="I854" s="112"/>
      <c r="J854" s="112"/>
      <c r="K854" s="112"/>
      <c r="L854" s="112"/>
      <c r="M854" s="112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</row>
    <row r="855" spans="1:29" ht="12" customHeight="1">
      <c r="A855" s="108"/>
      <c r="B855" s="109"/>
      <c r="C855" s="109"/>
      <c r="D855" s="109"/>
      <c r="E855" s="109"/>
      <c r="F855" s="109"/>
      <c r="G855" s="111"/>
      <c r="H855" s="111"/>
      <c r="I855" s="112"/>
      <c r="J855" s="112"/>
      <c r="K855" s="112"/>
      <c r="L855" s="112"/>
      <c r="M855" s="112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</row>
    <row r="856" spans="1:29" ht="12" customHeight="1">
      <c r="A856" s="108"/>
      <c r="B856" s="109"/>
      <c r="C856" s="109"/>
      <c r="D856" s="109"/>
      <c r="E856" s="109"/>
      <c r="F856" s="109"/>
      <c r="G856" s="111"/>
      <c r="H856" s="111"/>
      <c r="I856" s="112"/>
      <c r="J856" s="112"/>
      <c r="K856" s="112"/>
      <c r="L856" s="112"/>
      <c r="M856" s="112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</row>
    <row r="857" spans="1:29" ht="12" customHeight="1">
      <c r="A857" s="108"/>
      <c r="B857" s="109"/>
      <c r="C857" s="109"/>
      <c r="D857" s="109"/>
      <c r="E857" s="109"/>
      <c r="F857" s="109"/>
      <c r="G857" s="111"/>
      <c r="H857" s="111"/>
      <c r="I857" s="112"/>
      <c r="J857" s="112"/>
      <c r="K857" s="112"/>
      <c r="L857" s="112"/>
      <c r="M857" s="112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</row>
    <row r="858" spans="1:29" ht="12" customHeight="1">
      <c r="A858" s="108"/>
      <c r="B858" s="109"/>
      <c r="C858" s="109"/>
      <c r="D858" s="109"/>
      <c r="E858" s="109"/>
      <c r="F858" s="109"/>
      <c r="G858" s="111"/>
      <c r="H858" s="111"/>
      <c r="I858" s="112"/>
      <c r="J858" s="112"/>
      <c r="K858" s="112"/>
      <c r="L858" s="112"/>
      <c r="M858" s="112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</row>
    <row r="859" spans="1:29" ht="12" customHeight="1">
      <c r="A859" s="108"/>
      <c r="B859" s="109"/>
      <c r="C859" s="109"/>
      <c r="D859" s="109"/>
      <c r="E859" s="109"/>
      <c r="F859" s="109"/>
      <c r="G859" s="111"/>
      <c r="H859" s="111"/>
      <c r="I859" s="112"/>
      <c r="J859" s="112"/>
      <c r="K859" s="112"/>
      <c r="L859" s="112"/>
      <c r="M859" s="112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</row>
    <row r="860" spans="1:29" ht="12" customHeight="1">
      <c r="A860" s="108"/>
      <c r="B860" s="109"/>
      <c r="C860" s="109"/>
      <c r="D860" s="109"/>
      <c r="E860" s="109"/>
      <c r="F860" s="109"/>
      <c r="G860" s="111"/>
      <c r="H860" s="111"/>
      <c r="I860" s="112"/>
      <c r="J860" s="112"/>
      <c r="K860" s="112"/>
      <c r="L860" s="112"/>
      <c r="M860" s="112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</row>
    <row r="861" spans="1:29" ht="12" customHeight="1">
      <c r="A861" s="108"/>
      <c r="B861" s="109"/>
      <c r="C861" s="109"/>
      <c r="D861" s="109"/>
      <c r="E861" s="109"/>
      <c r="F861" s="109"/>
      <c r="G861" s="111"/>
      <c r="H861" s="111"/>
      <c r="I861" s="112"/>
      <c r="J861" s="112"/>
      <c r="K861" s="112"/>
      <c r="L861" s="112"/>
      <c r="M861" s="112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</row>
    <row r="862" spans="1:29" ht="12" customHeight="1">
      <c r="A862" s="108"/>
      <c r="B862" s="109"/>
      <c r="C862" s="109"/>
      <c r="D862" s="109"/>
      <c r="E862" s="109"/>
      <c r="F862" s="109"/>
      <c r="G862" s="111"/>
      <c r="H862" s="111"/>
      <c r="I862" s="112"/>
      <c r="J862" s="112"/>
      <c r="K862" s="112"/>
      <c r="L862" s="112"/>
      <c r="M862" s="112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</row>
    <row r="863" spans="1:29" ht="12" customHeight="1">
      <c r="A863" s="108"/>
      <c r="B863" s="109"/>
      <c r="C863" s="109"/>
      <c r="D863" s="109"/>
      <c r="E863" s="109"/>
      <c r="F863" s="109"/>
      <c r="G863" s="111"/>
      <c r="H863" s="111"/>
      <c r="I863" s="112"/>
      <c r="J863" s="112"/>
      <c r="K863" s="112"/>
      <c r="L863" s="112"/>
      <c r="M863" s="112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</row>
    <row r="864" spans="1:29" ht="12" customHeight="1">
      <c r="A864" s="108"/>
      <c r="B864" s="109"/>
      <c r="C864" s="109"/>
      <c r="D864" s="109"/>
      <c r="E864" s="109"/>
      <c r="F864" s="109"/>
      <c r="G864" s="111"/>
      <c r="H864" s="111"/>
      <c r="I864" s="112"/>
      <c r="J864" s="112"/>
      <c r="K864" s="112"/>
      <c r="L864" s="112"/>
      <c r="M864" s="112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</row>
    <row r="865" spans="1:29" ht="12" customHeight="1">
      <c r="A865" s="108"/>
      <c r="B865" s="109"/>
      <c r="C865" s="109"/>
      <c r="D865" s="109"/>
      <c r="E865" s="109"/>
      <c r="F865" s="109"/>
      <c r="G865" s="111"/>
      <c r="H865" s="111"/>
      <c r="I865" s="112"/>
      <c r="J865" s="112"/>
      <c r="K865" s="112"/>
      <c r="L865" s="112"/>
      <c r="M865" s="112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</row>
    <row r="866" spans="1:29" ht="12" customHeight="1">
      <c r="A866" s="108"/>
      <c r="B866" s="109"/>
      <c r="C866" s="109"/>
      <c r="D866" s="109"/>
      <c r="E866" s="109"/>
      <c r="F866" s="109"/>
      <c r="G866" s="111"/>
      <c r="H866" s="111"/>
      <c r="I866" s="112"/>
      <c r="J866" s="112"/>
      <c r="K866" s="112"/>
      <c r="L866" s="112"/>
      <c r="M866" s="112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</row>
    <row r="867" spans="1:29" ht="12" customHeight="1">
      <c r="A867" s="108"/>
      <c r="B867" s="109"/>
      <c r="C867" s="109"/>
      <c r="D867" s="109"/>
      <c r="E867" s="109"/>
      <c r="F867" s="109"/>
      <c r="G867" s="111"/>
      <c r="H867" s="111"/>
      <c r="I867" s="112"/>
      <c r="J867" s="112"/>
      <c r="K867" s="112"/>
      <c r="L867" s="112"/>
      <c r="M867" s="112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</row>
    <row r="868" spans="1:29" ht="12" customHeight="1">
      <c r="A868" s="108"/>
      <c r="B868" s="109"/>
      <c r="C868" s="109"/>
      <c r="D868" s="109"/>
      <c r="E868" s="109"/>
      <c r="F868" s="109"/>
      <c r="G868" s="111"/>
      <c r="H868" s="111"/>
      <c r="I868" s="112"/>
      <c r="J868" s="112"/>
      <c r="K868" s="112"/>
      <c r="L868" s="112"/>
      <c r="M868" s="112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</row>
    <row r="869" spans="1:29" ht="12" customHeight="1">
      <c r="A869" s="108"/>
      <c r="B869" s="109"/>
      <c r="C869" s="109"/>
      <c r="D869" s="109"/>
      <c r="E869" s="109"/>
      <c r="F869" s="109"/>
      <c r="G869" s="111"/>
      <c r="H869" s="111"/>
      <c r="I869" s="112"/>
      <c r="J869" s="112"/>
      <c r="K869" s="112"/>
      <c r="L869" s="112"/>
      <c r="M869" s="112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</row>
    <row r="870" spans="1:29" ht="12" customHeight="1">
      <c r="A870" s="108"/>
      <c r="B870" s="109"/>
      <c r="C870" s="109"/>
      <c r="D870" s="109"/>
      <c r="E870" s="109"/>
      <c r="F870" s="109"/>
      <c r="G870" s="111"/>
      <c r="H870" s="111"/>
      <c r="I870" s="112"/>
      <c r="J870" s="112"/>
      <c r="K870" s="112"/>
      <c r="L870" s="112"/>
      <c r="M870" s="112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</row>
    <row r="871" spans="1:29" ht="12" customHeight="1">
      <c r="A871" s="108"/>
      <c r="B871" s="109"/>
      <c r="C871" s="109"/>
      <c r="D871" s="109"/>
      <c r="E871" s="109"/>
      <c r="F871" s="109"/>
      <c r="G871" s="111"/>
      <c r="H871" s="111"/>
      <c r="I871" s="112"/>
      <c r="J871" s="112"/>
      <c r="K871" s="112"/>
      <c r="L871" s="112"/>
      <c r="M871" s="112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</row>
    <row r="872" spans="1:29" ht="12" customHeight="1">
      <c r="A872" s="108"/>
      <c r="B872" s="109"/>
      <c r="C872" s="109"/>
      <c r="D872" s="109"/>
      <c r="E872" s="109"/>
      <c r="F872" s="109"/>
      <c r="G872" s="111"/>
      <c r="H872" s="111"/>
      <c r="I872" s="112"/>
      <c r="J872" s="112"/>
      <c r="K872" s="112"/>
      <c r="L872" s="112"/>
      <c r="M872" s="112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</row>
    <row r="873" spans="1:29" ht="12" customHeight="1">
      <c r="A873" s="108"/>
      <c r="B873" s="109"/>
      <c r="C873" s="109"/>
      <c r="D873" s="109"/>
      <c r="E873" s="109"/>
      <c r="F873" s="109"/>
      <c r="G873" s="111"/>
      <c r="H873" s="111"/>
      <c r="I873" s="112"/>
      <c r="J873" s="112"/>
      <c r="K873" s="112"/>
      <c r="L873" s="112"/>
      <c r="M873" s="112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</row>
    <row r="874" spans="1:29" ht="12" customHeight="1">
      <c r="A874" s="108"/>
      <c r="B874" s="109"/>
      <c r="C874" s="109"/>
      <c r="D874" s="109"/>
      <c r="E874" s="109"/>
      <c r="F874" s="109"/>
      <c r="G874" s="111"/>
      <c r="H874" s="111"/>
      <c r="I874" s="112"/>
      <c r="J874" s="112"/>
      <c r="K874" s="112"/>
      <c r="L874" s="112"/>
      <c r="M874" s="112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</row>
    <row r="875" spans="1:29" ht="12" customHeight="1">
      <c r="A875" s="108"/>
      <c r="B875" s="109"/>
      <c r="C875" s="109"/>
      <c r="D875" s="109"/>
      <c r="E875" s="109"/>
      <c r="F875" s="109"/>
      <c r="G875" s="111"/>
      <c r="H875" s="111"/>
      <c r="I875" s="112"/>
      <c r="J875" s="112"/>
      <c r="K875" s="112"/>
      <c r="L875" s="112"/>
      <c r="M875" s="112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</row>
    <row r="876" spans="1:29" ht="12" customHeight="1">
      <c r="A876" s="108"/>
      <c r="B876" s="109"/>
      <c r="C876" s="109"/>
      <c r="D876" s="109"/>
      <c r="E876" s="109"/>
      <c r="F876" s="109"/>
      <c r="G876" s="111"/>
      <c r="H876" s="111"/>
      <c r="I876" s="112"/>
      <c r="J876" s="112"/>
      <c r="K876" s="112"/>
      <c r="L876" s="112"/>
      <c r="M876" s="112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</row>
    <row r="877" spans="1:29" ht="12" customHeight="1">
      <c r="A877" s="108"/>
      <c r="B877" s="109"/>
      <c r="C877" s="109"/>
      <c r="D877" s="109"/>
      <c r="E877" s="109"/>
      <c r="F877" s="109"/>
      <c r="G877" s="111"/>
      <c r="H877" s="111"/>
      <c r="I877" s="112"/>
      <c r="J877" s="112"/>
      <c r="K877" s="112"/>
      <c r="L877" s="112"/>
      <c r="M877" s="112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</row>
    <row r="878" spans="1:29" ht="12" customHeight="1">
      <c r="A878" s="108"/>
      <c r="B878" s="109"/>
      <c r="C878" s="109"/>
      <c r="D878" s="109"/>
      <c r="E878" s="109"/>
      <c r="F878" s="109"/>
      <c r="G878" s="111"/>
      <c r="H878" s="111"/>
      <c r="I878" s="112"/>
      <c r="J878" s="112"/>
      <c r="K878" s="112"/>
      <c r="L878" s="112"/>
      <c r="M878" s="112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</row>
    <row r="879" spans="1:29" ht="12" customHeight="1">
      <c r="A879" s="108"/>
      <c r="B879" s="109"/>
      <c r="C879" s="109"/>
      <c r="D879" s="109"/>
      <c r="E879" s="109"/>
      <c r="F879" s="109"/>
      <c r="G879" s="111"/>
      <c r="H879" s="111"/>
      <c r="I879" s="112"/>
      <c r="J879" s="112"/>
      <c r="K879" s="112"/>
      <c r="L879" s="112"/>
      <c r="M879" s="112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</row>
    <row r="880" spans="1:29" ht="12" customHeight="1">
      <c r="A880" s="108"/>
      <c r="B880" s="109"/>
      <c r="C880" s="109"/>
      <c r="D880" s="109"/>
      <c r="E880" s="109"/>
      <c r="F880" s="109"/>
      <c r="G880" s="111"/>
      <c r="H880" s="111"/>
      <c r="I880" s="112"/>
      <c r="J880" s="112"/>
      <c r="K880" s="112"/>
      <c r="L880" s="112"/>
      <c r="M880" s="112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</row>
    <row r="881" spans="1:29" ht="12" customHeight="1">
      <c r="A881" s="108"/>
      <c r="B881" s="109"/>
      <c r="C881" s="109"/>
      <c r="D881" s="109"/>
      <c r="E881" s="109"/>
      <c r="F881" s="109"/>
      <c r="G881" s="111"/>
      <c r="H881" s="111"/>
      <c r="I881" s="112"/>
      <c r="J881" s="112"/>
      <c r="K881" s="112"/>
      <c r="L881" s="112"/>
      <c r="M881" s="112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</row>
    <row r="882" spans="1:29" ht="12" customHeight="1">
      <c r="A882" s="108"/>
      <c r="B882" s="109"/>
      <c r="C882" s="109"/>
      <c r="D882" s="109"/>
      <c r="E882" s="109"/>
      <c r="F882" s="109"/>
      <c r="G882" s="111"/>
      <c r="H882" s="111"/>
      <c r="I882" s="112"/>
      <c r="J882" s="112"/>
      <c r="K882" s="112"/>
      <c r="L882" s="112"/>
      <c r="M882" s="112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</row>
    <row r="883" spans="1:29" ht="12" customHeight="1">
      <c r="A883" s="108"/>
      <c r="B883" s="109"/>
      <c r="C883" s="109"/>
      <c r="D883" s="109"/>
      <c r="E883" s="109"/>
      <c r="F883" s="109"/>
      <c r="G883" s="111"/>
      <c r="H883" s="111"/>
      <c r="I883" s="112"/>
      <c r="J883" s="112"/>
      <c r="K883" s="112"/>
      <c r="L883" s="112"/>
      <c r="M883" s="112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</row>
    <row r="884" spans="1:29" ht="12" customHeight="1">
      <c r="A884" s="108"/>
      <c r="B884" s="109"/>
      <c r="C884" s="109"/>
      <c r="D884" s="109"/>
      <c r="E884" s="109"/>
      <c r="F884" s="109"/>
      <c r="G884" s="111"/>
      <c r="H884" s="111"/>
      <c r="I884" s="112"/>
      <c r="J884" s="112"/>
      <c r="K884" s="112"/>
      <c r="L884" s="112"/>
      <c r="M884" s="112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</row>
    <row r="885" spans="1:29" ht="12" customHeight="1">
      <c r="A885" s="108"/>
      <c r="B885" s="109"/>
      <c r="C885" s="109"/>
      <c r="D885" s="109"/>
      <c r="E885" s="109"/>
      <c r="F885" s="109"/>
      <c r="G885" s="111"/>
      <c r="H885" s="111"/>
      <c r="I885" s="112"/>
      <c r="J885" s="112"/>
      <c r="K885" s="112"/>
      <c r="L885" s="112"/>
      <c r="M885" s="112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</row>
    <row r="886" spans="1:29" ht="12" customHeight="1">
      <c r="A886" s="108"/>
      <c r="B886" s="109"/>
      <c r="C886" s="109"/>
      <c r="D886" s="109"/>
      <c r="E886" s="109"/>
      <c r="F886" s="109"/>
      <c r="G886" s="111"/>
      <c r="H886" s="111"/>
      <c r="I886" s="112"/>
      <c r="J886" s="112"/>
      <c r="K886" s="112"/>
      <c r="L886" s="112"/>
      <c r="M886" s="112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</row>
    <row r="887" spans="1:29" ht="12" customHeight="1">
      <c r="A887" s="108"/>
      <c r="B887" s="109"/>
      <c r="C887" s="109"/>
      <c r="D887" s="109"/>
      <c r="E887" s="109"/>
      <c r="F887" s="109"/>
      <c r="G887" s="111"/>
      <c r="H887" s="111"/>
      <c r="I887" s="112"/>
      <c r="J887" s="112"/>
      <c r="K887" s="112"/>
      <c r="L887" s="112"/>
      <c r="M887" s="112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</row>
    <row r="888" spans="1:29" ht="12" customHeight="1">
      <c r="A888" s="108"/>
      <c r="B888" s="109"/>
      <c r="C888" s="109"/>
      <c r="D888" s="109"/>
      <c r="E888" s="109"/>
      <c r="F888" s="109"/>
      <c r="G888" s="111"/>
      <c r="H888" s="111"/>
      <c r="I888" s="112"/>
      <c r="J888" s="112"/>
      <c r="K888" s="112"/>
      <c r="L888" s="112"/>
      <c r="M888" s="112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</row>
    <row r="889" spans="1:29" ht="12" customHeight="1">
      <c r="A889" s="108"/>
      <c r="B889" s="109"/>
      <c r="C889" s="109"/>
      <c r="D889" s="109"/>
      <c r="E889" s="109"/>
      <c r="F889" s="109"/>
      <c r="G889" s="111"/>
      <c r="H889" s="111"/>
      <c r="I889" s="112"/>
      <c r="J889" s="112"/>
      <c r="K889" s="112"/>
      <c r="L889" s="112"/>
      <c r="M889" s="112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</row>
    <row r="890" spans="1:29" ht="12" customHeight="1">
      <c r="A890" s="108"/>
      <c r="B890" s="109"/>
      <c r="C890" s="109"/>
      <c r="D890" s="109"/>
      <c r="E890" s="109"/>
      <c r="F890" s="109"/>
      <c r="G890" s="111"/>
      <c r="H890" s="111"/>
      <c r="I890" s="112"/>
      <c r="J890" s="112"/>
      <c r="K890" s="112"/>
      <c r="L890" s="112"/>
      <c r="M890" s="112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</row>
    <row r="891" spans="1:29" ht="12" customHeight="1">
      <c r="A891" s="108"/>
      <c r="B891" s="109"/>
      <c r="C891" s="109"/>
      <c r="D891" s="109"/>
      <c r="E891" s="109"/>
      <c r="F891" s="109"/>
      <c r="G891" s="111"/>
      <c r="H891" s="111"/>
      <c r="I891" s="112"/>
      <c r="J891" s="112"/>
      <c r="K891" s="112"/>
      <c r="L891" s="112"/>
      <c r="M891" s="112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</row>
    <row r="892" spans="1:29" ht="12" customHeight="1">
      <c r="A892" s="108"/>
      <c r="B892" s="109"/>
      <c r="C892" s="109"/>
      <c r="D892" s="109"/>
      <c r="E892" s="109"/>
      <c r="F892" s="109"/>
      <c r="G892" s="111"/>
      <c r="H892" s="111"/>
      <c r="I892" s="112"/>
      <c r="J892" s="112"/>
      <c r="K892" s="112"/>
      <c r="L892" s="112"/>
      <c r="M892" s="112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</row>
    <row r="893" spans="1:29" ht="12" customHeight="1">
      <c r="A893" s="108"/>
      <c r="B893" s="109"/>
      <c r="C893" s="109"/>
      <c r="D893" s="109"/>
      <c r="E893" s="109"/>
      <c r="F893" s="109"/>
      <c r="G893" s="111"/>
      <c r="H893" s="111"/>
      <c r="I893" s="112"/>
      <c r="J893" s="112"/>
      <c r="K893" s="112"/>
      <c r="L893" s="112"/>
      <c r="M893" s="112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</row>
    <row r="894" spans="1:29" ht="12" customHeight="1">
      <c r="A894" s="108"/>
      <c r="B894" s="109"/>
      <c r="C894" s="109"/>
      <c r="D894" s="109"/>
      <c r="E894" s="109"/>
      <c r="F894" s="109"/>
      <c r="G894" s="111"/>
      <c r="H894" s="111"/>
      <c r="I894" s="112"/>
      <c r="J894" s="112"/>
      <c r="K894" s="112"/>
      <c r="L894" s="112"/>
      <c r="M894" s="112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</row>
    <row r="895" spans="1:29" ht="12" customHeight="1">
      <c r="A895" s="108"/>
      <c r="B895" s="109"/>
      <c r="C895" s="109"/>
      <c r="D895" s="109"/>
      <c r="E895" s="109"/>
      <c r="F895" s="109"/>
      <c r="G895" s="111"/>
      <c r="H895" s="111"/>
      <c r="I895" s="112"/>
      <c r="J895" s="112"/>
      <c r="K895" s="112"/>
      <c r="L895" s="112"/>
      <c r="M895" s="112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</row>
    <row r="896" spans="1:29" ht="12" customHeight="1">
      <c r="A896" s="108"/>
      <c r="B896" s="109"/>
      <c r="C896" s="109"/>
      <c r="D896" s="109"/>
      <c r="E896" s="109"/>
      <c r="F896" s="109"/>
      <c r="G896" s="111"/>
      <c r="H896" s="111"/>
      <c r="I896" s="112"/>
      <c r="J896" s="112"/>
      <c r="K896" s="112"/>
      <c r="L896" s="112"/>
      <c r="M896" s="112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</row>
    <row r="897" spans="1:29" ht="12" customHeight="1">
      <c r="A897" s="108"/>
      <c r="B897" s="109"/>
      <c r="C897" s="109"/>
      <c r="D897" s="109"/>
      <c r="E897" s="109"/>
      <c r="F897" s="109"/>
      <c r="G897" s="111"/>
      <c r="H897" s="111"/>
      <c r="I897" s="112"/>
      <c r="J897" s="112"/>
      <c r="K897" s="112"/>
      <c r="L897" s="112"/>
      <c r="M897" s="112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</row>
    <row r="898" spans="1:29" ht="12" customHeight="1">
      <c r="A898" s="108"/>
      <c r="B898" s="109"/>
      <c r="C898" s="109"/>
      <c r="D898" s="109"/>
      <c r="E898" s="109"/>
      <c r="F898" s="109"/>
      <c r="G898" s="111"/>
      <c r="H898" s="111"/>
      <c r="I898" s="112"/>
      <c r="J898" s="112"/>
      <c r="K898" s="112"/>
      <c r="L898" s="112"/>
      <c r="M898" s="112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</row>
    <row r="899" spans="1:29" ht="12" customHeight="1">
      <c r="A899" s="108"/>
      <c r="B899" s="109"/>
      <c r="C899" s="109"/>
      <c r="D899" s="109"/>
      <c r="E899" s="109"/>
      <c r="F899" s="109"/>
      <c r="G899" s="111"/>
      <c r="H899" s="111"/>
      <c r="I899" s="112"/>
      <c r="J899" s="112"/>
      <c r="K899" s="112"/>
      <c r="L899" s="112"/>
      <c r="M899" s="112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</row>
    <row r="900" spans="1:29" ht="12" customHeight="1">
      <c r="A900" s="108"/>
      <c r="B900" s="109"/>
      <c r="C900" s="109"/>
      <c r="D900" s="109"/>
      <c r="E900" s="109"/>
      <c r="F900" s="109"/>
      <c r="G900" s="111"/>
      <c r="H900" s="111"/>
      <c r="I900" s="112"/>
      <c r="J900" s="112"/>
      <c r="K900" s="112"/>
      <c r="L900" s="112"/>
      <c r="M900" s="112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</row>
    <row r="901" spans="1:29" ht="12" customHeight="1">
      <c r="A901" s="108"/>
      <c r="B901" s="109"/>
      <c r="C901" s="109"/>
      <c r="D901" s="109"/>
      <c r="E901" s="109"/>
      <c r="F901" s="109"/>
      <c r="G901" s="111"/>
      <c r="H901" s="111"/>
      <c r="I901" s="112"/>
      <c r="J901" s="112"/>
      <c r="K901" s="112"/>
      <c r="L901" s="112"/>
      <c r="M901" s="112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</row>
    <row r="902" spans="1:29" ht="12" customHeight="1">
      <c r="A902" s="108"/>
      <c r="B902" s="109"/>
      <c r="C902" s="109"/>
      <c r="D902" s="109"/>
      <c r="E902" s="109"/>
      <c r="F902" s="109"/>
      <c r="G902" s="111"/>
      <c r="H902" s="111"/>
      <c r="I902" s="112"/>
      <c r="J902" s="112"/>
      <c r="K902" s="112"/>
      <c r="L902" s="112"/>
      <c r="M902" s="112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</row>
    <row r="903" spans="1:29" ht="12" customHeight="1">
      <c r="A903" s="108"/>
      <c r="B903" s="109"/>
      <c r="C903" s="109"/>
      <c r="D903" s="109"/>
      <c r="E903" s="109"/>
      <c r="F903" s="109"/>
      <c r="G903" s="111"/>
      <c r="H903" s="111"/>
      <c r="I903" s="112"/>
      <c r="J903" s="112"/>
      <c r="K903" s="112"/>
      <c r="L903" s="112"/>
      <c r="M903" s="112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</row>
    <row r="904" spans="1:29" ht="12" customHeight="1">
      <c r="A904" s="108"/>
      <c r="B904" s="109"/>
      <c r="C904" s="109"/>
      <c r="D904" s="109"/>
      <c r="E904" s="109"/>
      <c r="F904" s="109"/>
      <c r="G904" s="111"/>
      <c r="H904" s="111"/>
      <c r="I904" s="112"/>
      <c r="J904" s="112"/>
      <c r="K904" s="112"/>
      <c r="L904" s="112"/>
      <c r="M904" s="112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</row>
    <row r="905" spans="1:29" ht="12" customHeight="1">
      <c r="A905" s="108"/>
      <c r="B905" s="109"/>
      <c r="C905" s="109"/>
      <c r="D905" s="109"/>
      <c r="E905" s="109"/>
      <c r="F905" s="109"/>
      <c r="G905" s="111"/>
      <c r="H905" s="111"/>
      <c r="I905" s="112"/>
      <c r="J905" s="112"/>
      <c r="K905" s="112"/>
      <c r="L905" s="112"/>
      <c r="M905" s="112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</row>
    <row r="906" spans="1:29" ht="12" customHeight="1">
      <c r="A906" s="108"/>
      <c r="B906" s="109"/>
      <c r="C906" s="109"/>
      <c r="D906" s="109"/>
      <c r="E906" s="109"/>
      <c r="F906" s="109"/>
      <c r="G906" s="111"/>
      <c r="H906" s="111"/>
      <c r="I906" s="112"/>
      <c r="J906" s="112"/>
      <c r="K906" s="112"/>
      <c r="L906" s="112"/>
      <c r="M906" s="112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</row>
    <row r="907" spans="1:29" ht="12" customHeight="1">
      <c r="A907" s="108"/>
      <c r="B907" s="109"/>
      <c r="C907" s="109"/>
      <c r="D907" s="109"/>
      <c r="E907" s="109"/>
      <c r="F907" s="109"/>
      <c r="G907" s="111"/>
      <c r="H907" s="111"/>
      <c r="I907" s="112"/>
      <c r="J907" s="112"/>
      <c r="K907" s="112"/>
      <c r="L907" s="112"/>
      <c r="M907" s="112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</row>
    <row r="908" spans="1:29" ht="12" customHeight="1">
      <c r="A908" s="108"/>
      <c r="B908" s="109"/>
      <c r="C908" s="109"/>
      <c r="D908" s="109"/>
      <c r="E908" s="109"/>
      <c r="F908" s="109"/>
      <c r="G908" s="111"/>
      <c r="H908" s="111"/>
      <c r="I908" s="112"/>
      <c r="J908" s="112"/>
      <c r="K908" s="112"/>
      <c r="L908" s="112"/>
      <c r="M908" s="112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</row>
    <row r="909" spans="1:29" ht="12" customHeight="1">
      <c r="A909" s="108"/>
      <c r="B909" s="109"/>
      <c r="C909" s="109"/>
      <c r="D909" s="109"/>
      <c r="E909" s="109"/>
      <c r="F909" s="109"/>
      <c r="G909" s="111"/>
      <c r="H909" s="111"/>
      <c r="I909" s="112"/>
      <c r="J909" s="112"/>
      <c r="K909" s="112"/>
      <c r="L909" s="112"/>
      <c r="M909" s="112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</row>
    <row r="910" spans="1:29" ht="12" customHeight="1">
      <c r="A910" s="108"/>
      <c r="B910" s="109"/>
      <c r="C910" s="109"/>
      <c r="D910" s="109"/>
      <c r="E910" s="109"/>
      <c r="F910" s="109"/>
      <c r="G910" s="111"/>
      <c r="H910" s="111"/>
      <c r="I910" s="112"/>
      <c r="J910" s="112"/>
      <c r="K910" s="112"/>
      <c r="L910" s="112"/>
      <c r="M910" s="112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</row>
    <row r="911" spans="1:29" ht="12" customHeight="1">
      <c r="A911" s="108"/>
      <c r="B911" s="109"/>
      <c r="C911" s="109"/>
      <c r="D911" s="109"/>
      <c r="E911" s="109"/>
      <c r="F911" s="109"/>
      <c r="G911" s="111"/>
      <c r="H911" s="111"/>
      <c r="I911" s="112"/>
      <c r="J911" s="112"/>
      <c r="K911" s="112"/>
      <c r="L911" s="112"/>
      <c r="M911" s="112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</row>
    <row r="912" spans="1:29" ht="12" customHeight="1">
      <c r="A912" s="108"/>
      <c r="B912" s="109"/>
      <c r="C912" s="109"/>
      <c r="D912" s="109"/>
      <c r="E912" s="109"/>
      <c r="F912" s="109"/>
      <c r="G912" s="111"/>
      <c r="H912" s="111"/>
      <c r="I912" s="112"/>
      <c r="J912" s="112"/>
      <c r="K912" s="112"/>
      <c r="L912" s="112"/>
      <c r="M912" s="112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</row>
    <row r="913" spans="1:29" ht="12" customHeight="1">
      <c r="A913" s="108"/>
      <c r="B913" s="109"/>
      <c r="C913" s="109"/>
      <c r="D913" s="109"/>
      <c r="E913" s="109"/>
      <c r="F913" s="109"/>
      <c r="G913" s="111"/>
      <c r="H913" s="111"/>
      <c r="I913" s="112"/>
      <c r="J913" s="112"/>
      <c r="K913" s="112"/>
      <c r="L913" s="112"/>
      <c r="M913" s="112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</row>
    <row r="914" spans="1:29" ht="12" customHeight="1">
      <c r="A914" s="108"/>
      <c r="B914" s="109"/>
      <c r="C914" s="109"/>
      <c r="D914" s="109"/>
      <c r="E914" s="109"/>
      <c r="F914" s="109"/>
      <c r="G914" s="111"/>
      <c r="H914" s="111"/>
      <c r="I914" s="112"/>
      <c r="J914" s="112"/>
      <c r="K914" s="112"/>
      <c r="L914" s="112"/>
      <c r="M914" s="112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</row>
    <row r="915" spans="1:29" ht="12" customHeight="1">
      <c r="A915" s="108"/>
      <c r="B915" s="109"/>
      <c r="C915" s="109"/>
      <c r="D915" s="109"/>
      <c r="E915" s="109"/>
      <c r="F915" s="109"/>
      <c r="G915" s="111"/>
      <c r="H915" s="111"/>
      <c r="I915" s="112"/>
      <c r="J915" s="112"/>
      <c r="K915" s="112"/>
      <c r="L915" s="112"/>
      <c r="M915" s="112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</row>
    <row r="916" spans="1:29" ht="12" customHeight="1">
      <c r="A916" s="108"/>
      <c r="B916" s="109"/>
      <c r="C916" s="109"/>
      <c r="D916" s="109"/>
      <c r="E916" s="109"/>
      <c r="F916" s="109"/>
      <c r="G916" s="111"/>
      <c r="H916" s="111"/>
      <c r="I916" s="112"/>
      <c r="J916" s="112"/>
      <c r="K916" s="112"/>
      <c r="L916" s="112"/>
      <c r="M916" s="112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</row>
    <row r="917" spans="1:29" ht="12" customHeight="1">
      <c r="A917" s="108"/>
      <c r="B917" s="109"/>
      <c r="C917" s="109"/>
      <c r="D917" s="109"/>
      <c r="E917" s="109"/>
      <c r="F917" s="109"/>
      <c r="G917" s="111"/>
      <c r="H917" s="111"/>
      <c r="I917" s="112"/>
      <c r="J917" s="112"/>
      <c r="K917" s="112"/>
      <c r="L917" s="112"/>
      <c r="M917" s="112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</row>
    <row r="918" spans="1:29" ht="12" customHeight="1">
      <c r="A918" s="108"/>
      <c r="B918" s="109"/>
      <c r="C918" s="109"/>
      <c r="D918" s="109"/>
      <c r="E918" s="109"/>
      <c r="F918" s="109"/>
      <c r="G918" s="111"/>
      <c r="H918" s="111"/>
      <c r="I918" s="112"/>
      <c r="J918" s="112"/>
      <c r="K918" s="112"/>
      <c r="L918" s="112"/>
      <c r="M918" s="112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</row>
    <row r="919" spans="1:29" ht="12" customHeight="1">
      <c r="A919" s="108"/>
      <c r="B919" s="109"/>
      <c r="C919" s="109"/>
      <c r="D919" s="109"/>
      <c r="E919" s="109"/>
      <c r="F919" s="109"/>
      <c r="G919" s="111"/>
      <c r="H919" s="111"/>
      <c r="I919" s="112"/>
      <c r="J919" s="112"/>
      <c r="K919" s="112"/>
      <c r="L919" s="112"/>
      <c r="M919" s="112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</row>
    <row r="920" spans="1:29" ht="12" customHeight="1">
      <c r="A920" s="108"/>
      <c r="B920" s="109"/>
      <c r="C920" s="109"/>
      <c r="D920" s="109"/>
      <c r="E920" s="109"/>
      <c r="F920" s="109"/>
      <c r="G920" s="111"/>
      <c r="H920" s="111"/>
      <c r="I920" s="112"/>
      <c r="J920" s="112"/>
      <c r="K920" s="112"/>
      <c r="L920" s="112"/>
      <c r="M920" s="112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</row>
    <row r="921" spans="1:29" ht="12" customHeight="1">
      <c r="A921" s="108"/>
      <c r="B921" s="109"/>
      <c r="C921" s="109"/>
      <c r="D921" s="109"/>
      <c r="E921" s="109"/>
      <c r="F921" s="109"/>
      <c r="G921" s="111"/>
      <c r="H921" s="111"/>
      <c r="I921" s="112"/>
      <c r="J921" s="112"/>
      <c r="K921" s="112"/>
      <c r="L921" s="112"/>
      <c r="M921" s="112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</row>
    <row r="922" spans="1:29" ht="12" customHeight="1">
      <c r="A922" s="108"/>
      <c r="B922" s="109"/>
      <c r="C922" s="109"/>
      <c r="D922" s="109"/>
      <c r="E922" s="109"/>
      <c r="F922" s="109"/>
      <c r="G922" s="111"/>
      <c r="H922" s="111"/>
      <c r="I922" s="112"/>
      <c r="J922" s="112"/>
      <c r="K922" s="112"/>
      <c r="L922" s="112"/>
      <c r="M922" s="112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</row>
    <row r="923" spans="1:29" ht="12" customHeight="1">
      <c r="A923" s="108"/>
      <c r="B923" s="109"/>
      <c r="C923" s="109"/>
      <c r="D923" s="109"/>
      <c r="E923" s="109"/>
      <c r="F923" s="109"/>
      <c r="G923" s="111"/>
      <c r="H923" s="111"/>
      <c r="I923" s="112"/>
      <c r="J923" s="112"/>
      <c r="K923" s="112"/>
      <c r="L923" s="112"/>
      <c r="M923" s="112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</row>
    <row r="924" spans="1:29" ht="12" customHeight="1">
      <c r="A924" s="108"/>
      <c r="B924" s="109"/>
      <c r="C924" s="109"/>
      <c r="D924" s="109"/>
      <c r="E924" s="109"/>
      <c r="F924" s="109"/>
      <c r="G924" s="111"/>
      <c r="H924" s="111"/>
      <c r="I924" s="112"/>
      <c r="J924" s="112"/>
      <c r="K924" s="112"/>
      <c r="L924" s="112"/>
      <c r="M924" s="112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</row>
    <row r="925" spans="1:29" ht="12" customHeight="1">
      <c r="A925" s="108"/>
      <c r="B925" s="109"/>
      <c r="C925" s="109"/>
      <c r="D925" s="109"/>
      <c r="E925" s="109"/>
      <c r="F925" s="109"/>
      <c r="G925" s="111"/>
      <c r="H925" s="111"/>
      <c r="I925" s="112"/>
      <c r="J925" s="112"/>
      <c r="K925" s="112"/>
      <c r="L925" s="112"/>
      <c r="M925" s="112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</row>
    <row r="926" spans="1:29" ht="12" customHeight="1">
      <c r="A926" s="108"/>
      <c r="B926" s="109"/>
      <c r="C926" s="109"/>
      <c r="D926" s="109"/>
      <c r="E926" s="109"/>
      <c r="F926" s="109"/>
      <c r="G926" s="111"/>
      <c r="H926" s="111"/>
      <c r="I926" s="112"/>
      <c r="J926" s="112"/>
      <c r="K926" s="112"/>
      <c r="L926" s="112"/>
      <c r="M926" s="112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</row>
    <row r="927" spans="1:29" ht="12" customHeight="1">
      <c r="A927" s="108"/>
      <c r="B927" s="109"/>
      <c r="C927" s="109"/>
      <c r="D927" s="109"/>
      <c r="E927" s="109"/>
      <c r="F927" s="109"/>
      <c r="G927" s="111"/>
      <c r="H927" s="111"/>
      <c r="I927" s="112"/>
      <c r="J927" s="112"/>
      <c r="K927" s="112"/>
      <c r="L927" s="112"/>
      <c r="M927" s="112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</row>
    <row r="928" spans="1:29" ht="12" customHeight="1">
      <c r="A928" s="108"/>
      <c r="B928" s="109"/>
      <c r="C928" s="109"/>
      <c r="D928" s="109"/>
      <c r="E928" s="109"/>
      <c r="F928" s="109"/>
      <c r="G928" s="111"/>
      <c r="H928" s="111"/>
      <c r="I928" s="112"/>
      <c r="J928" s="112"/>
      <c r="K928" s="112"/>
      <c r="L928" s="112"/>
      <c r="M928" s="112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</row>
    <row r="929" spans="1:29" ht="12" customHeight="1">
      <c r="A929" s="108"/>
      <c r="B929" s="109"/>
      <c r="C929" s="109"/>
      <c r="D929" s="109"/>
      <c r="E929" s="109"/>
      <c r="F929" s="109"/>
      <c r="G929" s="111"/>
      <c r="H929" s="111"/>
      <c r="I929" s="112"/>
      <c r="J929" s="112"/>
      <c r="K929" s="112"/>
      <c r="L929" s="112"/>
      <c r="M929" s="112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</row>
    <row r="930" spans="1:29" ht="12" customHeight="1">
      <c r="A930" s="108"/>
      <c r="B930" s="109"/>
      <c r="C930" s="109"/>
      <c r="D930" s="109"/>
      <c r="E930" s="109"/>
      <c r="F930" s="109"/>
      <c r="G930" s="111"/>
      <c r="H930" s="111"/>
      <c r="I930" s="112"/>
      <c r="J930" s="112"/>
      <c r="K930" s="112"/>
      <c r="L930" s="112"/>
      <c r="M930" s="112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</row>
    <row r="931" spans="1:29" ht="12" customHeight="1">
      <c r="A931" s="108"/>
      <c r="B931" s="109"/>
      <c r="C931" s="109"/>
      <c r="D931" s="109"/>
      <c r="E931" s="109"/>
      <c r="F931" s="109"/>
      <c r="G931" s="111"/>
      <c r="H931" s="111"/>
      <c r="I931" s="112"/>
      <c r="J931" s="112"/>
      <c r="K931" s="112"/>
      <c r="L931" s="112"/>
      <c r="M931" s="112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</row>
    <row r="932" spans="1:29" ht="12" customHeight="1">
      <c r="A932" s="108"/>
      <c r="B932" s="109"/>
      <c r="C932" s="109"/>
      <c r="D932" s="109"/>
      <c r="E932" s="109"/>
      <c r="F932" s="109"/>
      <c r="G932" s="111"/>
      <c r="H932" s="111"/>
      <c r="I932" s="112"/>
      <c r="J932" s="112"/>
      <c r="K932" s="112"/>
      <c r="L932" s="112"/>
      <c r="M932" s="112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</row>
    <row r="933" spans="1:29" ht="12" customHeight="1">
      <c r="A933" s="108"/>
      <c r="B933" s="109"/>
      <c r="C933" s="109"/>
      <c r="D933" s="109"/>
      <c r="E933" s="109"/>
      <c r="F933" s="109"/>
      <c r="G933" s="111"/>
      <c r="H933" s="111"/>
      <c r="I933" s="112"/>
      <c r="J933" s="112"/>
      <c r="K933" s="112"/>
      <c r="L933" s="112"/>
      <c r="M933" s="112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</row>
    <row r="934" spans="1:29" ht="12" customHeight="1">
      <c r="A934" s="108"/>
      <c r="B934" s="109"/>
      <c r="C934" s="109"/>
      <c r="D934" s="109"/>
      <c r="E934" s="109"/>
      <c r="F934" s="109"/>
      <c r="G934" s="111"/>
      <c r="H934" s="111"/>
      <c r="I934" s="112"/>
      <c r="J934" s="112"/>
      <c r="K934" s="112"/>
      <c r="L934" s="112"/>
      <c r="M934" s="112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</row>
    <row r="935" spans="1:29" ht="12" customHeight="1">
      <c r="A935" s="108"/>
      <c r="B935" s="109"/>
      <c r="C935" s="109"/>
      <c r="D935" s="109"/>
      <c r="E935" s="109"/>
      <c r="F935" s="109"/>
      <c r="G935" s="111"/>
      <c r="H935" s="111"/>
      <c r="I935" s="112"/>
      <c r="J935" s="112"/>
      <c r="K935" s="112"/>
      <c r="L935" s="112"/>
      <c r="M935" s="112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</row>
    <row r="936" spans="1:29" ht="12" customHeight="1">
      <c r="A936" s="108"/>
      <c r="B936" s="109"/>
      <c r="C936" s="109"/>
      <c r="D936" s="109"/>
      <c r="E936" s="109"/>
      <c r="F936" s="109"/>
      <c r="G936" s="111"/>
      <c r="H936" s="111"/>
      <c r="I936" s="112"/>
      <c r="J936" s="112"/>
      <c r="K936" s="112"/>
      <c r="L936" s="112"/>
      <c r="M936" s="112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</row>
    <row r="937" spans="1:29" ht="12" customHeight="1">
      <c r="A937" s="108"/>
      <c r="B937" s="109"/>
      <c r="C937" s="109"/>
      <c r="D937" s="109"/>
      <c r="E937" s="109"/>
      <c r="F937" s="109"/>
      <c r="G937" s="111"/>
      <c r="H937" s="111"/>
      <c r="I937" s="112"/>
      <c r="J937" s="112"/>
      <c r="K937" s="112"/>
      <c r="L937" s="112"/>
      <c r="M937" s="112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</row>
    <row r="938" spans="1:29" ht="12" customHeight="1">
      <c r="A938" s="108"/>
      <c r="B938" s="109"/>
      <c r="C938" s="109"/>
      <c r="D938" s="109"/>
      <c r="E938" s="109"/>
      <c r="F938" s="109"/>
      <c r="G938" s="111"/>
      <c r="H938" s="111"/>
      <c r="I938" s="112"/>
      <c r="J938" s="112"/>
      <c r="K938" s="112"/>
      <c r="L938" s="112"/>
      <c r="M938" s="112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</row>
    <row r="939" spans="1:29" ht="12" customHeight="1">
      <c r="A939" s="108"/>
      <c r="B939" s="109"/>
      <c r="C939" s="109"/>
      <c r="D939" s="109"/>
      <c r="E939" s="109"/>
      <c r="F939" s="109"/>
      <c r="G939" s="111"/>
      <c r="H939" s="111"/>
      <c r="I939" s="112"/>
      <c r="J939" s="112"/>
      <c r="K939" s="112"/>
      <c r="L939" s="112"/>
      <c r="M939" s="112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</row>
    <row r="940" spans="1:29" ht="12" customHeight="1">
      <c r="A940" s="108"/>
      <c r="B940" s="109"/>
      <c r="C940" s="109"/>
      <c r="D940" s="109"/>
      <c r="E940" s="109"/>
      <c r="F940" s="109"/>
      <c r="G940" s="111"/>
      <c r="H940" s="111"/>
      <c r="I940" s="112"/>
      <c r="J940" s="112"/>
      <c r="K940" s="112"/>
      <c r="L940" s="112"/>
      <c r="M940" s="112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</row>
    <row r="941" spans="1:29" ht="12" customHeight="1">
      <c r="A941" s="108"/>
      <c r="B941" s="109"/>
      <c r="C941" s="109"/>
      <c r="D941" s="109"/>
      <c r="E941" s="109"/>
      <c r="F941" s="109"/>
      <c r="G941" s="111"/>
      <c r="H941" s="111"/>
      <c r="I941" s="112"/>
      <c r="J941" s="112"/>
      <c r="K941" s="112"/>
      <c r="L941" s="112"/>
      <c r="M941" s="112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</row>
    <row r="942" spans="1:29" ht="12" customHeight="1">
      <c r="A942" s="108"/>
      <c r="B942" s="109"/>
      <c r="C942" s="109"/>
      <c r="D942" s="109"/>
      <c r="E942" s="109"/>
      <c r="F942" s="109"/>
      <c r="G942" s="111"/>
      <c r="H942" s="111"/>
      <c r="I942" s="112"/>
      <c r="J942" s="112"/>
      <c r="K942" s="112"/>
      <c r="L942" s="112"/>
      <c r="M942" s="112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</row>
    <row r="943" spans="1:29" ht="12" customHeight="1">
      <c r="A943" s="108"/>
      <c r="B943" s="109"/>
      <c r="C943" s="109"/>
      <c r="D943" s="109"/>
      <c r="E943" s="109"/>
      <c r="F943" s="109"/>
      <c r="G943" s="111"/>
      <c r="H943" s="111"/>
      <c r="I943" s="112"/>
      <c r="J943" s="112"/>
      <c r="K943" s="112"/>
      <c r="L943" s="112"/>
      <c r="M943" s="112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</row>
    <row r="944" spans="1:29" ht="12" customHeight="1">
      <c r="A944" s="108"/>
      <c r="B944" s="109"/>
      <c r="C944" s="109"/>
      <c r="D944" s="109"/>
      <c r="E944" s="109"/>
      <c r="F944" s="109"/>
      <c r="G944" s="111"/>
      <c r="H944" s="111"/>
      <c r="I944" s="112"/>
      <c r="J944" s="112"/>
      <c r="K944" s="112"/>
      <c r="L944" s="112"/>
      <c r="M944" s="112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</row>
    <row r="945" spans="1:29" ht="12" customHeight="1">
      <c r="A945" s="108"/>
      <c r="B945" s="109"/>
      <c r="C945" s="109"/>
      <c r="D945" s="109"/>
      <c r="E945" s="109"/>
      <c r="F945" s="109"/>
      <c r="G945" s="111"/>
      <c r="H945" s="111"/>
      <c r="I945" s="112"/>
      <c r="J945" s="112"/>
      <c r="K945" s="112"/>
      <c r="L945" s="112"/>
      <c r="M945" s="112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</row>
    <row r="946" spans="1:29" ht="12" customHeight="1">
      <c r="A946" s="108"/>
      <c r="B946" s="109"/>
      <c r="C946" s="109"/>
      <c r="D946" s="109"/>
      <c r="E946" s="109"/>
      <c r="F946" s="109"/>
      <c r="G946" s="111"/>
      <c r="H946" s="111"/>
      <c r="I946" s="112"/>
      <c r="J946" s="112"/>
      <c r="K946" s="112"/>
      <c r="L946" s="112"/>
      <c r="M946" s="112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</row>
    <row r="947" spans="1:29" ht="12" customHeight="1">
      <c r="A947" s="108"/>
      <c r="B947" s="109"/>
      <c r="C947" s="109"/>
      <c r="D947" s="109"/>
      <c r="E947" s="109"/>
      <c r="F947" s="109"/>
      <c r="G947" s="111"/>
      <c r="H947" s="111"/>
      <c r="I947" s="112"/>
      <c r="J947" s="112"/>
      <c r="K947" s="112"/>
      <c r="L947" s="112"/>
      <c r="M947" s="112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</row>
  </sheetData>
  <autoFilter ref="A1:M2" xr:uid="{00000000-0009-0000-0000-000004000000}"/>
  <phoneticPr fontId="24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5"/>
  <sheetViews>
    <sheetView workbookViewId="0">
      <selection activeCell="U16" sqref="U16"/>
    </sheetView>
  </sheetViews>
  <sheetFormatPr baseColWidth="10" defaultColWidth="12.6640625" defaultRowHeight="15" customHeight="1"/>
  <cols>
    <col min="1" max="2" width="9.6640625" customWidth="1"/>
    <col min="3" max="3" width="7.83203125" customWidth="1"/>
    <col min="4" max="4" width="63.5" customWidth="1"/>
    <col min="5" max="5" width="16.1640625" customWidth="1"/>
    <col min="6" max="6" width="7.83203125" customWidth="1"/>
    <col min="7" max="7" width="11.1640625" bestFit="1" customWidth="1"/>
    <col min="8" max="8" width="7.83203125" customWidth="1"/>
    <col min="9" max="9" width="8" customWidth="1"/>
    <col min="10" max="10" width="8.33203125" customWidth="1"/>
    <col min="11" max="11" width="7.83203125" customWidth="1"/>
    <col min="12" max="12" width="11.6640625" bestFit="1" customWidth="1"/>
    <col min="13" max="14" width="7.83203125" customWidth="1"/>
    <col min="15" max="15" width="11.6640625" bestFit="1" customWidth="1"/>
    <col min="16" max="16" width="31.1640625" customWidth="1"/>
    <col min="17" max="17" width="7.6640625" customWidth="1"/>
    <col min="18" max="18" width="9.5" bestFit="1" customWidth="1"/>
    <col min="19" max="19" width="8.83203125" customWidth="1"/>
    <col min="20" max="21" width="9.5" bestFit="1" customWidth="1"/>
    <col min="22" max="26" width="7.6640625" customWidth="1"/>
  </cols>
  <sheetData>
    <row r="1" spans="1:26" ht="12" customHeight="1">
      <c r="A1" s="317" t="s">
        <v>133</v>
      </c>
      <c r="B1" s="318" t="s">
        <v>140</v>
      </c>
      <c r="C1" s="318" t="s">
        <v>141</v>
      </c>
      <c r="D1" s="318" t="s">
        <v>142</v>
      </c>
      <c r="E1" s="318" t="s">
        <v>143</v>
      </c>
      <c r="F1" s="318" t="s">
        <v>144</v>
      </c>
      <c r="G1" s="318" t="s">
        <v>145</v>
      </c>
      <c r="H1" s="318" t="s">
        <v>135</v>
      </c>
      <c r="I1" s="318" t="s">
        <v>146</v>
      </c>
      <c r="J1" s="318" t="s">
        <v>147</v>
      </c>
      <c r="K1" s="318" t="s">
        <v>148</v>
      </c>
      <c r="L1" s="318" t="s">
        <v>107</v>
      </c>
      <c r="M1" s="318" t="s">
        <v>149</v>
      </c>
      <c r="N1" s="318" t="s">
        <v>150</v>
      </c>
      <c r="O1" s="318" t="s">
        <v>151</v>
      </c>
      <c r="P1" s="319" t="s">
        <v>231</v>
      </c>
      <c r="Q1" s="111" t="s">
        <v>215</v>
      </c>
      <c r="R1" s="111" t="s">
        <v>219</v>
      </c>
      <c r="S1" s="111" t="s">
        <v>193</v>
      </c>
      <c r="T1" s="111" t="s">
        <v>194</v>
      </c>
      <c r="U1" s="111"/>
      <c r="V1" s="111"/>
      <c r="W1" s="111"/>
      <c r="X1" s="111"/>
      <c r="Y1" s="111"/>
      <c r="Z1" s="111"/>
    </row>
    <row r="2" spans="1:26" ht="12" customHeight="1">
      <c r="A2" s="128" t="s">
        <v>152</v>
      </c>
      <c r="B2" s="129" t="s">
        <v>967</v>
      </c>
      <c r="C2" s="129" t="s">
        <v>153</v>
      </c>
      <c r="D2" s="129" t="s">
        <v>109</v>
      </c>
      <c r="E2" s="129" t="s">
        <v>968</v>
      </c>
      <c r="F2" s="129" t="s">
        <v>969</v>
      </c>
      <c r="G2" s="129" t="s">
        <v>154</v>
      </c>
      <c r="H2" s="320">
        <v>8</v>
      </c>
      <c r="I2" s="130">
        <v>4080</v>
      </c>
      <c r="J2" s="130">
        <v>3709</v>
      </c>
      <c r="K2" s="320">
        <v>371</v>
      </c>
      <c r="L2" s="130">
        <v>32640</v>
      </c>
      <c r="M2" s="130">
        <v>29672</v>
      </c>
      <c r="N2" s="130">
        <v>2968</v>
      </c>
      <c r="O2" s="129" t="s">
        <v>971</v>
      </c>
      <c r="P2" s="131" t="s">
        <v>972</v>
      </c>
      <c r="Q2" s="133">
        <v>6800</v>
      </c>
      <c r="R2" s="321">
        <f>Q2*H2</f>
        <v>54400</v>
      </c>
      <c r="S2" s="133">
        <v>4080</v>
      </c>
      <c r="T2" s="133">
        <f>S2*H2</f>
        <v>32640</v>
      </c>
      <c r="U2" s="111"/>
      <c r="V2" s="111"/>
      <c r="W2" s="111"/>
      <c r="X2" s="111"/>
      <c r="Y2" s="111"/>
      <c r="Z2" s="111"/>
    </row>
    <row r="3" spans="1:26" ht="12" customHeight="1">
      <c r="A3" s="128" t="s">
        <v>152</v>
      </c>
      <c r="B3" s="129" t="s">
        <v>973</v>
      </c>
      <c r="C3" s="129" t="s">
        <v>153</v>
      </c>
      <c r="D3" s="129" t="s">
        <v>109</v>
      </c>
      <c r="E3" s="129" t="s">
        <v>974</v>
      </c>
      <c r="F3" s="129" t="s">
        <v>156</v>
      </c>
      <c r="G3" s="129" t="s">
        <v>154</v>
      </c>
      <c r="H3" s="320">
        <v>6</v>
      </c>
      <c r="I3" s="130">
        <v>4080</v>
      </c>
      <c r="J3" s="130">
        <v>3709</v>
      </c>
      <c r="K3" s="320">
        <v>371</v>
      </c>
      <c r="L3" s="130">
        <v>24480</v>
      </c>
      <c r="M3" s="130">
        <v>22254</v>
      </c>
      <c r="N3" s="130">
        <v>2226</v>
      </c>
      <c r="O3" s="129" t="s">
        <v>976</v>
      </c>
      <c r="P3" s="131" t="s">
        <v>977</v>
      </c>
      <c r="Q3" s="133">
        <v>6800</v>
      </c>
      <c r="R3" s="321">
        <f t="shared" ref="R3:R15" si="0">Q3*H3</f>
        <v>40800</v>
      </c>
      <c r="S3" s="133">
        <v>4080</v>
      </c>
      <c r="T3" s="133">
        <f t="shared" ref="T3:T15" si="1">S3*H3</f>
        <v>24480</v>
      </c>
      <c r="U3" s="111"/>
      <c r="V3" s="111"/>
      <c r="W3" s="111"/>
      <c r="X3" s="111"/>
      <c r="Y3" s="111"/>
      <c r="Z3" s="111"/>
    </row>
    <row r="4" spans="1:26" ht="12" customHeight="1">
      <c r="A4" s="128" t="s">
        <v>152</v>
      </c>
      <c r="B4" s="129" t="s">
        <v>978</v>
      </c>
      <c r="C4" s="129" t="s">
        <v>155</v>
      </c>
      <c r="D4" s="129" t="s">
        <v>110</v>
      </c>
      <c r="E4" s="129" t="s">
        <v>979</v>
      </c>
      <c r="F4" s="129" t="s">
        <v>156</v>
      </c>
      <c r="G4" s="129" t="s">
        <v>154</v>
      </c>
      <c r="H4" s="320">
        <v>3</v>
      </c>
      <c r="I4" s="130">
        <v>12852</v>
      </c>
      <c r="J4" s="130">
        <v>11684</v>
      </c>
      <c r="K4" s="130">
        <v>1168</v>
      </c>
      <c r="L4" s="130">
        <v>38556</v>
      </c>
      <c r="M4" s="130">
        <v>35052</v>
      </c>
      <c r="N4" s="130">
        <v>3504</v>
      </c>
      <c r="O4" s="129" t="s">
        <v>981</v>
      </c>
      <c r="P4" s="131" t="s">
        <v>982</v>
      </c>
      <c r="Q4" s="133">
        <v>20400</v>
      </c>
      <c r="R4" s="321">
        <f t="shared" si="0"/>
        <v>61200</v>
      </c>
      <c r="S4" s="133">
        <v>12852</v>
      </c>
      <c r="T4" s="133">
        <f t="shared" si="1"/>
        <v>38556</v>
      </c>
      <c r="U4" s="111"/>
      <c r="V4" s="111"/>
      <c r="W4" s="111"/>
      <c r="X4" s="111"/>
      <c r="Y4" s="111"/>
      <c r="Z4" s="111"/>
    </row>
    <row r="5" spans="1:26" ht="12" customHeight="1">
      <c r="A5" s="128" t="s">
        <v>152</v>
      </c>
      <c r="B5" s="129" t="s">
        <v>983</v>
      </c>
      <c r="C5" s="129" t="s">
        <v>153</v>
      </c>
      <c r="D5" s="129" t="s">
        <v>109</v>
      </c>
      <c r="E5" s="129" t="s">
        <v>984</v>
      </c>
      <c r="F5" s="129" t="s">
        <v>157</v>
      </c>
      <c r="G5" s="129" t="s">
        <v>154</v>
      </c>
      <c r="H5" s="320">
        <v>6</v>
      </c>
      <c r="I5" s="130">
        <v>4080</v>
      </c>
      <c r="J5" s="130">
        <v>3709</v>
      </c>
      <c r="K5" s="320">
        <v>371</v>
      </c>
      <c r="L5" s="130">
        <v>24480</v>
      </c>
      <c r="M5" s="130">
        <v>22254</v>
      </c>
      <c r="N5" s="130">
        <v>2226</v>
      </c>
      <c r="O5" s="129" t="s">
        <v>985</v>
      </c>
      <c r="P5" s="131" t="s">
        <v>986</v>
      </c>
      <c r="Q5" s="133">
        <v>6800</v>
      </c>
      <c r="R5" s="321">
        <f t="shared" si="0"/>
        <v>40800</v>
      </c>
      <c r="S5" s="133">
        <v>4080</v>
      </c>
      <c r="T5" s="133">
        <f t="shared" si="1"/>
        <v>24480</v>
      </c>
      <c r="U5" s="111"/>
      <c r="V5" s="111"/>
      <c r="W5" s="111"/>
      <c r="X5" s="111"/>
      <c r="Y5" s="111"/>
      <c r="Z5" s="111"/>
    </row>
    <row r="6" spans="1:26" ht="12" customHeight="1">
      <c r="A6" s="128" t="s">
        <v>152</v>
      </c>
      <c r="B6" s="129" t="s">
        <v>987</v>
      </c>
      <c r="C6" s="129" t="s">
        <v>155</v>
      </c>
      <c r="D6" s="129" t="s">
        <v>110</v>
      </c>
      <c r="E6" s="129" t="s">
        <v>988</v>
      </c>
      <c r="F6" s="129" t="s">
        <v>989</v>
      </c>
      <c r="G6" s="129" t="s">
        <v>154</v>
      </c>
      <c r="H6" s="320">
        <v>2</v>
      </c>
      <c r="I6" s="130">
        <v>12852</v>
      </c>
      <c r="J6" s="130">
        <v>11684</v>
      </c>
      <c r="K6" s="130">
        <v>1168</v>
      </c>
      <c r="L6" s="130">
        <v>25704</v>
      </c>
      <c r="M6" s="130">
        <v>23368</v>
      </c>
      <c r="N6" s="130">
        <v>2336</v>
      </c>
      <c r="O6" s="129" t="s">
        <v>990</v>
      </c>
      <c r="P6" s="131" t="s">
        <v>991</v>
      </c>
      <c r="Q6" s="133">
        <v>20400</v>
      </c>
      <c r="R6" s="321">
        <f t="shared" si="0"/>
        <v>40800</v>
      </c>
      <c r="S6" s="133">
        <v>12852</v>
      </c>
      <c r="T6" s="133">
        <f t="shared" si="1"/>
        <v>25704</v>
      </c>
      <c r="U6" s="111"/>
      <c r="V6" s="111"/>
      <c r="W6" s="111"/>
      <c r="X6" s="111"/>
      <c r="Y6" s="111"/>
      <c r="Z6" s="111"/>
    </row>
    <row r="7" spans="1:26" ht="12" customHeight="1">
      <c r="A7" s="128" t="s">
        <v>152</v>
      </c>
      <c r="B7" s="129" t="s">
        <v>992</v>
      </c>
      <c r="C7" s="129" t="s">
        <v>993</v>
      </c>
      <c r="D7" s="129" t="s">
        <v>111</v>
      </c>
      <c r="E7" s="129" t="s">
        <v>994</v>
      </c>
      <c r="F7" s="129" t="s">
        <v>156</v>
      </c>
      <c r="G7" s="129" t="s">
        <v>154</v>
      </c>
      <c r="H7" s="320">
        <v>1</v>
      </c>
      <c r="I7" s="130">
        <v>21420</v>
      </c>
      <c r="J7" s="130">
        <v>19473</v>
      </c>
      <c r="K7" s="130">
        <v>1947</v>
      </c>
      <c r="L7" s="130">
        <v>21420</v>
      </c>
      <c r="M7" s="130">
        <v>19473</v>
      </c>
      <c r="N7" s="130">
        <v>1947</v>
      </c>
      <c r="O7" s="129" t="s">
        <v>995</v>
      </c>
      <c r="P7" s="131" t="s">
        <v>991</v>
      </c>
      <c r="Q7" s="133">
        <v>34000</v>
      </c>
      <c r="R7" s="321">
        <f t="shared" si="0"/>
        <v>34000</v>
      </c>
      <c r="S7" s="133">
        <v>21420</v>
      </c>
      <c r="T7" s="133">
        <f t="shared" si="1"/>
        <v>21420</v>
      </c>
      <c r="U7" s="111"/>
      <c r="V7" s="111"/>
      <c r="W7" s="111"/>
      <c r="X7" s="111"/>
      <c r="Y7" s="111"/>
      <c r="Z7" s="111"/>
    </row>
    <row r="8" spans="1:26" ht="12" customHeight="1">
      <c r="A8" s="128" t="s">
        <v>152</v>
      </c>
      <c r="B8" s="129" t="s">
        <v>996</v>
      </c>
      <c r="C8" s="129" t="s">
        <v>153</v>
      </c>
      <c r="D8" s="129" t="s">
        <v>109</v>
      </c>
      <c r="E8" s="129" t="s">
        <v>997</v>
      </c>
      <c r="F8" s="129" t="s">
        <v>969</v>
      </c>
      <c r="G8" s="129" t="s">
        <v>154</v>
      </c>
      <c r="H8" s="320">
        <v>7</v>
      </c>
      <c r="I8" s="130">
        <v>4080</v>
      </c>
      <c r="J8" s="130">
        <v>3709</v>
      </c>
      <c r="K8" s="320">
        <v>371</v>
      </c>
      <c r="L8" s="130">
        <v>28560</v>
      </c>
      <c r="M8" s="130">
        <v>25963</v>
      </c>
      <c r="N8" s="130">
        <v>2597</v>
      </c>
      <c r="O8" s="129" t="s">
        <v>999</v>
      </c>
      <c r="P8" s="131" t="s">
        <v>1000</v>
      </c>
      <c r="Q8" s="133">
        <v>6800</v>
      </c>
      <c r="R8" s="321">
        <f t="shared" si="0"/>
        <v>47600</v>
      </c>
      <c r="S8" s="133">
        <v>4080</v>
      </c>
      <c r="T8" s="133">
        <f t="shared" si="1"/>
        <v>28560</v>
      </c>
      <c r="U8" s="111"/>
      <c r="V8" s="111"/>
      <c r="W8" s="111"/>
      <c r="X8" s="111"/>
      <c r="Y8" s="111"/>
      <c r="Z8" s="111"/>
    </row>
    <row r="9" spans="1:26" ht="12" customHeight="1">
      <c r="A9" s="128" t="s">
        <v>152</v>
      </c>
      <c r="B9" s="129" t="s">
        <v>1001</v>
      </c>
      <c r="C9" s="129" t="s">
        <v>153</v>
      </c>
      <c r="D9" s="129" t="s">
        <v>109</v>
      </c>
      <c r="E9" s="129" t="s">
        <v>1002</v>
      </c>
      <c r="F9" s="129" t="s">
        <v>156</v>
      </c>
      <c r="G9" s="129" t="s">
        <v>154</v>
      </c>
      <c r="H9" s="320">
        <v>8</v>
      </c>
      <c r="I9" s="130">
        <v>4080</v>
      </c>
      <c r="J9" s="130">
        <v>3709</v>
      </c>
      <c r="K9" s="320">
        <v>371</v>
      </c>
      <c r="L9" s="130">
        <v>32640</v>
      </c>
      <c r="M9" s="130">
        <v>29672</v>
      </c>
      <c r="N9" s="130">
        <v>2968</v>
      </c>
      <c r="O9" s="129" t="s">
        <v>1003</v>
      </c>
      <c r="P9" s="131" t="s">
        <v>1004</v>
      </c>
      <c r="Q9" s="133">
        <v>6800</v>
      </c>
      <c r="R9" s="321">
        <f t="shared" si="0"/>
        <v>54400</v>
      </c>
      <c r="S9" s="133">
        <v>4080</v>
      </c>
      <c r="T9" s="133">
        <f t="shared" si="1"/>
        <v>32640</v>
      </c>
      <c r="U9" s="111"/>
      <c r="V9" s="111"/>
      <c r="W9" s="111"/>
      <c r="X9" s="111"/>
      <c r="Y9" s="111"/>
      <c r="Z9" s="111"/>
    </row>
    <row r="10" spans="1:26" ht="12" customHeight="1">
      <c r="A10" s="128" t="s">
        <v>152</v>
      </c>
      <c r="B10" s="129" t="s">
        <v>1005</v>
      </c>
      <c r="C10" s="129" t="s">
        <v>153</v>
      </c>
      <c r="D10" s="129" t="s">
        <v>109</v>
      </c>
      <c r="E10" s="129" t="s">
        <v>1006</v>
      </c>
      <c r="F10" s="129" t="s">
        <v>1007</v>
      </c>
      <c r="G10" s="129" t="s">
        <v>154</v>
      </c>
      <c r="H10" s="320">
        <v>11</v>
      </c>
      <c r="I10" s="130">
        <v>4080</v>
      </c>
      <c r="J10" s="130">
        <v>3709</v>
      </c>
      <c r="K10" s="320">
        <v>371</v>
      </c>
      <c r="L10" s="130">
        <v>44880</v>
      </c>
      <c r="M10" s="130">
        <v>40799</v>
      </c>
      <c r="N10" s="130">
        <v>4081</v>
      </c>
      <c r="O10" s="129" t="s">
        <v>1009</v>
      </c>
      <c r="P10" s="131" t="s">
        <v>1004</v>
      </c>
      <c r="Q10" s="133">
        <v>6800</v>
      </c>
      <c r="R10" s="321">
        <f t="shared" si="0"/>
        <v>74800</v>
      </c>
      <c r="S10" s="133">
        <v>4080</v>
      </c>
      <c r="T10" s="133">
        <f t="shared" si="1"/>
        <v>44880</v>
      </c>
      <c r="U10" s="111"/>
      <c r="V10" s="111"/>
      <c r="W10" s="111"/>
      <c r="X10" s="111"/>
      <c r="Y10" s="111"/>
      <c r="Z10" s="111"/>
    </row>
    <row r="11" spans="1:26" ht="12" customHeight="1">
      <c r="A11" s="128" t="s">
        <v>152</v>
      </c>
      <c r="B11" s="129" t="s">
        <v>1010</v>
      </c>
      <c r="C11" s="129" t="s">
        <v>153</v>
      </c>
      <c r="D11" s="129" t="s">
        <v>109</v>
      </c>
      <c r="E11" s="129" t="s">
        <v>1011</v>
      </c>
      <c r="F11" s="129" t="s">
        <v>157</v>
      </c>
      <c r="G11" s="129" t="s">
        <v>154</v>
      </c>
      <c r="H11" s="320">
        <v>4</v>
      </c>
      <c r="I11" s="130">
        <v>4080</v>
      </c>
      <c r="J11" s="130">
        <v>3709</v>
      </c>
      <c r="K11" s="320">
        <v>371</v>
      </c>
      <c r="L11" s="130">
        <v>16320</v>
      </c>
      <c r="M11" s="130">
        <v>14836</v>
      </c>
      <c r="N11" s="130">
        <v>1484</v>
      </c>
      <c r="O11" s="129" t="s">
        <v>1013</v>
      </c>
      <c r="P11" s="131" t="s">
        <v>1014</v>
      </c>
      <c r="Q11" s="133">
        <v>6800</v>
      </c>
      <c r="R11" s="321">
        <f t="shared" si="0"/>
        <v>27200</v>
      </c>
      <c r="S11" s="133">
        <v>4080</v>
      </c>
      <c r="T11" s="133">
        <f t="shared" si="1"/>
        <v>16320</v>
      </c>
      <c r="W11" s="111"/>
      <c r="X11" s="111"/>
      <c r="Y11" s="111"/>
      <c r="Z11" s="111"/>
    </row>
    <row r="12" spans="1:26" ht="12" customHeight="1">
      <c r="A12" s="128" t="s">
        <v>152</v>
      </c>
      <c r="B12" s="129" t="s">
        <v>1015</v>
      </c>
      <c r="C12" s="129" t="s">
        <v>155</v>
      </c>
      <c r="D12" s="129" t="s">
        <v>110</v>
      </c>
      <c r="E12" s="129" t="s">
        <v>1016</v>
      </c>
      <c r="F12" s="129" t="s">
        <v>307</v>
      </c>
      <c r="G12" s="129" t="s">
        <v>154</v>
      </c>
      <c r="H12" s="320">
        <v>1</v>
      </c>
      <c r="I12" s="130">
        <v>12852</v>
      </c>
      <c r="J12" s="130">
        <v>11684</v>
      </c>
      <c r="K12" s="130">
        <v>1168</v>
      </c>
      <c r="L12" s="130">
        <v>12852</v>
      </c>
      <c r="M12" s="130">
        <v>11684</v>
      </c>
      <c r="N12" s="130">
        <v>1168</v>
      </c>
      <c r="O12" s="129" t="s">
        <v>1017</v>
      </c>
      <c r="P12" s="131" t="s">
        <v>1018</v>
      </c>
      <c r="Q12" s="133">
        <v>20400</v>
      </c>
      <c r="R12" s="321">
        <f t="shared" si="0"/>
        <v>20400</v>
      </c>
      <c r="S12" s="133">
        <v>12852</v>
      </c>
      <c r="T12" s="133">
        <f t="shared" si="1"/>
        <v>12852</v>
      </c>
      <c r="W12" s="111"/>
      <c r="X12" s="111"/>
      <c r="Y12" s="111"/>
      <c r="Z12" s="111"/>
    </row>
    <row r="13" spans="1:26" ht="12" customHeight="1">
      <c r="A13" s="128" t="s">
        <v>152</v>
      </c>
      <c r="B13" s="129" t="s">
        <v>1019</v>
      </c>
      <c r="C13" s="129" t="s">
        <v>153</v>
      </c>
      <c r="D13" s="129" t="s">
        <v>109</v>
      </c>
      <c r="E13" s="129" t="s">
        <v>1020</v>
      </c>
      <c r="F13" s="129" t="s">
        <v>1021</v>
      </c>
      <c r="G13" s="129" t="s">
        <v>154</v>
      </c>
      <c r="H13" s="320">
        <v>10</v>
      </c>
      <c r="I13" s="130">
        <v>4080</v>
      </c>
      <c r="J13" s="130">
        <v>3709</v>
      </c>
      <c r="K13" s="320">
        <v>371</v>
      </c>
      <c r="L13" s="130">
        <v>40800</v>
      </c>
      <c r="M13" s="130">
        <v>37090</v>
      </c>
      <c r="N13" s="130">
        <v>3710</v>
      </c>
      <c r="O13" s="129" t="s">
        <v>1023</v>
      </c>
      <c r="P13" s="131" t="s">
        <v>1014</v>
      </c>
      <c r="Q13" s="133">
        <v>6800</v>
      </c>
      <c r="R13" s="321">
        <f t="shared" si="0"/>
        <v>68000</v>
      </c>
      <c r="S13" s="133">
        <v>4080</v>
      </c>
      <c r="T13" s="133">
        <f t="shared" si="1"/>
        <v>40800</v>
      </c>
      <c r="W13" s="111"/>
      <c r="X13" s="111"/>
      <c r="Y13" s="111"/>
      <c r="Z13" s="111"/>
    </row>
    <row r="14" spans="1:26" ht="12" customHeight="1">
      <c r="A14" s="128" t="s">
        <v>152</v>
      </c>
      <c r="B14" s="129" t="s">
        <v>1024</v>
      </c>
      <c r="C14" s="129" t="s">
        <v>993</v>
      </c>
      <c r="D14" s="129" t="s">
        <v>111</v>
      </c>
      <c r="E14" s="129" t="s">
        <v>1025</v>
      </c>
      <c r="F14" s="129" t="s">
        <v>197</v>
      </c>
      <c r="G14" s="129" t="s">
        <v>154</v>
      </c>
      <c r="H14" s="320">
        <v>1</v>
      </c>
      <c r="I14" s="130">
        <v>21420</v>
      </c>
      <c r="J14" s="130">
        <v>19473</v>
      </c>
      <c r="K14" s="130">
        <v>1947</v>
      </c>
      <c r="L14" s="130">
        <v>21420</v>
      </c>
      <c r="M14" s="130">
        <v>19473</v>
      </c>
      <c r="N14" s="130">
        <v>1947</v>
      </c>
      <c r="O14" s="129" t="s">
        <v>1017</v>
      </c>
      <c r="P14" s="131" t="s">
        <v>1018</v>
      </c>
      <c r="Q14" s="133">
        <v>34000</v>
      </c>
      <c r="R14" s="321">
        <f t="shared" si="0"/>
        <v>34000</v>
      </c>
      <c r="S14" s="133">
        <v>21420</v>
      </c>
      <c r="T14" s="133">
        <f t="shared" si="1"/>
        <v>21420</v>
      </c>
      <c r="W14" s="111"/>
      <c r="X14" s="111"/>
      <c r="Y14" s="111"/>
      <c r="Z14" s="111"/>
    </row>
    <row r="15" spans="1:26" ht="12" customHeight="1">
      <c r="A15" s="128" t="s">
        <v>152</v>
      </c>
      <c r="B15" s="129" t="s">
        <v>1026</v>
      </c>
      <c r="C15" s="129" t="s">
        <v>153</v>
      </c>
      <c r="D15" s="129" t="s">
        <v>109</v>
      </c>
      <c r="E15" s="129" t="s">
        <v>1027</v>
      </c>
      <c r="F15" s="129" t="s">
        <v>198</v>
      </c>
      <c r="G15" s="129" t="s">
        <v>154</v>
      </c>
      <c r="H15" s="320">
        <v>10</v>
      </c>
      <c r="I15" s="130">
        <v>4080</v>
      </c>
      <c r="J15" s="130">
        <v>3709</v>
      </c>
      <c r="K15" s="320">
        <v>371</v>
      </c>
      <c r="L15" s="130">
        <v>40800</v>
      </c>
      <c r="M15" s="130">
        <v>37090</v>
      </c>
      <c r="N15" s="130">
        <v>3710</v>
      </c>
      <c r="O15" s="129" t="s">
        <v>1017</v>
      </c>
      <c r="P15" s="131" t="s">
        <v>1018</v>
      </c>
      <c r="Q15" s="133">
        <v>6800</v>
      </c>
      <c r="R15" s="321">
        <f t="shared" si="0"/>
        <v>68000</v>
      </c>
      <c r="S15" s="133">
        <v>4080</v>
      </c>
      <c r="T15" s="133">
        <f t="shared" si="1"/>
        <v>40800</v>
      </c>
      <c r="W15" s="111"/>
      <c r="X15" s="111"/>
      <c r="Y15" s="111"/>
      <c r="Z15" s="111"/>
    </row>
    <row r="16" spans="1:26" ht="23" customHeight="1">
      <c r="A16" s="108"/>
      <c r="B16" s="108"/>
      <c r="C16" s="109"/>
      <c r="D16" s="109"/>
      <c r="E16" s="109"/>
      <c r="F16" s="109"/>
      <c r="G16" s="111"/>
      <c r="H16" s="111"/>
      <c r="I16" s="112"/>
      <c r="J16" s="112"/>
      <c r="K16" s="111"/>
      <c r="L16" s="132">
        <f>SUM(L2:L15)</f>
        <v>405552</v>
      </c>
      <c r="M16" s="111"/>
      <c r="N16" s="111"/>
      <c r="O16" s="111"/>
      <c r="P16" s="111"/>
      <c r="R16" s="157">
        <f>SUM(R2:R15)</f>
        <v>666400</v>
      </c>
      <c r="T16" s="157">
        <f>SUM(T2:T15)</f>
        <v>405552</v>
      </c>
      <c r="U16" s="157">
        <f>R16-T16</f>
        <v>260848</v>
      </c>
      <c r="W16" s="111"/>
      <c r="X16" s="111"/>
      <c r="Y16" s="111"/>
      <c r="Z16" s="111"/>
    </row>
    <row r="17" spans="1:26" ht="12" customHeight="1">
      <c r="A17" s="108"/>
      <c r="B17" s="108"/>
      <c r="C17" s="109"/>
      <c r="D17" s="109"/>
      <c r="E17" s="109"/>
      <c r="F17" s="109"/>
      <c r="G17" s="111"/>
      <c r="H17" s="111"/>
      <c r="I17" s="112"/>
      <c r="J17" s="112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2" customHeight="1"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2" customHeight="1"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12" customHeight="1"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12" customHeight="1"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12" customHeight="1">
      <c r="Q22" s="133"/>
      <c r="R22" s="133"/>
      <c r="S22" s="133"/>
      <c r="T22" s="133"/>
      <c r="U22" s="111"/>
      <c r="V22" s="111"/>
      <c r="W22" s="111"/>
      <c r="X22" s="111"/>
      <c r="Y22" s="111"/>
      <c r="Z22" s="111"/>
    </row>
    <row r="23" spans="1:26" ht="12" customHeight="1">
      <c r="Q23" s="133"/>
      <c r="R23" s="133"/>
      <c r="S23" s="133"/>
      <c r="T23" s="133"/>
      <c r="U23" s="111"/>
      <c r="V23" s="111"/>
      <c r="W23" s="111"/>
      <c r="X23" s="111"/>
      <c r="Y23" s="111"/>
      <c r="Z23" s="111"/>
    </row>
    <row r="24" spans="1:26" ht="12" customHeight="1">
      <c r="Q24" s="133"/>
      <c r="R24" s="133"/>
      <c r="S24" s="133"/>
      <c r="T24" s="133"/>
      <c r="U24" s="111"/>
      <c r="V24" s="111"/>
      <c r="W24" s="111"/>
      <c r="X24" s="111"/>
      <c r="Y24" s="111"/>
      <c r="Z24" s="111"/>
    </row>
    <row r="25" spans="1:26" ht="12" customHeight="1">
      <c r="Q25" s="133"/>
      <c r="R25" s="133"/>
      <c r="S25" s="133"/>
      <c r="T25" s="133"/>
      <c r="U25" s="111"/>
      <c r="V25" s="111"/>
      <c r="W25" s="111"/>
      <c r="X25" s="111"/>
      <c r="Y25" s="111"/>
      <c r="Z25" s="111"/>
    </row>
    <row r="26" spans="1:26" ht="12" customHeight="1">
      <c r="Q26" s="133"/>
      <c r="R26" s="133"/>
      <c r="S26" s="133"/>
      <c r="T26" s="133"/>
      <c r="U26" s="111"/>
      <c r="V26" s="111"/>
      <c r="W26" s="111"/>
      <c r="X26" s="111"/>
      <c r="Y26" s="111"/>
      <c r="Z26" s="111"/>
    </row>
    <row r="27" spans="1:26" ht="12" customHeight="1">
      <c r="A27" s="108"/>
      <c r="B27" s="108"/>
      <c r="C27" s="109"/>
      <c r="D27" s="109"/>
      <c r="E27" s="109"/>
      <c r="F27" s="109"/>
      <c r="G27" s="111"/>
      <c r="H27" s="111"/>
      <c r="I27" s="112"/>
      <c r="J27" s="112"/>
      <c r="K27" s="111"/>
      <c r="L27" s="111"/>
      <c r="M27" s="111"/>
      <c r="N27" s="111"/>
      <c r="O27" s="111"/>
      <c r="P27" s="111"/>
      <c r="Q27" s="111"/>
      <c r="R27" s="132"/>
      <c r="S27" s="111"/>
      <c r="T27" s="132"/>
      <c r="U27" s="111"/>
      <c r="V27" s="208"/>
      <c r="W27" s="111"/>
      <c r="X27" s="111"/>
      <c r="Y27" s="111"/>
      <c r="Z27" s="111"/>
    </row>
    <row r="28" spans="1:26" ht="12" customHeight="1">
      <c r="A28" s="108"/>
      <c r="B28" s="108"/>
      <c r="C28" s="109"/>
      <c r="D28" s="109"/>
      <c r="E28" s="109"/>
      <c r="F28" s="109"/>
      <c r="G28" s="111"/>
      <c r="H28" s="111"/>
      <c r="I28" s="112"/>
      <c r="J28" s="112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12" customHeight="1">
      <c r="A29" s="108"/>
      <c r="B29" s="108"/>
      <c r="C29" s="109"/>
      <c r="D29" s="109"/>
      <c r="E29" s="109"/>
      <c r="F29" s="109"/>
      <c r="G29" s="111"/>
      <c r="H29" s="111"/>
      <c r="I29" s="112"/>
      <c r="J29" s="112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12" customHeight="1">
      <c r="A30" s="108"/>
      <c r="B30" s="108"/>
      <c r="C30" s="109"/>
      <c r="D30" s="109"/>
      <c r="E30" s="109"/>
      <c r="F30" s="109"/>
      <c r="G30" s="111"/>
      <c r="H30" s="111"/>
      <c r="I30" s="112"/>
      <c r="J30" s="112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12" customHeight="1">
      <c r="A31" s="108"/>
      <c r="B31" s="108"/>
      <c r="C31" s="109"/>
      <c r="D31" s="109"/>
      <c r="E31" s="109"/>
      <c r="F31" s="109"/>
      <c r="G31" s="111"/>
      <c r="H31" s="111"/>
      <c r="I31" s="112"/>
      <c r="J31" s="112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12" customHeight="1">
      <c r="A32" s="108"/>
      <c r="B32" s="108"/>
      <c r="C32" s="109"/>
      <c r="D32" s="109"/>
      <c r="E32" s="109"/>
      <c r="F32" s="109"/>
      <c r="G32" s="111"/>
      <c r="H32" s="111"/>
      <c r="I32" s="112"/>
      <c r="J32" s="112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26" ht="12" customHeight="1">
      <c r="A33" s="108"/>
      <c r="B33" s="108"/>
      <c r="C33" s="109"/>
      <c r="D33" s="109"/>
      <c r="E33" s="109"/>
      <c r="F33" s="109"/>
      <c r="G33" s="111"/>
      <c r="H33" s="111"/>
      <c r="I33" s="112"/>
      <c r="J33" s="112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spans="1:26" ht="12" customHeight="1">
      <c r="A34" s="108"/>
      <c r="B34" s="108"/>
      <c r="C34" s="109"/>
      <c r="D34" s="109"/>
      <c r="E34" s="109"/>
      <c r="F34" s="109"/>
      <c r="G34" s="111"/>
      <c r="H34" s="111"/>
      <c r="I34" s="112"/>
      <c r="J34" s="112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12" customHeight="1">
      <c r="A35" s="108"/>
      <c r="B35" s="108"/>
      <c r="C35" s="109"/>
      <c r="D35" s="161" t="s">
        <v>217</v>
      </c>
      <c r="E35" s="165" t="s">
        <v>215</v>
      </c>
      <c r="F35" s="165" t="s">
        <v>216</v>
      </c>
      <c r="G35" s="166" t="s">
        <v>218</v>
      </c>
      <c r="H35" s="111"/>
      <c r="I35" s="112"/>
      <c r="J35" s="112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12" customHeight="1">
      <c r="A36" s="108"/>
      <c r="B36" s="108"/>
      <c r="C36" s="109"/>
      <c r="D36" s="129" t="s">
        <v>109</v>
      </c>
      <c r="E36" s="162">
        <v>6800</v>
      </c>
      <c r="F36" s="163">
        <v>0.4</v>
      </c>
      <c r="G36" s="164">
        <f>E36-(E36*F36)</f>
        <v>4080</v>
      </c>
      <c r="H36" s="111"/>
      <c r="I36" s="112"/>
      <c r="J36" s="112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12" customHeight="1">
      <c r="A37" s="108"/>
      <c r="B37" s="108"/>
      <c r="C37" s="109"/>
      <c r="D37" s="129" t="s">
        <v>110</v>
      </c>
      <c r="E37" s="162">
        <f>6800*3</f>
        <v>20400</v>
      </c>
      <c r="F37" s="163">
        <v>0.37</v>
      </c>
      <c r="G37" s="164">
        <f>E37-(E37*F37)</f>
        <v>12852</v>
      </c>
      <c r="H37" s="111"/>
      <c r="I37" s="112"/>
      <c r="J37" s="112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12" customHeight="1">
      <c r="A38" s="108"/>
      <c r="B38" s="108"/>
      <c r="C38" s="109"/>
      <c r="D38" s="129" t="s">
        <v>111</v>
      </c>
      <c r="E38" s="162">
        <f>6800*5</f>
        <v>34000</v>
      </c>
      <c r="F38" s="163">
        <v>0.37</v>
      </c>
      <c r="G38" s="164">
        <f>E38-(E38*F38)</f>
        <v>21420</v>
      </c>
      <c r="H38" s="111"/>
      <c r="I38" s="112"/>
      <c r="J38" s="112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2" customHeight="1">
      <c r="A39" s="108"/>
      <c r="B39" s="108"/>
      <c r="C39" s="109"/>
      <c r="D39" s="109"/>
      <c r="E39" s="109"/>
      <c r="F39" s="109"/>
      <c r="G39" s="111"/>
      <c r="H39" s="111"/>
      <c r="I39" s="112"/>
      <c r="J39" s="112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26" ht="12" customHeight="1">
      <c r="A40" s="108"/>
      <c r="B40" s="108"/>
      <c r="C40" s="109"/>
      <c r="D40" s="109"/>
      <c r="E40" s="109"/>
      <c r="F40" s="109"/>
      <c r="G40" s="111"/>
      <c r="H40" s="111"/>
      <c r="I40" s="112"/>
      <c r="J40" s="112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12" customHeight="1">
      <c r="A41" s="108"/>
      <c r="B41" s="108"/>
      <c r="C41" s="109"/>
      <c r="D41" s="109"/>
      <c r="E41" s="109"/>
      <c r="F41" s="109"/>
      <c r="G41" s="111"/>
      <c r="H41" s="111"/>
      <c r="I41" s="112"/>
      <c r="J41" s="112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1:26" ht="12" customHeight="1">
      <c r="A42" s="108"/>
      <c r="B42" s="108"/>
      <c r="C42" s="109"/>
      <c r="D42" s="109"/>
      <c r="E42" s="109"/>
      <c r="F42" s="109"/>
      <c r="G42" s="111"/>
      <c r="H42" s="111"/>
      <c r="I42" s="112"/>
      <c r="J42" s="112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1:26" ht="12" customHeight="1">
      <c r="A43" s="108"/>
      <c r="B43" s="108"/>
      <c r="C43" s="109"/>
      <c r="D43" s="109"/>
      <c r="E43" s="109"/>
      <c r="F43" s="109"/>
      <c r="G43" s="111"/>
      <c r="H43" s="111"/>
      <c r="I43" s="112"/>
      <c r="J43" s="112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1:26" ht="12" customHeight="1">
      <c r="A44" s="108"/>
      <c r="B44" s="108"/>
      <c r="C44" s="109"/>
      <c r="D44" s="109"/>
      <c r="E44" s="109"/>
      <c r="F44" s="109"/>
      <c r="G44" s="111"/>
      <c r="H44" s="111"/>
      <c r="I44" s="112"/>
      <c r="J44" s="112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26" ht="12" customHeight="1">
      <c r="A45" s="108"/>
      <c r="B45" s="108"/>
      <c r="C45" s="109"/>
      <c r="D45" s="109"/>
      <c r="E45" s="109"/>
      <c r="F45" s="109"/>
      <c r="G45" s="111"/>
      <c r="H45" s="111"/>
      <c r="I45" s="112"/>
      <c r="J45" s="112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1:26" ht="12" customHeight="1">
      <c r="A46" s="108"/>
      <c r="B46" s="108"/>
      <c r="C46" s="109"/>
      <c r="D46" s="109"/>
      <c r="E46" s="109"/>
      <c r="F46" s="109"/>
      <c r="G46" s="111"/>
      <c r="H46" s="111"/>
      <c r="I46" s="112"/>
      <c r="J46" s="112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12" customHeight="1">
      <c r="A47" s="108"/>
      <c r="B47" s="108"/>
      <c r="C47" s="109"/>
      <c r="D47" s="109"/>
      <c r="E47" s="109"/>
      <c r="F47" s="109"/>
      <c r="G47" s="111"/>
      <c r="H47" s="111"/>
      <c r="I47" s="112"/>
      <c r="J47" s="112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12" customHeight="1">
      <c r="A48" s="108"/>
      <c r="B48" s="108"/>
      <c r="C48" s="109"/>
      <c r="D48" s="109"/>
      <c r="E48" s="109"/>
      <c r="F48" s="109"/>
      <c r="G48" s="111"/>
      <c r="H48" s="111"/>
      <c r="I48" s="112"/>
      <c r="J48" s="112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12" customHeight="1">
      <c r="A49" s="108"/>
      <c r="B49" s="108"/>
      <c r="C49" s="109"/>
      <c r="D49" s="109"/>
      <c r="E49" s="109"/>
      <c r="F49" s="109"/>
      <c r="G49" s="111"/>
      <c r="H49" s="111"/>
      <c r="I49" s="112"/>
      <c r="J49" s="112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12" customHeight="1">
      <c r="A50" s="108"/>
      <c r="B50" s="108"/>
      <c r="C50" s="109"/>
      <c r="D50" s="109"/>
      <c r="E50" s="109"/>
      <c r="F50" s="109"/>
      <c r="G50" s="111"/>
      <c r="H50" s="111"/>
      <c r="I50" s="112"/>
      <c r="J50" s="112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ht="12" customHeight="1">
      <c r="A51" s="108"/>
      <c r="B51" s="108"/>
      <c r="C51" s="109"/>
      <c r="D51" s="109"/>
      <c r="E51" s="109"/>
      <c r="F51" s="109"/>
      <c r="G51" s="111"/>
      <c r="H51" s="111"/>
      <c r="I51" s="112"/>
      <c r="J51" s="112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12" customHeight="1">
      <c r="A52" s="108"/>
      <c r="B52" s="108"/>
      <c r="C52" s="109"/>
      <c r="D52" s="109"/>
      <c r="E52" s="109"/>
      <c r="F52" s="109"/>
      <c r="G52" s="111"/>
      <c r="H52" s="111"/>
      <c r="I52" s="112"/>
      <c r="J52" s="112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12" customHeight="1">
      <c r="A53" s="108"/>
      <c r="B53" s="108"/>
      <c r="C53" s="109"/>
      <c r="D53" s="109"/>
      <c r="E53" s="109"/>
      <c r="F53" s="109"/>
      <c r="G53" s="111"/>
      <c r="H53" s="111"/>
      <c r="I53" s="112"/>
      <c r="J53" s="112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12" customHeight="1">
      <c r="A54" s="108"/>
      <c r="B54" s="108"/>
      <c r="C54" s="109"/>
      <c r="D54" s="109"/>
      <c r="E54" s="109"/>
      <c r="F54" s="109"/>
      <c r="G54" s="111"/>
      <c r="H54" s="111"/>
      <c r="I54" s="112"/>
      <c r="J54" s="112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2" customHeight="1">
      <c r="A55" s="108"/>
      <c r="B55" s="108"/>
      <c r="C55" s="109"/>
      <c r="D55" s="109"/>
      <c r="E55" s="109"/>
      <c r="F55" s="109"/>
      <c r="G55" s="111"/>
      <c r="H55" s="111"/>
      <c r="I55" s="112"/>
      <c r="J55" s="112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2" customHeight="1">
      <c r="A56" s="108"/>
      <c r="B56" s="108"/>
      <c r="C56" s="109"/>
      <c r="D56" s="109"/>
      <c r="E56" s="109"/>
      <c r="F56" s="109"/>
      <c r="G56" s="111"/>
      <c r="H56" s="111"/>
      <c r="I56" s="112"/>
      <c r="J56" s="112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2" customHeight="1">
      <c r="A57" s="108"/>
      <c r="B57" s="108"/>
      <c r="C57" s="109"/>
      <c r="D57" s="109"/>
      <c r="E57" s="109"/>
      <c r="F57" s="109"/>
      <c r="G57" s="111"/>
      <c r="H57" s="111"/>
      <c r="I57" s="112"/>
      <c r="J57" s="112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12" customHeight="1">
      <c r="A58" s="108"/>
      <c r="B58" s="108"/>
      <c r="C58" s="109"/>
      <c r="D58" s="109"/>
      <c r="E58" s="109"/>
      <c r="F58" s="109"/>
      <c r="G58" s="111"/>
      <c r="H58" s="111"/>
      <c r="I58" s="112"/>
      <c r="J58" s="112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12" customHeight="1">
      <c r="A59" s="108"/>
      <c r="B59" s="108"/>
      <c r="C59" s="109"/>
      <c r="D59" s="109"/>
      <c r="E59" s="109"/>
      <c r="F59" s="109"/>
      <c r="G59" s="111"/>
      <c r="H59" s="111"/>
      <c r="I59" s="112"/>
      <c r="J59" s="112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12" customHeight="1">
      <c r="A60" s="108"/>
      <c r="B60" s="108"/>
      <c r="C60" s="109"/>
      <c r="D60" s="109"/>
      <c r="E60" s="109"/>
      <c r="F60" s="109"/>
      <c r="G60" s="111"/>
      <c r="H60" s="111"/>
      <c r="I60" s="112"/>
      <c r="J60" s="112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2" customHeight="1">
      <c r="A61" s="108"/>
      <c r="B61" s="108"/>
      <c r="C61" s="109"/>
      <c r="D61" s="109"/>
      <c r="E61" s="109"/>
      <c r="F61" s="109"/>
      <c r="G61" s="111"/>
      <c r="H61" s="111"/>
      <c r="I61" s="112"/>
      <c r="J61" s="112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2" customHeight="1">
      <c r="A62" s="108"/>
      <c r="B62" s="108"/>
      <c r="C62" s="109"/>
      <c r="D62" s="109"/>
      <c r="E62" s="109"/>
      <c r="F62" s="109"/>
      <c r="G62" s="111"/>
      <c r="H62" s="111"/>
      <c r="I62" s="112"/>
      <c r="J62" s="112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2" customHeight="1">
      <c r="A63" s="108"/>
      <c r="B63" s="108"/>
      <c r="C63" s="109"/>
      <c r="D63" s="109"/>
      <c r="E63" s="109"/>
      <c r="F63" s="109"/>
      <c r="G63" s="111"/>
      <c r="H63" s="111"/>
      <c r="I63" s="112"/>
      <c r="J63" s="112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2" customHeight="1">
      <c r="A64" s="108"/>
      <c r="B64" s="108"/>
      <c r="C64" s="109"/>
      <c r="D64" s="109"/>
      <c r="E64" s="109"/>
      <c r="F64" s="109"/>
      <c r="G64" s="111"/>
      <c r="H64" s="111"/>
      <c r="I64" s="112"/>
      <c r="J64" s="112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2" customHeight="1">
      <c r="A65" s="108"/>
      <c r="B65" s="108"/>
      <c r="C65" s="109"/>
      <c r="D65" s="109"/>
      <c r="E65" s="109"/>
      <c r="F65" s="109"/>
      <c r="G65" s="111"/>
      <c r="H65" s="111"/>
      <c r="I65" s="112"/>
      <c r="J65" s="112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12" customHeight="1">
      <c r="A66" s="108"/>
      <c r="B66" s="108"/>
      <c r="C66" s="109"/>
      <c r="D66" s="109"/>
      <c r="E66" s="109"/>
      <c r="F66" s="109"/>
      <c r="G66" s="111"/>
      <c r="H66" s="111"/>
      <c r="I66" s="112"/>
      <c r="J66" s="112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2" customHeight="1">
      <c r="A67" s="108"/>
      <c r="B67" s="108"/>
      <c r="C67" s="109"/>
      <c r="D67" s="109"/>
      <c r="E67" s="109"/>
      <c r="F67" s="109"/>
      <c r="G67" s="111"/>
      <c r="H67" s="111"/>
      <c r="I67" s="112"/>
      <c r="J67" s="112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2" customHeight="1">
      <c r="A68" s="108"/>
      <c r="B68" s="108"/>
      <c r="C68" s="109"/>
      <c r="D68" s="109"/>
      <c r="E68" s="109"/>
      <c r="F68" s="109"/>
      <c r="G68" s="111"/>
      <c r="H68" s="111"/>
      <c r="I68" s="112"/>
      <c r="J68" s="112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2" customHeight="1">
      <c r="A69" s="108"/>
      <c r="B69" s="108"/>
      <c r="C69" s="109"/>
      <c r="D69" s="109"/>
      <c r="E69" s="109"/>
      <c r="F69" s="109"/>
      <c r="G69" s="111"/>
      <c r="H69" s="111"/>
      <c r="I69" s="112"/>
      <c r="J69" s="112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2" customHeight="1">
      <c r="A70" s="108"/>
      <c r="B70" s="108"/>
      <c r="C70" s="109"/>
      <c r="D70" s="109"/>
      <c r="E70" s="109"/>
      <c r="F70" s="109"/>
      <c r="G70" s="111"/>
      <c r="H70" s="111"/>
      <c r="I70" s="112"/>
      <c r="J70" s="112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2" customHeight="1">
      <c r="A71" s="108"/>
      <c r="B71" s="108"/>
      <c r="C71" s="109"/>
      <c r="D71" s="109"/>
      <c r="E71" s="109"/>
      <c r="F71" s="109"/>
      <c r="G71" s="111"/>
      <c r="H71" s="111"/>
      <c r="I71" s="112"/>
      <c r="J71" s="112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2" customHeight="1">
      <c r="A72" s="108"/>
      <c r="B72" s="108"/>
      <c r="C72" s="109"/>
      <c r="D72" s="109"/>
      <c r="E72" s="109"/>
      <c r="F72" s="109"/>
      <c r="G72" s="111"/>
      <c r="H72" s="111"/>
      <c r="I72" s="112"/>
      <c r="J72" s="112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2" customHeight="1">
      <c r="A73" s="108"/>
      <c r="B73" s="108"/>
      <c r="C73" s="109"/>
      <c r="D73" s="109"/>
      <c r="E73" s="109"/>
      <c r="F73" s="109"/>
      <c r="G73" s="111"/>
      <c r="H73" s="111"/>
      <c r="I73" s="112"/>
      <c r="J73" s="112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2" customHeight="1">
      <c r="A74" s="108"/>
      <c r="B74" s="108"/>
      <c r="C74" s="109"/>
      <c r="D74" s="109"/>
      <c r="E74" s="109"/>
      <c r="F74" s="109"/>
      <c r="G74" s="111"/>
      <c r="H74" s="111"/>
      <c r="I74" s="112"/>
      <c r="J74" s="112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2" customHeight="1">
      <c r="A75" s="108"/>
      <c r="B75" s="108"/>
      <c r="C75" s="109"/>
      <c r="D75" s="109"/>
      <c r="E75" s="109"/>
      <c r="F75" s="109"/>
      <c r="G75" s="111"/>
      <c r="H75" s="111"/>
      <c r="I75" s="112"/>
      <c r="J75" s="112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2" customHeight="1">
      <c r="A76" s="108"/>
      <c r="B76" s="108"/>
      <c r="C76" s="109"/>
      <c r="D76" s="109"/>
      <c r="E76" s="109"/>
      <c r="F76" s="109"/>
      <c r="G76" s="111"/>
      <c r="H76" s="111"/>
      <c r="I76" s="112"/>
      <c r="J76" s="112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2" customHeight="1">
      <c r="A77" s="108"/>
      <c r="B77" s="108"/>
      <c r="C77" s="109"/>
      <c r="D77" s="109"/>
      <c r="E77" s="109"/>
      <c r="F77" s="109"/>
      <c r="G77" s="111"/>
      <c r="H77" s="111"/>
      <c r="I77" s="112"/>
      <c r="J77" s="112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2" customHeight="1">
      <c r="A78" s="108"/>
      <c r="B78" s="108"/>
      <c r="C78" s="109"/>
      <c r="D78" s="109"/>
      <c r="E78" s="109"/>
      <c r="F78" s="109"/>
      <c r="G78" s="111"/>
      <c r="H78" s="111"/>
      <c r="I78" s="112"/>
      <c r="J78" s="112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2" customHeight="1">
      <c r="A79" s="108"/>
      <c r="B79" s="108"/>
      <c r="C79" s="109"/>
      <c r="D79" s="109"/>
      <c r="E79" s="109"/>
      <c r="F79" s="109"/>
      <c r="G79" s="111"/>
      <c r="H79" s="111"/>
      <c r="I79" s="112"/>
      <c r="J79" s="112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2" customHeight="1">
      <c r="A80" s="108"/>
      <c r="B80" s="108"/>
      <c r="C80" s="109"/>
      <c r="D80" s="109"/>
      <c r="E80" s="109"/>
      <c r="F80" s="109"/>
      <c r="G80" s="111"/>
      <c r="H80" s="111"/>
      <c r="I80" s="112"/>
      <c r="J80" s="112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2" customHeight="1">
      <c r="A81" s="108"/>
      <c r="B81" s="108"/>
      <c r="C81" s="109"/>
      <c r="D81" s="109"/>
      <c r="E81" s="109"/>
      <c r="F81" s="109"/>
      <c r="G81" s="111"/>
      <c r="H81" s="111"/>
      <c r="I81" s="112"/>
      <c r="J81" s="112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2" customHeight="1">
      <c r="A82" s="108"/>
      <c r="B82" s="108"/>
      <c r="C82" s="109"/>
      <c r="D82" s="109"/>
      <c r="E82" s="109"/>
      <c r="F82" s="109"/>
      <c r="G82" s="111"/>
      <c r="H82" s="111"/>
      <c r="I82" s="112"/>
      <c r="J82" s="112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2" customHeight="1">
      <c r="A83" s="108"/>
      <c r="B83" s="108"/>
      <c r="C83" s="109"/>
      <c r="D83" s="109"/>
      <c r="E83" s="109"/>
      <c r="F83" s="109"/>
      <c r="G83" s="111"/>
      <c r="H83" s="111"/>
      <c r="I83" s="112"/>
      <c r="J83" s="112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2" customHeight="1">
      <c r="A84" s="108"/>
      <c r="B84" s="108"/>
      <c r="C84" s="109"/>
      <c r="D84" s="109"/>
      <c r="E84" s="109"/>
      <c r="F84" s="109"/>
      <c r="G84" s="111"/>
      <c r="H84" s="111"/>
      <c r="I84" s="112"/>
      <c r="J84" s="112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2" customHeight="1">
      <c r="A85" s="108"/>
      <c r="B85" s="108"/>
      <c r="C85" s="109"/>
      <c r="D85" s="109"/>
      <c r="E85" s="109"/>
      <c r="F85" s="109"/>
      <c r="G85" s="111"/>
      <c r="H85" s="111"/>
      <c r="I85" s="112"/>
      <c r="J85" s="112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2" customHeight="1">
      <c r="A86" s="108"/>
      <c r="B86" s="108"/>
      <c r="C86" s="109"/>
      <c r="D86" s="109"/>
      <c r="E86" s="109"/>
      <c r="F86" s="109"/>
      <c r="G86" s="111"/>
      <c r="H86" s="111"/>
      <c r="I86" s="112"/>
      <c r="J86" s="112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2" customHeight="1">
      <c r="A87" s="108"/>
      <c r="B87" s="108"/>
      <c r="C87" s="109"/>
      <c r="D87" s="109"/>
      <c r="E87" s="109"/>
      <c r="F87" s="109"/>
      <c r="G87" s="111"/>
      <c r="H87" s="111"/>
      <c r="I87" s="112"/>
      <c r="J87" s="112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2" customHeight="1">
      <c r="A88" s="108"/>
      <c r="B88" s="108"/>
      <c r="C88" s="109"/>
      <c r="D88" s="109"/>
      <c r="E88" s="109"/>
      <c r="F88" s="109"/>
      <c r="G88" s="111"/>
      <c r="H88" s="111"/>
      <c r="I88" s="112"/>
      <c r="J88" s="112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2" customHeight="1">
      <c r="A89" s="108"/>
      <c r="B89" s="108"/>
      <c r="C89" s="109"/>
      <c r="D89" s="109"/>
      <c r="E89" s="109"/>
      <c r="F89" s="109"/>
      <c r="G89" s="111"/>
      <c r="H89" s="111"/>
      <c r="I89" s="112"/>
      <c r="J89" s="112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2" customHeight="1">
      <c r="A90" s="108"/>
      <c r="B90" s="108"/>
      <c r="C90" s="109"/>
      <c r="D90" s="109"/>
      <c r="E90" s="109"/>
      <c r="F90" s="109"/>
      <c r="G90" s="111"/>
      <c r="H90" s="111"/>
      <c r="I90" s="112"/>
      <c r="J90" s="112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2" customHeight="1">
      <c r="A91" s="108"/>
      <c r="B91" s="108"/>
      <c r="C91" s="109"/>
      <c r="D91" s="109"/>
      <c r="E91" s="109"/>
      <c r="F91" s="109"/>
      <c r="G91" s="111"/>
      <c r="H91" s="111"/>
      <c r="I91" s="112"/>
      <c r="J91" s="112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2" customHeight="1">
      <c r="A92" s="108"/>
      <c r="B92" s="108"/>
      <c r="C92" s="109"/>
      <c r="D92" s="109"/>
      <c r="E92" s="109"/>
      <c r="F92" s="109"/>
      <c r="G92" s="111"/>
      <c r="H92" s="111"/>
      <c r="I92" s="112"/>
      <c r="J92" s="112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2" customHeight="1">
      <c r="A93" s="108"/>
      <c r="B93" s="108"/>
      <c r="C93" s="109"/>
      <c r="D93" s="109"/>
      <c r="E93" s="109"/>
      <c r="F93" s="109"/>
      <c r="G93" s="111"/>
      <c r="H93" s="111"/>
      <c r="I93" s="112"/>
      <c r="J93" s="112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2" customHeight="1">
      <c r="A94" s="108"/>
      <c r="B94" s="108"/>
      <c r="C94" s="109"/>
      <c r="D94" s="109"/>
      <c r="E94" s="109"/>
      <c r="F94" s="109"/>
      <c r="G94" s="111"/>
      <c r="H94" s="111"/>
      <c r="I94" s="112"/>
      <c r="J94" s="112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2" customHeight="1">
      <c r="A95" s="108"/>
      <c r="B95" s="108"/>
      <c r="C95" s="109"/>
      <c r="D95" s="109"/>
      <c r="E95" s="109"/>
      <c r="F95" s="109"/>
      <c r="G95" s="111"/>
      <c r="H95" s="111"/>
      <c r="I95" s="112"/>
      <c r="J95" s="112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2" customHeight="1">
      <c r="A96" s="108"/>
      <c r="B96" s="108"/>
      <c r="C96" s="109"/>
      <c r="D96" s="109"/>
      <c r="E96" s="109"/>
      <c r="F96" s="109"/>
      <c r="G96" s="111"/>
      <c r="H96" s="111"/>
      <c r="I96" s="112"/>
      <c r="J96" s="112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2" customHeight="1">
      <c r="A97" s="108"/>
      <c r="B97" s="108"/>
      <c r="C97" s="109"/>
      <c r="D97" s="109"/>
      <c r="E97" s="109"/>
      <c r="F97" s="109"/>
      <c r="G97" s="111"/>
      <c r="H97" s="111"/>
      <c r="I97" s="112"/>
      <c r="J97" s="112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2" customHeight="1">
      <c r="A98" s="108"/>
      <c r="B98" s="108"/>
      <c r="C98" s="109"/>
      <c r="D98" s="109"/>
      <c r="E98" s="109"/>
      <c r="F98" s="109"/>
      <c r="G98" s="111"/>
      <c r="H98" s="111"/>
      <c r="I98" s="112"/>
      <c r="J98" s="112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2" customHeight="1">
      <c r="A99" s="108"/>
      <c r="B99" s="108"/>
      <c r="C99" s="109"/>
      <c r="D99" s="109"/>
      <c r="E99" s="109"/>
      <c r="F99" s="109"/>
      <c r="G99" s="111"/>
      <c r="H99" s="111"/>
      <c r="I99" s="112"/>
      <c r="J99" s="112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2" customHeight="1">
      <c r="A100" s="108"/>
      <c r="B100" s="108"/>
      <c r="C100" s="109"/>
      <c r="D100" s="109"/>
      <c r="E100" s="109"/>
      <c r="F100" s="109"/>
      <c r="G100" s="111"/>
      <c r="H100" s="111"/>
      <c r="I100" s="112"/>
      <c r="J100" s="112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2" customHeight="1">
      <c r="A101" s="108"/>
      <c r="B101" s="108"/>
      <c r="C101" s="109"/>
      <c r="D101" s="109"/>
      <c r="E101" s="109"/>
      <c r="F101" s="109"/>
      <c r="G101" s="111"/>
      <c r="H101" s="111"/>
      <c r="I101" s="112"/>
      <c r="J101" s="112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2" customHeight="1">
      <c r="A102" s="108"/>
      <c r="B102" s="108"/>
      <c r="C102" s="109"/>
      <c r="D102" s="109"/>
      <c r="E102" s="109"/>
      <c r="F102" s="109"/>
      <c r="G102" s="111"/>
      <c r="H102" s="111"/>
      <c r="I102" s="112"/>
      <c r="J102" s="112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2" customHeight="1">
      <c r="A103" s="108"/>
      <c r="B103" s="108"/>
      <c r="C103" s="109"/>
      <c r="D103" s="109"/>
      <c r="E103" s="109"/>
      <c r="F103" s="109"/>
      <c r="G103" s="111"/>
      <c r="H103" s="111"/>
      <c r="I103" s="112"/>
      <c r="J103" s="112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spans="1:26" ht="12" customHeight="1">
      <c r="A104" s="108"/>
      <c r="B104" s="108"/>
      <c r="C104" s="109"/>
      <c r="D104" s="109"/>
      <c r="E104" s="109"/>
      <c r="F104" s="109"/>
      <c r="G104" s="111"/>
      <c r="H104" s="111"/>
      <c r="I104" s="112"/>
      <c r="J104" s="112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spans="1:26" ht="12" customHeight="1">
      <c r="A105" s="108"/>
      <c r="B105" s="108"/>
      <c r="C105" s="109"/>
      <c r="D105" s="109"/>
      <c r="E105" s="109"/>
      <c r="F105" s="109"/>
      <c r="G105" s="111"/>
      <c r="H105" s="111"/>
      <c r="I105" s="112"/>
      <c r="J105" s="112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spans="1:26" ht="12" customHeight="1">
      <c r="A106" s="108"/>
      <c r="B106" s="108"/>
      <c r="C106" s="109"/>
      <c r="D106" s="109"/>
      <c r="E106" s="109"/>
      <c r="F106" s="109"/>
      <c r="G106" s="111"/>
      <c r="H106" s="111"/>
      <c r="I106" s="112"/>
      <c r="J106" s="112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spans="1:26" ht="12" customHeight="1">
      <c r="A107" s="108"/>
      <c r="B107" s="108"/>
      <c r="C107" s="109"/>
      <c r="D107" s="109"/>
      <c r="E107" s="109"/>
      <c r="F107" s="109"/>
      <c r="G107" s="111"/>
      <c r="H107" s="111"/>
      <c r="I107" s="112"/>
      <c r="J107" s="112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spans="1:26" ht="12" customHeight="1">
      <c r="A108" s="108"/>
      <c r="B108" s="108"/>
      <c r="C108" s="109"/>
      <c r="D108" s="109"/>
      <c r="E108" s="109"/>
      <c r="F108" s="109"/>
      <c r="G108" s="111"/>
      <c r="H108" s="111"/>
      <c r="I108" s="112"/>
      <c r="J108" s="112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spans="1:26" ht="12" customHeight="1">
      <c r="A109" s="108"/>
      <c r="B109" s="108"/>
      <c r="C109" s="109"/>
      <c r="D109" s="109"/>
      <c r="E109" s="109"/>
      <c r="F109" s="109"/>
      <c r="G109" s="111"/>
      <c r="H109" s="111"/>
      <c r="I109" s="112"/>
      <c r="J109" s="112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spans="1:26" ht="12" customHeight="1">
      <c r="A110" s="108"/>
      <c r="B110" s="108"/>
      <c r="C110" s="109"/>
      <c r="D110" s="109"/>
      <c r="E110" s="109"/>
      <c r="F110" s="109"/>
      <c r="G110" s="111"/>
      <c r="H110" s="111"/>
      <c r="I110" s="112"/>
      <c r="J110" s="112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spans="1:26" ht="12" customHeight="1">
      <c r="A111" s="108"/>
      <c r="B111" s="108"/>
      <c r="C111" s="109"/>
      <c r="D111" s="109"/>
      <c r="E111" s="109"/>
      <c r="F111" s="109"/>
      <c r="G111" s="111"/>
      <c r="H111" s="111"/>
      <c r="I111" s="112"/>
      <c r="J111" s="112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spans="1:26" ht="12" customHeight="1">
      <c r="A112" s="108"/>
      <c r="B112" s="108"/>
      <c r="C112" s="109"/>
      <c r="D112" s="109"/>
      <c r="E112" s="109"/>
      <c r="F112" s="109"/>
      <c r="G112" s="111"/>
      <c r="H112" s="111"/>
      <c r="I112" s="112"/>
      <c r="J112" s="112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spans="1:26" ht="12" customHeight="1">
      <c r="A113" s="108"/>
      <c r="B113" s="108"/>
      <c r="C113" s="109"/>
      <c r="D113" s="109"/>
      <c r="E113" s="109"/>
      <c r="F113" s="109"/>
      <c r="G113" s="111"/>
      <c r="H113" s="111"/>
      <c r="I113" s="112"/>
      <c r="J113" s="112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spans="1:26" ht="12" customHeight="1">
      <c r="A114" s="108"/>
      <c r="B114" s="108"/>
      <c r="C114" s="109"/>
      <c r="D114" s="109"/>
      <c r="E114" s="109"/>
      <c r="F114" s="109"/>
      <c r="G114" s="111"/>
      <c r="H114" s="111"/>
      <c r="I114" s="112"/>
      <c r="J114" s="112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spans="1:26" ht="12" customHeight="1">
      <c r="A115" s="108"/>
      <c r="B115" s="108"/>
      <c r="C115" s="109"/>
      <c r="D115" s="109"/>
      <c r="E115" s="109"/>
      <c r="F115" s="109"/>
      <c r="G115" s="111"/>
      <c r="H115" s="111"/>
      <c r="I115" s="112"/>
      <c r="J115" s="112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spans="1:26" ht="12" customHeight="1">
      <c r="A116" s="108"/>
      <c r="B116" s="108"/>
      <c r="C116" s="109"/>
      <c r="D116" s="109"/>
      <c r="E116" s="109"/>
      <c r="F116" s="109"/>
      <c r="G116" s="111"/>
      <c r="H116" s="111"/>
      <c r="I116" s="112"/>
      <c r="J116" s="112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spans="1:26" ht="12" customHeight="1">
      <c r="A117" s="108"/>
      <c r="B117" s="108"/>
      <c r="C117" s="109"/>
      <c r="D117" s="109"/>
      <c r="E117" s="109"/>
      <c r="F117" s="109"/>
      <c r="G117" s="111"/>
      <c r="H117" s="111"/>
      <c r="I117" s="112"/>
      <c r="J117" s="112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spans="1:26" ht="12" customHeight="1">
      <c r="A118" s="108"/>
      <c r="B118" s="108"/>
      <c r="C118" s="109"/>
      <c r="D118" s="109"/>
      <c r="E118" s="109"/>
      <c r="F118" s="109"/>
      <c r="G118" s="111"/>
      <c r="H118" s="111"/>
      <c r="I118" s="112"/>
      <c r="J118" s="112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spans="1:26" ht="12" customHeight="1">
      <c r="A119" s="108"/>
      <c r="B119" s="108"/>
      <c r="C119" s="109"/>
      <c r="D119" s="109"/>
      <c r="E119" s="109"/>
      <c r="F119" s="109"/>
      <c r="G119" s="111"/>
      <c r="H119" s="111"/>
      <c r="I119" s="112"/>
      <c r="J119" s="112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spans="1:26" ht="12" customHeight="1">
      <c r="A120" s="108"/>
      <c r="B120" s="108"/>
      <c r="C120" s="109"/>
      <c r="D120" s="109"/>
      <c r="E120" s="109"/>
      <c r="F120" s="109"/>
      <c r="G120" s="111"/>
      <c r="H120" s="111"/>
      <c r="I120" s="112"/>
      <c r="J120" s="112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spans="1:26" ht="12" customHeight="1">
      <c r="A121" s="108"/>
      <c r="B121" s="108"/>
      <c r="C121" s="109"/>
      <c r="D121" s="109"/>
      <c r="E121" s="109"/>
      <c r="F121" s="109"/>
      <c r="G121" s="111"/>
      <c r="H121" s="111"/>
      <c r="I121" s="112"/>
      <c r="J121" s="112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spans="1:26" ht="12" customHeight="1">
      <c r="A122" s="108"/>
      <c r="B122" s="108"/>
      <c r="C122" s="109"/>
      <c r="D122" s="109"/>
      <c r="E122" s="109"/>
      <c r="F122" s="109"/>
      <c r="G122" s="111"/>
      <c r="H122" s="111"/>
      <c r="I122" s="112"/>
      <c r="J122" s="112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spans="1:26" ht="12" customHeight="1">
      <c r="A123" s="108"/>
      <c r="B123" s="108"/>
      <c r="C123" s="109"/>
      <c r="D123" s="109"/>
      <c r="E123" s="109"/>
      <c r="F123" s="109"/>
      <c r="G123" s="111"/>
      <c r="H123" s="111"/>
      <c r="I123" s="112"/>
      <c r="J123" s="112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spans="1:26" ht="12" customHeight="1">
      <c r="A124" s="108"/>
      <c r="B124" s="108"/>
      <c r="C124" s="109"/>
      <c r="D124" s="109"/>
      <c r="E124" s="109"/>
      <c r="F124" s="109"/>
      <c r="G124" s="111"/>
      <c r="H124" s="111"/>
      <c r="I124" s="112"/>
      <c r="J124" s="112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spans="1:26" ht="12" customHeight="1">
      <c r="A125" s="108"/>
      <c r="B125" s="108"/>
      <c r="C125" s="109"/>
      <c r="D125" s="109"/>
      <c r="E125" s="109"/>
      <c r="F125" s="109"/>
      <c r="G125" s="111"/>
      <c r="H125" s="111"/>
      <c r="I125" s="112"/>
      <c r="J125" s="112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spans="1:26" ht="12" customHeight="1">
      <c r="A126" s="108"/>
      <c r="B126" s="108"/>
      <c r="C126" s="109"/>
      <c r="D126" s="109"/>
      <c r="E126" s="109"/>
      <c r="F126" s="109"/>
      <c r="G126" s="111"/>
      <c r="H126" s="111"/>
      <c r="I126" s="112"/>
      <c r="J126" s="112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spans="1:26" ht="12" customHeight="1">
      <c r="A127" s="108"/>
      <c r="B127" s="108"/>
      <c r="C127" s="109"/>
      <c r="D127" s="109"/>
      <c r="E127" s="109"/>
      <c r="F127" s="109"/>
      <c r="G127" s="111"/>
      <c r="H127" s="111"/>
      <c r="I127" s="112"/>
      <c r="J127" s="112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spans="1:26" ht="12" customHeight="1">
      <c r="A128" s="108"/>
      <c r="B128" s="108"/>
      <c r="C128" s="109"/>
      <c r="D128" s="109"/>
      <c r="E128" s="109"/>
      <c r="F128" s="109"/>
      <c r="G128" s="111"/>
      <c r="H128" s="111"/>
      <c r="I128" s="112"/>
      <c r="J128" s="112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spans="1:26" ht="12" customHeight="1">
      <c r="A129" s="108"/>
      <c r="B129" s="108"/>
      <c r="C129" s="109"/>
      <c r="D129" s="109"/>
      <c r="E129" s="109"/>
      <c r="F129" s="109"/>
      <c r="G129" s="111"/>
      <c r="H129" s="111"/>
      <c r="I129" s="112"/>
      <c r="J129" s="112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spans="1:26" ht="12" customHeight="1">
      <c r="A130" s="108"/>
      <c r="B130" s="108"/>
      <c r="C130" s="109"/>
      <c r="D130" s="109"/>
      <c r="E130" s="109"/>
      <c r="F130" s="109"/>
      <c r="G130" s="111"/>
      <c r="H130" s="111"/>
      <c r="I130" s="112"/>
      <c r="J130" s="112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spans="1:26" ht="12" customHeight="1">
      <c r="A131" s="108"/>
      <c r="B131" s="108"/>
      <c r="C131" s="109"/>
      <c r="D131" s="109"/>
      <c r="E131" s="109"/>
      <c r="F131" s="109"/>
      <c r="G131" s="111"/>
      <c r="H131" s="111"/>
      <c r="I131" s="112"/>
      <c r="J131" s="112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spans="1:26" ht="12" customHeight="1">
      <c r="A132" s="108"/>
      <c r="B132" s="108"/>
      <c r="C132" s="109"/>
      <c r="D132" s="109"/>
      <c r="E132" s="109"/>
      <c r="F132" s="109"/>
      <c r="G132" s="111"/>
      <c r="H132" s="111"/>
      <c r="I132" s="112"/>
      <c r="J132" s="112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spans="1:26" ht="12" customHeight="1">
      <c r="A133" s="108"/>
      <c r="B133" s="108"/>
      <c r="C133" s="109"/>
      <c r="D133" s="109"/>
      <c r="E133" s="109"/>
      <c r="F133" s="109"/>
      <c r="G133" s="111"/>
      <c r="H133" s="111"/>
      <c r="I133" s="112"/>
      <c r="J133" s="112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spans="1:26" ht="12" customHeight="1">
      <c r="A134" s="108"/>
      <c r="B134" s="108"/>
      <c r="C134" s="109"/>
      <c r="D134" s="109"/>
      <c r="E134" s="109"/>
      <c r="F134" s="109"/>
      <c r="G134" s="111"/>
      <c r="H134" s="111"/>
      <c r="I134" s="112"/>
      <c r="J134" s="112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spans="1:26" ht="12" customHeight="1">
      <c r="A135" s="108"/>
      <c r="B135" s="108"/>
      <c r="C135" s="109"/>
      <c r="D135" s="109"/>
      <c r="E135" s="109"/>
      <c r="F135" s="109"/>
      <c r="G135" s="111"/>
      <c r="H135" s="111"/>
      <c r="I135" s="112"/>
      <c r="J135" s="112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spans="1:26" ht="12" customHeight="1">
      <c r="A136" s="108"/>
      <c r="B136" s="108"/>
      <c r="C136" s="109"/>
      <c r="D136" s="109"/>
      <c r="E136" s="109"/>
      <c r="F136" s="109"/>
      <c r="G136" s="111"/>
      <c r="H136" s="111"/>
      <c r="I136" s="112"/>
      <c r="J136" s="112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spans="1:26" ht="12" customHeight="1">
      <c r="A137" s="108"/>
      <c r="B137" s="108"/>
      <c r="C137" s="109"/>
      <c r="D137" s="109"/>
      <c r="E137" s="109"/>
      <c r="F137" s="109"/>
      <c r="G137" s="111"/>
      <c r="H137" s="111"/>
      <c r="I137" s="112"/>
      <c r="J137" s="112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spans="1:26" ht="12" customHeight="1">
      <c r="A138" s="108"/>
      <c r="B138" s="108"/>
      <c r="C138" s="109"/>
      <c r="D138" s="109"/>
      <c r="E138" s="109"/>
      <c r="F138" s="109"/>
      <c r="G138" s="111"/>
      <c r="H138" s="111"/>
      <c r="I138" s="112"/>
      <c r="J138" s="112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spans="1:26" ht="12" customHeight="1">
      <c r="A139" s="108"/>
      <c r="B139" s="108"/>
      <c r="C139" s="109"/>
      <c r="D139" s="109"/>
      <c r="E139" s="109"/>
      <c r="F139" s="109"/>
      <c r="G139" s="111"/>
      <c r="H139" s="111"/>
      <c r="I139" s="112"/>
      <c r="J139" s="112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spans="1:26" ht="12" customHeight="1">
      <c r="A140" s="108"/>
      <c r="B140" s="108"/>
      <c r="C140" s="109"/>
      <c r="D140" s="109"/>
      <c r="E140" s="109"/>
      <c r="F140" s="109"/>
      <c r="G140" s="111"/>
      <c r="H140" s="111"/>
      <c r="I140" s="112"/>
      <c r="J140" s="112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spans="1:26" ht="12" customHeight="1">
      <c r="A141" s="108"/>
      <c r="B141" s="108"/>
      <c r="C141" s="109"/>
      <c r="D141" s="109"/>
      <c r="E141" s="109"/>
      <c r="F141" s="109"/>
      <c r="G141" s="111"/>
      <c r="H141" s="111"/>
      <c r="I141" s="112"/>
      <c r="J141" s="112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spans="1:26" ht="12" customHeight="1">
      <c r="A142" s="108"/>
      <c r="B142" s="108"/>
      <c r="C142" s="109"/>
      <c r="D142" s="109"/>
      <c r="E142" s="109"/>
      <c r="F142" s="109"/>
      <c r="G142" s="111"/>
      <c r="H142" s="111"/>
      <c r="I142" s="112"/>
      <c r="J142" s="112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spans="1:26" ht="12" customHeight="1">
      <c r="A143" s="108"/>
      <c r="B143" s="108"/>
      <c r="C143" s="109"/>
      <c r="D143" s="109"/>
      <c r="E143" s="109"/>
      <c r="F143" s="109"/>
      <c r="G143" s="111"/>
      <c r="H143" s="111"/>
      <c r="I143" s="112"/>
      <c r="J143" s="112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spans="1:26" ht="12" customHeight="1">
      <c r="A144" s="108"/>
      <c r="B144" s="108"/>
      <c r="C144" s="109"/>
      <c r="D144" s="109"/>
      <c r="E144" s="109"/>
      <c r="F144" s="109"/>
      <c r="G144" s="111"/>
      <c r="H144" s="111"/>
      <c r="I144" s="112"/>
      <c r="J144" s="112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spans="1:26" ht="12" customHeight="1">
      <c r="A145" s="108"/>
      <c r="B145" s="108"/>
      <c r="C145" s="109"/>
      <c r="D145" s="109"/>
      <c r="E145" s="109"/>
      <c r="F145" s="109"/>
      <c r="G145" s="111"/>
      <c r="H145" s="111"/>
      <c r="I145" s="112"/>
      <c r="J145" s="112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spans="1:26" ht="12" customHeight="1">
      <c r="A146" s="108"/>
      <c r="B146" s="108"/>
      <c r="C146" s="109"/>
      <c r="D146" s="109"/>
      <c r="E146" s="109"/>
      <c r="F146" s="109"/>
      <c r="G146" s="111"/>
      <c r="H146" s="111"/>
      <c r="I146" s="112"/>
      <c r="J146" s="112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spans="1:26" ht="12" customHeight="1">
      <c r="A147" s="108"/>
      <c r="B147" s="108"/>
      <c r="C147" s="109"/>
      <c r="D147" s="109"/>
      <c r="E147" s="109"/>
      <c r="F147" s="109"/>
      <c r="G147" s="111"/>
      <c r="H147" s="111"/>
      <c r="I147" s="112"/>
      <c r="J147" s="112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spans="1:26" ht="12" customHeight="1">
      <c r="A148" s="108"/>
      <c r="B148" s="108"/>
      <c r="C148" s="109"/>
      <c r="D148" s="109"/>
      <c r="E148" s="109"/>
      <c r="F148" s="109"/>
      <c r="G148" s="111"/>
      <c r="H148" s="111"/>
      <c r="I148" s="112"/>
      <c r="J148" s="112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spans="1:26" ht="12" customHeight="1">
      <c r="A149" s="108"/>
      <c r="B149" s="108"/>
      <c r="C149" s="109"/>
      <c r="D149" s="109"/>
      <c r="E149" s="109"/>
      <c r="F149" s="109"/>
      <c r="G149" s="111"/>
      <c r="H149" s="111"/>
      <c r="I149" s="112"/>
      <c r="J149" s="112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spans="1:26" ht="12" customHeight="1">
      <c r="A150" s="108"/>
      <c r="B150" s="108"/>
      <c r="C150" s="109"/>
      <c r="D150" s="109"/>
      <c r="E150" s="109"/>
      <c r="F150" s="109"/>
      <c r="G150" s="111"/>
      <c r="H150" s="111"/>
      <c r="I150" s="112"/>
      <c r="J150" s="112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spans="1:26" ht="12" customHeight="1">
      <c r="A151" s="108"/>
      <c r="B151" s="108"/>
      <c r="C151" s="109"/>
      <c r="D151" s="109"/>
      <c r="E151" s="109"/>
      <c r="F151" s="109"/>
      <c r="G151" s="111"/>
      <c r="H151" s="111"/>
      <c r="I151" s="112"/>
      <c r="J151" s="112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spans="1:26" ht="12" customHeight="1">
      <c r="A152" s="108"/>
      <c r="B152" s="108"/>
      <c r="C152" s="109"/>
      <c r="D152" s="109"/>
      <c r="E152" s="109"/>
      <c r="F152" s="109"/>
      <c r="G152" s="111"/>
      <c r="H152" s="111"/>
      <c r="I152" s="112"/>
      <c r="J152" s="112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spans="1:26" ht="12" customHeight="1">
      <c r="A153" s="108"/>
      <c r="B153" s="108"/>
      <c r="C153" s="109"/>
      <c r="D153" s="109"/>
      <c r="E153" s="109"/>
      <c r="F153" s="109"/>
      <c r="G153" s="111"/>
      <c r="H153" s="111"/>
      <c r="I153" s="112"/>
      <c r="J153" s="112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spans="1:26" ht="12" customHeight="1">
      <c r="A154" s="108"/>
      <c r="B154" s="108"/>
      <c r="C154" s="109"/>
      <c r="D154" s="109"/>
      <c r="E154" s="109"/>
      <c r="F154" s="109"/>
      <c r="G154" s="111"/>
      <c r="H154" s="111"/>
      <c r="I154" s="112"/>
      <c r="J154" s="112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spans="1:26" ht="12" customHeight="1">
      <c r="A155" s="108"/>
      <c r="B155" s="108"/>
      <c r="C155" s="109"/>
      <c r="D155" s="109"/>
      <c r="E155" s="109"/>
      <c r="F155" s="109"/>
      <c r="G155" s="111"/>
      <c r="H155" s="111"/>
      <c r="I155" s="112"/>
      <c r="J155" s="112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spans="1:26" ht="12" customHeight="1">
      <c r="A156" s="108"/>
      <c r="B156" s="108"/>
      <c r="C156" s="109"/>
      <c r="D156" s="109"/>
      <c r="E156" s="109"/>
      <c r="F156" s="109"/>
      <c r="G156" s="111"/>
      <c r="H156" s="111"/>
      <c r="I156" s="112"/>
      <c r="J156" s="112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spans="1:26" ht="12" customHeight="1">
      <c r="A157" s="108"/>
      <c r="B157" s="108"/>
      <c r="C157" s="109"/>
      <c r="D157" s="109"/>
      <c r="E157" s="109"/>
      <c r="F157" s="109"/>
      <c r="G157" s="111"/>
      <c r="H157" s="111"/>
      <c r="I157" s="112"/>
      <c r="J157" s="112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spans="1:26" ht="12" customHeight="1">
      <c r="A158" s="108"/>
      <c r="B158" s="108"/>
      <c r="C158" s="109"/>
      <c r="D158" s="109"/>
      <c r="E158" s="109"/>
      <c r="F158" s="109"/>
      <c r="G158" s="111"/>
      <c r="H158" s="111"/>
      <c r="I158" s="112"/>
      <c r="J158" s="112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spans="1:26" ht="12" customHeight="1">
      <c r="A159" s="108"/>
      <c r="B159" s="108"/>
      <c r="C159" s="109"/>
      <c r="D159" s="109"/>
      <c r="E159" s="109"/>
      <c r="F159" s="109"/>
      <c r="G159" s="111"/>
      <c r="H159" s="111"/>
      <c r="I159" s="112"/>
      <c r="J159" s="112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spans="1:26" ht="12" customHeight="1">
      <c r="A160" s="108"/>
      <c r="B160" s="108"/>
      <c r="C160" s="109"/>
      <c r="D160" s="109"/>
      <c r="E160" s="109"/>
      <c r="F160" s="109"/>
      <c r="G160" s="111"/>
      <c r="H160" s="111"/>
      <c r="I160" s="112"/>
      <c r="J160" s="112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spans="1:26" ht="12" customHeight="1">
      <c r="A161" s="108"/>
      <c r="B161" s="108"/>
      <c r="C161" s="109"/>
      <c r="D161" s="109"/>
      <c r="E161" s="109"/>
      <c r="F161" s="109"/>
      <c r="G161" s="111"/>
      <c r="H161" s="111"/>
      <c r="I161" s="112"/>
      <c r="J161" s="112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spans="1:26" ht="12" customHeight="1">
      <c r="A162" s="108"/>
      <c r="B162" s="108"/>
      <c r="C162" s="109"/>
      <c r="D162" s="109"/>
      <c r="E162" s="109"/>
      <c r="F162" s="109"/>
      <c r="G162" s="111"/>
      <c r="H162" s="111"/>
      <c r="I162" s="112"/>
      <c r="J162" s="112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spans="1:26" ht="12" customHeight="1">
      <c r="A163" s="108"/>
      <c r="B163" s="108"/>
      <c r="C163" s="109"/>
      <c r="D163" s="109"/>
      <c r="E163" s="109"/>
      <c r="F163" s="109"/>
      <c r="G163" s="111"/>
      <c r="H163" s="111"/>
      <c r="I163" s="112"/>
      <c r="J163" s="112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spans="1:26" ht="12" customHeight="1">
      <c r="A164" s="108"/>
      <c r="B164" s="108"/>
      <c r="C164" s="109"/>
      <c r="D164" s="109"/>
      <c r="E164" s="109"/>
      <c r="F164" s="109"/>
      <c r="G164" s="111"/>
      <c r="H164" s="111"/>
      <c r="I164" s="112"/>
      <c r="J164" s="112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spans="1:26" ht="12" customHeight="1">
      <c r="A165" s="108"/>
      <c r="B165" s="108"/>
      <c r="C165" s="109"/>
      <c r="D165" s="109"/>
      <c r="E165" s="109"/>
      <c r="F165" s="109"/>
      <c r="G165" s="111"/>
      <c r="H165" s="111"/>
      <c r="I165" s="112"/>
      <c r="J165" s="112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spans="1:26" ht="12" customHeight="1">
      <c r="A166" s="108"/>
      <c r="B166" s="108"/>
      <c r="C166" s="109"/>
      <c r="D166" s="109"/>
      <c r="E166" s="109"/>
      <c r="F166" s="109"/>
      <c r="G166" s="111"/>
      <c r="H166" s="111"/>
      <c r="I166" s="112"/>
      <c r="J166" s="112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spans="1:26" ht="12" customHeight="1">
      <c r="A167" s="108"/>
      <c r="B167" s="108"/>
      <c r="C167" s="109"/>
      <c r="D167" s="109"/>
      <c r="E167" s="109"/>
      <c r="F167" s="109"/>
      <c r="G167" s="111"/>
      <c r="H167" s="111"/>
      <c r="I167" s="112"/>
      <c r="J167" s="112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spans="1:26" ht="12" customHeight="1">
      <c r="A168" s="108"/>
      <c r="B168" s="108"/>
      <c r="C168" s="109"/>
      <c r="D168" s="109"/>
      <c r="E168" s="109"/>
      <c r="F168" s="109"/>
      <c r="G168" s="111"/>
      <c r="H168" s="111"/>
      <c r="I168" s="112"/>
      <c r="J168" s="112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spans="1:26" ht="12" customHeight="1">
      <c r="A169" s="108"/>
      <c r="B169" s="108"/>
      <c r="C169" s="109"/>
      <c r="D169" s="109"/>
      <c r="E169" s="109"/>
      <c r="F169" s="109"/>
      <c r="G169" s="111"/>
      <c r="H169" s="111"/>
      <c r="I169" s="112"/>
      <c r="J169" s="112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spans="1:26" ht="12" customHeight="1">
      <c r="A170" s="108"/>
      <c r="B170" s="108"/>
      <c r="C170" s="109"/>
      <c r="D170" s="109"/>
      <c r="E170" s="109"/>
      <c r="F170" s="109"/>
      <c r="G170" s="111"/>
      <c r="H170" s="111"/>
      <c r="I170" s="112"/>
      <c r="J170" s="112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spans="1:26" ht="12" customHeight="1">
      <c r="A171" s="108"/>
      <c r="B171" s="108"/>
      <c r="C171" s="109"/>
      <c r="D171" s="109"/>
      <c r="E171" s="109"/>
      <c r="F171" s="109"/>
      <c r="G171" s="111"/>
      <c r="H171" s="111"/>
      <c r="I171" s="112"/>
      <c r="J171" s="112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spans="1:26" ht="12" customHeight="1">
      <c r="A172" s="108"/>
      <c r="B172" s="108"/>
      <c r="C172" s="109"/>
      <c r="D172" s="109"/>
      <c r="E172" s="109"/>
      <c r="F172" s="109"/>
      <c r="G172" s="111"/>
      <c r="H172" s="111"/>
      <c r="I172" s="112"/>
      <c r="J172" s="112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spans="1:26" ht="12" customHeight="1">
      <c r="A173" s="108"/>
      <c r="B173" s="108"/>
      <c r="C173" s="109"/>
      <c r="D173" s="109"/>
      <c r="E173" s="109"/>
      <c r="F173" s="109"/>
      <c r="G173" s="111"/>
      <c r="H173" s="111"/>
      <c r="I173" s="112"/>
      <c r="J173" s="112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spans="1:26" ht="12" customHeight="1">
      <c r="A174" s="108"/>
      <c r="B174" s="108"/>
      <c r="C174" s="109"/>
      <c r="D174" s="109"/>
      <c r="E174" s="109"/>
      <c r="F174" s="109"/>
      <c r="G174" s="111"/>
      <c r="H174" s="111"/>
      <c r="I174" s="112"/>
      <c r="J174" s="112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spans="1:26" ht="12" customHeight="1">
      <c r="A175" s="108"/>
      <c r="B175" s="108"/>
      <c r="C175" s="109"/>
      <c r="D175" s="109"/>
      <c r="E175" s="109"/>
      <c r="F175" s="109"/>
      <c r="G175" s="111"/>
      <c r="H175" s="111"/>
      <c r="I175" s="112"/>
      <c r="J175" s="112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spans="1:26" ht="12" customHeight="1">
      <c r="A176" s="108"/>
      <c r="B176" s="108"/>
      <c r="C176" s="109"/>
      <c r="D176" s="109"/>
      <c r="E176" s="109"/>
      <c r="F176" s="109"/>
      <c r="G176" s="111"/>
      <c r="H176" s="111"/>
      <c r="I176" s="112"/>
      <c r="J176" s="112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spans="1:26" ht="12" customHeight="1">
      <c r="A177" s="108"/>
      <c r="B177" s="108"/>
      <c r="C177" s="109"/>
      <c r="D177" s="109"/>
      <c r="E177" s="109"/>
      <c r="F177" s="109"/>
      <c r="G177" s="111"/>
      <c r="H177" s="111"/>
      <c r="I177" s="112"/>
      <c r="J177" s="112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spans="1:26" ht="12" customHeight="1">
      <c r="A178" s="108"/>
      <c r="B178" s="108"/>
      <c r="C178" s="109"/>
      <c r="D178" s="109"/>
      <c r="E178" s="109"/>
      <c r="F178" s="109"/>
      <c r="G178" s="111"/>
      <c r="H178" s="111"/>
      <c r="I178" s="112"/>
      <c r="J178" s="112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spans="1:26" ht="12" customHeight="1">
      <c r="A179" s="108"/>
      <c r="B179" s="108"/>
      <c r="C179" s="109"/>
      <c r="D179" s="109"/>
      <c r="E179" s="109"/>
      <c r="F179" s="109"/>
      <c r="G179" s="111"/>
      <c r="H179" s="111"/>
      <c r="I179" s="112"/>
      <c r="J179" s="112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spans="1:26" ht="12" customHeight="1">
      <c r="A180" s="108"/>
      <c r="B180" s="108"/>
      <c r="C180" s="109"/>
      <c r="D180" s="109"/>
      <c r="E180" s="109"/>
      <c r="F180" s="109"/>
      <c r="G180" s="111"/>
      <c r="H180" s="111"/>
      <c r="I180" s="112"/>
      <c r="J180" s="112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spans="1:26" ht="12" customHeight="1">
      <c r="A181" s="108"/>
      <c r="B181" s="108"/>
      <c r="C181" s="109"/>
      <c r="D181" s="109"/>
      <c r="E181" s="109"/>
      <c r="F181" s="109"/>
      <c r="G181" s="111"/>
      <c r="H181" s="111"/>
      <c r="I181" s="112"/>
      <c r="J181" s="112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spans="1:26" ht="12" customHeight="1">
      <c r="A182" s="108"/>
      <c r="B182" s="108"/>
      <c r="C182" s="109"/>
      <c r="D182" s="109"/>
      <c r="E182" s="109"/>
      <c r="F182" s="109"/>
      <c r="G182" s="111"/>
      <c r="H182" s="111"/>
      <c r="I182" s="112"/>
      <c r="J182" s="112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spans="1:26" ht="12" customHeight="1">
      <c r="A183" s="108"/>
      <c r="B183" s="108"/>
      <c r="C183" s="109"/>
      <c r="D183" s="109"/>
      <c r="E183" s="109"/>
      <c r="F183" s="109"/>
      <c r="G183" s="111"/>
      <c r="H183" s="111"/>
      <c r="I183" s="112"/>
      <c r="J183" s="112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spans="1:26" ht="12" customHeight="1">
      <c r="A184" s="108"/>
      <c r="B184" s="108"/>
      <c r="C184" s="109"/>
      <c r="D184" s="109"/>
      <c r="E184" s="109"/>
      <c r="F184" s="109"/>
      <c r="G184" s="111"/>
      <c r="H184" s="111"/>
      <c r="I184" s="112"/>
      <c r="J184" s="112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spans="1:26" ht="12" customHeight="1">
      <c r="A185" s="108"/>
      <c r="B185" s="108"/>
      <c r="C185" s="109"/>
      <c r="D185" s="109"/>
      <c r="E185" s="109"/>
      <c r="F185" s="109"/>
      <c r="G185" s="111"/>
      <c r="H185" s="111"/>
      <c r="I185" s="112"/>
      <c r="J185" s="112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spans="1:26" ht="12" customHeight="1">
      <c r="A186" s="108"/>
      <c r="B186" s="108"/>
      <c r="C186" s="109"/>
      <c r="D186" s="109"/>
      <c r="E186" s="109"/>
      <c r="F186" s="109"/>
      <c r="G186" s="111"/>
      <c r="H186" s="111"/>
      <c r="I186" s="112"/>
      <c r="J186" s="112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spans="1:26" ht="12" customHeight="1">
      <c r="A187" s="108"/>
      <c r="B187" s="108"/>
      <c r="C187" s="109"/>
      <c r="D187" s="109"/>
      <c r="E187" s="109"/>
      <c r="F187" s="109"/>
      <c r="G187" s="111"/>
      <c r="H187" s="111"/>
      <c r="I187" s="112"/>
      <c r="J187" s="112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spans="1:26" ht="12" customHeight="1">
      <c r="A188" s="108"/>
      <c r="B188" s="108"/>
      <c r="C188" s="109"/>
      <c r="D188" s="109"/>
      <c r="E188" s="109"/>
      <c r="F188" s="109"/>
      <c r="G188" s="111"/>
      <c r="H188" s="111"/>
      <c r="I188" s="112"/>
      <c r="J188" s="112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spans="1:26" ht="12" customHeight="1">
      <c r="A189" s="108"/>
      <c r="B189" s="108"/>
      <c r="C189" s="109"/>
      <c r="D189" s="109"/>
      <c r="E189" s="109"/>
      <c r="F189" s="109"/>
      <c r="G189" s="111"/>
      <c r="H189" s="111"/>
      <c r="I189" s="112"/>
      <c r="J189" s="112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spans="1:26" ht="12" customHeight="1">
      <c r="A190" s="108"/>
      <c r="B190" s="108"/>
      <c r="C190" s="109"/>
      <c r="D190" s="109"/>
      <c r="E190" s="109"/>
      <c r="F190" s="109"/>
      <c r="G190" s="111"/>
      <c r="H190" s="111"/>
      <c r="I190" s="112"/>
      <c r="J190" s="112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spans="1:26" ht="12" customHeight="1">
      <c r="A191" s="108"/>
      <c r="B191" s="108"/>
      <c r="C191" s="109"/>
      <c r="D191" s="109"/>
      <c r="E191" s="109"/>
      <c r="F191" s="109"/>
      <c r="G191" s="111"/>
      <c r="H191" s="111"/>
      <c r="I191" s="112"/>
      <c r="J191" s="112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spans="1:26" ht="12" customHeight="1">
      <c r="A192" s="108"/>
      <c r="B192" s="108"/>
      <c r="C192" s="109"/>
      <c r="D192" s="109"/>
      <c r="E192" s="109"/>
      <c r="F192" s="109"/>
      <c r="G192" s="111"/>
      <c r="H192" s="111"/>
      <c r="I192" s="112"/>
      <c r="J192" s="112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spans="1:26" ht="12" customHeight="1">
      <c r="A193" s="108"/>
      <c r="B193" s="108"/>
      <c r="C193" s="109"/>
      <c r="D193" s="109"/>
      <c r="E193" s="109"/>
      <c r="F193" s="109"/>
      <c r="G193" s="111"/>
      <c r="H193" s="111"/>
      <c r="I193" s="112"/>
      <c r="J193" s="112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spans="1:26" ht="12" customHeight="1">
      <c r="A194" s="108"/>
      <c r="B194" s="108"/>
      <c r="C194" s="109"/>
      <c r="D194" s="109"/>
      <c r="E194" s="109"/>
      <c r="F194" s="109"/>
      <c r="G194" s="111"/>
      <c r="H194" s="111"/>
      <c r="I194" s="112"/>
      <c r="J194" s="112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spans="1:26" ht="12" customHeight="1">
      <c r="A195" s="108"/>
      <c r="B195" s="108"/>
      <c r="C195" s="109"/>
      <c r="D195" s="109"/>
      <c r="E195" s="109"/>
      <c r="F195" s="109"/>
      <c r="G195" s="111"/>
      <c r="H195" s="111"/>
      <c r="I195" s="112"/>
      <c r="J195" s="112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spans="1:26" ht="12" customHeight="1">
      <c r="A196" s="108"/>
      <c r="B196" s="108"/>
      <c r="C196" s="109"/>
      <c r="D196" s="109"/>
      <c r="E196" s="109"/>
      <c r="F196" s="109"/>
      <c r="G196" s="111"/>
      <c r="H196" s="111"/>
      <c r="I196" s="112"/>
      <c r="J196" s="112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spans="1:26" ht="12" customHeight="1">
      <c r="A197" s="108"/>
      <c r="B197" s="108"/>
      <c r="C197" s="109"/>
      <c r="D197" s="109"/>
      <c r="E197" s="109"/>
      <c r="F197" s="109"/>
      <c r="G197" s="111"/>
      <c r="H197" s="111"/>
      <c r="I197" s="112"/>
      <c r="J197" s="112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spans="1:26" ht="12" customHeight="1">
      <c r="A198" s="108"/>
      <c r="B198" s="108"/>
      <c r="C198" s="109"/>
      <c r="D198" s="109"/>
      <c r="E198" s="109"/>
      <c r="F198" s="109"/>
      <c r="G198" s="111"/>
      <c r="H198" s="111"/>
      <c r="I198" s="112"/>
      <c r="J198" s="112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spans="1:26" ht="12" customHeight="1">
      <c r="A199" s="108"/>
      <c r="B199" s="108"/>
      <c r="C199" s="109"/>
      <c r="D199" s="109"/>
      <c r="E199" s="109"/>
      <c r="F199" s="109"/>
      <c r="G199" s="111"/>
      <c r="H199" s="111"/>
      <c r="I199" s="112"/>
      <c r="J199" s="112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spans="1:26" ht="12" customHeight="1">
      <c r="A200" s="108"/>
      <c r="B200" s="108"/>
      <c r="C200" s="109"/>
      <c r="D200" s="109"/>
      <c r="E200" s="109"/>
      <c r="F200" s="109"/>
      <c r="G200" s="111"/>
      <c r="H200" s="111"/>
      <c r="I200" s="112"/>
      <c r="J200" s="112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spans="1:26" ht="12" customHeight="1">
      <c r="A201" s="108"/>
      <c r="B201" s="108"/>
      <c r="C201" s="109"/>
      <c r="D201" s="109"/>
      <c r="E201" s="109"/>
      <c r="F201" s="109"/>
      <c r="G201" s="111"/>
      <c r="H201" s="111"/>
      <c r="I201" s="112"/>
      <c r="J201" s="112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spans="1:26" ht="12" customHeight="1">
      <c r="A202" s="108"/>
      <c r="B202" s="108"/>
      <c r="C202" s="109"/>
      <c r="D202" s="109"/>
      <c r="E202" s="109"/>
      <c r="F202" s="109"/>
      <c r="G202" s="111"/>
      <c r="H202" s="111"/>
      <c r="I202" s="112"/>
      <c r="J202" s="112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 ht="12" customHeight="1">
      <c r="A203" s="108"/>
      <c r="B203" s="108"/>
      <c r="C203" s="109"/>
      <c r="D203" s="109"/>
      <c r="E203" s="109"/>
      <c r="F203" s="109"/>
      <c r="G203" s="111"/>
      <c r="H203" s="111"/>
      <c r="I203" s="112"/>
      <c r="J203" s="112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 ht="12" customHeight="1">
      <c r="A204" s="108"/>
      <c r="B204" s="108"/>
      <c r="C204" s="109"/>
      <c r="D204" s="109"/>
      <c r="E204" s="109"/>
      <c r="F204" s="109"/>
      <c r="G204" s="111"/>
      <c r="H204" s="111"/>
      <c r="I204" s="112"/>
      <c r="J204" s="112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 ht="12" customHeight="1">
      <c r="A205" s="108"/>
      <c r="B205" s="108"/>
      <c r="C205" s="109"/>
      <c r="D205" s="109"/>
      <c r="E205" s="109"/>
      <c r="F205" s="109"/>
      <c r="G205" s="111"/>
      <c r="H205" s="111"/>
      <c r="I205" s="112"/>
      <c r="J205" s="112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 ht="12" customHeight="1">
      <c r="A206" s="108"/>
      <c r="B206" s="108"/>
      <c r="C206" s="109"/>
      <c r="D206" s="109"/>
      <c r="E206" s="109"/>
      <c r="F206" s="109"/>
      <c r="G206" s="111"/>
      <c r="H206" s="111"/>
      <c r="I206" s="112"/>
      <c r="J206" s="112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 ht="12" customHeight="1">
      <c r="A207" s="108"/>
      <c r="B207" s="108"/>
      <c r="C207" s="109"/>
      <c r="D207" s="109"/>
      <c r="E207" s="109"/>
      <c r="F207" s="109"/>
      <c r="G207" s="111"/>
      <c r="H207" s="111"/>
      <c r="I207" s="112"/>
      <c r="J207" s="112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 ht="12" customHeight="1">
      <c r="A208" s="108"/>
      <c r="B208" s="108"/>
      <c r="C208" s="109"/>
      <c r="D208" s="109"/>
      <c r="E208" s="109"/>
      <c r="F208" s="109"/>
      <c r="G208" s="111"/>
      <c r="H208" s="111"/>
      <c r="I208" s="112"/>
      <c r="J208" s="112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1:26" ht="12" customHeight="1">
      <c r="A209" s="108"/>
      <c r="B209" s="108"/>
      <c r="C209" s="109"/>
      <c r="D209" s="109"/>
      <c r="E209" s="109"/>
      <c r="F209" s="109"/>
      <c r="G209" s="111"/>
      <c r="H209" s="111"/>
      <c r="I209" s="112"/>
      <c r="J209" s="112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spans="1:26" ht="12" customHeight="1">
      <c r="A210" s="108"/>
      <c r="B210" s="108"/>
      <c r="C210" s="109"/>
      <c r="D210" s="109"/>
      <c r="E210" s="109"/>
      <c r="F210" s="109"/>
      <c r="G210" s="111"/>
      <c r="H210" s="111"/>
      <c r="I210" s="112"/>
      <c r="J210" s="112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spans="1:26" ht="12" customHeight="1">
      <c r="A211" s="108"/>
      <c r="B211" s="108"/>
      <c r="C211" s="109"/>
      <c r="D211" s="109"/>
      <c r="E211" s="109"/>
      <c r="F211" s="109"/>
      <c r="G211" s="111"/>
      <c r="H211" s="111"/>
      <c r="I211" s="112"/>
      <c r="J211" s="112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spans="1:26" ht="12" customHeight="1">
      <c r="A212" s="108"/>
      <c r="B212" s="108"/>
      <c r="C212" s="109"/>
      <c r="D212" s="109"/>
      <c r="E212" s="109"/>
      <c r="F212" s="109"/>
      <c r="G212" s="111"/>
      <c r="H212" s="111"/>
      <c r="I212" s="112"/>
      <c r="J212" s="112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spans="1:26" ht="12" customHeight="1">
      <c r="A213" s="108"/>
      <c r="B213" s="108"/>
      <c r="C213" s="109"/>
      <c r="D213" s="109"/>
      <c r="E213" s="109"/>
      <c r="F213" s="109"/>
      <c r="G213" s="111"/>
      <c r="H213" s="111"/>
      <c r="I213" s="112"/>
      <c r="J213" s="112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spans="1:26" ht="12" customHeight="1">
      <c r="A214" s="108"/>
      <c r="B214" s="108"/>
      <c r="C214" s="109"/>
      <c r="D214" s="109"/>
      <c r="E214" s="109"/>
      <c r="F214" s="109"/>
      <c r="G214" s="111"/>
      <c r="H214" s="111"/>
      <c r="I214" s="112"/>
      <c r="J214" s="112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spans="1:26" ht="12" customHeight="1">
      <c r="A215" s="108"/>
      <c r="B215" s="108"/>
      <c r="C215" s="109"/>
      <c r="D215" s="109"/>
      <c r="E215" s="109"/>
      <c r="F215" s="109"/>
      <c r="G215" s="111"/>
      <c r="H215" s="111"/>
      <c r="I215" s="112"/>
      <c r="J215" s="112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spans="1:26" ht="12" customHeight="1">
      <c r="A216" s="108"/>
      <c r="B216" s="108"/>
      <c r="C216" s="109"/>
      <c r="D216" s="109"/>
      <c r="E216" s="109"/>
      <c r="F216" s="109"/>
      <c r="G216" s="111"/>
      <c r="H216" s="111"/>
      <c r="I216" s="112"/>
      <c r="J216" s="112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spans="1:26" ht="12" customHeight="1">
      <c r="A217" s="108"/>
      <c r="B217" s="108"/>
      <c r="C217" s="109"/>
      <c r="D217" s="109"/>
      <c r="E217" s="109"/>
      <c r="F217" s="109"/>
      <c r="G217" s="111"/>
      <c r="H217" s="111"/>
      <c r="I217" s="112"/>
      <c r="J217" s="112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spans="1:26" ht="12" customHeight="1">
      <c r="A218" s="108"/>
      <c r="B218" s="108"/>
      <c r="C218" s="109"/>
      <c r="D218" s="109"/>
      <c r="E218" s="109"/>
      <c r="F218" s="109"/>
      <c r="G218" s="111"/>
      <c r="H218" s="111"/>
      <c r="I218" s="112"/>
      <c r="J218" s="112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spans="1:26" ht="12" customHeight="1">
      <c r="A219" s="108"/>
      <c r="B219" s="108"/>
      <c r="C219" s="109"/>
      <c r="D219" s="109"/>
      <c r="E219" s="109"/>
      <c r="F219" s="109"/>
      <c r="G219" s="111"/>
      <c r="H219" s="111"/>
      <c r="I219" s="112"/>
      <c r="J219" s="112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spans="1:26" ht="12" customHeight="1">
      <c r="A220" s="108"/>
      <c r="B220" s="108"/>
      <c r="C220" s="109"/>
      <c r="D220" s="109"/>
      <c r="E220" s="109"/>
      <c r="F220" s="109"/>
      <c r="G220" s="111"/>
      <c r="H220" s="111"/>
      <c r="I220" s="112"/>
      <c r="J220" s="112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spans="1:26" ht="12" customHeight="1">
      <c r="A221" s="108"/>
      <c r="B221" s="108"/>
      <c r="C221" s="109"/>
      <c r="D221" s="109"/>
      <c r="E221" s="109"/>
      <c r="F221" s="109"/>
      <c r="G221" s="111"/>
      <c r="H221" s="111"/>
      <c r="I221" s="112"/>
      <c r="J221" s="112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spans="1:26" ht="12" customHeight="1">
      <c r="A222" s="108"/>
      <c r="B222" s="108"/>
      <c r="C222" s="109"/>
      <c r="D222" s="109"/>
      <c r="E222" s="109"/>
      <c r="F222" s="109"/>
      <c r="G222" s="111"/>
      <c r="H222" s="111"/>
      <c r="I222" s="112"/>
      <c r="J222" s="112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spans="1:26" ht="12" customHeight="1">
      <c r="A223" s="108"/>
      <c r="B223" s="108"/>
      <c r="C223" s="109"/>
      <c r="D223" s="109"/>
      <c r="E223" s="109"/>
      <c r="F223" s="109"/>
      <c r="G223" s="111"/>
      <c r="H223" s="111"/>
      <c r="I223" s="112"/>
      <c r="J223" s="112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spans="1:26" ht="12" customHeight="1">
      <c r="A224" s="108"/>
      <c r="B224" s="108"/>
      <c r="C224" s="109"/>
      <c r="D224" s="109"/>
      <c r="E224" s="109"/>
      <c r="F224" s="109"/>
      <c r="G224" s="111"/>
      <c r="H224" s="111"/>
      <c r="I224" s="112"/>
      <c r="J224" s="112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spans="1:26" ht="12" customHeight="1">
      <c r="A225" s="108"/>
      <c r="B225" s="108"/>
      <c r="C225" s="109"/>
      <c r="D225" s="109"/>
      <c r="E225" s="109"/>
      <c r="F225" s="109"/>
      <c r="G225" s="111"/>
      <c r="H225" s="111"/>
      <c r="I225" s="112"/>
      <c r="J225" s="112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spans="1:26" ht="12" customHeight="1">
      <c r="A226" s="108"/>
      <c r="B226" s="108"/>
      <c r="C226" s="109"/>
      <c r="D226" s="109"/>
      <c r="E226" s="109"/>
      <c r="F226" s="109"/>
      <c r="G226" s="111"/>
      <c r="H226" s="111"/>
      <c r="I226" s="112"/>
      <c r="J226" s="112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spans="1:26" ht="12" customHeight="1">
      <c r="A227" s="108"/>
      <c r="B227" s="108"/>
      <c r="C227" s="109"/>
      <c r="D227" s="109"/>
      <c r="E227" s="109"/>
      <c r="F227" s="109"/>
      <c r="G227" s="111"/>
      <c r="H227" s="111"/>
      <c r="I227" s="112"/>
      <c r="J227" s="112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spans="1:26" ht="12" customHeight="1">
      <c r="A228" s="108"/>
      <c r="B228" s="108"/>
      <c r="C228" s="109"/>
      <c r="D228" s="109"/>
      <c r="E228" s="109"/>
      <c r="F228" s="109"/>
      <c r="G228" s="111"/>
      <c r="H228" s="111"/>
      <c r="I228" s="112"/>
      <c r="J228" s="112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spans="1:26" ht="12" customHeight="1">
      <c r="A229" s="108"/>
      <c r="B229" s="108"/>
      <c r="C229" s="109"/>
      <c r="D229" s="109"/>
      <c r="E229" s="109"/>
      <c r="F229" s="109"/>
      <c r="G229" s="111"/>
      <c r="H229" s="111"/>
      <c r="I229" s="112"/>
      <c r="J229" s="112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spans="1:26" ht="12" customHeight="1">
      <c r="A230" s="108"/>
      <c r="B230" s="108"/>
      <c r="C230" s="109"/>
      <c r="D230" s="109"/>
      <c r="E230" s="109"/>
      <c r="F230" s="109"/>
      <c r="G230" s="111"/>
      <c r="H230" s="111"/>
      <c r="I230" s="112"/>
      <c r="J230" s="112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spans="1:26" ht="12" customHeight="1">
      <c r="A231" s="108"/>
      <c r="B231" s="108"/>
      <c r="C231" s="109"/>
      <c r="D231" s="109"/>
      <c r="E231" s="109"/>
      <c r="F231" s="109"/>
      <c r="G231" s="111"/>
      <c r="H231" s="111"/>
      <c r="I231" s="112"/>
      <c r="J231" s="112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spans="1:26" ht="12" customHeight="1">
      <c r="A232" s="108"/>
      <c r="B232" s="108"/>
      <c r="C232" s="109"/>
      <c r="D232" s="109"/>
      <c r="E232" s="109"/>
      <c r="F232" s="109"/>
      <c r="G232" s="111"/>
      <c r="H232" s="111"/>
      <c r="I232" s="112"/>
      <c r="J232" s="112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spans="1:26" ht="12" customHeight="1">
      <c r="A233" s="108"/>
      <c r="B233" s="108"/>
      <c r="C233" s="109"/>
      <c r="D233" s="109"/>
      <c r="E233" s="109"/>
      <c r="F233" s="109"/>
      <c r="G233" s="111"/>
      <c r="H233" s="111"/>
      <c r="I233" s="112"/>
      <c r="J233" s="112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spans="1:26" ht="12" customHeight="1">
      <c r="A234" s="108"/>
      <c r="B234" s="108"/>
      <c r="C234" s="109"/>
      <c r="D234" s="109"/>
      <c r="E234" s="109"/>
      <c r="F234" s="109"/>
      <c r="G234" s="111"/>
      <c r="H234" s="111"/>
      <c r="I234" s="112"/>
      <c r="J234" s="112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spans="1:26" ht="12" customHeight="1">
      <c r="A235" s="108"/>
      <c r="B235" s="108"/>
      <c r="C235" s="109"/>
      <c r="D235" s="109"/>
      <c r="E235" s="109"/>
      <c r="F235" s="109"/>
      <c r="G235" s="111"/>
      <c r="H235" s="111"/>
      <c r="I235" s="112"/>
      <c r="J235" s="112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spans="1:26" ht="12" customHeight="1">
      <c r="A236" s="108"/>
      <c r="B236" s="108"/>
      <c r="C236" s="109"/>
      <c r="D236" s="109"/>
      <c r="E236" s="109"/>
      <c r="F236" s="109"/>
      <c r="G236" s="111"/>
      <c r="H236" s="111"/>
      <c r="I236" s="112"/>
      <c r="J236" s="112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spans="1:26" ht="12" customHeight="1">
      <c r="A237" s="108"/>
      <c r="B237" s="108"/>
      <c r="C237" s="109"/>
      <c r="D237" s="109"/>
      <c r="E237" s="109"/>
      <c r="F237" s="109"/>
      <c r="G237" s="111"/>
      <c r="H237" s="111"/>
      <c r="I237" s="112"/>
      <c r="J237" s="112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spans="1:26" ht="12" customHeight="1">
      <c r="A238" s="108"/>
      <c r="B238" s="108"/>
      <c r="C238" s="109"/>
      <c r="D238" s="109"/>
      <c r="E238" s="109"/>
      <c r="F238" s="109"/>
      <c r="G238" s="111"/>
      <c r="H238" s="111"/>
      <c r="I238" s="112"/>
      <c r="J238" s="112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spans="1:26" ht="12" customHeight="1">
      <c r="A239" s="108"/>
      <c r="B239" s="108"/>
      <c r="C239" s="109"/>
      <c r="D239" s="109"/>
      <c r="E239" s="109"/>
      <c r="F239" s="109"/>
      <c r="G239" s="111"/>
      <c r="H239" s="111"/>
      <c r="I239" s="112"/>
      <c r="J239" s="112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spans="1:26" ht="12" customHeight="1">
      <c r="A240" s="108"/>
      <c r="B240" s="108"/>
      <c r="C240" s="109"/>
      <c r="D240" s="109"/>
      <c r="E240" s="109"/>
      <c r="F240" s="109"/>
      <c r="G240" s="111"/>
      <c r="H240" s="111"/>
      <c r="I240" s="112"/>
      <c r="J240" s="112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spans="1:26" ht="12" customHeight="1">
      <c r="A241" s="108"/>
      <c r="B241" s="108"/>
      <c r="C241" s="109"/>
      <c r="D241" s="109"/>
      <c r="E241" s="109"/>
      <c r="F241" s="109"/>
      <c r="G241" s="111"/>
      <c r="H241" s="111"/>
      <c r="I241" s="112"/>
      <c r="J241" s="112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spans="1:26" ht="12" customHeight="1">
      <c r="A242" s="108"/>
      <c r="B242" s="108"/>
      <c r="C242" s="109"/>
      <c r="D242" s="109"/>
      <c r="E242" s="109"/>
      <c r="F242" s="109"/>
      <c r="G242" s="111"/>
      <c r="H242" s="111"/>
      <c r="I242" s="112"/>
      <c r="J242" s="112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spans="1:26" ht="12" customHeight="1">
      <c r="A243" s="108"/>
      <c r="B243" s="108"/>
      <c r="C243" s="109"/>
      <c r="D243" s="109"/>
      <c r="E243" s="109"/>
      <c r="F243" s="109"/>
      <c r="G243" s="111"/>
      <c r="H243" s="111"/>
      <c r="I243" s="112"/>
      <c r="J243" s="112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spans="1:26" ht="12" customHeight="1">
      <c r="A244" s="108"/>
      <c r="B244" s="108"/>
      <c r="C244" s="109"/>
      <c r="D244" s="109"/>
      <c r="E244" s="109"/>
      <c r="F244" s="109"/>
      <c r="G244" s="111"/>
      <c r="H244" s="111"/>
      <c r="I244" s="112"/>
      <c r="J244" s="112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spans="1:26" ht="12" customHeight="1">
      <c r="A245" s="108"/>
      <c r="B245" s="108"/>
      <c r="C245" s="109"/>
      <c r="D245" s="109"/>
      <c r="E245" s="109"/>
      <c r="F245" s="109"/>
      <c r="G245" s="111"/>
      <c r="H245" s="111"/>
      <c r="I245" s="112"/>
      <c r="J245" s="112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spans="1:26" ht="12" customHeight="1">
      <c r="A246" s="108"/>
      <c r="B246" s="108"/>
      <c r="C246" s="109"/>
      <c r="D246" s="109"/>
      <c r="E246" s="109"/>
      <c r="F246" s="109"/>
      <c r="G246" s="111"/>
      <c r="H246" s="111"/>
      <c r="I246" s="112"/>
      <c r="J246" s="112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spans="1:26" ht="12" customHeight="1">
      <c r="A247" s="108"/>
      <c r="B247" s="108"/>
      <c r="C247" s="109"/>
      <c r="D247" s="109"/>
      <c r="E247" s="109"/>
      <c r="F247" s="109"/>
      <c r="G247" s="111"/>
      <c r="H247" s="111"/>
      <c r="I247" s="112"/>
      <c r="J247" s="112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spans="1:26" ht="12" customHeight="1">
      <c r="A248" s="108"/>
      <c r="B248" s="108"/>
      <c r="C248" s="109"/>
      <c r="D248" s="109"/>
      <c r="E248" s="109"/>
      <c r="F248" s="109"/>
      <c r="G248" s="111"/>
      <c r="H248" s="111"/>
      <c r="I248" s="112"/>
      <c r="J248" s="112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spans="1:26" ht="12" customHeight="1">
      <c r="A249" s="108"/>
      <c r="B249" s="108"/>
      <c r="C249" s="109"/>
      <c r="D249" s="109"/>
      <c r="E249" s="109"/>
      <c r="F249" s="109"/>
      <c r="G249" s="111"/>
      <c r="H249" s="111"/>
      <c r="I249" s="112"/>
      <c r="J249" s="112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spans="1:26" ht="12" customHeight="1">
      <c r="A250" s="108"/>
      <c r="B250" s="108"/>
      <c r="C250" s="109"/>
      <c r="D250" s="109"/>
      <c r="E250" s="109"/>
      <c r="F250" s="109"/>
      <c r="G250" s="111"/>
      <c r="H250" s="111"/>
      <c r="I250" s="112"/>
      <c r="J250" s="112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spans="1:26" ht="12" customHeight="1">
      <c r="A251" s="108"/>
      <c r="B251" s="108"/>
      <c r="C251" s="109"/>
      <c r="D251" s="109"/>
      <c r="E251" s="109"/>
      <c r="F251" s="109"/>
      <c r="G251" s="111"/>
      <c r="H251" s="111"/>
      <c r="I251" s="112"/>
      <c r="J251" s="112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spans="1:26" ht="12" customHeight="1">
      <c r="A252" s="108"/>
      <c r="B252" s="108"/>
      <c r="C252" s="109"/>
      <c r="D252" s="109"/>
      <c r="E252" s="109"/>
      <c r="F252" s="109"/>
      <c r="G252" s="111"/>
      <c r="H252" s="111"/>
      <c r="I252" s="112"/>
      <c r="J252" s="112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spans="1:26" ht="12" customHeight="1">
      <c r="A253" s="108"/>
      <c r="B253" s="108"/>
      <c r="C253" s="109"/>
      <c r="D253" s="109"/>
      <c r="E253" s="109"/>
      <c r="F253" s="109"/>
      <c r="G253" s="111"/>
      <c r="H253" s="111"/>
      <c r="I253" s="112"/>
      <c r="J253" s="112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spans="1:26" ht="12" customHeight="1">
      <c r="A254" s="108"/>
      <c r="B254" s="108"/>
      <c r="C254" s="109"/>
      <c r="D254" s="109"/>
      <c r="E254" s="109"/>
      <c r="F254" s="109"/>
      <c r="G254" s="111"/>
      <c r="H254" s="111"/>
      <c r="I254" s="112"/>
      <c r="J254" s="112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spans="1:26" ht="12" customHeight="1">
      <c r="A255" s="108"/>
      <c r="B255" s="108"/>
      <c r="C255" s="109"/>
      <c r="D255" s="109"/>
      <c r="E255" s="109"/>
      <c r="F255" s="109"/>
      <c r="G255" s="111"/>
      <c r="H255" s="111"/>
      <c r="I255" s="112"/>
      <c r="J255" s="112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spans="1:26" ht="12" customHeight="1">
      <c r="A256" s="108"/>
      <c r="B256" s="108"/>
      <c r="C256" s="109"/>
      <c r="D256" s="109"/>
      <c r="E256" s="109"/>
      <c r="F256" s="109"/>
      <c r="G256" s="111"/>
      <c r="H256" s="111"/>
      <c r="I256" s="112"/>
      <c r="J256" s="112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spans="1:26" ht="12" customHeight="1">
      <c r="A257" s="108"/>
      <c r="B257" s="108"/>
      <c r="C257" s="109"/>
      <c r="D257" s="109"/>
      <c r="E257" s="109"/>
      <c r="F257" s="109"/>
      <c r="G257" s="111"/>
      <c r="H257" s="111"/>
      <c r="I257" s="112"/>
      <c r="J257" s="112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spans="1:26" ht="12" customHeight="1">
      <c r="A258" s="108"/>
      <c r="B258" s="108"/>
      <c r="C258" s="109"/>
      <c r="D258" s="109"/>
      <c r="E258" s="109"/>
      <c r="F258" s="109"/>
      <c r="G258" s="111"/>
      <c r="H258" s="111"/>
      <c r="I258" s="112"/>
      <c r="J258" s="112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spans="1:26" ht="12" customHeight="1">
      <c r="A259" s="108"/>
      <c r="B259" s="108"/>
      <c r="C259" s="109"/>
      <c r="D259" s="109"/>
      <c r="E259" s="109"/>
      <c r="F259" s="109"/>
      <c r="G259" s="111"/>
      <c r="H259" s="111"/>
      <c r="I259" s="112"/>
      <c r="J259" s="112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spans="1:26" ht="12" customHeight="1">
      <c r="A260" s="108"/>
      <c r="B260" s="108"/>
      <c r="C260" s="109"/>
      <c r="D260" s="109"/>
      <c r="E260" s="109"/>
      <c r="F260" s="109"/>
      <c r="G260" s="111"/>
      <c r="H260" s="111"/>
      <c r="I260" s="112"/>
      <c r="J260" s="112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spans="1:26" ht="12" customHeight="1">
      <c r="A261" s="108"/>
      <c r="B261" s="108"/>
      <c r="C261" s="109"/>
      <c r="D261" s="109"/>
      <c r="E261" s="109"/>
      <c r="F261" s="109"/>
      <c r="G261" s="111"/>
      <c r="H261" s="111"/>
      <c r="I261" s="112"/>
      <c r="J261" s="112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spans="1:26" ht="12" customHeight="1">
      <c r="A262" s="108"/>
      <c r="B262" s="108"/>
      <c r="C262" s="109"/>
      <c r="D262" s="109"/>
      <c r="E262" s="109"/>
      <c r="F262" s="109"/>
      <c r="G262" s="111"/>
      <c r="H262" s="111"/>
      <c r="I262" s="112"/>
      <c r="J262" s="112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spans="1:26" ht="12" customHeight="1">
      <c r="A263" s="108"/>
      <c r="B263" s="108"/>
      <c r="C263" s="109"/>
      <c r="D263" s="109"/>
      <c r="E263" s="109"/>
      <c r="F263" s="109"/>
      <c r="G263" s="111"/>
      <c r="H263" s="111"/>
      <c r="I263" s="112"/>
      <c r="J263" s="112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spans="1:26" ht="12" customHeight="1">
      <c r="A264" s="108"/>
      <c r="B264" s="108"/>
      <c r="C264" s="109"/>
      <c r="D264" s="109"/>
      <c r="E264" s="109"/>
      <c r="F264" s="109"/>
      <c r="G264" s="111"/>
      <c r="H264" s="111"/>
      <c r="I264" s="112"/>
      <c r="J264" s="112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spans="1:26" ht="12" customHeight="1">
      <c r="A265" s="108"/>
      <c r="B265" s="108"/>
      <c r="C265" s="109"/>
      <c r="D265" s="109"/>
      <c r="E265" s="109"/>
      <c r="F265" s="109"/>
      <c r="G265" s="111"/>
      <c r="H265" s="111"/>
      <c r="I265" s="112"/>
      <c r="J265" s="112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spans="1:26" ht="12" customHeight="1">
      <c r="A266" s="108"/>
      <c r="B266" s="108"/>
      <c r="C266" s="109"/>
      <c r="D266" s="109"/>
      <c r="E266" s="109"/>
      <c r="F266" s="109"/>
      <c r="G266" s="111"/>
      <c r="H266" s="111"/>
      <c r="I266" s="112"/>
      <c r="J266" s="112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spans="1:26" ht="12" customHeight="1">
      <c r="A267" s="108"/>
      <c r="B267" s="108"/>
      <c r="C267" s="109"/>
      <c r="D267" s="109"/>
      <c r="E267" s="109"/>
      <c r="F267" s="109"/>
      <c r="G267" s="111"/>
      <c r="H267" s="111"/>
      <c r="I267" s="112"/>
      <c r="J267" s="112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spans="1:26" ht="12" customHeight="1">
      <c r="A268" s="108"/>
      <c r="B268" s="108"/>
      <c r="C268" s="109"/>
      <c r="D268" s="109"/>
      <c r="E268" s="109"/>
      <c r="F268" s="109"/>
      <c r="G268" s="111"/>
      <c r="H268" s="111"/>
      <c r="I268" s="112"/>
      <c r="J268" s="112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spans="1:26" ht="12" customHeight="1">
      <c r="A269" s="108"/>
      <c r="B269" s="108"/>
      <c r="C269" s="109"/>
      <c r="D269" s="109"/>
      <c r="E269" s="109"/>
      <c r="F269" s="109"/>
      <c r="G269" s="111"/>
      <c r="H269" s="111"/>
      <c r="I269" s="112"/>
      <c r="J269" s="112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spans="1:26" ht="12" customHeight="1">
      <c r="A270" s="108"/>
      <c r="B270" s="108"/>
      <c r="C270" s="109"/>
      <c r="D270" s="109"/>
      <c r="E270" s="109"/>
      <c r="F270" s="109"/>
      <c r="G270" s="111"/>
      <c r="H270" s="111"/>
      <c r="I270" s="112"/>
      <c r="J270" s="112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spans="1:26" ht="12" customHeight="1">
      <c r="A271" s="108"/>
      <c r="B271" s="108"/>
      <c r="C271" s="109"/>
      <c r="D271" s="109"/>
      <c r="E271" s="109"/>
      <c r="F271" s="109"/>
      <c r="G271" s="111"/>
      <c r="H271" s="111"/>
      <c r="I271" s="112"/>
      <c r="J271" s="112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spans="1:26" ht="12" customHeight="1">
      <c r="A272" s="108"/>
      <c r="B272" s="108"/>
      <c r="C272" s="109"/>
      <c r="D272" s="109"/>
      <c r="E272" s="109"/>
      <c r="F272" s="109"/>
      <c r="G272" s="111"/>
      <c r="H272" s="111"/>
      <c r="I272" s="112"/>
      <c r="J272" s="112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spans="1:26" ht="12" customHeight="1">
      <c r="A273" s="108"/>
      <c r="B273" s="108"/>
      <c r="C273" s="109"/>
      <c r="D273" s="109"/>
      <c r="E273" s="109"/>
      <c r="F273" s="109"/>
      <c r="G273" s="111"/>
      <c r="H273" s="111"/>
      <c r="I273" s="112"/>
      <c r="J273" s="112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spans="1:26" ht="12" customHeight="1">
      <c r="A274" s="108"/>
      <c r="B274" s="108"/>
      <c r="C274" s="109"/>
      <c r="D274" s="109"/>
      <c r="E274" s="109"/>
      <c r="F274" s="109"/>
      <c r="G274" s="111"/>
      <c r="H274" s="111"/>
      <c r="I274" s="112"/>
      <c r="J274" s="112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spans="1:26" ht="12" customHeight="1">
      <c r="A275" s="108"/>
      <c r="B275" s="108"/>
      <c r="C275" s="109"/>
      <c r="D275" s="109"/>
      <c r="E275" s="109"/>
      <c r="F275" s="109"/>
      <c r="G275" s="111"/>
      <c r="H275" s="111"/>
      <c r="I275" s="112"/>
      <c r="J275" s="112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spans="1:26" ht="12" customHeight="1">
      <c r="A276" s="108"/>
      <c r="B276" s="108"/>
      <c r="C276" s="109"/>
      <c r="D276" s="109"/>
      <c r="E276" s="109"/>
      <c r="F276" s="109"/>
      <c r="G276" s="111"/>
      <c r="H276" s="111"/>
      <c r="I276" s="112"/>
      <c r="J276" s="112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spans="1:26" ht="12" customHeight="1">
      <c r="A277" s="108"/>
      <c r="B277" s="108"/>
      <c r="C277" s="109"/>
      <c r="D277" s="109"/>
      <c r="E277" s="109"/>
      <c r="F277" s="109"/>
      <c r="G277" s="111"/>
      <c r="H277" s="111"/>
      <c r="I277" s="112"/>
      <c r="J277" s="112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spans="1:26" ht="12" customHeight="1">
      <c r="A278" s="108"/>
      <c r="B278" s="108"/>
      <c r="C278" s="109"/>
      <c r="D278" s="109"/>
      <c r="E278" s="109"/>
      <c r="F278" s="109"/>
      <c r="G278" s="111"/>
      <c r="H278" s="111"/>
      <c r="I278" s="112"/>
      <c r="J278" s="112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spans="1:26" ht="12" customHeight="1">
      <c r="A279" s="108"/>
      <c r="B279" s="108"/>
      <c r="C279" s="109"/>
      <c r="D279" s="109"/>
      <c r="E279" s="109"/>
      <c r="F279" s="109"/>
      <c r="G279" s="111"/>
      <c r="H279" s="111"/>
      <c r="I279" s="112"/>
      <c r="J279" s="112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spans="1:26" ht="12" customHeight="1">
      <c r="A280" s="108"/>
      <c r="B280" s="108"/>
      <c r="C280" s="109"/>
      <c r="D280" s="109"/>
      <c r="E280" s="109"/>
      <c r="F280" s="109"/>
      <c r="G280" s="111"/>
      <c r="H280" s="111"/>
      <c r="I280" s="112"/>
      <c r="J280" s="112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spans="1:26" ht="12" customHeight="1">
      <c r="A281" s="108"/>
      <c r="B281" s="108"/>
      <c r="C281" s="109"/>
      <c r="D281" s="109"/>
      <c r="E281" s="109"/>
      <c r="F281" s="109"/>
      <c r="G281" s="111"/>
      <c r="H281" s="111"/>
      <c r="I281" s="112"/>
      <c r="J281" s="112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spans="1:26" ht="12" customHeight="1">
      <c r="A282" s="108"/>
      <c r="B282" s="108"/>
      <c r="C282" s="109"/>
      <c r="D282" s="109"/>
      <c r="E282" s="109"/>
      <c r="F282" s="109"/>
      <c r="G282" s="111"/>
      <c r="H282" s="111"/>
      <c r="I282" s="112"/>
      <c r="J282" s="112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spans="1:26" ht="12" customHeight="1">
      <c r="A283" s="108"/>
      <c r="B283" s="108"/>
      <c r="C283" s="109"/>
      <c r="D283" s="109"/>
      <c r="E283" s="109"/>
      <c r="F283" s="109"/>
      <c r="G283" s="111"/>
      <c r="H283" s="111"/>
      <c r="I283" s="112"/>
      <c r="J283" s="112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spans="1:26" ht="12" customHeight="1">
      <c r="A284" s="108"/>
      <c r="B284" s="108"/>
      <c r="C284" s="109"/>
      <c r="D284" s="109"/>
      <c r="E284" s="109"/>
      <c r="F284" s="109"/>
      <c r="G284" s="111"/>
      <c r="H284" s="111"/>
      <c r="I284" s="112"/>
      <c r="J284" s="112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spans="1:26" ht="12" customHeight="1">
      <c r="A285" s="108"/>
      <c r="B285" s="108"/>
      <c r="C285" s="109"/>
      <c r="D285" s="109"/>
      <c r="E285" s="109"/>
      <c r="F285" s="109"/>
      <c r="G285" s="111"/>
      <c r="H285" s="111"/>
      <c r="I285" s="112"/>
      <c r="J285" s="112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spans="1:26" ht="12" customHeight="1">
      <c r="A286" s="108"/>
      <c r="B286" s="108"/>
      <c r="C286" s="109"/>
      <c r="D286" s="109"/>
      <c r="E286" s="109"/>
      <c r="F286" s="109"/>
      <c r="G286" s="111"/>
      <c r="H286" s="111"/>
      <c r="I286" s="112"/>
      <c r="J286" s="112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spans="1:26" ht="12" customHeight="1">
      <c r="A287" s="108"/>
      <c r="B287" s="108"/>
      <c r="C287" s="109"/>
      <c r="D287" s="109"/>
      <c r="E287" s="109"/>
      <c r="F287" s="109"/>
      <c r="G287" s="111"/>
      <c r="H287" s="111"/>
      <c r="I287" s="112"/>
      <c r="J287" s="112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spans="1:26" ht="12" customHeight="1">
      <c r="A288" s="108"/>
      <c r="B288" s="108"/>
      <c r="C288" s="109"/>
      <c r="D288" s="109"/>
      <c r="E288" s="109"/>
      <c r="F288" s="109"/>
      <c r="G288" s="111"/>
      <c r="H288" s="111"/>
      <c r="I288" s="112"/>
      <c r="J288" s="112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spans="1:26" ht="12" customHeight="1">
      <c r="A289" s="108"/>
      <c r="B289" s="108"/>
      <c r="C289" s="109"/>
      <c r="D289" s="109"/>
      <c r="E289" s="109"/>
      <c r="F289" s="109"/>
      <c r="G289" s="111"/>
      <c r="H289" s="111"/>
      <c r="I289" s="112"/>
      <c r="J289" s="112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spans="1:26" ht="12" customHeight="1">
      <c r="A290" s="108"/>
      <c r="B290" s="108"/>
      <c r="C290" s="109"/>
      <c r="D290" s="109"/>
      <c r="E290" s="109"/>
      <c r="F290" s="109"/>
      <c r="G290" s="111"/>
      <c r="H290" s="111"/>
      <c r="I290" s="112"/>
      <c r="J290" s="112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spans="1:26" ht="12" customHeight="1">
      <c r="A291" s="108"/>
      <c r="B291" s="108"/>
      <c r="C291" s="109"/>
      <c r="D291" s="109"/>
      <c r="E291" s="109"/>
      <c r="F291" s="109"/>
      <c r="G291" s="111"/>
      <c r="H291" s="111"/>
      <c r="I291" s="112"/>
      <c r="J291" s="112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spans="1:26" ht="12" customHeight="1">
      <c r="A292" s="108"/>
      <c r="B292" s="108"/>
      <c r="C292" s="109"/>
      <c r="D292" s="109"/>
      <c r="E292" s="109"/>
      <c r="F292" s="109"/>
      <c r="G292" s="111"/>
      <c r="H292" s="111"/>
      <c r="I292" s="112"/>
      <c r="J292" s="112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spans="1:26" ht="12" customHeight="1">
      <c r="A293" s="108"/>
      <c r="B293" s="108"/>
      <c r="C293" s="109"/>
      <c r="D293" s="109"/>
      <c r="E293" s="109"/>
      <c r="F293" s="109"/>
      <c r="G293" s="111"/>
      <c r="H293" s="111"/>
      <c r="I293" s="112"/>
      <c r="J293" s="112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spans="1:26" ht="12" customHeight="1">
      <c r="A294" s="108"/>
      <c r="B294" s="108"/>
      <c r="C294" s="109"/>
      <c r="D294" s="109"/>
      <c r="E294" s="109"/>
      <c r="F294" s="109"/>
      <c r="G294" s="111"/>
      <c r="H294" s="111"/>
      <c r="I294" s="112"/>
      <c r="J294" s="112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spans="1:26" ht="12" customHeight="1">
      <c r="A295" s="108"/>
      <c r="B295" s="108"/>
      <c r="C295" s="109"/>
      <c r="D295" s="109"/>
      <c r="E295" s="109"/>
      <c r="F295" s="109"/>
      <c r="G295" s="111"/>
      <c r="H295" s="111"/>
      <c r="I295" s="112"/>
      <c r="J295" s="112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spans="1:26" ht="12" customHeight="1">
      <c r="A296" s="108"/>
      <c r="B296" s="108"/>
      <c r="C296" s="109"/>
      <c r="D296" s="109"/>
      <c r="E296" s="109"/>
      <c r="F296" s="109"/>
      <c r="G296" s="111"/>
      <c r="H296" s="111"/>
      <c r="I296" s="112"/>
      <c r="J296" s="112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spans="1:26" ht="12" customHeight="1">
      <c r="A297" s="108"/>
      <c r="B297" s="108"/>
      <c r="C297" s="109"/>
      <c r="D297" s="109"/>
      <c r="E297" s="109"/>
      <c r="F297" s="109"/>
      <c r="G297" s="111"/>
      <c r="H297" s="111"/>
      <c r="I297" s="112"/>
      <c r="J297" s="112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spans="1:26" ht="12" customHeight="1">
      <c r="A298" s="108"/>
      <c r="B298" s="108"/>
      <c r="C298" s="109"/>
      <c r="D298" s="109"/>
      <c r="E298" s="109"/>
      <c r="F298" s="109"/>
      <c r="G298" s="111"/>
      <c r="H298" s="111"/>
      <c r="I298" s="112"/>
      <c r="J298" s="112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spans="1:26" ht="12" customHeight="1">
      <c r="A299" s="108"/>
      <c r="B299" s="108"/>
      <c r="C299" s="109"/>
      <c r="D299" s="109"/>
      <c r="E299" s="109"/>
      <c r="F299" s="109"/>
      <c r="G299" s="111"/>
      <c r="H299" s="111"/>
      <c r="I299" s="112"/>
      <c r="J299" s="112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spans="1:26" ht="12" customHeight="1">
      <c r="A300" s="108"/>
      <c r="B300" s="108"/>
      <c r="C300" s="109"/>
      <c r="D300" s="109"/>
      <c r="E300" s="109"/>
      <c r="F300" s="109"/>
      <c r="G300" s="111"/>
      <c r="H300" s="111"/>
      <c r="I300" s="112"/>
      <c r="J300" s="112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spans="1:26" ht="12" customHeight="1">
      <c r="A301" s="108"/>
      <c r="B301" s="108"/>
      <c r="C301" s="109"/>
      <c r="D301" s="109"/>
      <c r="E301" s="109"/>
      <c r="F301" s="109"/>
      <c r="G301" s="111"/>
      <c r="H301" s="111"/>
      <c r="I301" s="112"/>
      <c r="J301" s="112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spans="1:26" ht="12" customHeight="1">
      <c r="A302" s="108"/>
      <c r="B302" s="108"/>
      <c r="C302" s="109"/>
      <c r="D302" s="109"/>
      <c r="E302" s="109"/>
      <c r="F302" s="109"/>
      <c r="G302" s="111"/>
      <c r="H302" s="111"/>
      <c r="I302" s="112"/>
      <c r="J302" s="112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spans="1:26" ht="12" customHeight="1">
      <c r="A303" s="108"/>
      <c r="B303" s="108"/>
      <c r="C303" s="109"/>
      <c r="D303" s="109"/>
      <c r="E303" s="109"/>
      <c r="F303" s="109"/>
      <c r="G303" s="111"/>
      <c r="H303" s="111"/>
      <c r="I303" s="112"/>
      <c r="J303" s="112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spans="1:26" ht="12" customHeight="1">
      <c r="A304" s="108"/>
      <c r="B304" s="108"/>
      <c r="C304" s="109"/>
      <c r="D304" s="109"/>
      <c r="E304" s="109"/>
      <c r="F304" s="109"/>
      <c r="G304" s="111"/>
      <c r="H304" s="111"/>
      <c r="I304" s="112"/>
      <c r="J304" s="112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spans="1:26" ht="12" customHeight="1">
      <c r="A305" s="108"/>
      <c r="B305" s="108"/>
      <c r="C305" s="109"/>
      <c r="D305" s="109"/>
      <c r="E305" s="109"/>
      <c r="F305" s="109"/>
      <c r="G305" s="111"/>
      <c r="H305" s="111"/>
      <c r="I305" s="112"/>
      <c r="J305" s="112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spans="1:26" ht="12" customHeight="1">
      <c r="A306" s="108"/>
      <c r="B306" s="108"/>
      <c r="C306" s="109"/>
      <c r="D306" s="109"/>
      <c r="E306" s="109"/>
      <c r="F306" s="109"/>
      <c r="G306" s="111"/>
      <c r="H306" s="111"/>
      <c r="I306" s="112"/>
      <c r="J306" s="112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spans="1:26" ht="12" customHeight="1">
      <c r="A307" s="108"/>
      <c r="B307" s="108"/>
      <c r="C307" s="109"/>
      <c r="D307" s="109"/>
      <c r="E307" s="109"/>
      <c r="F307" s="109"/>
      <c r="G307" s="111"/>
      <c r="H307" s="111"/>
      <c r="I307" s="112"/>
      <c r="J307" s="112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spans="1:26" ht="12" customHeight="1">
      <c r="A308" s="108"/>
      <c r="B308" s="108"/>
      <c r="C308" s="109"/>
      <c r="D308" s="109"/>
      <c r="E308" s="109"/>
      <c r="F308" s="109"/>
      <c r="G308" s="111"/>
      <c r="H308" s="111"/>
      <c r="I308" s="112"/>
      <c r="J308" s="112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spans="1:26" ht="12" customHeight="1">
      <c r="A309" s="108"/>
      <c r="B309" s="108"/>
      <c r="C309" s="109"/>
      <c r="D309" s="109"/>
      <c r="E309" s="109"/>
      <c r="F309" s="109"/>
      <c r="G309" s="111"/>
      <c r="H309" s="111"/>
      <c r="I309" s="112"/>
      <c r="J309" s="112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spans="1:26" ht="12" customHeight="1">
      <c r="A310" s="108"/>
      <c r="B310" s="108"/>
      <c r="C310" s="109"/>
      <c r="D310" s="109"/>
      <c r="E310" s="109"/>
      <c r="F310" s="109"/>
      <c r="G310" s="111"/>
      <c r="H310" s="111"/>
      <c r="I310" s="112"/>
      <c r="J310" s="112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spans="1:26" ht="12" customHeight="1">
      <c r="A311" s="108"/>
      <c r="B311" s="108"/>
      <c r="C311" s="109"/>
      <c r="D311" s="109"/>
      <c r="E311" s="109"/>
      <c r="F311" s="109"/>
      <c r="G311" s="111"/>
      <c r="H311" s="111"/>
      <c r="I311" s="112"/>
      <c r="J311" s="112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spans="1:26" ht="12" customHeight="1">
      <c r="A312" s="108"/>
      <c r="B312" s="108"/>
      <c r="C312" s="109"/>
      <c r="D312" s="109"/>
      <c r="E312" s="109"/>
      <c r="F312" s="109"/>
      <c r="G312" s="111"/>
      <c r="H312" s="111"/>
      <c r="I312" s="112"/>
      <c r="J312" s="112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spans="1:26" ht="12" customHeight="1">
      <c r="A313" s="108"/>
      <c r="B313" s="108"/>
      <c r="C313" s="109"/>
      <c r="D313" s="109"/>
      <c r="E313" s="109"/>
      <c r="F313" s="109"/>
      <c r="G313" s="111"/>
      <c r="H313" s="111"/>
      <c r="I313" s="112"/>
      <c r="J313" s="112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spans="1:26" ht="12" customHeight="1">
      <c r="A314" s="108"/>
      <c r="B314" s="108"/>
      <c r="C314" s="109"/>
      <c r="D314" s="109"/>
      <c r="E314" s="109"/>
      <c r="F314" s="109"/>
      <c r="G314" s="111"/>
      <c r="H314" s="111"/>
      <c r="I314" s="112"/>
      <c r="J314" s="112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spans="1:26" ht="12" customHeight="1">
      <c r="A315" s="108"/>
      <c r="B315" s="108"/>
      <c r="C315" s="109"/>
      <c r="D315" s="109"/>
      <c r="E315" s="109"/>
      <c r="F315" s="109"/>
      <c r="G315" s="111"/>
      <c r="H315" s="111"/>
      <c r="I315" s="112"/>
      <c r="J315" s="112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spans="1:26" ht="12" customHeight="1">
      <c r="A316" s="108"/>
      <c r="B316" s="108"/>
      <c r="C316" s="109"/>
      <c r="D316" s="109"/>
      <c r="E316" s="109"/>
      <c r="F316" s="109"/>
      <c r="G316" s="111"/>
      <c r="H316" s="111"/>
      <c r="I316" s="112"/>
      <c r="J316" s="112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spans="1:26" ht="12" customHeight="1">
      <c r="A317" s="108"/>
      <c r="B317" s="108"/>
      <c r="C317" s="109"/>
      <c r="D317" s="109"/>
      <c r="E317" s="109"/>
      <c r="F317" s="109"/>
      <c r="G317" s="111"/>
      <c r="H317" s="111"/>
      <c r="I317" s="112"/>
      <c r="J317" s="112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spans="1:26" ht="12" customHeight="1">
      <c r="A318" s="108"/>
      <c r="B318" s="108"/>
      <c r="C318" s="109"/>
      <c r="D318" s="109"/>
      <c r="E318" s="109"/>
      <c r="F318" s="109"/>
      <c r="G318" s="111"/>
      <c r="H318" s="111"/>
      <c r="I318" s="112"/>
      <c r="J318" s="112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spans="1:26" ht="12" customHeight="1">
      <c r="A319" s="108"/>
      <c r="B319" s="108"/>
      <c r="C319" s="109"/>
      <c r="D319" s="109"/>
      <c r="E319" s="109"/>
      <c r="F319" s="109"/>
      <c r="G319" s="111"/>
      <c r="H319" s="111"/>
      <c r="I319" s="112"/>
      <c r="J319" s="112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spans="1:26" ht="12" customHeight="1">
      <c r="A320" s="108"/>
      <c r="B320" s="108"/>
      <c r="C320" s="109"/>
      <c r="D320" s="109"/>
      <c r="E320" s="109"/>
      <c r="F320" s="109"/>
      <c r="G320" s="111"/>
      <c r="H320" s="111"/>
      <c r="I320" s="112"/>
      <c r="J320" s="112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spans="1:26" ht="12" customHeight="1">
      <c r="A321" s="108"/>
      <c r="B321" s="108"/>
      <c r="C321" s="109"/>
      <c r="D321" s="109"/>
      <c r="E321" s="109"/>
      <c r="F321" s="109"/>
      <c r="G321" s="111"/>
      <c r="H321" s="111"/>
      <c r="I321" s="112"/>
      <c r="J321" s="112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spans="1:26" ht="12" customHeight="1">
      <c r="A322" s="108"/>
      <c r="B322" s="108"/>
      <c r="C322" s="109"/>
      <c r="D322" s="109"/>
      <c r="E322" s="109"/>
      <c r="F322" s="109"/>
      <c r="G322" s="111"/>
      <c r="H322" s="111"/>
      <c r="I322" s="112"/>
      <c r="J322" s="112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spans="1:26" ht="12" customHeight="1">
      <c r="A323" s="108"/>
      <c r="B323" s="108"/>
      <c r="C323" s="109"/>
      <c r="D323" s="109"/>
      <c r="E323" s="109"/>
      <c r="F323" s="109"/>
      <c r="G323" s="111"/>
      <c r="H323" s="111"/>
      <c r="I323" s="112"/>
      <c r="J323" s="112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spans="1:26" ht="12" customHeight="1">
      <c r="A324" s="108"/>
      <c r="B324" s="108"/>
      <c r="C324" s="109"/>
      <c r="D324" s="109"/>
      <c r="E324" s="109"/>
      <c r="F324" s="109"/>
      <c r="G324" s="111"/>
      <c r="H324" s="111"/>
      <c r="I324" s="112"/>
      <c r="J324" s="112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spans="1:26" ht="12" customHeight="1">
      <c r="A325" s="108"/>
      <c r="B325" s="108"/>
      <c r="C325" s="109"/>
      <c r="D325" s="109"/>
      <c r="E325" s="109"/>
      <c r="F325" s="109"/>
      <c r="G325" s="111"/>
      <c r="H325" s="111"/>
      <c r="I325" s="112"/>
      <c r="J325" s="112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spans="1:26" ht="12" customHeight="1">
      <c r="A326" s="108"/>
      <c r="B326" s="108"/>
      <c r="C326" s="109"/>
      <c r="D326" s="109"/>
      <c r="E326" s="109"/>
      <c r="F326" s="109"/>
      <c r="G326" s="111"/>
      <c r="H326" s="111"/>
      <c r="I326" s="112"/>
      <c r="J326" s="112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spans="1:26" ht="12" customHeight="1">
      <c r="A327" s="108"/>
      <c r="B327" s="108"/>
      <c r="C327" s="109"/>
      <c r="D327" s="109"/>
      <c r="E327" s="109"/>
      <c r="F327" s="109"/>
      <c r="G327" s="111"/>
      <c r="H327" s="111"/>
      <c r="I327" s="112"/>
      <c r="J327" s="112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spans="1:26" ht="12" customHeight="1">
      <c r="A328" s="108"/>
      <c r="B328" s="108"/>
      <c r="C328" s="109"/>
      <c r="D328" s="109"/>
      <c r="E328" s="109"/>
      <c r="F328" s="109"/>
      <c r="G328" s="111"/>
      <c r="H328" s="111"/>
      <c r="I328" s="112"/>
      <c r="J328" s="112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spans="1:26" ht="12" customHeight="1">
      <c r="A329" s="108"/>
      <c r="B329" s="108"/>
      <c r="C329" s="109"/>
      <c r="D329" s="109"/>
      <c r="E329" s="109"/>
      <c r="F329" s="109"/>
      <c r="G329" s="111"/>
      <c r="H329" s="111"/>
      <c r="I329" s="112"/>
      <c r="J329" s="112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spans="1:26" ht="12" customHeight="1">
      <c r="A330" s="108"/>
      <c r="B330" s="108"/>
      <c r="C330" s="109"/>
      <c r="D330" s="109"/>
      <c r="E330" s="109"/>
      <c r="F330" s="109"/>
      <c r="G330" s="111"/>
      <c r="H330" s="111"/>
      <c r="I330" s="112"/>
      <c r="J330" s="112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spans="1:26" ht="12" customHeight="1">
      <c r="A331" s="108"/>
      <c r="B331" s="108"/>
      <c r="C331" s="109"/>
      <c r="D331" s="109"/>
      <c r="E331" s="109"/>
      <c r="F331" s="109"/>
      <c r="G331" s="111"/>
      <c r="H331" s="111"/>
      <c r="I331" s="112"/>
      <c r="J331" s="112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spans="1:26" ht="12" customHeight="1">
      <c r="A332" s="108"/>
      <c r="B332" s="108"/>
      <c r="C332" s="109"/>
      <c r="D332" s="109"/>
      <c r="E332" s="109"/>
      <c r="F332" s="109"/>
      <c r="G332" s="111"/>
      <c r="H332" s="111"/>
      <c r="I332" s="112"/>
      <c r="J332" s="112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spans="1:26" ht="12" customHeight="1">
      <c r="A333" s="108"/>
      <c r="B333" s="108"/>
      <c r="C333" s="109"/>
      <c r="D333" s="109"/>
      <c r="E333" s="109"/>
      <c r="F333" s="109"/>
      <c r="G333" s="111"/>
      <c r="H333" s="111"/>
      <c r="I333" s="112"/>
      <c r="J333" s="112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spans="1:26" ht="12" customHeight="1">
      <c r="A334" s="108"/>
      <c r="B334" s="108"/>
      <c r="C334" s="109"/>
      <c r="D334" s="109"/>
      <c r="E334" s="109"/>
      <c r="F334" s="109"/>
      <c r="G334" s="111"/>
      <c r="H334" s="111"/>
      <c r="I334" s="112"/>
      <c r="J334" s="112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spans="1:26" ht="12" customHeight="1">
      <c r="A335" s="108"/>
      <c r="B335" s="108"/>
      <c r="C335" s="109"/>
      <c r="D335" s="109"/>
      <c r="E335" s="109"/>
      <c r="F335" s="109"/>
      <c r="G335" s="111"/>
      <c r="H335" s="111"/>
      <c r="I335" s="112"/>
      <c r="J335" s="112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spans="1:26" ht="12" customHeight="1">
      <c r="A336" s="108"/>
      <c r="B336" s="108"/>
      <c r="C336" s="109"/>
      <c r="D336" s="109"/>
      <c r="E336" s="109"/>
      <c r="F336" s="109"/>
      <c r="G336" s="111"/>
      <c r="H336" s="111"/>
      <c r="I336" s="112"/>
      <c r="J336" s="112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spans="1:26" ht="12" customHeight="1">
      <c r="A337" s="108"/>
      <c r="B337" s="108"/>
      <c r="C337" s="109"/>
      <c r="D337" s="109"/>
      <c r="E337" s="109"/>
      <c r="F337" s="109"/>
      <c r="G337" s="111"/>
      <c r="H337" s="111"/>
      <c r="I337" s="112"/>
      <c r="J337" s="112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spans="1:26" ht="12" customHeight="1">
      <c r="A338" s="108"/>
      <c r="B338" s="108"/>
      <c r="C338" s="109"/>
      <c r="D338" s="109"/>
      <c r="E338" s="109"/>
      <c r="F338" s="109"/>
      <c r="G338" s="111"/>
      <c r="H338" s="111"/>
      <c r="I338" s="112"/>
      <c r="J338" s="112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spans="1:26" ht="12" customHeight="1">
      <c r="A339" s="108"/>
      <c r="B339" s="108"/>
      <c r="C339" s="109"/>
      <c r="D339" s="109"/>
      <c r="E339" s="109"/>
      <c r="F339" s="109"/>
      <c r="G339" s="111"/>
      <c r="H339" s="111"/>
      <c r="I339" s="112"/>
      <c r="J339" s="112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spans="1:26" ht="12" customHeight="1">
      <c r="A340" s="108"/>
      <c r="B340" s="108"/>
      <c r="C340" s="109"/>
      <c r="D340" s="109"/>
      <c r="E340" s="109"/>
      <c r="F340" s="109"/>
      <c r="G340" s="111"/>
      <c r="H340" s="111"/>
      <c r="I340" s="112"/>
      <c r="J340" s="112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spans="1:26" ht="12" customHeight="1">
      <c r="A341" s="108"/>
      <c r="B341" s="108"/>
      <c r="C341" s="109"/>
      <c r="D341" s="109"/>
      <c r="E341" s="109"/>
      <c r="F341" s="109"/>
      <c r="G341" s="111"/>
      <c r="H341" s="111"/>
      <c r="I341" s="112"/>
      <c r="J341" s="112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spans="1:26" ht="12" customHeight="1">
      <c r="A342" s="108"/>
      <c r="B342" s="108"/>
      <c r="C342" s="109"/>
      <c r="D342" s="109"/>
      <c r="E342" s="109"/>
      <c r="F342" s="109"/>
      <c r="G342" s="111"/>
      <c r="H342" s="111"/>
      <c r="I342" s="112"/>
      <c r="J342" s="112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spans="1:26" ht="12" customHeight="1">
      <c r="A343" s="108"/>
      <c r="B343" s="108"/>
      <c r="C343" s="109"/>
      <c r="D343" s="109"/>
      <c r="E343" s="109"/>
      <c r="F343" s="109"/>
      <c r="G343" s="111"/>
      <c r="H343" s="111"/>
      <c r="I343" s="112"/>
      <c r="J343" s="112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spans="1:26" ht="12" customHeight="1">
      <c r="A344" s="108"/>
      <c r="B344" s="108"/>
      <c r="C344" s="109"/>
      <c r="D344" s="109"/>
      <c r="E344" s="109"/>
      <c r="F344" s="109"/>
      <c r="G344" s="111"/>
      <c r="H344" s="111"/>
      <c r="I344" s="112"/>
      <c r="J344" s="112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spans="1:26" ht="12" customHeight="1">
      <c r="A345" s="108"/>
      <c r="B345" s="108"/>
      <c r="C345" s="109"/>
      <c r="D345" s="109"/>
      <c r="E345" s="109"/>
      <c r="F345" s="109"/>
      <c r="G345" s="111"/>
      <c r="H345" s="111"/>
      <c r="I345" s="112"/>
      <c r="J345" s="112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spans="1:26" ht="12" customHeight="1">
      <c r="A346" s="108"/>
      <c r="B346" s="108"/>
      <c r="C346" s="109"/>
      <c r="D346" s="109"/>
      <c r="E346" s="109"/>
      <c r="F346" s="109"/>
      <c r="G346" s="111"/>
      <c r="H346" s="111"/>
      <c r="I346" s="112"/>
      <c r="J346" s="112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spans="1:26" ht="12" customHeight="1">
      <c r="A347" s="108"/>
      <c r="B347" s="108"/>
      <c r="C347" s="109"/>
      <c r="D347" s="109"/>
      <c r="E347" s="109"/>
      <c r="F347" s="109"/>
      <c r="G347" s="111"/>
      <c r="H347" s="111"/>
      <c r="I347" s="112"/>
      <c r="J347" s="112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spans="1:26" ht="12" customHeight="1">
      <c r="A348" s="108"/>
      <c r="B348" s="108"/>
      <c r="C348" s="109"/>
      <c r="D348" s="109"/>
      <c r="E348" s="109"/>
      <c r="F348" s="109"/>
      <c r="G348" s="111"/>
      <c r="H348" s="111"/>
      <c r="I348" s="112"/>
      <c r="J348" s="112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spans="1:26" ht="12" customHeight="1">
      <c r="A349" s="108"/>
      <c r="B349" s="108"/>
      <c r="C349" s="109"/>
      <c r="D349" s="109"/>
      <c r="E349" s="109"/>
      <c r="F349" s="109"/>
      <c r="G349" s="111"/>
      <c r="H349" s="111"/>
      <c r="I349" s="112"/>
      <c r="J349" s="112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spans="1:26" ht="12" customHeight="1">
      <c r="A350" s="108"/>
      <c r="B350" s="108"/>
      <c r="C350" s="109"/>
      <c r="D350" s="109"/>
      <c r="E350" s="109"/>
      <c r="F350" s="109"/>
      <c r="G350" s="111"/>
      <c r="H350" s="111"/>
      <c r="I350" s="112"/>
      <c r="J350" s="112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spans="1:26" ht="12" customHeight="1">
      <c r="A351" s="108"/>
      <c r="B351" s="108"/>
      <c r="C351" s="109"/>
      <c r="D351" s="109"/>
      <c r="E351" s="109"/>
      <c r="F351" s="109"/>
      <c r="G351" s="111"/>
      <c r="H351" s="111"/>
      <c r="I351" s="112"/>
      <c r="J351" s="112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spans="1:26" ht="12" customHeight="1">
      <c r="A352" s="108"/>
      <c r="B352" s="108"/>
      <c r="C352" s="109"/>
      <c r="D352" s="109"/>
      <c r="E352" s="109"/>
      <c r="F352" s="109"/>
      <c r="G352" s="111"/>
      <c r="H352" s="111"/>
      <c r="I352" s="112"/>
      <c r="J352" s="112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spans="1:26" ht="12" customHeight="1">
      <c r="A353" s="108"/>
      <c r="B353" s="108"/>
      <c r="C353" s="109"/>
      <c r="D353" s="109"/>
      <c r="E353" s="109"/>
      <c r="F353" s="109"/>
      <c r="G353" s="111"/>
      <c r="H353" s="111"/>
      <c r="I353" s="112"/>
      <c r="J353" s="112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spans="1:26" ht="12" customHeight="1">
      <c r="A354" s="108"/>
      <c r="B354" s="108"/>
      <c r="C354" s="109"/>
      <c r="D354" s="109"/>
      <c r="E354" s="109"/>
      <c r="F354" s="109"/>
      <c r="G354" s="111"/>
      <c r="H354" s="111"/>
      <c r="I354" s="112"/>
      <c r="J354" s="112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spans="1:26" ht="12" customHeight="1">
      <c r="A355" s="108"/>
      <c r="B355" s="108"/>
      <c r="C355" s="109"/>
      <c r="D355" s="109"/>
      <c r="E355" s="109"/>
      <c r="F355" s="109"/>
      <c r="G355" s="111"/>
      <c r="H355" s="111"/>
      <c r="I355" s="112"/>
      <c r="J355" s="112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spans="1:26" ht="12" customHeight="1">
      <c r="A356" s="108"/>
      <c r="B356" s="108"/>
      <c r="C356" s="109"/>
      <c r="D356" s="109"/>
      <c r="E356" s="109"/>
      <c r="F356" s="109"/>
      <c r="G356" s="111"/>
      <c r="H356" s="111"/>
      <c r="I356" s="112"/>
      <c r="J356" s="112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spans="1:26" ht="12" customHeight="1">
      <c r="A357" s="108"/>
      <c r="B357" s="108"/>
      <c r="C357" s="109"/>
      <c r="D357" s="109"/>
      <c r="E357" s="109"/>
      <c r="F357" s="109"/>
      <c r="G357" s="111"/>
      <c r="H357" s="111"/>
      <c r="I357" s="112"/>
      <c r="J357" s="112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spans="1:26" ht="12" customHeight="1">
      <c r="A358" s="108"/>
      <c r="B358" s="108"/>
      <c r="C358" s="109"/>
      <c r="D358" s="109"/>
      <c r="E358" s="109"/>
      <c r="F358" s="109"/>
      <c r="G358" s="111"/>
      <c r="H358" s="111"/>
      <c r="I358" s="112"/>
      <c r="J358" s="112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spans="1:26" ht="12" customHeight="1">
      <c r="A359" s="108"/>
      <c r="B359" s="108"/>
      <c r="C359" s="109"/>
      <c r="D359" s="109"/>
      <c r="E359" s="109"/>
      <c r="F359" s="109"/>
      <c r="G359" s="111"/>
      <c r="H359" s="111"/>
      <c r="I359" s="112"/>
      <c r="J359" s="112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spans="1:26" ht="12" customHeight="1">
      <c r="A360" s="108"/>
      <c r="B360" s="108"/>
      <c r="C360" s="109"/>
      <c r="D360" s="109"/>
      <c r="E360" s="109"/>
      <c r="F360" s="109"/>
      <c r="G360" s="111"/>
      <c r="H360" s="111"/>
      <c r="I360" s="112"/>
      <c r="J360" s="112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spans="1:26" ht="12" customHeight="1">
      <c r="A361" s="108"/>
      <c r="B361" s="108"/>
      <c r="C361" s="109"/>
      <c r="D361" s="109"/>
      <c r="E361" s="109"/>
      <c r="F361" s="109"/>
      <c r="G361" s="111"/>
      <c r="H361" s="111"/>
      <c r="I361" s="112"/>
      <c r="J361" s="112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spans="1:26" ht="12" customHeight="1">
      <c r="A362" s="108"/>
      <c r="B362" s="108"/>
      <c r="C362" s="109"/>
      <c r="D362" s="109"/>
      <c r="E362" s="109"/>
      <c r="F362" s="109"/>
      <c r="G362" s="111"/>
      <c r="H362" s="111"/>
      <c r="I362" s="112"/>
      <c r="J362" s="112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spans="1:26" ht="12" customHeight="1">
      <c r="A363" s="108"/>
      <c r="B363" s="108"/>
      <c r="C363" s="109"/>
      <c r="D363" s="109"/>
      <c r="E363" s="109"/>
      <c r="F363" s="109"/>
      <c r="G363" s="111"/>
      <c r="H363" s="111"/>
      <c r="I363" s="112"/>
      <c r="J363" s="112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spans="1:26" ht="12" customHeight="1">
      <c r="A364" s="108"/>
      <c r="B364" s="108"/>
      <c r="C364" s="109"/>
      <c r="D364" s="109"/>
      <c r="E364" s="109"/>
      <c r="F364" s="109"/>
      <c r="G364" s="111"/>
      <c r="H364" s="111"/>
      <c r="I364" s="112"/>
      <c r="J364" s="112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spans="1:26" ht="12" customHeight="1">
      <c r="A365" s="108"/>
      <c r="B365" s="108"/>
      <c r="C365" s="109"/>
      <c r="D365" s="109"/>
      <c r="E365" s="109"/>
      <c r="F365" s="109"/>
      <c r="G365" s="111"/>
      <c r="H365" s="111"/>
      <c r="I365" s="112"/>
      <c r="J365" s="112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spans="1:26" ht="12" customHeight="1">
      <c r="A366" s="108"/>
      <c r="B366" s="108"/>
      <c r="C366" s="109"/>
      <c r="D366" s="109"/>
      <c r="E366" s="109"/>
      <c r="F366" s="109"/>
      <c r="G366" s="111"/>
      <c r="H366" s="111"/>
      <c r="I366" s="112"/>
      <c r="J366" s="112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spans="1:26" ht="12" customHeight="1">
      <c r="A367" s="108"/>
      <c r="B367" s="108"/>
      <c r="C367" s="109"/>
      <c r="D367" s="109"/>
      <c r="E367" s="109"/>
      <c r="F367" s="109"/>
      <c r="G367" s="111"/>
      <c r="H367" s="111"/>
      <c r="I367" s="112"/>
      <c r="J367" s="112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spans="1:26" ht="12" customHeight="1">
      <c r="A368" s="108"/>
      <c r="B368" s="108"/>
      <c r="C368" s="109"/>
      <c r="D368" s="109"/>
      <c r="E368" s="109"/>
      <c r="F368" s="109"/>
      <c r="G368" s="111"/>
      <c r="H368" s="111"/>
      <c r="I368" s="112"/>
      <c r="J368" s="112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spans="1:26" ht="12" customHeight="1">
      <c r="A369" s="108"/>
      <c r="B369" s="108"/>
      <c r="C369" s="109"/>
      <c r="D369" s="109"/>
      <c r="E369" s="109"/>
      <c r="F369" s="109"/>
      <c r="G369" s="111"/>
      <c r="H369" s="111"/>
      <c r="I369" s="112"/>
      <c r="J369" s="112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spans="1:26" ht="12" customHeight="1">
      <c r="A370" s="108"/>
      <c r="B370" s="108"/>
      <c r="C370" s="109"/>
      <c r="D370" s="109"/>
      <c r="E370" s="109"/>
      <c r="F370" s="109"/>
      <c r="G370" s="111"/>
      <c r="H370" s="111"/>
      <c r="I370" s="112"/>
      <c r="J370" s="112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spans="1:26" ht="12" customHeight="1">
      <c r="A371" s="108"/>
      <c r="B371" s="108"/>
      <c r="C371" s="109"/>
      <c r="D371" s="109"/>
      <c r="E371" s="109"/>
      <c r="F371" s="109"/>
      <c r="G371" s="111"/>
      <c r="H371" s="111"/>
      <c r="I371" s="112"/>
      <c r="J371" s="112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spans="1:26" ht="12" customHeight="1">
      <c r="A372" s="108"/>
      <c r="B372" s="108"/>
      <c r="C372" s="109"/>
      <c r="D372" s="109"/>
      <c r="E372" s="109"/>
      <c r="F372" s="109"/>
      <c r="G372" s="111"/>
      <c r="H372" s="111"/>
      <c r="I372" s="112"/>
      <c r="J372" s="112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spans="1:26" ht="12" customHeight="1">
      <c r="A373" s="108"/>
      <c r="B373" s="108"/>
      <c r="C373" s="109"/>
      <c r="D373" s="109"/>
      <c r="E373" s="109"/>
      <c r="F373" s="109"/>
      <c r="G373" s="111"/>
      <c r="H373" s="111"/>
      <c r="I373" s="112"/>
      <c r="J373" s="112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spans="1:26" ht="12" customHeight="1">
      <c r="A374" s="108"/>
      <c r="B374" s="108"/>
      <c r="C374" s="109"/>
      <c r="D374" s="109"/>
      <c r="E374" s="109"/>
      <c r="F374" s="109"/>
      <c r="G374" s="111"/>
      <c r="H374" s="111"/>
      <c r="I374" s="112"/>
      <c r="J374" s="112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spans="1:26" ht="12" customHeight="1">
      <c r="A375" s="108"/>
      <c r="B375" s="108"/>
      <c r="C375" s="109"/>
      <c r="D375" s="109"/>
      <c r="E375" s="109"/>
      <c r="F375" s="109"/>
      <c r="G375" s="111"/>
      <c r="H375" s="111"/>
      <c r="I375" s="112"/>
      <c r="J375" s="112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spans="1:26" ht="12" customHeight="1">
      <c r="A376" s="108"/>
      <c r="B376" s="108"/>
      <c r="C376" s="109"/>
      <c r="D376" s="109"/>
      <c r="E376" s="109"/>
      <c r="F376" s="109"/>
      <c r="G376" s="111"/>
      <c r="H376" s="111"/>
      <c r="I376" s="112"/>
      <c r="J376" s="112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spans="1:26" ht="12" customHeight="1">
      <c r="A377" s="108"/>
      <c r="B377" s="108"/>
      <c r="C377" s="109"/>
      <c r="D377" s="109"/>
      <c r="E377" s="109"/>
      <c r="F377" s="109"/>
      <c r="G377" s="111"/>
      <c r="H377" s="111"/>
      <c r="I377" s="112"/>
      <c r="J377" s="112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spans="1:26" ht="12" customHeight="1">
      <c r="A378" s="108"/>
      <c r="B378" s="108"/>
      <c r="C378" s="109"/>
      <c r="D378" s="109"/>
      <c r="E378" s="109"/>
      <c r="F378" s="109"/>
      <c r="G378" s="111"/>
      <c r="H378" s="111"/>
      <c r="I378" s="112"/>
      <c r="J378" s="112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spans="1:26" ht="12" customHeight="1">
      <c r="A379" s="108"/>
      <c r="B379" s="108"/>
      <c r="C379" s="109"/>
      <c r="D379" s="109"/>
      <c r="E379" s="109"/>
      <c r="F379" s="109"/>
      <c r="G379" s="111"/>
      <c r="H379" s="111"/>
      <c r="I379" s="112"/>
      <c r="J379" s="112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spans="1:26" ht="12" customHeight="1">
      <c r="A380" s="108"/>
      <c r="B380" s="108"/>
      <c r="C380" s="109"/>
      <c r="D380" s="109"/>
      <c r="E380" s="109"/>
      <c r="F380" s="109"/>
      <c r="G380" s="111"/>
      <c r="H380" s="111"/>
      <c r="I380" s="112"/>
      <c r="J380" s="112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spans="1:26" ht="12" customHeight="1">
      <c r="A381" s="108"/>
      <c r="B381" s="108"/>
      <c r="C381" s="109"/>
      <c r="D381" s="109"/>
      <c r="E381" s="109"/>
      <c r="F381" s="109"/>
      <c r="G381" s="111"/>
      <c r="H381" s="111"/>
      <c r="I381" s="112"/>
      <c r="J381" s="112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spans="1:26" ht="12" customHeight="1">
      <c r="A382" s="108"/>
      <c r="B382" s="108"/>
      <c r="C382" s="109"/>
      <c r="D382" s="109"/>
      <c r="E382" s="109"/>
      <c r="F382" s="109"/>
      <c r="G382" s="111"/>
      <c r="H382" s="111"/>
      <c r="I382" s="112"/>
      <c r="J382" s="112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spans="1:26" ht="12" customHeight="1">
      <c r="A383" s="108"/>
      <c r="B383" s="108"/>
      <c r="C383" s="109"/>
      <c r="D383" s="109"/>
      <c r="E383" s="109"/>
      <c r="F383" s="109"/>
      <c r="G383" s="111"/>
      <c r="H383" s="111"/>
      <c r="I383" s="112"/>
      <c r="J383" s="112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spans="1:26" ht="12" customHeight="1">
      <c r="A384" s="108"/>
      <c r="B384" s="108"/>
      <c r="C384" s="109"/>
      <c r="D384" s="109"/>
      <c r="E384" s="109"/>
      <c r="F384" s="109"/>
      <c r="G384" s="111"/>
      <c r="H384" s="111"/>
      <c r="I384" s="112"/>
      <c r="J384" s="112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spans="1:26" ht="12" customHeight="1">
      <c r="A385" s="108"/>
      <c r="B385" s="108"/>
      <c r="C385" s="109"/>
      <c r="D385" s="109"/>
      <c r="E385" s="109"/>
      <c r="F385" s="109"/>
      <c r="G385" s="111"/>
      <c r="H385" s="111"/>
      <c r="I385" s="112"/>
      <c r="J385" s="112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spans="1:26" ht="12" customHeight="1">
      <c r="A386" s="108"/>
      <c r="B386" s="108"/>
      <c r="C386" s="109"/>
      <c r="D386" s="109"/>
      <c r="E386" s="109"/>
      <c r="F386" s="109"/>
      <c r="G386" s="111"/>
      <c r="H386" s="111"/>
      <c r="I386" s="112"/>
      <c r="J386" s="112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spans="1:26" ht="12" customHeight="1">
      <c r="A387" s="108"/>
      <c r="B387" s="108"/>
      <c r="C387" s="109"/>
      <c r="D387" s="109"/>
      <c r="E387" s="109"/>
      <c r="F387" s="109"/>
      <c r="G387" s="111"/>
      <c r="H387" s="111"/>
      <c r="I387" s="112"/>
      <c r="J387" s="112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spans="1:26" ht="12" customHeight="1">
      <c r="A388" s="108"/>
      <c r="B388" s="108"/>
      <c r="C388" s="109"/>
      <c r="D388" s="109"/>
      <c r="E388" s="109"/>
      <c r="F388" s="109"/>
      <c r="G388" s="111"/>
      <c r="H388" s="111"/>
      <c r="I388" s="112"/>
      <c r="J388" s="112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spans="1:26" ht="12" customHeight="1">
      <c r="A389" s="108"/>
      <c r="B389" s="108"/>
      <c r="C389" s="109"/>
      <c r="D389" s="109"/>
      <c r="E389" s="109"/>
      <c r="F389" s="109"/>
      <c r="G389" s="111"/>
      <c r="H389" s="111"/>
      <c r="I389" s="112"/>
      <c r="J389" s="112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spans="1:26" ht="12" customHeight="1">
      <c r="A390" s="108"/>
      <c r="B390" s="108"/>
      <c r="C390" s="109"/>
      <c r="D390" s="109"/>
      <c r="E390" s="109"/>
      <c r="F390" s="109"/>
      <c r="G390" s="111"/>
      <c r="H390" s="111"/>
      <c r="I390" s="112"/>
      <c r="J390" s="112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spans="1:26" ht="12" customHeight="1">
      <c r="A391" s="108"/>
      <c r="B391" s="108"/>
      <c r="C391" s="109"/>
      <c r="D391" s="109"/>
      <c r="E391" s="109"/>
      <c r="F391" s="109"/>
      <c r="G391" s="111"/>
      <c r="H391" s="111"/>
      <c r="I391" s="112"/>
      <c r="J391" s="112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spans="1:26" ht="12" customHeight="1">
      <c r="A392" s="108"/>
      <c r="B392" s="108"/>
      <c r="C392" s="109"/>
      <c r="D392" s="109"/>
      <c r="E392" s="109"/>
      <c r="F392" s="109"/>
      <c r="G392" s="111"/>
      <c r="H392" s="111"/>
      <c r="I392" s="112"/>
      <c r="J392" s="112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spans="1:26" ht="12" customHeight="1">
      <c r="A393" s="108"/>
      <c r="B393" s="108"/>
      <c r="C393" s="109"/>
      <c r="D393" s="109"/>
      <c r="E393" s="109"/>
      <c r="F393" s="109"/>
      <c r="G393" s="111"/>
      <c r="H393" s="111"/>
      <c r="I393" s="112"/>
      <c r="J393" s="112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spans="1:26" ht="12" customHeight="1">
      <c r="A394" s="108"/>
      <c r="B394" s="108"/>
      <c r="C394" s="109"/>
      <c r="D394" s="109"/>
      <c r="E394" s="109"/>
      <c r="F394" s="109"/>
      <c r="G394" s="111"/>
      <c r="H394" s="111"/>
      <c r="I394" s="112"/>
      <c r="J394" s="112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spans="1:26" ht="12" customHeight="1">
      <c r="A395" s="108"/>
      <c r="B395" s="108"/>
      <c r="C395" s="109"/>
      <c r="D395" s="109"/>
      <c r="E395" s="109"/>
      <c r="F395" s="109"/>
      <c r="G395" s="111"/>
      <c r="H395" s="111"/>
      <c r="I395" s="112"/>
      <c r="J395" s="112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spans="1:26" ht="12" customHeight="1">
      <c r="A396" s="108"/>
      <c r="B396" s="108"/>
      <c r="C396" s="109"/>
      <c r="D396" s="109"/>
      <c r="E396" s="109"/>
      <c r="F396" s="109"/>
      <c r="G396" s="111"/>
      <c r="H396" s="111"/>
      <c r="I396" s="112"/>
      <c r="J396" s="112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spans="1:26" ht="12" customHeight="1">
      <c r="A397" s="108"/>
      <c r="B397" s="108"/>
      <c r="C397" s="109"/>
      <c r="D397" s="109"/>
      <c r="E397" s="109"/>
      <c r="F397" s="109"/>
      <c r="G397" s="111"/>
      <c r="H397" s="111"/>
      <c r="I397" s="112"/>
      <c r="J397" s="112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spans="1:26" ht="12" customHeight="1">
      <c r="A398" s="108"/>
      <c r="B398" s="108"/>
      <c r="C398" s="109"/>
      <c r="D398" s="109"/>
      <c r="E398" s="109"/>
      <c r="F398" s="109"/>
      <c r="G398" s="111"/>
      <c r="H398" s="111"/>
      <c r="I398" s="112"/>
      <c r="J398" s="112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spans="1:26" ht="12" customHeight="1">
      <c r="A399" s="108"/>
      <c r="B399" s="108"/>
      <c r="C399" s="109"/>
      <c r="D399" s="109"/>
      <c r="E399" s="109"/>
      <c r="F399" s="109"/>
      <c r="G399" s="111"/>
      <c r="H399" s="111"/>
      <c r="I399" s="112"/>
      <c r="J399" s="112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spans="1:26" ht="12" customHeight="1">
      <c r="A400" s="108"/>
      <c r="B400" s="108"/>
      <c r="C400" s="109"/>
      <c r="D400" s="109"/>
      <c r="E400" s="109"/>
      <c r="F400" s="109"/>
      <c r="G400" s="111"/>
      <c r="H400" s="111"/>
      <c r="I400" s="112"/>
      <c r="J400" s="112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spans="1:26" ht="12" customHeight="1">
      <c r="A401" s="108"/>
      <c r="B401" s="108"/>
      <c r="C401" s="109"/>
      <c r="D401" s="109"/>
      <c r="E401" s="109"/>
      <c r="F401" s="109"/>
      <c r="G401" s="111"/>
      <c r="H401" s="111"/>
      <c r="I401" s="112"/>
      <c r="J401" s="112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spans="1:26" ht="12" customHeight="1">
      <c r="A402" s="108"/>
      <c r="B402" s="108"/>
      <c r="C402" s="109"/>
      <c r="D402" s="109"/>
      <c r="E402" s="109"/>
      <c r="F402" s="109"/>
      <c r="G402" s="111"/>
      <c r="H402" s="111"/>
      <c r="I402" s="112"/>
      <c r="J402" s="112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spans="1:26" ht="12" customHeight="1">
      <c r="A403" s="108"/>
      <c r="B403" s="108"/>
      <c r="C403" s="109"/>
      <c r="D403" s="109"/>
      <c r="E403" s="109"/>
      <c r="F403" s="109"/>
      <c r="G403" s="111"/>
      <c r="H403" s="111"/>
      <c r="I403" s="112"/>
      <c r="J403" s="112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spans="1:26" ht="12" customHeight="1">
      <c r="A404" s="108"/>
      <c r="B404" s="108"/>
      <c r="C404" s="109"/>
      <c r="D404" s="109"/>
      <c r="E404" s="109"/>
      <c r="F404" s="109"/>
      <c r="G404" s="111"/>
      <c r="H404" s="111"/>
      <c r="I404" s="112"/>
      <c r="J404" s="112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spans="1:26" ht="12" customHeight="1">
      <c r="A405" s="108"/>
      <c r="B405" s="108"/>
      <c r="C405" s="109"/>
      <c r="D405" s="109"/>
      <c r="E405" s="109"/>
      <c r="F405" s="109"/>
      <c r="G405" s="111"/>
      <c r="H405" s="111"/>
      <c r="I405" s="112"/>
      <c r="J405" s="112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spans="1:26" ht="12" customHeight="1">
      <c r="A406" s="108"/>
      <c r="B406" s="108"/>
      <c r="C406" s="109"/>
      <c r="D406" s="109"/>
      <c r="E406" s="109"/>
      <c r="F406" s="109"/>
      <c r="G406" s="111"/>
      <c r="H406" s="111"/>
      <c r="I406" s="112"/>
      <c r="J406" s="112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spans="1:26" ht="12" customHeight="1">
      <c r="A407" s="108"/>
      <c r="B407" s="108"/>
      <c r="C407" s="109"/>
      <c r="D407" s="109"/>
      <c r="E407" s="109"/>
      <c r="F407" s="109"/>
      <c r="G407" s="111"/>
      <c r="H407" s="111"/>
      <c r="I407" s="112"/>
      <c r="J407" s="112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spans="1:26" ht="12" customHeight="1">
      <c r="A408" s="108"/>
      <c r="B408" s="108"/>
      <c r="C408" s="109"/>
      <c r="D408" s="109"/>
      <c r="E408" s="109"/>
      <c r="F408" s="109"/>
      <c r="G408" s="111"/>
      <c r="H408" s="111"/>
      <c r="I408" s="112"/>
      <c r="J408" s="112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spans="1:26" ht="12" customHeight="1">
      <c r="A409" s="108"/>
      <c r="B409" s="108"/>
      <c r="C409" s="109"/>
      <c r="D409" s="109"/>
      <c r="E409" s="109"/>
      <c r="F409" s="109"/>
      <c r="G409" s="111"/>
      <c r="H409" s="111"/>
      <c r="I409" s="112"/>
      <c r="J409" s="112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spans="1:26" ht="12" customHeight="1">
      <c r="A410" s="108"/>
      <c r="B410" s="108"/>
      <c r="C410" s="109"/>
      <c r="D410" s="109"/>
      <c r="E410" s="109"/>
      <c r="F410" s="109"/>
      <c r="G410" s="111"/>
      <c r="H410" s="111"/>
      <c r="I410" s="112"/>
      <c r="J410" s="112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spans="1:26" ht="12" customHeight="1">
      <c r="A411" s="108"/>
      <c r="B411" s="108"/>
      <c r="C411" s="109"/>
      <c r="D411" s="109"/>
      <c r="E411" s="109"/>
      <c r="F411" s="109"/>
      <c r="G411" s="111"/>
      <c r="H411" s="111"/>
      <c r="I411" s="112"/>
      <c r="J411" s="112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spans="1:26" ht="12" customHeight="1">
      <c r="A412" s="108"/>
      <c r="B412" s="108"/>
      <c r="C412" s="109"/>
      <c r="D412" s="109"/>
      <c r="E412" s="109"/>
      <c r="F412" s="109"/>
      <c r="G412" s="111"/>
      <c r="H412" s="111"/>
      <c r="I412" s="112"/>
      <c r="J412" s="112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spans="1:26" ht="12" customHeight="1">
      <c r="A413" s="108"/>
      <c r="B413" s="108"/>
      <c r="C413" s="109"/>
      <c r="D413" s="109"/>
      <c r="E413" s="109"/>
      <c r="F413" s="109"/>
      <c r="G413" s="111"/>
      <c r="H413" s="111"/>
      <c r="I413" s="112"/>
      <c r="J413" s="112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spans="1:26" ht="12" customHeight="1">
      <c r="A414" s="108"/>
      <c r="B414" s="108"/>
      <c r="C414" s="109"/>
      <c r="D414" s="109"/>
      <c r="E414" s="109"/>
      <c r="F414" s="109"/>
      <c r="G414" s="111"/>
      <c r="H414" s="111"/>
      <c r="I414" s="112"/>
      <c r="J414" s="112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spans="1:26" ht="12" customHeight="1">
      <c r="A415" s="108"/>
      <c r="B415" s="108"/>
      <c r="C415" s="109"/>
      <c r="D415" s="109"/>
      <c r="E415" s="109"/>
      <c r="F415" s="109"/>
      <c r="G415" s="111"/>
      <c r="H415" s="111"/>
      <c r="I415" s="112"/>
      <c r="J415" s="112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spans="1:26" ht="12" customHeight="1">
      <c r="A416" s="108"/>
      <c r="B416" s="108"/>
      <c r="C416" s="109"/>
      <c r="D416" s="109"/>
      <c r="E416" s="109"/>
      <c r="F416" s="109"/>
      <c r="G416" s="111"/>
      <c r="H416" s="111"/>
      <c r="I416" s="112"/>
      <c r="J416" s="112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spans="1:26" ht="12" customHeight="1">
      <c r="A417" s="108"/>
      <c r="B417" s="108"/>
      <c r="C417" s="109"/>
      <c r="D417" s="109"/>
      <c r="E417" s="109"/>
      <c r="F417" s="109"/>
      <c r="G417" s="111"/>
      <c r="H417" s="111"/>
      <c r="I417" s="112"/>
      <c r="J417" s="112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spans="1:26" ht="12" customHeight="1">
      <c r="A418" s="108"/>
      <c r="B418" s="108"/>
      <c r="C418" s="109"/>
      <c r="D418" s="109"/>
      <c r="E418" s="109"/>
      <c r="F418" s="109"/>
      <c r="G418" s="111"/>
      <c r="H418" s="111"/>
      <c r="I418" s="112"/>
      <c r="J418" s="112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spans="1:26" ht="12" customHeight="1">
      <c r="A419" s="108"/>
      <c r="B419" s="108"/>
      <c r="C419" s="109"/>
      <c r="D419" s="109"/>
      <c r="E419" s="109"/>
      <c r="F419" s="109"/>
      <c r="G419" s="111"/>
      <c r="H419" s="111"/>
      <c r="I419" s="112"/>
      <c r="J419" s="112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spans="1:26" ht="12" customHeight="1">
      <c r="A420" s="108"/>
      <c r="B420" s="108"/>
      <c r="C420" s="109"/>
      <c r="D420" s="109"/>
      <c r="E420" s="109"/>
      <c r="F420" s="109"/>
      <c r="G420" s="111"/>
      <c r="H420" s="111"/>
      <c r="I420" s="112"/>
      <c r="J420" s="112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spans="1:26" ht="12" customHeight="1">
      <c r="A421" s="108"/>
      <c r="B421" s="108"/>
      <c r="C421" s="109"/>
      <c r="D421" s="109"/>
      <c r="E421" s="109"/>
      <c r="F421" s="109"/>
      <c r="G421" s="111"/>
      <c r="H421" s="111"/>
      <c r="I421" s="112"/>
      <c r="J421" s="112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spans="1:26" ht="12" customHeight="1">
      <c r="A422" s="108"/>
      <c r="B422" s="108"/>
      <c r="C422" s="109"/>
      <c r="D422" s="109"/>
      <c r="E422" s="109"/>
      <c r="F422" s="109"/>
      <c r="G422" s="111"/>
      <c r="H422" s="111"/>
      <c r="I422" s="112"/>
      <c r="J422" s="112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spans="1:26" ht="12" customHeight="1">
      <c r="A423" s="108"/>
      <c r="B423" s="108"/>
      <c r="C423" s="109"/>
      <c r="D423" s="109"/>
      <c r="E423" s="109"/>
      <c r="F423" s="109"/>
      <c r="G423" s="111"/>
      <c r="H423" s="111"/>
      <c r="I423" s="112"/>
      <c r="J423" s="112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spans="1:26" ht="12" customHeight="1">
      <c r="A424" s="108"/>
      <c r="B424" s="108"/>
      <c r="C424" s="109"/>
      <c r="D424" s="109"/>
      <c r="E424" s="109"/>
      <c r="F424" s="109"/>
      <c r="G424" s="111"/>
      <c r="H424" s="111"/>
      <c r="I424" s="112"/>
      <c r="J424" s="112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spans="1:26" ht="12" customHeight="1">
      <c r="A425" s="108"/>
      <c r="B425" s="108"/>
      <c r="C425" s="109"/>
      <c r="D425" s="109"/>
      <c r="E425" s="109"/>
      <c r="F425" s="109"/>
      <c r="G425" s="111"/>
      <c r="H425" s="111"/>
      <c r="I425" s="112"/>
      <c r="J425" s="112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spans="1:26" ht="12" customHeight="1">
      <c r="A426" s="108"/>
      <c r="B426" s="108"/>
      <c r="C426" s="109"/>
      <c r="D426" s="109"/>
      <c r="E426" s="109"/>
      <c r="F426" s="109"/>
      <c r="G426" s="111"/>
      <c r="H426" s="111"/>
      <c r="I426" s="112"/>
      <c r="J426" s="112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spans="1:26" ht="12" customHeight="1">
      <c r="A427" s="108"/>
      <c r="B427" s="108"/>
      <c r="C427" s="109"/>
      <c r="D427" s="109"/>
      <c r="E427" s="109"/>
      <c r="F427" s="109"/>
      <c r="G427" s="111"/>
      <c r="H427" s="111"/>
      <c r="I427" s="112"/>
      <c r="J427" s="112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spans="1:26" ht="12" customHeight="1">
      <c r="A428" s="108"/>
      <c r="B428" s="108"/>
      <c r="C428" s="109"/>
      <c r="D428" s="109"/>
      <c r="E428" s="109"/>
      <c r="F428" s="109"/>
      <c r="G428" s="111"/>
      <c r="H428" s="111"/>
      <c r="I428" s="112"/>
      <c r="J428" s="112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spans="1:26" ht="12" customHeight="1">
      <c r="A429" s="108"/>
      <c r="B429" s="108"/>
      <c r="C429" s="109"/>
      <c r="D429" s="109"/>
      <c r="E429" s="109"/>
      <c r="F429" s="109"/>
      <c r="G429" s="111"/>
      <c r="H429" s="111"/>
      <c r="I429" s="112"/>
      <c r="J429" s="112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spans="1:26" ht="12" customHeight="1">
      <c r="A430" s="108"/>
      <c r="B430" s="108"/>
      <c r="C430" s="109"/>
      <c r="D430" s="109"/>
      <c r="E430" s="109"/>
      <c r="F430" s="109"/>
      <c r="G430" s="111"/>
      <c r="H430" s="111"/>
      <c r="I430" s="112"/>
      <c r="J430" s="112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spans="1:26" ht="12" customHeight="1">
      <c r="A431" s="108"/>
      <c r="B431" s="108"/>
      <c r="C431" s="109"/>
      <c r="D431" s="109"/>
      <c r="E431" s="109"/>
      <c r="F431" s="109"/>
      <c r="G431" s="111"/>
      <c r="H431" s="111"/>
      <c r="I431" s="112"/>
      <c r="J431" s="112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spans="1:26" ht="12" customHeight="1">
      <c r="A432" s="108"/>
      <c r="B432" s="108"/>
      <c r="C432" s="109"/>
      <c r="D432" s="109"/>
      <c r="E432" s="109"/>
      <c r="F432" s="109"/>
      <c r="G432" s="111"/>
      <c r="H432" s="111"/>
      <c r="I432" s="112"/>
      <c r="J432" s="112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spans="1:26" ht="12" customHeight="1">
      <c r="A433" s="108"/>
      <c r="B433" s="108"/>
      <c r="C433" s="109"/>
      <c r="D433" s="109"/>
      <c r="E433" s="109"/>
      <c r="F433" s="109"/>
      <c r="G433" s="111"/>
      <c r="H433" s="111"/>
      <c r="I433" s="112"/>
      <c r="J433" s="112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spans="1:26" ht="12" customHeight="1">
      <c r="A434" s="108"/>
      <c r="B434" s="108"/>
      <c r="C434" s="109"/>
      <c r="D434" s="109"/>
      <c r="E434" s="109"/>
      <c r="F434" s="109"/>
      <c r="G434" s="111"/>
      <c r="H434" s="111"/>
      <c r="I434" s="112"/>
      <c r="J434" s="112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spans="1:26" ht="12" customHeight="1">
      <c r="A435" s="108"/>
      <c r="B435" s="108"/>
      <c r="C435" s="109"/>
      <c r="D435" s="109"/>
      <c r="E435" s="109"/>
      <c r="F435" s="109"/>
      <c r="G435" s="111"/>
      <c r="H435" s="111"/>
      <c r="I435" s="112"/>
      <c r="J435" s="112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spans="1:26" ht="12" customHeight="1">
      <c r="A436" s="108"/>
      <c r="B436" s="108"/>
      <c r="C436" s="109"/>
      <c r="D436" s="109"/>
      <c r="E436" s="109"/>
      <c r="F436" s="109"/>
      <c r="G436" s="111"/>
      <c r="H436" s="111"/>
      <c r="I436" s="112"/>
      <c r="J436" s="112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spans="1:26" ht="12" customHeight="1">
      <c r="A437" s="108"/>
      <c r="B437" s="108"/>
      <c r="C437" s="109"/>
      <c r="D437" s="109"/>
      <c r="E437" s="109"/>
      <c r="F437" s="109"/>
      <c r="G437" s="111"/>
      <c r="H437" s="111"/>
      <c r="I437" s="112"/>
      <c r="J437" s="112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spans="1:26" ht="12" customHeight="1">
      <c r="A438" s="108"/>
      <c r="B438" s="108"/>
      <c r="C438" s="109"/>
      <c r="D438" s="109"/>
      <c r="E438" s="109"/>
      <c r="F438" s="109"/>
      <c r="G438" s="111"/>
      <c r="H438" s="111"/>
      <c r="I438" s="112"/>
      <c r="J438" s="112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spans="1:26" ht="12" customHeight="1">
      <c r="A439" s="108"/>
      <c r="B439" s="108"/>
      <c r="C439" s="109"/>
      <c r="D439" s="109"/>
      <c r="E439" s="109"/>
      <c r="F439" s="109"/>
      <c r="G439" s="111"/>
      <c r="H439" s="111"/>
      <c r="I439" s="112"/>
      <c r="J439" s="112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spans="1:26" ht="12" customHeight="1">
      <c r="A440" s="108"/>
      <c r="B440" s="108"/>
      <c r="C440" s="109"/>
      <c r="D440" s="109"/>
      <c r="E440" s="109"/>
      <c r="F440" s="109"/>
      <c r="G440" s="111"/>
      <c r="H440" s="111"/>
      <c r="I440" s="112"/>
      <c r="J440" s="112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spans="1:26" ht="12" customHeight="1">
      <c r="A441" s="108"/>
      <c r="B441" s="108"/>
      <c r="C441" s="109"/>
      <c r="D441" s="109"/>
      <c r="E441" s="109"/>
      <c r="F441" s="109"/>
      <c r="G441" s="111"/>
      <c r="H441" s="111"/>
      <c r="I441" s="112"/>
      <c r="J441" s="112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spans="1:26" ht="12" customHeight="1">
      <c r="A442" s="108"/>
      <c r="B442" s="108"/>
      <c r="C442" s="109"/>
      <c r="D442" s="109"/>
      <c r="E442" s="109"/>
      <c r="F442" s="109"/>
      <c r="G442" s="111"/>
      <c r="H442" s="111"/>
      <c r="I442" s="112"/>
      <c r="J442" s="112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spans="1:26" ht="12" customHeight="1">
      <c r="A443" s="108"/>
      <c r="B443" s="108"/>
      <c r="C443" s="109"/>
      <c r="D443" s="109"/>
      <c r="E443" s="109"/>
      <c r="F443" s="109"/>
      <c r="G443" s="111"/>
      <c r="H443" s="111"/>
      <c r="I443" s="112"/>
      <c r="J443" s="112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spans="1:26" ht="12" customHeight="1">
      <c r="A444" s="108"/>
      <c r="B444" s="108"/>
      <c r="C444" s="109"/>
      <c r="D444" s="109"/>
      <c r="E444" s="109"/>
      <c r="F444" s="109"/>
      <c r="G444" s="111"/>
      <c r="H444" s="111"/>
      <c r="I444" s="112"/>
      <c r="J444" s="112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spans="1:26" ht="12" customHeight="1">
      <c r="A445" s="108"/>
      <c r="B445" s="108"/>
      <c r="C445" s="109"/>
      <c r="D445" s="109"/>
      <c r="E445" s="109"/>
      <c r="F445" s="109"/>
      <c r="G445" s="111"/>
      <c r="H445" s="111"/>
      <c r="I445" s="112"/>
      <c r="J445" s="112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spans="1:26" ht="12" customHeight="1">
      <c r="A446" s="108"/>
      <c r="B446" s="108"/>
      <c r="C446" s="109"/>
      <c r="D446" s="109"/>
      <c r="E446" s="109"/>
      <c r="F446" s="109"/>
      <c r="G446" s="111"/>
      <c r="H446" s="111"/>
      <c r="I446" s="112"/>
      <c r="J446" s="112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spans="1:26" ht="12" customHeight="1">
      <c r="A447" s="108"/>
      <c r="B447" s="108"/>
      <c r="C447" s="109"/>
      <c r="D447" s="109"/>
      <c r="E447" s="109"/>
      <c r="F447" s="109"/>
      <c r="G447" s="111"/>
      <c r="H447" s="111"/>
      <c r="I447" s="112"/>
      <c r="J447" s="112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spans="1:26" ht="12" customHeight="1">
      <c r="A448" s="108"/>
      <c r="B448" s="108"/>
      <c r="C448" s="109"/>
      <c r="D448" s="109"/>
      <c r="E448" s="109"/>
      <c r="F448" s="109"/>
      <c r="G448" s="111"/>
      <c r="H448" s="111"/>
      <c r="I448" s="112"/>
      <c r="J448" s="112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spans="1:26" ht="12" customHeight="1">
      <c r="A449" s="108"/>
      <c r="B449" s="108"/>
      <c r="C449" s="109"/>
      <c r="D449" s="109"/>
      <c r="E449" s="109"/>
      <c r="F449" s="109"/>
      <c r="G449" s="111"/>
      <c r="H449" s="111"/>
      <c r="I449" s="112"/>
      <c r="J449" s="112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spans="1:26" ht="12" customHeight="1">
      <c r="A450" s="108"/>
      <c r="B450" s="108"/>
      <c r="C450" s="109"/>
      <c r="D450" s="109"/>
      <c r="E450" s="109"/>
      <c r="F450" s="109"/>
      <c r="G450" s="111"/>
      <c r="H450" s="111"/>
      <c r="I450" s="112"/>
      <c r="J450" s="112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spans="1:26" ht="12" customHeight="1">
      <c r="A451" s="108"/>
      <c r="B451" s="108"/>
      <c r="C451" s="109"/>
      <c r="D451" s="109"/>
      <c r="E451" s="109"/>
      <c r="F451" s="109"/>
      <c r="G451" s="111"/>
      <c r="H451" s="111"/>
      <c r="I451" s="112"/>
      <c r="J451" s="112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spans="1:26" ht="12" customHeight="1">
      <c r="A452" s="108"/>
      <c r="B452" s="108"/>
      <c r="C452" s="109"/>
      <c r="D452" s="109"/>
      <c r="E452" s="109"/>
      <c r="F452" s="109"/>
      <c r="G452" s="111"/>
      <c r="H452" s="111"/>
      <c r="I452" s="112"/>
      <c r="J452" s="112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spans="1:26" ht="12" customHeight="1">
      <c r="A453" s="108"/>
      <c r="B453" s="108"/>
      <c r="C453" s="109"/>
      <c r="D453" s="109"/>
      <c r="E453" s="109"/>
      <c r="F453" s="109"/>
      <c r="G453" s="111"/>
      <c r="H453" s="111"/>
      <c r="I453" s="112"/>
      <c r="J453" s="112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spans="1:26" ht="12" customHeight="1">
      <c r="A454" s="108"/>
      <c r="B454" s="108"/>
      <c r="C454" s="109"/>
      <c r="D454" s="109"/>
      <c r="E454" s="109"/>
      <c r="F454" s="109"/>
      <c r="G454" s="111"/>
      <c r="H454" s="111"/>
      <c r="I454" s="112"/>
      <c r="J454" s="112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spans="1:26" ht="12" customHeight="1">
      <c r="A455" s="108"/>
      <c r="B455" s="108"/>
      <c r="C455" s="109"/>
      <c r="D455" s="109"/>
      <c r="E455" s="109"/>
      <c r="F455" s="109"/>
      <c r="G455" s="111"/>
      <c r="H455" s="111"/>
      <c r="I455" s="112"/>
      <c r="J455" s="112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spans="1:26" ht="12" customHeight="1">
      <c r="A456" s="108"/>
      <c r="B456" s="108"/>
      <c r="C456" s="109"/>
      <c r="D456" s="109"/>
      <c r="E456" s="109"/>
      <c r="F456" s="109"/>
      <c r="G456" s="111"/>
      <c r="H456" s="111"/>
      <c r="I456" s="112"/>
      <c r="J456" s="112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spans="1:26" ht="12" customHeight="1">
      <c r="A457" s="108"/>
      <c r="B457" s="108"/>
      <c r="C457" s="109"/>
      <c r="D457" s="109"/>
      <c r="E457" s="109"/>
      <c r="F457" s="109"/>
      <c r="G457" s="111"/>
      <c r="H457" s="111"/>
      <c r="I457" s="112"/>
      <c r="J457" s="112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spans="1:26" ht="12" customHeight="1">
      <c r="A458" s="108"/>
      <c r="B458" s="108"/>
      <c r="C458" s="109"/>
      <c r="D458" s="109"/>
      <c r="E458" s="109"/>
      <c r="F458" s="109"/>
      <c r="G458" s="111"/>
      <c r="H458" s="111"/>
      <c r="I458" s="112"/>
      <c r="J458" s="112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spans="1:26" ht="12" customHeight="1">
      <c r="A459" s="108"/>
      <c r="B459" s="108"/>
      <c r="C459" s="109"/>
      <c r="D459" s="109"/>
      <c r="E459" s="109"/>
      <c r="F459" s="109"/>
      <c r="G459" s="111"/>
      <c r="H459" s="111"/>
      <c r="I459" s="112"/>
      <c r="J459" s="112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spans="1:26" ht="12" customHeight="1">
      <c r="A460" s="108"/>
      <c r="B460" s="108"/>
      <c r="C460" s="109"/>
      <c r="D460" s="109"/>
      <c r="E460" s="109"/>
      <c r="F460" s="109"/>
      <c r="G460" s="111"/>
      <c r="H460" s="111"/>
      <c r="I460" s="112"/>
      <c r="J460" s="112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spans="1:26" ht="12" customHeight="1">
      <c r="A461" s="108"/>
      <c r="B461" s="108"/>
      <c r="C461" s="109"/>
      <c r="D461" s="109"/>
      <c r="E461" s="109"/>
      <c r="F461" s="109"/>
      <c r="G461" s="111"/>
      <c r="H461" s="111"/>
      <c r="I461" s="112"/>
      <c r="J461" s="112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spans="1:26" ht="12" customHeight="1">
      <c r="A462" s="108"/>
      <c r="B462" s="108"/>
      <c r="C462" s="109"/>
      <c r="D462" s="109"/>
      <c r="E462" s="109"/>
      <c r="F462" s="109"/>
      <c r="G462" s="111"/>
      <c r="H462" s="111"/>
      <c r="I462" s="112"/>
      <c r="J462" s="112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spans="1:26" ht="12" customHeight="1">
      <c r="A463" s="108"/>
      <c r="B463" s="108"/>
      <c r="C463" s="109"/>
      <c r="D463" s="109"/>
      <c r="E463" s="109"/>
      <c r="F463" s="109"/>
      <c r="G463" s="111"/>
      <c r="H463" s="111"/>
      <c r="I463" s="112"/>
      <c r="J463" s="112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spans="1:26" ht="12" customHeight="1">
      <c r="A464" s="108"/>
      <c r="B464" s="108"/>
      <c r="C464" s="109"/>
      <c r="D464" s="109"/>
      <c r="E464" s="109"/>
      <c r="F464" s="109"/>
      <c r="G464" s="111"/>
      <c r="H464" s="111"/>
      <c r="I464" s="112"/>
      <c r="J464" s="112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spans="1:26" ht="12" customHeight="1">
      <c r="A465" s="108"/>
      <c r="B465" s="108"/>
      <c r="C465" s="109"/>
      <c r="D465" s="109"/>
      <c r="E465" s="109"/>
      <c r="F465" s="109"/>
      <c r="G465" s="111"/>
      <c r="H465" s="111"/>
      <c r="I465" s="112"/>
      <c r="J465" s="112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spans="1:26" ht="12" customHeight="1">
      <c r="A466" s="108"/>
      <c r="B466" s="108"/>
      <c r="C466" s="109"/>
      <c r="D466" s="109"/>
      <c r="E466" s="109"/>
      <c r="F466" s="109"/>
      <c r="G466" s="111"/>
      <c r="H466" s="111"/>
      <c r="I466" s="112"/>
      <c r="J466" s="112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spans="1:26" ht="12" customHeight="1">
      <c r="A467" s="108"/>
      <c r="B467" s="108"/>
      <c r="C467" s="109"/>
      <c r="D467" s="109"/>
      <c r="E467" s="109"/>
      <c r="F467" s="109"/>
      <c r="G467" s="111"/>
      <c r="H467" s="111"/>
      <c r="I467" s="112"/>
      <c r="J467" s="112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spans="1:26" ht="12" customHeight="1">
      <c r="A468" s="108"/>
      <c r="B468" s="108"/>
      <c r="C468" s="109"/>
      <c r="D468" s="109"/>
      <c r="E468" s="109"/>
      <c r="F468" s="109"/>
      <c r="G468" s="111"/>
      <c r="H468" s="111"/>
      <c r="I468" s="112"/>
      <c r="J468" s="112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spans="1:26" ht="12" customHeight="1">
      <c r="A469" s="108"/>
      <c r="B469" s="108"/>
      <c r="C469" s="109"/>
      <c r="D469" s="109"/>
      <c r="E469" s="109"/>
      <c r="F469" s="109"/>
      <c r="G469" s="111"/>
      <c r="H469" s="111"/>
      <c r="I469" s="112"/>
      <c r="J469" s="112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spans="1:26" ht="12" customHeight="1">
      <c r="A470" s="108"/>
      <c r="B470" s="108"/>
      <c r="C470" s="109"/>
      <c r="D470" s="109"/>
      <c r="E470" s="109"/>
      <c r="F470" s="109"/>
      <c r="G470" s="111"/>
      <c r="H470" s="111"/>
      <c r="I470" s="112"/>
      <c r="J470" s="112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spans="1:26" ht="12" customHeight="1">
      <c r="A471" s="108"/>
      <c r="B471" s="108"/>
      <c r="C471" s="109"/>
      <c r="D471" s="109"/>
      <c r="E471" s="109"/>
      <c r="F471" s="109"/>
      <c r="G471" s="111"/>
      <c r="H471" s="111"/>
      <c r="I471" s="112"/>
      <c r="J471" s="112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spans="1:26" ht="12" customHeight="1">
      <c r="A472" s="108"/>
      <c r="B472" s="108"/>
      <c r="C472" s="109"/>
      <c r="D472" s="109"/>
      <c r="E472" s="109"/>
      <c r="F472" s="109"/>
      <c r="G472" s="111"/>
      <c r="H472" s="111"/>
      <c r="I472" s="112"/>
      <c r="J472" s="112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spans="1:26" ht="12" customHeight="1">
      <c r="A473" s="108"/>
      <c r="B473" s="108"/>
      <c r="C473" s="109"/>
      <c r="D473" s="109"/>
      <c r="E473" s="109"/>
      <c r="F473" s="109"/>
      <c r="G473" s="111"/>
      <c r="H473" s="111"/>
      <c r="I473" s="112"/>
      <c r="J473" s="112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spans="1:26" ht="12" customHeight="1">
      <c r="A474" s="108"/>
      <c r="B474" s="108"/>
      <c r="C474" s="109"/>
      <c r="D474" s="109"/>
      <c r="E474" s="109"/>
      <c r="F474" s="109"/>
      <c r="G474" s="111"/>
      <c r="H474" s="111"/>
      <c r="I474" s="112"/>
      <c r="J474" s="112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spans="1:26" ht="12" customHeight="1">
      <c r="A475" s="108"/>
      <c r="B475" s="108"/>
      <c r="C475" s="109"/>
      <c r="D475" s="109"/>
      <c r="E475" s="109"/>
      <c r="F475" s="109"/>
      <c r="G475" s="111"/>
      <c r="H475" s="111"/>
      <c r="I475" s="112"/>
      <c r="J475" s="112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spans="1:26" ht="12" customHeight="1">
      <c r="A476" s="108"/>
      <c r="B476" s="108"/>
      <c r="C476" s="109"/>
      <c r="D476" s="109"/>
      <c r="E476" s="109"/>
      <c r="F476" s="109"/>
      <c r="G476" s="111"/>
      <c r="H476" s="111"/>
      <c r="I476" s="112"/>
      <c r="J476" s="112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spans="1:26" ht="12" customHeight="1">
      <c r="A477" s="108"/>
      <c r="B477" s="108"/>
      <c r="C477" s="109"/>
      <c r="D477" s="109"/>
      <c r="E477" s="109"/>
      <c r="F477" s="109"/>
      <c r="G477" s="111"/>
      <c r="H477" s="111"/>
      <c r="I477" s="112"/>
      <c r="J477" s="112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spans="1:26" ht="12" customHeight="1">
      <c r="A478" s="108"/>
      <c r="B478" s="108"/>
      <c r="C478" s="109"/>
      <c r="D478" s="109"/>
      <c r="E478" s="109"/>
      <c r="F478" s="109"/>
      <c r="G478" s="111"/>
      <c r="H478" s="111"/>
      <c r="I478" s="112"/>
      <c r="J478" s="112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spans="1:26" ht="12" customHeight="1">
      <c r="A479" s="108"/>
      <c r="B479" s="108"/>
      <c r="C479" s="109"/>
      <c r="D479" s="109"/>
      <c r="E479" s="109"/>
      <c r="F479" s="109"/>
      <c r="G479" s="111"/>
      <c r="H479" s="111"/>
      <c r="I479" s="112"/>
      <c r="J479" s="112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spans="1:26" ht="12" customHeight="1">
      <c r="A480" s="108"/>
      <c r="B480" s="108"/>
      <c r="C480" s="109"/>
      <c r="D480" s="109"/>
      <c r="E480" s="109"/>
      <c r="F480" s="109"/>
      <c r="G480" s="111"/>
      <c r="H480" s="111"/>
      <c r="I480" s="112"/>
      <c r="J480" s="112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spans="1:26" ht="12" customHeight="1">
      <c r="A481" s="108"/>
      <c r="B481" s="108"/>
      <c r="C481" s="109"/>
      <c r="D481" s="109"/>
      <c r="E481" s="109"/>
      <c r="F481" s="109"/>
      <c r="G481" s="111"/>
      <c r="H481" s="111"/>
      <c r="I481" s="112"/>
      <c r="J481" s="112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spans="1:26" ht="12" customHeight="1">
      <c r="A482" s="108"/>
      <c r="B482" s="108"/>
      <c r="C482" s="109"/>
      <c r="D482" s="109"/>
      <c r="E482" s="109"/>
      <c r="F482" s="109"/>
      <c r="G482" s="111"/>
      <c r="H482" s="111"/>
      <c r="I482" s="112"/>
      <c r="J482" s="112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spans="1:26" ht="12" customHeight="1">
      <c r="A483" s="108"/>
      <c r="B483" s="108"/>
      <c r="C483" s="109"/>
      <c r="D483" s="109"/>
      <c r="E483" s="109"/>
      <c r="F483" s="109"/>
      <c r="G483" s="111"/>
      <c r="H483" s="111"/>
      <c r="I483" s="112"/>
      <c r="J483" s="112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spans="1:26" ht="12" customHeight="1">
      <c r="A484" s="108"/>
      <c r="B484" s="108"/>
      <c r="C484" s="109"/>
      <c r="D484" s="109"/>
      <c r="E484" s="109"/>
      <c r="F484" s="109"/>
      <c r="G484" s="111"/>
      <c r="H484" s="111"/>
      <c r="I484" s="112"/>
      <c r="J484" s="112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spans="1:26" ht="12" customHeight="1">
      <c r="A485" s="108"/>
      <c r="B485" s="108"/>
      <c r="C485" s="109"/>
      <c r="D485" s="109"/>
      <c r="E485" s="109"/>
      <c r="F485" s="109"/>
      <c r="G485" s="111"/>
      <c r="H485" s="111"/>
      <c r="I485" s="112"/>
      <c r="J485" s="112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spans="1:26" ht="12" customHeight="1">
      <c r="A486" s="108"/>
      <c r="B486" s="108"/>
      <c r="C486" s="109"/>
      <c r="D486" s="109"/>
      <c r="E486" s="109"/>
      <c r="F486" s="109"/>
      <c r="G486" s="111"/>
      <c r="H486" s="111"/>
      <c r="I486" s="112"/>
      <c r="J486" s="112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spans="1:26" ht="12" customHeight="1">
      <c r="A487" s="108"/>
      <c r="B487" s="108"/>
      <c r="C487" s="109"/>
      <c r="D487" s="109"/>
      <c r="E487" s="109"/>
      <c r="F487" s="109"/>
      <c r="G487" s="111"/>
      <c r="H487" s="111"/>
      <c r="I487" s="112"/>
      <c r="J487" s="112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spans="1:26" ht="12" customHeight="1">
      <c r="A488" s="108"/>
      <c r="B488" s="108"/>
      <c r="C488" s="109"/>
      <c r="D488" s="109"/>
      <c r="E488" s="109"/>
      <c r="F488" s="109"/>
      <c r="G488" s="111"/>
      <c r="H488" s="111"/>
      <c r="I488" s="112"/>
      <c r="J488" s="112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spans="1:26" ht="12" customHeight="1">
      <c r="A489" s="108"/>
      <c r="B489" s="108"/>
      <c r="C489" s="109"/>
      <c r="D489" s="109"/>
      <c r="E489" s="109"/>
      <c r="F489" s="109"/>
      <c r="G489" s="111"/>
      <c r="H489" s="111"/>
      <c r="I489" s="112"/>
      <c r="J489" s="112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spans="1:26" ht="12" customHeight="1">
      <c r="A490" s="108"/>
      <c r="B490" s="108"/>
      <c r="C490" s="109"/>
      <c r="D490" s="109"/>
      <c r="E490" s="109"/>
      <c r="F490" s="109"/>
      <c r="G490" s="111"/>
      <c r="H490" s="111"/>
      <c r="I490" s="112"/>
      <c r="J490" s="112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spans="1:26" ht="12" customHeight="1">
      <c r="A491" s="108"/>
      <c r="B491" s="108"/>
      <c r="C491" s="109"/>
      <c r="D491" s="109"/>
      <c r="E491" s="109"/>
      <c r="F491" s="109"/>
      <c r="G491" s="111"/>
      <c r="H491" s="111"/>
      <c r="I491" s="112"/>
      <c r="J491" s="112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spans="1:26" ht="12" customHeight="1">
      <c r="A492" s="108"/>
      <c r="B492" s="108"/>
      <c r="C492" s="109"/>
      <c r="D492" s="109"/>
      <c r="E492" s="109"/>
      <c r="F492" s="109"/>
      <c r="G492" s="111"/>
      <c r="H492" s="111"/>
      <c r="I492" s="112"/>
      <c r="J492" s="112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spans="1:26" ht="12" customHeight="1">
      <c r="A493" s="108"/>
      <c r="B493" s="108"/>
      <c r="C493" s="109"/>
      <c r="D493" s="109"/>
      <c r="E493" s="109"/>
      <c r="F493" s="109"/>
      <c r="G493" s="111"/>
      <c r="H493" s="111"/>
      <c r="I493" s="112"/>
      <c r="J493" s="112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spans="1:26" ht="12" customHeight="1">
      <c r="A494" s="108"/>
      <c r="B494" s="108"/>
      <c r="C494" s="109"/>
      <c r="D494" s="109"/>
      <c r="E494" s="109"/>
      <c r="F494" s="109"/>
      <c r="G494" s="111"/>
      <c r="H494" s="111"/>
      <c r="I494" s="112"/>
      <c r="J494" s="112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spans="1:26" ht="12" customHeight="1">
      <c r="A495" s="108"/>
      <c r="B495" s="108"/>
      <c r="C495" s="109"/>
      <c r="D495" s="109"/>
      <c r="E495" s="109"/>
      <c r="F495" s="109"/>
      <c r="G495" s="111"/>
      <c r="H495" s="111"/>
      <c r="I495" s="112"/>
      <c r="J495" s="112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spans="1:26" ht="12" customHeight="1">
      <c r="A496" s="108"/>
      <c r="B496" s="108"/>
      <c r="C496" s="109"/>
      <c r="D496" s="109"/>
      <c r="E496" s="109"/>
      <c r="F496" s="109"/>
      <c r="G496" s="111"/>
      <c r="H496" s="111"/>
      <c r="I496" s="112"/>
      <c r="J496" s="112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spans="1:26" ht="12" customHeight="1">
      <c r="A497" s="108"/>
      <c r="B497" s="108"/>
      <c r="C497" s="109"/>
      <c r="D497" s="109"/>
      <c r="E497" s="109"/>
      <c r="F497" s="109"/>
      <c r="G497" s="111"/>
      <c r="H497" s="111"/>
      <c r="I497" s="112"/>
      <c r="J497" s="112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spans="1:26" ht="12" customHeight="1">
      <c r="A498" s="108"/>
      <c r="B498" s="108"/>
      <c r="C498" s="109"/>
      <c r="D498" s="109"/>
      <c r="E498" s="109"/>
      <c r="F498" s="109"/>
      <c r="G498" s="111"/>
      <c r="H498" s="111"/>
      <c r="I498" s="112"/>
      <c r="J498" s="112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spans="1:26" ht="12" customHeight="1">
      <c r="A499" s="108"/>
      <c r="B499" s="108"/>
      <c r="C499" s="109"/>
      <c r="D499" s="109"/>
      <c r="E499" s="109"/>
      <c r="F499" s="109"/>
      <c r="G499" s="111"/>
      <c r="H499" s="111"/>
      <c r="I499" s="112"/>
      <c r="J499" s="112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spans="1:26" ht="12" customHeight="1">
      <c r="A500" s="108"/>
      <c r="B500" s="108"/>
      <c r="C500" s="109"/>
      <c r="D500" s="109"/>
      <c r="E500" s="109"/>
      <c r="F500" s="109"/>
      <c r="G500" s="111"/>
      <c r="H500" s="111"/>
      <c r="I500" s="112"/>
      <c r="J500" s="112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spans="1:26" ht="12" customHeight="1">
      <c r="A501" s="108"/>
      <c r="B501" s="108"/>
      <c r="C501" s="109"/>
      <c r="D501" s="109"/>
      <c r="E501" s="109"/>
      <c r="F501" s="109"/>
      <c r="G501" s="111"/>
      <c r="H501" s="111"/>
      <c r="I501" s="112"/>
      <c r="J501" s="112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spans="1:26" ht="12" customHeight="1">
      <c r="A502" s="108"/>
      <c r="B502" s="108"/>
      <c r="C502" s="109"/>
      <c r="D502" s="109"/>
      <c r="E502" s="109"/>
      <c r="F502" s="109"/>
      <c r="G502" s="111"/>
      <c r="H502" s="111"/>
      <c r="I502" s="112"/>
      <c r="J502" s="112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spans="1:26" ht="12" customHeight="1">
      <c r="A503" s="108"/>
      <c r="B503" s="108"/>
      <c r="C503" s="109"/>
      <c r="D503" s="109"/>
      <c r="E503" s="109"/>
      <c r="F503" s="109"/>
      <c r="G503" s="111"/>
      <c r="H503" s="111"/>
      <c r="I503" s="112"/>
      <c r="J503" s="112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spans="1:26" ht="12" customHeight="1">
      <c r="A504" s="108"/>
      <c r="B504" s="108"/>
      <c r="C504" s="109"/>
      <c r="D504" s="109"/>
      <c r="E504" s="109"/>
      <c r="F504" s="109"/>
      <c r="G504" s="111"/>
      <c r="H504" s="111"/>
      <c r="I504" s="112"/>
      <c r="J504" s="112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spans="1:26" ht="12" customHeight="1">
      <c r="A505" s="108"/>
      <c r="B505" s="108"/>
      <c r="C505" s="109"/>
      <c r="D505" s="109"/>
      <c r="E505" s="109"/>
      <c r="F505" s="109"/>
      <c r="G505" s="111"/>
      <c r="H505" s="111"/>
      <c r="I505" s="112"/>
      <c r="J505" s="112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spans="1:26" ht="12" customHeight="1">
      <c r="A506" s="108"/>
      <c r="B506" s="108"/>
      <c r="C506" s="109"/>
      <c r="D506" s="109"/>
      <c r="E506" s="109"/>
      <c r="F506" s="109"/>
      <c r="G506" s="111"/>
      <c r="H506" s="111"/>
      <c r="I506" s="112"/>
      <c r="J506" s="112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spans="1:26" ht="12" customHeight="1">
      <c r="A507" s="108"/>
      <c r="B507" s="108"/>
      <c r="C507" s="109"/>
      <c r="D507" s="109"/>
      <c r="E507" s="109"/>
      <c r="F507" s="109"/>
      <c r="G507" s="111"/>
      <c r="H507" s="111"/>
      <c r="I507" s="112"/>
      <c r="J507" s="112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spans="1:26" ht="12" customHeight="1">
      <c r="A508" s="108"/>
      <c r="B508" s="108"/>
      <c r="C508" s="109"/>
      <c r="D508" s="109"/>
      <c r="E508" s="109"/>
      <c r="F508" s="109"/>
      <c r="G508" s="111"/>
      <c r="H508" s="111"/>
      <c r="I508" s="112"/>
      <c r="J508" s="112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spans="1:26" ht="12" customHeight="1">
      <c r="A509" s="108"/>
      <c r="B509" s="108"/>
      <c r="C509" s="109"/>
      <c r="D509" s="109"/>
      <c r="E509" s="109"/>
      <c r="F509" s="109"/>
      <c r="G509" s="111"/>
      <c r="H509" s="111"/>
      <c r="I509" s="112"/>
      <c r="J509" s="112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spans="1:26" ht="12" customHeight="1">
      <c r="A510" s="108"/>
      <c r="B510" s="108"/>
      <c r="C510" s="109"/>
      <c r="D510" s="109"/>
      <c r="E510" s="109"/>
      <c r="F510" s="109"/>
      <c r="G510" s="111"/>
      <c r="H510" s="111"/>
      <c r="I510" s="112"/>
      <c r="J510" s="112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spans="1:26" ht="12" customHeight="1">
      <c r="A511" s="108"/>
      <c r="B511" s="108"/>
      <c r="C511" s="109"/>
      <c r="D511" s="109"/>
      <c r="E511" s="109"/>
      <c r="F511" s="109"/>
      <c r="G511" s="111"/>
      <c r="H511" s="111"/>
      <c r="I511" s="112"/>
      <c r="J511" s="112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spans="1:26" ht="12" customHeight="1">
      <c r="A512" s="108"/>
      <c r="B512" s="108"/>
      <c r="C512" s="109"/>
      <c r="D512" s="109"/>
      <c r="E512" s="109"/>
      <c r="F512" s="109"/>
      <c r="G512" s="111"/>
      <c r="H512" s="111"/>
      <c r="I512" s="112"/>
      <c r="J512" s="112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spans="1:26" ht="12" customHeight="1">
      <c r="A513" s="108"/>
      <c r="B513" s="108"/>
      <c r="C513" s="109"/>
      <c r="D513" s="109"/>
      <c r="E513" s="109"/>
      <c r="F513" s="109"/>
      <c r="G513" s="111"/>
      <c r="H513" s="111"/>
      <c r="I513" s="112"/>
      <c r="J513" s="112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spans="1:26" ht="12" customHeight="1">
      <c r="A514" s="108"/>
      <c r="B514" s="108"/>
      <c r="C514" s="109"/>
      <c r="D514" s="109"/>
      <c r="E514" s="109"/>
      <c r="F514" s="109"/>
      <c r="G514" s="111"/>
      <c r="H514" s="111"/>
      <c r="I514" s="112"/>
      <c r="J514" s="112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spans="1:26" ht="12" customHeight="1">
      <c r="A515" s="108"/>
      <c r="B515" s="108"/>
      <c r="C515" s="109"/>
      <c r="D515" s="109"/>
      <c r="E515" s="109"/>
      <c r="F515" s="109"/>
      <c r="G515" s="111"/>
      <c r="H515" s="111"/>
      <c r="I515" s="112"/>
      <c r="J515" s="112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spans="1:26" ht="12" customHeight="1">
      <c r="A516" s="108"/>
      <c r="B516" s="108"/>
      <c r="C516" s="109"/>
      <c r="D516" s="109"/>
      <c r="E516" s="109"/>
      <c r="F516" s="109"/>
      <c r="G516" s="111"/>
      <c r="H516" s="111"/>
      <c r="I516" s="112"/>
      <c r="J516" s="112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spans="1:26" ht="12" customHeight="1">
      <c r="A517" s="108"/>
      <c r="B517" s="108"/>
      <c r="C517" s="109"/>
      <c r="D517" s="109"/>
      <c r="E517" s="109"/>
      <c r="F517" s="109"/>
      <c r="G517" s="111"/>
      <c r="H517" s="111"/>
      <c r="I517" s="112"/>
      <c r="J517" s="112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spans="1:26" ht="12" customHeight="1">
      <c r="A518" s="108"/>
      <c r="B518" s="108"/>
      <c r="C518" s="109"/>
      <c r="D518" s="109"/>
      <c r="E518" s="109"/>
      <c r="F518" s="109"/>
      <c r="G518" s="111"/>
      <c r="H518" s="111"/>
      <c r="I518" s="112"/>
      <c r="J518" s="112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spans="1:26" ht="12" customHeight="1">
      <c r="A519" s="108"/>
      <c r="B519" s="108"/>
      <c r="C519" s="109"/>
      <c r="D519" s="109"/>
      <c r="E519" s="109"/>
      <c r="F519" s="109"/>
      <c r="G519" s="111"/>
      <c r="H519" s="111"/>
      <c r="I519" s="112"/>
      <c r="J519" s="112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spans="1:26" ht="12" customHeight="1">
      <c r="A520" s="108"/>
      <c r="B520" s="108"/>
      <c r="C520" s="109"/>
      <c r="D520" s="109"/>
      <c r="E520" s="109"/>
      <c r="F520" s="109"/>
      <c r="G520" s="111"/>
      <c r="H520" s="111"/>
      <c r="I520" s="112"/>
      <c r="J520" s="112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spans="1:26" ht="12" customHeight="1">
      <c r="A521" s="108"/>
      <c r="B521" s="108"/>
      <c r="C521" s="109"/>
      <c r="D521" s="109"/>
      <c r="E521" s="109"/>
      <c r="F521" s="109"/>
      <c r="G521" s="111"/>
      <c r="H521" s="111"/>
      <c r="I521" s="112"/>
      <c r="J521" s="112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spans="1:26" ht="12" customHeight="1">
      <c r="A522" s="108"/>
      <c r="B522" s="108"/>
      <c r="C522" s="109"/>
      <c r="D522" s="109"/>
      <c r="E522" s="109"/>
      <c r="F522" s="109"/>
      <c r="G522" s="111"/>
      <c r="H522" s="111"/>
      <c r="I522" s="112"/>
      <c r="J522" s="112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spans="1:26" ht="12" customHeight="1">
      <c r="A523" s="108"/>
      <c r="B523" s="108"/>
      <c r="C523" s="109"/>
      <c r="D523" s="109"/>
      <c r="E523" s="109"/>
      <c r="F523" s="109"/>
      <c r="G523" s="111"/>
      <c r="H523" s="111"/>
      <c r="I523" s="112"/>
      <c r="J523" s="112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spans="1:26" ht="12" customHeight="1">
      <c r="A524" s="108"/>
      <c r="B524" s="108"/>
      <c r="C524" s="109"/>
      <c r="D524" s="109"/>
      <c r="E524" s="109"/>
      <c r="F524" s="109"/>
      <c r="G524" s="111"/>
      <c r="H524" s="111"/>
      <c r="I524" s="112"/>
      <c r="J524" s="112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spans="1:26" ht="12" customHeight="1">
      <c r="A525" s="108"/>
      <c r="B525" s="108"/>
      <c r="C525" s="109"/>
      <c r="D525" s="109"/>
      <c r="E525" s="109"/>
      <c r="F525" s="109"/>
      <c r="G525" s="111"/>
      <c r="H525" s="111"/>
      <c r="I525" s="112"/>
      <c r="J525" s="112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spans="1:26" ht="12" customHeight="1">
      <c r="A526" s="108"/>
      <c r="B526" s="108"/>
      <c r="C526" s="109"/>
      <c r="D526" s="109"/>
      <c r="E526" s="109"/>
      <c r="F526" s="109"/>
      <c r="G526" s="111"/>
      <c r="H526" s="111"/>
      <c r="I526" s="112"/>
      <c r="J526" s="112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spans="1:26" ht="12" customHeight="1">
      <c r="A527" s="108"/>
      <c r="B527" s="108"/>
      <c r="C527" s="109"/>
      <c r="D527" s="109"/>
      <c r="E527" s="109"/>
      <c r="F527" s="109"/>
      <c r="G527" s="111"/>
      <c r="H527" s="111"/>
      <c r="I527" s="112"/>
      <c r="J527" s="112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spans="1:26" ht="12" customHeight="1">
      <c r="A528" s="108"/>
      <c r="B528" s="108"/>
      <c r="C528" s="109"/>
      <c r="D528" s="109"/>
      <c r="E528" s="109"/>
      <c r="F528" s="109"/>
      <c r="G528" s="111"/>
      <c r="H528" s="111"/>
      <c r="I528" s="112"/>
      <c r="J528" s="112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spans="1:26" ht="12" customHeight="1">
      <c r="A529" s="108"/>
      <c r="B529" s="108"/>
      <c r="C529" s="109"/>
      <c r="D529" s="109"/>
      <c r="E529" s="109"/>
      <c r="F529" s="109"/>
      <c r="G529" s="111"/>
      <c r="H529" s="111"/>
      <c r="I529" s="112"/>
      <c r="J529" s="112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spans="1:26" ht="12" customHeight="1">
      <c r="A530" s="108"/>
      <c r="B530" s="108"/>
      <c r="C530" s="109"/>
      <c r="D530" s="109"/>
      <c r="E530" s="109"/>
      <c r="F530" s="109"/>
      <c r="G530" s="111"/>
      <c r="H530" s="111"/>
      <c r="I530" s="112"/>
      <c r="J530" s="112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spans="1:26" ht="12" customHeight="1">
      <c r="A531" s="108"/>
      <c r="B531" s="108"/>
      <c r="C531" s="109"/>
      <c r="D531" s="109"/>
      <c r="E531" s="109"/>
      <c r="F531" s="109"/>
      <c r="G531" s="111"/>
      <c r="H531" s="111"/>
      <c r="I531" s="112"/>
      <c r="J531" s="112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spans="1:26" ht="12" customHeight="1">
      <c r="A532" s="108"/>
      <c r="B532" s="108"/>
      <c r="C532" s="109"/>
      <c r="D532" s="109"/>
      <c r="E532" s="109"/>
      <c r="F532" s="109"/>
      <c r="G532" s="111"/>
      <c r="H532" s="111"/>
      <c r="I532" s="112"/>
      <c r="J532" s="112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spans="1:26" ht="12" customHeight="1">
      <c r="A533" s="108"/>
      <c r="B533" s="108"/>
      <c r="C533" s="109"/>
      <c r="D533" s="109"/>
      <c r="E533" s="109"/>
      <c r="F533" s="109"/>
      <c r="G533" s="111"/>
      <c r="H533" s="111"/>
      <c r="I533" s="112"/>
      <c r="J533" s="112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spans="1:26" ht="12" customHeight="1">
      <c r="A534" s="108"/>
      <c r="B534" s="108"/>
      <c r="C534" s="109"/>
      <c r="D534" s="109"/>
      <c r="E534" s="109"/>
      <c r="F534" s="109"/>
      <c r="G534" s="111"/>
      <c r="H534" s="111"/>
      <c r="I534" s="112"/>
      <c r="J534" s="112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spans="1:26" ht="12" customHeight="1">
      <c r="A535" s="108"/>
      <c r="B535" s="108"/>
      <c r="C535" s="109"/>
      <c r="D535" s="109"/>
      <c r="E535" s="109"/>
      <c r="F535" s="109"/>
      <c r="G535" s="111"/>
      <c r="H535" s="111"/>
      <c r="I535" s="112"/>
      <c r="J535" s="112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spans="1:26" ht="12" customHeight="1">
      <c r="A536" s="108"/>
      <c r="B536" s="108"/>
      <c r="C536" s="109"/>
      <c r="D536" s="109"/>
      <c r="E536" s="109"/>
      <c r="F536" s="109"/>
      <c r="G536" s="111"/>
      <c r="H536" s="111"/>
      <c r="I536" s="112"/>
      <c r="J536" s="112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spans="1:26" ht="12" customHeight="1">
      <c r="A537" s="108"/>
      <c r="B537" s="108"/>
      <c r="C537" s="109"/>
      <c r="D537" s="109"/>
      <c r="E537" s="109"/>
      <c r="F537" s="109"/>
      <c r="G537" s="111"/>
      <c r="H537" s="111"/>
      <c r="I537" s="112"/>
      <c r="J537" s="112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spans="1:26" ht="12" customHeight="1">
      <c r="A538" s="108"/>
      <c r="B538" s="108"/>
      <c r="C538" s="109"/>
      <c r="D538" s="109"/>
      <c r="E538" s="109"/>
      <c r="F538" s="109"/>
      <c r="G538" s="111"/>
      <c r="H538" s="111"/>
      <c r="I538" s="112"/>
      <c r="J538" s="112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spans="1:26" ht="12" customHeight="1">
      <c r="A539" s="108"/>
      <c r="B539" s="108"/>
      <c r="C539" s="109"/>
      <c r="D539" s="109"/>
      <c r="E539" s="109"/>
      <c r="F539" s="109"/>
      <c r="G539" s="111"/>
      <c r="H539" s="111"/>
      <c r="I539" s="112"/>
      <c r="J539" s="112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spans="1:26" ht="12" customHeight="1">
      <c r="A540" s="108"/>
      <c r="B540" s="108"/>
      <c r="C540" s="109"/>
      <c r="D540" s="109"/>
      <c r="E540" s="109"/>
      <c r="F540" s="109"/>
      <c r="G540" s="111"/>
      <c r="H540" s="111"/>
      <c r="I540" s="112"/>
      <c r="J540" s="112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spans="1:26" ht="12" customHeight="1">
      <c r="A541" s="108"/>
      <c r="B541" s="108"/>
      <c r="C541" s="109"/>
      <c r="D541" s="109"/>
      <c r="E541" s="109"/>
      <c r="F541" s="109"/>
      <c r="G541" s="111"/>
      <c r="H541" s="111"/>
      <c r="I541" s="112"/>
      <c r="J541" s="112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spans="1:26" ht="12" customHeight="1">
      <c r="A542" s="108"/>
      <c r="B542" s="108"/>
      <c r="C542" s="109"/>
      <c r="D542" s="109"/>
      <c r="E542" s="109"/>
      <c r="F542" s="109"/>
      <c r="G542" s="111"/>
      <c r="H542" s="111"/>
      <c r="I542" s="112"/>
      <c r="J542" s="112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spans="1:26" ht="12" customHeight="1">
      <c r="A543" s="108"/>
      <c r="B543" s="108"/>
      <c r="C543" s="109"/>
      <c r="D543" s="109"/>
      <c r="E543" s="109"/>
      <c r="F543" s="109"/>
      <c r="G543" s="111"/>
      <c r="H543" s="111"/>
      <c r="I543" s="112"/>
      <c r="J543" s="112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spans="1:26" ht="12" customHeight="1">
      <c r="A544" s="108"/>
      <c r="B544" s="108"/>
      <c r="C544" s="109"/>
      <c r="D544" s="109"/>
      <c r="E544" s="109"/>
      <c r="F544" s="109"/>
      <c r="G544" s="111"/>
      <c r="H544" s="111"/>
      <c r="I544" s="112"/>
      <c r="J544" s="112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spans="1:26" ht="12" customHeight="1">
      <c r="A545" s="108"/>
      <c r="B545" s="108"/>
      <c r="C545" s="109"/>
      <c r="D545" s="109"/>
      <c r="E545" s="109"/>
      <c r="F545" s="109"/>
      <c r="G545" s="111"/>
      <c r="H545" s="111"/>
      <c r="I545" s="112"/>
      <c r="J545" s="112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spans="1:26" ht="12" customHeight="1">
      <c r="A546" s="108"/>
      <c r="B546" s="108"/>
      <c r="C546" s="109"/>
      <c r="D546" s="109"/>
      <c r="E546" s="109"/>
      <c r="F546" s="109"/>
      <c r="G546" s="111"/>
      <c r="H546" s="111"/>
      <c r="I546" s="112"/>
      <c r="J546" s="112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spans="1:26" ht="12" customHeight="1">
      <c r="A547" s="108"/>
      <c r="B547" s="108"/>
      <c r="C547" s="109"/>
      <c r="D547" s="109"/>
      <c r="E547" s="109"/>
      <c r="F547" s="109"/>
      <c r="G547" s="111"/>
      <c r="H547" s="111"/>
      <c r="I547" s="112"/>
      <c r="J547" s="112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spans="1:26" ht="12" customHeight="1">
      <c r="A548" s="108"/>
      <c r="B548" s="108"/>
      <c r="C548" s="109"/>
      <c r="D548" s="109"/>
      <c r="E548" s="109"/>
      <c r="F548" s="109"/>
      <c r="G548" s="111"/>
      <c r="H548" s="111"/>
      <c r="I548" s="112"/>
      <c r="J548" s="112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spans="1:26" ht="12" customHeight="1">
      <c r="A549" s="108"/>
      <c r="B549" s="108"/>
      <c r="C549" s="109"/>
      <c r="D549" s="109"/>
      <c r="E549" s="109"/>
      <c r="F549" s="109"/>
      <c r="G549" s="111"/>
      <c r="H549" s="111"/>
      <c r="I549" s="112"/>
      <c r="J549" s="112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spans="1:26" ht="12" customHeight="1">
      <c r="A550" s="108"/>
      <c r="B550" s="108"/>
      <c r="C550" s="109"/>
      <c r="D550" s="109"/>
      <c r="E550" s="109"/>
      <c r="F550" s="109"/>
      <c r="G550" s="111"/>
      <c r="H550" s="111"/>
      <c r="I550" s="112"/>
      <c r="J550" s="112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spans="1:26" ht="12" customHeight="1">
      <c r="A551" s="108"/>
      <c r="B551" s="108"/>
      <c r="C551" s="109"/>
      <c r="D551" s="109"/>
      <c r="E551" s="109"/>
      <c r="F551" s="109"/>
      <c r="G551" s="111"/>
      <c r="H551" s="111"/>
      <c r="I551" s="112"/>
      <c r="J551" s="112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spans="1:26" ht="12" customHeight="1">
      <c r="A552" s="108"/>
      <c r="B552" s="108"/>
      <c r="C552" s="109"/>
      <c r="D552" s="109"/>
      <c r="E552" s="109"/>
      <c r="F552" s="109"/>
      <c r="G552" s="111"/>
      <c r="H552" s="111"/>
      <c r="I552" s="112"/>
      <c r="J552" s="112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spans="1:26" ht="12" customHeight="1">
      <c r="A553" s="108"/>
      <c r="B553" s="108"/>
      <c r="C553" s="109"/>
      <c r="D553" s="109"/>
      <c r="E553" s="109"/>
      <c r="F553" s="109"/>
      <c r="G553" s="111"/>
      <c r="H553" s="111"/>
      <c r="I553" s="112"/>
      <c r="J553" s="112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spans="1:26" ht="12" customHeight="1">
      <c r="A554" s="108"/>
      <c r="B554" s="108"/>
      <c r="C554" s="109"/>
      <c r="D554" s="109"/>
      <c r="E554" s="109"/>
      <c r="F554" s="109"/>
      <c r="G554" s="111"/>
      <c r="H554" s="111"/>
      <c r="I554" s="112"/>
      <c r="J554" s="112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spans="1:26" ht="12" customHeight="1">
      <c r="A555" s="108"/>
      <c r="B555" s="108"/>
      <c r="C555" s="109"/>
      <c r="D555" s="109"/>
      <c r="E555" s="109"/>
      <c r="F555" s="109"/>
      <c r="G555" s="111"/>
      <c r="H555" s="111"/>
      <c r="I555" s="112"/>
      <c r="J555" s="112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spans="1:26" ht="12" customHeight="1">
      <c r="A556" s="108"/>
      <c r="B556" s="108"/>
      <c r="C556" s="109"/>
      <c r="D556" s="109"/>
      <c r="E556" s="109"/>
      <c r="F556" s="109"/>
      <c r="G556" s="111"/>
      <c r="H556" s="111"/>
      <c r="I556" s="112"/>
      <c r="J556" s="112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spans="1:26" ht="12" customHeight="1">
      <c r="A557" s="108"/>
      <c r="B557" s="108"/>
      <c r="C557" s="109"/>
      <c r="D557" s="109"/>
      <c r="E557" s="109"/>
      <c r="F557" s="109"/>
      <c r="G557" s="111"/>
      <c r="H557" s="111"/>
      <c r="I557" s="112"/>
      <c r="J557" s="112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spans="1:26" ht="12" customHeight="1">
      <c r="A558" s="108"/>
      <c r="B558" s="108"/>
      <c r="C558" s="109"/>
      <c r="D558" s="109"/>
      <c r="E558" s="109"/>
      <c r="F558" s="109"/>
      <c r="G558" s="111"/>
      <c r="H558" s="111"/>
      <c r="I558" s="112"/>
      <c r="J558" s="112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spans="1:26" ht="12" customHeight="1">
      <c r="A559" s="108"/>
      <c r="B559" s="108"/>
      <c r="C559" s="109"/>
      <c r="D559" s="109"/>
      <c r="E559" s="109"/>
      <c r="F559" s="109"/>
      <c r="G559" s="111"/>
      <c r="H559" s="111"/>
      <c r="I559" s="112"/>
      <c r="J559" s="112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spans="1:26" ht="12" customHeight="1">
      <c r="A560" s="108"/>
      <c r="B560" s="108"/>
      <c r="C560" s="109"/>
      <c r="D560" s="109"/>
      <c r="E560" s="109"/>
      <c r="F560" s="109"/>
      <c r="G560" s="111"/>
      <c r="H560" s="111"/>
      <c r="I560" s="112"/>
      <c r="J560" s="112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spans="1:26" ht="12" customHeight="1">
      <c r="A561" s="108"/>
      <c r="B561" s="108"/>
      <c r="C561" s="109"/>
      <c r="D561" s="109"/>
      <c r="E561" s="109"/>
      <c r="F561" s="109"/>
      <c r="G561" s="111"/>
      <c r="H561" s="111"/>
      <c r="I561" s="112"/>
      <c r="J561" s="112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spans="1:26" ht="12" customHeight="1">
      <c r="A562" s="108"/>
      <c r="B562" s="108"/>
      <c r="C562" s="109"/>
      <c r="D562" s="109"/>
      <c r="E562" s="109"/>
      <c r="F562" s="109"/>
      <c r="G562" s="111"/>
      <c r="H562" s="111"/>
      <c r="I562" s="112"/>
      <c r="J562" s="112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spans="1:26" ht="12" customHeight="1">
      <c r="A563" s="108"/>
      <c r="B563" s="108"/>
      <c r="C563" s="109"/>
      <c r="D563" s="109"/>
      <c r="E563" s="109"/>
      <c r="F563" s="109"/>
      <c r="G563" s="111"/>
      <c r="H563" s="111"/>
      <c r="I563" s="112"/>
      <c r="J563" s="112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spans="1:26" ht="12" customHeight="1">
      <c r="A564" s="108"/>
      <c r="B564" s="108"/>
      <c r="C564" s="109"/>
      <c r="D564" s="109"/>
      <c r="E564" s="109"/>
      <c r="F564" s="109"/>
      <c r="G564" s="111"/>
      <c r="H564" s="111"/>
      <c r="I564" s="112"/>
      <c r="J564" s="112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spans="1:26" ht="12" customHeight="1">
      <c r="A565" s="108"/>
      <c r="B565" s="108"/>
      <c r="C565" s="109"/>
      <c r="D565" s="109"/>
      <c r="E565" s="109"/>
      <c r="F565" s="109"/>
      <c r="G565" s="111"/>
      <c r="H565" s="111"/>
      <c r="I565" s="112"/>
      <c r="J565" s="112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spans="1:26" ht="12" customHeight="1">
      <c r="A566" s="108"/>
      <c r="B566" s="108"/>
      <c r="C566" s="109"/>
      <c r="D566" s="109"/>
      <c r="E566" s="109"/>
      <c r="F566" s="109"/>
      <c r="G566" s="111"/>
      <c r="H566" s="111"/>
      <c r="I566" s="112"/>
      <c r="J566" s="112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spans="1:26" ht="12" customHeight="1">
      <c r="A567" s="108"/>
      <c r="B567" s="108"/>
      <c r="C567" s="109"/>
      <c r="D567" s="109"/>
      <c r="E567" s="109"/>
      <c r="F567" s="109"/>
      <c r="G567" s="111"/>
      <c r="H567" s="111"/>
      <c r="I567" s="112"/>
      <c r="J567" s="112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spans="1:26" ht="12" customHeight="1">
      <c r="A568" s="108"/>
      <c r="B568" s="108"/>
      <c r="C568" s="109"/>
      <c r="D568" s="109"/>
      <c r="E568" s="109"/>
      <c r="F568" s="109"/>
      <c r="G568" s="111"/>
      <c r="H568" s="111"/>
      <c r="I568" s="112"/>
      <c r="J568" s="112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spans="1:26" ht="12" customHeight="1">
      <c r="A569" s="108"/>
      <c r="B569" s="108"/>
      <c r="C569" s="109"/>
      <c r="D569" s="109"/>
      <c r="E569" s="109"/>
      <c r="F569" s="109"/>
      <c r="G569" s="111"/>
      <c r="H569" s="111"/>
      <c r="I569" s="112"/>
      <c r="J569" s="112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spans="1:26" ht="12" customHeight="1">
      <c r="A570" s="108"/>
      <c r="B570" s="108"/>
      <c r="C570" s="109"/>
      <c r="D570" s="109"/>
      <c r="E570" s="109"/>
      <c r="F570" s="109"/>
      <c r="G570" s="111"/>
      <c r="H570" s="111"/>
      <c r="I570" s="112"/>
      <c r="J570" s="112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spans="1:26" ht="12" customHeight="1">
      <c r="A571" s="108"/>
      <c r="B571" s="108"/>
      <c r="C571" s="109"/>
      <c r="D571" s="109"/>
      <c r="E571" s="109"/>
      <c r="F571" s="109"/>
      <c r="G571" s="111"/>
      <c r="H571" s="111"/>
      <c r="I571" s="112"/>
      <c r="J571" s="112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spans="1:26" ht="12" customHeight="1">
      <c r="A572" s="108"/>
      <c r="B572" s="108"/>
      <c r="C572" s="109"/>
      <c r="D572" s="109"/>
      <c r="E572" s="109"/>
      <c r="F572" s="109"/>
      <c r="G572" s="111"/>
      <c r="H572" s="111"/>
      <c r="I572" s="112"/>
      <c r="J572" s="112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spans="1:26" ht="12" customHeight="1">
      <c r="A573" s="108"/>
      <c r="B573" s="108"/>
      <c r="C573" s="109"/>
      <c r="D573" s="109"/>
      <c r="E573" s="109"/>
      <c r="F573" s="109"/>
      <c r="G573" s="111"/>
      <c r="H573" s="111"/>
      <c r="I573" s="112"/>
      <c r="J573" s="112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spans="1:26" ht="12" customHeight="1">
      <c r="A574" s="108"/>
      <c r="B574" s="108"/>
      <c r="C574" s="109"/>
      <c r="D574" s="109"/>
      <c r="E574" s="109"/>
      <c r="F574" s="109"/>
      <c r="G574" s="111"/>
      <c r="H574" s="111"/>
      <c r="I574" s="112"/>
      <c r="J574" s="112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spans="1:26" ht="12" customHeight="1">
      <c r="A575" s="108"/>
      <c r="B575" s="108"/>
      <c r="C575" s="109"/>
      <c r="D575" s="109"/>
      <c r="E575" s="109"/>
      <c r="F575" s="109"/>
      <c r="G575" s="111"/>
      <c r="H575" s="111"/>
      <c r="I575" s="112"/>
      <c r="J575" s="112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spans="1:26" ht="12" customHeight="1">
      <c r="A576" s="108"/>
      <c r="B576" s="108"/>
      <c r="C576" s="109"/>
      <c r="D576" s="109"/>
      <c r="E576" s="109"/>
      <c r="F576" s="109"/>
      <c r="G576" s="111"/>
      <c r="H576" s="111"/>
      <c r="I576" s="112"/>
      <c r="J576" s="112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spans="1:26" ht="12" customHeight="1">
      <c r="A577" s="108"/>
      <c r="B577" s="108"/>
      <c r="C577" s="109"/>
      <c r="D577" s="109"/>
      <c r="E577" s="109"/>
      <c r="F577" s="109"/>
      <c r="G577" s="111"/>
      <c r="H577" s="111"/>
      <c r="I577" s="112"/>
      <c r="J577" s="112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spans="1:26" ht="12" customHeight="1">
      <c r="A578" s="108"/>
      <c r="B578" s="108"/>
      <c r="C578" s="109"/>
      <c r="D578" s="109"/>
      <c r="E578" s="109"/>
      <c r="F578" s="109"/>
      <c r="G578" s="111"/>
      <c r="H578" s="111"/>
      <c r="I578" s="112"/>
      <c r="J578" s="112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spans="1:26" ht="12" customHeight="1">
      <c r="A579" s="108"/>
      <c r="B579" s="108"/>
      <c r="C579" s="109"/>
      <c r="D579" s="109"/>
      <c r="E579" s="109"/>
      <c r="F579" s="109"/>
      <c r="G579" s="111"/>
      <c r="H579" s="111"/>
      <c r="I579" s="112"/>
      <c r="J579" s="112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spans="1:26" ht="12" customHeight="1">
      <c r="A580" s="108"/>
      <c r="B580" s="108"/>
      <c r="C580" s="109"/>
      <c r="D580" s="109"/>
      <c r="E580" s="109"/>
      <c r="F580" s="109"/>
      <c r="G580" s="111"/>
      <c r="H580" s="111"/>
      <c r="I580" s="112"/>
      <c r="J580" s="112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spans="1:26" ht="12" customHeight="1">
      <c r="A581" s="108"/>
      <c r="B581" s="108"/>
      <c r="C581" s="109"/>
      <c r="D581" s="109"/>
      <c r="E581" s="109"/>
      <c r="F581" s="109"/>
      <c r="G581" s="111"/>
      <c r="H581" s="111"/>
      <c r="I581" s="112"/>
      <c r="J581" s="112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spans="1:26" ht="12" customHeight="1">
      <c r="A582" s="108"/>
      <c r="B582" s="108"/>
      <c r="C582" s="109"/>
      <c r="D582" s="109"/>
      <c r="E582" s="109"/>
      <c r="F582" s="109"/>
      <c r="G582" s="111"/>
      <c r="H582" s="111"/>
      <c r="I582" s="112"/>
      <c r="J582" s="112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spans="1:26" ht="12" customHeight="1">
      <c r="A583" s="108"/>
      <c r="B583" s="108"/>
      <c r="C583" s="109"/>
      <c r="D583" s="109"/>
      <c r="E583" s="109"/>
      <c r="F583" s="109"/>
      <c r="G583" s="111"/>
      <c r="H583" s="111"/>
      <c r="I583" s="112"/>
      <c r="J583" s="112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spans="1:26" ht="12" customHeight="1">
      <c r="A584" s="108"/>
      <c r="B584" s="108"/>
      <c r="C584" s="109"/>
      <c r="D584" s="109"/>
      <c r="E584" s="109"/>
      <c r="F584" s="109"/>
      <c r="G584" s="111"/>
      <c r="H584" s="111"/>
      <c r="I584" s="112"/>
      <c r="J584" s="112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spans="1:26" ht="12" customHeight="1">
      <c r="A585" s="108"/>
      <c r="B585" s="108"/>
      <c r="C585" s="109"/>
      <c r="D585" s="109"/>
      <c r="E585" s="109"/>
      <c r="F585" s="109"/>
      <c r="G585" s="111"/>
      <c r="H585" s="111"/>
      <c r="I585" s="112"/>
      <c r="J585" s="112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spans="1:26" ht="12" customHeight="1">
      <c r="A586" s="108"/>
      <c r="B586" s="108"/>
      <c r="C586" s="109"/>
      <c r="D586" s="109"/>
      <c r="E586" s="109"/>
      <c r="F586" s="109"/>
      <c r="G586" s="111"/>
      <c r="H586" s="111"/>
      <c r="I586" s="112"/>
      <c r="J586" s="112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spans="1:26" ht="12" customHeight="1">
      <c r="A587" s="108"/>
      <c r="B587" s="108"/>
      <c r="C587" s="109"/>
      <c r="D587" s="109"/>
      <c r="E587" s="109"/>
      <c r="F587" s="109"/>
      <c r="G587" s="111"/>
      <c r="H587" s="111"/>
      <c r="I587" s="112"/>
      <c r="J587" s="112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spans="1:26" ht="12" customHeight="1">
      <c r="A588" s="108"/>
      <c r="B588" s="108"/>
      <c r="C588" s="109"/>
      <c r="D588" s="109"/>
      <c r="E588" s="109"/>
      <c r="F588" s="109"/>
      <c r="G588" s="111"/>
      <c r="H588" s="111"/>
      <c r="I588" s="112"/>
      <c r="J588" s="112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spans="1:26" ht="12" customHeight="1">
      <c r="A589" s="108"/>
      <c r="B589" s="108"/>
      <c r="C589" s="109"/>
      <c r="D589" s="109"/>
      <c r="E589" s="109"/>
      <c r="F589" s="109"/>
      <c r="G589" s="111"/>
      <c r="H589" s="111"/>
      <c r="I589" s="112"/>
      <c r="J589" s="112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spans="1:26" ht="12" customHeight="1">
      <c r="A590" s="108"/>
      <c r="B590" s="108"/>
      <c r="C590" s="109"/>
      <c r="D590" s="109"/>
      <c r="E590" s="109"/>
      <c r="F590" s="109"/>
      <c r="G590" s="111"/>
      <c r="H590" s="111"/>
      <c r="I590" s="112"/>
      <c r="J590" s="112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spans="1:26" ht="12" customHeight="1">
      <c r="A591" s="108"/>
      <c r="B591" s="108"/>
      <c r="C591" s="109"/>
      <c r="D591" s="109"/>
      <c r="E591" s="109"/>
      <c r="F591" s="109"/>
      <c r="G591" s="111"/>
      <c r="H591" s="111"/>
      <c r="I591" s="112"/>
      <c r="J591" s="112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spans="1:26" ht="12" customHeight="1">
      <c r="A592" s="108"/>
      <c r="B592" s="108"/>
      <c r="C592" s="109"/>
      <c r="D592" s="109"/>
      <c r="E592" s="109"/>
      <c r="F592" s="109"/>
      <c r="G592" s="111"/>
      <c r="H592" s="111"/>
      <c r="I592" s="112"/>
      <c r="J592" s="112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spans="1:26" ht="12" customHeight="1">
      <c r="A593" s="108"/>
      <c r="B593" s="108"/>
      <c r="C593" s="109"/>
      <c r="D593" s="109"/>
      <c r="E593" s="109"/>
      <c r="F593" s="109"/>
      <c r="G593" s="111"/>
      <c r="H593" s="111"/>
      <c r="I593" s="112"/>
      <c r="J593" s="112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spans="1:26" ht="12" customHeight="1">
      <c r="A594" s="108"/>
      <c r="B594" s="108"/>
      <c r="C594" s="109"/>
      <c r="D594" s="109"/>
      <c r="E594" s="109"/>
      <c r="F594" s="109"/>
      <c r="G594" s="111"/>
      <c r="H594" s="111"/>
      <c r="I594" s="112"/>
      <c r="J594" s="112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spans="1:26" ht="12" customHeight="1">
      <c r="A595" s="108"/>
      <c r="B595" s="108"/>
      <c r="C595" s="109"/>
      <c r="D595" s="109"/>
      <c r="E595" s="109"/>
      <c r="F595" s="109"/>
      <c r="G595" s="111"/>
      <c r="H595" s="111"/>
      <c r="I595" s="112"/>
      <c r="J595" s="112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spans="1:26" ht="12" customHeight="1">
      <c r="A596" s="108"/>
      <c r="B596" s="108"/>
      <c r="C596" s="109"/>
      <c r="D596" s="109"/>
      <c r="E596" s="109"/>
      <c r="F596" s="109"/>
      <c r="G596" s="111"/>
      <c r="H596" s="111"/>
      <c r="I596" s="112"/>
      <c r="J596" s="112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spans="1:26" ht="12" customHeight="1">
      <c r="A597" s="108"/>
      <c r="B597" s="108"/>
      <c r="C597" s="109"/>
      <c r="D597" s="109"/>
      <c r="E597" s="109"/>
      <c r="F597" s="109"/>
      <c r="G597" s="111"/>
      <c r="H597" s="111"/>
      <c r="I597" s="112"/>
      <c r="J597" s="112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spans="1:26" ht="12" customHeight="1">
      <c r="A598" s="108"/>
      <c r="B598" s="108"/>
      <c r="C598" s="109"/>
      <c r="D598" s="109"/>
      <c r="E598" s="109"/>
      <c r="F598" s="109"/>
      <c r="G598" s="111"/>
      <c r="H598" s="111"/>
      <c r="I598" s="112"/>
      <c r="J598" s="112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spans="1:26" ht="12" customHeight="1">
      <c r="A599" s="108"/>
      <c r="B599" s="108"/>
      <c r="C599" s="109"/>
      <c r="D599" s="109"/>
      <c r="E599" s="109"/>
      <c r="F599" s="109"/>
      <c r="G599" s="111"/>
      <c r="H599" s="111"/>
      <c r="I599" s="112"/>
      <c r="J599" s="112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spans="1:26" ht="12" customHeight="1">
      <c r="A600" s="108"/>
      <c r="B600" s="108"/>
      <c r="C600" s="109"/>
      <c r="D600" s="109"/>
      <c r="E600" s="109"/>
      <c r="F600" s="109"/>
      <c r="G600" s="111"/>
      <c r="H600" s="111"/>
      <c r="I600" s="112"/>
      <c r="J600" s="112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spans="1:26" ht="12" customHeight="1">
      <c r="A601" s="108"/>
      <c r="B601" s="108"/>
      <c r="C601" s="109"/>
      <c r="D601" s="109"/>
      <c r="E601" s="109"/>
      <c r="F601" s="109"/>
      <c r="G601" s="111"/>
      <c r="H601" s="111"/>
      <c r="I601" s="112"/>
      <c r="J601" s="112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spans="1:26" ht="12" customHeight="1">
      <c r="A602" s="108"/>
      <c r="B602" s="108"/>
      <c r="C602" s="109"/>
      <c r="D602" s="109"/>
      <c r="E602" s="109"/>
      <c r="F602" s="109"/>
      <c r="G602" s="111"/>
      <c r="H602" s="111"/>
      <c r="I602" s="112"/>
      <c r="J602" s="112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spans="1:26" ht="12" customHeight="1">
      <c r="A603" s="108"/>
      <c r="B603" s="108"/>
      <c r="C603" s="109"/>
      <c r="D603" s="109"/>
      <c r="E603" s="109"/>
      <c r="F603" s="109"/>
      <c r="G603" s="111"/>
      <c r="H603" s="111"/>
      <c r="I603" s="112"/>
      <c r="J603" s="112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spans="1:26" ht="12" customHeight="1">
      <c r="A604" s="108"/>
      <c r="B604" s="108"/>
      <c r="C604" s="109"/>
      <c r="D604" s="109"/>
      <c r="E604" s="109"/>
      <c r="F604" s="109"/>
      <c r="G604" s="111"/>
      <c r="H604" s="111"/>
      <c r="I604" s="112"/>
      <c r="J604" s="112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spans="1:26" ht="12" customHeight="1">
      <c r="A605" s="108"/>
      <c r="B605" s="108"/>
      <c r="C605" s="109"/>
      <c r="D605" s="109"/>
      <c r="E605" s="109"/>
      <c r="F605" s="109"/>
      <c r="G605" s="111"/>
      <c r="H605" s="111"/>
      <c r="I605" s="112"/>
      <c r="J605" s="112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spans="1:26" ht="12" customHeight="1">
      <c r="A606" s="108"/>
      <c r="B606" s="108"/>
      <c r="C606" s="109"/>
      <c r="D606" s="109"/>
      <c r="E606" s="109"/>
      <c r="F606" s="109"/>
      <c r="G606" s="111"/>
      <c r="H606" s="111"/>
      <c r="I606" s="112"/>
      <c r="J606" s="112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spans="1:26" ht="12" customHeight="1">
      <c r="A607" s="108"/>
      <c r="B607" s="108"/>
      <c r="C607" s="109"/>
      <c r="D607" s="109"/>
      <c r="E607" s="109"/>
      <c r="F607" s="109"/>
      <c r="G607" s="111"/>
      <c r="H607" s="111"/>
      <c r="I607" s="112"/>
      <c r="J607" s="112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spans="1:26" ht="12" customHeight="1">
      <c r="A608" s="108"/>
      <c r="B608" s="108"/>
      <c r="C608" s="109"/>
      <c r="D608" s="109"/>
      <c r="E608" s="109"/>
      <c r="F608" s="109"/>
      <c r="G608" s="111"/>
      <c r="H608" s="111"/>
      <c r="I608" s="112"/>
      <c r="J608" s="112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spans="1:26" ht="12" customHeight="1">
      <c r="A609" s="108"/>
      <c r="B609" s="108"/>
      <c r="C609" s="109"/>
      <c r="D609" s="109"/>
      <c r="E609" s="109"/>
      <c r="F609" s="109"/>
      <c r="G609" s="111"/>
      <c r="H609" s="111"/>
      <c r="I609" s="112"/>
      <c r="J609" s="112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spans="1:26" ht="12" customHeight="1">
      <c r="A610" s="108"/>
      <c r="B610" s="108"/>
      <c r="C610" s="109"/>
      <c r="D610" s="109"/>
      <c r="E610" s="109"/>
      <c r="F610" s="109"/>
      <c r="G610" s="111"/>
      <c r="H610" s="111"/>
      <c r="I610" s="112"/>
      <c r="J610" s="112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spans="1:26" ht="12" customHeight="1">
      <c r="A611" s="108"/>
      <c r="B611" s="108"/>
      <c r="C611" s="109"/>
      <c r="D611" s="109"/>
      <c r="E611" s="109"/>
      <c r="F611" s="109"/>
      <c r="G611" s="111"/>
      <c r="H611" s="111"/>
      <c r="I611" s="112"/>
      <c r="J611" s="112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spans="1:26" ht="12" customHeight="1">
      <c r="A612" s="108"/>
      <c r="B612" s="108"/>
      <c r="C612" s="109"/>
      <c r="D612" s="109"/>
      <c r="E612" s="109"/>
      <c r="F612" s="109"/>
      <c r="G612" s="111"/>
      <c r="H612" s="111"/>
      <c r="I612" s="112"/>
      <c r="J612" s="112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spans="1:26" ht="12" customHeight="1">
      <c r="A613" s="108"/>
      <c r="B613" s="108"/>
      <c r="C613" s="109"/>
      <c r="D613" s="109"/>
      <c r="E613" s="109"/>
      <c r="F613" s="109"/>
      <c r="G613" s="111"/>
      <c r="H613" s="111"/>
      <c r="I613" s="112"/>
      <c r="J613" s="112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spans="1:26" ht="12" customHeight="1">
      <c r="A614" s="108"/>
      <c r="B614" s="108"/>
      <c r="C614" s="109"/>
      <c r="D614" s="109"/>
      <c r="E614" s="109"/>
      <c r="F614" s="109"/>
      <c r="G614" s="111"/>
      <c r="H614" s="111"/>
      <c r="I614" s="112"/>
      <c r="J614" s="112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spans="1:26" ht="12" customHeight="1">
      <c r="A615" s="108"/>
      <c r="B615" s="108"/>
      <c r="C615" s="109"/>
      <c r="D615" s="109"/>
      <c r="E615" s="109"/>
      <c r="F615" s="109"/>
      <c r="G615" s="111"/>
      <c r="H615" s="111"/>
      <c r="I615" s="112"/>
      <c r="J615" s="112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spans="1:26" ht="12" customHeight="1">
      <c r="A616" s="108"/>
      <c r="B616" s="108"/>
      <c r="C616" s="109"/>
      <c r="D616" s="109"/>
      <c r="E616" s="109"/>
      <c r="F616" s="109"/>
      <c r="G616" s="111"/>
      <c r="H616" s="111"/>
      <c r="I616" s="112"/>
      <c r="J616" s="112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spans="1:26" ht="12" customHeight="1">
      <c r="A617" s="108"/>
      <c r="B617" s="108"/>
      <c r="C617" s="109"/>
      <c r="D617" s="109"/>
      <c r="E617" s="109"/>
      <c r="F617" s="109"/>
      <c r="G617" s="111"/>
      <c r="H617" s="111"/>
      <c r="I617" s="112"/>
      <c r="J617" s="112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spans="1:26" ht="12" customHeight="1">
      <c r="A618" s="108"/>
      <c r="B618" s="108"/>
      <c r="C618" s="109"/>
      <c r="D618" s="109"/>
      <c r="E618" s="109"/>
      <c r="F618" s="109"/>
      <c r="G618" s="111"/>
      <c r="H618" s="111"/>
      <c r="I618" s="112"/>
      <c r="J618" s="112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spans="1:26" ht="12" customHeight="1">
      <c r="A619" s="108"/>
      <c r="B619" s="108"/>
      <c r="C619" s="109"/>
      <c r="D619" s="109"/>
      <c r="E619" s="109"/>
      <c r="F619" s="109"/>
      <c r="G619" s="111"/>
      <c r="H619" s="111"/>
      <c r="I619" s="112"/>
      <c r="J619" s="112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spans="1:26" ht="12" customHeight="1">
      <c r="A620" s="108"/>
      <c r="B620" s="108"/>
      <c r="C620" s="109"/>
      <c r="D620" s="109"/>
      <c r="E620" s="109"/>
      <c r="F620" s="109"/>
      <c r="G620" s="111"/>
      <c r="H620" s="111"/>
      <c r="I620" s="112"/>
      <c r="J620" s="112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2" customHeight="1">
      <c r="A621" s="108"/>
      <c r="B621" s="108"/>
      <c r="C621" s="109"/>
      <c r="D621" s="109"/>
      <c r="E621" s="109"/>
      <c r="F621" s="109"/>
      <c r="G621" s="111"/>
      <c r="H621" s="111"/>
      <c r="I621" s="112"/>
      <c r="J621" s="112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2" customHeight="1">
      <c r="A622" s="108"/>
      <c r="B622" s="108"/>
      <c r="C622" s="109"/>
      <c r="D622" s="109"/>
      <c r="E622" s="109"/>
      <c r="F622" s="109"/>
      <c r="G622" s="111"/>
      <c r="H622" s="111"/>
      <c r="I622" s="112"/>
      <c r="J622" s="112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2" customHeight="1">
      <c r="A623" s="108"/>
      <c r="B623" s="108"/>
      <c r="C623" s="109"/>
      <c r="D623" s="109"/>
      <c r="E623" s="109"/>
      <c r="F623" s="109"/>
      <c r="G623" s="111"/>
      <c r="H623" s="111"/>
      <c r="I623" s="112"/>
      <c r="J623" s="112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2" customHeight="1">
      <c r="A624" s="108"/>
      <c r="B624" s="108"/>
      <c r="C624" s="109"/>
      <c r="D624" s="109"/>
      <c r="E624" s="109"/>
      <c r="F624" s="109"/>
      <c r="G624" s="111"/>
      <c r="H624" s="111"/>
      <c r="I624" s="112"/>
      <c r="J624" s="112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2" customHeight="1">
      <c r="A625" s="108"/>
      <c r="B625" s="108"/>
      <c r="C625" s="109"/>
      <c r="D625" s="109"/>
      <c r="E625" s="109"/>
      <c r="F625" s="109"/>
      <c r="G625" s="111"/>
      <c r="H625" s="111"/>
      <c r="I625" s="112"/>
      <c r="J625" s="112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2" customHeight="1">
      <c r="A626" s="108"/>
      <c r="B626" s="108"/>
      <c r="C626" s="109"/>
      <c r="D626" s="109"/>
      <c r="E626" s="109"/>
      <c r="F626" s="109"/>
      <c r="G626" s="111"/>
      <c r="H626" s="111"/>
      <c r="I626" s="112"/>
      <c r="J626" s="112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2" customHeight="1">
      <c r="A627" s="108"/>
      <c r="B627" s="108"/>
      <c r="C627" s="109"/>
      <c r="D627" s="109"/>
      <c r="E627" s="109"/>
      <c r="F627" s="109"/>
      <c r="G627" s="111"/>
      <c r="H627" s="111"/>
      <c r="I627" s="112"/>
      <c r="J627" s="112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2" customHeight="1">
      <c r="A628" s="108"/>
      <c r="B628" s="108"/>
      <c r="C628" s="109"/>
      <c r="D628" s="109"/>
      <c r="E628" s="109"/>
      <c r="F628" s="109"/>
      <c r="G628" s="111"/>
      <c r="H628" s="111"/>
      <c r="I628" s="112"/>
      <c r="J628" s="112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2" customHeight="1">
      <c r="A629" s="108"/>
      <c r="B629" s="108"/>
      <c r="C629" s="109"/>
      <c r="D629" s="109"/>
      <c r="E629" s="109"/>
      <c r="F629" s="109"/>
      <c r="G629" s="111"/>
      <c r="H629" s="111"/>
      <c r="I629" s="112"/>
      <c r="J629" s="112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2" customHeight="1">
      <c r="A630" s="108"/>
      <c r="B630" s="108"/>
      <c r="C630" s="109"/>
      <c r="D630" s="109"/>
      <c r="E630" s="109"/>
      <c r="F630" s="109"/>
      <c r="G630" s="111"/>
      <c r="H630" s="111"/>
      <c r="I630" s="112"/>
      <c r="J630" s="112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2" customHeight="1">
      <c r="A631" s="108"/>
      <c r="B631" s="108"/>
      <c r="C631" s="109"/>
      <c r="D631" s="109"/>
      <c r="E631" s="109"/>
      <c r="F631" s="109"/>
      <c r="G631" s="111"/>
      <c r="H631" s="111"/>
      <c r="I631" s="112"/>
      <c r="J631" s="112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2" customHeight="1">
      <c r="A632" s="108"/>
      <c r="B632" s="108"/>
      <c r="C632" s="109"/>
      <c r="D632" s="109"/>
      <c r="E632" s="109"/>
      <c r="F632" s="109"/>
      <c r="G632" s="111"/>
      <c r="H632" s="111"/>
      <c r="I632" s="112"/>
      <c r="J632" s="112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2" customHeight="1">
      <c r="A633" s="108"/>
      <c r="B633" s="108"/>
      <c r="C633" s="109"/>
      <c r="D633" s="109"/>
      <c r="E633" s="109"/>
      <c r="F633" s="109"/>
      <c r="G633" s="111"/>
      <c r="H633" s="111"/>
      <c r="I633" s="112"/>
      <c r="J633" s="112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2" customHeight="1">
      <c r="A634" s="108"/>
      <c r="B634" s="108"/>
      <c r="C634" s="109"/>
      <c r="D634" s="109"/>
      <c r="E634" s="109"/>
      <c r="F634" s="109"/>
      <c r="G634" s="111"/>
      <c r="H634" s="111"/>
      <c r="I634" s="112"/>
      <c r="J634" s="112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2" customHeight="1">
      <c r="A635" s="108"/>
      <c r="B635" s="108"/>
      <c r="C635" s="109"/>
      <c r="D635" s="109"/>
      <c r="E635" s="109"/>
      <c r="F635" s="109"/>
      <c r="G635" s="111"/>
      <c r="H635" s="111"/>
      <c r="I635" s="112"/>
      <c r="J635" s="112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2" customHeight="1">
      <c r="A636" s="108"/>
      <c r="B636" s="108"/>
      <c r="C636" s="109"/>
      <c r="D636" s="109"/>
      <c r="E636" s="109"/>
      <c r="F636" s="109"/>
      <c r="G636" s="111"/>
      <c r="H636" s="111"/>
      <c r="I636" s="112"/>
      <c r="J636" s="112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2" customHeight="1">
      <c r="A637" s="108"/>
      <c r="B637" s="108"/>
      <c r="C637" s="109"/>
      <c r="D637" s="109"/>
      <c r="E637" s="109"/>
      <c r="F637" s="109"/>
      <c r="G637" s="111"/>
      <c r="H637" s="111"/>
      <c r="I637" s="112"/>
      <c r="J637" s="112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2" customHeight="1">
      <c r="A638" s="108"/>
      <c r="B638" s="108"/>
      <c r="C638" s="109"/>
      <c r="D638" s="109"/>
      <c r="E638" s="109"/>
      <c r="F638" s="109"/>
      <c r="G638" s="111"/>
      <c r="H638" s="111"/>
      <c r="I638" s="112"/>
      <c r="J638" s="112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2" customHeight="1">
      <c r="A639" s="108"/>
      <c r="B639" s="108"/>
      <c r="C639" s="109"/>
      <c r="D639" s="109"/>
      <c r="E639" s="109"/>
      <c r="F639" s="109"/>
      <c r="G639" s="111"/>
      <c r="H639" s="111"/>
      <c r="I639" s="112"/>
      <c r="J639" s="112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2" customHeight="1">
      <c r="A640" s="108"/>
      <c r="B640" s="108"/>
      <c r="C640" s="109"/>
      <c r="D640" s="109"/>
      <c r="E640" s="109"/>
      <c r="F640" s="109"/>
      <c r="G640" s="111"/>
      <c r="H640" s="111"/>
      <c r="I640" s="112"/>
      <c r="J640" s="112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2" customHeight="1">
      <c r="A641" s="108"/>
      <c r="B641" s="108"/>
      <c r="C641" s="109"/>
      <c r="D641" s="109"/>
      <c r="E641" s="109"/>
      <c r="F641" s="109"/>
      <c r="G641" s="111"/>
      <c r="H641" s="111"/>
      <c r="I641" s="112"/>
      <c r="J641" s="112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2" customHeight="1">
      <c r="A642" s="108"/>
      <c r="B642" s="108"/>
      <c r="C642" s="109"/>
      <c r="D642" s="109"/>
      <c r="E642" s="109"/>
      <c r="F642" s="109"/>
      <c r="G642" s="111"/>
      <c r="H642" s="111"/>
      <c r="I642" s="112"/>
      <c r="J642" s="112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2" customHeight="1">
      <c r="A643" s="108"/>
      <c r="B643" s="108"/>
      <c r="C643" s="109"/>
      <c r="D643" s="109"/>
      <c r="E643" s="109"/>
      <c r="F643" s="109"/>
      <c r="G643" s="111"/>
      <c r="H643" s="111"/>
      <c r="I643" s="112"/>
      <c r="J643" s="112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2" customHeight="1">
      <c r="A644" s="108"/>
      <c r="B644" s="108"/>
      <c r="C644" s="109"/>
      <c r="D644" s="109"/>
      <c r="E644" s="109"/>
      <c r="F644" s="109"/>
      <c r="G644" s="111"/>
      <c r="H644" s="111"/>
      <c r="I644" s="112"/>
      <c r="J644" s="112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2" customHeight="1">
      <c r="A645" s="108"/>
      <c r="B645" s="108"/>
      <c r="C645" s="109"/>
      <c r="D645" s="109"/>
      <c r="E645" s="109"/>
      <c r="F645" s="109"/>
      <c r="G645" s="111"/>
      <c r="H645" s="111"/>
      <c r="I645" s="112"/>
      <c r="J645" s="112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2" customHeight="1">
      <c r="A646" s="108"/>
      <c r="B646" s="108"/>
      <c r="C646" s="109"/>
      <c r="D646" s="109"/>
      <c r="E646" s="109"/>
      <c r="F646" s="109"/>
      <c r="G646" s="111"/>
      <c r="H646" s="111"/>
      <c r="I646" s="112"/>
      <c r="J646" s="112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2" customHeight="1">
      <c r="A647" s="108"/>
      <c r="B647" s="108"/>
      <c r="C647" s="109"/>
      <c r="D647" s="109"/>
      <c r="E647" s="109"/>
      <c r="F647" s="109"/>
      <c r="G647" s="111"/>
      <c r="H647" s="111"/>
      <c r="I647" s="112"/>
      <c r="J647" s="112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2" customHeight="1">
      <c r="A648" s="108"/>
      <c r="B648" s="108"/>
      <c r="C648" s="109"/>
      <c r="D648" s="109"/>
      <c r="E648" s="109"/>
      <c r="F648" s="109"/>
      <c r="G648" s="111"/>
      <c r="H648" s="111"/>
      <c r="I648" s="112"/>
      <c r="J648" s="112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2" customHeight="1">
      <c r="A649" s="108"/>
      <c r="B649" s="108"/>
      <c r="C649" s="109"/>
      <c r="D649" s="109"/>
      <c r="E649" s="109"/>
      <c r="F649" s="109"/>
      <c r="G649" s="111"/>
      <c r="H649" s="111"/>
      <c r="I649" s="112"/>
      <c r="J649" s="112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2" customHeight="1">
      <c r="A650" s="108"/>
      <c r="B650" s="108"/>
      <c r="C650" s="109"/>
      <c r="D650" s="109"/>
      <c r="E650" s="109"/>
      <c r="F650" s="109"/>
      <c r="G650" s="111"/>
      <c r="H650" s="111"/>
      <c r="I650" s="112"/>
      <c r="J650" s="112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2" customHeight="1">
      <c r="A651" s="108"/>
      <c r="B651" s="108"/>
      <c r="C651" s="109"/>
      <c r="D651" s="109"/>
      <c r="E651" s="109"/>
      <c r="F651" s="109"/>
      <c r="G651" s="111"/>
      <c r="H651" s="111"/>
      <c r="I651" s="112"/>
      <c r="J651" s="112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2" customHeight="1">
      <c r="A652" s="108"/>
      <c r="B652" s="108"/>
      <c r="C652" s="109"/>
      <c r="D652" s="109"/>
      <c r="E652" s="109"/>
      <c r="F652" s="109"/>
      <c r="G652" s="111"/>
      <c r="H652" s="111"/>
      <c r="I652" s="112"/>
      <c r="J652" s="112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2" customHeight="1">
      <c r="A653" s="108"/>
      <c r="B653" s="108"/>
      <c r="C653" s="109"/>
      <c r="D653" s="109"/>
      <c r="E653" s="109"/>
      <c r="F653" s="109"/>
      <c r="G653" s="111"/>
      <c r="H653" s="111"/>
      <c r="I653" s="112"/>
      <c r="J653" s="112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2" customHeight="1">
      <c r="A654" s="108"/>
      <c r="B654" s="108"/>
      <c r="C654" s="109"/>
      <c r="D654" s="109"/>
      <c r="E654" s="109"/>
      <c r="F654" s="109"/>
      <c r="G654" s="111"/>
      <c r="H654" s="111"/>
      <c r="I654" s="112"/>
      <c r="J654" s="112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2" customHeight="1">
      <c r="A655" s="108"/>
      <c r="B655" s="108"/>
      <c r="C655" s="109"/>
      <c r="D655" s="109"/>
      <c r="E655" s="109"/>
      <c r="F655" s="109"/>
      <c r="G655" s="111"/>
      <c r="H655" s="111"/>
      <c r="I655" s="112"/>
      <c r="J655" s="112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2" customHeight="1">
      <c r="A656" s="108"/>
      <c r="B656" s="108"/>
      <c r="C656" s="109"/>
      <c r="D656" s="109"/>
      <c r="E656" s="109"/>
      <c r="F656" s="109"/>
      <c r="G656" s="111"/>
      <c r="H656" s="111"/>
      <c r="I656" s="112"/>
      <c r="J656" s="112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2" customHeight="1">
      <c r="A657" s="108"/>
      <c r="B657" s="108"/>
      <c r="C657" s="109"/>
      <c r="D657" s="109"/>
      <c r="E657" s="109"/>
      <c r="F657" s="109"/>
      <c r="G657" s="111"/>
      <c r="H657" s="111"/>
      <c r="I657" s="112"/>
      <c r="J657" s="112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2" customHeight="1">
      <c r="A658" s="108"/>
      <c r="B658" s="108"/>
      <c r="C658" s="109"/>
      <c r="D658" s="109"/>
      <c r="E658" s="109"/>
      <c r="F658" s="109"/>
      <c r="G658" s="111"/>
      <c r="H658" s="111"/>
      <c r="I658" s="112"/>
      <c r="J658" s="112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2" customHeight="1">
      <c r="A659" s="108"/>
      <c r="B659" s="108"/>
      <c r="C659" s="109"/>
      <c r="D659" s="109"/>
      <c r="E659" s="109"/>
      <c r="F659" s="109"/>
      <c r="G659" s="111"/>
      <c r="H659" s="111"/>
      <c r="I659" s="112"/>
      <c r="J659" s="112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2" customHeight="1">
      <c r="A660" s="108"/>
      <c r="B660" s="108"/>
      <c r="C660" s="109"/>
      <c r="D660" s="109"/>
      <c r="E660" s="109"/>
      <c r="F660" s="109"/>
      <c r="G660" s="111"/>
      <c r="H660" s="111"/>
      <c r="I660" s="112"/>
      <c r="J660" s="112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2" customHeight="1">
      <c r="A661" s="108"/>
      <c r="B661" s="108"/>
      <c r="C661" s="109"/>
      <c r="D661" s="109"/>
      <c r="E661" s="109"/>
      <c r="F661" s="109"/>
      <c r="G661" s="111"/>
      <c r="H661" s="111"/>
      <c r="I661" s="112"/>
      <c r="J661" s="112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2" customHeight="1">
      <c r="A662" s="108"/>
      <c r="B662" s="108"/>
      <c r="C662" s="109"/>
      <c r="D662" s="109"/>
      <c r="E662" s="109"/>
      <c r="F662" s="109"/>
      <c r="G662" s="111"/>
      <c r="H662" s="111"/>
      <c r="I662" s="112"/>
      <c r="J662" s="112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2" customHeight="1">
      <c r="A663" s="108"/>
      <c r="B663" s="108"/>
      <c r="C663" s="109"/>
      <c r="D663" s="109"/>
      <c r="E663" s="109"/>
      <c r="F663" s="109"/>
      <c r="G663" s="111"/>
      <c r="H663" s="111"/>
      <c r="I663" s="112"/>
      <c r="J663" s="112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2" customHeight="1">
      <c r="A664" s="108"/>
      <c r="B664" s="108"/>
      <c r="C664" s="109"/>
      <c r="D664" s="109"/>
      <c r="E664" s="109"/>
      <c r="F664" s="109"/>
      <c r="G664" s="111"/>
      <c r="H664" s="111"/>
      <c r="I664" s="112"/>
      <c r="J664" s="112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2" customHeight="1">
      <c r="A665" s="108"/>
      <c r="B665" s="108"/>
      <c r="C665" s="109"/>
      <c r="D665" s="109"/>
      <c r="E665" s="109"/>
      <c r="F665" s="109"/>
      <c r="G665" s="111"/>
      <c r="H665" s="111"/>
      <c r="I665" s="112"/>
      <c r="J665" s="112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2" customHeight="1">
      <c r="A666" s="108"/>
      <c r="B666" s="108"/>
      <c r="C666" s="109"/>
      <c r="D666" s="109"/>
      <c r="E666" s="109"/>
      <c r="F666" s="109"/>
      <c r="G666" s="111"/>
      <c r="H666" s="111"/>
      <c r="I666" s="112"/>
      <c r="J666" s="112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2" customHeight="1">
      <c r="A667" s="108"/>
      <c r="B667" s="108"/>
      <c r="C667" s="109"/>
      <c r="D667" s="109"/>
      <c r="E667" s="109"/>
      <c r="F667" s="109"/>
      <c r="G667" s="111"/>
      <c r="H667" s="111"/>
      <c r="I667" s="112"/>
      <c r="J667" s="112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2" customHeight="1">
      <c r="A668" s="108"/>
      <c r="B668" s="108"/>
      <c r="C668" s="109"/>
      <c r="D668" s="109"/>
      <c r="E668" s="109"/>
      <c r="F668" s="109"/>
      <c r="G668" s="111"/>
      <c r="H668" s="111"/>
      <c r="I668" s="112"/>
      <c r="J668" s="112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2" customHeight="1">
      <c r="A669" s="108"/>
      <c r="B669" s="108"/>
      <c r="C669" s="109"/>
      <c r="D669" s="109"/>
      <c r="E669" s="109"/>
      <c r="F669" s="109"/>
      <c r="G669" s="111"/>
      <c r="H669" s="111"/>
      <c r="I669" s="112"/>
      <c r="J669" s="112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2" customHeight="1">
      <c r="A670" s="108"/>
      <c r="B670" s="108"/>
      <c r="C670" s="109"/>
      <c r="D670" s="109"/>
      <c r="E670" s="109"/>
      <c r="F670" s="109"/>
      <c r="G670" s="111"/>
      <c r="H670" s="111"/>
      <c r="I670" s="112"/>
      <c r="J670" s="112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2" customHeight="1">
      <c r="A671" s="108"/>
      <c r="B671" s="108"/>
      <c r="C671" s="109"/>
      <c r="D671" s="109"/>
      <c r="E671" s="109"/>
      <c r="F671" s="109"/>
      <c r="G671" s="111"/>
      <c r="H671" s="111"/>
      <c r="I671" s="112"/>
      <c r="J671" s="112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2" customHeight="1">
      <c r="A672" s="108"/>
      <c r="B672" s="108"/>
      <c r="C672" s="109"/>
      <c r="D672" s="109"/>
      <c r="E672" s="109"/>
      <c r="F672" s="109"/>
      <c r="G672" s="111"/>
      <c r="H672" s="111"/>
      <c r="I672" s="112"/>
      <c r="J672" s="112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2" customHeight="1">
      <c r="A673" s="108"/>
      <c r="B673" s="108"/>
      <c r="C673" s="109"/>
      <c r="D673" s="109"/>
      <c r="E673" s="109"/>
      <c r="F673" s="109"/>
      <c r="G673" s="111"/>
      <c r="H673" s="111"/>
      <c r="I673" s="112"/>
      <c r="J673" s="112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2" customHeight="1">
      <c r="A674" s="108"/>
      <c r="B674" s="108"/>
      <c r="C674" s="109"/>
      <c r="D674" s="109"/>
      <c r="E674" s="109"/>
      <c r="F674" s="109"/>
      <c r="G674" s="111"/>
      <c r="H674" s="111"/>
      <c r="I674" s="112"/>
      <c r="J674" s="112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2" customHeight="1">
      <c r="A675" s="108"/>
      <c r="B675" s="108"/>
      <c r="C675" s="109"/>
      <c r="D675" s="109"/>
      <c r="E675" s="109"/>
      <c r="F675" s="109"/>
      <c r="G675" s="111"/>
      <c r="H675" s="111"/>
      <c r="I675" s="112"/>
      <c r="J675" s="112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2" customHeight="1">
      <c r="A676" s="108"/>
      <c r="B676" s="108"/>
      <c r="C676" s="109"/>
      <c r="D676" s="109"/>
      <c r="E676" s="109"/>
      <c r="F676" s="109"/>
      <c r="G676" s="111"/>
      <c r="H676" s="111"/>
      <c r="I676" s="112"/>
      <c r="J676" s="112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2" customHeight="1">
      <c r="A677" s="108"/>
      <c r="B677" s="108"/>
      <c r="C677" s="109"/>
      <c r="D677" s="109"/>
      <c r="E677" s="109"/>
      <c r="F677" s="109"/>
      <c r="G677" s="111"/>
      <c r="H677" s="111"/>
      <c r="I677" s="112"/>
      <c r="J677" s="112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2" customHeight="1">
      <c r="A678" s="108"/>
      <c r="B678" s="108"/>
      <c r="C678" s="109"/>
      <c r="D678" s="109"/>
      <c r="E678" s="109"/>
      <c r="F678" s="109"/>
      <c r="G678" s="111"/>
      <c r="H678" s="111"/>
      <c r="I678" s="112"/>
      <c r="J678" s="112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2" customHeight="1">
      <c r="A679" s="108"/>
      <c r="B679" s="108"/>
      <c r="C679" s="109"/>
      <c r="D679" s="109"/>
      <c r="E679" s="109"/>
      <c r="F679" s="109"/>
      <c r="G679" s="111"/>
      <c r="H679" s="111"/>
      <c r="I679" s="112"/>
      <c r="J679" s="112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2" customHeight="1">
      <c r="A680" s="108"/>
      <c r="B680" s="108"/>
      <c r="C680" s="109"/>
      <c r="D680" s="109"/>
      <c r="E680" s="109"/>
      <c r="F680" s="109"/>
      <c r="G680" s="111"/>
      <c r="H680" s="111"/>
      <c r="I680" s="112"/>
      <c r="J680" s="112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2" customHeight="1">
      <c r="A681" s="108"/>
      <c r="B681" s="108"/>
      <c r="C681" s="109"/>
      <c r="D681" s="109"/>
      <c r="E681" s="109"/>
      <c r="F681" s="109"/>
      <c r="G681" s="111"/>
      <c r="H681" s="111"/>
      <c r="I681" s="112"/>
      <c r="J681" s="112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2" customHeight="1">
      <c r="A682" s="108"/>
      <c r="B682" s="108"/>
      <c r="C682" s="109"/>
      <c r="D682" s="109"/>
      <c r="E682" s="109"/>
      <c r="F682" s="109"/>
      <c r="G682" s="111"/>
      <c r="H682" s="111"/>
      <c r="I682" s="112"/>
      <c r="J682" s="112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2" customHeight="1">
      <c r="A683" s="108"/>
      <c r="B683" s="108"/>
      <c r="C683" s="109"/>
      <c r="D683" s="109"/>
      <c r="E683" s="109"/>
      <c r="F683" s="109"/>
      <c r="G683" s="111"/>
      <c r="H683" s="111"/>
      <c r="I683" s="112"/>
      <c r="J683" s="112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2" customHeight="1">
      <c r="A684" s="108"/>
      <c r="B684" s="108"/>
      <c r="C684" s="109"/>
      <c r="D684" s="109"/>
      <c r="E684" s="109"/>
      <c r="F684" s="109"/>
      <c r="G684" s="111"/>
      <c r="H684" s="111"/>
      <c r="I684" s="112"/>
      <c r="J684" s="112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2" customHeight="1">
      <c r="A685" s="108"/>
      <c r="B685" s="108"/>
      <c r="C685" s="109"/>
      <c r="D685" s="109"/>
      <c r="E685" s="109"/>
      <c r="F685" s="109"/>
      <c r="G685" s="111"/>
      <c r="H685" s="111"/>
      <c r="I685" s="112"/>
      <c r="J685" s="112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2" customHeight="1">
      <c r="A686" s="108"/>
      <c r="B686" s="108"/>
      <c r="C686" s="109"/>
      <c r="D686" s="109"/>
      <c r="E686" s="109"/>
      <c r="F686" s="109"/>
      <c r="G686" s="111"/>
      <c r="H686" s="111"/>
      <c r="I686" s="112"/>
      <c r="J686" s="112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2" customHeight="1">
      <c r="A687" s="108"/>
      <c r="B687" s="108"/>
      <c r="C687" s="109"/>
      <c r="D687" s="109"/>
      <c r="E687" s="109"/>
      <c r="F687" s="109"/>
      <c r="G687" s="111"/>
      <c r="H687" s="111"/>
      <c r="I687" s="112"/>
      <c r="J687" s="112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2" customHeight="1">
      <c r="A688" s="108"/>
      <c r="B688" s="108"/>
      <c r="C688" s="109"/>
      <c r="D688" s="109"/>
      <c r="E688" s="109"/>
      <c r="F688" s="109"/>
      <c r="G688" s="111"/>
      <c r="H688" s="111"/>
      <c r="I688" s="112"/>
      <c r="J688" s="112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2" customHeight="1">
      <c r="A689" s="108"/>
      <c r="B689" s="108"/>
      <c r="C689" s="109"/>
      <c r="D689" s="109"/>
      <c r="E689" s="109"/>
      <c r="F689" s="109"/>
      <c r="G689" s="111"/>
      <c r="H689" s="111"/>
      <c r="I689" s="112"/>
      <c r="J689" s="112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2" customHeight="1">
      <c r="A690" s="108"/>
      <c r="B690" s="108"/>
      <c r="C690" s="109"/>
      <c r="D690" s="109"/>
      <c r="E690" s="109"/>
      <c r="F690" s="109"/>
      <c r="G690" s="111"/>
      <c r="H690" s="111"/>
      <c r="I690" s="112"/>
      <c r="J690" s="112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2" customHeight="1">
      <c r="A691" s="108"/>
      <c r="B691" s="108"/>
      <c r="C691" s="109"/>
      <c r="D691" s="109"/>
      <c r="E691" s="109"/>
      <c r="F691" s="109"/>
      <c r="G691" s="111"/>
      <c r="H691" s="111"/>
      <c r="I691" s="112"/>
      <c r="J691" s="112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2" customHeight="1">
      <c r="A692" s="108"/>
      <c r="B692" s="108"/>
      <c r="C692" s="109"/>
      <c r="D692" s="109"/>
      <c r="E692" s="109"/>
      <c r="F692" s="109"/>
      <c r="G692" s="111"/>
      <c r="H692" s="111"/>
      <c r="I692" s="112"/>
      <c r="J692" s="112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2" customHeight="1">
      <c r="A693" s="108"/>
      <c r="B693" s="108"/>
      <c r="C693" s="109"/>
      <c r="D693" s="109"/>
      <c r="E693" s="109"/>
      <c r="F693" s="109"/>
      <c r="G693" s="111"/>
      <c r="H693" s="111"/>
      <c r="I693" s="112"/>
      <c r="J693" s="112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2" customHeight="1">
      <c r="A694" s="108"/>
      <c r="B694" s="108"/>
      <c r="C694" s="109"/>
      <c r="D694" s="109"/>
      <c r="E694" s="109"/>
      <c r="F694" s="109"/>
      <c r="G694" s="111"/>
      <c r="H694" s="111"/>
      <c r="I694" s="112"/>
      <c r="J694" s="112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2" customHeight="1">
      <c r="A695" s="108"/>
      <c r="B695" s="108"/>
      <c r="C695" s="109"/>
      <c r="D695" s="109"/>
      <c r="E695" s="109"/>
      <c r="F695" s="109"/>
      <c r="G695" s="111"/>
      <c r="H695" s="111"/>
      <c r="I695" s="112"/>
      <c r="J695" s="112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2" customHeight="1">
      <c r="A696" s="108"/>
      <c r="B696" s="108"/>
      <c r="C696" s="109"/>
      <c r="D696" s="109"/>
      <c r="E696" s="109"/>
      <c r="F696" s="109"/>
      <c r="G696" s="111"/>
      <c r="H696" s="111"/>
      <c r="I696" s="112"/>
      <c r="J696" s="112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2" customHeight="1">
      <c r="A697" s="108"/>
      <c r="B697" s="108"/>
      <c r="C697" s="109"/>
      <c r="D697" s="109"/>
      <c r="E697" s="109"/>
      <c r="F697" s="109"/>
      <c r="G697" s="111"/>
      <c r="H697" s="111"/>
      <c r="I697" s="112"/>
      <c r="J697" s="112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2" customHeight="1">
      <c r="A698" s="108"/>
      <c r="B698" s="108"/>
      <c r="C698" s="109"/>
      <c r="D698" s="109"/>
      <c r="E698" s="109"/>
      <c r="F698" s="109"/>
      <c r="G698" s="111"/>
      <c r="H698" s="111"/>
      <c r="I698" s="112"/>
      <c r="J698" s="112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2" customHeight="1">
      <c r="A699" s="108"/>
      <c r="B699" s="108"/>
      <c r="C699" s="109"/>
      <c r="D699" s="109"/>
      <c r="E699" s="109"/>
      <c r="F699" s="109"/>
      <c r="G699" s="111"/>
      <c r="H699" s="111"/>
      <c r="I699" s="112"/>
      <c r="J699" s="112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2" customHeight="1">
      <c r="A700" s="108"/>
      <c r="B700" s="108"/>
      <c r="C700" s="109"/>
      <c r="D700" s="109"/>
      <c r="E700" s="109"/>
      <c r="F700" s="109"/>
      <c r="G700" s="111"/>
      <c r="H700" s="111"/>
      <c r="I700" s="112"/>
      <c r="J700" s="112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2" customHeight="1">
      <c r="A701" s="108"/>
      <c r="B701" s="108"/>
      <c r="C701" s="109"/>
      <c r="D701" s="109"/>
      <c r="E701" s="109"/>
      <c r="F701" s="109"/>
      <c r="G701" s="111"/>
      <c r="H701" s="111"/>
      <c r="I701" s="112"/>
      <c r="J701" s="112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2" customHeight="1">
      <c r="A702" s="108"/>
      <c r="B702" s="108"/>
      <c r="C702" s="109"/>
      <c r="D702" s="109"/>
      <c r="E702" s="109"/>
      <c r="F702" s="109"/>
      <c r="G702" s="111"/>
      <c r="H702" s="111"/>
      <c r="I702" s="112"/>
      <c r="J702" s="112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2" customHeight="1">
      <c r="A703" s="108"/>
      <c r="B703" s="108"/>
      <c r="C703" s="109"/>
      <c r="D703" s="109"/>
      <c r="E703" s="109"/>
      <c r="F703" s="109"/>
      <c r="G703" s="111"/>
      <c r="H703" s="111"/>
      <c r="I703" s="112"/>
      <c r="J703" s="112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2" customHeight="1">
      <c r="A704" s="108"/>
      <c r="B704" s="108"/>
      <c r="C704" s="109"/>
      <c r="D704" s="109"/>
      <c r="E704" s="109"/>
      <c r="F704" s="109"/>
      <c r="G704" s="111"/>
      <c r="H704" s="111"/>
      <c r="I704" s="112"/>
      <c r="J704" s="112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2" customHeight="1">
      <c r="A705" s="108"/>
      <c r="B705" s="108"/>
      <c r="C705" s="109"/>
      <c r="D705" s="109"/>
      <c r="E705" s="109"/>
      <c r="F705" s="109"/>
      <c r="G705" s="111"/>
      <c r="H705" s="111"/>
      <c r="I705" s="112"/>
      <c r="J705" s="112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2" customHeight="1">
      <c r="A706" s="108"/>
      <c r="B706" s="108"/>
      <c r="C706" s="109"/>
      <c r="D706" s="109"/>
      <c r="E706" s="109"/>
      <c r="F706" s="109"/>
      <c r="G706" s="111"/>
      <c r="H706" s="111"/>
      <c r="I706" s="112"/>
      <c r="J706" s="112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2" customHeight="1">
      <c r="A707" s="108"/>
      <c r="B707" s="108"/>
      <c r="C707" s="109"/>
      <c r="D707" s="109"/>
      <c r="E707" s="109"/>
      <c r="F707" s="109"/>
      <c r="G707" s="111"/>
      <c r="H707" s="111"/>
      <c r="I707" s="112"/>
      <c r="J707" s="112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2" customHeight="1">
      <c r="A708" s="108"/>
      <c r="B708" s="108"/>
      <c r="C708" s="109"/>
      <c r="D708" s="109"/>
      <c r="E708" s="109"/>
      <c r="F708" s="109"/>
      <c r="G708" s="111"/>
      <c r="H708" s="111"/>
      <c r="I708" s="112"/>
      <c r="J708" s="112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2" customHeight="1">
      <c r="A709" s="108"/>
      <c r="B709" s="108"/>
      <c r="C709" s="109"/>
      <c r="D709" s="109"/>
      <c r="E709" s="109"/>
      <c r="F709" s="109"/>
      <c r="G709" s="111"/>
      <c r="H709" s="111"/>
      <c r="I709" s="112"/>
      <c r="J709" s="112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2" customHeight="1">
      <c r="A710" s="108"/>
      <c r="B710" s="108"/>
      <c r="C710" s="109"/>
      <c r="D710" s="109"/>
      <c r="E710" s="109"/>
      <c r="F710" s="109"/>
      <c r="G710" s="111"/>
      <c r="H710" s="111"/>
      <c r="I710" s="112"/>
      <c r="J710" s="112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2" customHeight="1">
      <c r="A711" s="108"/>
      <c r="B711" s="108"/>
      <c r="C711" s="109"/>
      <c r="D711" s="109"/>
      <c r="E711" s="109"/>
      <c r="F711" s="109"/>
      <c r="G711" s="111"/>
      <c r="H711" s="111"/>
      <c r="I711" s="112"/>
      <c r="J711" s="112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2" customHeight="1">
      <c r="A712" s="108"/>
      <c r="B712" s="108"/>
      <c r="C712" s="109"/>
      <c r="D712" s="109"/>
      <c r="E712" s="109"/>
      <c r="F712" s="109"/>
      <c r="G712" s="111"/>
      <c r="H712" s="111"/>
      <c r="I712" s="112"/>
      <c r="J712" s="112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2" customHeight="1">
      <c r="A713" s="108"/>
      <c r="B713" s="108"/>
      <c r="C713" s="109"/>
      <c r="D713" s="109"/>
      <c r="E713" s="109"/>
      <c r="F713" s="109"/>
      <c r="G713" s="111"/>
      <c r="H713" s="111"/>
      <c r="I713" s="112"/>
      <c r="J713" s="112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2" customHeight="1">
      <c r="A714" s="108"/>
      <c r="B714" s="108"/>
      <c r="C714" s="109"/>
      <c r="D714" s="109"/>
      <c r="E714" s="109"/>
      <c r="F714" s="109"/>
      <c r="G714" s="111"/>
      <c r="H714" s="111"/>
      <c r="I714" s="112"/>
      <c r="J714" s="112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2" customHeight="1">
      <c r="A715" s="108"/>
      <c r="B715" s="108"/>
      <c r="C715" s="109"/>
      <c r="D715" s="109"/>
      <c r="E715" s="109"/>
      <c r="F715" s="109"/>
      <c r="G715" s="111"/>
      <c r="H715" s="111"/>
      <c r="I715" s="112"/>
      <c r="J715" s="112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2" customHeight="1">
      <c r="A716" s="108"/>
      <c r="B716" s="108"/>
      <c r="C716" s="109"/>
      <c r="D716" s="109"/>
      <c r="E716" s="109"/>
      <c r="F716" s="109"/>
      <c r="G716" s="111"/>
      <c r="H716" s="111"/>
      <c r="I716" s="112"/>
      <c r="J716" s="112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2" customHeight="1">
      <c r="A717" s="108"/>
      <c r="B717" s="108"/>
      <c r="C717" s="109"/>
      <c r="D717" s="109"/>
      <c r="E717" s="109"/>
      <c r="F717" s="109"/>
      <c r="G717" s="111"/>
      <c r="H717" s="111"/>
      <c r="I717" s="112"/>
      <c r="J717" s="112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2" customHeight="1">
      <c r="A718" s="108"/>
      <c r="B718" s="108"/>
      <c r="C718" s="109"/>
      <c r="D718" s="109"/>
      <c r="E718" s="109"/>
      <c r="F718" s="109"/>
      <c r="G718" s="111"/>
      <c r="H718" s="111"/>
      <c r="I718" s="112"/>
      <c r="J718" s="112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2" customHeight="1">
      <c r="A719" s="108"/>
      <c r="B719" s="108"/>
      <c r="C719" s="109"/>
      <c r="D719" s="109"/>
      <c r="E719" s="109"/>
      <c r="F719" s="109"/>
      <c r="G719" s="111"/>
      <c r="H719" s="111"/>
      <c r="I719" s="112"/>
      <c r="J719" s="112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2" customHeight="1">
      <c r="A720" s="108"/>
      <c r="B720" s="108"/>
      <c r="C720" s="109"/>
      <c r="D720" s="109"/>
      <c r="E720" s="109"/>
      <c r="F720" s="109"/>
      <c r="G720" s="111"/>
      <c r="H720" s="111"/>
      <c r="I720" s="112"/>
      <c r="J720" s="112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2" customHeight="1">
      <c r="A721" s="108"/>
      <c r="B721" s="108"/>
      <c r="C721" s="109"/>
      <c r="D721" s="109"/>
      <c r="E721" s="109"/>
      <c r="F721" s="109"/>
      <c r="G721" s="111"/>
      <c r="H721" s="111"/>
      <c r="I721" s="112"/>
      <c r="J721" s="112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2" customHeight="1">
      <c r="A722" s="108"/>
      <c r="B722" s="108"/>
      <c r="C722" s="109"/>
      <c r="D722" s="109"/>
      <c r="E722" s="109"/>
      <c r="F722" s="109"/>
      <c r="G722" s="111"/>
      <c r="H722" s="111"/>
      <c r="I722" s="112"/>
      <c r="J722" s="112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2" customHeight="1">
      <c r="A723" s="108"/>
      <c r="B723" s="108"/>
      <c r="C723" s="109"/>
      <c r="D723" s="109"/>
      <c r="E723" s="109"/>
      <c r="F723" s="109"/>
      <c r="G723" s="111"/>
      <c r="H723" s="111"/>
      <c r="I723" s="112"/>
      <c r="J723" s="112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2" customHeight="1">
      <c r="A724" s="108"/>
      <c r="B724" s="108"/>
      <c r="C724" s="109"/>
      <c r="D724" s="109"/>
      <c r="E724" s="109"/>
      <c r="F724" s="109"/>
      <c r="G724" s="111"/>
      <c r="H724" s="111"/>
      <c r="I724" s="112"/>
      <c r="J724" s="112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2" customHeight="1">
      <c r="A725" s="108"/>
      <c r="B725" s="108"/>
      <c r="C725" s="109"/>
      <c r="D725" s="109"/>
      <c r="E725" s="109"/>
      <c r="F725" s="109"/>
      <c r="G725" s="111"/>
      <c r="H725" s="111"/>
      <c r="I725" s="112"/>
      <c r="J725" s="112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2" customHeight="1">
      <c r="A726" s="108"/>
      <c r="B726" s="108"/>
      <c r="C726" s="109"/>
      <c r="D726" s="109"/>
      <c r="E726" s="109"/>
      <c r="F726" s="109"/>
      <c r="G726" s="111"/>
      <c r="H726" s="111"/>
      <c r="I726" s="112"/>
      <c r="J726" s="112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2" customHeight="1">
      <c r="A727" s="108"/>
      <c r="B727" s="108"/>
      <c r="C727" s="109"/>
      <c r="D727" s="109"/>
      <c r="E727" s="109"/>
      <c r="F727" s="109"/>
      <c r="G727" s="111"/>
      <c r="H727" s="111"/>
      <c r="I727" s="112"/>
      <c r="J727" s="112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2" customHeight="1">
      <c r="A728" s="108"/>
      <c r="B728" s="108"/>
      <c r="C728" s="109"/>
      <c r="D728" s="109"/>
      <c r="E728" s="109"/>
      <c r="F728" s="109"/>
      <c r="G728" s="111"/>
      <c r="H728" s="111"/>
      <c r="I728" s="112"/>
      <c r="J728" s="112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2" customHeight="1">
      <c r="A729" s="108"/>
      <c r="B729" s="108"/>
      <c r="C729" s="109"/>
      <c r="D729" s="109"/>
      <c r="E729" s="109"/>
      <c r="F729" s="109"/>
      <c r="G729" s="111"/>
      <c r="H729" s="111"/>
      <c r="I729" s="112"/>
      <c r="J729" s="112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2" customHeight="1">
      <c r="A730" s="108"/>
      <c r="B730" s="108"/>
      <c r="C730" s="109"/>
      <c r="D730" s="109"/>
      <c r="E730" s="109"/>
      <c r="F730" s="109"/>
      <c r="G730" s="111"/>
      <c r="H730" s="111"/>
      <c r="I730" s="112"/>
      <c r="J730" s="112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2" customHeight="1">
      <c r="A731" s="108"/>
      <c r="B731" s="108"/>
      <c r="C731" s="109"/>
      <c r="D731" s="109"/>
      <c r="E731" s="109"/>
      <c r="F731" s="109"/>
      <c r="G731" s="111"/>
      <c r="H731" s="111"/>
      <c r="I731" s="112"/>
      <c r="J731" s="112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2" customHeight="1">
      <c r="A732" s="108"/>
      <c r="B732" s="108"/>
      <c r="C732" s="109"/>
      <c r="D732" s="109"/>
      <c r="E732" s="109"/>
      <c r="F732" s="109"/>
      <c r="G732" s="111"/>
      <c r="H732" s="111"/>
      <c r="I732" s="112"/>
      <c r="J732" s="112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2" customHeight="1">
      <c r="A733" s="108"/>
      <c r="B733" s="108"/>
      <c r="C733" s="109"/>
      <c r="D733" s="109"/>
      <c r="E733" s="109"/>
      <c r="F733" s="109"/>
      <c r="G733" s="111"/>
      <c r="H733" s="111"/>
      <c r="I733" s="112"/>
      <c r="J733" s="112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2" customHeight="1">
      <c r="A734" s="108"/>
      <c r="B734" s="108"/>
      <c r="C734" s="109"/>
      <c r="D734" s="109"/>
      <c r="E734" s="109"/>
      <c r="F734" s="109"/>
      <c r="G734" s="111"/>
      <c r="H734" s="111"/>
      <c r="I734" s="112"/>
      <c r="J734" s="112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2" customHeight="1">
      <c r="A735" s="108"/>
      <c r="B735" s="108"/>
      <c r="C735" s="109"/>
      <c r="D735" s="109"/>
      <c r="E735" s="109"/>
      <c r="F735" s="109"/>
      <c r="G735" s="111"/>
      <c r="H735" s="111"/>
      <c r="I735" s="112"/>
      <c r="J735" s="112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2" customHeight="1">
      <c r="A736" s="108"/>
      <c r="B736" s="108"/>
      <c r="C736" s="109"/>
      <c r="D736" s="109"/>
      <c r="E736" s="109"/>
      <c r="F736" s="109"/>
      <c r="G736" s="111"/>
      <c r="H736" s="111"/>
      <c r="I736" s="112"/>
      <c r="J736" s="112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2" customHeight="1">
      <c r="A737" s="108"/>
      <c r="B737" s="108"/>
      <c r="C737" s="109"/>
      <c r="D737" s="109"/>
      <c r="E737" s="109"/>
      <c r="F737" s="109"/>
      <c r="G737" s="111"/>
      <c r="H737" s="111"/>
      <c r="I737" s="112"/>
      <c r="J737" s="112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2" customHeight="1">
      <c r="A738" s="108"/>
      <c r="B738" s="108"/>
      <c r="C738" s="109"/>
      <c r="D738" s="109"/>
      <c r="E738" s="109"/>
      <c r="F738" s="109"/>
      <c r="G738" s="111"/>
      <c r="H738" s="111"/>
      <c r="I738" s="112"/>
      <c r="J738" s="112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2" customHeight="1">
      <c r="A739" s="108"/>
      <c r="B739" s="108"/>
      <c r="C739" s="109"/>
      <c r="D739" s="109"/>
      <c r="E739" s="109"/>
      <c r="F739" s="109"/>
      <c r="G739" s="111"/>
      <c r="H739" s="111"/>
      <c r="I739" s="112"/>
      <c r="J739" s="112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2" customHeight="1">
      <c r="A740" s="108"/>
      <c r="B740" s="108"/>
      <c r="C740" s="109"/>
      <c r="D740" s="109"/>
      <c r="E740" s="109"/>
      <c r="F740" s="109"/>
      <c r="G740" s="111"/>
      <c r="H740" s="111"/>
      <c r="I740" s="112"/>
      <c r="J740" s="112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2" customHeight="1">
      <c r="A741" s="108"/>
      <c r="B741" s="108"/>
      <c r="C741" s="109"/>
      <c r="D741" s="109"/>
      <c r="E741" s="109"/>
      <c r="F741" s="109"/>
      <c r="G741" s="111"/>
      <c r="H741" s="111"/>
      <c r="I741" s="112"/>
      <c r="J741" s="112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2" customHeight="1">
      <c r="A742" s="108"/>
      <c r="B742" s="108"/>
      <c r="C742" s="109"/>
      <c r="D742" s="109"/>
      <c r="E742" s="109"/>
      <c r="F742" s="109"/>
      <c r="G742" s="111"/>
      <c r="H742" s="111"/>
      <c r="I742" s="112"/>
      <c r="J742" s="112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2" customHeight="1">
      <c r="A743" s="108"/>
      <c r="B743" s="108"/>
      <c r="C743" s="109"/>
      <c r="D743" s="109"/>
      <c r="E743" s="109"/>
      <c r="F743" s="109"/>
      <c r="G743" s="111"/>
      <c r="H743" s="111"/>
      <c r="I743" s="112"/>
      <c r="J743" s="112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2" customHeight="1">
      <c r="A744" s="108"/>
      <c r="B744" s="108"/>
      <c r="C744" s="109"/>
      <c r="D744" s="109"/>
      <c r="E744" s="109"/>
      <c r="F744" s="109"/>
      <c r="G744" s="111"/>
      <c r="H744" s="111"/>
      <c r="I744" s="112"/>
      <c r="J744" s="112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2" customHeight="1">
      <c r="A745" s="108"/>
      <c r="B745" s="108"/>
      <c r="C745" s="109"/>
      <c r="D745" s="109"/>
      <c r="E745" s="109"/>
      <c r="F745" s="109"/>
      <c r="G745" s="111"/>
      <c r="H745" s="111"/>
      <c r="I745" s="112"/>
      <c r="J745" s="112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2" customHeight="1">
      <c r="A746" s="108"/>
      <c r="B746" s="108"/>
      <c r="C746" s="109"/>
      <c r="D746" s="109"/>
      <c r="E746" s="109"/>
      <c r="F746" s="109"/>
      <c r="G746" s="111"/>
      <c r="H746" s="111"/>
      <c r="I746" s="112"/>
      <c r="J746" s="112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2" customHeight="1">
      <c r="A747" s="108"/>
      <c r="B747" s="108"/>
      <c r="C747" s="109"/>
      <c r="D747" s="109"/>
      <c r="E747" s="109"/>
      <c r="F747" s="109"/>
      <c r="G747" s="111"/>
      <c r="H747" s="111"/>
      <c r="I747" s="112"/>
      <c r="J747" s="112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2" customHeight="1">
      <c r="A748" s="108"/>
      <c r="B748" s="108"/>
      <c r="C748" s="109"/>
      <c r="D748" s="109"/>
      <c r="E748" s="109"/>
      <c r="F748" s="109"/>
      <c r="G748" s="111"/>
      <c r="H748" s="111"/>
      <c r="I748" s="112"/>
      <c r="J748" s="112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2" customHeight="1">
      <c r="A749" s="108"/>
      <c r="B749" s="108"/>
      <c r="C749" s="109"/>
      <c r="D749" s="109"/>
      <c r="E749" s="109"/>
      <c r="F749" s="109"/>
      <c r="G749" s="111"/>
      <c r="H749" s="111"/>
      <c r="I749" s="112"/>
      <c r="J749" s="112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2" customHeight="1">
      <c r="A750" s="108"/>
      <c r="B750" s="108"/>
      <c r="C750" s="109"/>
      <c r="D750" s="109"/>
      <c r="E750" s="109"/>
      <c r="F750" s="109"/>
      <c r="G750" s="111"/>
      <c r="H750" s="111"/>
      <c r="I750" s="112"/>
      <c r="J750" s="112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2" customHeight="1">
      <c r="A751" s="108"/>
      <c r="B751" s="108"/>
      <c r="C751" s="109"/>
      <c r="D751" s="109"/>
      <c r="E751" s="109"/>
      <c r="F751" s="109"/>
      <c r="G751" s="111"/>
      <c r="H751" s="111"/>
      <c r="I751" s="112"/>
      <c r="J751" s="112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2" customHeight="1">
      <c r="A752" s="108"/>
      <c r="B752" s="108"/>
      <c r="C752" s="109"/>
      <c r="D752" s="109"/>
      <c r="E752" s="109"/>
      <c r="F752" s="109"/>
      <c r="G752" s="111"/>
      <c r="H752" s="111"/>
      <c r="I752" s="112"/>
      <c r="J752" s="112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2" customHeight="1">
      <c r="A753" s="108"/>
      <c r="B753" s="108"/>
      <c r="C753" s="109"/>
      <c r="D753" s="109"/>
      <c r="E753" s="109"/>
      <c r="F753" s="109"/>
      <c r="G753" s="111"/>
      <c r="H753" s="111"/>
      <c r="I753" s="112"/>
      <c r="J753" s="112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2" customHeight="1">
      <c r="A754" s="108"/>
      <c r="B754" s="108"/>
      <c r="C754" s="109"/>
      <c r="D754" s="109"/>
      <c r="E754" s="109"/>
      <c r="F754" s="109"/>
      <c r="G754" s="111"/>
      <c r="H754" s="111"/>
      <c r="I754" s="112"/>
      <c r="J754" s="112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2" customHeight="1">
      <c r="A755" s="108"/>
      <c r="B755" s="108"/>
      <c r="C755" s="109"/>
      <c r="D755" s="109"/>
      <c r="E755" s="109"/>
      <c r="F755" s="109"/>
      <c r="G755" s="111"/>
      <c r="H755" s="111"/>
      <c r="I755" s="112"/>
      <c r="J755" s="112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2" customHeight="1">
      <c r="A756" s="108"/>
      <c r="B756" s="108"/>
      <c r="C756" s="109"/>
      <c r="D756" s="109"/>
      <c r="E756" s="109"/>
      <c r="F756" s="109"/>
      <c r="G756" s="111"/>
      <c r="H756" s="111"/>
      <c r="I756" s="112"/>
      <c r="J756" s="112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2" customHeight="1">
      <c r="A757" s="108"/>
      <c r="B757" s="108"/>
      <c r="C757" s="109"/>
      <c r="D757" s="109"/>
      <c r="E757" s="109"/>
      <c r="F757" s="109"/>
      <c r="G757" s="111"/>
      <c r="H757" s="111"/>
      <c r="I757" s="112"/>
      <c r="J757" s="112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2" customHeight="1">
      <c r="A758" s="108"/>
      <c r="B758" s="108"/>
      <c r="C758" s="109"/>
      <c r="D758" s="109"/>
      <c r="E758" s="109"/>
      <c r="F758" s="109"/>
      <c r="G758" s="111"/>
      <c r="H758" s="111"/>
      <c r="I758" s="112"/>
      <c r="J758" s="112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2" customHeight="1">
      <c r="A759" s="108"/>
      <c r="B759" s="108"/>
      <c r="C759" s="109"/>
      <c r="D759" s="109"/>
      <c r="E759" s="109"/>
      <c r="F759" s="109"/>
      <c r="G759" s="111"/>
      <c r="H759" s="111"/>
      <c r="I759" s="112"/>
      <c r="J759" s="112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2" customHeight="1">
      <c r="A760" s="108"/>
      <c r="B760" s="108"/>
      <c r="C760" s="109"/>
      <c r="D760" s="109"/>
      <c r="E760" s="109"/>
      <c r="F760" s="109"/>
      <c r="G760" s="111"/>
      <c r="H760" s="111"/>
      <c r="I760" s="112"/>
      <c r="J760" s="112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2" customHeight="1">
      <c r="A761" s="108"/>
      <c r="B761" s="108"/>
      <c r="C761" s="109"/>
      <c r="D761" s="109"/>
      <c r="E761" s="109"/>
      <c r="F761" s="109"/>
      <c r="G761" s="111"/>
      <c r="H761" s="111"/>
      <c r="I761" s="112"/>
      <c r="J761" s="112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2" customHeight="1">
      <c r="A762" s="108"/>
      <c r="B762" s="108"/>
      <c r="C762" s="109"/>
      <c r="D762" s="109"/>
      <c r="E762" s="109"/>
      <c r="F762" s="109"/>
      <c r="G762" s="111"/>
      <c r="H762" s="111"/>
      <c r="I762" s="112"/>
      <c r="J762" s="112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2" customHeight="1">
      <c r="A763" s="108"/>
      <c r="B763" s="108"/>
      <c r="C763" s="109"/>
      <c r="D763" s="109"/>
      <c r="E763" s="109"/>
      <c r="F763" s="109"/>
      <c r="G763" s="111"/>
      <c r="H763" s="111"/>
      <c r="I763" s="112"/>
      <c r="J763" s="112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2" customHeight="1">
      <c r="A764" s="108"/>
      <c r="B764" s="108"/>
      <c r="C764" s="109"/>
      <c r="D764" s="109"/>
      <c r="E764" s="109"/>
      <c r="F764" s="109"/>
      <c r="G764" s="111"/>
      <c r="H764" s="111"/>
      <c r="I764" s="112"/>
      <c r="J764" s="112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2" customHeight="1">
      <c r="A765" s="108"/>
      <c r="B765" s="108"/>
      <c r="C765" s="109"/>
      <c r="D765" s="109"/>
      <c r="E765" s="109"/>
      <c r="F765" s="109"/>
      <c r="G765" s="111"/>
      <c r="H765" s="111"/>
      <c r="I765" s="112"/>
      <c r="J765" s="112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2" customHeight="1">
      <c r="A766" s="108"/>
      <c r="B766" s="108"/>
      <c r="C766" s="109"/>
      <c r="D766" s="109"/>
      <c r="E766" s="109"/>
      <c r="F766" s="109"/>
      <c r="G766" s="111"/>
      <c r="H766" s="111"/>
      <c r="I766" s="112"/>
      <c r="J766" s="112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2" customHeight="1">
      <c r="A767" s="108"/>
      <c r="B767" s="108"/>
      <c r="C767" s="109"/>
      <c r="D767" s="109"/>
      <c r="E767" s="109"/>
      <c r="F767" s="109"/>
      <c r="G767" s="111"/>
      <c r="H767" s="111"/>
      <c r="I767" s="112"/>
      <c r="J767" s="112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2" customHeight="1">
      <c r="A768" s="108"/>
      <c r="B768" s="108"/>
      <c r="C768" s="109"/>
      <c r="D768" s="109"/>
      <c r="E768" s="109"/>
      <c r="F768" s="109"/>
      <c r="G768" s="111"/>
      <c r="H768" s="111"/>
      <c r="I768" s="112"/>
      <c r="J768" s="112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2" customHeight="1">
      <c r="A769" s="108"/>
      <c r="B769" s="108"/>
      <c r="C769" s="109"/>
      <c r="D769" s="109"/>
      <c r="E769" s="109"/>
      <c r="F769" s="109"/>
      <c r="G769" s="111"/>
      <c r="H769" s="111"/>
      <c r="I769" s="112"/>
      <c r="J769" s="112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2" customHeight="1">
      <c r="A770" s="108"/>
      <c r="B770" s="108"/>
      <c r="C770" s="109"/>
      <c r="D770" s="109"/>
      <c r="E770" s="109"/>
      <c r="F770" s="109"/>
      <c r="G770" s="111"/>
      <c r="H770" s="111"/>
      <c r="I770" s="112"/>
      <c r="J770" s="112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2" customHeight="1">
      <c r="A771" s="108"/>
      <c r="B771" s="108"/>
      <c r="C771" s="109"/>
      <c r="D771" s="109"/>
      <c r="E771" s="109"/>
      <c r="F771" s="109"/>
      <c r="G771" s="111"/>
      <c r="H771" s="111"/>
      <c r="I771" s="112"/>
      <c r="J771" s="112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2" customHeight="1">
      <c r="A772" s="108"/>
      <c r="B772" s="108"/>
      <c r="C772" s="109"/>
      <c r="D772" s="109"/>
      <c r="E772" s="109"/>
      <c r="F772" s="109"/>
      <c r="G772" s="111"/>
      <c r="H772" s="111"/>
      <c r="I772" s="112"/>
      <c r="J772" s="112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2" customHeight="1">
      <c r="A773" s="108"/>
      <c r="B773" s="108"/>
      <c r="C773" s="109"/>
      <c r="D773" s="109"/>
      <c r="E773" s="109"/>
      <c r="F773" s="109"/>
      <c r="G773" s="111"/>
      <c r="H773" s="111"/>
      <c r="I773" s="112"/>
      <c r="J773" s="112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2" customHeight="1">
      <c r="A774" s="108"/>
      <c r="B774" s="108"/>
      <c r="C774" s="109"/>
      <c r="D774" s="109"/>
      <c r="E774" s="109"/>
      <c r="F774" s="109"/>
      <c r="G774" s="111"/>
      <c r="H774" s="111"/>
      <c r="I774" s="112"/>
      <c r="J774" s="112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2" customHeight="1">
      <c r="A775" s="108"/>
      <c r="B775" s="108"/>
      <c r="C775" s="109"/>
      <c r="D775" s="109"/>
      <c r="E775" s="109"/>
      <c r="F775" s="109"/>
      <c r="G775" s="111"/>
      <c r="H775" s="111"/>
      <c r="I775" s="112"/>
      <c r="J775" s="112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2" customHeight="1">
      <c r="A776" s="108"/>
      <c r="B776" s="108"/>
      <c r="C776" s="109"/>
      <c r="D776" s="109"/>
      <c r="E776" s="109"/>
      <c r="F776" s="109"/>
      <c r="G776" s="111"/>
      <c r="H776" s="111"/>
      <c r="I776" s="112"/>
      <c r="J776" s="112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2" customHeight="1">
      <c r="A777" s="108"/>
      <c r="B777" s="108"/>
      <c r="C777" s="109"/>
      <c r="D777" s="109"/>
      <c r="E777" s="109"/>
      <c r="F777" s="109"/>
      <c r="G777" s="111"/>
      <c r="H777" s="111"/>
      <c r="I777" s="112"/>
      <c r="J777" s="112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2" customHeight="1">
      <c r="A778" s="108"/>
      <c r="B778" s="108"/>
      <c r="C778" s="109"/>
      <c r="D778" s="109"/>
      <c r="E778" s="109"/>
      <c r="F778" s="109"/>
      <c r="G778" s="111"/>
      <c r="H778" s="111"/>
      <c r="I778" s="112"/>
      <c r="J778" s="112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2" customHeight="1">
      <c r="A779" s="108"/>
      <c r="B779" s="108"/>
      <c r="C779" s="109"/>
      <c r="D779" s="109"/>
      <c r="E779" s="109"/>
      <c r="F779" s="109"/>
      <c r="G779" s="111"/>
      <c r="H779" s="111"/>
      <c r="I779" s="112"/>
      <c r="J779" s="112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2" customHeight="1">
      <c r="A780" s="108"/>
      <c r="B780" s="108"/>
      <c r="C780" s="109"/>
      <c r="D780" s="109"/>
      <c r="E780" s="109"/>
      <c r="F780" s="109"/>
      <c r="G780" s="111"/>
      <c r="H780" s="111"/>
      <c r="I780" s="112"/>
      <c r="J780" s="112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2" customHeight="1">
      <c r="A781" s="108"/>
      <c r="B781" s="108"/>
      <c r="C781" s="109"/>
      <c r="D781" s="109"/>
      <c r="E781" s="109"/>
      <c r="F781" s="109"/>
      <c r="G781" s="111"/>
      <c r="H781" s="111"/>
      <c r="I781" s="112"/>
      <c r="J781" s="112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2" customHeight="1">
      <c r="A782" s="108"/>
      <c r="B782" s="108"/>
      <c r="C782" s="109"/>
      <c r="D782" s="109"/>
      <c r="E782" s="109"/>
      <c r="F782" s="109"/>
      <c r="G782" s="111"/>
      <c r="H782" s="111"/>
      <c r="I782" s="112"/>
      <c r="J782" s="112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2" customHeight="1">
      <c r="A783" s="108"/>
      <c r="B783" s="108"/>
      <c r="C783" s="109"/>
      <c r="D783" s="109"/>
      <c r="E783" s="109"/>
      <c r="F783" s="109"/>
      <c r="G783" s="111"/>
      <c r="H783" s="111"/>
      <c r="I783" s="112"/>
      <c r="J783" s="112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2" customHeight="1">
      <c r="A784" s="108"/>
      <c r="B784" s="108"/>
      <c r="C784" s="109"/>
      <c r="D784" s="109"/>
      <c r="E784" s="109"/>
      <c r="F784" s="109"/>
      <c r="G784" s="111"/>
      <c r="H784" s="111"/>
      <c r="I784" s="112"/>
      <c r="J784" s="112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2" customHeight="1">
      <c r="A785" s="108"/>
      <c r="B785" s="108"/>
      <c r="C785" s="109"/>
      <c r="D785" s="109"/>
      <c r="E785" s="109"/>
      <c r="F785" s="109"/>
      <c r="G785" s="111"/>
      <c r="H785" s="111"/>
      <c r="I785" s="112"/>
      <c r="J785" s="112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2" customHeight="1">
      <c r="A786" s="108"/>
      <c r="B786" s="108"/>
      <c r="C786" s="109"/>
      <c r="D786" s="109"/>
      <c r="E786" s="109"/>
      <c r="F786" s="109"/>
      <c r="G786" s="111"/>
      <c r="H786" s="111"/>
      <c r="I786" s="112"/>
      <c r="J786" s="112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2" customHeight="1">
      <c r="A787" s="108"/>
      <c r="B787" s="108"/>
      <c r="C787" s="109"/>
      <c r="D787" s="109"/>
      <c r="E787" s="109"/>
      <c r="F787" s="109"/>
      <c r="G787" s="111"/>
      <c r="H787" s="111"/>
      <c r="I787" s="112"/>
      <c r="J787" s="112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2" customHeight="1">
      <c r="A788" s="108"/>
      <c r="B788" s="108"/>
      <c r="C788" s="109"/>
      <c r="D788" s="109"/>
      <c r="E788" s="109"/>
      <c r="F788" s="109"/>
      <c r="G788" s="111"/>
      <c r="H788" s="111"/>
      <c r="I788" s="112"/>
      <c r="J788" s="112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2" customHeight="1">
      <c r="A789" s="108"/>
      <c r="B789" s="108"/>
      <c r="C789" s="109"/>
      <c r="D789" s="109"/>
      <c r="E789" s="109"/>
      <c r="F789" s="109"/>
      <c r="G789" s="111"/>
      <c r="H789" s="111"/>
      <c r="I789" s="112"/>
      <c r="J789" s="112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2" customHeight="1">
      <c r="A790" s="108"/>
      <c r="B790" s="108"/>
      <c r="C790" s="109"/>
      <c r="D790" s="109"/>
      <c r="E790" s="109"/>
      <c r="F790" s="109"/>
      <c r="G790" s="111"/>
      <c r="H790" s="111"/>
      <c r="I790" s="112"/>
      <c r="J790" s="112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2" customHeight="1">
      <c r="A791" s="108"/>
      <c r="B791" s="108"/>
      <c r="C791" s="109"/>
      <c r="D791" s="109"/>
      <c r="E791" s="109"/>
      <c r="F791" s="109"/>
      <c r="G791" s="111"/>
      <c r="H791" s="111"/>
      <c r="I791" s="112"/>
      <c r="J791" s="112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2" customHeight="1">
      <c r="A792" s="108"/>
      <c r="B792" s="108"/>
      <c r="C792" s="109"/>
      <c r="D792" s="109"/>
      <c r="E792" s="109"/>
      <c r="F792" s="109"/>
      <c r="G792" s="111"/>
      <c r="H792" s="111"/>
      <c r="I792" s="112"/>
      <c r="J792" s="112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2" customHeight="1">
      <c r="A793" s="108"/>
      <c r="B793" s="108"/>
      <c r="C793" s="109"/>
      <c r="D793" s="109"/>
      <c r="E793" s="109"/>
      <c r="F793" s="109"/>
      <c r="G793" s="111"/>
      <c r="H793" s="111"/>
      <c r="I793" s="112"/>
      <c r="J793" s="112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2" customHeight="1">
      <c r="A794" s="108"/>
      <c r="B794" s="108"/>
      <c r="C794" s="109"/>
      <c r="D794" s="109"/>
      <c r="E794" s="109"/>
      <c r="F794" s="109"/>
      <c r="G794" s="111"/>
      <c r="H794" s="111"/>
      <c r="I794" s="112"/>
      <c r="J794" s="112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2" customHeight="1">
      <c r="A795" s="108"/>
      <c r="B795" s="108"/>
      <c r="C795" s="109"/>
      <c r="D795" s="109"/>
      <c r="E795" s="109"/>
      <c r="F795" s="109"/>
      <c r="G795" s="111"/>
      <c r="H795" s="111"/>
      <c r="I795" s="112"/>
      <c r="J795" s="112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2" customHeight="1">
      <c r="A796" s="108"/>
      <c r="B796" s="108"/>
      <c r="C796" s="109"/>
      <c r="D796" s="109"/>
      <c r="E796" s="109"/>
      <c r="F796" s="109"/>
      <c r="G796" s="111"/>
      <c r="H796" s="111"/>
      <c r="I796" s="112"/>
      <c r="J796" s="112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2" customHeight="1">
      <c r="A797" s="108"/>
      <c r="B797" s="108"/>
      <c r="C797" s="109"/>
      <c r="D797" s="109"/>
      <c r="E797" s="109"/>
      <c r="F797" s="109"/>
      <c r="G797" s="111"/>
      <c r="H797" s="111"/>
      <c r="I797" s="112"/>
      <c r="J797" s="112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2" customHeight="1">
      <c r="A798" s="108"/>
      <c r="B798" s="108"/>
      <c r="C798" s="109"/>
      <c r="D798" s="109"/>
      <c r="E798" s="109"/>
      <c r="F798" s="109"/>
      <c r="G798" s="111"/>
      <c r="H798" s="111"/>
      <c r="I798" s="112"/>
      <c r="J798" s="112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2" customHeight="1">
      <c r="A799" s="108"/>
      <c r="B799" s="108"/>
      <c r="C799" s="109"/>
      <c r="D799" s="109"/>
      <c r="E799" s="109"/>
      <c r="F799" s="109"/>
      <c r="G799" s="111"/>
      <c r="H799" s="111"/>
      <c r="I799" s="112"/>
      <c r="J799" s="112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2" customHeight="1">
      <c r="A800" s="108"/>
      <c r="B800" s="108"/>
      <c r="C800" s="109"/>
      <c r="D800" s="109"/>
      <c r="E800" s="109"/>
      <c r="F800" s="109"/>
      <c r="G800" s="111"/>
      <c r="H800" s="111"/>
      <c r="I800" s="112"/>
      <c r="J800" s="112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2" customHeight="1">
      <c r="A801" s="108"/>
      <c r="B801" s="108"/>
      <c r="C801" s="109"/>
      <c r="D801" s="109"/>
      <c r="E801" s="109"/>
      <c r="F801" s="109"/>
      <c r="G801" s="111"/>
      <c r="H801" s="111"/>
      <c r="I801" s="112"/>
      <c r="J801" s="112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2" customHeight="1">
      <c r="A802" s="108"/>
      <c r="B802" s="108"/>
      <c r="C802" s="109"/>
      <c r="D802" s="109"/>
      <c r="E802" s="109"/>
      <c r="F802" s="109"/>
      <c r="G802" s="111"/>
      <c r="H802" s="111"/>
      <c r="I802" s="112"/>
      <c r="J802" s="112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2" customHeight="1">
      <c r="A803" s="108"/>
      <c r="B803" s="108"/>
      <c r="C803" s="109"/>
      <c r="D803" s="109"/>
      <c r="E803" s="109"/>
      <c r="F803" s="109"/>
      <c r="G803" s="111"/>
      <c r="H803" s="111"/>
      <c r="I803" s="112"/>
      <c r="J803" s="112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2" customHeight="1">
      <c r="A804" s="108"/>
      <c r="B804" s="108"/>
      <c r="C804" s="109"/>
      <c r="D804" s="109"/>
      <c r="E804" s="109"/>
      <c r="F804" s="109"/>
      <c r="G804" s="111"/>
      <c r="H804" s="111"/>
      <c r="I804" s="112"/>
      <c r="J804" s="112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2" customHeight="1">
      <c r="A805" s="108"/>
      <c r="B805" s="108"/>
      <c r="C805" s="109"/>
      <c r="D805" s="109"/>
      <c r="E805" s="109"/>
      <c r="F805" s="109"/>
      <c r="G805" s="111"/>
      <c r="H805" s="111"/>
      <c r="I805" s="112"/>
      <c r="J805" s="112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2" customHeight="1">
      <c r="A806" s="108"/>
      <c r="B806" s="108"/>
      <c r="C806" s="109"/>
      <c r="D806" s="109"/>
      <c r="E806" s="109"/>
      <c r="F806" s="109"/>
      <c r="G806" s="111"/>
      <c r="H806" s="111"/>
      <c r="I806" s="112"/>
      <c r="J806" s="112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2" customHeight="1">
      <c r="A807" s="108"/>
      <c r="B807" s="108"/>
      <c r="C807" s="109"/>
      <c r="D807" s="109"/>
      <c r="E807" s="109"/>
      <c r="F807" s="109"/>
      <c r="G807" s="111"/>
      <c r="H807" s="111"/>
      <c r="I807" s="112"/>
      <c r="J807" s="112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2" customHeight="1">
      <c r="A808" s="108"/>
      <c r="B808" s="108"/>
      <c r="C808" s="109"/>
      <c r="D808" s="109"/>
      <c r="E808" s="109"/>
      <c r="F808" s="109"/>
      <c r="G808" s="111"/>
      <c r="H808" s="111"/>
      <c r="I808" s="112"/>
      <c r="J808" s="112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2" customHeight="1">
      <c r="A809" s="108"/>
      <c r="B809" s="108"/>
      <c r="C809" s="109"/>
      <c r="D809" s="109"/>
      <c r="E809" s="109"/>
      <c r="F809" s="109"/>
      <c r="G809" s="111"/>
      <c r="H809" s="111"/>
      <c r="I809" s="112"/>
      <c r="J809" s="112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2" customHeight="1">
      <c r="A810" s="108"/>
      <c r="B810" s="108"/>
      <c r="C810" s="109"/>
      <c r="D810" s="109"/>
      <c r="E810" s="109"/>
      <c r="F810" s="109"/>
      <c r="G810" s="111"/>
      <c r="H810" s="111"/>
      <c r="I810" s="112"/>
      <c r="J810" s="112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2" customHeight="1">
      <c r="A811" s="108"/>
      <c r="B811" s="108"/>
      <c r="C811" s="109"/>
      <c r="D811" s="109"/>
      <c r="E811" s="109"/>
      <c r="F811" s="109"/>
      <c r="G811" s="111"/>
      <c r="H811" s="111"/>
      <c r="I811" s="112"/>
      <c r="J811" s="112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2" customHeight="1">
      <c r="A812" s="108"/>
      <c r="B812" s="108"/>
      <c r="C812" s="109"/>
      <c r="D812" s="109"/>
      <c r="E812" s="109"/>
      <c r="F812" s="109"/>
      <c r="G812" s="111"/>
      <c r="H812" s="111"/>
      <c r="I812" s="112"/>
      <c r="J812" s="112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2" customHeight="1">
      <c r="A813" s="108"/>
      <c r="B813" s="108"/>
      <c r="C813" s="109"/>
      <c r="D813" s="109"/>
      <c r="E813" s="109"/>
      <c r="F813" s="109"/>
      <c r="G813" s="111"/>
      <c r="H813" s="111"/>
      <c r="I813" s="112"/>
      <c r="J813" s="112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2" customHeight="1">
      <c r="A814" s="108"/>
      <c r="B814" s="108"/>
      <c r="C814" s="109"/>
      <c r="D814" s="109"/>
      <c r="E814" s="109"/>
      <c r="F814" s="109"/>
      <c r="G814" s="111"/>
      <c r="H814" s="111"/>
      <c r="I814" s="112"/>
      <c r="J814" s="112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2" customHeight="1">
      <c r="A815" s="108"/>
      <c r="B815" s="108"/>
      <c r="C815" s="109"/>
      <c r="D815" s="109"/>
      <c r="E815" s="109"/>
      <c r="F815" s="109"/>
      <c r="G815" s="111"/>
      <c r="H815" s="111"/>
      <c r="I815" s="112"/>
      <c r="J815" s="112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2" customHeight="1">
      <c r="A816" s="108"/>
      <c r="B816" s="108"/>
      <c r="C816" s="109"/>
      <c r="D816" s="109"/>
      <c r="E816" s="109"/>
      <c r="F816" s="109"/>
      <c r="G816" s="111"/>
      <c r="H816" s="111"/>
      <c r="I816" s="112"/>
      <c r="J816" s="112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2" customHeight="1">
      <c r="A817" s="108"/>
      <c r="B817" s="108"/>
      <c r="C817" s="109"/>
      <c r="D817" s="109"/>
      <c r="E817" s="109"/>
      <c r="F817" s="109"/>
      <c r="G817" s="111"/>
      <c r="H817" s="111"/>
      <c r="I817" s="112"/>
      <c r="J817" s="112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2" customHeight="1">
      <c r="A818" s="108"/>
      <c r="B818" s="108"/>
      <c r="C818" s="109"/>
      <c r="D818" s="109"/>
      <c r="E818" s="109"/>
      <c r="F818" s="109"/>
      <c r="G818" s="111"/>
      <c r="H818" s="111"/>
      <c r="I818" s="112"/>
      <c r="J818" s="112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2" customHeight="1">
      <c r="A819" s="108"/>
      <c r="B819" s="108"/>
      <c r="C819" s="109"/>
      <c r="D819" s="109"/>
      <c r="E819" s="109"/>
      <c r="F819" s="109"/>
      <c r="G819" s="111"/>
      <c r="H819" s="111"/>
      <c r="I819" s="112"/>
      <c r="J819" s="112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2" customHeight="1">
      <c r="A820" s="108"/>
      <c r="B820" s="108"/>
      <c r="C820" s="109"/>
      <c r="D820" s="109"/>
      <c r="E820" s="109"/>
      <c r="F820" s="109"/>
      <c r="G820" s="111"/>
      <c r="H820" s="111"/>
      <c r="I820" s="112"/>
      <c r="J820" s="112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2" customHeight="1">
      <c r="A821" s="108"/>
      <c r="B821" s="108"/>
      <c r="C821" s="109"/>
      <c r="D821" s="109"/>
      <c r="E821" s="109"/>
      <c r="F821" s="109"/>
      <c r="G821" s="111"/>
      <c r="H821" s="111"/>
      <c r="I821" s="112"/>
      <c r="J821" s="112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2" customHeight="1">
      <c r="A822" s="108"/>
      <c r="B822" s="108"/>
      <c r="C822" s="109"/>
      <c r="D822" s="109"/>
      <c r="E822" s="109"/>
      <c r="F822" s="109"/>
      <c r="G822" s="111"/>
      <c r="H822" s="111"/>
      <c r="I822" s="112"/>
      <c r="J822" s="112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2" customHeight="1">
      <c r="A823" s="108"/>
      <c r="B823" s="108"/>
      <c r="C823" s="109"/>
      <c r="D823" s="109"/>
      <c r="E823" s="109"/>
      <c r="F823" s="109"/>
      <c r="G823" s="111"/>
      <c r="H823" s="111"/>
      <c r="I823" s="112"/>
      <c r="J823" s="112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2" customHeight="1">
      <c r="A824" s="108"/>
      <c r="B824" s="108"/>
      <c r="C824" s="109"/>
      <c r="D824" s="109"/>
      <c r="E824" s="109"/>
      <c r="F824" s="109"/>
      <c r="G824" s="111"/>
      <c r="H824" s="111"/>
      <c r="I824" s="112"/>
      <c r="J824" s="112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2" customHeight="1">
      <c r="A825" s="108"/>
      <c r="B825" s="108"/>
      <c r="C825" s="109"/>
      <c r="D825" s="109"/>
      <c r="E825" s="109"/>
      <c r="F825" s="109"/>
      <c r="G825" s="111"/>
      <c r="H825" s="111"/>
      <c r="I825" s="112"/>
      <c r="J825" s="112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2" customHeight="1">
      <c r="A826" s="108"/>
      <c r="B826" s="108"/>
      <c r="C826" s="109"/>
      <c r="D826" s="109"/>
      <c r="E826" s="109"/>
      <c r="F826" s="109"/>
      <c r="G826" s="111"/>
      <c r="H826" s="111"/>
      <c r="I826" s="112"/>
      <c r="J826" s="112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2" customHeight="1">
      <c r="A827" s="108"/>
      <c r="B827" s="108"/>
      <c r="C827" s="109"/>
      <c r="D827" s="109"/>
      <c r="E827" s="109"/>
      <c r="F827" s="109"/>
      <c r="G827" s="111"/>
      <c r="H827" s="111"/>
      <c r="I827" s="112"/>
      <c r="J827" s="112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2" customHeight="1">
      <c r="A828" s="108"/>
      <c r="B828" s="108"/>
      <c r="C828" s="109"/>
      <c r="D828" s="109"/>
      <c r="E828" s="109"/>
      <c r="F828" s="109"/>
      <c r="G828" s="111"/>
      <c r="H828" s="111"/>
      <c r="I828" s="112"/>
      <c r="J828" s="112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2" customHeight="1">
      <c r="A829" s="108"/>
      <c r="B829" s="108"/>
      <c r="C829" s="109"/>
      <c r="D829" s="109"/>
      <c r="E829" s="109"/>
      <c r="F829" s="109"/>
      <c r="G829" s="111"/>
      <c r="H829" s="111"/>
      <c r="I829" s="112"/>
      <c r="J829" s="112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2" customHeight="1">
      <c r="A830" s="108"/>
      <c r="B830" s="108"/>
      <c r="C830" s="109"/>
      <c r="D830" s="109"/>
      <c r="E830" s="109"/>
      <c r="F830" s="109"/>
      <c r="G830" s="111"/>
      <c r="H830" s="111"/>
      <c r="I830" s="112"/>
      <c r="J830" s="112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2" customHeight="1">
      <c r="A831" s="108"/>
      <c r="B831" s="108"/>
      <c r="C831" s="109"/>
      <c r="D831" s="109"/>
      <c r="E831" s="109"/>
      <c r="F831" s="109"/>
      <c r="G831" s="111"/>
      <c r="H831" s="111"/>
      <c r="I831" s="112"/>
      <c r="J831" s="112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2" customHeight="1">
      <c r="A832" s="108"/>
      <c r="B832" s="108"/>
      <c r="C832" s="109"/>
      <c r="D832" s="109"/>
      <c r="E832" s="109"/>
      <c r="F832" s="109"/>
      <c r="G832" s="111"/>
      <c r="H832" s="111"/>
      <c r="I832" s="112"/>
      <c r="J832" s="112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2" customHeight="1">
      <c r="A833" s="108"/>
      <c r="B833" s="108"/>
      <c r="C833" s="109"/>
      <c r="D833" s="109"/>
      <c r="E833" s="109"/>
      <c r="F833" s="109"/>
      <c r="G833" s="111"/>
      <c r="H833" s="111"/>
      <c r="I833" s="112"/>
      <c r="J833" s="112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2" customHeight="1">
      <c r="A834" s="108"/>
      <c r="B834" s="108"/>
      <c r="C834" s="109"/>
      <c r="D834" s="109"/>
      <c r="E834" s="109"/>
      <c r="F834" s="109"/>
      <c r="G834" s="111"/>
      <c r="H834" s="111"/>
      <c r="I834" s="112"/>
      <c r="J834" s="112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2" customHeight="1">
      <c r="A835" s="108"/>
      <c r="B835" s="108"/>
      <c r="C835" s="109"/>
      <c r="D835" s="109"/>
      <c r="E835" s="109"/>
      <c r="F835" s="109"/>
      <c r="G835" s="111"/>
      <c r="H835" s="111"/>
      <c r="I835" s="112"/>
      <c r="J835" s="112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2" customHeight="1">
      <c r="A836" s="108"/>
      <c r="B836" s="108"/>
      <c r="C836" s="109"/>
      <c r="D836" s="109"/>
      <c r="E836" s="109"/>
      <c r="F836" s="109"/>
      <c r="G836" s="111"/>
      <c r="H836" s="111"/>
      <c r="I836" s="112"/>
      <c r="J836" s="112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2" customHeight="1">
      <c r="A837" s="108"/>
      <c r="B837" s="108"/>
      <c r="C837" s="109"/>
      <c r="D837" s="109"/>
      <c r="E837" s="109"/>
      <c r="F837" s="109"/>
      <c r="G837" s="111"/>
      <c r="H837" s="111"/>
      <c r="I837" s="112"/>
      <c r="J837" s="112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2" customHeight="1">
      <c r="A838" s="108"/>
      <c r="B838" s="108"/>
      <c r="C838" s="109"/>
      <c r="D838" s="109"/>
      <c r="E838" s="109"/>
      <c r="F838" s="109"/>
      <c r="G838" s="111"/>
      <c r="H838" s="111"/>
      <c r="I838" s="112"/>
      <c r="J838" s="112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2" customHeight="1">
      <c r="A839" s="108"/>
      <c r="B839" s="108"/>
      <c r="C839" s="109"/>
      <c r="D839" s="109"/>
      <c r="E839" s="109"/>
      <c r="F839" s="109"/>
      <c r="G839" s="111"/>
      <c r="H839" s="111"/>
      <c r="I839" s="112"/>
      <c r="J839" s="112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2" customHeight="1">
      <c r="A840" s="108"/>
      <c r="B840" s="108"/>
      <c r="C840" s="109"/>
      <c r="D840" s="109"/>
      <c r="E840" s="109"/>
      <c r="F840" s="109"/>
      <c r="G840" s="111"/>
      <c r="H840" s="111"/>
      <c r="I840" s="112"/>
      <c r="J840" s="112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2" customHeight="1">
      <c r="A841" s="108"/>
      <c r="B841" s="108"/>
      <c r="C841" s="109"/>
      <c r="D841" s="109"/>
      <c r="E841" s="109"/>
      <c r="F841" s="109"/>
      <c r="G841" s="111"/>
      <c r="H841" s="111"/>
      <c r="I841" s="112"/>
      <c r="J841" s="112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2" customHeight="1">
      <c r="A842" s="108"/>
      <c r="B842" s="108"/>
      <c r="C842" s="109"/>
      <c r="D842" s="109"/>
      <c r="E842" s="109"/>
      <c r="F842" s="109"/>
      <c r="G842" s="111"/>
      <c r="H842" s="111"/>
      <c r="I842" s="112"/>
      <c r="J842" s="112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2" customHeight="1">
      <c r="A843" s="108"/>
      <c r="B843" s="108"/>
      <c r="C843" s="109"/>
      <c r="D843" s="109"/>
      <c r="E843" s="109"/>
      <c r="F843" s="109"/>
      <c r="G843" s="111"/>
      <c r="H843" s="111"/>
      <c r="I843" s="112"/>
      <c r="J843" s="112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2" customHeight="1">
      <c r="A844" s="108"/>
      <c r="B844" s="108"/>
      <c r="C844" s="109"/>
      <c r="D844" s="109"/>
      <c r="E844" s="109"/>
      <c r="F844" s="109"/>
      <c r="G844" s="111"/>
      <c r="H844" s="111"/>
      <c r="I844" s="112"/>
      <c r="J844" s="112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2" customHeight="1">
      <c r="A845" s="108"/>
      <c r="B845" s="108"/>
      <c r="C845" s="109"/>
      <c r="D845" s="109"/>
      <c r="E845" s="109"/>
      <c r="F845" s="109"/>
      <c r="G845" s="111"/>
      <c r="H845" s="111"/>
      <c r="I845" s="112"/>
      <c r="J845" s="112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2" customHeight="1">
      <c r="A846" s="108"/>
      <c r="B846" s="108"/>
      <c r="C846" s="109"/>
      <c r="D846" s="109"/>
      <c r="E846" s="109"/>
      <c r="F846" s="109"/>
      <c r="G846" s="111"/>
      <c r="H846" s="111"/>
      <c r="I846" s="112"/>
      <c r="J846" s="112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2" customHeight="1">
      <c r="A847" s="108"/>
      <c r="B847" s="108"/>
      <c r="C847" s="109"/>
      <c r="D847" s="109"/>
      <c r="E847" s="109"/>
      <c r="F847" s="109"/>
      <c r="G847" s="111"/>
      <c r="H847" s="111"/>
      <c r="I847" s="112"/>
      <c r="J847" s="112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2" customHeight="1">
      <c r="A848" s="108"/>
      <c r="B848" s="108"/>
      <c r="C848" s="109"/>
      <c r="D848" s="109"/>
      <c r="E848" s="109"/>
      <c r="F848" s="109"/>
      <c r="G848" s="111"/>
      <c r="H848" s="111"/>
      <c r="I848" s="112"/>
      <c r="J848" s="112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2" customHeight="1">
      <c r="A849" s="108"/>
      <c r="B849" s="108"/>
      <c r="C849" s="109"/>
      <c r="D849" s="109"/>
      <c r="E849" s="109"/>
      <c r="F849" s="109"/>
      <c r="G849" s="111"/>
      <c r="H849" s="111"/>
      <c r="I849" s="112"/>
      <c r="J849" s="112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2" customHeight="1">
      <c r="A850" s="108"/>
      <c r="B850" s="108"/>
      <c r="C850" s="109"/>
      <c r="D850" s="109"/>
      <c r="E850" s="109"/>
      <c r="F850" s="109"/>
      <c r="G850" s="111"/>
      <c r="H850" s="111"/>
      <c r="I850" s="112"/>
      <c r="J850" s="112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2" customHeight="1">
      <c r="A851" s="108"/>
      <c r="B851" s="108"/>
      <c r="C851" s="109"/>
      <c r="D851" s="109"/>
      <c r="E851" s="109"/>
      <c r="F851" s="109"/>
      <c r="G851" s="111"/>
      <c r="H851" s="111"/>
      <c r="I851" s="112"/>
      <c r="J851" s="112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2" customHeight="1">
      <c r="A852" s="108"/>
      <c r="B852" s="108"/>
      <c r="C852" s="109"/>
      <c r="D852" s="109"/>
      <c r="E852" s="109"/>
      <c r="F852" s="109"/>
      <c r="G852" s="111"/>
      <c r="H852" s="111"/>
      <c r="I852" s="112"/>
      <c r="J852" s="112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2" customHeight="1">
      <c r="A853" s="108"/>
      <c r="B853" s="108"/>
      <c r="C853" s="109"/>
      <c r="D853" s="109"/>
      <c r="E853" s="109"/>
      <c r="F853" s="109"/>
      <c r="G853" s="111"/>
      <c r="H853" s="111"/>
      <c r="I853" s="112"/>
      <c r="J853" s="112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2" customHeight="1">
      <c r="A854" s="108"/>
      <c r="B854" s="108"/>
      <c r="C854" s="109"/>
      <c r="D854" s="109"/>
      <c r="E854" s="109"/>
      <c r="F854" s="109"/>
      <c r="G854" s="111"/>
      <c r="H854" s="111"/>
      <c r="I854" s="112"/>
      <c r="J854" s="112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2" customHeight="1">
      <c r="A855" s="108"/>
      <c r="B855" s="108"/>
      <c r="C855" s="109"/>
      <c r="D855" s="109"/>
      <c r="E855" s="109"/>
      <c r="F855" s="109"/>
      <c r="G855" s="111"/>
      <c r="H855" s="111"/>
      <c r="I855" s="112"/>
      <c r="J855" s="112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2" customHeight="1">
      <c r="A856" s="108"/>
      <c r="B856" s="108"/>
      <c r="C856" s="109"/>
      <c r="D856" s="109"/>
      <c r="E856" s="109"/>
      <c r="F856" s="109"/>
      <c r="G856" s="111"/>
      <c r="H856" s="111"/>
      <c r="I856" s="112"/>
      <c r="J856" s="112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2" customHeight="1">
      <c r="A857" s="108"/>
      <c r="B857" s="108"/>
      <c r="C857" s="109"/>
      <c r="D857" s="109"/>
      <c r="E857" s="109"/>
      <c r="F857" s="109"/>
      <c r="G857" s="111"/>
      <c r="H857" s="111"/>
      <c r="I857" s="112"/>
      <c r="J857" s="112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2" customHeight="1">
      <c r="A858" s="108"/>
      <c r="B858" s="108"/>
      <c r="C858" s="109"/>
      <c r="D858" s="109"/>
      <c r="E858" s="109"/>
      <c r="F858" s="109"/>
      <c r="G858" s="111"/>
      <c r="H858" s="111"/>
      <c r="I858" s="112"/>
      <c r="J858" s="112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2" customHeight="1">
      <c r="A859" s="108"/>
      <c r="B859" s="108"/>
      <c r="C859" s="109"/>
      <c r="D859" s="109"/>
      <c r="E859" s="109"/>
      <c r="F859" s="109"/>
      <c r="G859" s="111"/>
      <c r="H859" s="111"/>
      <c r="I859" s="112"/>
      <c r="J859" s="112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2" customHeight="1">
      <c r="A860" s="108"/>
      <c r="B860" s="108"/>
      <c r="C860" s="109"/>
      <c r="D860" s="109"/>
      <c r="E860" s="109"/>
      <c r="F860" s="109"/>
      <c r="G860" s="111"/>
      <c r="H860" s="111"/>
      <c r="I860" s="112"/>
      <c r="J860" s="112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2" customHeight="1">
      <c r="A861" s="108"/>
      <c r="B861" s="108"/>
      <c r="C861" s="109"/>
      <c r="D861" s="109"/>
      <c r="E861" s="109"/>
      <c r="F861" s="109"/>
      <c r="G861" s="111"/>
      <c r="H861" s="111"/>
      <c r="I861" s="112"/>
      <c r="J861" s="112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2" customHeight="1">
      <c r="A862" s="108"/>
      <c r="B862" s="108"/>
      <c r="C862" s="109"/>
      <c r="D862" s="109"/>
      <c r="E862" s="109"/>
      <c r="F862" s="109"/>
      <c r="G862" s="111"/>
      <c r="H862" s="111"/>
      <c r="I862" s="112"/>
      <c r="J862" s="112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2" customHeight="1">
      <c r="A863" s="108"/>
      <c r="B863" s="108"/>
      <c r="C863" s="109"/>
      <c r="D863" s="109"/>
      <c r="E863" s="109"/>
      <c r="F863" s="109"/>
      <c r="G863" s="111"/>
      <c r="H863" s="111"/>
      <c r="I863" s="112"/>
      <c r="J863" s="112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2" customHeight="1">
      <c r="A864" s="108"/>
      <c r="B864" s="108"/>
      <c r="C864" s="109"/>
      <c r="D864" s="109"/>
      <c r="E864" s="109"/>
      <c r="F864" s="109"/>
      <c r="G864" s="111"/>
      <c r="H864" s="111"/>
      <c r="I864" s="112"/>
      <c r="J864" s="112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2" customHeight="1">
      <c r="A865" s="108"/>
      <c r="B865" s="108"/>
      <c r="C865" s="109"/>
      <c r="D865" s="109"/>
      <c r="E865" s="109"/>
      <c r="F865" s="109"/>
      <c r="G865" s="111"/>
      <c r="H865" s="111"/>
      <c r="I865" s="112"/>
      <c r="J865" s="112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2" customHeight="1">
      <c r="A866" s="108"/>
      <c r="B866" s="108"/>
      <c r="C866" s="109"/>
      <c r="D866" s="109"/>
      <c r="E866" s="109"/>
      <c r="F866" s="109"/>
      <c r="G866" s="111"/>
      <c r="H866" s="111"/>
      <c r="I866" s="112"/>
      <c r="J866" s="112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2" customHeight="1">
      <c r="A867" s="108"/>
      <c r="B867" s="108"/>
      <c r="C867" s="109"/>
      <c r="D867" s="109"/>
      <c r="E867" s="109"/>
      <c r="F867" s="109"/>
      <c r="G867" s="111"/>
      <c r="H867" s="111"/>
      <c r="I867" s="112"/>
      <c r="J867" s="112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2" customHeight="1">
      <c r="A868" s="108"/>
      <c r="B868" s="108"/>
      <c r="C868" s="109"/>
      <c r="D868" s="109"/>
      <c r="E868" s="109"/>
      <c r="F868" s="109"/>
      <c r="G868" s="111"/>
      <c r="H868" s="111"/>
      <c r="I868" s="112"/>
      <c r="J868" s="112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2" customHeight="1">
      <c r="A869" s="108"/>
      <c r="B869" s="108"/>
      <c r="C869" s="109"/>
      <c r="D869" s="109"/>
      <c r="E869" s="109"/>
      <c r="F869" s="109"/>
      <c r="G869" s="111"/>
      <c r="H869" s="111"/>
      <c r="I869" s="112"/>
      <c r="J869" s="112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2" customHeight="1">
      <c r="A870" s="108"/>
      <c r="B870" s="108"/>
      <c r="C870" s="109"/>
      <c r="D870" s="109"/>
      <c r="E870" s="109"/>
      <c r="F870" s="109"/>
      <c r="G870" s="111"/>
      <c r="H870" s="111"/>
      <c r="I870" s="112"/>
      <c r="J870" s="112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2" customHeight="1">
      <c r="A871" s="108"/>
      <c r="B871" s="108"/>
      <c r="C871" s="109"/>
      <c r="D871" s="109"/>
      <c r="E871" s="109"/>
      <c r="F871" s="109"/>
      <c r="G871" s="111"/>
      <c r="H871" s="111"/>
      <c r="I871" s="112"/>
      <c r="J871" s="112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2" customHeight="1">
      <c r="A872" s="108"/>
      <c r="B872" s="108"/>
      <c r="C872" s="109"/>
      <c r="D872" s="109"/>
      <c r="E872" s="109"/>
      <c r="F872" s="109"/>
      <c r="G872" s="111"/>
      <c r="H872" s="111"/>
      <c r="I872" s="112"/>
      <c r="J872" s="112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2" customHeight="1">
      <c r="A873" s="108"/>
      <c r="B873" s="108"/>
      <c r="C873" s="109"/>
      <c r="D873" s="109"/>
      <c r="E873" s="109"/>
      <c r="F873" s="109"/>
      <c r="G873" s="111"/>
      <c r="H873" s="111"/>
      <c r="I873" s="112"/>
      <c r="J873" s="112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2" customHeight="1">
      <c r="A874" s="108"/>
      <c r="B874" s="108"/>
      <c r="C874" s="109"/>
      <c r="D874" s="109"/>
      <c r="E874" s="109"/>
      <c r="F874" s="109"/>
      <c r="G874" s="111"/>
      <c r="H874" s="111"/>
      <c r="I874" s="112"/>
      <c r="J874" s="112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2" customHeight="1">
      <c r="A875" s="108"/>
      <c r="B875" s="108"/>
      <c r="C875" s="109"/>
      <c r="D875" s="109"/>
      <c r="E875" s="109"/>
      <c r="F875" s="109"/>
      <c r="G875" s="111"/>
      <c r="H875" s="111"/>
      <c r="I875" s="112"/>
      <c r="J875" s="112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2" customHeight="1">
      <c r="A876" s="108"/>
      <c r="B876" s="108"/>
      <c r="C876" s="109"/>
      <c r="D876" s="109"/>
      <c r="E876" s="109"/>
      <c r="F876" s="109"/>
      <c r="G876" s="111"/>
      <c r="H876" s="111"/>
      <c r="I876" s="112"/>
      <c r="J876" s="112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2" customHeight="1">
      <c r="A877" s="108"/>
      <c r="B877" s="108"/>
      <c r="C877" s="109"/>
      <c r="D877" s="109"/>
      <c r="E877" s="109"/>
      <c r="F877" s="109"/>
      <c r="G877" s="111"/>
      <c r="H877" s="111"/>
      <c r="I877" s="112"/>
      <c r="J877" s="112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2" customHeight="1">
      <c r="A878" s="108"/>
      <c r="B878" s="108"/>
      <c r="C878" s="109"/>
      <c r="D878" s="109"/>
      <c r="E878" s="109"/>
      <c r="F878" s="109"/>
      <c r="G878" s="111"/>
      <c r="H878" s="111"/>
      <c r="I878" s="112"/>
      <c r="J878" s="112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2" customHeight="1">
      <c r="A879" s="108"/>
      <c r="B879" s="108"/>
      <c r="C879" s="109"/>
      <c r="D879" s="109"/>
      <c r="E879" s="109"/>
      <c r="F879" s="109"/>
      <c r="G879" s="111"/>
      <c r="H879" s="111"/>
      <c r="I879" s="112"/>
      <c r="J879" s="112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2" customHeight="1">
      <c r="A880" s="108"/>
      <c r="B880" s="108"/>
      <c r="C880" s="109"/>
      <c r="D880" s="109"/>
      <c r="E880" s="109"/>
      <c r="F880" s="109"/>
      <c r="G880" s="111"/>
      <c r="H880" s="111"/>
      <c r="I880" s="112"/>
      <c r="J880" s="112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2" customHeight="1">
      <c r="A881" s="108"/>
      <c r="B881" s="108"/>
      <c r="C881" s="109"/>
      <c r="D881" s="109"/>
      <c r="E881" s="109"/>
      <c r="F881" s="109"/>
      <c r="G881" s="111"/>
      <c r="H881" s="111"/>
      <c r="I881" s="112"/>
      <c r="J881" s="112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2" customHeight="1">
      <c r="A882" s="108"/>
      <c r="B882" s="108"/>
      <c r="C882" s="109"/>
      <c r="D882" s="109"/>
      <c r="E882" s="109"/>
      <c r="F882" s="109"/>
      <c r="G882" s="111"/>
      <c r="H882" s="111"/>
      <c r="I882" s="112"/>
      <c r="J882" s="112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2" customHeight="1">
      <c r="A883" s="108"/>
      <c r="B883" s="108"/>
      <c r="C883" s="109"/>
      <c r="D883" s="109"/>
      <c r="E883" s="109"/>
      <c r="F883" s="109"/>
      <c r="G883" s="111"/>
      <c r="H883" s="111"/>
      <c r="I883" s="112"/>
      <c r="J883" s="112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2" customHeight="1">
      <c r="A884" s="108"/>
      <c r="B884" s="108"/>
      <c r="C884" s="109"/>
      <c r="D884" s="109"/>
      <c r="E884" s="109"/>
      <c r="F884" s="109"/>
      <c r="G884" s="111"/>
      <c r="H884" s="111"/>
      <c r="I884" s="112"/>
      <c r="J884" s="112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2" customHeight="1">
      <c r="A885" s="108"/>
      <c r="B885" s="108"/>
      <c r="C885" s="109"/>
      <c r="D885" s="109"/>
      <c r="E885" s="109"/>
      <c r="F885" s="109"/>
      <c r="G885" s="111"/>
      <c r="H885" s="111"/>
      <c r="I885" s="112"/>
      <c r="J885" s="112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2" customHeight="1">
      <c r="A886" s="108"/>
      <c r="B886" s="108"/>
      <c r="C886" s="109"/>
      <c r="D886" s="109"/>
      <c r="E886" s="109"/>
      <c r="F886" s="109"/>
      <c r="G886" s="111"/>
      <c r="H886" s="111"/>
      <c r="I886" s="112"/>
      <c r="J886" s="112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2" customHeight="1">
      <c r="A887" s="108"/>
      <c r="B887" s="108"/>
      <c r="C887" s="109"/>
      <c r="D887" s="109"/>
      <c r="E887" s="109"/>
      <c r="F887" s="109"/>
      <c r="G887" s="111"/>
      <c r="H887" s="111"/>
      <c r="I887" s="112"/>
      <c r="J887" s="112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2" customHeight="1">
      <c r="A888" s="108"/>
      <c r="B888" s="108"/>
      <c r="C888" s="109"/>
      <c r="D888" s="109"/>
      <c r="E888" s="109"/>
      <c r="F888" s="109"/>
      <c r="G888" s="111"/>
      <c r="H888" s="111"/>
      <c r="I888" s="112"/>
      <c r="J888" s="112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2" customHeight="1">
      <c r="A889" s="108"/>
      <c r="B889" s="108"/>
      <c r="C889" s="109"/>
      <c r="D889" s="109"/>
      <c r="E889" s="109"/>
      <c r="F889" s="109"/>
      <c r="G889" s="111"/>
      <c r="H889" s="111"/>
      <c r="I889" s="112"/>
      <c r="J889" s="112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2" customHeight="1">
      <c r="A890" s="108"/>
      <c r="B890" s="108"/>
      <c r="C890" s="109"/>
      <c r="D890" s="109"/>
      <c r="E890" s="109"/>
      <c r="F890" s="109"/>
      <c r="G890" s="111"/>
      <c r="H890" s="111"/>
      <c r="I890" s="112"/>
      <c r="J890" s="112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2" customHeight="1">
      <c r="A891" s="108"/>
      <c r="B891" s="108"/>
      <c r="C891" s="109"/>
      <c r="D891" s="109"/>
      <c r="E891" s="109"/>
      <c r="F891" s="109"/>
      <c r="G891" s="111"/>
      <c r="H891" s="111"/>
      <c r="I891" s="112"/>
      <c r="J891" s="112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2" customHeight="1">
      <c r="A892" s="108"/>
      <c r="B892" s="108"/>
      <c r="C892" s="109"/>
      <c r="D892" s="109"/>
      <c r="E892" s="109"/>
      <c r="F892" s="109"/>
      <c r="G892" s="111"/>
      <c r="H892" s="111"/>
      <c r="I892" s="112"/>
      <c r="J892" s="112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2" customHeight="1">
      <c r="A893" s="108"/>
      <c r="B893" s="108"/>
      <c r="C893" s="109"/>
      <c r="D893" s="109"/>
      <c r="E893" s="109"/>
      <c r="F893" s="109"/>
      <c r="G893" s="111"/>
      <c r="H893" s="111"/>
      <c r="I893" s="112"/>
      <c r="J893" s="112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2" customHeight="1">
      <c r="A894" s="108"/>
      <c r="B894" s="108"/>
      <c r="C894" s="109"/>
      <c r="D894" s="109"/>
      <c r="E894" s="109"/>
      <c r="F894" s="109"/>
      <c r="G894" s="111"/>
      <c r="H894" s="111"/>
      <c r="I894" s="112"/>
      <c r="J894" s="112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2" customHeight="1">
      <c r="A895" s="108"/>
      <c r="B895" s="108"/>
      <c r="C895" s="109"/>
      <c r="D895" s="109"/>
      <c r="E895" s="109"/>
      <c r="F895" s="109"/>
      <c r="G895" s="111"/>
      <c r="H895" s="111"/>
      <c r="I895" s="112"/>
      <c r="J895" s="112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2" customHeight="1">
      <c r="A896" s="108"/>
      <c r="B896" s="108"/>
      <c r="C896" s="109"/>
      <c r="D896" s="109"/>
      <c r="E896" s="109"/>
      <c r="F896" s="109"/>
      <c r="G896" s="111"/>
      <c r="H896" s="111"/>
      <c r="I896" s="112"/>
      <c r="J896" s="112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2" customHeight="1">
      <c r="A897" s="108"/>
      <c r="B897" s="108"/>
      <c r="C897" s="109"/>
      <c r="D897" s="109"/>
      <c r="E897" s="109"/>
      <c r="F897" s="109"/>
      <c r="G897" s="111"/>
      <c r="H897" s="111"/>
      <c r="I897" s="112"/>
      <c r="J897" s="112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2" customHeight="1">
      <c r="A898" s="108"/>
      <c r="B898" s="108"/>
      <c r="C898" s="109"/>
      <c r="D898" s="109"/>
      <c r="E898" s="109"/>
      <c r="F898" s="109"/>
      <c r="G898" s="111"/>
      <c r="H898" s="111"/>
      <c r="I898" s="112"/>
      <c r="J898" s="112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2" customHeight="1">
      <c r="A899" s="108"/>
      <c r="B899" s="108"/>
      <c r="C899" s="109"/>
      <c r="D899" s="109"/>
      <c r="E899" s="109"/>
      <c r="F899" s="109"/>
      <c r="G899" s="111"/>
      <c r="H899" s="111"/>
      <c r="I899" s="112"/>
      <c r="J899" s="112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2" customHeight="1">
      <c r="A900" s="108"/>
      <c r="B900" s="108"/>
      <c r="C900" s="109"/>
      <c r="D900" s="109"/>
      <c r="E900" s="109"/>
      <c r="F900" s="109"/>
      <c r="G900" s="111"/>
      <c r="H900" s="111"/>
      <c r="I900" s="112"/>
      <c r="J900" s="112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2" customHeight="1">
      <c r="A901" s="108"/>
      <c r="B901" s="108"/>
      <c r="C901" s="109"/>
      <c r="D901" s="109"/>
      <c r="E901" s="109"/>
      <c r="F901" s="109"/>
      <c r="G901" s="111"/>
      <c r="H901" s="111"/>
      <c r="I901" s="112"/>
      <c r="J901" s="112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2" customHeight="1">
      <c r="A902" s="108"/>
      <c r="B902" s="108"/>
      <c r="C902" s="109"/>
      <c r="D902" s="109"/>
      <c r="E902" s="109"/>
      <c r="F902" s="109"/>
      <c r="G902" s="111"/>
      <c r="H902" s="111"/>
      <c r="I902" s="112"/>
      <c r="J902" s="112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2" customHeight="1">
      <c r="A903" s="108"/>
      <c r="B903" s="108"/>
      <c r="C903" s="109"/>
      <c r="D903" s="109"/>
      <c r="E903" s="109"/>
      <c r="F903" s="109"/>
      <c r="G903" s="111"/>
      <c r="H903" s="111"/>
      <c r="I903" s="112"/>
      <c r="J903" s="112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2" customHeight="1">
      <c r="A904" s="108"/>
      <c r="B904" s="108"/>
      <c r="C904" s="109"/>
      <c r="D904" s="109"/>
      <c r="E904" s="109"/>
      <c r="F904" s="109"/>
      <c r="G904" s="111"/>
      <c r="H904" s="111"/>
      <c r="I904" s="112"/>
      <c r="J904" s="112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2" customHeight="1">
      <c r="A905" s="108"/>
      <c r="B905" s="108"/>
      <c r="C905" s="109"/>
      <c r="D905" s="109"/>
      <c r="E905" s="109"/>
      <c r="F905" s="109"/>
      <c r="G905" s="111"/>
      <c r="H905" s="111"/>
      <c r="I905" s="112"/>
      <c r="J905" s="112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2" customHeight="1">
      <c r="A906" s="108"/>
      <c r="B906" s="108"/>
      <c r="C906" s="109"/>
      <c r="D906" s="109"/>
      <c r="E906" s="109"/>
      <c r="F906" s="109"/>
      <c r="G906" s="111"/>
      <c r="H906" s="111"/>
      <c r="I906" s="112"/>
      <c r="J906" s="112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2" customHeight="1">
      <c r="A907" s="108"/>
      <c r="B907" s="108"/>
      <c r="C907" s="109"/>
      <c r="D907" s="109"/>
      <c r="E907" s="109"/>
      <c r="F907" s="109"/>
      <c r="G907" s="111"/>
      <c r="H907" s="111"/>
      <c r="I907" s="112"/>
      <c r="J907" s="112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2" customHeight="1">
      <c r="A908" s="108"/>
      <c r="B908" s="108"/>
      <c r="C908" s="109"/>
      <c r="D908" s="109"/>
      <c r="E908" s="109"/>
      <c r="F908" s="109"/>
      <c r="G908" s="111"/>
      <c r="H908" s="111"/>
      <c r="I908" s="112"/>
      <c r="J908" s="112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2" customHeight="1">
      <c r="A909" s="108"/>
      <c r="B909" s="108"/>
      <c r="C909" s="109"/>
      <c r="D909" s="109"/>
      <c r="E909" s="109"/>
      <c r="F909" s="109"/>
      <c r="G909" s="111"/>
      <c r="H909" s="111"/>
      <c r="I909" s="112"/>
      <c r="J909" s="112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2" customHeight="1">
      <c r="A910" s="108"/>
      <c r="B910" s="108"/>
      <c r="C910" s="109"/>
      <c r="D910" s="109"/>
      <c r="E910" s="109"/>
      <c r="F910" s="109"/>
      <c r="G910" s="111"/>
      <c r="H910" s="111"/>
      <c r="I910" s="112"/>
      <c r="J910" s="112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2" customHeight="1">
      <c r="A911" s="108"/>
      <c r="B911" s="108"/>
      <c r="C911" s="109"/>
      <c r="D911" s="109"/>
      <c r="E911" s="109"/>
      <c r="F911" s="109"/>
      <c r="G911" s="111"/>
      <c r="H911" s="111"/>
      <c r="I911" s="112"/>
      <c r="J911" s="112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2" customHeight="1">
      <c r="A912" s="108"/>
      <c r="B912" s="108"/>
      <c r="C912" s="109"/>
      <c r="D912" s="109"/>
      <c r="E912" s="109"/>
      <c r="F912" s="109"/>
      <c r="G912" s="111"/>
      <c r="H912" s="111"/>
      <c r="I912" s="112"/>
      <c r="J912" s="112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2" customHeight="1">
      <c r="A913" s="108"/>
      <c r="B913" s="108"/>
      <c r="C913" s="109"/>
      <c r="D913" s="109"/>
      <c r="E913" s="109"/>
      <c r="F913" s="109"/>
      <c r="G913" s="111"/>
      <c r="H913" s="111"/>
      <c r="I913" s="112"/>
      <c r="J913" s="112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2" customHeight="1">
      <c r="A914" s="108"/>
      <c r="B914" s="108"/>
      <c r="C914" s="109"/>
      <c r="D914" s="109"/>
      <c r="E914" s="109"/>
      <c r="F914" s="109"/>
      <c r="G914" s="111"/>
      <c r="H914" s="111"/>
      <c r="I914" s="112"/>
      <c r="J914" s="112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2" customHeight="1">
      <c r="A915" s="108"/>
      <c r="B915" s="108"/>
      <c r="C915" s="109"/>
      <c r="D915" s="109"/>
      <c r="E915" s="109"/>
      <c r="F915" s="109"/>
      <c r="G915" s="111"/>
      <c r="H915" s="111"/>
      <c r="I915" s="112"/>
      <c r="J915" s="112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2" customHeight="1">
      <c r="A916" s="108"/>
      <c r="B916" s="108"/>
      <c r="C916" s="109"/>
      <c r="D916" s="109"/>
      <c r="E916" s="109"/>
      <c r="F916" s="109"/>
      <c r="G916" s="111"/>
      <c r="H916" s="111"/>
      <c r="I916" s="112"/>
      <c r="J916" s="112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2" customHeight="1">
      <c r="A917" s="108"/>
      <c r="B917" s="108"/>
      <c r="C917" s="109"/>
      <c r="D917" s="109"/>
      <c r="E917" s="109"/>
      <c r="F917" s="109"/>
      <c r="G917" s="111"/>
      <c r="H917" s="111"/>
      <c r="I917" s="112"/>
      <c r="J917" s="112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2" customHeight="1">
      <c r="A918" s="108"/>
      <c r="B918" s="108"/>
      <c r="C918" s="109"/>
      <c r="D918" s="109"/>
      <c r="E918" s="109"/>
      <c r="F918" s="109"/>
      <c r="G918" s="111"/>
      <c r="H918" s="111"/>
      <c r="I918" s="112"/>
      <c r="J918" s="112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2" customHeight="1">
      <c r="A919" s="108"/>
      <c r="B919" s="108"/>
      <c r="C919" s="109"/>
      <c r="D919" s="109"/>
      <c r="E919" s="109"/>
      <c r="F919" s="109"/>
      <c r="G919" s="111"/>
      <c r="H919" s="111"/>
      <c r="I919" s="112"/>
      <c r="J919" s="112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2" customHeight="1">
      <c r="A920" s="108"/>
      <c r="B920" s="108"/>
      <c r="C920" s="109"/>
      <c r="D920" s="109"/>
      <c r="E920" s="109"/>
      <c r="F920" s="109"/>
      <c r="G920" s="111"/>
      <c r="H920" s="111"/>
      <c r="I920" s="112"/>
      <c r="J920" s="112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2" customHeight="1">
      <c r="A921" s="108"/>
      <c r="B921" s="108"/>
      <c r="C921" s="109"/>
      <c r="D921" s="109"/>
      <c r="E921" s="109"/>
      <c r="F921" s="109"/>
      <c r="G921" s="111"/>
      <c r="H921" s="111"/>
      <c r="I921" s="112"/>
      <c r="J921" s="112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2" customHeight="1">
      <c r="A922" s="108"/>
      <c r="B922" s="108"/>
      <c r="C922" s="109"/>
      <c r="D922" s="109"/>
      <c r="E922" s="109"/>
      <c r="F922" s="109"/>
      <c r="G922" s="111"/>
      <c r="H922" s="111"/>
      <c r="I922" s="112"/>
      <c r="J922" s="112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2" customHeight="1">
      <c r="A923" s="108"/>
      <c r="B923" s="108"/>
      <c r="C923" s="109"/>
      <c r="D923" s="109"/>
      <c r="E923" s="109"/>
      <c r="F923" s="109"/>
      <c r="G923" s="111"/>
      <c r="H923" s="111"/>
      <c r="I923" s="112"/>
      <c r="J923" s="112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2" customHeight="1">
      <c r="A924" s="108"/>
      <c r="B924" s="108"/>
      <c r="C924" s="109"/>
      <c r="D924" s="109"/>
      <c r="E924" s="109"/>
      <c r="F924" s="109"/>
      <c r="G924" s="111"/>
      <c r="H924" s="111"/>
      <c r="I924" s="112"/>
      <c r="J924" s="112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2" customHeight="1">
      <c r="A925" s="108"/>
      <c r="B925" s="108"/>
      <c r="C925" s="109"/>
      <c r="D925" s="109"/>
      <c r="E925" s="109"/>
      <c r="F925" s="109"/>
      <c r="G925" s="111"/>
      <c r="H925" s="111"/>
      <c r="I925" s="112"/>
      <c r="J925" s="112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2" customHeight="1">
      <c r="A926" s="108"/>
      <c r="B926" s="108"/>
      <c r="C926" s="109"/>
      <c r="D926" s="109"/>
      <c r="E926" s="109"/>
      <c r="F926" s="109"/>
      <c r="G926" s="111"/>
      <c r="H926" s="111"/>
      <c r="I926" s="112"/>
      <c r="J926" s="112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2" customHeight="1">
      <c r="A927" s="108"/>
      <c r="B927" s="108"/>
      <c r="C927" s="109"/>
      <c r="D927" s="109"/>
      <c r="E927" s="109"/>
      <c r="F927" s="109"/>
      <c r="G927" s="111"/>
      <c r="H927" s="111"/>
      <c r="I927" s="112"/>
      <c r="J927" s="112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2" customHeight="1">
      <c r="A928" s="108"/>
      <c r="B928" s="108"/>
      <c r="C928" s="109"/>
      <c r="D928" s="109"/>
      <c r="E928" s="109"/>
      <c r="F928" s="109"/>
      <c r="G928" s="111"/>
      <c r="H928" s="111"/>
      <c r="I928" s="112"/>
      <c r="J928" s="112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2" customHeight="1">
      <c r="A929" s="108"/>
      <c r="B929" s="108"/>
      <c r="C929" s="109"/>
      <c r="D929" s="109"/>
      <c r="E929" s="109"/>
      <c r="F929" s="109"/>
      <c r="G929" s="111"/>
      <c r="H929" s="111"/>
      <c r="I929" s="112"/>
      <c r="J929" s="112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2" customHeight="1">
      <c r="A930" s="108"/>
      <c r="B930" s="108"/>
      <c r="C930" s="109"/>
      <c r="D930" s="109"/>
      <c r="E930" s="109"/>
      <c r="F930" s="109"/>
      <c r="G930" s="111"/>
      <c r="H930" s="111"/>
      <c r="I930" s="112"/>
      <c r="J930" s="112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2" customHeight="1">
      <c r="A931" s="108"/>
      <c r="B931" s="108"/>
      <c r="C931" s="109"/>
      <c r="D931" s="109"/>
      <c r="E931" s="109"/>
      <c r="F931" s="109"/>
      <c r="G931" s="111"/>
      <c r="H931" s="111"/>
      <c r="I931" s="112"/>
      <c r="J931" s="112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2" customHeight="1">
      <c r="A932" s="108"/>
      <c r="B932" s="108"/>
      <c r="C932" s="109"/>
      <c r="D932" s="109"/>
      <c r="E932" s="109"/>
      <c r="F932" s="109"/>
      <c r="G932" s="111"/>
      <c r="H932" s="111"/>
      <c r="I932" s="112"/>
      <c r="J932" s="112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2" customHeight="1">
      <c r="A933" s="108"/>
      <c r="B933" s="108"/>
      <c r="C933" s="109"/>
      <c r="D933" s="109"/>
      <c r="E933" s="109"/>
      <c r="F933" s="109"/>
      <c r="G933" s="111"/>
      <c r="H933" s="111"/>
      <c r="I933" s="112"/>
      <c r="J933" s="112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2" customHeight="1">
      <c r="A934" s="108"/>
      <c r="B934" s="108"/>
      <c r="C934" s="109"/>
      <c r="D934" s="109"/>
      <c r="E934" s="109"/>
      <c r="F934" s="109"/>
      <c r="G934" s="111"/>
      <c r="H934" s="111"/>
      <c r="I934" s="112"/>
      <c r="J934" s="112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2" customHeight="1">
      <c r="A935" s="108"/>
      <c r="B935" s="108"/>
      <c r="C935" s="109"/>
      <c r="D935" s="109"/>
      <c r="E935" s="109"/>
      <c r="F935" s="109"/>
      <c r="G935" s="111"/>
      <c r="H935" s="111"/>
      <c r="I935" s="112"/>
      <c r="J935" s="112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2" customHeight="1">
      <c r="A936" s="108"/>
      <c r="B936" s="108"/>
      <c r="C936" s="109"/>
      <c r="D936" s="109"/>
      <c r="E936" s="109"/>
      <c r="F936" s="109"/>
      <c r="G936" s="111"/>
      <c r="H936" s="111"/>
      <c r="I936" s="112"/>
      <c r="J936" s="112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2" customHeight="1">
      <c r="A937" s="108"/>
      <c r="B937" s="108"/>
      <c r="C937" s="109"/>
      <c r="D937" s="109"/>
      <c r="E937" s="109"/>
      <c r="F937" s="109"/>
      <c r="G937" s="111"/>
      <c r="H937" s="111"/>
      <c r="I937" s="112"/>
      <c r="J937" s="112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2" customHeight="1">
      <c r="A938" s="108"/>
      <c r="B938" s="108"/>
      <c r="C938" s="109"/>
      <c r="D938" s="109"/>
      <c r="E938" s="109"/>
      <c r="F938" s="109"/>
      <c r="G938" s="111"/>
      <c r="H938" s="111"/>
      <c r="I938" s="112"/>
      <c r="J938" s="112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2" customHeight="1">
      <c r="A939" s="108"/>
      <c r="B939" s="108"/>
      <c r="C939" s="109"/>
      <c r="D939" s="109"/>
      <c r="E939" s="109"/>
      <c r="F939" s="109"/>
      <c r="G939" s="111"/>
      <c r="H939" s="111"/>
      <c r="I939" s="112"/>
      <c r="J939" s="112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2" customHeight="1">
      <c r="A940" s="108"/>
      <c r="B940" s="108"/>
      <c r="C940" s="109"/>
      <c r="D940" s="109"/>
      <c r="E940" s="109"/>
      <c r="F940" s="109"/>
      <c r="G940" s="111"/>
      <c r="H940" s="111"/>
      <c r="I940" s="112"/>
      <c r="J940" s="112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2" customHeight="1">
      <c r="A941" s="108"/>
      <c r="B941" s="108"/>
      <c r="C941" s="109"/>
      <c r="D941" s="109"/>
      <c r="E941" s="109"/>
      <c r="F941" s="109"/>
      <c r="G941" s="111"/>
      <c r="H941" s="111"/>
      <c r="I941" s="112"/>
      <c r="J941" s="112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2" customHeight="1">
      <c r="A942" s="108"/>
      <c r="B942" s="108"/>
      <c r="C942" s="109"/>
      <c r="D942" s="109"/>
      <c r="E942" s="109"/>
      <c r="F942" s="109"/>
      <c r="G942" s="111"/>
      <c r="H942" s="111"/>
      <c r="I942" s="112"/>
      <c r="J942" s="112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2" customHeight="1">
      <c r="A943" s="108"/>
      <c r="B943" s="108"/>
      <c r="C943" s="109"/>
      <c r="D943" s="109"/>
      <c r="E943" s="109"/>
      <c r="F943" s="109"/>
      <c r="G943" s="111"/>
      <c r="H943" s="111"/>
      <c r="I943" s="112"/>
      <c r="J943" s="112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2" customHeight="1">
      <c r="A944" s="108"/>
      <c r="B944" s="108"/>
      <c r="C944" s="109"/>
      <c r="D944" s="109"/>
      <c r="E944" s="109"/>
      <c r="F944" s="109"/>
      <c r="G944" s="111"/>
      <c r="H944" s="111"/>
      <c r="I944" s="112"/>
      <c r="J944" s="112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2" customHeight="1">
      <c r="A945" s="108"/>
      <c r="B945" s="108"/>
      <c r="C945" s="109"/>
      <c r="D945" s="109"/>
      <c r="E945" s="109"/>
      <c r="F945" s="109"/>
      <c r="G945" s="111"/>
      <c r="H945" s="111"/>
      <c r="I945" s="112"/>
      <c r="J945" s="112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2" customHeight="1">
      <c r="A946" s="108"/>
      <c r="B946" s="108"/>
      <c r="C946" s="109"/>
      <c r="D946" s="109"/>
      <c r="E946" s="109"/>
      <c r="F946" s="109"/>
      <c r="G946" s="111"/>
      <c r="H946" s="111"/>
      <c r="I946" s="112"/>
      <c r="J946" s="112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2" customHeight="1">
      <c r="A947" s="108"/>
      <c r="B947" s="108"/>
      <c r="C947" s="109"/>
      <c r="D947" s="109"/>
      <c r="E947" s="109"/>
      <c r="F947" s="109"/>
      <c r="G947" s="111"/>
      <c r="H947" s="111"/>
      <c r="I947" s="112"/>
      <c r="J947" s="112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2" customHeight="1">
      <c r="A948" s="108"/>
      <c r="B948" s="108"/>
      <c r="C948" s="109"/>
      <c r="D948" s="109"/>
      <c r="E948" s="109"/>
      <c r="F948" s="109"/>
      <c r="G948" s="111"/>
      <c r="H948" s="111"/>
      <c r="I948" s="112"/>
      <c r="J948" s="112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2" customHeight="1">
      <c r="A949" s="108"/>
      <c r="B949" s="108"/>
      <c r="C949" s="109"/>
      <c r="D949" s="109"/>
      <c r="E949" s="109"/>
      <c r="F949" s="109"/>
      <c r="G949" s="111"/>
      <c r="H949" s="111"/>
      <c r="I949" s="112"/>
      <c r="J949" s="112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2" customHeight="1">
      <c r="A950" s="108"/>
      <c r="B950" s="108"/>
      <c r="C950" s="109"/>
      <c r="D950" s="109"/>
      <c r="E950" s="109"/>
      <c r="F950" s="109"/>
      <c r="G950" s="111"/>
      <c r="H950" s="111"/>
      <c r="I950" s="112"/>
      <c r="J950" s="112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2" customHeight="1">
      <c r="A951" s="108"/>
      <c r="B951" s="108"/>
      <c r="C951" s="109"/>
      <c r="D951" s="109"/>
      <c r="E951" s="109"/>
      <c r="F951" s="109"/>
      <c r="G951" s="111"/>
      <c r="H951" s="111"/>
      <c r="I951" s="112"/>
      <c r="J951" s="112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2" customHeight="1">
      <c r="A952" s="108"/>
      <c r="B952" s="108"/>
      <c r="C952" s="109"/>
      <c r="D952" s="109"/>
      <c r="E952" s="109"/>
      <c r="F952" s="109"/>
      <c r="G952" s="111"/>
      <c r="H952" s="111"/>
      <c r="I952" s="112"/>
      <c r="J952" s="112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2" customHeight="1">
      <c r="A953" s="108"/>
      <c r="B953" s="108"/>
      <c r="C953" s="109"/>
      <c r="D953" s="109"/>
      <c r="E953" s="109"/>
      <c r="F953" s="109"/>
      <c r="G953" s="111"/>
      <c r="H953" s="111"/>
      <c r="I953" s="112"/>
      <c r="J953" s="112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2" customHeight="1">
      <c r="A954" s="108"/>
      <c r="B954" s="108"/>
      <c r="C954" s="109"/>
      <c r="D954" s="109"/>
      <c r="E954" s="109"/>
      <c r="F954" s="109"/>
      <c r="G954" s="111"/>
      <c r="H954" s="111"/>
      <c r="I954" s="112"/>
      <c r="J954" s="112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2" customHeight="1">
      <c r="A955" s="108"/>
      <c r="B955" s="108"/>
      <c r="C955" s="109"/>
      <c r="D955" s="109"/>
      <c r="E955" s="109"/>
      <c r="F955" s="109"/>
      <c r="G955" s="111"/>
      <c r="H955" s="111"/>
      <c r="I955" s="112"/>
      <c r="J955" s="112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2" customHeight="1">
      <c r="A956" s="108"/>
      <c r="B956" s="108"/>
      <c r="C956" s="109"/>
      <c r="D956" s="109"/>
      <c r="E956" s="109"/>
      <c r="F956" s="109"/>
      <c r="G956" s="111"/>
      <c r="H956" s="111"/>
      <c r="I956" s="112"/>
      <c r="J956" s="112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2" customHeight="1">
      <c r="A957" s="108"/>
      <c r="B957" s="108"/>
      <c r="C957" s="109"/>
      <c r="D957" s="109"/>
      <c r="E957" s="109"/>
      <c r="F957" s="109"/>
      <c r="G957" s="111"/>
      <c r="H957" s="111"/>
      <c r="I957" s="112"/>
      <c r="J957" s="112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2" customHeight="1">
      <c r="A958" s="108"/>
      <c r="B958" s="108"/>
      <c r="C958" s="109"/>
      <c r="D958" s="109"/>
      <c r="E958" s="109"/>
      <c r="F958" s="109"/>
      <c r="G958" s="111"/>
      <c r="H958" s="111"/>
      <c r="I958" s="112"/>
      <c r="J958" s="112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2" customHeight="1">
      <c r="A959" s="108"/>
      <c r="B959" s="108"/>
      <c r="C959" s="109"/>
      <c r="D959" s="109"/>
      <c r="E959" s="109"/>
      <c r="F959" s="109"/>
      <c r="G959" s="111"/>
      <c r="H959" s="111"/>
      <c r="I959" s="112"/>
      <c r="J959" s="112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2" customHeight="1">
      <c r="A960" s="108"/>
      <c r="B960" s="108"/>
      <c r="C960" s="109"/>
      <c r="D960" s="109"/>
      <c r="E960" s="109"/>
      <c r="F960" s="109"/>
      <c r="G960" s="111"/>
      <c r="H960" s="111"/>
      <c r="I960" s="112"/>
      <c r="J960" s="112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2" customHeight="1">
      <c r="A961" s="108"/>
      <c r="B961" s="108"/>
      <c r="C961" s="109"/>
      <c r="D961" s="109"/>
      <c r="E961" s="109"/>
      <c r="F961" s="109"/>
      <c r="G961" s="111"/>
      <c r="H961" s="111"/>
      <c r="I961" s="112"/>
      <c r="J961" s="112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2" customHeight="1">
      <c r="A962" s="108"/>
      <c r="B962" s="108"/>
      <c r="C962" s="109"/>
      <c r="D962" s="109"/>
      <c r="E962" s="109"/>
      <c r="F962" s="109"/>
      <c r="G962" s="111"/>
      <c r="H962" s="111"/>
      <c r="I962" s="112"/>
      <c r="J962" s="112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2" customHeight="1">
      <c r="A963" s="108"/>
      <c r="B963" s="108"/>
      <c r="C963" s="109"/>
      <c r="D963" s="109"/>
      <c r="E963" s="109"/>
      <c r="F963" s="109"/>
      <c r="G963" s="111"/>
      <c r="H963" s="111"/>
      <c r="I963" s="112"/>
      <c r="J963" s="112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2" customHeight="1">
      <c r="A964" s="108"/>
      <c r="B964" s="108"/>
      <c r="C964" s="109"/>
      <c r="D964" s="109"/>
      <c r="E964" s="109"/>
      <c r="F964" s="109"/>
      <c r="G964" s="111"/>
      <c r="H964" s="111"/>
      <c r="I964" s="112"/>
      <c r="J964" s="112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2" customHeight="1">
      <c r="A965" s="108"/>
      <c r="B965" s="108"/>
      <c r="C965" s="109"/>
      <c r="D965" s="109"/>
      <c r="E965" s="109"/>
      <c r="F965" s="109"/>
      <c r="G965" s="111"/>
      <c r="H965" s="111"/>
      <c r="I965" s="112"/>
      <c r="J965" s="112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2" customHeight="1">
      <c r="A966" s="108"/>
      <c r="B966" s="108"/>
      <c r="C966" s="109"/>
      <c r="D966" s="109"/>
      <c r="E966" s="109"/>
      <c r="F966" s="109"/>
      <c r="G966" s="111"/>
      <c r="H966" s="111"/>
      <c r="I966" s="112"/>
      <c r="J966" s="112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2" customHeight="1">
      <c r="A967" s="108"/>
      <c r="B967" s="108"/>
      <c r="C967" s="109"/>
      <c r="D967" s="109"/>
      <c r="E967" s="109"/>
      <c r="F967" s="109"/>
      <c r="G967" s="111"/>
      <c r="H967" s="111"/>
      <c r="I967" s="112"/>
      <c r="J967" s="112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2" customHeight="1">
      <c r="A968" s="108"/>
      <c r="B968" s="108"/>
      <c r="C968" s="109"/>
      <c r="D968" s="109"/>
      <c r="E968" s="109"/>
      <c r="F968" s="109"/>
      <c r="G968" s="111"/>
      <c r="H968" s="111"/>
      <c r="I968" s="112"/>
      <c r="J968" s="112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2" customHeight="1">
      <c r="A969" s="108"/>
      <c r="B969" s="108"/>
      <c r="C969" s="109"/>
      <c r="D969" s="109"/>
      <c r="E969" s="109"/>
      <c r="F969" s="109"/>
      <c r="G969" s="111"/>
      <c r="H969" s="111"/>
      <c r="I969" s="112"/>
      <c r="J969" s="112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2" customHeight="1">
      <c r="A970" s="108"/>
      <c r="B970" s="108"/>
      <c r="C970" s="109"/>
      <c r="D970" s="109"/>
      <c r="E970" s="109"/>
      <c r="F970" s="109"/>
      <c r="G970" s="111"/>
      <c r="H970" s="111"/>
      <c r="I970" s="112"/>
      <c r="J970" s="112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2" customHeight="1">
      <c r="A971" s="108"/>
      <c r="B971" s="108"/>
      <c r="C971" s="109"/>
      <c r="D971" s="109"/>
      <c r="E971" s="109"/>
      <c r="F971" s="109"/>
      <c r="G971" s="111"/>
      <c r="H971" s="111"/>
      <c r="I971" s="112"/>
      <c r="J971" s="112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2" customHeight="1">
      <c r="A972" s="108"/>
      <c r="B972" s="108"/>
      <c r="C972" s="109"/>
      <c r="D972" s="109"/>
      <c r="E972" s="109"/>
      <c r="F972" s="109"/>
      <c r="G972" s="111"/>
      <c r="H972" s="111"/>
      <c r="I972" s="112"/>
      <c r="J972" s="112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2" customHeight="1">
      <c r="A973" s="108"/>
      <c r="B973" s="108"/>
      <c r="C973" s="109"/>
      <c r="D973" s="109"/>
      <c r="E973" s="109"/>
      <c r="F973" s="109"/>
      <c r="G973" s="111"/>
      <c r="H973" s="111"/>
      <c r="I973" s="112"/>
      <c r="J973" s="112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2" customHeight="1">
      <c r="A974" s="108"/>
      <c r="B974" s="108"/>
      <c r="C974" s="109"/>
      <c r="D974" s="109"/>
      <c r="E974" s="109"/>
      <c r="F974" s="109"/>
      <c r="G974" s="111"/>
      <c r="H974" s="111"/>
      <c r="I974" s="112"/>
      <c r="J974" s="112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2" customHeight="1">
      <c r="A975" s="108"/>
      <c r="B975" s="108"/>
      <c r="C975" s="109"/>
      <c r="D975" s="109"/>
      <c r="E975" s="109"/>
      <c r="F975" s="109"/>
      <c r="G975" s="111"/>
      <c r="H975" s="111"/>
      <c r="I975" s="112"/>
      <c r="J975" s="112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2" customHeight="1">
      <c r="A976" s="108"/>
      <c r="B976" s="108"/>
      <c r="C976" s="109"/>
      <c r="D976" s="109"/>
      <c r="E976" s="109"/>
      <c r="F976" s="109"/>
      <c r="G976" s="111"/>
      <c r="H976" s="111"/>
      <c r="I976" s="112"/>
      <c r="J976" s="112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2" customHeight="1">
      <c r="A977" s="108"/>
      <c r="B977" s="108"/>
      <c r="C977" s="109"/>
      <c r="D977" s="109"/>
      <c r="E977" s="109"/>
      <c r="F977" s="109"/>
      <c r="G977" s="111"/>
      <c r="H977" s="111"/>
      <c r="I977" s="112"/>
      <c r="J977" s="112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2" customHeight="1">
      <c r="A978" s="108"/>
      <c r="B978" s="108"/>
      <c r="C978" s="109"/>
      <c r="D978" s="109"/>
      <c r="E978" s="109"/>
      <c r="F978" s="109"/>
      <c r="G978" s="111"/>
      <c r="H978" s="111"/>
      <c r="I978" s="112"/>
      <c r="J978" s="112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2" customHeight="1">
      <c r="A979" s="108"/>
      <c r="B979" s="108"/>
      <c r="C979" s="109"/>
      <c r="D979" s="109"/>
      <c r="E979" s="109"/>
      <c r="F979" s="109"/>
      <c r="G979" s="111"/>
      <c r="H979" s="111"/>
      <c r="I979" s="112"/>
      <c r="J979" s="112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2" customHeight="1">
      <c r="A980" s="108"/>
      <c r="B980" s="108"/>
      <c r="C980" s="109"/>
      <c r="D980" s="109"/>
      <c r="E980" s="109"/>
      <c r="F980" s="109"/>
      <c r="G980" s="111"/>
      <c r="H980" s="111"/>
      <c r="I980" s="112"/>
      <c r="J980" s="112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2" customHeight="1">
      <c r="A981" s="108"/>
      <c r="B981" s="108"/>
      <c r="C981" s="109"/>
      <c r="D981" s="109"/>
      <c r="E981" s="109"/>
      <c r="F981" s="109"/>
      <c r="G981" s="111"/>
      <c r="H981" s="111"/>
      <c r="I981" s="112"/>
      <c r="J981" s="112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2" customHeight="1">
      <c r="A982" s="108"/>
      <c r="B982" s="108"/>
      <c r="C982" s="109"/>
      <c r="D982" s="109"/>
      <c r="E982" s="109"/>
      <c r="F982" s="109"/>
      <c r="G982" s="111"/>
      <c r="H982" s="111"/>
      <c r="I982" s="112"/>
      <c r="J982" s="112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2" customHeight="1">
      <c r="A983" s="108"/>
      <c r="B983" s="108"/>
      <c r="C983" s="109"/>
      <c r="D983" s="109"/>
      <c r="E983" s="109"/>
      <c r="F983" s="109"/>
      <c r="G983" s="111"/>
      <c r="H983" s="111"/>
      <c r="I983" s="112"/>
      <c r="J983" s="112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2" customHeight="1">
      <c r="A984" s="108"/>
      <c r="B984" s="108"/>
      <c r="C984" s="109"/>
      <c r="D984" s="109"/>
      <c r="E984" s="109"/>
      <c r="F984" s="109"/>
      <c r="G984" s="111"/>
      <c r="H984" s="111"/>
      <c r="I984" s="112"/>
      <c r="J984" s="112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2" customHeight="1">
      <c r="A985" s="108"/>
      <c r="B985" s="108"/>
      <c r="C985" s="109"/>
      <c r="D985" s="109"/>
      <c r="E985" s="109"/>
      <c r="F985" s="109"/>
      <c r="G985" s="111"/>
      <c r="H985" s="111"/>
      <c r="I985" s="112"/>
      <c r="J985" s="112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2" customHeight="1">
      <c r="A986" s="108"/>
      <c r="B986" s="108"/>
      <c r="C986" s="109"/>
      <c r="D986" s="109"/>
      <c r="E986" s="109"/>
      <c r="F986" s="109"/>
      <c r="G986" s="111"/>
      <c r="H986" s="111"/>
      <c r="I986" s="112"/>
      <c r="J986" s="112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2" customHeight="1">
      <c r="A987" s="108"/>
      <c r="B987" s="108"/>
      <c r="C987" s="109"/>
      <c r="D987" s="109"/>
      <c r="E987" s="109"/>
      <c r="F987" s="109"/>
      <c r="G987" s="111"/>
      <c r="H987" s="111"/>
      <c r="I987" s="112"/>
      <c r="J987" s="112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2" customHeight="1">
      <c r="A988" s="108"/>
      <c r="B988" s="108"/>
      <c r="C988" s="109"/>
      <c r="D988" s="109"/>
      <c r="E988" s="109"/>
      <c r="F988" s="109"/>
      <c r="G988" s="111"/>
      <c r="H988" s="111"/>
      <c r="I988" s="112"/>
      <c r="J988" s="112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2" customHeight="1">
      <c r="A989" s="108"/>
      <c r="B989" s="108"/>
      <c r="C989" s="109"/>
      <c r="D989" s="109"/>
      <c r="E989" s="109"/>
      <c r="F989" s="109"/>
      <c r="G989" s="111"/>
      <c r="H989" s="111"/>
      <c r="I989" s="112"/>
      <c r="J989" s="112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2" customHeight="1">
      <c r="A990" s="108"/>
      <c r="B990" s="108"/>
      <c r="C990" s="109"/>
      <c r="D990" s="109"/>
      <c r="E990" s="109"/>
      <c r="F990" s="109"/>
      <c r="G990" s="111"/>
      <c r="H990" s="111"/>
      <c r="I990" s="112"/>
      <c r="J990" s="112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2" customHeight="1">
      <c r="A991" s="108"/>
      <c r="B991" s="108"/>
      <c r="C991" s="109"/>
      <c r="D991" s="109"/>
      <c r="E991" s="109"/>
      <c r="F991" s="109"/>
      <c r="G991" s="111"/>
      <c r="H991" s="111"/>
      <c r="I991" s="112"/>
      <c r="J991" s="112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2" customHeight="1">
      <c r="A992" s="108"/>
      <c r="B992" s="108"/>
      <c r="C992" s="109"/>
      <c r="D992" s="109"/>
      <c r="E992" s="109"/>
      <c r="F992" s="109"/>
      <c r="G992" s="111"/>
      <c r="H992" s="111"/>
      <c r="I992" s="112"/>
      <c r="J992" s="112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2" customHeight="1">
      <c r="A993" s="108"/>
      <c r="B993" s="108"/>
      <c r="C993" s="109"/>
      <c r="D993" s="109"/>
      <c r="E993" s="109"/>
      <c r="F993" s="109"/>
      <c r="G993" s="111"/>
      <c r="H993" s="111"/>
      <c r="I993" s="112"/>
      <c r="J993" s="112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2" customHeight="1">
      <c r="A994" s="108"/>
      <c r="B994" s="108"/>
      <c r="C994" s="109"/>
      <c r="D994" s="109"/>
      <c r="E994" s="109"/>
      <c r="F994" s="109"/>
      <c r="G994" s="111"/>
      <c r="H994" s="111"/>
      <c r="I994" s="112"/>
      <c r="J994" s="112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2" customHeight="1">
      <c r="A995" s="108"/>
      <c r="B995" s="108"/>
      <c r="C995" s="109"/>
      <c r="D995" s="109"/>
      <c r="E995" s="109"/>
      <c r="F995" s="109"/>
      <c r="G995" s="111"/>
      <c r="H995" s="111"/>
      <c r="I995" s="112"/>
      <c r="J995" s="112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2" customHeight="1">
      <c r="A996" s="108"/>
      <c r="B996" s="108"/>
      <c r="C996" s="109"/>
      <c r="D996" s="109"/>
      <c r="E996" s="109"/>
      <c r="F996" s="109"/>
      <c r="G996" s="111"/>
      <c r="H996" s="111"/>
      <c r="I996" s="112"/>
      <c r="J996" s="112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2" customHeight="1">
      <c r="A997" s="108"/>
      <c r="B997" s="108"/>
      <c r="C997" s="109"/>
      <c r="D997" s="109"/>
      <c r="E997" s="109"/>
      <c r="F997" s="109"/>
      <c r="G997" s="111"/>
      <c r="H997" s="111"/>
      <c r="I997" s="112"/>
      <c r="J997" s="112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2" customHeight="1">
      <c r="A998" s="108"/>
      <c r="B998" s="108"/>
      <c r="C998" s="109"/>
      <c r="D998" s="109"/>
      <c r="E998" s="109"/>
      <c r="F998" s="109"/>
      <c r="G998" s="111"/>
      <c r="H998" s="111"/>
      <c r="I998" s="112"/>
      <c r="J998" s="112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2" customHeight="1">
      <c r="A999" s="108"/>
      <c r="B999" s="108"/>
      <c r="C999" s="109"/>
      <c r="D999" s="109"/>
      <c r="E999" s="109"/>
      <c r="F999" s="109"/>
      <c r="G999" s="111"/>
      <c r="H999" s="111"/>
      <c r="I999" s="112"/>
      <c r="J999" s="112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2" customHeight="1">
      <c r="A1000" s="108"/>
      <c r="B1000" s="108"/>
      <c r="C1000" s="109"/>
      <c r="D1000" s="109"/>
      <c r="E1000" s="109"/>
      <c r="F1000" s="109"/>
      <c r="G1000" s="111"/>
      <c r="H1000" s="111"/>
      <c r="I1000" s="112"/>
      <c r="J1000" s="112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 spans="1:26" ht="12" customHeight="1">
      <c r="A1001" s="108"/>
      <c r="B1001" s="108"/>
      <c r="C1001" s="109"/>
      <c r="D1001" s="109"/>
      <c r="E1001" s="109"/>
      <c r="F1001" s="109"/>
      <c r="G1001" s="111"/>
      <c r="H1001" s="111"/>
      <c r="I1001" s="112"/>
      <c r="J1001" s="112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 spans="1:26" ht="12" customHeight="1">
      <c r="A1002" s="108"/>
      <c r="B1002" s="108"/>
      <c r="C1002" s="109"/>
      <c r="D1002" s="109"/>
      <c r="E1002" s="109"/>
      <c r="F1002" s="109"/>
      <c r="G1002" s="111"/>
      <c r="H1002" s="111"/>
      <c r="I1002" s="112"/>
      <c r="J1002" s="112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 spans="1:26" ht="12" customHeight="1">
      <c r="A1003" s="108"/>
      <c r="B1003" s="108"/>
      <c r="C1003" s="109"/>
      <c r="D1003" s="109"/>
      <c r="E1003" s="109"/>
      <c r="F1003" s="109"/>
      <c r="G1003" s="111"/>
      <c r="H1003" s="111"/>
      <c r="I1003" s="112"/>
      <c r="J1003" s="112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</row>
    <row r="1004" spans="1:26" ht="12" customHeight="1">
      <c r="A1004" s="108"/>
      <c r="B1004" s="108"/>
      <c r="C1004" s="109"/>
      <c r="D1004" s="109"/>
      <c r="E1004" s="109"/>
      <c r="F1004" s="109"/>
      <c r="G1004" s="111"/>
      <c r="H1004" s="111"/>
      <c r="I1004" s="112"/>
      <c r="J1004" s="112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</row>
    <row r="1005" spans="1:26" ht="12" customHeight="1">
      <c r="A1005" s="108"/>
      <c r="B1005" s="108"/>
      <c r="C1005" s="109"/>
      <c r="D1005" s="109"/>
      <c r="E1005" s="109"/>
      <c r="F1005" s="109"/>
      <c r="G1005" s="111"/>
      <c r="H1005" s="111"/>
      <c r="I1005" s="112"/>
      <c r="J1005" s="112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</row>
  </sheetData>
  <autoFilter ref="A1:P16" xr:uid="{00000000-0009-0000-0000-000005000000}"/>
  <phoneticPr fontId="24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Q825"/>
  <sheetViews>
    <sheetView workbookViewId="0">
      <selection activeCell="L1" sqref="L1:L1048576"/>
    </sheetView>
  </sheetViews>
  <sheetFormatPr baseColWidth="10" defaultColWidth="8.83203125" defaultRowHeight="18" customHeight="1"/>
  <cols>
    <col min="1" max="1" width="4.5" style="333" bestFit="1" customWidth="1"/>
    <col min="2" max="2" width="15.6640625" style="315" bestFit="1" customWidth="1"/>
    <col min="3" max="3" width="19.33203125" style="316" bestFit="1" customWidth="1"/>
    <col min="4" max="4" width="12" style="316" bestFit="1" customWidth="1"/>
    <col min="5" max="5" width="88.83203125" style="316" customWidth="1"/>
    <col min="6" max="6" width="8.6640625" style="316" bestFit="1" customWidth="1"/>
    <col min="7" max="7" width="19.5" style="316" hidden="1" customWidth="1"/>
    <col min="8" max="8" width="11.1640625" style="316" bestFit="1" customWidth="1"/>
    <col min="9" max="9" width="16.1640625" style="316" bestFit="1" customWidth="1"/>
    <col min="10" max="10" width="8.6640625" style="316" bestFit="1" customWidth="1"/>
    <col min="11" max="11" width="14" style="316" bestFit="1" customWidth="1"/>
    <col min="12" max="12" width="12.5" style="335" customWidth="1"/>
    <col min="13" max="13" width="12.33203125" style="316" bestFit="1" customWidth="1"/>
    <col min="14" max="14" width="20.33203125" style="316" bestFit="1" customWidth="1"/>
    <col min="15" max="15" width="29" style="316" bestFit="1" customWidth="1"/>
    <col min="16" max="16" width="11.1640625" style="316" bestFit="1" customWidth="1"/>
    <col min="17" max="17" width="9.5" style="316" bestFit="1" customWidth="1"/>
    <col min="18" max="16384" width="8.83203125" style="315"/>
  </cols>
  <sheetData>
    <row r="1" spans="1:17" ht="15">
      <c r="A1" s="270" t="s">
        <v>246</v>
      </c>
      <c r="B1" s="270" t="s">
        <v>131</v>
      </c>
      <c r="C1" s="270" t="s">
        <v>158</v>
      </c>
      <c r="D1" s="270" t="s">
        <v>133</v>
      </c>
      <c r="E1" s="270" t="s">
        <v>134</v>
      </c>
      <c r="F1" s="270" t="s">
        <v>159</v>
      </c>
      <c r="G1" s="270" t="s">
        <v>160</v>
      </c>
      <c r="H1" s="270" t="s">
        <v>161</v>
      </c>
      <c r="I1" s="270" t="s">
        <v>162</v>
      </c>
      <c r="J1" s="270" t="s">
        <v>163</v>
      </c>
      <c r="K1" s="270" t="s">
        <v>164</v>
      </c>
      <c r="L1" s="334" t="s">
        <v>1081</v>
      </c>
      <c r="M1" s="270" t="s">
        <v>1082</v>
      </c>
      <c r="N1" s="270" t="s">
        <v>676</v>
      </c>
      <c r="O1" s="270" t="s">
        <v>1083</v>
      </c>
      <c r="P1" s="270" t="s">
        <v>1084</v>
      </c>
      <c r="Q1" s="270" t="s">
        <v>1085</v>
      </c>
    </row>
    <row r="2" spans="1:17" ht="15" hidden="1">
      <c r="A2" s="332" t="s">
        <v>1086</v>
      </c>
      <c r="B2" s="271" t="s">
        <v>965</v>
      </c>
      <c r="C2" s="271" t="s">
        <v>966</v>
      </c>
      <c r="D2" s="271" t="s">
        <v>165</v>
      </c>
      <c r="E2" s="271" t="s">
        <v>96</v>
      </c>
      <c r="F2" s="271" t="s">
        <v>714</v>
      </c>
      <c r="G2" s="272" t="s">
        <v>310</v>
      </c>
      <c r="H2" s="272" t="s">
        <v>310</v>
      </c>
      <c r="I2" s="272" t="s">
        <v>1087</v>
      </c>
      <c r="J2" s="272" t="s">
        <v>1087</v>
      </c>
      <c r="K2" s="271" t="s">
        <v>232</v>
      </c>
      <c r="L2" s="273">
        <v>6238</v>
      </c>
      <c r="M2" s="271" t="s">
        <v>1088</v>
      </c>
      <c r="N2" s="271" t="s">
        <v>695</v>
      </c>
      <c r="O2" s="271" t="s">
        <v>168</v>
      </c>
      <c r="P2" s="271"/>
      <c r="Q2" s="271">
        <v>-226</v>
      </c>
    </row>
    <row r="3" spans="1:17" ht="15" hidden="1">
      <c r="A3" s="332" t="s">
        <v>578</v>
      </c>
      <c r="B3" s="271" t="s">
        <v>965</v>
      </c>
      <c r="C3" s="271" t="s">
        <v>966</v>
      </c>
      <c r="D3" s="271" t="s">
        <v>165</v>
      </c>
      <c r="E3" s="271" t="s">
        <v>96</v>
      </c>
      <c r="F3" s="271" t="s">
        <v>714</v>
      </c>
      <c r="G3" s="272" t="s">
        <v>310</v>
      </c>
      <c r="H3" s="272" t="s">
        <v>310</v>
      </c>
      <c r="I3" s="272" t="s">
        <v>1087</v>
      </c>
      <c r="J3" s="272" t="s">
        <v>1087</v>
      </c>
      <c r="K3" s="271" t="s">
        <v>232</v>
      </c>
      <c r="L3" s="273">
        <v>562</v>
      </c>
      <c r="M3" s="271" t="s">
        <v>1088</v>
      </c>
      <c r="N3" s="271" t="s">
        <v>1089</v>
      </c>
      <c r="O3" s="271" t="s">
        <v>168</v>
      </c>
      <c r="P3" s="271"/>
      <c r="Q3" s="271">
        <v>-20</v>
      </c>
    </row>
    <row r="4" spans="1:17" ht="15">
      <c r="A4" s="332" t="s">
        <v>626</v>
      </c>
      <c r="B4" s="271" t="s">
        <v>965</v>
      </c>
      <c r="C4" s="271" t="s">
        <v>966</v>
      </c>
      <c r="D4" s="271" t="s">
        <v>165</v>
      </c>
      <c r="E4" s="271" t="s">
        <v>96</v>
      </c>
      <c r="F4" s="271" t="s">
        <v>714</v>
      </c>
      <c r="G4" s="272" t="s">
        <v>310</v>
      </c>
      <c r="H4" s="272" t="s">
        <v>310</v>
      </c>
      <c r="I4" s="272" t="s">
        <v>1087</v>
      </c>
      <c r="J4" s="272" t="s">
        <v>1087</v>
      </c>
      <c r="K4" s="271" t="s">
        <v>232</v>
      </c>
      <c r="L4" s="273">
        <v>6800</v>
      </c>
      <c r="M4" s="271" t="s">
        <v>1090</v>
      </c>
      <c r="N4" s="271" t="s">
        <v>168</v>
      </c>
      <c r="O4" s="271" t="s">
        <v>1091</v>
      </c>
      <c r="P4" s="271"/>
      <c r="Q4" s="271">
        <v>-204</v>
      </c>
    </row>
    <row r="5" spans="1:17" ht="15" hidden="1">
      <c r="A5" s="332" t="s">
        <v>980</v>
      </c>
      <c r="B5" s="271" t="s">
        <v>965</v>
      </c>
      <c r="C5" s="271" t="s">
        <v>964</v>
      </c>
      <c r="D5" s="271" t="s">
        <v>165</v>
      </c>
      <c r="E5" s="271" t="s">
        <v>885</v>
      </c>
      <c r="F5" s="271" t="s">
        <v>714</v>
      </c>
      <c r="G5" s="272" t="s">
        <v>310</v>
      </c>
      <c r="H5" s="272" t="s">
        <v>310</v>
      </c>
      <c r="I5" s="272" t="s">
        <v>1087</v>
      </c>
      <c r="J5" s="272" t="s">
        <v>1087</v>
      </c>
      <c r="K5" s="271" t="s">
        <v>232</v>
      </c>
      <c r="L5" s="273">
        <v>0</v>
      </c>
      <c r="M5" s="271" t="s">
        <v>1088</v>
      </c>
      <c r="N5" s="271" t="s">
        <v>695</v>
      </c>
      <c r="O5" s="271" t="s">
        <v>168</v>
      </c>
      <c r="P5" s="271"/>
      <c r="Q5" s="271">
        <v>0</v>
      </c>
    </row>
    <row r="6" spans="1:17" ht="15" hidden="1">
      <c r="A6" s="332" t="s">
        <v>1012</v>
      </c>
      <c r="B6" s="271" t="s">
        <v>965</v>
      </c>
      <c r="C6" s="271" t="s">
        <v>964</v>
      </c>
      <c r="D6" s="271" t="s">
        <v>165</v>
      </c>
      <c r="E6" s="271" t="s">
        <v>885</v>
      </c>
      <c r="F6" s="271" t="s">
        <v>714</v>
      </c>
      <c r="G6" s="272" t="s">
        <v>310</v>
      </c>
      <c r="H6" s="272" t="s">
        <v>310</v>
      </c>
      <c r="I6" s="272" t="s">
        <v>1087</v>
      </c>
      <c r="J6" s="272" t="s">
        <v>1087</v>
      </c>
      <c r="K6" s="271" t="s">
        <v>232</v>
      </c>
      <c r="L6" s="273">
        <v>0</v>
      </c>
      <c r="M6" s="271" t="s">
        <v>1088</v>
      </c>
      <c r="N6" s="271" t="s">
        <v>1089</v>
      </c>
      <c r="O6" s="271" t="s">
        <v>168</v>
      </c>
      <c r="P6" s="271"/>
      <c r="Q6" s="271">
        <v>0</v>
      </c>
    </row>
    <row r="7" spans="1:17" ht="15">
      <c r="A7" s="332" t="s">
        <v>1092</v>
      </c>
      <c r="B7" s="271" t="s">
        <v>965</v>
      </c>
      <c r="C7" s="271" t="s">
        <v>964</v>
      </c>
      <c r="D7" s="271" t="s">
        <v>165</v>
      </c>
      <c r="E7" s="271" t="s">
        <v>885</v>
      </c>
      <c r="F7" s="271" t="s">
        <v>714</v>
      </c>
      <c r="G7" s="272" t="s">
        <v>310</v>
      </c>
      <c r="H7" s="272" t="s">
        <v>310</v>
      </c>
      <c r="I7" s="272" t="s">
        <v>1087</v>
      </c>
      <c r="J7" s="272" t="s">
        <v>1087</v>
      </c>
      <c r="K7" s="271" t="s">
        <v>232</v>
      </c>
      <c r="L7" s="273">
        <v>0</v>
      </c>
      <c r="M7" s="271" t="s">
        <v>1090</v>
      </c>
      <c r="N7" s="271" t="s">
        <v>168</v>
      </c>
      <c r="O7" s="271" t="s">
        <v>1091</v>
      </c>
      <c r="P7" s="271"/>
      <c r="Q7" s="271">
        <v>0</v>
      </c>
    </row>
    <row r="8" spans="1:17" ht="15" hidden="1">
      <c r="A8" s="332" t="s">
        <v>975</v>
      </c>
      <c r="B8" s="271" t="s">
        <v>965</v>
      </c>
      <c r="C8" s="271" t="s">
        <v>1093</v>
      </c>
      <c r="D8" s="271" t="s">
        <v>137</v>
      </c>
      <c r="E8" s="271"/>
      <c r="F8" s="271" t="s">
        <v>714</v>
      </c>
      <c r="G8" s="272" t="s">
        <v>310</v>
      </c>
      <c r="H8" s="272" t="s">
        <v>310</v>
      </c>
      <c r="I8" s="272" t="s">
        <v>1087</v>
      </c>
      <c r="J8" s="272" t="s">
        <v>1087</v>
      </c>
      <c r="K8" s="271" t="s">
        <v>232</v>
      </c>
      <c r="L8" s="273">
        <v>2752</v>
      </c>
      <c r="M8" s="271" t="s">
        <v>1088</v>
      </c>
      <c r="N8" s="271" t="s">
        <v>695</v>
      </c>
      <c r="O8" s="271" t="s">
        <v>168</v>
      </c>
      <c r="P8" s="271"/>
      <c r="Q8" s="271">
        <v>-99</v>
      </c>
    </row>
    <row r="9" spans="1:17" ht="15" hidden="1">
      <c r="A9" s="332" t="s">
        <v>998</v>
      </c>
      <c r="B9" s="271" t="s">
        <v>965</v>
      </c>
      <c r="C9" s="271" t="s">
        <v>1093</v>
      </c>
      <c r="D9" s="271" t="s">
        <v>137</v>
      </c>
      <c r="E9" s="271"/>
      <c r="F9" s="271" t="s">
        <v>714</v>
      </c>
      <c r="G9" s="272" t="s">
        <v>310</v>
      </c>
      <c r="H9" s="272" t="s">
        <v>310</v>
      </c>
      <c r="I9" s="272" t="s">
        <v>1087</v>
      </c>
      <c r="J9" s="272" t="s">
        <v>1087</v>
      </c>
      <c r="K9" s="271" t="s">
        <v>232</v>
      </c>
      <c r="L9" s="273">
        <v>248</v>
      </c>
      <c r="M9" s="271" t="s">
        <v>1088</v>
      </c>
      <c r="N9" s="271" t="s">
        <v>1089</v>
      </c>
      <c r="O9" s="271" t="s">
        <v>168</v>
      </c>
      <c r="P9" s="271"/>
      <c r="Q9" s="271">
        <v>-9</v>
      </c>
    </row>
    <row r="10" spans="1:17" ht="15" hidden="1">
      <c r="A10" s="332" t="s">
        <v>970</v>
      </c>
      <c r="B10" s="271" t="s">
        <v>963</v>
      </c>
      <c r="C10" s="271" t="s">
        <v>962</v>
      </c>
      <c r="D10" s="271" t="s">
        <v>165</v>
      </c>
      <c r="E10" s="271" t="s">
        <v>96</v>
      </c>
      <c r="F10" s="271" t="s">
        <v>1094</v>
      </c>
      <c r="G10" s="272" t="s">
        <v>310</v>
      </c>
      <c r="H10" s="272" t="s">
        <v>310</v>
      </c>
      <c r="I10" s="272" t="s">
        <v>1095</v>
      </c>
      <c r="J10" s="272" t="s">
        <v>1095</v>
      </c>
      <c r="K10" s="271" t="s">
        <v>232</v>
      </c>
      <c r="L10" s="273">
        <v>13600</v>
      </c>
      <c r="M10" s="271" t="s">
        <v>1088</v>
      </c>
      <c r="N10" s="271" t="s">
        <v>1089</v>
      </c>
      <c r="O10" s="271" t="s">
        <v>168</v>
      </c>
      <c r="P10" s="271"/>
      <c r="Q10" s="271">
        <v>-493</v>
      </c>
    </row>
    <row r="11" spans="1:17" ht="15">
      <c r="A11" s="332" t="s">
        <v>1096</v>
      </c>
      <c r="B11" s="271" t="s">
        <v>963</v>
      </c>
      <c r="C11" s="271" t="s">
        <v>962</v>
      </c>
      <c r="D11" s="271" t="s">
        <v>165</v>
      </c>
      <c r="E11" s="271" t="s">
        <v>96</v>
      </c>
      <c r="F11" s="271" t="s">
        <v>1094</v>
      </c>
      <c r="G11" s="272" t="s">
        <v>310</v>
      </c>
      <c r="H11" s="272" t="s">
        <v>310</v>
      </c>
      <c r="I11" s="272" t="s">
        <v>1095</v>
      </c>
      <c r="J11" s="272" t="s">
        <v>1095</v>
      </c>
      <c r="K11" s="271" t="s">
        <v>232</v>
      </c>
      <c r="L11" s="273">
        <v>13600</v>
      </c>
      <c r="M11" s="271" t="s">
        <v>1090</v>
      </c>
      <c r="N11" s="271" t="s">
        <v>168</v>
      </c>
      <c r="O11" s="271" t="s">
        <v>1097</v>
      </c>
      <c r="P11" s="271"/>
      <c r="Q11" s="271">
        <v>-136</v>
      </c>
    </row>
    <row r="12" spans="1:17" ht="15" hidden="1">
      <c r="A12" s="332" t="s">
        <v>1022</v>
      </c>
      <c r="B12" s="271" t="s">
        <v>963</v>
      </c>
      <c r="C12" s="271" t="s">
        <v>1098</v>
      </c>
      <c r="D12" s="271" t="s">
        <v>137</v>
      </c>
      <c r="E12" s="271"/>
      <c r="F12" s="271" t="s">
        <v>1094</v>
      </c>
      <c r="G12" s="272" t="s">
        <v>310</v>
      </c>
      <c r="H12" s="272" t="s">
        <v>310</v>
      </c>
      <c r="I12" s="272" t="s">
        <v>1095</v>
      </c>
      <c r="J12" s="272" t="s">
        <v>1095</v>
      </c>
      <c r="K12" s="271" t="s">
        <v>232</v>
      </c>
      <c r="L12" s="273">
        <v>3000</v>
      </c>
      <c r="M12" s="271" t="s">
        <v>1088</v>
      </c>
      <c r="N12" s="271" t="s">
        <v>1089</v>
      </c>
      <c r="O12" s="271" t="s">
        <v>168</v>
      </c>
      <c r="P12" s="271"/>
      <c r="Q12" s="271">
        <v>-108</v>
      </c>
    </row>
    <row r="13" spans="1:17" ht="15" hidden="1">
      <c r="A13" s="332" t="s">
        <v>1008</v>
      </c>
      <c r="B13" s="271" t="s">
        <v>960</v>
      </c>
      <c r="C13" s="271" t="s">
        <v>961</v>
      </c>
      <c r="D13" s="271" t="s">
        <v>165</v>
      </c>
      <c r="E13" s="271" t="s">
        <v>954</v>
      </c>
      <c r="F13" s="271" t="s">
        <v>741</v>
      </c>
      <c r="G13" s="272" t="s">
        <v>1099</v>
      </c>
      <c r="H13" s="272" t="s">
        <v>1099</v>
      </c>
      <c r="I13" s="272" t="s">
        <v>310</v>
      </c>
      <c r="J13" s="272" t="s">
        <v>310</v>
      </c>
      <c r="K13" s="271" t="s">
        <v>232</v>
      </c>
      <c r="L13" s="273">
        <v>30700</v>
      </c>
      <c r="M13" s="271" t="s">
        <v>1088</v>
      </c>
      <c r="N13" s="271" t="s">
        <v>695</v>
      </c>
      <c r="O13" s="271" t="s">
        <v>168</v>
      </c>
      <c r="P13" s="271"/>
      <c r="Q13" s="271">
        <v>-1114</v>
      </c>
    </row>
    <row r="14" spans="1:17" ht="15">
      <c r="A14" s="332" t="s">
        <v>1100</v>
      </c>
      <c r="B14" s="271" t="s">
        <v>960</v>
      </c>
      <c r="C14" s="271" t="s">
        <v>961</v>
      </c>
      <c r="D14" s="271" t="s">
        <v>165</v>
      </c>
      <c r="E14" s="271" t="s">
        <v>954</v>
      </c>
      <c r="F14" s="271" t="s">
        <v>741</v>
      </c>
      <c r="G14" s="272" t="s">
        <v>1099</v>
      </c>
      <c r="H14" s="272" t="s">
        <v>1099</v>
      </c>
      <c r="I14" s="272" t="s">
        <v>310</v>
      </c>
      <c r="J14" s="272" t="s">
        <v>310</v>
      </c>
      <c r="K14" s="271" t="s">
        <v>232</v>
      </c>
      <c r="L14" s="273">
        <v>30700</v>
      </c>
      <c r="M14" s="271" t="s">
        <v>1090</v>
      </c>
      <c r="N14" s="271" t="s">
        <v>168</v>
      </c>
      <c r="O14" s="271" t="s">
        <v>1091</v>
      </c>
      <c r="P14" s="271"/>
      <c r="Q14" s="271">
        <v>-921</v>
      </c>
    </row>
    <row r="15" spans="1:17" ht="15" hidden="1">
      <c r="A15" s="332" t="s">
        <v>1101</v>
      </c>
      <c r="B15" s="271" t="s">
        <v>960</v>
      </c>
      <c r="C15" s="271" t="s">
        <v>959</v>
      </c>
      <c r="D15" s="271" t="s">
        <v>165</v>
      </c>
      <c r="E15" s="271" t="s">
        <v>885</v>
      </c>
      <c r="F15" s="271" t="s">
        <v>741</v>
      </c>
      <c r="G15" s="272" t="s">
        <v>1099</v>
      </c>
      <c r="H15" s="272" t="s">
        <v>1099</v>
      </c>
      <c r="I15" s="272" t="s">
        <v>310</v>
      </c>
      <c r="J15" s="272" t="s">
        <v>310</v>
      </c>
      <c r="K15" s="271" t="s">
        <v>232</v>
      </c>
      <c r="L15" s="273">
        <v>0</v>
      </c>
      <c r="M15" s="271" t="s">
        <v>1088</v>
      </c>
      <c r="N15" s="271" t="s">
        <v>695</v>
      </c>
      <c r="O15" s="271" t="s">
        <v>168</v>
      </c>
      <c r="P15" s="271"/>
      <c r="Q15" s="271">
        <v>0</v>
      </c>
    </row>
    <row r="16" spans="1:17" ht="15">
      <c r="A16" s="332" t="s">
        <v>1102</v>
      </c>
      <c r="B16" s="271" t="s">
        <v>960</v>
      </c>
      <c r="C16" s="271" t="s">
        <v>959</v>
      </c>
      <c r="D16" s="271" t="s">
        <v>165</v>
      </c>
      <c r="E16" s="271" t="s">
        <v>885</v>
      </c>
      <c r="F16" s="271" t="s">
        <v>741</v>
      </c>
      <c r="G16" s="272" t="s">
        <v>1099</v>
      </c>
      <c r="H16" s="272" t="s">
        <v>1099</v>
      </c>
      <c r="I16" s="272" t="s">
        <v>310</v>
      </c>
      <c r="J16" s="272" t="s">
        <v>310</v>
      </c>
      <c r="K16" s="271" t="s">
        <v>232</v>
      </c>
      <c r="L16" s="273">
        <v>0</v>
      </c>
      <c r="M16" s="271" t="s">
        <v>1090</v>
      </c>
      <c r="N16" s="271" t="s">
        <v>168</v>
      </c>
      <c r="O16" s="271" t="s">
        <v>1091</v>
      </c>
      <c r="P16" s="271"/>
      <c r="Q16" s="271">
        <v>0</v>
      </c>
    </row>
    <row r="17" spans="1:17" ht="15" hidden="1">
      <c r="A17" s="332" t="s">
        <v>1103</v>
      </c>
      <c r="B17" s="271" t="s">
        <v>960</v>
      </c>
      <c r="C17" s="271" t="s">
        <v>1104</v>
      </c>
      <c r="D17" s="271" t="s">
        <v>137</v>
      </c>
      <c r="E17" s="271"/>
      <c r="F17" s="271" t="s">
        <v>741</v>
      </c>
      <c r="G17" s="272" t="s">
        <v>1099</v>
      </c>
      <c r="H17" s="272" t="s">
        <v>1099</v>
      </c>
      <c r="I17" s="272" t="s">
        <v>310</v>
      </c>
      <c r="J17" s="272" t="s">
        <v>310</v>
      </c>
      <c r="K17" s="271" t="s">
        <v>232</v>
      </c>
      <c r="L17" s="273">
        <v>3000</v>
      </c>
      <c r="M17" s="271" t="s">
        <v>1088</v>
      </c>
      <c r="N17" s="271" t="s">
        <v>695</v>
      </c>
      <c r="O17" s="271" t="s">
        <v>168</v>
      </c>
      <c r="P17" s="271"/>
      <c r="Q17" s="271">
        <v>-108</v>
      </c>
    </row>
    <row r="18" spans="1:17" ht="15" hidden="1">
      <c r="A18" s="332" t="s">
        <v>1105</v>
      </c>
      <c r="B18" s="271" t="s">
        <v>958</v>
      </c>
      <c r="C18" s="271" t="s">
        <v>957</v>
      </c>
      <c r="D18" s="271" t="s">
        <v>165</v>
      </c>
      <c r="E18" s="271" t="s">
        <v>941</v>
      </c>
      <c r="F18" s="271" t="s">
        <v>1106</v>
      </c>
      <c r="G18" s="272" t="s">
        <v>1099</v>
      </c>
      <c r="H18" s="272" t="s">
        <v>1099</v>
      </c>
      <c r="I18" s="272" t="s">
        <v>310</v>
      </c>
      <c r="J18" s="272" t="s">
        <v>310</v>
      </c>
      <c r="K18" s="271" t="s">
        <v>232</v>
      </c>
      <c r="L18" s="273">
        <v>26800</v>
      </c>
      <c r="M18" s="271" t="s">
        <v>1088</v>
      </c>
      <c r="N18" s="271" t="s">
        <v>695</v>
      </c>
      <c r="O18" s="271" t="s">
        <v>168</v>
      </c>
      <c r="P18" s="271"/>
      <c r="Q18" s="271">
        <v>-972</v>
      </c>
    </row>
    <row r="19" spans="1:17" ht="15">
      <c r="A19" s="332" t="s">
        <v>1107</v>
      </c>
      <c r="B19" s="271" t="s">
        <v>958</v>
      </c>
      <c r="C19" s="271" t="s">
        <v>957</v>
      </c>
      <c r="D19" s="271" t="s">
        <v>165</v>
      </c>
      <c r="E19" s="271" t="s">
        <v>941</v>
      </c>
      <c r="F19" s="271" t="s">
        <v>1106</v>
      </c>
      <c r="G19" s="272" t="s">
        <v>1099</v>
      </c>
      <c r="H19" s="272" t="s">
        <v>1099</v>
      </c>
      <c r="I19" s="272" t="s">
        <v>310</v>
      </c>
      <c r="J19" s="272" t="s">
        <v>310</v>
      </c>
      <c r="K19" s="271" t="s">
        <v>232</v>
      </c>
      <c r="L19" s="273">
        <v>26800</v>
      </c>
      <c r="M19" s="271" t="s">
        <v>1090</v>
      </c>
      <c r="N19" s="271" t="s">
        <v>168</v>
      </c>
      <c r="O19" s="271" t="s">
        <v>1091</v>
      </c>
      <c r="P19" s="271"/>
      <c r="Q19" s="271">
        <v>-804</v>
      </c>
    </row>
    <row r="20" spans="1:17" ht="15" hidden="1">
      <c r="A20" s="332" t="s">
        <v>1108</v>
      </c>
      <c r="B20" s="271" t="s">
        <v>958</v>
      </c>
      <c r="C20" s="271" t="s">
        <v>1109</v>
      </c>
      <c r="D20" s="271" t="s">
        <v>137</v>
      </c>
      <c r="E20" s="271"/>
      <c r="F20" s="271" t="s">
        <v>1106</v>
      </c>
      <c r="G20" s="272" t="s">
        <v>1099</v>
      </c>
      <c r="H20" s="272" t="s">
        <v>1099</v>
      </c>
      <c r="I20" s="272" t="s">
        <v>310</v>
      </c>
      <c r="J20" s="272" t="s">
        <v>310</v>
      </c>
      <c r="K20" s="271" t="s">
        <v>232</v>
      </c>
      <c r="L20" s="273">
        <v>3000</v>
      </c>
      <c r="M20" s="271" t="s">
        <v>1088</v>
      </c>
      <c r="N20" s="271" t="s">
        <v>695</v>
      </c>
      <c r="O20" s="271" t="s">
        <v>168</v>
      </c>
      <c r="P20" s="271"/>
      <c r="Q20" s="271">
        <v>-108</v>
      </c>
    </row>
    <row r="21" spans="1:17" ht="15" hidden="1">
      <c r="A21" s="332" t="s">
        <v>1110</v>
      </c>
      <c r="B21" s="271" t="s">
        <v>956</v>
      </c>
      <c r="C21" s="271" t="s">
        <v>955</v>
      </c>
      <c r="D21" s="271" t="s">
        <v>165</v>
      </c>
      <c r="E21" s="271" t="s">
        <v>99</v>
      </c>
      <c r="F21" s="271" t="s">
        <v>1111</v>
      </c>
      <c r="G21" s="272" t="s">
        <v>1112</v>
      </c>
      <c r="H21" s="272" t="s">
        <v>1112</v>
      </c>
      <c r="I21" s="272" t="s">
        <v>1099</v>
      </c>
      <c r="J21" s="272" t="s">
        <v>1099</v>
      </c>
      <c r="K21" s="271" t="s">
        <v>232</v>
      </c>
      <c r="L21" s="273">
        <v>29584</v>
      </c>
      <c r="M21" s="271" t="s">
        <v>1088</v>
      </c>
      <c r="N21" s="271" t="s">
        <v>695</v>
      </c>
      <c r="O21" s="271" t="s">
        <v>168</v>
      </c>
      <c r="P21" s="271"/>
      <c r="Q21" s="271">
        <v>-1073</v>
      </c>
    </row>
    <row r="22" spans="1:17" ht="15" hidden="1">
      <c r="A22" s="332" t="s">
        <v>1113</v>
      </c>
      <c r="B22" s="271" t="s">
        <v>956</v>
      </c>
      <c r="C22" s="271" t="s">
        <v>955</v>
      </c>
      <c r="D22" s="271" t="s">
        <v>165</v>
      </c>
      <c r="E22" s="271" t="s">
        <v>99</v>
      </c>
      <c r="F22" s="271" t="s">
        <v>1111</v>
      </c>
      <c r="G22" s="272" t="s">
        <v>1112</v>
      </c>
      <c r="H22" s="272" t="s">
        <v>1112</v>
      </c>
      <c r="I22" s="272" t="s">
        <v>1099</v>
      </c>
      <c r="J22" s="272" t="s">
        <v>1099</v>
      </c>
      <c r="K22" s="271" t="s">
        <v>232</v>
      </c>
      <c r="L22" s="273">
        <v>836</v>
      </c>
      <c r="M22" s="271" t="s">
        <v>1088</v>
      </c>
      <c r="N22" s="271" t="s">
        <v>1089</v>
      </c>
      <c r="O22" s="271" t="s">
        <v>168</v>
      </c>
      <c r="P22" s="271"/>
      <c r="Q22" s="271">
        <v>-30</v>
      </c>
    </row>
    <row r="23" spans="1:17" ht="15">
      <c r="A23" s="332" t="s">
        <v>1114</v>
      </c>
      <c r="B23" s="271" t="s">
        <v>956</v>
      </c>
      <c r="C23" s="271" t="s">
        <v>955</v>
      </c>
      <c r="D23" s="271" t="s">
        <v>165</v>
      </c>
      <c r="E23" s="271" t="s">
        <v>99</v>
      </c>
      <c r="F23" s="271" t="s">
        <v>1111</v>
      </c>
      <c r="G23" s="272" t="s">
        <v>1112</v>
      </c>
      <c r="H23" s="272" t="s">
        <v>1112</v>
      </c>
      <c r="I23" s="272" t="s">
        <v>1099</v>
      </c>
      <c r="J23" s="272" t="s">
        <v>1099</v>
      </c>
      <c r="K23" s="271" t="s">
        <v>232</v>
      </c>
      <c r="L23" s="273">
        <v>30420</v>
      </c>
      <c r="M23" s="271" t="s">
        <v>1090</v>
      </c>
      <c r="N23" s="271" t="s">
        <v>168</v>
      </c>
      <c r="O23" s="271" t="s">
        <v>1091</v>
      </c>
      <c r="P23" s="271"/>
      <c r="Q23" s="271">
        <v>-912</v>
      </c>
    </row>
    <row r="24" spans="1:17" ht="15" hidden="1">
      <c r="A24" s="332" t="s">
        <v>1115</v>
      </c>
      <c r="B24" s="271" t="s">
        <v>956</v>
      </c>
      <c r="C24" s="271" t="s">
        <v>1116</v>
      </c>
      <c r="D24" s="271" t="s">
        <v>137</v>
      </c>
      <c r="E24" s="271"/>
      <c r="F24" s="271" t="s">
        <v>1111</v>
      </c>
      <c r="G24" s="272" t="s">
        <v>1112</v>
      </c>
      <c r="H24" s="272" t="s">
        <v>1112</v>
      </c>
      <c r="I24" s="272" t="s">
        <v>1099</v>
      </c>
      <c r="J24" s="272" t="s">
        <v>1099</v>
      </c>
      <c r="K24" s="271" t="s">
        <v>232</v>
      </c>
      <c r="L24" s="273">
        <v>2918</v>
      </c>
      <c r="M24" s="271" t="s">
        <v>1088</v>
      </c>
      <c r="N24" s="271" t="s">
        <v>695</v>
      </c>
      <c r="O24" s="271" t="s">
        <v>168</v>
      </c>
      <c r="P24" s="271"/>
      <c r="Q24" s="271">
        <v>-105</v>
      </c>
    </row>
    <row r="25" spans="1:17" ht="15" hidden="1">
      <c r="A25" s="332" t="s">
        <v>1117</v>
      </c>
      <c r="B25" s="271" t="s">
        <v>956</v>
      </c>
      <c r="C25" s="271" t="s">
        <v>1116</v>
      </c>
      <c r="D25" s="271" t="s">
        <v>137</v>
      </c>
      <c r="E25" s="271"/>
      <c r="F25" s="271" t="s">
        <v>1111</v>
      </c>
      <c r="G25" s="272" t="s">
        <v>1112</v>
      </c>
      <c r="H25" s="272" t="s">
        <v>1112</v>
      </c>
      <c r="I25" s="272" t="s">
        <v>1099</v>
      </c>
      <c r="J25" s="272" t="s">
        <v>1099</v>
      </c>
      <c r="K25" s="271" t="s">
        <v>232</v>
      </c>
      <c r="L25" s="273">
        <v>82</v>
      </c>
      <c r="M25" s="271" t="s">
        <v>1088</v>
      </c>
      <c r="N25" s="271" t="s">
        <v>1089</v>
      </c>
      <c r="O25" s="271" t="s">
        <v>168</v>
      </c>
      <c r="P25" s="271"/>
      <c r="Q25" s="271">
        <v>-2</v>
      </c>
    </row>
    <row r="26" spans="1:17" ht="15" hidden="1">
      <c r="A26" s="332" t="s">
        <v>1118</v>
      </c>
      <c r="B26" s="271" t="s">
        <v>952</v>
      </c>
      <c r="C26" s="271" t="s">
        <v>953</v>
      </c>
      <c r="D26" s="271" t="s">
        <v>165</v>
      </c>
      <c r="E26" s="271" t="s">
        <v>954</v>
      </c>
      <c r="F26" s="271" t="s">
        <v>309</v>
      </c>
      <c r="G26" s="272" t="s">
        <v>1119</v>
      </c>
      <c r="H26" s="272" t="s">
        <v>1119</v>
      </c>
      <c r="I26" s="272" t="s">
        <v>1112</v>
      </c>
      <c r="J26" s="272" t="s">
        <v>1112</v>
      </c>
      <c r="K26" s="271" t="s">
        <v>232</v>
      </c>
      <c r="L26" s="273">
        <v>33800</v>
      </c>
      <c r="M26" s="271" t="s">
        <v>1088</v>
      </c>
      <c r="N26" s="271" t="s">
        <v>695</v>
      </c>
      <c r="O26" s="271" t="s">
        <v>168</v>
      </c>
      <c r="P26" s="271"/>
      <c r="Q26" s="271">
        <v>-1226</v>
      </c>
    </row>
    <row r="27" spans="1:17" ht="15" hidden="1">
      <c r="A27" s="332" t="s">
        <v>1120</v>
      </c>
      <c r="B27" s="271" t="s">
        <v>952</v>
      </c>
      <c r="C27" s="271" t="s">
        <v>953</v>
      </c>
      <c r="D27" s="271" t="s">
        <v>165</v>
      </c>
      <c r="E27" s="271" t="s">
        <v>954</v>
      </c>
      <c r="F27" s="271" t="s">
        <v>309</v>
      </c>
      <c r="G27" s="272" t="s">
        <v>1119</v>
      </c>
      <c r="H27" s="272" t="s">
        <v>1119</v>
      </c>
      <c r="I27" s="272" t="s">
        <v>1112</v>
      </c>
      <c r="J27" s="272" t="s">
        <v>1112</v>
      </c>
      <c r="K27" s="271" t="s">
        <v>232</v>
      </c>
      <c r="L27" s="273">
        <v>33800</v>
      </c>
      <c r="M27" s="271" t="s">
        <v>1121</v>
      </c>
      <c r="N27" s="271" t="s">
        <v>168</v>
      </c>
      <c r="O27" s="271" t="s">
        <v>1122</v>
      </c>
      <c r="P27" s="271"/>
      <c r="Q27" s="271">
        <v>-675</v>
      </c>
    </row>
    <row r="28" spans="1:17" ht="15">
      <c r="A28" s="332" t="s">
        <v>1123</v>
      </c>
      <c r="B28" s="271" t="s">
        <v>952</v>
      </c>
      <c r="C28" s="271" t="s">
        <v>953</v>
      </c>
      <c r="D28" s="271" t="s">
        <v>165</v>
      </c>
      <c r="E28" s="271" t="s">
        <v>954</v>
      </c>
      <c r="F28" s="271" t="s">
        <v>309</v>
      </c>
      <c r="G28" s="272" t="s">
        <v>1119</v>
      </c>
      <c r="H28" s="272" t="s">
        <v>1119</v>
      </c>
      <c r="I28" s="272" t="s">
        <v>1112</v>
      </c>
      <c r="J28" s="272" t="s">
        <v>1112</v>
      </c>
      <c r="K28" s="271" t="s">
        <v>232</v>
      </c>
      <c r="L28" s="273">
        <v>33800</v>
      </c>
      <c r="M28" s="271" t="s">
        <v>1090</v>
      </c>
      <c r="N28" s="271" t="s">
        <v>168</v>
      </c>
      <c r="O28" s="271" t="s">
        <v>1097</v>
      </c>
      <c r="P28" s="271"/>
      <c r="Q28" s="271">
        <v>-338</v>
      </c>
    </row>
    <row r="29" spans="1:17" ht="15" hidden="1">
      <c r="A29" s="332" t="s">
        <v>1124</v>
      </c>
      <c r="B29" s="271" t="s">
        <v>952</v>
      </c>
      <c r="C29" s="271" t="s">
        <v>951</v>
      </c>
      <c r="D29" s="271" t="s">
        <v>165</v>
      </c>
      <c r="E29" s="271" t="s">
        <v>885</v>
      </c>
      <c r="F29" s="271" t="s">
        <v>309</v>
      </c>
      <c r="G29" s="272" t="s">
        <v>1119</v>
      </c>
      <c r="H29" s="272" t="s">
        <v>1119</v>
      </c>
      <c r="I29" s="272" t="s">
        <v>1112</v>
      </c>
      <c r="J29" s="272" t="s">
        <v>1112</v>
      </c>
      <c r="K29" s="271" t="s">
        <v>232</v>
      </c>
      <c r="L29" s="273">
        <v>0</v>
      </c>
      <c r="M29" s="271" t="s">
        <v>1088</v>
      </c>
      <c r="N29" s="271" t="s">
        <v>695</v>
      </c>
      <c r="O29" s="271" t="s">
        <v>168</v>
      </c>
      <c r="P29" s="271"/>
      <c r="Q29" s="271">
        <v>0</v>
      </c>
    </row>
    <row r="30" spans="1:17" ht="15" hidden="1">
      <c r="A30" s="332" t="s">
        <v>1125</v>
      </c>
      <c r="B30" s="271" t="s">
        <v>952</v>
      </c>
      <c r="C30" s="271" t="s">
        <v>951</v>
      </c>
      <c r="D30" s="271" t="s">
        <v>165</v>
      </c>
      <c r="E30" s="271" t="s">
        <v>885</v>
      </c>
      <c r="F30" s="271" t="s">
        <v>309</v>
      </c>
      <c r="G30" s="272" t="s">
        <v>1119</v>
      </c>
      <c r="H30" s="272" t="s">
        <v>1119</v>
      </c>
      <c r="I30" s="272" t="s">
        <v>1112</v>
      </c>
      <c r="J30" s="272" t="s">
        <v>1112</v>
      </c>
      <c r="K30" s="271" t="s">
        <v>232</v>
      </c>
      <c r="L30" s="273">
        <v>0</v>
      </c>
      <c r="M30" s="271" t="s">
        <v>1121</v>
      </c>
      <c r="N30" s="271" t="s">
        <v>168</v>
      </c>
      <c r="O30" s="271" t="s">
        <v>1122</v>
      </c>
      <c r="P30" s="271"/>
      <c r="Q30" s="271">
        <v>0</v>
      </c>
    </row>
    <row r="31" spans="1:17" ht="15">
      <c r="A31" s="332" t="s">
        <v>1126</v>
      </c>
      <c r="B31" s="271" t="s">
        <v>952</v>
      </c>
      <c r="C31" s="271" t="s">
        <v>951</v>
      </c>
      <c r="D31" s="271" t="s">
        <v>165</v>
      </c>
      <c r="E31" s="271" t="s">
        <v>885</v>
      </c>
      <c r="F31" s="271" t="s">
        <v>309</v>
      </c>
      <c r="G31" s="272" t="s">
        <v>1119</v>
      </c>
      <c r="H31" s="272" t="s">
        <v>1119</v>
      </c>
      <c r="I31" s="272" t="s">
        <v>1112</v>
      </c>
      <c r="J31" s="272" t="s">
        <v>1112</v>
      </c>
      <c r="K31" s="271" t="s">
        <v>232</v>
      </c>
      <c r="L31" s="273">
        <v>0</v>
      </c>
      <c r="M31" s="271" t="s">
        <v>1090</v>
      </c>
      <c r="N31" s="271" t="s">
        <v>168</v>
      </c>
      <c r="O31" s="271" t="s">
        <v>1097</v>
      </c>
      <c r="P31" s="271"/>
      <c r="Q31" s="271">
        <v>0</v>
      </c>
    </row>
    <row r="32" spans="1:17" ht="15" hidden="1">
      <c r="A32" s="332" t="s">
        <v>1127</v>
      </c>
      <c r="B32" s="271" t="s">
        <v>952</v>
      </c>
      <c r="C32" s="271" t="s">
        <v>1128</v>
      </c>
      <c r="D32" s="271" t="s">
        <v>137</v>
      </c>
      <c r="E32" s="271"/>
      <c r="F32" s="271" t="s">
        <v>309</v>
      </c>
      <c r="G32" s="272" t="s">
        <v>1119</v>
      </c>
      <c r="H32" s="272" t="s">
        <v>1119</v>
      </c>
      <c r="I32" s="272" t="s">
        <v>1112</v>
      </c>
      <c r="J32" s="272" t="s">
        <v>1112</v>
      </c>
      <c r="K32" s="271" t="s">
        <v>232</v>
      </c>
      <c r="L32" s="273">
        <v>3000</v>
      </c>
      <c r="M32" s="271" t="s">
        <v>1088</v>
      </c>
      <c r="N32" s="271" t="s">
        <v>695</v>
      </c>
      <c r="O32" s="271" t="s">
        <v>168</v>
      </c>
      <c r="P32" s="271"/>
      <c r="Q32" s="271">
        <v>-108</v>
      </c>
    </row>
    <row r="33" spans="1:17" ht="15" hidden="1">
      <c r="A33" s="332" t="s">
        <v>1129</v>
      </c>
      <c r="B33" s="271" t="s">
        <v>949</v>
      </c>
      <c r="C33" s="271" t="s">
        <v>950</v>
      </c>
      <c r="D33" s="271" t="s">
        <v>165</v>
      </c>
      <c r="E33" s="271" t="s">
        <v>115</v>
      </c>
      <c r="F33" s="271" t="s">
        <v>1130</v>
      </c>
      <c r="G33" s="272" t="s">
        <v>1131</v>
      </c>
      <c r="H33" s="272" t="s">
        <v>1131</v>
      </c>
      <c r="I33" s="272" t="s">
        <v>1119</v>
      </c>
      <c r="J33" s="272" t="s">
        <v>1119</v>
      </c>
      <c r="K33" s="271" t="s">
        <v>232</v>
      </c>
      <c r="L33" s="273">
        <v>20300</v>
      </c>
      <c r="M33" s="271" t="s">
        <v>1088</v>
      </c>
      <c r="N33" s="271" t="s">
        <v>695</v>
      </c>
      <c r="O33" s="271" t="s">
        <v>168</v>
      </c>
      <c r="P33" s="271"/>
      <c r="Q33" s="271">
        <v>-736</v>
      </c>
    </row>
    <row r="34" spans="1:17" ht="15">
      <c r="A34" s="332" t="s">
        <v>1132</v>
      </c>
      <c r="B34" s="271" t="s">
        <v>949</v>
      </c>
      <c r="C34" s="271" t="s">
        <v>950</v>
      </c>
      <c r="D34" s="271" t="s">
        <v>165</v>
      </c>
      <c r="E34" s="271" t="s">
        <v>115</v>
      </c>
      <c r="F34" s="271" t="s">
        <v>1130</v>
      </c>
      <c r="G34" s="272" t="s">
        <v>1131</v>
      </c>
      <c r="H34" s="272" t="s">
        <v>1131</v>
      </c>
      <c r="I34" s="272" t="s">
        <v>1119</v>
      </c>
      <c r="J34" s="272" t="s">
        <v>1119</v>
      </c>
      <c r="K34" s="271" t="s">
        <v>232</v>
      </c>
      <c r="L34" s="273">
        <v>20300</v>
      </c>
      <c r="M34" s="271" t="s">
        <v>1090</v>
      </c>
      <c r="N34" s="271" t="s">
        <v>168</v>
      </c>
      <c r="O34" s="271" t="s">
        <v>1091</v>
      </c>
      <c r="P34" s="271"/>
      <c r="Q34" s="271">
        <v>-609</v>
      </c>
    </row>
    <row r="35" spans="1:17" ht="15" hidden="1">
      <c r="A35" s="332" t="s">
        <v>1133</v>
      </c>
      <c r="B35" s="271" t="s">
        <v>949</v>
      </c>
      <c r="C35" s="271" t="s">
        <v>948</v>
      </c>
      <c r="D35" s="271" t="s">
        <v>165</v>
      </c>
      <c r="E35" s="271" t="s">
        <v>885</v>
      </c>
      <c r="F35" s="271" t="s">
        <v>1130</v>
      </c>
      <c r="G35" s="272" t="s">
        <v>1131</v>
      </c>
      <c r="H35" s="272" t="s">
        <v>1131</v>
      </c>
      <c r="I35" s="272" t="s">
        <v>1119</v>
      </c>
      <c r="J35" s="272" t="s">
        <v>1119</v>
      </c>
      <c r="K35" s="271" t="s">
        <v>232</v>
      </c>
      <c r="L35" s="273">
        <v>0</v>
      </c>
      <c r="M35" s="271" t="s">
        <v>1088</v>
      </c>
      <c r="N35" s="271" t="s">
        <v>695</v>
      </c>
      <c r="O35" s="271" t="s">
        <v>168</v>
      </c>
      <c r="P35" s="271"/>
      <c r="Q35" s="271">
        <v>0</v>
      </c>
    </row>
    <row r="36" spans="1:17" ht="15">
      <c r="A36" s="332" t="s">
        <v>1134</v>
      </c>
      <c r="B36" s="271" t="s">
        <v>949</v>
      </c>
      <c r="C36" s="271" t="s">
        <v>948</v>
      </c>
      <c r="D36" s="271" t="s">
        <v>165</v>
      </c>
      <c r="E36" s="271" t="s">
        <v>885</v>
      </c>
      <c r="F36" s="271" t="s">
        <v>1130</v>
      </c>
      <c r="G36" s="272" t="s">
        <v>1131</v>
      </c>
      <c r="H36" s="272" t="s">
        <v>1131</v>
      </c>
      <c r="I36" s="272" t="s">
        <v>1119</v>
      </c>
      <c r="J36" s="272" t="s">
        <v>1119</v>
      </c>
      <c r="K36" s="271" t="s">
        <v>232</v>
      </c>
      <c r="L36" s="273">
        <v>0</v>
      </c>
      <c r="M36" s="271" t="s">
        <v>1090</v>
      </c>
      <c r="N36" s="271" t="s">
        <v>168</v>
      </c>
      <c r="O36" s="271" t="s">
        <v>1091</v>
      </c>
      <c r="P36" s="271"/>
      <c r="Q36" s="271">
        <v>0</v>
      </c>
    </row>
    <row r="37" spans="1:17" ht="15" hidden="1">
      <c r="A37" s="332" t="s">
        <v>1135</v>
      </c>
      <c r="B37" s="271" t="s">
        <v>949</v>
      </c>
      <c r="C37" s="271" t="s">
        <v>1136</v>
      </c>
      <c r="D37" s="271" t="s">
        <v>137</v>
      </c>
      <c r="E37" s="271"/>
      <c r="F37" s="271" t="s">
        <v>1130</v>
      </c>
      <c r="G37" s="272" t="s">
        <v>1131</v>
      </c>
      <c r="H37" s="272" t="s">
        <v>1131</v>
      </c>
      <c r="I37" s="272" t="s">
        <v>1119</v>
      </c>
      <c r="J37" s="272" t="s">
        <v>1119</v>
      </c>
      <c r="K37" s="271" t="s">
        <v>232</v>
      </c>
      <c r="L37" s="273">
        <v>3000</v>
      </c>
      <c r="M37" s="271" t="s">
        <v>1088</v>
      </c>
      <c r="N37" s="271" t="s">
        <v>695</v>
      </c>
      <c r="O37" s="271" t="s">
        <v>168</v>
      </c>
      <c r="P37" s="271"/>
      <c r="Q37" s="271">
        <v>-108</v>
      </c>
    </row>
    <row r="38" spans="1:17" ht="15" hidden="1">
      <c r="A38" s="332" t="s">
        <v>1137</v>
      </c>
      <c r="B38" s="271" t="s">
        <v>943</v>
      </c>
      <c r="C38" s="271" t="s">
        <v>944</v>
      </c>
      <c r="D38" s="271" t="s">
        <v>165</v>
      </c>
      <c r="E38" s="271" t="s">
        <v>905</v>
      </c>
      <c r="F38" s="271" t="s">
        <v>1138</v>
      </c>
      <c r="G38" s="272" t="s">
        <v>1131</v>
      </c>
      <c r="H38" s="272" t="s">
        <v>1131</v>
      </c>
      <c r="I38" s="272" t="s">
        <v>1119</v>
      </c>
      <c r="J38" s="272" t="s">
        <v>1119</v>
      </c>
      <c r="K38" s="271" t="s">
        <v>232</v>
      </c>
      <c r="L38" s="273">
        <v>20200</v>
      </c>
      <c r="M38" s="271" t="s">
        <v>1088</v>
      </c>
      <c r="N38" s="271" t="s">
        <v>1089</v>
      </c>
      <c r="O38" s="271" t="s">
        <v>168</v>
      </c>
      <c r="P38" s="271"/>
      <c r="Q38" s="271">
        <v>-733</v>
      </c>
    </row>
    <row r="39" spans="1:17" ht="15">
      <c r="A39" s="332" t="s">
        <v>1139</v>
      </c>
      <c r="B39" s="271" t="s">
        <v>943</v>
      </c>
      <c r="C39" s="271" t="s">
        <v>944</v>
      </c>
      <c r="D39" s="271" t="s">
        <v>165</v>
      </c>
      <c r="E39" s="271" t="s">
        <v>905</v>
      </c>
      <c r="F39" s="271" t="s">
        <v>1138</v>
      </c>
      <c r="G39" s="272" t="s">
        <v>1131</v>
      </c>
      <c r="H39" s="272" t="s">
        <v>1131</v>
      </c>
      <c r="I39" s="272" t="s">
        <v>1119</v>
      </c>
      <c r="J39" s="272" t="s">
        <v>1119</v>
      </c>
      <c r="K39" s="271" t="s">
        <v>232</v>
      </c>
      <c r="L39" s="273">
        <v>20200</v>
      </c>
      <c r="M39" s="271" t="s">
        <v>1090</v>
      </c>
      <c r="N39" s="271" t="s">
        <v>168</v>
      </c>
      <c r="O39" s="271" t="s">
        <v>1091</v>
      </c>
      <c r="P39" s="271"/>
      <c r="Q39" s="271">
        <v>-606</v>
      </c>
    </row>
    <row r="40" spans="1:17" ht="15" hidden="1">
      <c r="A40" s="332" t="s">
        <v>1140</v>
      </c>
      <c r="B40" s="271" t="s">
        <v>943</v>
      </c>
      <c r="C40" s="271" t="s">
        <v>942</v>
      </c>
      <c r="D40" s="271" t="s">
        <v>165</v>
      </c>
      <c r="E40" s="271" t="s">
        <v>885</v>
      </c>
      <c r="F40" s="271" t="s">
        <v>1138</v>
      </c>
      <c r="G40" s="272" t="s">
        <v>1131</v>
      </c>
      <c r="H40" s="272" t="s">
        <v>1131</v>
      </c>
      <c r="I40" s="272" t="s">
        <v>1119</v>
      </c>
      <c r="J40" s="272" t="s">
        <v>1119</v>
      </c>
      <c r="K40" s="271" t="s">
        <v>232</v>
      </c>
      <c r="L40" s="273">
        <v>0</v>
      </c>
      <c r="M40" s="271" t="s">
        <v>1088</v>
      </c>
      <c r="N40" s="271" t="s">
        <v>1089</v>
      </c>
      <c r="O40" s="271" t="s">
        <v>168</v>
      </c>
      <c r="P40" s="271"/>
      <c r="Q40" s="271">
        <v>0</v>
      </c>
    </row>
    <row r="41" spans="1:17" ht="15">
      <c r="A41" s="332" t="s">
        <v>1141</v>
      </c>
      <c r="B41" s="271" t="s">
        <v>943</v>
      </c>
      <c r="C41" s="271" t="s">
        <v>942</v>
      </c>
      <c r="D41" s="271" t="s">
        <v>165</v>
      </c>
      <c r="E41" s="271" t="s">
        <v>885</v>
      </c>
      <c r="F41" s="271" t="s">
        <v>1138</v>
      </c>
      <c r="G41" s="272" t="s">
        <v>1131</v>
      </c>
      <c r="H41" s="272" t="s">
        <v>1131</v>
      </c>
      <c r="I41" s="272" t="s">
        <v>1119</v>
      </c>
      <c r="J41" s="272" t="s">
        <v>1119</v>
      </c>
      <c r="K41" s="271" t="s">
        <v>232</v>
      </c>
      <c r="L41" s="273">
        <v>0</v>
      </c>
      <c r="M41" s="271" t="s">
        <v>1090</v>
      </c>
      <c r="N41" s="271" t="s">
        <v>168</v>
      </c>
      <c r="O41" s="271" t="s">
        <v>1091</v>
      </c>
      <c r="P41" s="271"/>
      <c r="Q41" s="271">
        <v>0</v>
      </c>
    </row>
    <row r="42" spans="1:17" ht="15" hidden="1">
      <c r="A42" s="332" t="s">
        <v>1142</v>
      </c>
      <c r="B42" s="271" t="s">
        <v>943</v>
      </c>
      <c r="C42" s="271" t="s">
        <v>1143</v>
      </c>
      <c r="D42" s="271" t="s">
        <v>137</v>
      </c>
      <c r="E42" s="271"/>
      <c r="F42" s="271" t="s">
        <v>1138</v>
      </c>
      <c r="G42" s="272" t="s">
        <v>1131</v>
      </c>
      <c r="H42" s="272" t="s">
        <v>1131</v>
      </c>
      <c r="I42" s="272" t="s">
        <v>1119</v>
      </c>
      <c r="J42" s="272" t="s">
        <v>1119</v>
      </c>
      <c r="K42" s="271" t="s">
        <v>232</v>
      </c>
      <c r="L42" s="273">
        <v>3000</v>
      </c>
      <c r="M42" s="271" t="s">
        <v>1088</v>
      </c>
      <c r="N42" s="271" t="s">
        <v>1089</v>
      </c>
      <c r="O42" s="271" t="s">
        <v>168</v>
      </c>
      <c r="P42" s="271"/>
      <c r="Q42" s="271">
        <v>-108</v>
      </c>
    </row>
    <row r="43" spans="1:17" ht="15" hidden="1">
      <c r="A43" s="332" t="s">
        <v>1144</v>
      </c>
      <c r="B43" s="271" t="s">
        <v>946</v>
      </c>
      <c r="C43" s="271" t="s">
        <v>947</v>
      </c>
      <c r="D43" s="271" t="s">
        <v>165</v>
      </c>
      <c r="E43" s="271" t="s">
        <v>905</v>
      </c>
      <c r="F43" s="271" t="s">
        <v>1145</v>
      </c>
      <c r="G43" s="272" t="s">
        <v>1131</v>
      </c>
      <c r="H43" s="272" t="s">
        <v>1131</v>
      </c>
      <c r="I43" s="272" t="s">
        <v>1119</v>
      </c>
      <c r="J43" s="272" t="s">
        <v>1119</v>
      </c>
      <c r="K43" s="271" t="s">
        <v>232</v>
      </c>
      <c r="L43" s="273">
        <v>20200</v>
      </c>
      <c r="M43" s="271" t="s">
        <v>1088</v>
      </c>
      <c r="N43" s="271" t="s">
        <v>1089</v>
      </c>
      <c r="O43" s="271" t="s">
        <v>168</v>
      </c>
      <c r="P43" s="271"/>
      <c r="Q43" s="271">
        <v>-733</v>
      </c>
    </row>
    <row r="44" spans="1:17" ht="15">
      <c r="A44" s="332" t="s">
        <v>1146</v>
      </c>
      <c r="B44" s="271" t="s">
        <v>946</v>
      </c>
      <c r="C44" s="271" t="s">
        <v>947</v>
      </c>
      <c r="D44" s="271" t="s">
        <v>165</v>
      </c>
      <c r="E44" s="271" t="s">
        <v>905</v>
      </c>
      <c r="F44" s="271" t="s">
        <v>1145</v>
      </c>
      <c r="G44" s="272" t="s">
        <v>1131</v>
      </c>
      <c r="H44" s="272" t="s">
        <v>1131</v>
      </c>
      <c r="I44" s="272" t="s">
        <v>1119</v>
      </c>
      <c r="J44" s="272" t="s">
        <v>1119</v>
      </c>
      <c r="K44" s="271" t="s">
        <v>232</v>
      </c>
      <c r="L44" s="273">
        <v>20200</v>
      </c>
      <c r="M44" s="271" t="s">
        <v>1090</v>
      </c>
      <c r="N44" s="271" t="s">
        <v>168</v>
      </c>
      <c r="O44" s="271" t="s">
        <v>1091</v>
      </c>
      <c r="P44" s="271"/>
      <c r="Q44" s="271">
        <v>-606</v>
      </c>
    </row>
    <row r="45" spans="1:17" ht="15" hidden="1">
      <c r="A45" s="332" t="s">
        <v>1147</v>
      </c>
      <c r="B45" s="271" t="s">
        <v>946</v>
      </c>
      <c r="C45" s="271" t="s">
        <v>945</v>
      </c>
      <c r="D45" s="271" t="s">
        <v>165</v>
      </c>
      <c r="E45" s="271" t="s">
        <v>885</v>
      </c>
      <c r="F45" s="271" t="s">
        <v>1145</v>
      </c>
      <c r="G45" s="272" t="s">
        <v>1131</v>
      </c>
      <c r="H45" s="272" t="s">
        <v>1131</v>
      </c>
      <c r="I45" s="272" t="s">
        <v>1119</v>
      </c>
      <c r="J45" s="272" t="s">
        <v>1119</v>
      </c>
      <c r="K45" s="271" t="s">
        <v>232</v>
      </c>
      <c r="L45" s="273">
        <v>0</v>
      </c>
      <c r="M45" s="271" t="s">
        <v>1088</v>
      </c>
      <c r="N45" s="271" t="s">
        <v>1089</v>
      </c>
      <c r="O45" s="271" t="s">
        <v>168</v>
      </c>
      <c r="P45" s="271"/>
      <c r="Q45" s="271">
        <v>0</v>
      </c>
    </row>
    <row r="46" spans="1:17" ht="15">
      <c r="A46" s="332" t="s">
        <v>1148</v>
      </c>
      <c r="B46" s="271" t="s">
        <v>946</v>
      </c>
      <c r="C46" s="271" t="s">
        <v>945</v>
      </c>
      <c r="D46" s="271" t="s">
        <v>165</v>
      </c>
      <c r="E46" s="271" t="s">
        <v>885</v>
      </c>
      <c r="F46" s="271" t="s">
        <v>1145</v>
      </c>
      <c r="G46" s="272" t="s">
        <v>1131</v>
      </c>
      <c r="H46" s="272" t="s">
        <v>1131</v>
      </c>
      <c r="I46" s="272" t="s">
        <v>1119</v>
      </c>
      <c r="J46" s="272" t="s">
        <v>1119</v>
      </c>
      <c r="K46" s="271" t="s">
        <v>232</v>
      </c>
      <c r="L46" s="273">
        <v>0</v>
      </c>
      <c r="M46" s="271" t="s">
        <v>1090</v>
      </c>
      <c r="N46" s="271" t="s">
        <v>168</v>
      </c>
      <c r="O46" s="271" t="s">
        <v>1091</v>
      </c>
      <c r="P46" s="271"/>
      <c r="Q46" s="271">
        <v>0</v>
      </c>
    </row>
    <row r="47" spans="1:17" ht="15" hidden="1">
      <c r="A47" s="332" t="s">
        <v>1149</v>
      </c>
      <c r="B47" s="271" t="s">
        <v>946</v>
      </c>
      <c r="C47" s="271" t="s">
        <v>1150</v>
      </c>
      <c r="D47" s="271" t="s">
        <v>137</v>
      </c>
      <c r="E47" s="271"/>
      <c r="F47" s="271" t="s">
        <v>1145</v>
      </c>
      <c r="G47" s="272" t="s">
        <v>1131</v>
      </c>
      <c r="H47" s="272" t="s">
        <v>1131</v>
      </c>
      <c r="I47" s="272" t="s">
        <v>1119</v>
      </c>
      <c r="J47" s="272" t="s">
        <v>1119</v>
      </c>
      <c r="K47" s="271" t="s">
        <v>232</v>
      </c>
      <c r="L47" s="273">
        <v>3000</v>
      </c>
      <c r="M47" s="271" t="s">
        <v>1088</v>
      </c>
      <c r="N47" s="271" t="s">
        <v>1089</v>
      </c>
      <c r="O47" s="271" t="s">
        <v>168</v>
      </c>
      <c r="P47" s="271"/>
      <c r="Q47" s="271">
        <v>-108</v>
      </c>
    </row>
    <row r="48" spans="1:17" ht="15" hidden="1">
      <c r="A48" s="332" t="s">
        <v>1151</v>
      </c>
      <c r="B48" s="271" t="s">
        <v>940</v>
      </c>
      <c r="C48" s="271" t="s">
        <v>939</v>
      </c>
      <c r="D48" s="271" t="s">
        <v>165</v>
      </c>
      <c r="E48" s="271" t="s">
        <v>941</v>
      </c>
      <c r="F48" s="271" t="s">
        <v>1152</v>
      </c>
      <c r="G48" s="272" t="s">
        <v>1131</v>
      </c>
      <c r="H48" s="272" t="s">
        <v>1131</v>
      </c>
      <c r="I48" s="272" t="s">
        <v>1153</v>
      </c>
      <c r="J48" s="272" t="s">
        <v>1153</v>
      </c>
      <c r="K48" s="271" t="s">
        <v>232</v>
      </c>
      <c r="L48" s="273">
        <v>2736</v>
      </c>
      <c r="M48" s="271" t="s">
        <v>1088</v>
      </c>
      <c r="N48" s="271" t="s">
        <v>1089</v>
      </c>
      <c r="O48" s="271" t="s">
        <v>168</v>
      </c>
      <c r="P48" s="271"/>
      <c r="Q48" s="271">
        <v>-99</v>
      </c>
    </row>
    <row r="49" spans="1:17" ht="15" hidden="1">
      <c r="A49" s="332" t="s">
        <v>1154</v>
      </c>
      <c r="B49" s="271" t="s">
        <v>940</v>
      </c>
      <c r="C49" s="271" t="s">
        <v>939</v>
      </c>
      <c r="D49" s="271" t="s">
        <v>165</v>
      </c>
      <c r="E49" s="271" t="s">
        <v>941</v>
      </c>
      <c r="F49" s="271" t="s">
        <v>1152</v>
      </c>
      <c r="G49" s="272" t="s">
        <v>1131</v>
      </c>
      <c r="H49" s="272" t="s">
        <v>1131</v>
      </c>
      <c r="I49" s="272" t="s">
        <v>1153</v>
      </c>
      <c r="J49" s="272" t="s">
        <v>1153</v>
      </c>
      <c r="K49" s="271" t="s">
        <v>232</v>
      </c>
      <c r="L49" s="273">
        <v>24164</v>
      </c>
      <c r="M49" s="271" t="s">
        <v>1088</v>
      </c>
      <c r="N49" s="271" t="s">
        <v>1155</v>
      </c>
      <c r="O49" s="271" t="s">
        <v>168</v>
      </c>
      <c r="P49" s="271"/>
      <c r="Q49" s="271">
        <v>-877</v>
      </c>
    </row>
    <row r="50" spans="1:17" ht="15">
      <c r="A50" s="332" t="s">
        <v>1156</v>
      </c>
      <c r="B50" s="271" t="s">
        <v>940</v>
      </c>
      <c r="C50" s="271" t="s">
        <v>939</v>
      </c>
      <c r="D50" s="271" t="s">
        <v>165</v>
      </c>
      <c r="E50" s="271" t="s">
        <v>941</v>
      </c>
      <c r="F50" s="271" t="s">
        <v>1152</v>
      </c>
      <c r="G50" s="272" t="s">
        <v>1131</v>
      </c>
      <c r="H50" s="272" t="s">
        <v>1131</v>
      </c>
      <c r="I50" s="272" t="s">
        <v>1153</v>
      </c>
      <c r="J50" s="272" t="s">
        <v>1153</v>
      </c>
      <c r="K50" s="271" t="s">
        <v>232</v>
      </c>
      <c r="L50" s="273">
        <v>26900</v>
      </c>
      <c r="M50" s="271" t="s">
        <v>1090</v>
      </c>
      <c r="N50" s="271" t="s">
        <v>168</v>
      </c>
      <c r="O50" s="271" t="s">
        <v>1097</v>
      </c>
      <c r="P50" s="271"/>
      <c r="Q50" s="271">
        <v>-269</v>
      </c>
    </row>
    <row r="51" spans="1:17" ht="15" hidden="1">
      <c r="A51" s="332" t="s">
        <v>1157</v>
      </c>
      <c r="B51" s="271" t="s">
        <v>940</v>
      </c>
      <c r="C51" s="271" t="s">
        <v>1158</v>
      </c>
      <c r="D51" s="271" t="s">
        <v>137</v>
      </c>
      <c r="E51" s="271"/>
      <c r="F51" s="271" t="s">
        <v>1152</v>
      </c>
      <c r="G51" s="272" t="s">
        <v>1131</v>
      </c>
      <c r="H51" s="272" t="s">
        <v>1131</v>
      </c>
      <c r="I51" s="272" t="s">
        <v>1153</v>
      </c>
      <c r="J51" s="272" t="s">
        <v>1153</v>
      </c>
      <c r="K51" s="271" t="s">
        <v>232</v>
      </c>
      <c r="L51" s="273">
        <v>305</v>
      </c>
      <c r="M51" s="271" t="s">
        <v>1088</v>
      </c>
      <c r="N51" s="271" t="s">
        <v>1089</v>
      </c>
      <c r="O51" s="271" t="s">
        <v>168</v>
      </c>
      <c r="P51" s="271"/>
      <c r="Q51" s="271">
        <v>-11</v>
      </c>
    </row>
    <row r="52" spans="1:17" ht="15" hidden="1">
      <c r="A52" s="332" t="s">
        <v>1159</v>
      </c>
      <c r="B52" s="271" t="s">
        <v>940</v>
      </c>
      <c r="C52" s="271" t="s">
        <v>1158</v>
      </c>
      <c r="D52" s="271" t="s">
        <v>137</v>
      </c>
      <c r="E52" s="271"/>
      <c r="F52" s="271" t="s">
        <v>1152</v>
      </c>
      <c r="G52" s="272" t="s">
        <v>1131</v>
      </c>
      <c r="H52" s="272" t="s">
        <v>1131</v>
      </c>
      <c r="I52" s="272" t="s">
        <v>1153</v>
      </c>
      <c r="J52" s="272" t="s">
        <v>1153</v>
      </c>
      <c r="K52" s="271" t="s">
        <v>232</v>
      </c>
      <c r="L52" s="273">
        <v>2695</v>
      </c>
      <c r="M52" s="271" t="s">
        <v>1088</v>
      </c>
      <c r="N52" s="271" t="s">
        <v>1155</v>
      </c>
      <c r="O52" s="271" t="s">
        <v>168</v>
      </c>
      <c r="P52" s="271"/>
      <c r="Q52" s="271">
        <v>-97</v>
      </c>
    </row>
    <row r="53" spans="1:17" ht="15" hidden="1">
      <c r="A53" s="332" t="s">
        <v>1160</v>
      </c>
      <c r="B53" s="271" t="s">
        <v>937</v>
      </c>
      <c r="C53" s="271" t="s">
        <v>938</v>
      </c>
      <c r="D53" s="271" t="s">
        <v>165</v>
      </c>
      <c r="E53" s="271" t="s">
        <v>905</v>
      </c>
      <c r="F53" s="271" t="s">
        <v>1161</v>
      </c>
      <c r="G53" s="272" t="s">
        <v>1131</v>
      </c>
      <c r="H53" s="272" t="s">
        <v>1131</v>
      </c>
      <c r="I53" s="272" t="s">
        <v>1153</v>
      </c>
      <c r="J53" s="272" t="s">
        <v>1153</v>
      </c>
      <c r="K53" s="271" t="s">
        <v>232</v>
      </c>
      <c r="L53" s="273">
        <v>20026</v>
      </c>
      <c r="M53" s="271" t="s">
        <v>1088</v>
      </c>
      <c r="N53" s="271" t="s">
        <v>695</v>
      </c>
      <c r="O53" s="271" t="s">
        <v>168</v>
      </c>
      <c r="P53" s="271"/>
      <c r="Q53" s="271">
        <v>-726</v>
      </c>
    </row>
    <row r="54" spans="1:17" ht="15" hidden="1">
      <c r="A54" s="332" t="s">
        <v>1162</v>
      </c>
      <c r="B54" s="271" t="s">
        <v>937</v>
      </c>
      <c r="C54" s="271" t="s">
        <v>938</v>
      </c>
      <c r="D54" s="271" t="s">
        <v>165</v>
      </c>
      <c r="E54" s="271" t="s">
        <v>905</v>
      </c>
      <c r="F54" s="271" t="s">
        <v>1161</v>
      </c>
      <c r="G54" s="272" t="s">
        <v>1131</v>
      </c>
      <c r="H54" s="272" t="s">
        <v>1131</v>
      </c>
      <c r="I54" s="272" t="s">
        <v>1153</v>
      </c>
      <c r="J54" s="272" t="s">
        <v>1153</v>
      </c>
      <c r="K54" s="271" t="s">
        <v>232</v>
      </c>
      <c r="L54" s="273">
        <v>174</v>
      </c>
      <c r="M54" s="271" t="s">
        <v>1088</v>
      </c>
      <c r="N54" s="271" t="s">
        <v>1089</v>
      </c>
      <c r="O54" s="271" t="s">
        <v>168</v>
      </c>
      <c r="P54" s="271"/>
      <c r="Q54" s="271">
        <v>-6</v>
      </c>
    </row>
    <row r="55" spans="1:17" ht="15">
      <c r="A55" s="332" t="s">
        <v>1163</v>
      </c>
      <c r="B55" s="271" t="s">
        <v>937</v>
      </c>
      <c r="C55" s="271" t="s">
        <v>938</v>
      </c>
      <c r="D55" s="271" t="s">
        <v>165</v>
      </c>
      <c r="E55" s="271" t="s">
        <v>905</v>
      </c>
      <c r="F55" s="271" t="s">
        <v>1161</v>
      </c>
      <c r="G55" s="272" t="s">
        <v>1131</v>
      </c>
      <c r="H55" s="272" t="s">
        <v>1131</v>
      </c>
      <c r="I55" s="272" t="s">
        <v>1153</v>
      </c>
      <c r="J55" s="272" t="s">
        <v>1153</v>
      </c>
      <c r="K55" s="271" t="s">
        <v>232</v>
      </c>
      <c r="L55" s="273">
        <v>20200</v>
      </c>
      <c r="M55" s="271" t="s">
        <v>1090</v>
      </c>
      <c r="N55" s="271" t="s">
        <v>168</v>
      </c>
      <c r="O55" s="271" t="s">
        <v>1091</v>
      </c>
      <c r="P55" s="271"/>
      <c r="Q55" s="271">
        <v>-606</v>
      </c>
    </row>
    <row r="56" spans="1:17" ht="15" hidden="1">
      <c r="A56" s="332" t="s">
        <v>1164</v>
      </c>
      <c r="B56" s="271" t="s">
        <v>937</v>
      </c>
      <c r="C56" s="271" t="s">
        <v>936</v>
      </c>
      <c r="D56" s="271" t="s">
        <v>165</v>
      </c>
      <c r="E56" s="271" t="s">
        <v>885</v>
      </c>
      <c r="F56" s="271" t="s">
        <v>1161</v>
      </c>
      <c r="G56" s="272" t="s">
        <v>1131</v>
      </c>
      <c r="H56" s="272" t="s">
        <v>1131</v>
      </c>
      <c r="I56" s="272" t="s">
        <v>1153</v>
      </c>
      <c r="J56" s="272" t="s">
        <v>1153</v>
      </c>
      <c r="K56" s="271" t="s">
        <v>232</v>
      </c>
      <c r="L56" s="273">
        <v>0</v>
      </c>
      <c r="M56" s="271" t="s">
        <v>1088</v>
      </c>
      <c r="N56" s="271" t="s">
        <v>695</v>
      </c>
      <c r="O56" s="271" t="s">
        <v>168</v>
      </c>
      <c r="P56" s="271"/>
      <c r="Q56" s="271">
        <v>0</v>
      </c>
    </row>
    <row r="57" spans="1:17" ht="15" hidden="1">
      <c r="A57" s="332" t="s">
        <v>1165</v>
      </c>
      <c r="B57" s="271" t="s">
        <v>937</v>
      </c>
      <c r="C57" s="271" t="s">
        <v>936</v>
      </c>
      <c r="D57" s="271" t="s">
        <v>165</v>
      </c>
      <c r="E57" s="271" t="s">
        <v>885</v>
      </c>
      <c r="F57" s="271" t="s">
        <v>1161</v>
      </c>
      <c r="G57" s="272" t="s">
        <v>1131</v>
      </c>
      <c r="H57" s="272" t="s">
        <v>1131</v>
      </c>
      <c r="I57" s="272" t="s">
        <v>1153</v>
      </c>
      <c r="J57" s="272" t="s">
        <v>1153</v>
      </c>
      <c r="K57" s="271" t="s">
        <v>232</v>
      </c>
      <c r="L57" s="273">
        <v>0</v>
      </c>
      <c r="M57" s="271" t="s">
        <v>1088</v>
      </c>
      <c r="N57" s="271" t="s">
        <v>1089</v>
      </c>
      <c r="O57" s="271" t="s">
        <v>168</v>
      </c>
      <c r="P57" s="271"/>
      <c r="Q57" s="271">
        <v>0</v>
      </c>
    </row>
    <row r="58" spans="1:17" ht="15">
      <c r="A58" s="332" t="s">
        <v>1166</v>
      </c>
      <c r="B58" s="271" t="s">
        <v>937</v>
      </c>
      <c r="C58" s="271" t="s">
        <v>936</v>
      </c>
      <c r="D58" s="271" t="s">
        <v>165</v>
      </c>
      <c r="E58" s="271" t="s">
        <v>885</v>
      </c>
      <c r="F58" s="271" t="s">
        <v>1161</v>
      </c>
      <c r="G58" s="272" t="s">
        <v>1131</v>
      </c>
      <c r="H58" s="272" t="s">
        <v>1131</v>
      </c>
      <c r="I58" s="272" t="s">
        <v>1153</v>
      </c>
      <c r="J58" s="272" t="s">
        <v>1153</v>
      </c>
      <c r="K58" s="271" t="s">
        <v>232</v>
      </c>
      <c r="L58" s="273">
        <v>0</v>
      </c>
      <c r="M58" s="271" t="s">
        <v>1090</v>
      </c>
      <c r="N58" s="271" t="s">
        <v>168</v>
      </c>
      <c r="O58" s="271" t="s">
        <v>1091</v>
      </c>
      <c r="P58" s="271"/>
      <c r="Q58" s="271">
        <v>0</v>
      </c>
    </row>
    <row r="59" spans="1:17" ht="15" hidden="1">
      <c r="A59" s="332" t="s">
        <v>1167</v>
      </c>
      <c r="B59" s="271" t="s">
        <v>937</v>
      </c>
      <c r="C59" s="271" t="s">
        <v>1168</v>
      </c>
      <c r="D59" s="271" t="s">
        <v>137</v>
      </c>
      <c r="E59" s="271"/>
      <c r="F59" s="271" t="s">
        <v>1161</v>
      </c>
      <c r="G59" s="272" t="s">
        <v>1131</v>
      </c>
      <c r="H59" s="272" t="s">
        <v>1131</v>
      </c>
      <c r="I59" s="272" t="s">
        <v>1153</v>
      </c>
      <c r="J59" s="272" t="s">
        <v>1153</v>
      </c>
      <c r="K59" s="271" t="s">
        <v>232</v>
      </c>
      <c r="L59" s="273">
        <v>2974</v>
      </c>
      <c r="M59" s="271" t="s">
        <v>1088</v>
      </c>
      <c r="N59" s="271" t="s">
        <v>695</v>
      </c>
      <c r="O59" s="271" t="s">
        <v>168</v>
      </c>
      <c r="P59" s="271"/>
      <c r="Q59" s="271">
        <v>-107</v>
      </c>
    </row>
    <row r="60" spans="1:17" ht="15" hidden="1">
      <c r="A60" s="332" t="s">
        <v>1169</v>
      </c>
      <c r="B60" s="271" t="s">
        <v>937</v>
      </c>
      <c r="C60" s="271" t="s">
        <v>1168</v>
      </c>
      <c r="D60" s="271" t="s">
        <v>137</v>
      </c>
      <c r="E60" s="271"/>
      <c r="F60" s="271" t="s">
        <v>1161</v>
      </c>
      <c r="G60" s="272" t="s">
        <v>1131</v>
      </c>
      <c r="H60" s="272" t="s">
        <v>1131</v>
      </c>
      <c r="I60" s="272" t="s">
        <v>1153</v>
      </c>
      <c r="J60" s="272" t="s">
        <v>1153</v>
      </c>
      <c r="K60" s="271" t="s">
        <v>232</v>
      </c>
      <c r="L60" s="273">
        <v>26</v>
      </c>
      <c r="M60" s="271" t="s">
        <v>1088</v>
      </c>
      <c r="N60" s="271" t="s">
        <v>1089</v>
      </c>
      <c r="O60" s="271" t="s">
        <v>168</v>
      </c>
      <c r="P60" s="271"/>
      <c r="Q60" s="271">
        <v>0</v>
      </c>
    </row>
    <row r="61" spans="1:17" ht="15" hidden="1">
      <c r="A61" s="332" t="s">
        <v>1170</v>
      </c>
      <c r="B61" s="271" t="s">
        <v>933</v>
      </c>
      <c r="C61" s="271" t="s">
        <v>935</v>
      </c>
      <c r="D61" s="271" t="s">
        <v>165</v>
      </c>
      <c r="E61" s="271" t="s">
        <v>704</v>
      </c>
      <c r="F61" s="271" t="s">
        <v>934</v>
      </c>
      <c r="G61" s="272" t="s">
        <v>1131</v>
      </c>
      <c r="H61" s="272" t="s">
        <v>1131</v>
      </c>
      <c r="I61" s="272" t="s">
        <v>1171</v>
      </c>
      <c r="J61" s="272" t="s">
        <v>1171</v>
      </c>
      <c r="K61" s="271" t="s">
        <v>232</v>
      </c>
      <c r="L61" s="273">
        <v>6800</v>
      </c>
      <c r="M61" s="271" t="s">
        <v>1088</v>
      </c>
      <c r="N61" s="271" t="s">
        <v>1089</v>
      </c>
      <c r="O61" s="271" t="s">
        <v>168</v>
      </c>
      <c r="P61" s="271"/>
      <c r="Q61" s="271">
        <v>-246</v>
      </c>
    </row>
    <row r="62" spans="1:17" ht="15">
      <c r="A62" s="332" t="s">
        <v>1172</v>
      </c>
      <c r="B62" s="271" t="s">
        <v>933</v>
      </c>
      <c r="C62" s="271" t="s">
        <v>935</v>
      </c>
      <c r="D62" s="271" t="s">
        <v>165</v>
      </c>
      <c r="E62" s="271" t="s">
        <v>704</v>
      </c>
      <c r="F62" s="271" t="s">
        <v>934</v>
      </c>
      <c r="G62" s="272" t="s">
        <v>1131</v>
      </c>
      <c r="H62" s="272" t="s">
        <v>1131</v>
      </c>
      <c r="I62" s="272" t="s">
        <v>1171</v>
      </c>
      <c r="J62" s="272" t="s">
        <v>1171</v>
      </c>
      <c r="K62" s="271" t="s">
        <v>232</v>
      </c>
      <c r="L62" s="273">
        <v>6800</v>
      </c>
      <c r="M62" s="271" t="s">
        <v>1090</v>
      </c>
      <c r="N62" s="271" t="s">
        <v>168</v>
      </c>
      <c r="O62" s="271" t="s">
        <v>1091</v>
      </c>
      <c r="P62" s="271"/>
      <c r="Q62" s="271">
        <v>-204</v>
      </c>
    </row>
    <row r="63" spans="1:17" ht="15" hidden="1">
      <c r="A63" s="332" t="s">
        <v>1173</v>
      </c>
      <c r="B63" s="271" t="s">
        <v>933</v>
      </c>
      <c r="C63" s="271" t="s">
        <v>932</v>
      </c>
      <c r="D63" s="271" t="s">
        <v>165</v>
      </c>
      <c r="E63" s="271" t="s">
        <v>885</v>
      </c>
      <c r="F63" s="271" t="s">
        <v>934</v>
      </c>
      <c r="G63" s="272" t="s">
        <v>1131</v>
      </c>
      <c r="H63" s="272" t="s">
        <v>1131</v>
      </c>
      <c r="I63" s="272" t="s">
        <v>1171</v>
      </c>
      <c r="J63" s="272" t="s">
        <v>1171</v>
      </c>
      <c r="K63" s="271" t="s">
        <v>232</v>
      </c>
      <c r="L63" s="273">
        <v>0</v>
      </c>
      <c r="M63" s="271" t="s">
        <v>1088</v>
      </c>
      <c r="N63" s="271" t="s">
        <v>1089</v>
      </c>
      <c r="O63" s="271" t="s">
        <v>168</v>
      </c>
      <c r="P63" s="271"/>
      <c r="Q63" s="271">
        <v>0</v>
      </c>
    </row>
    <row r="64" spans="1:17" ht="15">
      <c r="A64" s="332" t="s">
        <v>1174</v>
      </c>
      <c r="B64" s="271" t="s">
        <v>933</v>
      </c>
      <c r="C64" s="271" t="s">
        <v>932</v>
      </c>
      <c r="D64" s="271" t="s">
        <v>165</v>
      </c>
      <c r="E64" s="271" t="s">
        <v>885</v>
      </c>
      <c r="F64" s="271" t="s">
        <v>934</v>
      </c>
      <c r="G64" s="272" t="s">
        <v>1131</v>
      </c>
      <c r="H64" s="272" t="s">
        <v>1131</v>
      </c>
      <c r="I64" s="272" t="s">
        <v>1171</v>
      </c>
      <c r="J64" s="272" t="s">
        <v>1171</v>
      </c>
      <c r="K64" s="271" t="s">
        <v>232</v>
      </c>
      <c r="L64" s="273">
        <v>0</v>
      </c>
      <c r="M64" s="271" t="s">
        <v>1090</v>
      </c>
      <c r="N64" s="271" t="s">
        <v>168</v>
      </c>
      <c r="O64" s="271" t="s">
        <v>1091</v>
      </c>
      <c r="P64" s="271"/>
      <c r="Q64" s="271">
        <v>0</v>
      </c>
    </row>
    <row r="65" spans="1:17" ht="15" hidden="1">
      <c r="A65" s="332" t="s">
        <v>1175</v>
      </c>
      <c r="B65" s="271" t="s">
        <v>933</v>
      </c>
      <c r="C65" s="271" t="s">
        <v>1176</v>
      </c>
      <c r="D65" s="271" t="s">
        <v>137</v>
      </c>
      <c r="E65" s="271"/>
      <c r="F65" s="271" t="s">
        <v>934</v>
      </c>
      <c r="G65" s="272" t="s">
        <v>1131</v>
      </c>
      <c r="H65" s="272" t="s">
        <v>1131</v>
      </c>
      <c r="I65" s="272" t="s">
        <v>1171</v>
      </c>
      <c r="J65" s="272" t="s">
        <v>1171</v>
      </c>
      <c r="K65" s="271" t="s">
        <v>232</v>
      </c>
      <c r="L65" s="273">
        <v>3000</v>
      </c>
      <c r="M65" s="271" t="s">
        <v>1088</v>
      </c>
      <c r="N65" s="271" t="s">
        <v>1089</v>
      </c>
      <c r="O65" s="271" t="s">
        <v>168</v>
      </c>
      <c r="P65" s="271"/>
      <c r="Q65" s="271">
        <v>-108</v>
      </c>
    </row>
    <row r="66" spans="1:17" ht="15" hidden="1">
      <c r="A66" s="332" t="s">
        <v>1177</v>
      </c>
      <c r="B66" s="271" t="s">
        <v>929</v>
      </c>
      <c r="C66" s="271" t="s">
        <v>931</v>
      </c>
      <c r="D66" s="271" t="s">
        <v>165</v>
      </c>
      <c r="E66" s="271" t="s">
        <v>905</v>
      </c>
      <c r="F66" s="271" t="s">
        <v>930</v>
      </c>
      <c r="G66" s="272" t="s">
        <v>1178</v>
      </c>
      <c r="H66" s="272" t="s">
        <v>1178</v>
      </c>
      <c r="I66" s="272" t="s">
        <v>1179</v>
      </c>
      <c r="J66" s="272" t="s">
        <v>1179</v>
      </c>
      <c r="K66" s="271" t="s">
        <v>232</v>
      </c>
      <c r="L66" s="273">
        <v>20300</v>
      </c>
      <c r="M66" s="271" t="s">
        <v>1088</v>
      </c>
      <c r="N66" s="271" t="s">
        <v>695</v>
      </c>
      <c r="O66" s="271" t="s">
        <v>168</v>
      </c>
      <c r="P66" s="271"/>
      <c r="Q66" s="271">
        <v>-736</v>
      </c>
    </row>
    <row r="67" spans="1:17" ht="15">
      <c r="A67" s="332" t="s">
        <v>1180</v>
      </c>
      <c r="B67" s="271" t="s">
        <v>929</v>
      </c>
      <c r="C67" s="271" t="s">
        <v>931</v>
      </c>
      <c r="D67" s="271" t="s">
        <v>165</v>
      </c>
      <c r="E67" s="271" t="s">
        <v>905</v>
      </c>
      <c r="F67" s="271" t="s">
        <v>930</v>
      </c>
      <c r="G67" s="272" t="s">
        <v>1178</v>
      </c>
      <c r="H67" s="272" t="s">
        <v>1178</v>
      </c>
      <c r="I67" s="272" t="s">
        <v>1179</v>
      </c>
      <c r="J67" s="272" t="s">
        <v>1179</v>
      </c>
      <c r="K67" s="271" t="s">
        <v>232</v>
      </c>
      <c r="L67" s="273">
        <v>20300</v>
      </c>
      <c r="M67" s="271" t="s">
        <v>1090</v>
      </c>
      <c r="N67" s="271" t="s">
        <v>168</v>
      </c>
      <c r="O67" s="271" t="s">
        <v>1097</v>
      </c>
      <c r="P67" s="271"/>
      <c r="Q67" s="271">
        <v>-203</v>
      </c>
    </row>
    <row r="68" spans="1:17" ht="15" hidden="1">
      <c r="A68" s="332" t="s">
        <v>1181</v>
      </c>
      <c r="B68" s="271" t="s">
        <v>929</v>
      </c>
      <c r="C68" s="271" t="s">
        <v>928</v>
      </c>
      <c r="D68" s="271" t="s">
        <v>165</v>
      </c>
      <c r="E68" s="271" t="s">
        <v>885</v>
      </c>
      <c r="F68" s="271" t="s">
        <v>930</v>
      </c>
      <c r="G68" s="272" t="s">
        <v>1178</v>
      </c>
      <c r="H68" s="272" t="s">
        <v>1178</v>
      </c>
      <c r="I68" s="272" t="s">
        <v>1179</v>
      </c>
      <c r="J68" s="272" t="s">
        <v>1179</v>
      </c>
      <c r="K68" s="271" t="s">
        <v>232</v>
      </c>
      <c r="L68" s="273">
        <v>0</v>
      </c>
      <c r="M68" s="271" t="s">
        <v>1088</v>
      </c>
      <c r="N68" s="271" t="s">
        <v>695</v>
      </c>
      <c r="O68" s="271" t="s">
        <v>168</v>
      </c>
      <c r="P68" s="271"/>
      <c r="Q68" s="271">
        <v>0</v>
      </c>
    </row>
    <row r="69" spans="1:17" ht="15">
      <c r="A69" s="332" t="s">
        <v>1182</v>
      </c>
      <c r="B69" s="271" t="s">
        <v>929</v>
      </c>
      <c r="C69" s="271" t="s">
        <v>928</v>
      </c>
      <c r="D69" s="271" t="s">
        <v>165</v>
      </c>
      <c r="E69" s="271" t="s">
        <v>885</v>
      </c>
      <c r="F69" s="271" t="s">
        <v>930</v>
      </c>
      <c r="G69" s="272" t="s">
        <v>1178</v>
      </c>
      <c r="H69" s="272" t="s">
        <v>1178</v>
      </c>
      <c r="I69" s="272" t="s">
        <v>1179</v>
      </c>
      <c r="J69" s="272" t="s">
        <v>1179</v>
      </c>
      <c r="K69" s="271" t="s">
        <v>232</v>
      </c>
      <c r="L69" s="273">
        <v>0</v>
      </c>
      <c r="M69" s="271" t="s">
        <v>1090</v>
      </c>
      <c r="N69" s="271" t="s">
        <v>168</v>
      </c>
      <c r="O69" s="271" t="s">
        <v>1097</v>
      </c>
      <c r="P69" s="271"/>
      <c r="Q69" s="271">
        <v>0</v>
      </c>
    </row>
    <row r="70" spans="1:17" ht="15" hidden="1">
      <c r="A70" s="332" t="s">
        <v>1183</v>
      </c>
      <c r="B70" s="271" t="s">
        <v>929</v>
      </c>
      <c r="C70" s="271" t="s">
        <v>1184</v>
      </c>
      <c r="D70" s="271" t="s">
        <v>137</v>
      </c>
      <c r="E70" s="271"/>
      <c r="F70" s="271" t="s">
        <v>930</v>
      </c>
      <c r="G70" s="272" t="s">
        <v>1178</v>
      </c>
      <c r="H70" s="272" t="s">
        <v>1178</v>
      </c>
      <c r="I70" s="272" t="s">
        <v>1179</v>
      </c>
      <c r="J70" s="272" t="s">
        <v>1179</v>
      </c>
      <c r="K70" s="271" t="s">
        <v>232</v>
      </c>
      <c r="L70" s="273">
        <v>3000</v>
      </c>
      <c r="M70" s="271" t="s">
        <v>1088</v>
      </c>
      <c r="N70" s="271" t="s">
        <v>695</v>
      </c>
      <c r="O70" s="271" t="s">
        <v>168</v>
      </c>
      <c r="P70" s="271"/>
      <c r="Q70" s="271">
        <v>-108</v>
      </c>
    </row>
    <row r="71" spans="1:17" ht="15" hidden="1">
      <c r="A71" s="332" t="s">
        <v>1185</v>
      </c>
      <c r="B71" s="271" t="s">
        <v>926</v>
      </c>
      <c r="C71" s="271" t="s">
        <v>925</v>
      </c>
      <c r="D71" s="271" t="s">
        <v>165</v>
      </c>
      <c r="E71" s="271" t="s">
        <v>905</v>
      </c>
      <c r="F71" s="271" t="s">
        <v>927</v>
      </c>
      <c r="G71" s="272" t="s">
        <v>1178</v>
      </c>
      <c r="H71" s="272" t="s">
        <v>1178</v>
      </c>
      <c r="I71" s="272" t="s">
        <v>1179</v>
      </c>
      <c r="J71" s="272" t="s">
        <v>1179</v>
      </c>
      <c r="K71" s="271" t="s">
        <v>232</v>
      </c>
      <c r="L71" s="273">
        <v>20300</v>
      </c>
      <c r="M71" s="271" t="s">
        <v>1088</v>
      </c>
      <c r="N71" s="271" t="s">
        <v>695</v>
      </c>
      <c r="O71" s="271" t="s">
        <v>168</v>
      </c>
      <c r="P71" s="271"/>
      <c r="Q71" s="271">
        <v>-736</v>
      </c>
    </row>
    <row r="72" spans="1:17" ht="15">
      <c r="A72" s="332" t="s">
        <v>1186</v>
      </c>
      <c r="B72" s="271" t="s">
        <v>926</v>
      </c>
      <c r="C72" s="271" t="s">
        <v>925</v>
      </c>
      <c r="D72" s="271" t="s">
        <v>165</v>
      </c>
      <c r="E72" s="271" t="s">
        <v>905</v>
      </c>
      <c r="F72" s="271" t="s">
        <v>927</v>
      </c>
      <c r="G72" s="272" t="s">
        <v>1178</v>
      </c>
      <c r="H72" s="272" t="s">
        <v>1178</v>
      </c>
      <c r="I72" s="272" t="s">
        <v>1179</v>
      </c>
      <c r="J72" s="272" t="s">
        <v>1179</v>
      </c>
      <c r="K72" s="271" t="s">
        <v>232</v>
      </c>
      <c r="L72" s="273">
        <v>20300</v>
      </c>
      <c r="M72" s="271" t="s">
        <v>1090</v>
      </c>
      <c r="N72" s="271" t="s">
        <v>168</v>
      </c>
      <c r="O72" s="271" t="s">
        <v>1097</v>
      </c>
      <c r="P72" s="271"/>
      <c r="Q72" s="271">
        <v>-203</v>
      </c>
    </row>
    <row r="73" spans="1:17" ht="15" hidden="1">
      <c r="A73" s="332" t="s">
        <v>1187</v>
      </c>
      <c r="B73" s="271" t="s">
        <v>926</v>
      </c>
      <c r="C73" s="271" t="s">
        <v>1188</v>
      </c>
      <c r="D73" s="271" t="s">
        <v>137</v>
      </c>
      <c r="E73" s="271"/>
      <c r="F73" s="271" t="s">
        <v>927</v>
      </c>
      <c r="G73" s="272" t="s">
        <v>1178</v>
      </c>
      <c r="H73" s="272" t="s">
        <v>1178</v>
      </c>
      <c r="I73" s="272" t="s">
        <v>1179</v>
      </c>
      <c r="J73" s="272" t="s">
        <v>1179</v>
      </c>
      <c r="K73" s="271" t="s">
        <v>232</v>
      </c>
      <c r="L73" s="273">
        <v>3000</v>
      </c>
      <c r="M73" s="271" t="s">
        <v>1088</v>
      </c>
      <c r="N73" s="271" t="s">
        <v>695</v>
      </c>
      <c r="O73" s="271" t="s">
        <v>168</v>
      </c>
      <c r="P73" s="271"/>
      <c r="Q73" s="271">
        <v>-108</v>
      </c>
    </row>
    <row r="74" spans="1:17" ht="15" hidden="1">
      <c r="A74" s="332" t="s">
        <v>1189</v>
      </c>
      <c r="B74" s="271" t="s">
        <v>923</v>
      </c>
      <c r="C74" s="271" t="s">
        <v>922</v>
      </c>
      <c r="D74" s="271" t="s">
        <v>165</v>
      </c>
      <c r="E74" s="271" t="s">
        <v>812</v>
      </c>
      <c r="F74" s="271" t="s">
        <v>924</v>
      </c>
      <c r="G74" s="272" t="s">
        <v>1190</v>
      </c>
      <c r="H74" s="272" t="s">
        <v>1190</v>
      </c>
      <c r="I74" s="272" t="s">
        <v>1178</v>
      </c>
      <c r="J74" s="272" t="s">
        <v>1178</v>
      </c>
      <c r="K74" s="271" t="s">
        <v>232</v>
      </c>
      <c r="L74" s="273">
        <v>990</v>
      </c>
      <c r="M74" s="271" t="s">
        <v>1088</v>
      </c>
      <c r="N74" s="271" t="s">
        <v>695</v>
      </c>
      <c r="O74" s="271" t="s">
        <v>168</v>
      </c>
      <c r="P74" s="271"/>
      <c r="Q74" s="271">
        <v>-35</v>
      </c>
    </row>
    <row r="75" spans="1:17" ht="15">
      <c r="A75" s="332" t="s">
        <v>1191</v>
      </c>
      <c r="B75" s="271" t="s">
        <v>923</v>
      </c>
      <c r="C75" s="271" t="s">
        <v>922</v>
      </c>
      <c r="D75" s="271" t="s">
        <v>165</v>
      </c>
      <c r="E75" s="271" t="s">
        <v>812</v>
      </c>
      <c r="F75" s="271" t="s">
        <v>924</v>
      </c>
      <c r="G75" s="272" t="s">
        <v>1190</v>
      </c>
      <c r="H75" s="272" t="s">
        <v>1190</v>
      </c>
      <c r="I75" s="272" t="s">
        <v>1178</v>
      </c>
      <c r="J75" s="272" t="s">
        <v>1178</v>
      </c>
      <c r="K75" s="271" t="s">
        <v>232</v>
      </c>
      <c r="L75" s="273">
        <v>990</v>
      </c>
      <c r="M75" s="271" t="s">
        <v>1090</v>
      </c>
      <c r="N75" s="271" t="s">
        <v>168</v>
      </c>
      <c r="O75" s="271" t="s">
        <v>1091</v>
      </c>
      <c r="P75" s="271"/>
      <c r="Q75" s="271">
        <v>-29</v>
      </c>
    </row>
    <row r="76" spans="1:17" ht="15" hidden="1">
      <c r="A76" s="332" t="s">
        <v>1192</v>
      </c>
      <c r="B76" s="271" t="s">
        <v>923</v>
      </c>
      <c r="C76" s="271" t="s">
        <v>1193</v>
      </c>
      <c r="D76" s="271" t="s">
        <v>137</v>
      </c>
      <c r="E76" s="271"/>
      <c r="F76" s="271" t="s">
        <v>924</v>
      </c>
      <c r="G76" s="272" t="s">
        <v>1190</v>
      </c>
      <c r="H76" s="272" t="s">
        <v>1190</v>
      </c>
      <c r="I76" s="272" t="s">
        <v>1178</v>
      </c>
      <c r="J76" s="272" t="s">
        <v>1178</v>
      </c>
      <c r="K76" s="271" t="s">
        <v>232</v>
      </c>
      <c r="L76" s="273">
        <v>3000</v>
      </c>
      <c r="M76" s="271" t="s">
        <v>1088</v>
      </c>
      <c r="N76" s="271" t="s">
        <v>695</v>
      </c>
      <c r="O76" s="271" t="s">
        <v>168</v>
      </c>
      <c r="P76" s="271"/>
      <c r="Q76" s="271">
        <v>-108</v>
      </c>
    </row>
    <row r="77" spans="1:17" ht="15" hidden="1">
      <c r="A77" s="332" t="s">
        <v>1194</v>
      </c>
      <c r="B77" s="271" t="s">
        <v>914</v>
      </c>
      <c r="C77" s="271" t="s">
        <v>913</v>
      </c>
      <c r="D77" s="271" t="s">
        <v>165</v>
      </c>
      <c r="E77" s="271" t="s">
        <v>704</v>
      </c>
      <c r="F77" s="271" t="s">
        <v>915</v>
      </c>
      <c r="G77" s="272" t="s">
        <v>1190</v>
      </c>
      <c r="H77" s="272" t="s">
        <v>1190</v>
      </c>
      <c r="I77" s="272" t="s">
        <v>1178</v>
      </c>
      <c r="J77" s="272" t="s">
        <v>1178</v>
      </c>
      <c r="K77" s="271" t="s">
        <v>232</v>
      </c>
      <c r="L77" s="273">
        <v>6800</v>
      </c>
      <c r="M77" s="271" t="s">
        <v>1088</v>
      </c>
      <c r="N77" s="271" t="s">
        <v>695</v>
      </c>
      <c r="O77" s="271" t="s">
        <v>168</v>
      </c>
      <c r="P77" s="271"/>
      <c r="Q77" s="271">
        <v>-246</v>
      </c>
    </row>
    <row r="78" spans="1:17" ht="15">
      <c r="A78" s="332" t="s">
        <v>1195</v>
      </c>
      <c r="B78" s="271" t="s">
        <v>914</v>
      </c>
      <c r="C78" s="271" t="s">
        <v>913</v>
      </c>
      <c r="D78" s="271" t="s">
        <v>165</v>
      </c>
      <c r="E78" s="271" t="s">
        <v>704</v>
      </c>
      <c r="F78" s="271" t="s">
        <v>915</v>
      </c>
      <c r="G78" s="272" t="s">
        <v>1190</v>
      </c>
      <c r="H78" s="272" t="s">
        <v>1190</v>
      </c>
      <c r="I78" s="272" t="s">
        <v>1178</v>
      </c>
      <c r="J78" s="272" t="s">
        <v>1178</v>
      </c>
      <c r="K78" s="271" t="s">
        <v>232</v>
      </c>
      <c r="L78" s="273">
        <v>6800</v>
      </c>
      <c r="M78" s="271" t="s">
        <v>1090</v>
      </c>
      <c r="N78" s="271" t="s">
        <v>168</v>
      </c>
      <c r="O78" s="271" t="s">
        <v>1091</v>
      </c>
      <c r="P78" s="271"/>
      <c r="Q78" s="271">
        <v>-204</v>
      </c>
    </row>
    <row r="79" spans="1:17" ht="15" hidden="1">
      <c r="A79" s="332" t="s">
        <v>1196</v>
      </c>
      <c r="B79" s="271" t="s">
        <v>914</v>
      </c>
      <c r="C79" s="271" t="s">
        <v>1197</v>
      </c>
      <c r="D79" s="271" t="s">
        <v>137</v>
      </c>
      <c r="E79" s="271"/>
      <c r="F79" s="271" t="s">
        <v>915</v>
      </c>
      <c r="G79" s="272" t="s">
        <v>1190</v>
      </c>
      <c r="H79" s="272" t="s">
        <v>1190</v>
      </c>
      <c r="I79" s="272" t="s">
        <v>1178</v>
      </c>
      <c r="J79" s="272" t="s">
        <v>1178</v>
      </c>
      <c r="K79" s="271" t="s">
        <v>232</v>
      </c>
      <c r="L79" s="273">
        <v>3000</v>
      </c>
      <c r="M79" s="271" t="s">
        <v>1088</v>
      </c>
      <c r="N79" s="271" t="s">
        <v>695</v>
      </c>
      <c r="O79" s="271" t="s">
        <v>168</v>
      </c>
      <c r="P79" s="271"/>
      <c r="Q79" s="271">
        <v>-108</v>
      </c>
    </row>
    <row r="80" spans="1:17" ht="15" hidden="1">
      <c r="A80" s="332" t="s">
        <v>1198</v>
      </c>
      <c r="B80" s="271" t="s">
        <v>917</v>
      </c>
      <c r="C80" s="271" t="s">
        <v>916</v>
      </c>
      <c r="D80" s="271" t="s">
        <v>165</v>
      </c>
      <c r="E80" s="271" t="s">
        <v>812</v>
      </c>
      <c r="F80" s="271" t="s">
        <v>918</v>
      </c>
      <c r="G80" s="272" t="s">
        <v>1190</v>
      </c>
      <c r="H80" s="272" t="s">
        <v>1190</v>
      </c>
      <c r="I80" s="272" t="s">
        <v>1178</v>
      </c>
      <c r="J80" s="272" t="s">
        <v>1178</v>
      </c>
      <c r="K80" s="271" t="s">
        <v>232</v>
      </c>
      <c r="L80" s="273">
        <v>990</v>
      </c>
      <c r="M80" s="271" t="s">
        <v>1088</v>
      </c>
      <c r="N80" s="271" t="s">
        <v>695</v>
      </c>
      <c r="O80" s="271" t="s">
        <v>168</v>
      </c>
      <c r="P80" s="271"/>
      <c r="Q80" s="271">
        <v>-35</v>
      </c>
    </row>
    <row r="81" spans="1:17" ht="15">
      <c r="A81" s="332" t="s">
        <v>1199</v>
      </c>
      <c r="B81" s="271" t="s">
        <v>917</v>
      </c>
      <c r="C81" s="271" t="s">
        <v>916</v>
      </c>
      <c r="D81" s="271" t="s">
        <v>165</v>
      </c>
      <c r="E81" s="271" t="s">
        <v>812</v>
      </c>
      <c r="F81" s="271" t="s">
        <v>918</v>
      </c>
      <c r="G81" s="272" t="s">
        <v>1190</v>
      </c>
      <c r="H81" s="272" t="s">
        <v>1190</v>
      </c>
      <c r="I81" s="272" t="s">
        <v>1178</v>
      </c>
      <c r="J81" s="272" t="s">
        <v>1178</v>
      </c>
      <c r="K81" s="271" t="s">
        <v>232</v>
      </c>
      <c r="L81" s="273">
        <v>990</v>
      </c>
      <c r="M81" s="271" t="s">
        <v>1090</v>
      </c>
      <c r="N81" s="271" t="s">
        <v>168</v>
      </c>
      <c r="O81" s="271" t="s">
        <v>1091</v>
      </c>
      <c r="P81" s="271"/>
      <c r="Q81" s="271">
        <v>-29</v>
      </c>
    </row>
    <row r="82" spans="1:17" ht="15" hidden="1">
      <c r="A82" s="332" t="s">
        <v>1200</v>
      </c>
      <c r="B82" s="271" t="s">
        <v>917</v>
      </c>
      <c r="C82" s="271" t="s">
        <v>1201</v>
      </c>
      <c r="D82" s="271" t="s">
        <v>137</v>
      </c>
      <c r="E82" s="271"/>
      <c r="F82" s="271" t="s">
        <v>918</v>
      </c>
      <c r="G82" s="272" t="s">
        <v>1190</v>
      </c>
      <c r="H82" s="272" t="s">
        <v>1190</v>
      </c>
      <c r="I82" s="272" t="s">
        <v>1178</v>
      </c>
      <c r="J82" s="272" t="s">
        <v>1178</v>
      </c>
      <c r="K82" s="271" t="s">
        <v>232</v>
      </c>
      <c r="L82" s="273">
        <v>3000</v>
      </c>
      <c r="M82" s="271" t="s">
        <v>1088</v>
      </c>
      <c r="N82" s="271" t="s">
        <v>695</v>
      </c>
      <c r="O82" s="271" t="s">
        <v>168</v>
      </c>
      <c r="P82" s="271"/>
      <c r="Q82" s="271">
        <v>-108</v>
      </c>
    </row>
    <row r="83" spans="1:17" ht="15" hidden="1">
      <c r="A83" s="332" t="s">
        <v>1202</v>
      </c>
      <c r="B83" s="271" t="s">
        <v>920</v>
      </c>
      <c r="C83" s="271" t="s">
        <v>919</v>
      </c>
      <c r="D83" s="271" t="s">
        <v>165</v>
      </c>
      <c r="E83" s="271" t="s">
        <v>812</v>
      </c>
      <c r="F83" s="271" t="s">
        <v>921</v>
      </c>
      <c r="G83" s="272" t="s">
        <v>1190</v>
      </c>
      <c r="H83" s="272" t="s">
        <v>1190</v>
      </c>
      <c r="I83" s="272" t="s">
        <v>1178</v>
      </c>
      <c r="J83" s="272" t="s">
        <v>1178</v>
      </c>
      <c r="K83" s="271" t="s">
        <v>232</v>
      </c>
      <c r="L83" s="273">
        <v>234</v>
      </c>
      <c r="M83" s="271" t="s">
        <v>1088</v>
      </c>
      <c r="N83" s="271" t="s">
        <v>695</v>
      </c>
      <c r="O83" s="271" t="s">
        <v>168</v>
      </c>
      <c r="P83" s="271"/>
      <c r="Q83" s="271">
        <v>-8</v>
      </c>
    </row>
    <row r="84" spans="1:17" ht="15" hidden="1">
      <c r="A84" s="332" t="s">
        <v>1203</v>
      </c>
      <c r="B84" s="271" t="s">
        <v>920</v>
      </c>
      <c r="C84" s="271" t="s">
        <v>919</v>
      </c>
      <c r="D84" s="271" t="s">
        <v>165</v>
      </c>
      <c r="E84" s="271" t="s">
        <v>812</v>
      </c>
      <c r="F84" s="271" t="s">
        <v>921</v>
      </c>
      <c r="G84" s="272" t="s">
        <v>1190</v>
      </c>
      <c r="H84" s="272" t="s">
        <v>1190</v>
      </c>
      <c r="I84" s="272" t="s">
        <v>1178</v>
      </c>
      <c r="J84" s="272" t="s">
        <v>1178</v>
      </c>
      <c r="K84" s="271" t="s">
        <v>232</v>
      </c>
      <c r="L84" s="273">
        <v>756</v>
      </c>
      <c r="M84" s="271" t="s">
        <v>1088</v>
      </c>
      <c r="N84" s="271" t="s">
        <v>1089</v>
      </c>
      <c r="O84" s="271" t="s">
        <v>168</v>
      </c>
      <c r="P84" s="271"/>
      <c r="Q84" s="271">
        <v>-27</v>
      </c>
    </row>
    <row r="85" spans="1:17" ht="15">
      <c r="A85" s="332" t="s">
        <v>1204</v>
      </c>
      <c r="B85" s="271" t="s">
        <v>920</v>
      </c>
      <c r="C85" s="271" t="s">
        <v>919</v>
      </c>
      <c r="D85" s="271" t="s">
        <v>165</v>
      </c>
      <c r="E85" s="271" t="s">
        <v>812</v>
      </c>
      <c r="F85" s="271" t="s">
        <v>921</v>
      </c>
      <c r="G85" s="272" t="s">
        <v>1190</v>
      </c>
      <c r="H85" s="272" t="s">
        <v>1190</v>
      </c>
      <c r="I85" s="272" t="s">
        <v>1178</v>
      </c>
      <c r="J85" s="272" t="s">
        <v>1178</v>
      </c>
      <c r="K85" s="271" t="s">
        <v>232</v>
      </c>
      <c r="L85" s="273">
        <v>990</v>
      </c>
      <c r="M85" s="271" t="s">
        <v>1090</v>
      </c>
      <c r="N85" s="271" t="s">
        <v>168</v>
      </c>
      <c r="O85" s="271" t="s">
        <v>1091</v>
      </c>
      <c r="P85" s="271"/>
      <c r="Q85" s="271">
        <v>-29</v>
      </c>
    </row>
    <row r="86" spans="1:17" ht="15" hidden="1">
      <c r="A86" s="332" t="s">
        <v>1205</v>
      </c>
      <c r="B86" s="271" t="s">
        <v>920</v>
      </c>
      <c r="C86" s="271" t="s">
        <v>1206</v>
      </c>
      <c r="D86" s="271" t="s">
        <v>137</v>
      </c>
      <c r="E86" s="271"/>
      <c r="F86" s="271" t="s">
        <v>921</v>
      </c>
      <c r="G86" s="272" t="s">
        <v>1190</v>
      </c>
      <c r="H86" s="272" t="s">
        <v>1190</v>
      </c>
      <c r="I86" s="272" t="s">
        <v>1178</v>
      </c>
      <c r="J86" s="272" t="s">
        <v>1178</v>
      </c>
      <c r="K86" s="271" t="s">
        <v>232</v>
      </c>
      <c r="L86" s="273">
        <v>711</v>
      </c>
      <c r="M86" s="271" t="s">
        <v>1088</v>
      </c>
      <c r="N86" s="271" t="s">
        <v>695</v>
      </c>
      <c r="O86" s="271" t="s">
        <v>168</v>
      </c>
      <c r="P86" s="271"/>
      <c r="Q86" s="271">
        <v>-25</v>
      </c>
    </row>
    <row r="87" spans="1:17" ht="15" hidden="1">
      <c r="A87" s="332" t="s">
        <v>1207</v>
      </c>
      <c r="B87" s="271" t="s">
        <v>920</v>
      </c>
      <c r="C87" s="271" t="s">
        <v>1206</v>
      </c>
      <c r="D87" s="271" t="s">
        <v>137</v>
      </c>
      <c r="E87" s="271"/>
      <c r="F87" s="271" t="s">
        <v>921</v>
      </c>
      <c r="G87" s="272" t="s">
        <v>1190</v>
      </c>
      <c r="H87" s="272" t="s">
        <v>1190</v>
      </c>
      <c r="I87" s="272" t="s">
        <v>1178</v>
      </c>
      <c r="J87" s="272" t="s">
        <v>1178</v>
      </c>
      <c r="K87" s="271" t="s">
        <v>232</v>
      </c>
      <c r="L87" s="273">
        <v>2289</v>
      </c>
      <c r="M87" s="271" t="s">
        <v>1088</v>
      </c>
      <c r="N87" s="271" t="s">
        <v>1089</v>
      </c>
      <c r="O87" s="271" t="s">
        <v>168</v>
      </c>
      <c r="P87" s="271"/>
      <c r="Q87" s="271">
        <v>-83</v>
      </c>
    </row>
    <row r="88" spans="1:17" ht="15" hidden="1">
      <c r="A88" s="332" t="s">
        <v>1208</v>
      </c>
      <c r="B88" s="271" t="s">
        <v>907</v>
      </c>
      <c r="C88" s="271" t="s">
        <v>912</v>
      </c>
      <c r="D88" s="271" t="s">
        <v>165</v>
      </c>
      <c r="E88" s="271" t="s">
        <v>812</v>
      </c>
      <c r="F88" s="271" t="s">
        <v>908</v>
      </c>
      <c r="G88" s="272" t="s">
        <v>1190</v>
      </c>
      <c r="H88" s="272" t="s">
        <v>1190</v>
      </c>
      <c r="I88" s="272" t="s">
        <v>1178</v>
      </c>
      <c r="J88" s="272" t="s">
        <v>1178</v>
      </c>
      <c r="K88" s="271" t="s">
        <v>232</v>
      </c>
      <c r="L88" s="273">
        <v>969</v>
      </c>
      <c r="M88" s="271" t="s">
        <v>1088</v>
      </c>
      <c r="N88" s="271" t="s">
        <v>695</v>
      </c>
      <c r="O88" s="271" t="s">
        <v>168</v>
      </c>
      <c r="P88" s="271"/>
      <c r="Q88" s="271">
        <v>-35</v>
      </c>
    </row>
    <row r="89" spans="1:17" ht="15" hidden="1">
      <c r="A89" s="332" t="s">
        <v>1209</v>
      </c>
      <c r="B89" s="271" t="s">
        <v>907</v>
      </c>
      <c r="C89" s="271" t="s">
        <v>912</v>
      </c>
      <c r="D89" s="271" t="s">
        <v>165</v>
      </c>
      <c r="E89" s="271" t="s">
        <v>812</v>
      </c>
      <c r="F89" s="271" t="s">
        <v>908</v>
      </c>
      <c r="G89" s="272" t="s">
        <v>1190</v>
      </c>
      <c r="H89" s="272" t="s">
        <v>1190</v>
      </c>
      <c r="I89" s="272" t="s">
        <v>1178</v>
      </c>
      <c r="J89" s="272" t="s">
        <v>1178</v>
      </c>
      <c r="K89" s="271" t="s">
        <v>232</v>
      </c>
      <c r="L89" s="273">
        <v>21</v>
      </c>
      <c r="M89" s="271" t="s">
        <v>1088</v>
      </c>
      <c r="N89" s="271" t="s">
        <v>1089</v>
      </c>
      <c r="O89" s="271" t="s">
        <v>168</v>
      </c>
      <c r="P89" s="271"/>
      <c r="Q89" s="271">
        <v>0</v>
      </c>
    </row>
    <row r="90" spans="1:17" ht="15">
      <c r="A90" s="332" t="s">
        <v>1210</v>
      </c>
      <c r="B90" s="271" t="s">
        <v>907</v>
      </c>
      <c r="C90" s="271" t="s">
        <v>912</v>
      </c>
      <c r="D90" s="271" t="s">
        <v>165</v>
      </c>
      <c r="E90" s="271" t="s">
        <v>812</v>
      </c>
      <c r="F90" s="271" t="s">
        <v>908</v>
      </c>
      <c r="G90" s="272" t="s">
        <v>1190</v>
      </c>
      <c r="H90" s="272" t="s">
        <v>1190</v>
      </c>
      <c r="I90" s="272" t="s">
        <v>1178</v>
      </c>
      <c r="J90" s="272" t="s">
        <v>1178</v>
      </c>
      <c r="K90" s="271" t="s">
        <v>232</v>
      </c>
      <c r="L90" s="273">
        <v>990</v>
      </c>
      <c r="M90" s="271" t="s">
        <v>1090</v>
      </c>
      <c r="N90" s="271" t="s">
        <v>168</v>
      </c>
      <c r="O90" s="271" t="s">
        <v>1091</v>
      </c>
      <c r="P90" s="271"/>
      <c r="Q90" s="271">
        <v>-29</v>
      </c>
    </row>
    <row r="91" spans="1:17" ht="15" hidden="1">
      <c r="A91" s="332" t="s">
        <v>1211</v>
      </c>
      <c r="B91" s="271" t="s">
        <v>907</v>
      </c>
      <c r="C91" s="271" t="s">
        <v>910</v>
      </c>
      <c r="D91" s="271" t="s">
        <v>165</v>
      </c>
      <c r="E91" s="271" t="s">
        <v>911</v>
      </c>
      <c r="F91" s="271" t="s">
        <v>908</v>
      </c>
      <c r="G91" s="272" t="s">
        <v>1190</v>
      </c>
      <c r="H91" s="272" t="s">
        <v>1190</v>
      </c>
      <c r="I91" s="272" t="s">
        <v>1178</v>
      </c>
      <c r="J91" s="272" t="s">
        <v>1178</v>
      </c>
      <c r="K91" s="271" t="s">
        <v>232</v>
      </c>
      <c r="L91" s="273">
        <v>0</v>
      </c>
      <c r="M91" s="271" t="s">
        <v>1088</v>
      </c>
      <c r="N91" s="271" t="s">
        <v>695</v>
      </c>
      <c r="O91" s="271" t="s">
        <v>168</v>
      </c>
      <c r="P91" s="271"/>
      <c r="Q91" s="271">
        <v>0</v>
      </c>
    </row>
    <row r="92" spans="1:17" ht="15" hidden="1">
      <c r="A92" s="332" t="s">
        <v>1212</v>
      </c>
      <c r="B92" s="271" t="s">
        <v>907</v>
      </c>
      <c r="C92" s="271" t="s">
        <v>910</v>
      </c>
      <c r="D92" s="271" t="s">
        <v>165</v>
      </c>
      <c r="E92" s="271" t="s">
        <v>911</v>
      </c>
      <c r="F92" s="271" t="s">
        <v>908</v>
      </c>
      <c r="G92" s="272" t="s">
        <v>1190</v>
      </c>
      <c r="H92" s="272" t="s">
        <v>1190</v>
      </c>
      <c r="I92" s="272" t="s">
        <v>1178</v>
      </c>
      <c r="J92" s="272" t="s">
        <v>1178</v>
      </c>
      <c r="K92" s="271" t="s">
        <v>232</v>
      </c>
      <c r="L92" s="273">
        <v>0</v>
      </c>
      <c r="M92" s="271" t="s">
        <v>1088</v>
      </c>
      <c r="N92" s="271" t="s">
        <v>1089</v>
      </c>
      <c r="O92" s="271" t="s">
        <v>168</v>
      </c>
      <c r="P92" s="271"/>
      <c r="Q92" s="271">
        <v>0</v>
      </c>
    </row>
    <row r="93" spans="1:17" ht="15">
      <c r="A93" s="332" t="s">
        <v>1213</v>
      </c>
      <c r="B93" s="271" t="s">
        <v>907</v>
      </c>
      <c r="C93" s="271" t="s">
        <v>910</v>
      </c>
      <c r="D93" s="271" t="s">
        <v>165</v>
      </c>
      <c r="E93" s="271" t="s">
        <v>911</v>
      </c>
      <c r="F93" s="271" t="s">
        <v>908</v>
      </c>
      <c r="G93" s="272" t="s">
        <v>1190</v>
      </c>
      <c r="H93" s="272" t="s">
        <v>1190</v>
      </c>
      <c r="I93" s="272" t="s">
        <v>1178</v>
      </c>
      <c r="J93" s="272" t="s">
        <v>1178</v>
      </c>
      <c r="K93" s="271" t="s">
        <v>232</v>
      </c>
      <c r="L93" s="273">
        <v>0</v>
      </c>
      <c r="M93" s="271" t="s">
        <v>1090</v>
      </c>
      <c r="N93" s="271" t="s">
        <v>168</v>
      </c>
      <c r="O93" s="271" t="s">
        <v>1091</v>
      </c>
      <c r="P93" s="271"/>
      <c r="Q93" s="271">
        <v>0</v>
      </c>
    </row>
    <row r="94" spans="1:17" ht="15" hidden="1">
      <c r="A94" s="332" t="s">
        <v>1214</v>
      </c>
      <c r="B94" s="271" t="s">
        <v>907</v>
      </c>
      <c r="C94" s="271" t="s">
        <v>909</v>
      </c>
      <c r="D94" s="271" t="s">
        <v>165</v>
      </c>
      <c r="E94" s="271" t="s">
        <v>742</v>
      </c>
      <c r="F94" s="271" t="s">
        <v>908</v>
      </c>
      <c r="G94" s="272" t="s">
        <v>1190</v>
      </c>
      <c r="H94" s="272" t="s">
        <v>1190</v>
      </c>
      <c r="I94" s="272" t="s">
        <v>1178</v>
      </c>
      <c r="J94" s="272" t="s">
        <v>1178</v>
      </c>
      <c r="K94" s="271" t="s">
        <v>232</v>
      </c>
      <c r="L94" s="273">
        <v>18436</v>
      </c>
      <c r="M94" s="271" t="s">
        <v>1088</v>
      </c>
      <c r="N94" s="271" t="s">
        <v>695</v>
      </c>
      <c r="O94" s="271" t="s">
        <v>168</v>
      </c>
      <c r="P94" s="271"/>
      <c r="Q94" s="271">
        <v>-669</v>
      </c>
    </row>
    <row r="95" spans="1:17" ht="15" hidden="1">
      <c r="A95" s="332" t="s">
        <v>1215</v>
      </c>
      <c r="B95" s="271" t="s">
        <v>907</v>
      </c>
      <c r="C95" s="271" t="s">
        <v>909</v>
      </c>
      <c r="D95" s="271" t="s">
        <v>165</v>
      </c>
      <c r="E95" s="271" t="s">
        <v>742</v>
      </c>
      <c r="F95" s="271" t="s">
        <v>908</v>
      </c>
      <c r="G95" s="272" t="s">
        <v>1190</v>
      </c>
      <c r="H95" s="272" t="s">
        <v>1190</v>
      </c>
      <c r="I95" s="272" t="s">
        <v>1178</v>
      </c>
      <c r="J95" s="272" t="s">
        <v>1178</v>
      </c>
      <c r="K95" s="271" t="s">
        <v>232</v>
      </c>
      <c r="L95" s="273">
        <v>394</v>
      </c>
      <c r="M95" s="271" t="s">
        <v>1088</v>
      </c>
      <c r="N95" s="271" t="s">
        <v>1089</v>
      </c>
      <c r="O95" s="271" t="s">
        <v>168</v>
      </c>
      <c r="P95" s="271"/>
      <c r="Q95" s="271">
        <v>-14</v>
      </c>
    </row>
    <row r="96" spans="1:17" ht="15">
      <c r="A96" s="332" t="s">
        <v>1216</v>
      </c>
      <c r="B96" s="271" t="s">
        <v>907</v>
      </c>
      <c r="C96" s="271" t="s">
        <v>909</v>
      </c>
      <c r="D96" s="271" t="s">
        <v>165</v>
      </c>
      <c r="E96" s="271" t="s">
        <v>742</v>
      </c>
      <c r="F96" s="271" t="s">
        <v>908</v>
      </c>
      <c r="G96" s="272" t="s">
        <v>1190</v>
      </c>
      <c r="H96" s="272" t="s">
        <v>1190</v>
      </c>
      <c r="I96" s="272" t="s">
        <v>1178</v>
      </c>
      <c r="J96" s="272" t="s">
        <v>1178</v>
      </c>
      <c r="K96" s="271" t="s">
        <v>232</v>
      </c>
      <c r="L96" s="273">
        <v>18830</v>
      </c>
      <c r="M96" s="271" t="s">
        <v>1090</v>
      </c>
      <c r="N96" s="271" t="s">
        <v>168</v>
      </c>
      <c r="O96" s="271" t="s">
        <v>1091</v>
      </c>
      <c r="P96" s="271"/>
      <c r="Q96" s="271">
        <v>-564</v>
      </c>
    </row>
    <row r="97" spans="1:17" ht="15" hidden="1">
      <c r="A97" s="332" t="s">
        <v>1217</v>
      </c>
      <c r="B97" s="271" t="s">
        <v>907</v>
      </c>
      <c r="C97" s="271" t="s">
        <v>906</v>
      </c>
      <c r="D97" s="271" t="s">
        <v>165</v>
      </c>
      <c r="E97" s="271" t="s">
        <v>704</v>
      </c>
      <c r="F97" s="271" t="s">
        <v>908</v>
      </c>
      <c r="G97" s="272" t="s">
        <v>1190</v>
      </c>
      <c r="H97" s="272" t="s">
        <v>1190</v>
      </c>
      <c r="I97" s="272" t="s">
        <v>1178</v>
      </c>
      <c r="J97" s="272" t="s">
        <v>1178</v>
      </c>
      <c r="K97" s="271" t="s">
        <v>232</v>
      </c>
      <c r="L97" s="273">
        <v>6658</v>
      </c>
      <c r="M97" s="271" t="s">
        <v>1088</v>
      </c>
      <c r="N97" s="271" t="s">
        <v>695</v>
      </c>
      <c r="O97" s="271" t="s">
        <v>168</v>
      </c>
      <c r="P97" s="271"/>
      <c r="Q97" s="271">
        <v>-241</v>
      </c>
    </row>
    <row r="98" spans="1:17" ht="15" hidden="1">
      <c r="A98" s="332" t="s">
        <v>1218</v>
      </c>
      <c r="B98" s="271" t="s">
        <v>907</v>
      </c>
      <c r="C98" s="271" t="s">
        <v>906</v>
      </c>
      <c r="D98" s="271" t="s">
        <v>165</v>
      </c>
      <c r="E98" s="271" t="s">
        <v>704</v>
      </c>
      <c r="F98" s="271" t="s">
        <v>908</v>
      </c>
      <c r="G98" s="272" t="s">
        <v>1190</v>
      </c>
      <c r="H98" s="272" t="s">
        <v>1190</v>
      </c>
      <c r="I98" s="272" t="s">
        <v>1178</v>
      </c>
      <c r="J98" s="272" t="s">
        <v>1178</v>
      </c>
      <c r="K98" s="271" t="s">
        <v>232</v>
      </c>
      <c r="L98" s="273">
        <v>142</v>
      </c>
      <c r="M98" s="271" t="s">
        <v>1088</v>
      </c>
      <c r="N98" s="271" t="s">
        <v>1089</v>
      </c>
      <c r="O98" s="271" t="s">
        <v>168</v>
      </c>
      <c r="P98" s="271"/>
      <c r="Q98" s="271">
        <v>-5</v>
      </c>
    </row>
    <row r="99" spans="1:17" ht="15">
      <c r="A99" s="332" t="s">
        <v>1219</v>
      </c>
      <c r="B99" s="271" t="s">
        <v>907</v>
      </c>
      <c r="C99" s="271" t="s">
        <v>906</v>
      </c>
      <c r="D99" s="271" t="s">
        <v>165</v>
      </c>
      <c r="E99" s="271" t="s">
        <v>704</v>
      </c>
      <c r="F99" s="271" t="s">
        <v>908</v>
      </c>
      <c r="G99" s="272" t="s">
        <v>1190</v>
      </c>
      <c r="H99" s="272" t="s">
        <v>1190</v>
      </c>
      <c r="I99" s="272" t="s">
        <v>1178</v>
      </c>
      <c r="J99" s="272" t="s">
        <v>1178</v>
      </c>
      <c r="K99" s="271" t="s">
        <v>232</v>
      </c>
      <c r="L99" s="273">
        <v>6800</v>
      </c>
      <c r="M99" s="271" t="s">
        <v>1090</v>
      </c>
      <c r="N99" s="271" t="s">
        <v>168</v>
      </c>
      <c r="O99" s="271" t="s">
        <v>1091</v>
      </c>
      <c r="P99" s="271"/>
      <c r="Q99" s="271">
        <v>-204</v>
      </c>
    </row>
    <row r="100" spans="1:17" ht="15" hidden="1">
      <c r="A100" s="332" t="s">
        <v>1220</v>
      </c>
      <c r="B100" s="271" t="s">
        <v>907</v>
      </c>
      <c r="C100" s="271" t="s">
        <v>1221</v>
      </c>
      <c r="D100" s="271" t="s">
        <v>137</v>
      </c>
      <c r="E100" s="271"/>
      <c r="F100" s="271" t="s">
        <v>908</v>
      </c>
      <c r="G100" s="272" t="s">
        <v>1190</v>
      </c>
      <c r="H100" s="272" t="s">
        <v>1190</v>
      </c>
      <c r="I100" s="272" t="s">
        <v>1178</v>
      </c>
      <c r="J100" s="272" t="s">
        <v>1178</v>
      </c>
      <c r="K100" s="271" t="s">
        <v>232</v>
      </c>
      <c r="L100" s="273">
        <v>2937</v>
      </c>
      <c r="M100" s="271" t="s">
        <v>1088</v>
      </c>
      <c r="N100" s="271" t="s">
        <v>695</v>
      </c>
      <c r="O100" s="271" t="s">
        <v>168</v>
      </c>
      <c r="P100" s="271"/>
      <c r="Q100" s="271">
        <v>-106</v>
      </c>
    </row>
    <row r="101" spans="1:17" ht="15" hidden="1">
      <c r="A101" s="332" t="s">
        <v>1222</v>
      </c>
      <c r="B101" s="271" t="s">
        <v>907</v>
      </c>
      <c r="C101" s="271" t="s">
        <v>1221</v>
      </c>
      <c r="D101" s="271" t="s">
        <v>137</v>
      </c>
      <c r="E101" s="271"/>
      <c r="F101" s="271" t="s">
        <v>908</v>
      </c>
      <c r="G101" s="272" t="s">
        <v>1190</v>
      </c>
      <c r="H101" s="272" t="s">
        <v>1190</v>
      </c>
      <c r="I101" s="272" t="s">
        <v>1178</v>
      </c>
      <c r="J101" s="272" t="s">
        <v>1178</v>
      </c>
      <c r="K101" s="271" t="s">
        <v>232</v>
      </c>
      <c r="L101" s="273">
        <v>63</v>
      </c>
      <c r="M101" s="271" t="s">
        <v>1088</v>
      </c>
      <c r="N101" s="271" t="s">
        <v>1089</v>
      </c>
      <c r="O101" s="271" t="s">
        <v>168</v>
      </c>
      <c r="P101" s="271"/>
      <c r="Q101" s="271">
        <v>-2</v>
      </c>
    </row>
    <row r="102" spans="1:17" ht="15" hidden="1">
      <c r="A102" s="332" t="s">
        <v>1223</v>
      </c>
      <c r="B102" s="271" t="s">
        <v>902</v>
      </c>
      <c r="C102" s="271" t="s">
        <v>904</v>
      </c>
      <c r="D102" s="271" t="s">
        <v>165</v>
      </c>
      <c r="E102" s="271" t="s">
        <v>905</v>
      </c>
      <c r="F102" s="271" t="s">
        <v>903</v>
      </c>
      <c r="G102" s="272" t="s">
        <v>1224</v>
      </c>
      <c r="H102" s="272" t="s">
        <v>1224</v>
      </c>
      <c r="I102" s="272" t="s">
        <v>1190</v>
      </c>
      <c r="J102" s="272" t="s">
        <v>1190</v>
      </c>
      <c r="K102" s="271" t="s">
        <v>232</v>
      </c>
      <c r="L102" s="273">
        <v>19878</v>
      </c>
      <c r="M102" s="271" t="s">
        <v>1088</v>
      </c>
      <c r="N102" s="271" t="s">
        <v>695</v>
      </c>
      <c r="O102" s="271" t="s">
        <v>168</v>
      </c>
      <c r="P102" s="271"/>
      <c r="Q102" s="271">
        <v>-721</v>
      </c>
    </row>
    <row r="103" spans="1:17" ht="15" hidden="1">
      <c r="A103" s="332" t="s">
        <v>1225</v>
      </c>
      <c r="B103" s="271" t="s">
        <v>902</v>
      </c>
      <c r="C103" s="271" t="s">
        <v>904</v>
      </c>
      <c r="D103" s="271" t="s">
        <v>165</v>
      </c>
      <c r="E103" s="271" t="s">
        <v>905</v>
      </c>
      <c r="F103" s="271" t="s">
        <v>903</v>
      </c>
      <c r="G103" s="272" t="s">
        <v>1224</v>
      </c>
      <c r="H103" s="272" t="s">
        <v>1224</v>
      </c>
      <c r="I103" s="272" t="s">
        <v>1190</v>
      </c>
      <c r="J103" s="272" t="s">
        <v>1190</v>
      </c>
      <c r="K103" s="271" t="s">
        <v>232</v>
      </c>
      <c r="L103" s="273">
        <v>322</v>
      </c>
      <c r="M103" s="271" t="s">
        <v>1088</v>
      </c>
      <c r="N103" s="271" t="s">
        <v>1089</v>
      </c>
      <c r="O103" s="271" t="s">
        <v>168</v>
      </c>
      <c r="P103" s="271"/>
      <c r="Q103" s="271">
        <v>-11</v>
      </c>
    </row>
    <row r="104" spans="1:17" ht="15">
      <c r="A104" s="332" t="s">
        <v>1226</v>
      </c>
      <c r="B104" s="271" t="s">
        <v>902</v>
      </c>
      <c r="C104" s="271" t="s">
        <v>904</v>
      </c>
      <c r="D104" s="271" t="s">
        <v>165</v>
      </c>
      <c r="E104" s="271" t="s">
        <v>905</v>
      </c>
      <c r="F104" s="271" t="s">
        <v>903</v>
      </c>
      <c r="G104" s="272" t="s">
        <v>1224</v>
      </c>
      <c r="H104" s="272" t="s">
        <v>1224</v>
      </c>
      <c r="I104" s="272" t="s">
        <v>1190</v>
      </c>
      <c r="J104" s="272" t="s">
        <v>1190</v>
      </c>
      <c r="K104" s="271" t="s">
        <v>232</v>
      </c>
      <c r="L104" s="273">
        <v>20200</v>
      </c>
      <c r="M104" s="271" t="s">
        <v>1090</v>
      </c>
      <c r="N104" s="271" t="s">
        <v>168</v>
      </c>
      <c r="O104" s="271" t="s">
        <v>1097</v>
      </c>
      <c r="P104" s="271"/>
      <c r="Q104" s="271">
        <v>-202</v>
      </c>
    </row>
    <row r="105" spans="1:17" ht="15" hidden="1">
      <c r="A105" s="332" t="s">
        <v>1227</v>
      </c>
      <c r="B105" s="271" t="s">
        <v>902</v>
      </c>
      <c r="C105" s="271" t="s">
        <v>901</v>
      </c>
      <c r="D105" s="271" t="s">
        <v>165</v>
      </c>
      <c r="E105" s="271" t="s">
        <v>885</v>
      </c>
      <c r="F105" s="271" t="s">
        <v>903</v>
      </c>
      <c r="G105" s="272" t="s">
        <v>1224</v>
      </c>
      <c r="H105" s="272" t="s">
        <v>1224</v>
      </c>
      <c r="I105" s="272" t="s">
        <v>1190</v>
      </c>
      <c r="J105" s="272" t="s">
        <v>1190</v>
      </c>
      <c r="K105" s="271" t="s">
        <v>232</v>
      </c>
      <c r="L105" s="273">
        <v>0</v>
      </c>
      <c r="M105" s="271" t="s">
        <v>1088</v>
      </c>
      <c r="N105" s="271" t="s">
        <v>695</v>
      </c>
      <c r="O105" s="271" t="s">
        <v>168</v>
      </c>
      <c r="P105" s="271"/>
      <c r="Q105" s="271">
        <v>0</v>
      </c>
    </row>
    <row r="106" spans="1:17" ht="15" hidden="1">
      <c r="A106" s="332" t="s">
        <v>1228</v>
      </c>
      <c r="B106" s="271" t="s">
        <v>902</v>
      </c>
      <c r="C106" s="271" t="s">
        <v>901</v>
      </c>
      <c r="D106" s="271" t="s">
        <v>165</v>
      </c>
      <c r="E106" s="271" t="s">
        <v>885</v>
      </c>
      <c r="F106" s="271" t="s">
        <v>903</v>
      </c>
      <c r="G106" s="272" t="s">
        <v>1224</v>
      </c>
      <c r="H106" s="272" t="s">
        <v>1224</v>
      </c>
      <c r="I106" s="272" t="s">
        <v>1190</v>
      </c>
      <c r="J106" s="272" t="s">
        <v>1190</v>
      </c>
      <c r="K106" s="271" t="s">
        <v>232</v>
      </c>
      <c r="L106" s="273">
        <v>0</v>
      </c>
      <c r="M106" s="271" t="s">
        <v>1088</v>
      </c>
      <c r="N106" s="271" t="s">
        <v>1089</v>
      </c>
      <c r="O106" s="271" t="s">
        <v>168</v>
      </c>
      <c r="P106" s="271"/>
      <c r="Q106" s="271">
        <v>0</v>
      </c>
    </row>
    <row r="107" spans="1:17" ht="15">
      <c r="A107" s="332" t="s">
        <v>1229</v>
      </c>
      <c r="B107" s="271" t="s">
        <v>902</v>
      </c>
      <c r="C107" s="271" t="s">
        <v>901</v>
      </c>
      <c r="D107" s="271" t="s">
        <v>165</v>
      </c>
      <c r="E107" s="271" t="s">
        <v>885</v>
      </c>
      <c r="F107" s="271" t="s">
        <v>903</v>
      </c>
      <c r="G107" s="272" t="s">
        <v>1224</v>
      </c>
      <c r="H107" s="272" t="s">
        <v>1224</v>
      </c>
      <c r="I107" s="272" t="s">
        <v>1190</v>
      </c>
      <c r="J107" s="272" t="s">
        <v>1190</v>
      </c>
      <c r="K107" s="271" t="s">
        <v>232</v>
      </c>
      <c r="L107" s="273">
        <v>0</v>
      </c>
      <c r="M107" s="271" t="s">
        <v>1090</v>
      </c>
      <c r="N107" s="271" t="s">
        <v>168</v>
      </c>
      <c r="O107" s="271" t="s">
        <v>1097</v>
      </c>
      <c r="P107" s="271"/>
      <c r="Q107" s="271">
        <v>0</v>
      </c>
    </row>
    <row r="108" spans="1:17" ht="15" hidden="1">
      <c r="A108" s="332" t="s">
        <v>1230</v>
      </c>
      <c r="B108" s="271" t="s">
        <v>902</v>
      </c>
      <c r="C108" s="271" t="s">
        <v>1231</v>
      </c>
      <c r="D108" s="271" t="s">
        <v>137</v>
      </c>
      <c r="E108" s="271"/>
      <c r="F108" s="271" t="s">
        <v>903</v>
      </c>
      <c r="G108" s="272" t="s">
        <v>1224</v>
      </c>
      <c r="H108" s="272" t="s">
        <v>1224</v>
      </c>
      <c r="I108" s="272" t="s">
        <v>1190</v>
      </c>
      <c r="J108" s="272" t="s">
        <v>1190</v>
      </c>
      <c r="K108" s="271" t="s">
        <v>232</v>
      </c>
      <c r="L108" s="273">
        <v>2952</v>
      </c>
      <c r="M108" s="271" t="s">
        <v>1088</v>
      </c>
      <c r="N108" s="271" t="s">
        <v>695</v>
      </c>
      <c r="O108" s="271" t="s">
        <v>168</v>
      </c>
      <c r="P108" s="271"/>
      <c r="Q108" s="271">
        <v>-107</v>
      </c>
    </row>
    <row r="109" spans="1:17" ht="15" hidden="1">
      <c r="A109" s="332" t="s">
        <v>1232</v>
      </c>
      <c r="B109" s="271" t="s">
        <v>902</v>
      </c>
      <c r="C109" s="271" t="s">
        <v>1231</v>
      </c>
      <c r="D109" s="271" t="s">
        <v>137</v>
      </c>
      <c r="E109" s="271"/>
      <c r="F109" s="271" t="s">
        <v>903</v>
      </c>
      <c r="G109" s="272" t="s">
        <v>1224</v>
      </c>
      <c r="H109" s="272" t="s">
        <v>1224</v>
      </c>
      <c r="I109" s="272" t="s">
        <v>1190</v>
      </c>
      <c r="J109" s="272" t="s">
        <v>1190</v>
      </c>
      <c r="K109" s="271" t="s">
        <v>232</v>
      </c>
      <c r="L109" s="273">
        <v>48</v>
      </c>
      <c r="M109" s="271" t="s">
        <v>1088</v>
      </c>
      <c r="N109" s="271" t="s">
        <v>1089</v>
      </c>
      <c r="O109" s="271" t="s">
        <v>168</v>
      </c>
      <c r="P109" s="271"/>
      <c r="Q109" s="271">
        <v>-1</v>
      </c>
    </row>
    <row r="110" spans="1:17" ht="15" hidden="1">
      <c r="A110" s="332" t="s">
        <v>1233</v>
      </c>
      <c r="B110" s="271" t="s">
        <v>891</v>
      </c>
      <c r="C110" s="271" t="s">
        <v>890</v>
      </c>
      <c r="D110" s="271" t="s">
        <v>165</v>
      </c>
      <c r="E110" s="271" t="s">
        <v>812</v>
      </c>
      <c r="F110" s="271" t="s">
        <v>892</v>
      </c>
      <c r="G110" s="272" t="s">
        <v>1224</v>
      </c>
      <c r="H110" s="272" t="s">
        <v>1224</v>
      </c>
      <c r="I110" s="272" t="s">
        <v>1190</v>
      </c>
      <c r="J110" s="272" t="s">
        <v>1190</v>
      </c>
      <c r="K110" s="271" t="s">
        <v>232</v>
      </c>
      <c r="L110" s="273">
        <v>990</v>
      </c>
      <c r="M110" s="271" t="s">
        <v>1088</v>
      </c>
      <c r="N110" s="271" t="s">
        <v>1089</v>
      </c>
      <c r="O110" s="271" t="s">
        <v>168</v>
      </c>
      <c r="P110" s="271"/>
      <c r="Q110" s="271">
        <v>-35</v>
      </c>
    </row>
    <row r="111" spans="1:17" ht="15">
      <c r="A111" s="332" t="s">
        <v>1234</v>
      </c>
      <c r="B111" s="271" t="s">
        <v>891</v>
      </c>
      <c r="C111" s="271" t="s">
        <v>890</v>
      </c>
      <c r="D111" s="271" t="s">
        <v>165</v>
      </c>
      <c r="E111" s="271" t="s">
        <v>812</v>
      </c>
      <c r="F111" s="271" t="s">
        <v>892</v>
      </c>
      <c r="G111" s="272" t="s">
        <v>1224</v>
      </c>
      <c r="H111" s="272" t="s">
        <v>1224</v>
      </c>
      <c r="I111" s="272" t="s">
        <v>1190</v>
      </c>
      <c r="J111" s="272" t="s">
        <v>1190</v>
      </c>
      <c r="K111" s="271" t="s">
        <v>232</v>
      </c>
      <c r="L111" s="273">
        <v>990</v>
      </c>
      <c r="M111" s="271" t="s">
        <v>1090</v>
      </c>
      <c r="N111" s="271" t="s">
        <v>168</v>
      </c>
      <c r="O111" s="271" t="s">
        <v>1091</v>
      </c>
      <c r="P111" s="271"/>
      <c r="Q111" s="271">
        <v>-29</v>
      </c>
    </row>
    <row r="112" spans="1:17" ht="15" hidden="1">
      <c r="A112" s="332" t="s">
        <v>1235</v>
      </c>
      <c r="B112" s="271" t="s">
        <v>891</v>
      </c>
      <c r="C112" s="271" t="s">
        <v>1236</v>
      </c>
      <c r="D112" s="271" t="s">
        <v>137</v>
      </c>
      <c r="E112" s="271"/>
      <c r="F112" s="271" t="s">
        <v>892</v>
      </c>
      <c r="G112" s="272" t="s">
        <v>1224</v>
      </c>
      <c r="H112" s="272" t="s">
        <v>1224</v>
      </c>
      <c r="I112" s="272" t="s">
        <v>1190</v>
      </c>
      <c r="J112" s="272" t="s">
        <v>1190</v>
      </c>
      <c r="K112" s="271" t="s">
        <v>232</v>
      </c>
      <c r="L112" s="273">
        <v>3000</v>
      </c>
      <c r="M112" s="271" t="s">
        <v>1088</v>
      </c>
      <c r="N112" s="271" t="s">
        <v>1089</v>
      </c>
      <c r="O112" s="271" t="s">
        <v>168</v>
      </c>
      <c r="P112" s="271"/>
      <c r="Q112" s="271">
        <v>-108</v>
      </c>
    </row>
    <row r="113" spans="1:17" ht="15" hidden="1">
      <c r="A113" s="332" t="s">
        <v>1237</v>
      </c>
      <c r="B113" s="271" t="s">
        <v>899</v>
      </c>
      <c r="C113" s="271" t="s">
        <v>898</v>
      </c>
      <c r="D113" s="271" t="s">
        <v>165</v>
      </c>
      <c r="E113" s="271" t="s">
        <v>812</v>
      </c>
      <c r="F113" s="271" t="s">
        <v>900</v>
      </c>
      <c r="G113" s="272" t="s">
        <v>1224</v>
      </c>
      <c r="H113" s="272" t="s">
        <v>1224</v>
      </c>
      <c r="I113" s="272" t="s">
        <v>1190</v>
      </c>
      <c r="J113" s="272" t="s">
        <v>1190</v>
      </c>
      <c r="K113" s="271" t="s">
        <v>232</v>
      </c>
      <c r="L113" s="273">
        <v>990</v>
      </c>
      <c r="M113" s="271" t="s">
        <v>1088</v>
      </c>
      <c r="N113" s="271" t="s">
        <v>695</v>
      </c>
      <c r="O113" s="271" t="s">
        <v>168</v>
      </c>
      <c r="P113" s="271"/>
      <c r="Q113" s="271">
        <v>-35</v>
      </c>
    </row>
    <row r="114" spans="1:17" ht="15">
      <c r="A114" s="332" t="s">
        <v>1238</v>
      </c>
      <c r="B114" s="271" t="s">
        <v>899</v>
      </c>
      <c r="C114" s="271" t="s">
        <v>898</v>
      </c>
      <c r="D114" s="271" t="s">
        <v>165</v>
      </c>
      <c r="E114" s="271" t="s">
        <v>812</v>
      </c>
      <c r="F114" s="271" t="s">
        <v>900</v>
      </c>
      <c r="G114" s="272" t="s">
        <v>1224</v>
      </c>
      <c r="H114" s="272" t="s">
        <v>1224</v>
      </c>
      <c r="I114" s="272" t="s">
        <v>1190</v>
      </c>
      <c r="J114" s="272" t="s">
        <v>1190</v>
      </c>
      <c r="K114" s="271" t="s">
        <v>232</v>
      </c>
      <c r="L114" s="273">
        <v>990</v>
      </c>
      <c r="M114" s="271" t="s">
        <v>1090</v>
      </c>
      <c r="N114" s="271" t="s">
        <v>168</v>
      </c>
      <c r="O114" s="271" t="s">
        <v>1091</v>
      </c>
      <c r="P114" s="271"/>
      <c r="Q114" s="271">
        <v>-29</v>
      </c>
    </row>
    <row r="115" spans="1:17" ht="15" hidden="1">
      <c r="A115" s="332" t="s">
        <v>1239</v>
      </c>
      <c r="B115" s="271" t="s">
        <v>899</v>
      </c>
      <c r="C115" s="271" t="s">
        <v>1240</v>
      </c>
      <c r="D115" s="271" t="s">
        <v>137</v>
      </c>
      <c r="E115" s="271"/>
      <c r="F115" s="271" t="s">
        <v>900</v>
      </c>
      <c r="G115" s="272" t="s">
        <v>1224</v>
      </c>
      <c r="H115" s="272" t="s">
        <v>1224</v>
      </c>
      <c r="I115" s="272" t="s">
        <v>1190</v>
      </c>
      <c r="J115" s="272" t="s">
        <v>1190</v>
      </c>
      <c r="K115" s="271" t="s">
        <v>232</v>
      </c>
      <c r="L115" s="273">
        <v>3000</v>
      </c>
      <c r="M115" s="271" t="s">
        <v>1088</v>
      </c>
      <c r="N115" s="271" t="s">
        <v>695</v>
      </c>
      <c r="O115" s="271" t="s">
        <v>168</v>
      </c>
      <c r="P115" s="271"/>
      <c r="Q115" s="271">
        <v>-108</v>
      </c>
    </row>
    <row r="116" spans="1:17" ht="15" hidden="1">
      <c r="A116" s="332" t="s">
        <v>1241</v>
      </c>
      <c r="B116" s="271" t="s">
        <v>894</v>
      </c>
      <c r="C116" s="271" t="s">
        <v>897</v>
      </c>
      <c r="D116" s="271" t="s">
        <v>165</v>
      </c>
      <c r="E116" s="271" t="s">
        <v>686</v>
      </c>
      <c r="F116" s="271" t="s">
        <v>895</v>
      </c>
      <c r="G116" s="272" t="s">
        <v>1224</v>
      </c>
      <c r="H116" s="272" t="s">
        <v>1224</v>
      </c>
      <c r="I116" s="272" t="s">
        <v>1190</v>
      </c>
      <c r="J116" s="272" t="s">
        <v>1190</v>
      </c>
      <c r="K116" s="271" t="s">
        <v>232</v>
      </c>
      <c r="L116" s="273">
        <v>967</v>
      </c>
      <c r="M116" s="271" t="s">
        <v>1088</v>
      </c>
      <c r="N116" s="271" t="s">
        <v>695</v>
      </c>
      <c r="O116" s="271" t="s">
        <v>168</v>
      </c>
      <c r="P116" s="271"/>
      <c r="Q116" s="271">
        <v>-35</v>
      </c>
    </row>
    <row r="117" spans="1:17" ht="15" hidden="1">
      <c r="A117" s="332" t="s">
        <v>1242</v>
      </c>
      <c r="B117" s="271" t="s">
        <v>894</v>
      </c>
      <c r="C117" s="271" t="s">
        <v>897</v>
      </c>
      <c r="D117" s="271" t="s">
        <v>165</v>
      </c>
      <c r="E117" s="271" t="s">
        <v>686</v>
      </c>
      <c r="F117" s="271" t="s">
        <v>895</v>
      </c>
      <c r="G117" s="272" t="s">
        <v>1224</v>
      </c>
      <c r="H117" s="272" t="s">
        <v>1224</v>
      </c>
      <c r="I117" s="272" t="s">
        <v>1190</v>
      </c>
      <c r="J117" s="272" t="s">
        <v>1190</v>
      </c>
      <c r="K117" s="271" t="s">
        <v>232</v>
      </c>
      <c r="L117" s="273">
        <v>23</v>
      </c>
      <c r="M117" s="271" t="s">
        <v>1088</v>
      </c>
      <c r="N117" s="271" t="s">
        <v>1089</v>
      </c>
      <c r="O117" s="271" t="s">
        <v>168</v>
      </c>
      <c r="P117" s="271"/>
      <c r="Q117" s="271">
        <v>0</v>
      </c>
    </row>
    <row r="118" spans="1:17" ht="15">
      <c r="A118" s="332" t="s">
        <v>1243</v>
      </c>
      <c r="B118" s="271" t="s">
        <v>894</v>
      </c>
      <c r="C118" s="271" t="s">
        <v>897</v>
      </c>
      <c r="D118" s="271" t="s">
        <v>165</v>
      </c>
      <c r="E118" s="271" t="s">
        <v>686</v>
      </c>
      <c r="F118" s="271" t="s">
        <v>895</v>
      </c>
      <c r="G118" s="272" t="s">
        <v>1224</v>
      </c>
      <c r="H118" s="272" t="s">
        <v>1224</v>
      </c>
      <c r="I118" s="272" t="s">
        <v>1190</v>
      </c>
      <c r="J118" s="272" t="s">
        <v>1190</v>
      </c>
      <c r="K118" s="271" t="s">
        <v>232</v>
      </c>
      <c r="L118" s="273">
        <v>990</v>
      </c>
      <c r="M118" s="271" t="s">
        <v>1090</v>
      </c>
      <c r="N118" s="271" t="s">
        <v>168</v>
      </c>
      <c r="O118" s="271" t="s">
        <v>1091</v>
      </c>
      <c r="P118" s="271"/>
      <c r="Q118" s="271">
        <v>-29</v>
      </c>
    </row>
    <row r="119" spans="1:17" ht="15" hidden="1">
      <c r="A119" s="332" t="s">
        <v>1244</v>
      </c>
      <c r="B119" s="271" t="s">
        <v>894</v>
      </c>
      <c r="C119" s="271" t="s">
        <v>896</v>
      </c>
      <c r="D119" s="271" t="s">
        <v>165</v>
      </c>
      <c r="E119" s="271" t="s">
        <v>795</v>
      </c>
      <c r="F119" s="271" t="s">
        <v>895</v>
      </c>
      <c r="G119" s="272" t="s">
        <v>1224</v>
      </c>
      <c r="H119" s="272" t="s">
        <v>1224</v>
      </c>
      <c r="I119" s="272" t="s">
        <v>1190</v>
      </c>
      <c r="J119" s="272" t="s">
        <v>1190</v>
      </c>
      <c r="K119" s="271" t="s">
        <v>232</v>
      </c>
      <c r="L119" s="273">
        <v>11953</v>
      </c>
      <c r="M119" s="271" t="s">
        <v>1088</v>
      </c>
      <c r="N119" s="271" t="s">
        <v>695</v>
      </c>
      <c r="O119" s="271" t="s">
        <v>168</v>
      </c>
      <c r="P119" s="271"/>
      <c r="Q119" s="271">
        <v>-433</v>
      </c>
    </row>
    <row r="120" spans="1:17" ht="15" hidden="1">
      <c r="A120" s="332" t="s">
        <v>1245</v>
      </c>
      <c r="B120" s="271" t="s">
        <v>894</v>
      </c>
      <c r="C120" s="271" t="s">
        <v>896</v>
      </c>
      <c r="D120" s="271" t="s">
        <v>165</v>
      </c>
      <c r="E120" s="271" t="s">
        <v>795</v>
      </c>
      <c r="F120" s="271" t="s">
        <v>895</v>
      </c>
      <c r="G120" s="272" t="s">
        <v>1224</v>
      </c>
      <c r="H120" s="272" t="s">
        <v>1224</v>
      </c>
      <c r="I120" s="272" t="s">
        <v>1190</v>
      </c>
      <c r="J120" s="272" t="s">
        <v>1190</v>
      </c>
      <c r="K120" s="271" t="s">
        <v>232</v>
      </c>
      <c r="L120" s="273">
        <v>287</v>
      </c>
      <c r="M120" s="271" t="s">
        <v>1088</v>
      </c>
      <c r="N120" s="271" t="s">
        <v>1089</v>
      </c>
      <c r="O120" s="271" t="s">
        <v>168</v>
      </c>
      <c r="P120" s="271"/>
      <c r="Q120" s="271">
        <v>-10</v>
      </c>
    </row>
    <row r="121" spans="1:17" ht="15">
      <c r="A121" s="332" t="s">
        <v>1246</v>
      </c>
      <c r="B121" s="271" t="s">
        <v>894</v>
      </c>
      <c r="C121" s="271" t="s">
        <v>896</v>
      </c>
      <c r="D121" s="271" t="s">
        <v>165</v>
      </c>
      <c r="E121" s="271" t="s">
        <v>795</v>
      </c>
      <c r="F121" s="271" t="s">
        <v>895</v>
      </c>
      <c r="G121" s="272" t="s">
        <v>1224</v>
      </c>
      <c r="H121" s="272" t="s">
        <v>1224</v>
      </c>
      <c r="I121" s="272" t="s">
        <v>1190</v>
      </c>
      <c r="J121" s="272" t="s">
        <v>1190</v>
      </c>
      <c r="K121" s="271" t="s">
        <v>232</v>
      </c>
      <c r="L121" s="273">
        <v>12240</v>
      </c>
      <c r="M121" s="271" t="s">
        <v>1090</v>
      </c>
      <c r="N121" s="271" t="s">
        <v>168</v>
      </c>
      <c r="O121" s="271" t="s">
        <v>1091</v>
      </c>
      <c r="P121" s="271"/>
      <c r="Q121" s="271">
        <v>-367</v>
      </c>
    </row>
    <row r="122" spans="1:17" ht="15" hidden="1">
      <c r="A122" s="332" t="s">
        <v>1247</v>
      </c>
      <c r="B122" s="271" t="s">
        <v>894</v>
      </c>
      <c r="C122" s="271" t="s">
        <v>893</v>
      </c>
      <c r="D122" s="271" t="s">
        <v>165</v>
      </c>
      <c r="E122" s="271" t="s">
        <v>795</v>
      </c>
      <c r="F122" s="271" t="s">
        <v>895</v>
      </c>
      <c r="G122" s="272" t="s">
        <v>1224</v>
      </c>
      <c r="H122" s="272" t="s">
        <v>1224</v>
      </c>
      <c r="I122" s="272" t="s">
        <v>1190</v>
      </c>
      <c r="J122" s="272" t="s">
        <v>1190</v>
      </c>
      <c r="K122" s="271" t="s">
        <v>232</v>
      </c>
      <c r="L122" s="273">
        <v>11953</v>
      </c>
      <c r="M122" s="271" t="s">
        <v>1088</v>
      </c>
      <c r="N122" s="271" t="s">
        <v>695</v>
      </c>
      <c r="O122" s="271" t="s">
        <v>168</v>
      </c>
      <c r="P122" s="271"/>
      <c r="Q122" s="271">
        <v>-433</v>
      </c>
    </row>
    <row r="123" spans="1:17" ht="15" hidden="1">
      <c r="A123" s="332" t="s">
        <v>1248</v>
      </c>
      <c r="B123" s="271" t="s">
        <v>894</v>
      </c>
      <c r="C123" s="271" t="s">
        <v>893</v>
      </c>
      <c r="D123" s="271" t="s">
        <v>165</v>
      </c>
      <c r="E123" s="271" t="s">
        <v>795</v>
      </c>
      <c r="F123" s="271" t="s">
        <v>895</v>
      </c>
      <c r="G123" s="272" t="s">
        <v>1224</v>
      </c>
      <c r="H123" s="272" t="s">
        <v>1224</v>
      </c>
      <c r="I123" s="272" t="s">
        <v>1190</v>
      </c>
      <c r="J123" s="272" t="s">
        <v>1190</v>
      </c>
      <c r="K123" s="271" t="s">
        <v>232</v>
      </c>
      <c r="L123" s="273">
        <v>287</v>
      </c>
      <c r="M123" s="271" t="s">
        <v>1088</v>
      </c>
      <c r="N123" s="271" t="s">
        <v>1089</v>
      </c>
      <c r="O123" s="271" t="s">
        <v>168</v>
      </c>
      <c r="P123" s="271"/>
      <c r="Q123" s="271">
        <v>-10</v>
      </c>
    </row>
    <row r="124" spans="1:17" ht="15">
      <c r="A124" s="332" t="s">
        <v>1249</v>
      </c>
      <c r="B124" s="271" t="s">
        <v>894</v>
      </c>
      <c r="C124" s="271" t="s">
        <v>893</v>
      </c>
      <c r="D124" s="271" t="s">
        <v>165</v>
      </c>
      <c r="E124" s="271" t="s">
        <v>795</v>
      </c>
      <c r="F124" s="271" t="s">
        <v>895</v>
      </c>
      <c r="G124" s="272" t="s">
        <v>1224</v>
      </c>
      <c r="H124" s="272" t="s">
        <v>1224</v>
      </c>
      <c r="I124" s="272" t="s">
        <v>1190</v>
      </c>
      <c r="J124" s="272" t="s">
        <v>1190</v>
      </c>
      <c r="K124" s="271" t="s">
        <v>232</v>
      </c>
      <c r="L124" s="273">
        <v>12240</v>
      </c>
      <c r="M124" s="271" t="s">
        <v>1090</v>
      </c>
      <c r="N124" s="271" t="s">
        <v>168</v>
      </c>
      <c r="O124" s="271" t="s">
        <v>1091</v>
      </c>
      <c r="P124" s="271"/>
      <c r="Q124" s="271">
        <v>-367</v>
      </c>
    </row>
    <row r="125" spans="1:17" ht="15" hidden="1">
      <c r="A125" s="332" t="s">
        <v>1250</v>
      </c>
      <c r="B125" s="271" t="s">
        <v>894</v>
      </c>
      <c r="C125" s="271" t="s">
        <v>1251</v>
      </c>
      <c r="D125" s="271" t="s">
        <v>137</v>
      </c>
      <c r="E125" s="271"/>
      <c r="F125" s="271" t="s">
        <v>895</v>
      </c>
      <c r="G125" s="272" t="s">
        <v>1224</v>
      </c>
      <c r="H125" s="272" t="s">
        <v>1224</v>
      </c>
      <c r="I125" s="272" t="s">
        <v>1190</v>
      </c>
      <c r="J125" s="272" t="s">
        <v>1190</v>
      </c>
      <c r="K125" s="271" t="s">
        <v>232</v>
      </c>
      <c r="L125" s="273">
        <v>2930</v>
      </c>
      <c r="M125" s="271" t="s">
        <v>1088</v>
      </c>
      <c r="N125" s="271" t="s">
        <v>695</v>
      </c>
      <c r="O125" s="271" t="s">
        <v>168</v>
      </c>
      <c r="P125" s="271"/>
      <c r="Q125" s="271">
        <v>-106</v>
      </c>
    </row>
    <row r="126" spans="1:17" ht="15" hidden="1">
      <c r="A126" s="332" t="s">
        <v>1252</v>
      </c>
      <c r="B126" s="271" t="s">
        <v>894</v>
      </c>
      <c r="C126" s="271" t="s">
        <v>1251</v>
      </c>
      <c r="D126" s="271" t="s">
        <v>137</v>
      </c>
      <c r="E126" s="271"/>
      <c r="F126" s="271" t="s">
        <v>895</v>
      </c>
      <c r="G126" s="272" t="s">
        <v>1224</v>
      </c>
      <c r="H126" s="272" t="s">
        <v>1224</v>
      </c>
      <c r="I126" s="272" t="s">
        <v>1190</v>
      </c>
      <c r="J126" s="272" t="s">
        <v>1190</v>
      </c>
      <c r="K126" s="271" t="s">
        <v>232</v>
      </c>
      <c r="L126" s="273">
        <v>70</v>
      </c>
      <c r="M126" s="271" t="s">
        <v>1088</v>
      </c>
      <c r="N126" s="271" t="s">
        <v>1089</v>
      </c>
      <c r="O126" s="271" t="s">
        <v>168</v>
      </c>
      <c r="P126" s="271"/>
      <c r="Q126" s="271">
        <v>-2</v>
      </c>
    </row>
    <row r="127" spans="1:17" ht="15" hidden="1">
      <c r="A127" s="332" t="s">
        <v>1253</v>
      </c>
      <c r="B127" s="271" t="s">
        <v>888</v>
      </c>
      <c r="C127" s="271" t="s">
        <v>887</v>
      </c>
      <c r="D127" s="271" t="s">
        <v>165</v>
      </c>
      <c r="E127" s="271" t="s">
        <v>686</v>
      </c>
      <c r="F127" s="271" t="s">
        <v>889</v>
      </c>
      <c r="G127" s="272" t="s">
        <v>1224</v>
      </c>
      <c r="H127" s="272" t="s">
        <v>1224</v>
      </c>
      <c r="I127" s="272" t="s">
        <v>1190</v>
      </c>
      <c r="J127" s="272" t="s">
        <v>1190</v>
      </c>
      <c r="K127" s="271" t="s">
        <v>232</v>
      </c>
      <c r="L127" s="273">
        <v>986</v>
      </c>
      <c r="M127" s="271" t="s">
        <v>1088</v>
      </c>
      <c r="N127" s="271" t="s">
        <v>695</v>
      </c>
      <c r="O127" s="271" t="s">
        <v>168</v>
      </c>
      <c r="P127" s="271"/>
      <c r="Q127" s="271">
        <v>-35</v>
      </c>
    </row>
    <row r="128" spans="1:17" ht="15" hidden="1">
      <c r="A128" s="332" t="s">
        <v>1254</v>
      </c>
      <c r="B128" s="271" t="s">
        <v>888</v>
      </c>
      <c r="C128" s="271" t="s">
        <v>887</v>
      </c>
      <c r="D128" s="271" t="s">
        <v>165</v>
      </c>
      <c r="E128" s="271" t="s">
        <v>686</v>
      </c>
      <c r="F128" s="271" t="s">
        <v>889</v>
      </c>
      <c r="G128" s="272" t="s">
        <v>1224</v>
      </c>
      <c r="H128" s="272" t="s">
        <v>1224</v>
      </c>
      <c r="I128" s="272" t="s">
        <v>1190</v>
      </c>
      <c r="J128" s="272" t="s">
        <v>1190</v>
      </c>
      <c r="K128" s="271" t="s">
        <v>232</v>
      </c>
      <c r="L128" s="273">
        <v>4</v>
      </c>
      <c r="M128" s="271" t="s">
        <v>1088</v>
      </c>
      <c r="N128" s="271" t="s">
        <v>1089</v>
      </c>
      <c r="O128" s="271" t="s">
        <v>168</v>
      </c>
      <c r="P128" s="271"/>
      <c r="Q128" s="271">
        <v>0</v>
      </c>
    </row>
    <row r="129" spans="1:17" ht="15">
      <c r="A129" s="332" t="s">
        <v>1255</v>
      </c>
      <c r="B129" s="271" t="s">
        <v>888</v>
      </c>
      <c r="C129" s="271" t="s">
        <v>887</v>
      </c>
      <c r="D129" s="271" t="s">
        <v>165</v>
      </c>
      <c r="E129" s="271" t="s">
        <v>686</v>
      </c>
      <c r="F129" s="271" t="s">
        <v>889</v>
      </c>
      <c r="G129" s="272" t="s">
        <v>1224</v>
      </c>
      <c r="H129" s="272" t="s">
        <v>1224</v>
      </c>
      <c r="I129" s="272" t="s">
        <v>1190</v>
      </c>
      <c r="J129" s="272" t="s">
        <v>1190</v>
      </c>
      <c r="K129" s="271" t="s">
        <v>232</v>
      </c>
      <c r="L129" s="273">
        <v>990</v>
      </c>
      <c r="M129" s="271" t="s">
        <v>1090</v>
      </c>
      <c r="N129" s="271" t="s">
        <v>168</v>
      </c>
      <c r="O129" s="271" t="s">
        <v>1091</v>
      </c>
      <c r="P129" s="271"/>
      <c r="Q129" s="271">
        <v>-29</v>
      </c>
    </row>
    <row r="130" spans="1:17" ht="15" hidden="1">
      <c r="A130" s="332" t="s">
        <v>1256</v>
      </c>
      <c r="B130" s="271" t="s">
        <v>888</v>
      </c>
      <c r="C130" s="271" t="s">
        <v>1257</v>
      </c>
      <c r="D130" s="271" t="s">
        <v>137</v>
      </c>
      <c r="E130" s="271"/>
      <c r="F130" s="271" t="s">
        <v>889</v>
      </c>
      <c r="G130" s="272" t="s">
        <v>1224</v>
      </c>
      <c r="H130" s="272" t="s">
        <v>1224</v>
      </c>
      <c r="I130" s="272" t="s">
        <v>1190</v>
      </c>
      <c r="J130" s="272" t="s">
        <v>1190</v>
      </c>
      <c r="K130" s="271" t="s">
        <v>232</v>
      </c>
      <c r="L130" s="273">
        <v>2988</v>
      </c>
      <c r="M130" s="271" t="s">
        <v>1088</v>
      </c>
      <c r="N130" s="271" t="s">
        <v>695</v>
      </c>
      <c r="O130" s="271" t="s">
        <v>168</v>
      </c>
      <c r="P130" s="271"/>
      <c r="Q130" s="271">
        <v>-108</v>
      </c>
    </row>
    <row r="131" spans="1:17" ht="15" hidden="1">
      <c r="A131" s="332" t="s">
        <v>1258</v>
      </c>
      <c r="B131" s="271" t="s">
        <v>888</v>
      </c>
      <c r="C131" s="271" t="s">
        <v>1257</v>
      </c>
      <c r="D131" s="271" t="s">
        <v>137</v>
      </c>
      <c r="E131" s="271"/>
      <c r="F131" s="271" t="s">
        <v>889</v>
      </c>
      <c r="G131" s="272" t="s">
        <v>1224</v>
      </c>
      <c r="H131" s="272" t="s">
        <v>1224</v>
      </c>
      <c r="I131" s="272" t="s">
        <v>1190</v>
      </c>
      <c r="J131" s="272" t="s">
        <v>1190</v>
      </c>
      <c r="K131" s="271" t="s">
        <v>232</v>
      </c>
      <c r="L131" s="273">
        <v>12</v>
      </c>
      <c r="M131" s="271" t="s">
        <v>1088</v>
      </c>
      <c r="N131" s="271" t="s">
        <v>1089</v>
      </c>
      <c r="O131" s="271" t="s">
        <v>168</v>
      </c>
      <c r="P131" s="271"/>
      <c r="Q131" s="271">
        <v>0</v>
      </c>
    </row>
    <row r="132" spans="1:17" ht="15" hidden="1">
      <c r="A132" s="332" t="s">
        <v>1259</v>
      </c>
      <c r="B132" s="271" t="s">
        <v>883</v>
      </c>
      <c r="C132" s="271" t="s">
        <v>886</v>
      </c>
      <c r="D132" s="271" t="s">
        <v>165</v>
      </c>
      <c r="E132" s="271" t="s">
        <v>704</v>
      </c>
      <c r="F132" s="271" t="s">
        <v>884</v>
      </c>
      <c r="G132" s="272" t="s">
        <v>1224</v>
      </c>
      <c r="H132" s="272" t="s">
        <v>1224</v>
      </c>
      <c r="I132" s="272" t="s">
        <v>1260</v>
      </c>
      <c r="J132" s="272" t="s">
        <v>1260</v>
      </c>
      <c r="K132" s="271" t="s">
        <v>232</v>
      </c>
      <c r="L132" s="273">
        <v>6800</v>
      </c>
      <c r="M132" s="271" t="s">
        <v>1088</v>
      </c>
      <c r="N132" s="271" t="s">
        <v>695</v>
      </c>
      <c r="O132" s="271" t="s">
        <v>168</v>
      </c>
      <c r="P132" s="271"/>
      <c r="Q132" s="271">
        <v>-246</v>
      </c>
    </row>
    <row r="133" spans="1:17" ht="15">
      <c r="A133" s="332" t="s">
        <v>1261</v>
      </c>
      <c r="B133" s="271" t="s">
        <v>883</v>
      </c>
      <c r="C133" s="271" t="s">
        <v>886</v>
      </c>
      <c r="D133" s="271" t="s">
        <v>165</v>
      </c>
      <c r="E133" s="271" t="s">
        <v>704</v>
      </c>
      <c r="F133" s="271" t="s">
        <v>884</v>
      </c>
      <c r="G133" s="272" t="s">
        <v>1224</v>
      </c>
      <c r="H133" s="272" t="s">
        <v>1224</v>
      </c>
      <c r="I133" s="272" t="s">
        <v>1260</v>
      </c>
      <c r="J133" s="272" t="s">
        <v>1260</v>
      </c>
      <c r="K133" s="271" t="s">
        <v>232</v>
      </c>
      <c r="L133" s="273">
        <v>6800</v>
      </c>
      <c r="M133" s="271" t="s">
        <v>1090</v>
      </c>
      <c r="N133" s="271" t="s">
        <v>168</v>
      </c>
      <c r="O133" s="271" t="s">
        <v>1091</v>
      </c>
      <c r="P133" s="271"/>
      <c r="Q133" s="271">
        <v>-204</v>
      </c>
    </row>
    <row r="134" spans="1:17" ht="15" hidden="1">
      <c r="A134" s="332" t="s">
        <v>1262</v>
      </c>
      <c r="B134" s="271" t="s">
        <v>883</v>
      </c>
      <c r="C134" s="271" t="s">
        <v>882</v>
      </c>
      <c r="D134" s="271" t="s">
        <v>165</v>
      </c>
      <c r="E134" s="271" t="s">
        <v>885</v>
      </c>
      <c r="F134" s="271" t="s">
        <v>884</v>
      </c>
      <c r="G134" s="272" t="s">
        <v>1224</v>
      </c>
      <c r="H134" s="272" t="s">
        <v>1224</v>
      </c>
      <c r="I134" s="272" t="s">
        <v>1260</v>
      </c>
      <c r="J134" s="272" t="s">
        <v>1260</v>
      </c>
      <c r="K134" s="271" t="s">
        <v>232</v>
      </c>
      <c r="L134" s="273">
        <v>0</v>
      </c>
      <c r="M134" s="271" t="s">
        <v>1088</v>
      </c>
      <c r="N134" s="271" t="s">
        <v>695</v>
      </c>
      <c r="O134" s="271" t="s">
        <v>168</v>
      </c>
      <c r="P134" s="271"/>
      <c r="Q134" s="271">
        <v>0</v>
      </c>
    </row>
    <row r="135" spans="1:17" ht="15">
      <c r="A135" s="332" t="s">
        <v>1263</v>
      </c>
      <c r="B135" s="271" t="s">
        <v>883</v>
      </c>
      <c r="C135" s="271" t="s">
        <v>882</v>
      </c>
      <c r="D135" s="271" t="s">
        <v>165</v>
      </c>
      <c r="E135" s="271" t="s">
        <v>885</v>
      </c>
      <c r="F135" s="271" t="s">
        <v>884</v>
      </c>
      <c r="G135" s="272" t="s">
        <v>1224</v>
      </c>
      <c r="H135" s="272" t="s">
        <v>1224</v>
      </c>
      <c r="I135" s="272" t="s">
        <v>1260</v>
      </c>
      <c r="J135" s="272" t="s">
        <v>1260</v>
      </c>
      <c r="K135" s="271" t="s">
        <v>232</v>
      </c>
      <c r="L135" s="273">
        <v>0</v>
      </c>
      <c r="M135" s="271" t="s">
        <v>1090</v>
      </c>
      <c r="N135" s="271" t="s">
        <v>168</v>
      </c>
      <c r="O135" s="271" t="s">
        <v>1091</v>
      </c>
      <c r="P135" s="271"/>
      <c r="Q135" s="271">
        <v>0</v>
      </c>
    </row>
    <row r="136" spans="1:17" ht="15" hidden="1">
      <c r="A136" s="332" t="s">
        <v>1264</v>
      </c>
      <c r="B136" s="271" t="s">
        <v>883</v>
      </c>
      <c r="C136" s="271" t="s">
        <v>1265</v>
      </c>
      <c r="D136" s="271" t="s">
        <v>137</v>
      </c>
      <c r="E136" s="271"/>
      <c r="F136" s="271" t="s">
        <v>884</v>
      </c>
      <c r="G136" s="272" t="s">
        <v>1224</v>
      </c>
      <c r="H136" s="272" t="s">
        <v>1224</v>
      </c>
      <c r="I136" s="272" t="s">
        <v>1260</v>
      </c>
      <c r="J136" s="272" t="s">
        <v>1260</v>
      </c>
      <c r="K136" s="271" t="s">
        <v>232</v>
      </c>
      <c r="L136" s="273">
        <v>3000</v>
      </c>
      <c r="M136" s="271" t="s">
        <v>1088</v>
      </c>
      <c r="N136" s="271" t="s">
        <v>695</v>
      </c>
      <c r="O136" s="271" t="s">
        <v>168</v>
      </c>
      <c r="P136" s="271"/>
      <c r="Q136" s="271">
        <v>-108</v>
      </c>
    </row>
    <row r="137" spans="1:17" ht="15" hidden="1">
      <c r="A137" s="332" t="s">
        <v>1266</v>
      </c>
      <c r="B137" s="271" t="s">
        <v>880</v>
      </c>
      <c r="C137" s="271" t="s">
        <v>879</v>
      </c>
      <c r="D137" s="271" t="s">
        <v>165</v>
      </c>
      <c r="E137" s="271" t="s">
        <v>828</v>
      </c>
      <c r="F137" s="271" t="s">
        <v>881</v>
      </c>
      <c r="G137" s="272" t="s">
        <v>1224</v>
      </c>
      <c r="H137" s="272" t="s">
        <v>1224</v>
      </c>
      <c r="I137" s="272" t="s">
        <v>1260</v>
      </c>
      <c r="J137" s="272" t="s">
        <v>1260</v>
      </c>
      <c r="K137" s="271" t="s">
        <v>232</v>
      </c>
      <c r="L137" s="273">
        <v>64500</v>
      </c>
      <c r="M137" s="271" t="s">
        <v>1088</v>
      </c>
      <c r="N137" s="271" t="s">
        <v>695</v>
      </c>
      <c r="O137" s="271" t="s">
        <v>168</v>
      </c>
      <c r="P137" s="271"/>
      <c r="Q137" s="271">
        <v>-2341</v>
      </c>
    </row>
    <row r="138" spans="1:17" ht="15">
      <c r="A138" s="332" t="s">
        <v>1267</v>
      </c>
      <c r="B138" s="271" t="s">
        <v>880</v>
      </c>
      <c r="C138" s="271" t="s">
        <v>879</v>
      </c>
      <c r="D138" s="271" t="s">
        <v>165</v>
      </c>
      <c r="E138" s="271" t="s">
        <v>828</v>
      </c>
      <c r="F138" s="271" t="s">
        <v>881</v>
      </c>
      <c r="G138" s="272" t="s">
        <v>1224</v>
      </c>
      <c r="H138" s="272" t="s">
        <v>1224</v>
      </c>
      <c r="I138" s="272" t="s">
        <v>1260</v>
      </c>
      <c r="J138" s="272" t="s">
        <v>1260</v>
      </c>
      <c r="K138" s="271" t="s">
        <v>232</v>
      </c>
      <c r="L138" s="273">
        <v>64500</v>
      </c>
      <c r="M138" s="271" t="s">
        <v>1090</v>
      </c>
      <c r="N138" s="271" t="s">
        <v>168</v>
      </c>
      <c r="O138" s="271" t="s">
        <v>1091</v>
      </c>
      <c r="P138" s="271"/>
      <c r="Q138" s="271">
        <v>-1935</v>
      </c>
    </row>
    <row r="139" spans="1:17" ht="15" hidden="1">
      <c r="A139" s="332" t="s">
        <v>1268</v>
      </c>
      <c r="B139" s="271" t="s">
        <v>874</v>
      </c>
      <c r="C139" s="271" t="s">
        <v>873</v>
      </c>
      <c r="D139" s="271" t="s">
        <v>165</v>
      </c>
      <c r="E139" s="271" t="s">
        <v>686</v>
      </c>
      <c r="F139" s="271" t="s">
        <v>875</v>
      </c>
      <c r="G139" s="272" t="s">
        <v>1224</v>
      </c>
      <c r="H139" s="272" t="s">
        <v>1224</v>
      </c>
      <c r="I139" s="272" t="s">
        <v>1260</v>
      </c>
      <c r="J139" s="272" t="s">
        <v>1260</v>
      </c>
      <c r="K139" s="271" t="s">
        <v>232</v>
      </c>
      <c r="L139" s="273">
        <v>990</v>
      </c>
      <c r="M139" s="271" t="s">
        <v>1088</v>
      </c>
      <c r="N139" s="271" t="s">
        <v>1089</v>
      </c>
      <c r="O139" s="271" t="s">
        <v>168</v>
      </c>
      <c r="P139" s="271"/>
      <c r="Q139" s="271">
        <v>-35</v>
      </c>
    </row>
    <row r="140" spans="1:17" ht="15">
      <c r="A140" s="332" t="s">
        <v>1269</v>
      </c>
      <c r="B140" s="271" t="s">
        <v>874</v>
      </c>
      <c r="C140" s="271" t="s">
        <v>873</v>
      </c>
      <c r="D140" s="271" t="s">
        <v>165</v>
      </c>
      <c r="E140" s="271" t="s">
        <v>686</v>
      </c>
      <c r="F140" s="271" t="s">
        <v>875</v>
      </c>
      <c r="G140" s="272" t="s">
        <v>1224</v>
      </c>
      <c r="H140" s="272" t="s">
        <v>1224</v>
      </c>
      <c r="I140" s="272" t="s">
        <v>1260</v>
      </c>
      <c r="J140" s="272" t="s">
        <v>1260</v>
      </c>
      <c r="K140" s="271" t="s">
        <v>232</v>
      </c>
      <c r="L140" s="273">
        <v>990</v>
      </c>
      <c r="M140" s="271" t="s">
        <v>1090</v>
      </c>
      <c r="N140" s="271" t="s">
        <v>168</v>
      </c>
      <c r="O140" s="271" t="s">
        <v>1091</v>
      </c>
      <c r="P140" s="271"/>
      <c r="Q140" s="271">
        <v>-29</v>
      </c>
    </row>
    <row r="141" spans="1:17" ht="15" hidden="1">
      <c r="A141" s="332" t="s">
        <v>1270</v>
      </c>
      <c r="B141" s="271" t="s">
        <v>874</v>
      </c>
      <c r="C141" s="271" t="s">
        <v>1271</v>
      </c>
      <c r="D141" s="271" t="s">
        <v>137</v>
      </c>
      <c r="E141" s="271"/>
      <c r="F141" s="271" t="s">
        <v>875</v>
      </c>
      <c r="G141" s="272" t="s">
        <v>1224</v>
      </c>
      <c r="H141" s="272" t="s">
        <v>1224</v>
      </c>
      <c r="I141" s="272" t="s">
        <v>1260</v>
      </c>
      <c r="J141" s="272" t="s">
        <v>1260</v>
      </c>
      <c r="K141" s="271" t="s">
        <v>232</v>
      </c>
      <c r="L141" s="273">
        <v>3000</v>
      </c>
      <c r="M141" s="271" t="s">
        <v>1088</v>
      </c>
      <c r="N141" s="271" t="s">
        <v>1089</v>
      </c>
      <c r="O141" s="271" t="s">
        <v>168</v>
      </c>
      <c r="P141" s="271"/>
      <c r="Q141" s="271">
        <v>-108</v>
      </c>
    </row>
    <row r="142" spans="1:17" ht="15" hidden="1">
      <c r="A142" s="332" t="s">
        <v>1272</v>
      </c>
      <c r="B142" s="271" t="s">
        <v>877</v>
      </c>
      <c r="C142" s="271" t="s">
        <v>876</v>
      </c>
      <c r="D142" s="271" t="s">
        <v>165</v>
      </c>
      <c r="E142" s="271" t="s">
        <v>686</v>
      </c>
      <c r="F142" s="271" t="s">
        <v>878</v>
      </c>
      <c r="G142" s="272" t="s">
        <v>1224</v>
      </c>
      <c r="H142" s="272" t="s">
        <v>1224</v>
      </c>
      <c r="I142" s="272" t="s">
        <v>1260</v>
      </c>
      <c r="J142" s="272" t="s">
        <v>1260</v>
      </c>
      <c r="K142" s="271" t="s">
        <v>232</v>
      </c>
      <c r="L142" s="273">
        <v>990</v>
      </c>
      <c r="M142" s="271" t="s">
        <v>1088</v>
      </c>
      <c r="N142" s="271" t="s">
        <v>695</v>
      </c>
      <c r="O142" s="271" t="s">
        <v>168</v>
      </c>
      <c r="P142" s="271"/>
      <c r="Q142" s="271">
        <v>-35</v>
      </c>
    </row>
    <row r="143" spans="1:17" ht="15">
      <c r="A143" s="332" t="s">
        <v>1273</v>
      </c>
      <c r="B143" s="271" t="s">
        <v>877</v>
      </c>
      <c r="C143" s="271" t="s">
        <v>876</v>
      </c>
      <c r="D143" s="271" t="s">
        <v>165</v>
      </c>
      <c r="E143" s="271" t="s">
        <v>686</v>
      </c>
      <c r="F143" s="271" t="s">
        <v>878</v>
      </c>
      <c r="G143" s="272" t="s">
        <v>1224</v>
      </c>
      <c r="H143" s="272" t="s">
        <v>1224</v>
      </c>
      <c r="I143" s="272" t="s">
        <v>1260</v>
      </c>
      <c r="J143" s="272" t="s">
        <v>1260</v>
      </c>
      <c r="K143" s="271" t="s">
        <v>232</v>
      </c>
      <c r="L143" s="273">
        <v>990</v>
      </c>
      <c r="M143" s="271" t="s">
        <v>1090</v>
      </c>
      <c r="N143" s="271" t="s">
        <v>168</v>
      </c>
      <c r="O143" s="271" t="s">
        <v>1091</v>
      </c>
      <c r="P143" s="271"/>
      <c r="Q143" s="271">
        <v>-29</v>
      </c>
    </row>
    <row r="144" spans="1:17" ht="15" hidden="1">
      <c r="A144" s="332" t="s">
        <v>1274</v>
      </c>
      <c r="B144" s="271" t="s">
        <v>877</v>
      </c>
      <c r="C144" s="271" t="s">
        <v>1275</v>
      </c>
      <c r="D144" s="271" t="s">
        <v>137</v>
      </c>
      <c r="E144" s="271"/>
      <c r="F144" s="271" t="s">
        <v>878</v>
      </c>
      <c r="G144" s="272" t="s">
        <v>1224</v>
      </c>
      <c r="H144" s="272" t="s">
        <v>1224</v>
      </c>
      <c r="I144" s="272" t="s">
        <v>1260</v>
      </c>
      <c r="J144" s="272" t="s">
        <v>1260</v>
      </c>
      <c r="K144" s="271" t="s">
        <v>232</v>
      </c>
      <c r="L144" s="273">
        <v>3000</v>
      </c>
      <c r="M144" s="271" t="s">
        <v>1088</v>
      </c>
      <c r="N144" s="271" t="s">
        <v>695</v>
      </c>
      <c r="O144" s="271" t="s">
        <v>168</v>
      </c>
      <c r="P144" s="271"/>
      <c r="Q144" s="271">
        <v>-108</v>
      </c>
    </row>
    <row r="145" spans="1:17" ht="15" hidden="1">
      <c r="A145" s="332" t="s">
        <v>1276</v>
      </c>
      <c r="B145" s="271" t="s">
        <v>865</v>
      </c>
      <c r="C145" s="271" t="s">
        <v>864</v>
      </c>
      <c r="D145" s="271" t="s">
        <v>165</v>
      </c>
      <c r="E145" s="271" t="s">
        <v>812</v>
      </c>
      <c r="F145" s="271" t="s">
        <v>866</v>
      </c>
      <c r="G145" s="272" t="s">
        <v>1224</v>
      </c>
      <c r="H145" s="272" t="s">
        <v>1224</v>
      </c>
      <c r="I145" s="272" t="s">
        <v>1277</v>
      </c>
      <c r="J145" s="272" t="s">
        <v>1277</v>
      </c>
      <c r="K145" s="271" t="s">
        <v>232</v>
      </c>
      <c r="L145" s="273">
        <v>990</v>
      </c>
      <c r="M145" s="271" t="s">
        <v>1088</v>
      </c>
      <c r="N145" s="271" t="s">
        <v>695</v>
      </c>
      <c r="O145" s="271" t="s">
        <v>168</v>
      </c>
      <c r="P145" s="271"/>
      <c r="Q145" s="271">
        <v>-35</v>
      </c>
    </row>
    <row r="146" spans="1:17" ht="15">
      <c r="A146" s="332" t="s">
        <v>1278</v>
      </c>
      <c r="B146" s="271" t="s">
        <v>865</v>
      </c>
      <c r="C146" s="271" t="s">
        <v>864</v>
      </c>
      <c r="D146" s="271" t="s">
        <v>165</v>
      </c>
      <c r="E146" s="271" t="s">
        <v>812</v>
      </c>
      <c r="F146" s="271" t="s">
        <v>866</v>
      </c>
      <c r="G146" s="272" t="s">
        <v>1224</v>
      </c>
      <c r="H146" s="272" t="s">
        <v>1224</v>
      </c>
      <c r="I146" s="272" t="s">
        <v>1277</v>
      </c>
      <c r="J146" s="272" t="s">
        <v>1277</v>
      </c>
      <c r="K146" s="271" t="s">
        <v>232</v>
      </c>
      <c r="L146" s="273">
        <v>990</v>
      </c>
      <c r="M146" s="271" t="s">
        <v>1090</v>
      </c>
      <c r="N146" s="271" t="s">
        <v>168</v>
      </c>
      <c r="O146" s="271" t="s">
        <v>1091</v>
      </c>
      <c r="P146" s="271"/>
      <c r="Q146" s="271">
        <v>-29</v>
      </c>
    </row>
    <row r="147" spans="1:17" ht="15" hidden="1">
      <c r="A147" s="332" t="s">
        <v>1279</v>
      </c>
      <c r="B147" s="271" t="s">
        <v>865</v>
      </c>
      <c r="C147" s="271" t="s">
        <v>1280</v>
      </c>
      <c r="D147" s="271" t="s">
        <v>137</v>
      </c>
      <c r="E147" s="271"/>
      <c r="F147" s="271" t="s">
        <v>866</v>
      </c>
      <c r="G147" s="272" t="s">
        <v>1224</v>
      </c>
      <c r="H147" s="272" t="s">
        <v>1224</v>
      </c>
      <c r="I147" s="272" t="s">
        <v>1277</v>
      </c>
      <c r="J147" s="272" t="s">
        <v>1277</v>
      </c>
      <c r="K147" s="271" t="s">
        <v>232</v>
      </c>
      <c r="L147" s="273">
        <v>3000</v>
      </c>
      <c r="M147" s="271" t="s">
        <v>1088</v>
      </c>
      <c r="N147" s="271" t="s">
        <v>695</v>
      </c>
      <c r="O147" s="271" t="s">
        <v>168</v>
      </c>
      <c r="P147" s="271"/>
      <c r="Q147" s="271">
        <v>-108</v>
      </c>
    </row>
    <row r="148" spans="1:17" ht="15" hidden="1">
      <c r="A148" s="332" t="s">
        <v>1281</v>
      </c>
      <c r="B148" s="271" t="s">
        <v>871</v>
      </c>
      <c r="C148" s="271" t="s">
        <v>870</v>
      </c>
      <c r="D148" s="271" t="s">
        <v>165</v>
      </c>
      <c r="E148" s="271" t="s">
        <v>686</v>
      </c>
      <c r="F148" s="271" t="s">
        <v>872</v>
      </c>
      <c r="G148" s="272" t="s">
        <v>1224</v>
      </c>
      <c r="H148" s="272" t="s">
        <v>1224</v>
      </c>
      <c r="I148" s="272" t="s">
        <v>1277</v>
      </c>
      <c r="J148" s="272" t="s">
        <v>1277</v>
      </c>
      <c r="K148" s="271" t="s">
        <v>232</v>
      </c>
      <c r="L148" s="273">
        <v>990</v>
      </c>
      <c r="M148" s="271" t="s">
        <v>1088</v>
      </c>
      <c r="N148" s="271" t="s">
        <v>695</v>
      </c>
      <c r="O148" s="271" t="s">
        <v>168</v>
      </c>
      <c r="P148" s="271"/>
      <c r="Q148" s="271">
        <v>-35</v>
      </c>
    </row>
    <row r="149" spans="1:17" ht="15">
      <c r="A149" s="332" t="s">
        <v>1282</v>
      </c>
      <c r="B149" s="271" t="s">
        <v>871</v>
      </c>
      <c r="C149" s="271" t="s">
        <v>870</v>
      </c>
      <c r="D149" s="271" t="s">
        <v>165</v>
      </c>
      <c r="E149" s="271" t="s">
        <v>686</v>
      </c>
      <c r="F149" s="271" t="s">
        <v>872</v>
      </c>
      <c r="G149" s="272" t="s">
        <v>1224</v>
      </c>
      <c r="H149" s="272" t="s">
        <v>1224</v>
      </c>
      <c r="I149" s="272" t="s">
        <v>1277</v>
      </c>
      <c r="J149" s="272" t="s">
        <v>1277</v>
      </c>
      <c r="K149" s="271" t="s">
        <v>232</v>
      </c>
      <c r="L149" s="273">
        <v>990</v>
      </c>
      <c r="M149" s="271" t="s">
        <v>1090</v>
      </c>
      <c r="N149" s="271" t="s">
        <v>168</v>
      </c>
      <c r="O149" s="271" t="s">
        <v>1091</v>
      </c>
      <c r="P149" s="271"/>
      <c r="Q149" s="271">
        <v>-29</v>
      </c>
    </row>
    <row r="150" spans="1:17" ht="15" hidden="1">
      <c r="A150" s="332" t="s">
        <v>1283</v>
      </c>
      <c r="B150" s="271" t="s">
        <v>871</v>
      </c>
      <c r="C150" s="271" t="s">
        <v>1284</v>
      </c>
      <c r="D150" s="271" t="s">
        <v>137</v>
      </c>
      <c r="E150" s="271"/>
      <c r="F150" s="271" t="s">
        <v>872</v>
      </c>
      <c r="G150" s="272" t="s">
        <v>1224</v>
      </c>
      <c r="H150" s="272" t="s">
        <v>1224</v>
      </c>
      <c r="I150" s="272" t="s">
        <v>1277</v>
      </c>
      <c r="J150" s="272" t="s">
        <v>1277</v>
      </c>
      <c r="K150" s="271" t="s">
        <v>232</v>
      </c>
      <c r="L150" s="273">
        <v>3000</v>
      </c>
      <c r="M150" s="271" t="s">
        <v>1088</v>
      </c>
      <c r="N150" s="271" t="s">
        <v>695</v>
      </c>
      <c r="O150" s="271" t="s">
        <v>168</v>
      </c>
      <c r="P150" s="271"/>
      <c r="Q150" s="271">
        <v>-108</v>
      </c>
    </row>
    <row r="151" spans="1:17" ht="15" hidden="1">
      <c r="A151" s="332" t="s">
        <v>1285</v>
      </c>
      <c r="B151" s="271" t="s">
        <v>868</v>
      </c>
      <c r="C151" s="271" t="s">
        <v>867</v>
      </c>
      <c r="D151" s="271" t="s">
        <v>165</v>
      </c>
      <c r="E151" s="271" t="s">
        <v>686</v>
      </c>
      <c r="F151" s="271" t="s">
        <v>869</v>
      </c>
      <c r="G151" s="272" t="s">
        <v>1224</v>
      </c>
      <c r="H151" s="272" t="s">
        <v>1224</v>
      </c>
      <c r="I151" s="272" t="s">
        <v>1277</v>
      </c>
      <c r="J151" s="272" t="s">
        <v>1277</v>
      </c>
      <c r="K151" s="271" t="s">
        <v>232</v>
      </c>
      <c r="L151" s="273">
        <v>990</v>
      </c>
      <c r="M151" s="271" t="s">
        <v>1088</v>
      </c>
      <c r="N151" s="271" t="s">
        <v>695</v>
      </c>
      <c r="O151" s="271" t="s">
        <v>168</v>
      </c>
      <c r="P151" s="271"/>
      <c r="Q151" s="271">
        <v>-35</v>
      </c>
    </row>
    <row r="152" spans="1:17" ht="15">
      <c r="A152" s="332" t="s">
        <v>1286</v>
      </c>
      <c r="B152" s="271" t="s">
        <v>868</v>
      </c>
      <c r="C152" s="271" t="s">
        <v>867</v>
      </c>
      <c r="D152" s="271" t="s">
        <v>165</v>
      </c>
      <c r="E152" s="271" t="s">
        <v>686</v>
      </c>
      <c r="F152" s="271" t="s">
        <v>869</v>
      </c>
      <c r="G152" s="272" t="s">
        <v>1224</v>
      </c>
      <c r="H152" s="272" t="s">
        <v>1224</v>
      </c>
      <c r="I152" s="272" t="s">
        <v>1277</v>
      </c>
      <c r="J152" s="272" t="s">
        <v>1277</v>
      </c>
      <c r="K152" s="271" t="s">
        <v>232</v>
      </c>
      <c r="L152" s="273">
        <v>990</v>
      </c>
      <c r="M152" s="271" t="s">
        <v>1090</v>
      </c>
      <c r="N152" s="271" t="s">
        <v>168</v>
      </c>
      <c r="O152" s="271" t="s">
        <v>1091</v>
      </c>
      <c r="P152" s="271"/>
      <c r="Q152" s="271">
        <v>-29</v>
      </c>
    </row>
    <row r="153" spans="1:17" ht="15" hidden="1">
      <c r="A153" s="332" t="s">
        <v>1287</v>
      </c>
      <c r="B153" s="271" t="s">
        <v>868</v>
      </c>
      <c r="C153" s="271" t="s">
        <v>1288</v>
      </c>
      <c r="D153" s="271" t="s">
        <v>137</v>
      </c>
      <c r="E153" s="271"/>
      <c r="F153" s="271" t="s">
        <v>869</v>
      </c>
      <c r="G153" s="272" t="s">
        <v>1224</v>
      </c>
      <c r="H153" s="272" t="s">
        <v>1224</v>
      </c>
      <c r="I153" s="272" t="s">
        <v>1277</v>
      </c>
      <c r="J153" s="272" t="s">
        <v>1277</v>
      </c>
      <c r="K153" s="271" t="s">
        <v>232</v>
      </c>
      <c r="L153" s="273">
        <v>3000</v>
      </c>
      <c r="M153" s="271" t="s">
        <v>1088</v>
      </c>
      <c r="N153" s="271" t="s">
        <v>695</v>
      </c>
      <c r="O153" s="271" t="s">
        <v>168</v>
      </c>
      <c r="P153" s="271"/>
      <c r="Q153" s="271">
        <v>-108</v>
      </c>
    </row>
    <row r="154" spans="1:17" ht="15" hidden="1">
      <c r="A154" s="332" t="s">
        <v>1289</v>
      </c>
      <c r="B154" s="271" t="s">
        <v>859</v>
      </c>
      <c r="C154" s="271" t="s">
        <v>858</v>
      </c>
      <c r="D154" s="271" t="s">
        <v>165</v>
      </c>
      <c r="E154" s="271" t="s">
        <v>686</v>
      </c>
      <c r="F154" s="271" t="s">
        <v>860</v>
      </c>
      <c r="G154" s="272" t="s">
        <v>1290</v>
      </c>
      <c r="H154" s="272" t="s">
        <v>1290</v>
      </c>
      <c r="I154" s="272" t="s">
        <v>1224</v>
      </c>
      <c r="J154" s="272" t="s">
        <v>1224</v>
      </c>
      <c r="K154" s="271" t="s">
        <v>232</v>
      </c>
      <c r="L154" s="273">
        <v>990</v>
      </c>
      <c r="M154" s="271" t="s">
        <v>1088</v>
      </c>
      <c r="N154" s="271" t="s">
        <v>1089</v>
      </c>
      <c r="O154" s="271" t="s">
        <v>168</v>
      </c>
      <c r="P154" s="271"/>
      <c r="Q154" s="271">
        <v>-35</v>
      </c>
    </row>
    <row r="155" spans="1:17" ht="15">
      <c r="A155" s="332" t="s">
        <v>1291</v>
      </c>
      <c r="B155" s="271" t="s">
        <v>859</v>
      </c>
      <c r="C155" s="271" t="s">
        <v>858</v>
      </c>
      <c r="D155" s="271" t="s">
        <v>165</v>
      </c>
      <c r="E155" s="271" t="s">
        <v>686</v>
      </c>
      <c r="F155" s="271" t="s">
        <v>860</v>
      </c>
      <c r="G155" s="272" t="s">
        <v>1290</v>
      </c>
      <c r="H155" s="272" t="s">
        <v>1290</v>
      </c>
      <c r="I155" s="272" t="s">
        <v>1224</v>
      </c>
      <c r="J155" s="272" t="s">
        <v>1224</v>
      </c>
      <c r="K155" s="271" t="s">
        <v>232</v>
      </c>
      <c r="L155" s="273">
        <v>990</v>
      </c>
      <c r="M155" s="271" t="s">
        <v>1090</v>
      </c>
      <c r="N155" s="271" t="s">
        <v>168</v>
      </c>
      <c r="O155" s="271" t="s">
        <v>1091</v>
      </c>
      <c r="P155" s="271"/>
      <c r="Q155" s="271">
        <v>-29</v>
      </c>
    </row>
    <row r="156" spans="1:17" ht="15" hidden="1">
      <c r="A156" s="332" t="s">
        <v>1292</v>
      </c>
      <c r="B156" s="271" t="s">
        <v>859</v>
      </c>
      <c r="C156" s="271" t="s">
        <v>1293</v>
      </c>
      <c r="D156" s="271" t="s">
        <v>137</v>
      </c>
      <c r="E156" s="271"/>
      <c r="F156" s="271" t="s">
        <v>860</v>
      </c>
      <c r="G156" s="272" t="s">
        <v>1290</v>
      </c>
      <c r="H156" s="272" t="s">
        <v>1290</v>
      </c>
      <c r="I156" s="272" t="s">
        <v>1224</v>
      </c>
      <c r="J156" s="272" t="s">
        <v>1224</v>
      </c>
      <c r="K156" s="271" t="s">
        <v>232</v>
      </c>
      <c r="L156" s="273">
        <v>3000</v>
      </c>
      <c r="M156" s="271" t="s">
        <v>1088</v>
      </c>
      <c r="N156" s="271" t="s">
        <v>1089</v>
      </c>
      <c r="O156" s="271" t="s">
        <v>168</v>
      </c>
      <c r="P156" s="271"/>
      <c r="Q156" s="271">
        <v>-108</v>
      </c>
    </row>
    <row r="157" spans="1:17" ht="15" hidden="1">
      <c r="A157" s="332" t="s">
        <v>1294</v>
      </c>
      <c r="B157" s="271" t="s">
        <v>862</v>
      </c>
      <c r="C157" s="271" t="s">
        <v>861</v>
      </c>
      <c r="D157" s="271" t="s">
        <v>165</v>
      </c>
      <c r="E157" s="271" t="s">
        <v>686</v>
      </c>
      <c r="F157" s="271" t="s">
        <v>863</v>
      </c>
      <c r="G157" s="272" t="s">
        <v>1290</v>
      </c>
      <c r="H157" s="272" t="s">
        <v>1290</v>
      </c>
      <c r="I157" s="272" t="s">
        <v>1224</v>
      </c>
      <c r="J157" s="272" t="s">
        <v>1224</v>
      </c>
      <c r="K157" s="271" t="s">
        <v>232</v>
      </c>
      <c r="L157" s="273">
        <v>990</v>
      </c>
      <c r="M157" s="271" t="s">
        <v>1088</v>
      </c>
      <c r="N157" s="271" t="s">
        <v>1089</v>
      </c>
      <c r="O157" s="271" t="s">
        <v>168</v>
      </c>
      <c r="P157" s="271"/>
      <c r="Q157" s="271">
        <v>-35</v>
      </c>
    </row>
    <row r="158" spans="1:17" ht="15">
      <c r="A158" s="332" t="s">
        <v>1295</v>
      </c>
      <c r="B158" s="271" t="s">
        <v>862</v>
      </c>
      <c r="C158" s="271" t="s">
        <v>861</v>
      </c>
      <c r="D158" s="271" t="s">
        <v>165</v>
      </c>
      <c r="E158" s="271" t="s">
        <v>686</v>
      </c>
      <c r="F158" s="271" t="s">
        <v>863</v>
      </c>
      <c r="G158" s="272" t="s">
        <v>1290</v>
      </c>
      <c r="H158" s="272" t="s">
        <v>1290</v>
      </c>
      <c r="I158" s="272" t="s">
        <v>1224</v>
      </c>
      <c r="J158" s="272" t="s">
        <v>1224</v>
      </c>
      <c r="K158" s="271" t="s">
        <v>232</v>
      </c>
      <c r="L158" s="273">
        <v>990</v>
      </c>
      <c r="M158" s="271" t="s">
        <v>1090</v>
      </c>
      <c r="N158" s="271" t="s">
        <v>168</v>
      </c>
      <c r="O158" s="271" t="s">
        <v>1091</v>
      </c>
      <c r="P158" s="271"/>
      <c r="Q158" s="271">
        <v>-29</v>
      </c>
    </row>
    <row r="159" spans="1:17" ht="15" hidden="1">
      <c r="A159" s="332" t="s">
        <v>1296</v>
      </c>
      <c r="B159" s="271" t="s">
        <v>862</v>
      </c>
      <c r="C159" s="271" t="s">
        <v>1297</v>
      </c>
      <c r="D159" s="271" t="s">
        <v>137</v>
      </c>
      <c r="E159" s="271"/>
      <c r="F159" s="271" t="s">
        <v>863</v>
      </c>
      <c r="G159" s="272" t="s">
        <v>1290</v>
      </c>
      <c r="H159" s="272" t="s">
        <v>1290</v>
      </c>
      <c r="I159" s="272" t="s">
        <v>1224</v>
      </c>
      <c r="J159" s="272" t="s">
        <v>1224</v>
      </c>
      <c r="K159" s="271" t="s">
        <v>232</v>
      </c>
      <c r="L159" s="273">
        <v>3000</v>
      </c>
      <c r="M159" s="271" t="s">
        <v>1088</v>
      </c>
      <c r="N159" s="271" t="s">
        <v>1089</v>
      </c>
      <c r="O159" s="271" t="s">
        <v>168</v>
      </c>
      <c r="P159" s="271"/>
      <c r="Q159" s="271">
        <v>-108</v>
      </c>
    </row>
    <row r="160" spans="1:17" ht="15" hidden="1">
      <c r="A160" s="332" t="s">
        <v>1298</v>
      </c>
      <c r="B160" s="271" t="s">
        <v>852</v>
      </c>
      <c r="C160" s="271" t="s">
        <v>851</v>
      </c>
      <c r="D160" s="271" t="s">
        <v>165</v>
      </c>
      <c r="E160" s="271" t="s">
        <v>686</v>
      </c>
      <c r="F160" s="271" t="s">
        <v>853</v>
      </c>
      <c r="G160" s="272" t="s">
        <v>1290</v>
      </c>
      <c r="H160" s="272" t="s">
        <v>1290</v>
      </c>
      <c r="I160" s="272" t="s">
        <v>1224</v>
      </c>
      <c r="J160" s="272" t="s">
        <v>1224</v>
      </c>
      <c r="K160" s="271" t="s">
        <v>232</v>
      </c>
      <c r="L160" s="273">
        <v>990</v>
      </c>
      <c r="M160" s="271" t="s">
        <v>1088</v>
      </c>
      <c r="N160" s="271" t="s">
        <v>1089</v>
      </c>
      <c r="O160" s="271" t="s">
        <v>168</v>
      </c>
      <c r="P160" s="271"/>
      <c r="Q160" s="271">
        <v>-35</v>
      </c>
    </row>
    <row r="161" spans="1:17" ht="15">
      <c r="A161" s="332" t="s">
        <v>1299</v>
      </c>
      <c r="B161" s="271" t="s">
        <v>852</v>
      </c>
      <c r="C161" s="271" t="s">
        <v>851</v>
      </c>
      <c r="D161" s="271" t="s">
        <v>165</v>
      </c>
      <c r="E161" s="271" t="s">
        <v>686</v>
      </c>
      <c r="F161" s="271" t="s">
        <v>853</v>
      </c>
      <c r="G161" s="272" t="s">
        <v>1290</v>
      </c>
      <c r="H161" s="272" t="s">
        <v>1290</v>
      </c>
      <c r="I161" s="272" t="s">
        <v>1224</v>
      </c>
      <c r="J161" s="272" t="s">
        <v>1224</v>
      </c>
      <c r="K161" s="271" t="s">
        <v>232</v>
      </c>
      <c r="L161" s="273">
        <v>990</v>
      </c>
      <c r="M161" s="271" t="s">
        <v>1090</v>
      </c>
      <c r="N161" s="271" t="s">
        <v>168</v>
      </c>
      <c r="O161" s="271" t="s">
        <v>1091</v>
      </c>
      <c r="P161" s="271"/>
      <c r="Q161" s="271">
        <v>-29</v>
      </c>
    </row>
    <row r="162" spans="1:17" ht="15" hidden="1">
      <c r="A162" s="332" t="s">
        <v>1300</v>
      </c>
      <c r="B162" s="271" t="s">
        <v>852</v>
      </c>
      <c r="C162" s="271" t="s">
        <v>1301</v>
      </c>
      <c r="D162" s="271" t="s">
        <v>137</v>
      </c>
      <c r="E162" s="271"/>
      <c r="F162" s="271" t="s">
        <v>853</v>
      </c>
      <c r="G162" s="272" t="s">
        <v>1290</v>
      </c>
      <c r="H162" s="272" t="s">
        <v>1290</v>
      </c>
      <c r="I162" s="272" t="s">
        <v>1224</v>
      </c>
      <c r="J162" s="272" t="s">
        <v>1224</v>
      </c>
      <c r="K162" s="271" t="s">
        <v>232</v>
      </c>
      <c r="L162" s="273">
        <v>3000</v>
      </c>
      <c r="M162" s="271" t="s">
        <v>1088</v>
      </c>
      <c r="N162" s="271" t="s">
        <v>1089</v>
      </c>
      <c r="O162" s="271" t="s">
        <v>168</v>
      </c>
      <c r="P162" s="271"/>
      <c r="Q162" s="271">
        <v>-108</v>
      </c>
    </row>
    <row r="163" spans="1:17" ht="15" hidden="1">
      <c r="A163" s="332" t="s">
        <v>1302</v>
      </c>
      <c r="B163" s="271" t="s">
        <v>855</v>
      </c>
      <c r="C163" s="271" t="s">
        <v>857</v>
      </c>
      <c r="D163" s="271" t="s">
        <v>165</v>
      </c>
      <c r="E163" s="271" t="s">
        <v>686</v>
      </c>
      <c r="F163" s="271" t="s">
        <v>856</v>
      </c>
      <c r="G163" s="272" t="s">
        <v>1290</v>
      </c>
      <c r="H163" s="272" t="s">
        <v>1290</v>
      </c>
      <c r="I163" s="272" t="s">
        <v>1224</v>
      </c>
      <c r="J163" s="272" t="s">
        <v>1224</v>
      </c>
      <c r="K163" s="271" t="s">
        <v>232</v>
      </c>
      <c r="L163" s="273">
        <v>990</v>
      </c>
      <c r="M163" s="271" t="s">
        <v>1088</v>
      </c>
      <c r="N163" s="271" t="s">
        <v>695</v>
      </c>
      <c r="O163" s="271" t="s">
        <v>168</v>
      </c>
      <c r="P163" s="271"/>
      <c r="Q163" s="271">
        <v>-35</v>
      </c>
    </row>
    <row r="164" spans="1:17" ht="15">
      <c r="A164" s="332" t="s">
        <v>1303</v>
      </c>
      <c r="B164" s="271" t="s">
        <v>855</v>
      </c>
      <c r="C164" s="271" t="s">
        <v>857</v>
      </c>
      <c r="D164" s="271" t="s">
        <v>165</v>
      </c>
      <c r="E164" s="271" t="s">
        <v>686</v>
      </c>
      <c r="F164" s="271" t="s">
        <v>856</v>
      </c>
      <c r="G164" s="272" t="s">
        <v>1290</v>
      </c>
      <c r="H164" s="272" t="s">
        <v>1290</v>
      </c>
      <c r="I164" s="272" t="s">
        <v>1224</v>
      </c>
      <c r="J164" s="272" t="s">
        <v>1224</v>
      </c>
      <c r="K164" s="271" t="s">
        <v>232</v>
      </c>
      <c r="L164" s="273">
        <v>990</v>
      </c>
      <c r="M164" s="271" t="s">
        <v>1090</v>
      </c>
      <c r="N164" s="271" t="s">
        <v>168</v>
      </c>
      <c r="O164" s="271" t="s">
        <v>1091</v>
      </c>
      <c r="P164" s="271"/>
      <c r="Q164" s="271">
        <v>-29</v>
      </c>
    </row>
    <row r="165" spans="1:17" ht="15" hidden="1">
      <c r="A165" s="332" t="s">
        <v>1304</v>
      </c>
      <c r="B165" s="271" t="s">
        <v>855</v>
      </c>
      <c r="C165" s="271" t="s">
        <v>854</v>
      </c>
      <c r="D165" s="271" t="s">
        <v>165</v>
      </c>
      <c r="E165" s="271" t="s">
        <v>795</v>
      </c>
      <c r="F165" s="271" t="s">
        <v>856</v>
      </c>
      <c r="G165" s="272" t="s">
        <v>1290</v>
      </c>
      <c r="H165" s="272" t="s">
        <v>1290</v>
      </c>
      <c r="I165" s="272" t="s">
        <v>1224</v>
      </c>
      <c r="J165" s="272" t="s">
        <v>1224</v>
      </c>
      <c r="K165" s="271" t="s">
        <v>232</v>
      </c>
      <c r="L165" s="273">
        <v>12240</v>
      </c>
      <c r="M165" s="271" t="s">
        <v>1088</v>
      </c>
      <c r="N165" s="271" t="s">
        <v>695</v>
      </c>
      <c r="O165" s="271" t="s">
        <v>168</v>
      </c>
      <c r="P165" s="271"/>
      <c r="Q165" s="271">
        <v>-444</v>
      </c>
    </row>
    <row r="166" spans="1:17" ht="15">
      <c r="A166" s="332" t="s">
        <v>1305</v>
      </c>
      <c r="B166" s="271" t="s">
        <v>855</v>
      </c>
      <c r="C166" s="271" t="s">
        <v>854</v>
      </c>
      <c r="D166" s="271" t="s">
        <v>165</v>
      </c>
      <c r="E166" s="271" t="s">
        <v>795</v>
      </c>
      <c r="F166" s="271" t="s">
        <v>856</v>
      </c>
      <c r="G166" s="272" t="s">
        <v>1290</v>
      </c>
      <c r="H166" s="272" t="s">
        <v>1290</v>
      </c>
      <c r="I166" s="272" t="s">
        <v>1224</v>
      </c>
      <c r="J166" s="272" t="s">
        <v>1224</v>
      </c>
      <c r="K166" s="271" t="s">
        <v>232</v>
      </c>
      <c r="L166" s="273">
        <v>12240</v>
      </c>
      <c r="M166" s="271" t="s">
        <v>1090</v>
      </c>
      <c r="N166" s="271" t="s">
        <v>168</v>
      </c>
      <c r="O166" s="271" t="s">
        <v>1091</v>
      </c>
      <c r="P166" s="271"/>
      <c r="Q166" s="271">
        <v>-367</v>
      </c>
    </row>
    <row r="167" spans="1:17" ht="15" hidden="1">
      <c r="A167" s="332" t="s">
        <v>1306</v>
      </c>
      <c r="B167" s="271" t="s">
        <v>855</v>
      </c>
      <c r="C167" s="271" t="s">
        <v>1307</v>
      </c>
      <c r="D167" s="271" t="s">
        <v>137</v>
      </c>
      <c r="E167" s="271"/>
      <c r="F167" s="271" t="s">
        <v>856</v>
      </c>
      <c r="G167" s="272" t="s">
        <v>1290</v>
      </c>
      <c r="H167" s="272" t="s">
        <v>1290</v>
      </c>
      <c r="I167" s="272" t="s">
        <v>1224</v>
      </c>
      <c r="J167" s="272" t="s">
        <v>1224</v>
      </c>
      <c r="K167" s="271" t="s">
        <v>232</v>
      </c>
      <c r="L167" s="273">
        <v>3000</v>
      </c>
      <c r="M167" s="271" t="s">
        <v>1088</v>
      </c>
      <c r="N167" s="271" t="s">
        <v>695</v>
      </c>
      <c r="O167" s="271" t="s">
        <v>168</v>
      </c>
      <c r="P167" s="271"/>
      <c r="Q167" s="271">
        <v>-108</v>
      </c>
    </row>
    <row r="168" spans="1:17" ht="15" hidden="1">
      <c r="A168" s="332" t="s">
        <v>1308</v>
      </c>
      <c r="B168" s="271" t="s">
        <v>849</v>
      </c>
      <c r="C168" s="271" t="s">
        <v>848</v>
      </c>
      <c r="D168" s="271" t="s">
        <v>165</v>
      </c>
      <c r="E168" s="271" t="s">
        <v>686</v>
      </c>
      <c r="F168" s="271" t="s">
        <v>850</v>
      </c>
      <c r="G168" s="272" t="s">
        <v>1290</v>
      </c>
      <c r="H168" s="272" t="s">
        <v>1290</v>
      </c>
      <c r="I168" s="272" t="s">
        <v>1224</v>
      </c>
      <c r="J168" s="272" t="s">
        <v>1224</v>
      </c>
      <c r="K168" s="271" t="s">
        <v>232</v>
      </c>
      <c r="L168" s="273">
        <v>818</v>
      </c>
      <c r="M168" s="271" t="s">
        <v>1088</v>
      </c>
      <c r="N168" s="271" t="s">
        <v>695</v>
      </c>
      <c r="O168" s="271" t="s">
        <v>168</v>
      </c>
      <c r="P168" s="271"/>
      <c r="Q168" s="271">
        <v>-29</v>
      </c>
    </row>
    <row r="169" spans="1:17" ht="15" hidden="1">
      <c r="A169" s="332" t="s">
        <v>1309</v>
      </c>
      <c r="B169" s="271" t="s">
        <v>849</v>
      </c>
      <c r="C169" s="271" t="s">
        <v>848</v>
      </c>
      <c r="D169" s="271" t="s">
        <v>165</v>
      </c>
      <c r="E169" s="271" t="s">
        <v>686</v>
      </c>
      <c r="F169" s="271" t="s">
        <v>850</v>
      </c>
      <c r="G169" s="272" t="s">
        <v>1290</v>
      </c>
      <c r="H169" s="272" t="s">
        <v>1290</v>
      </c>
      <c r="I169" s="272" t="s">
        <v>1224</v>
      </c>
      <c r="J169" s="272" t="s">
        <v>1224</v>
      </c>
      <c r="K169" s="271" t="s">
        <v>232</v>
      </c>
      <c r="L169" s="273">
        <v>172</v>
      </c>
      <c r="M169" s="271" t="s">
        <v>1088</v>
      </c>
      <c r="N169" s="271" t="s">
        <v>1089</v>
      </c>
      <c r="O169" s="271" t="s">
        <v>168</v>
      </c>
      <c r="P169" s="271"/>
      <c r="Q169" s="271">
        <v>-6</v>
      </c>
    </row>
    <row r="170" spans="1:17" ht="15">
      <c r="A170" s="332" t="s">
        <v>1310</v>
      </c>
      <c r="B170" s="271" t="s">
        <v>849</v>
      </c>
      <c r="C170" s="271" t="s">
        <v>848</v>
      </c>
      <c r="D170" s="271" t="s">
        <v>165</v>
      </c>
      <c r="E170" s="271" t="s">
        <v>686</v>
      </c>
      <c r="F170" s="271" t="s">
        <v>850</v>
      </c>
      <c r="G170" s="272" t="s">
        <v>1290</v>
      </c>
      <c r="H170" s="272" t="s">
        <v>1290</v>
      </c>
      <c r="I170" s="272" t="s">
        <v>1224</v>
      </c>
      <c r="J170" s="272" t="s">
        <v>1224</v>
      </c>
      <c r="K170" s="271" t="s">
        <v>232</v>
      </c>
      <c r="L170" s="273">
        <v>990</v>
      </c>
      <c r="M170" s="271" t="s">
        <v>1090</v>
      </c>
      <c r="N170" s="271" t="s">
        <v>168</v>
      </c>
      <c r="O170" s="271" t="s">
        <v>1091</v>
      </c>
      <c r="P170" s="271"/>
      <c r="Q170" s="271">
        <v>-29</v>
      </c>
    </row>
    <row r="171" spans="1:17" ht="15" hidden="1">
      <c r="A171" s="332" t="s">
        <v>1311</v>
      </c>
      <c r="B171" s="271" t="s">
        <v>849</v>
      </c>
      <c r="C171" s="271" t="s">
        <v>1312</v>
      </c>
      <c r="D171" s="271" t="s">
        <v>137</v>
      </c>
      <c r="E171" s="271"/>
      <c r="F171" s="271" t="s">
        <v>850</v>
      </c>
      <c r="G171" s="272" t="s">
        <v>1290</v>
      </c>
      <c r="H171" s="272" t="s">
        <v>1290</v>
      </c>
      <c r="I171" s="272" t="s">
        <v>1224</v>
      </c>
      <c r="J171" s="272" t="s">
        <v>1224</v>
      </c>
      <c r="K171" s="271" t="s">
        <v>232</v>
      </c>
      <c r="L171" s="273">
        <v>2480</v>
      </c>
      <c r="M171" s="271" t="s">
        <v>1088</v>
      </c>
      <c r="N171" s="271" t="s">
        <v>695</v>
      </c>
      <c r="O171" s="271" t="s">
        <v>168</v>
      </c>
      <c r="P171" s="271"/>
      <c r="Q171" s="271">
        <v>-90</v>
      </c>
    </row>
    <row r="172" spans="1:17" ht="15" hidden="1">
      <c r="A172" s="332" t="s">
        <v>1313</v>
      </c>
      <c r="B172" s="271" t="s">
        <v>849</v>
      </c>
      <c r="C172" s="271" t="s">
        <v>1312</v>
      </c>
      <c r="D172" s="271" t="s">
        <v>137</v>
      </c>
      <c r="E172" s="271"/>
      <c r="F172" s="271" t="s">
        <v>850</v>
      </c>
      <c r="G172" s="272" t="s">
        <v>1290</v>
      </c>
      <c r="H172" s="272" t="s">
        <v>1290</v>
      </c>
      <c r="I172" s="272" t="s">
        <v>1224</v>
      </c>
      <c r="J172" s="272" t="s">
        <v>1224</v>
      </c>
      <c r="K172" s="271" t="s">
        <v>232</v>
      </c>
      <c r="L172" s="273">
        <v>520</v>
      </c>
      <c r="M172" s="271" t="s">
        <v>1088</v>
      </c>
      <c r="N172" s="271" t="s">
        <v>1089</v>
      </c>
      <c r="O172" s="271" t="s">
        <v>168</v>
      </c>
      <c r="P172" s="271"/>
      <c r="Q172" s="271">
        <v>-18</v>
      </c>
    </row>
    <row r="173" spans="1:17" ht="15" hidden="1">
      <c r="A173" s="332" t="s">
        <v>1314</v>
      </c>
      <c r="B173" s="271" t="s">
        <v>844</v>
      </c>
      <c r="C173" s="271" t="s">
        <v>843</v>
      </c>
      <c r="D173" s="271" t="s">
        <v>165</v>
      </c>
      <c r="E173" s="271" t="s">
        <v>812</v>
      </c>
      <c r="F173" s="271" t="s">
        <v>791</v>
      </c>
      <c r="G173" s="272" t="s">
        <v>1315</v>
      </c>
      <c r="H173" s="272" t="s">
        <v>1315</v>
      </c>
      <c r="I173" s="272" t="s">
        <v>1290</v>
      </c>
      <c r="J173" s="272" t="s">
        <v>1290</v>
      </c>
      <c r="K173" s="271" t="s">
        <v>232</v>
      </c>
      <c r="L173" s="273">
        <v>990</v>
      </c>
      <c r="M173" s="271" t="s">
        <v>1088</v>
      </c>
      <c r="N173" s="271" t="s">
        <v>1089</v>
      </c>
      <c r="O173" s="271" t="s">
        <v>168</v>
      </c>
      <c r="P173" s="271"/>
      <c r="Q173" s="271">
        <v>-35</v>
      </c>
    </row>
    <row r="174" spans="1:17" ht="15">
      <c r="A174" s="332" t="s">
        <v>1316</v>
      </c>
      <c r="B174" s="271" t="s">
        <v>844</v>
      </c>
      <c r="C174" s="271" t="s">
        <v>843</v>
      </c>
      <c r="D174" s="271" t="s">
        <v>165</v>
      </c>
      <c r="E174" s="271" t="s">
        <v>812</v>
      </c>
      <c r="F174" s="271" t="s">
        <v>791</v>
      </c>
      <c r="G174" s="272" t="s">
        <v>1315</v>
      </c>
      <c r="H174" s="272" t="s">
        <v>1315</v>
      </c>
      <c r="I174" s="272" t="s">
        <v>1290</v>
      </c>
      <c r="J174" s="272" t="s">
        <v>1290</v>
      </c>
      <c r="K174" s="271" t="s">
        <v>232</v>
      </c>
      <c r="L174" s="273">
        <v>990</v>
      </c>
      <c r="M174" s="271" t="s">
        <v>1090</v>
      </c>
      <c r="N174" s="271" t="s">
        <v>168</v>
      </c>
      <c r="O174" s="271" t="s">
        <v>1091</v>
      </c>
      <c r="P174" s="271"/>
      <c r="Q174" s="271">
        <v>-29</v>
      </c>
    </row>
    <row r="175" spans="1:17" ht="15" hidden="1">
      <c r="A175" s="332" t="s">
        <v>1317</v>
      </c>
      <c r="B175" s="271" t="s">
        <v>844</v>
      </c>
      <c r="C175" s="271" t="s">
        <v>1318</v>
      </c>
      <c r="D175" s="271" t="s">
        <v>137</v>
      </c>
      <c r="E175" s="271"/>
      <c r="F175" s="271" t="s">
        <v>791</v>
      </c>
      <c r="G175" s="272" t="s">
        <v>1315</v>
      </c>
      <c r="H175" s="272" t="s">
        <v>1315</v>
      </c>
      <c r="I175" s="272" t="s">
        <v>1290</v>
      </c>
      <c r="J175" s="272" t="s">
        <v>1290</v>
      </c>
      <c r="K175" s="271" t="s">
        <v>232</v>
      </c>
      <c r="L175" s="273">
        <v>3000</v>
      </c>
      <c r="M175" s="271" t="s">
        <v>1088</v>
      </c>
      <c r="N175" s="271" t="s">
        <v>1089</v>
      </c>
      <c r="O175" s="271" t="s">
        <v>168</v>
      </c>
      <c r="P175" s="271"/>
      <c r="Q175" s="271">
        <v>-108</v>
      </c>
    </row>
    <row r="176" spans="1:17" ht="15" hidden="1">
      <c r="A176" s="332" t="s">
        <v>1319</v>
      </c>
      <c r="B176" s="271" t="s">
        <v>846</v>
      </c>
      <c r="C176" s="271" t="s">
        <v>845</v>
      </c>
      <c r="D176" s="271" t="s">
        <v>165</v>
      </c>
      <c r="E176" s="271" t="s">
        <v>686</v>
      </c>
      <c r="F176" s="271" t="s">
        <v>847</v>
      </c>
      <c r="G176" s="272" t="s">
        <v>1315</v>
      </c>
      <c r="H176" s="272" t="s">
        <v>1315</v>
      </c>
      <c r="I176" s="272" t="s">
        <v>1290</v>
      </c>
      <c r="J176" s="272" t="s">
        <v>1290</v>
      </c>
      <c r="K176" s="271" t="s">
        <v>232</v>
      </c>
      <c r="L176" s="273">
        <v>990</v>
      </c>
      <c r="M176" s="271" t="s">
        <v>1088</v>
      </c>
      <c r="N176" s="271" t="s">
        <v>1089</v>
      </c>
      <c r="O176" s="271" t="s">
        <v>168</v>
      </c>
      <c r="P176" s="271"/>
      <c r="Q176" s="271">
        <v>-35</v>
      </c>
    </row>
    <row r="177" spans="1:17" ht="15">
      <c r="A177" s="332" t="s">
        <v>1320</v>
      </c>
      <c r="B177" s="271" t="s">
        <v>846</v>
      </c>
      <c r="C177" s="271" t="s">
        <v>845</v>
      </c>
      <c r="D177" s="271" t="s">
        <v>165</v>
      </c>
      <c r="E177" s="271" t="s">
        <v>686</v>
      </c>
      <c r="F177" s="271" t="s">
        <v>847</v>
      </c>
      <c r="G177" s="272" t="s">
        <v>1315</v>
      </c>
      <c r="H177" s="272" t="s">
        <v>1315</v>
      </c>
      <c r="I177" s="272" t="s">
        <v>1290</v>
      </c>
      <c r="J177" s="272" t="s">
        <v>1290</v>
      </c>
      <c r="K177" s="271" t="s">
        <v>232</v>
      </c>
      <c r="L177" s="273">
        <v>990</v>
      </c>
      <c r="M177" s="271" t="s">
        <v>1090</v>
      </c>
      <c r="N177" s="271" t="s">
        <v>168</v>
      </c>
      <c r="O177" s="271" t="s">
        <v>1091</v>
      </c>
      <c r="P177" s="271"/>
      <c r="Q177" s="271">
        <v>-29</v>
      </c>
    </row>
    <row r="178" spans="1:17" ht="15" hidden="1">
      <c r="A178" s="332" t="s">
        <v>1321</v>
      </c>
      <c r="B178" s="271" t="s">
        <v>846</v>
      </c>
      <c r="C178" s="271" t="s">
        <v>1322</v>
      </c>
      <c r="D178" s="271" t="s">
        <v>137</v>
      </c>
      <c r="E178" s="271"/>
      <c r="F178" s="271" t="s">
        <v>847</v>
      </c>
      <c r="G178" s="272" t="s">
        <v>1315</v>
      </c>
      <c r="H178" s="272" t="s">
        <v>1315</v>
      </c>
      <c r="I178" s="272" t="s">
        <v>1290</v>
      </c>
      <c r="J178" s="272" t="s">
        <v>1290</v>
      </c>
      <c r="K178" s="271" t="s">
        <v>232</v>
      </c>
      <c r="L178" s="273">
        <v>3000</v>
      </c>
      <c r="M178" s="271" t="s">
        <v>1088</v>
      </c>
      <c r="N178" s="271" t="s">
        <v>1089</v>
      </c>
      <c r="O178" s="271" t="s">
        <v>168</v>
      </c>
      <c r="P178" s="271"/>
      <c r="Q178" s="271">
        <v>-108</v>
      </c>
    </row>
    <row r="179" spans="1:17" ht="15" hidden="1">
      <c r="A179" s="332" t="s">
        <v>1323</v>
      </c>
      <c r="B179" s="271" t="s">
        <v>839</v>
      </c>
      <c r="C179" s="271" t="s">
        <v>838</v>
      </c>
      <c r="D179" s="271" t="s">
        <v>165</v>
      </c>
      <c r="E179" s="271" t="s">
        <v>686</v>
      </c>
      <c r="F179" s="271" t="s">
        <v>840</v>
      </c>
      <c r="G179" s="272" t="s">
        <v>1315</v>
      </c>
      <c r="H179" s="272" t="s">
        <v>1315</v>
      </c>
      <c r="I179" s="272" t="s">
        <v>1290</v>
      </c>
      <c r="J179" s="272" t="s">
        <v>1290</v>
      </c>
      <c r="K179" s="271" t="s">
        <v>232</v>
      </c>
      <c r="L179" s="273">
        <v>913</v>
      </c>
      <c r="M179" s="271" t="s">
        <v>1088</v>
      </c>
      <c r="N179" s="271" t="s">
        <v>695</v>
      </c>
      <c r="O179" s="271" t="s">
        <v>168</v>
      </c>
      <c r="P179" s="271"/>
      <c r="Q179" s="271">
        <v>-33</v>
      </c>
    </row>
    <row r="180" spans="1:17" ht="15" hidden="1">
      <c r="A180" s="332" t="s">
        <v>1324</v>
      </c>
      <c r="B180" s="271" t="s">
        <v>839</v>
      </c>
      <c r="C180" s="271" t="s">
        <v>838</v>
      </c>
      <c r="D180" s="271" t="s">
        <v>165</v>
      </c>
      <c r="E180" s="271" t="s">
        <v>686</v>
      </c>
      <c r="F180" s="271" t="s">
        <v>840</v>
      </c>
      <c r="G180" s="272" t="s">
        <v>1315</v>
      </c>
      <c r="H180" s="272" t="s">
        <v>1315</v>
      </c>
      <c r="I180" s="272" t="s">
        <v>1290</v>
      </c>
      <c r="J180" s="272" t="s">
        <v>1290</v>
      </c>
      <c r="K180" s="271" t="s">
        <v>232</v>
      </c>
      <c r="L180" s="273">
        <v>77</v>
      </c>
      <c r="M180" s="271" t="s">
        <v>1088</v>
      </c>
      <c r="N180" s="271" t="s">
        <v>1089</v>
      </c>
      <c r="O180" s="271" t="s">
        <v>168</v>
      </c>
      <c r="P180" s="271"/>
      <c r="Q180" s="271">
        <v>-2</v>
      </c>
    </row>
    <row r="181" spans="1:17" ht="15">
      <c r="A181" s="332" t="s">
        <v>1325</v>
      </c>
      <c r="B181" s="271" t="s">
        <v>839</v>
      </c>
      <c r="C181" s="271" t="s">
        <v>838</v>
      </c>
      <c r="D181" s="271" t="s">
        <v>165</v>
      </c>
      <c r="E181" s="271" t="s">
        <v>686</v>
      </c>
      <c r="F181" s="271" t="s">
        <v>840</v>
      </c>
      <c r="G181" s="272" t="s">
        <v>1315</v>
      </c>
      <c r="H181" s="272" t="s">
        <v>1315</v>
      </c>
      <c r="I181" s="272" t="s">
        <v>1290</v>
      </c>
      <c r="J181" s="272" t="s">
        <v>1290</v>
      </c>
      <c r="K181" s="271" t="s">
        <v>232</v>
      </c>
      <c r="L181" s="273">
        <v>990</v>
      </c>
      <c r="M181" s="271" t="s">
        <v>1090</v>
      </c>
      <c r="N181" s="271" t="s">
        <v>168</v>
      </c>
      <c r="O181" s="271" t="s">
        <v>1091</v>
      </c>
      <c r="P181" s="271"/>
      <c r="Q181" s="271">
        <v>-29</v>
      </c>
    </row>
    <row r="182" spans="1:17" ht="15" hidden="1">
      <c r="A182" s="332" t="s">
        <v>1326</v>
      </c>
      <c r="B182" s="271" t="s">
        <v>839</v>
      </c>
      <c r="C182" s="271" t="s">
        <v>1327</v>
      </c>
      <c r="D182" s="271" t="s">
        <v>137</v>
      </c>
      <c r="E182" s="271"/>
      <c r="F182" s="271" t="s">
        <v>840</v>
      </c>
      <c r="G182" s="272" t="s">
        <v>1315</v>
      </c>
      <c r="H182" s="272" t="s">
        <v>1315</v>
      </c>
      <c r="I182" s="272" t="s">
        <v>1290</v>
      </c>
      <c r="J182" s="272" t="s">
        <v>1290</v>
      </c>
      <c r="K182" s="271" t="s">
        <v>232</v>
      </c>
      <c r="L182" s="273">
        <v>2768</v>
      </c>
      <c r="M182" s="271" t="s">
        <v>1088</v>
      </c>
      <c r="N182" s="271" t="s">
        <v>695</v>
      </c>
      <c r="O182" s="271" t="s">
        <v>168</v>
      </c>
      <c r="P182" s="271"/>
      <c r="Q182" s="271">
        <v>-100</v>
      </c>
    </row>
    <row r="183" spans="1:17" ht="15" hidden="1">
      <c r="A183" s="332" t="s">
        <v>1328</v>
      </c>
      <c r="B183" s="271" t="s">
        <v>839</v>
      </c>
      <c r="C183" s="271" t="s">
        <v>1327</v>
      </c>
      <c r="D183" s="271" t="s">
        <v>137</v>
      </c>
      <c r="E183" s="271"/>
      <c r="F183" s="271" t="s">
        <v>840</v>
      </c>
      <c r="G183" s="272" t="s">
        <v>1315</v>
      </c>
      <c r="H183" s="272" t="s">
        <v>1315</v>
      </c>
      <c r="I183" s="272" t="s">
        <v>1290</v>
      </c>
      <c r="J183" s="272" t="s">
        <v>1290</v>
      </c>
      <c r="K183" s="271" t="s">
        <v>232</v>
      </c>
      <c r="L183" s="273">
        <v>232</v>
      </c>
      <c r="M183" s="271" t="s">
        <v>1088</v>
      </c>
      <c r="N183" s="271" t="s">
        <v>1089</v>
      </c>
      <c r="O183" s="271" t="s">
        <v>168</v>
      </c>
      <c r="P183" s="271"/>
      <c r="Q183" s="271">
        <v>-8</v>
      </c>
    </row>
    <row r="184" spans="1:17" ht="15" hidden="1">
      <c r="A184" s="332" t="s">
        <v>1329</v>
      </c>
      <c r="B184" s="271" t="s">
        <v>842</v>
      </c>
      <c r="C184" s="271" t="s">
        <v>841</v>
      </c>
      <c r="D184" s="271" t="s">
        <v>165</v>
      </c>
      <c r="E184" s="271" t="s">
        <v>686</v>
      </c>
      <c r="F184" s="271" t="s">
        <v>717</v>
      </c>
      <c r="G184" s="272" t="s">
        <v>1315</v>
      </c>
      <c r="H184" s="272" t="s">
        <v>1315</v>
      </c>
      <c r="I184" s="272" t="s">
        <v>1290</v>
      </c>
      <c r="J184" s="272" t="s">
        <v>1290</v>
      </c>
      <c r="K184" s="271" t="s">
        <v>232</v>
      </c>
      <c r="L184" s="273">
        <v>990</v>
      </c>
      <c r="M184" s="271" t="s">
        <v>1088</v>
      </c>
      <c r="N184" s="271" t="s">
        <v>695</v>
      </c>
      <c r="O184" s="271" t="s">
        <v>168</v>
      </c>
      <c r="P184" s="271"/>
      <c r="Q184" s="271">
        <v>-35</v>
      </c>
    </row>
    <row r="185" spans="1:17" ht="15">
      <c r="A185" s="332" t="s">
        <v>1330</v>
      </c>
      <c r="B185" s="271" t="s">
        <v>842</v>
      </c>
      <c r="C185" s="271" t="s">
        <v>841</v>
      </c>
      <c r="D185" s="271" t="s">
        <v>165</v>
      </c>
      <c r="E185" s="271" t="s">
        <v>686</v>
      </c>
      <c r="F185" s="271" t="s">
        <v>717</v>
      </c>
      <c r="G185" s="272" t="s">
        <v>1315</v>
      </c>
      <c r="H185" s="272" t="s">
        <v>1315</v>
      </c>
      <c r="I185" s="272" t="s">
        <v>1290</v>
      </c>
      <c r="J185" s="272" t="s">
        <v>1290</v>
      </c>
      <c r="K185" s="271" t="s">
        <v>232</v>
      </c>
      <c r="L185" s="273">
        <v>990</v>
      </c>
      <c r="M185" s="271" t="s">
        <v>1090</v>
      </c>
      <c r="N185" s="271" t="s">
        <v>168</v>
      </c>
      <c r="O185" s="271" t="s">
        <v>1091</v>
      </c>
      <c r="P185" s="271"/>
      <c r="Q185" s="271">
        <v>-29</v>
      </c>
    </row>
    <row r="186" spans="1:17" ht="15" hidden="1">
      <c r="A186" s="332" t="s">
        <v>1331</v>
      </c>
      <c r="B186" s="271" t="s">
        <v>842</v>
      </c>
      <c r="C186" s="271" t="s">
        <v>1332</v>
      </c>
      <c r="D186" s="271" t="s">
        <v>137</v>
      </c>
      <c r="E186" s="271"/>
      <c r="F186" s="271" t="s">
        <v>717</v>
      </c>
      <c r="G186" s="272" t="s">
        <v>1315</v>
      </c>
      <c r="H186" s="272" t="s">
        <v>1315</v>
      </c>
      <c r="I186" s="272" t="s">
        <v>1290</v>
      </c>
      <c r="J186" s="272" t="s">
        <v>1290</v>
      </c>
      <c r="K186" s="271" t="s">
        <v>232</v>
      </c>
      <c r="L186" s="273">
        <v>3000</v>
      </c>
      <c r="M186" s="271" t="s">
        <v>1088</v>
      </c>
      <c r="N186" s="271" t="s">
        <v>695</v>
      </c>
      <c r="O186" s="271" t="s">
        <v>168</v>
      </c>
      <c r="P186" s="271"/>
      <c r="Q186" s="271">
        <v>-108</v>
      </c>
    </row>
    <row r="187" spans="1:17" ht="15" hidden="1">
      <c r="A187" s="332" t="s">
        <v>1333</v>
      </c>
      <c r="B187" s="271" t="s">
        <v>834</v>
      </c>
      <c r="C187" s="271" t="s">
        <v>837</v>
      </c>
      <c r="D187" s="271" t="s">
        <v>165</v>
      </c>
      <c r="E187" s="271" t="s">
        <v>686</v>
      </c>
      <c r="F187" s="271" t="s">
        <v>835</v>
      </c>
      <c r="G187" s="272" t="s">
        <v>1334</v>
      </c>
      <c r="H187" s="272" t="s">
        <v>1334</v>
      </c>
      <c r="I187" s="272" t="s">
        <v>1335</v>
      </c>
      <c r="J187" s="272" t="s">
        <v>1335</v>
      </c>
      <c r="K187" s="271" t="s">
        <v>232</v>
      </c>
      <c r="L187" s="273">
        <v>990</v>
      </c>
      <c r="M187" s="271" t="s">
        <v>1088</v>
      </c>
      <c r="N187" s="271" t="s">
        <v>1089</v>
      </c>
      <c r="O187" s="271" t="s">
        <v>168</v>
      </c>
      <c r="P187" s="271"/>
      <c r="Q187" s="271">
        <v>-35</v>
      </c>
    </row>
    <row r="188" spans="1:17" ht="15">
      <c r="A188" s="332" t="s">
        <v>1336</v>
      </c>
      <c r="B188" s="271" t="s">
        <v>834</v>
      </c>
      <c r="C188" s="271" t="s">
        <v>837</v>
      </c>
      <c r="D188" s="271" t="s">
        <v>165</v>
      </c>
      <c r="E188" s="271" t="s">
        <v>686</v>
      </c>
      <c r="F188" s="271" t="s">
        <v>835</v>
      </c>
      <c r="G188" s="272" t="s">
        <v>1334</v>
      </c>
      <c r="H188" s="272" t="s">
        <v>1334</v>
      </c>
      <c r="I188" s="272" t="s">
        <v>1335</v>
      </c>
      <c r="J188" s="272" t="s">
        <v>1335</v>
      </c>
      <c r="K188" s="271" t="s">
        <v>232</v>
      </c>
      <c r="L188" s="273">
        <v>990</v>
      </c>
      <c r="M188" s="271" t="s">
        <v>1090</v>
      </c>
      <c r="N188" s="271" t="s">
        <v>168</v>
      </c>
      <c r="O188" s="271" t="s">
        <v>1091</v>
      </c>
      <c r="P188" s="271"/>
      <c r="Q188" s="271">
        <v>-29</v>
      </c>
    </row>
    <row r="189" spans="1:17" ht="15" hidden="1">
      <c r="A189" s="332" t="s">
        <v>1337</v>
      </c>
      <c r="B189" s="271" t="s">
        <v>834</v>
      </c>
      <c r="C189" s="271" t="s">
        <v>836</v>
      </c>
      <c r="D189" s="271" t="s">
        <v>165</v>
      </c>
      <c r="E189" s="271" t="s">
        <v>742</v>
      </c>
      <c r="F189" s="271" t="s">
        <v>835</v>
      </c>
      <c r="G189" s="272" t="s">
        <v>1334</v>
      </c>
      <c r="H189" s="272" t="s">
        <v>1334</v>
      </c>
      <c r="I189" s="272" t="s">
        <v>1335</v>
      </c>
      <c r="J189" s="272" t="s">
        <v>1335</v>
      </c>
      <c r="K189" s="271" t="s">
        <v>232</v>
      </c>
      <c r="L189" s="273">
        <v>18830</v>
      </c>
      <c r="M189" s="271" t="s">
        <v>1088</v>
      </c>
      <c r="N189" s="271" t="s">
        <v>1089</v>
      </c>
      <c r="O189" s="271" t="s">
        <v>168</v>
      </c>
      <c r="P189" s="271"/>
      <c r="Q189" s="271">
        <v>-683</v>
      </c>
    </row>
    <row r="190" spans="1:17" ht="15">
      <c r="A190" s="332" t="s">
        <v>1338</v>
      </c>
      <c r="B190" s="271" t="s">
        <v>834</v>
      </c>
      <c r="C190" s="271" t="s">
        <v>836</v>
      </c>
      <c r="D190" s="271" t="s">
        <v>165</v>
      </c>
      <c r="E190" s="271" t="s">
        <v>742</v>
      </c>
      <c r="F190" s="271" t="s">
        <v>835</v>
      </c>
      <c r="G190" s="272" t="s">
        <v>1334</v>
      </c>
      <c r="H190" s="272" t="s">
        <v>1334</v>
      </c>
      <c r="I190" s="272" t="s">
        <v>1335</v>
      </c>
      <c r="J190" s="272" t="s">
        <v>1335</v>
      </c>
      <c r="K190" s="271" t="s">
        <v>232</v>
      </c>
      <c r="L190" s="273">
        <v>18830</v>
      </c>
      <c r="M190" s="271" t="s">
        <v>1090</v>
      </c>
      <c r="N190" s="271" t="s">
        <v>168</v>
      </c>
      <c r="O190" s="271" t="s">
        <v>1091</v>
      </c>
      <c r="P190" s="271"/>
      <c r="Q190" s="271">
        <v>-564</v>
      </c>
    </row>
    <row r="191" spans="1:17" ht="15" hidden="1">
      <c r="A191" s="332" t="s">
        <v>1339</v>
      </c>
      <c r="B191" s="271" t="s">
        <v>834</v>
      </c>
      <c r="C191" s="271" t="s">
        <v>833</v>
      </c>
      <c r="D191" s="271" t="s">
        <v>165</v>
      </c>
      <c r="E191" s="271" t="s">
        <v>742</v>
      </c>
      <c r="F191" s="271" t="s">
        <v>835</v>
      </c>
      <c r="G191" s="272" t="s">
        <v>1334</v>
      </c>
      <c r="H191" s="272" t="s">
        <v>1334</v>
      </c>
      <c r="I191" s="272" t="s">
        <v>1335</v>
      </c>
      <c r="J191" s="272" t="s">
        <v>1335</v>
      </c>
      <c r="K191" s="271" t="s">
        <v>232</v>
      </c>
      <c r="L191" s="273">
        <v>18830</v>
      </c>
      <c r="M191" s="271" t="s">
        <v>1088</v>
      </c>
      <c r="N191" s="271" t="s">
        <v>1089</v>
      </c>
      <c r="O191" s="271" t="s">
        <v>168</v>
      </c>
      <c r="P191" s="271"/>
      <c r="Q191" s="271">
        <v>-683</v>
      </c>
    </row>
    <row r="192" spans="1:17" ht="15">
      <c r="A192" s="332" t="s">
        <v>1340</v>
      </c>
      <c r="B192" s="271" t="s">
        <v>834</v>
      </c>
      <c r="C192" s="271" t="s">
        <v>833</v>
      </c>
      <c r="D192" s="271" t="s">
        <v>165</v>
      </c>
      <c r="E192" s="271" t="s">
        <v>742</v>
      </c>
      <c r="F192" s="271" t="s">
        <v>835</v>
      </c>
      <c r="G192" s="272" t="s">
        <v>1334</v>
      </c>
      <c r="H192" s="272" t="s">
        <v>1334</v>
      </c>
      <c r="I192" s="272" t="s">
        <v>1335</v>
      </c>
      <c r="J192" s="272" t="s">
        <v>1335</v>
      </c>
      <c r="K192" s="271" t="s">
        <v>232</v>
      </c>
      <c r="L192" s="273">
        <v>18830</v>
      </c>
      <c r="M192" s="271" t="s">
        <v>1090</v>
      </c>
      <c r="N192" s="271" t="s">
        <v>168</v>
      </c>
      <c r="O192" s="271" t="s">
        <v>1091</v>
      </c>
      <c r="P192" s="271"/>
      <c r="Q192" s="271">
        <v>-564</v>
      </c>
    </row>
    <row r="193" spans="1:17" ht="15" hidden="1">
      <c r="A193" s="332" t="s">
        <v>1341</v>
      </c>
      <c r="B193" s="271" t="s">
        <v>826</v>
      </c>
      <c r="C193" s="271" t="s">
        <v>829</v>
      </c>
      <c r="D193" s="271" t="s">
        <v>165</v>
      </c>
      <c r="E193" s="271" t="s">
        <v>704</v>
      </c>
      <c r="F193" s="271" t="s">
        <v>827</v>
      </c>
      <c r="G193" s="272" t="s">
        <v>1334</v>
      </c>
      <c r="H193" s="272" t="s">
        <v>1334</v>
      </c>
      <c r="I193" s="272" t="s">
        <v>1335</v>
      </c>
      <c r="J193" s="272" t="s">
        <v>1335</v>
      </c>
      <c r="K193" s="271" t="s">
        <v>232</v>
      </c>
      <c r="L193" s="273">
        <v>5956</v>
      </c>
      <c r="M193" s="271" t="s">
        <v>1088</v>
      </c>
      <c r="N193" s="271" t="s">
        <v>695</v>
      </c>
      <c r="O193" s="271" t="s">
        <v>168</v>
      </c>
      <c r="P193" s="271"/>
      <c r="Q193" s="271">
        <v>-216</v>
      </c>
    </row>
    <row r="194" spans="1:17" ht="15" hidden="1">
      <c r="A194" s="332" t="s">
        <v>1342</v>
      </c>
      <c r="B194" s="271" t="s">
        <v>826</v>
      </c>
      <c r="C194" s="271" t="s">
        <v>829</v>
      </c>
      <c r="D194" s="271" t="s">
        <v>165</v>
      </c>
      <c r="E194" s="271" t="s">
        <v>704</v>
      </c>
      <c r="F194" s="271" t="s">
        <v>827</v>
      </c>
      <c r="G194" s="272" t="s">
        <v>1334</v>
      </c>
      <c r="H194" s="272" t="s">
        <v>1334</v>
      </c>
      <c r="I194" s="272" t="s">
        <v>1335</v>
      </c>
      <c r="J194" s="272" t="s">
        <v>1335</v>
      </c>
      <c r="K194" s="271" t="s">
        <v>232</v>
      </c>
      <c r="L194" s="273">
        <v>744</v>
      </c>
      <c r="M194" s="271" t="s">
        <v>1088</v>
      </c>
      <c r="N194" s="271" t="s">
        <v>1089</v>
      </c>
      <c r="O194" s="271" t="s">
        <v>168</v>
      </c>
      <c r="P194" s="271"/>
      <c r="Q194" s="271">
        <v>-27</v>
      </c>
    </row>
    <row r="195" spans="1:17" ht="15">
      <c r="A195" s="332" t="s">
        <v>1343</v>
      </c>
      <c r="B195" s="271" t="s">
        <v>826</v>
      </c>
      <c r="C195" s="271" t="s">
        <v>829</v>
      </c>
      <c r="D195" s="271" t="s">
        <v>165</v>
      </c>
      <c r="E195" s="271" t="s">
        <v>704</v>
      </c>
      <c r="F195" s="271" t="s">
        <v>827</v>
      </c>
      <c r="G195" s="272" t="s">
        <v>1334</v>
      </c>
      <c r="H195" s="272" t="s">
        <v>1334</v>
      </c>
      <c r="I195" s="272" t="s">
        <v>1335</v>
      </c>
      <c r="J195" s="272" t="s">
        <v>1335</v>
      </c>
      <c r="K195" s="271" t="s">
        <v>232</v>
      </c>
      <c r="L195" s="273">
        <v>6700</v>
      </c>
      <c r="M195" s="271" t="s">
        <v>1090</v>
      </c>
      <c r="N195" s="271" t="s">
        <v>168</v>
      </c>
      <c r="O195" s="271" t="s">
        <v>1091</v>
      </c>
      <c r="P195" s="271"/>
      <c r="Q195" s="271">
        <v>-201</v>
      </c>
    </row>
    <row r="196" spans="1:17" ht="15" hidden="1">
      <c r="A196" s="332" t="s">
        <v>1344</v>
      </c>
      <c r="B196" s="271" t="s">
        <v>826</v>
      </c>
      <c r="C196" s="271" t="s">
        <v>825</v>
      </c>
      <c r="D196" s="271" t="s">
        <v>165</v>
      </c>
      <c r="E196" s="271" t="s">
        <v>828</v>
      </c>
      <c r="F196" s="271" t="s">
        <v>827</v>
      </c>
      <c r="G196" s="272" t="s">
        <v>1334</v>
      </c>
      <c r="H196" s="272" t="s">
        <v>1334</v>
      </c>
      <c r="I196" s="272" t="s">
        <v>1335</v>
      </c>
      <c r="J196" s="272" t="s">
        <v>1335</v>
      </c>
      <c r="K196" s="271" t="s">
        <v>232</v>
      </c>
      <c r="L196" s="273">
        <v>30044</v>
      </c>
      <c r="M196" s="271" t="s">
        <v>1088</v>
      </c>
      <c r="N196" s="271" t="s">
        <v>695</v>
      </c>
      <c r="O196" s="271" t="s">
        <v>168</v>
      </c>
      <c r="P196" s="271"/>
      <c r="Q196" s="271">
        <v>-1090</v>
      </c>
    </row>
    <row r="197" spans="1:17" ht="15" hidden="1">
      <c r="A197" s="332" t="s">
        <v>1345</v>
      </c>
      <c r="B197" s="271" t="s">
        <v>826</v>
      </c>
      <c r="C197" s="271" t="s">
        <v>825</v>
      </c>
      <c r="D197" s="271" t="s">
        <v>165</v>
      </c>
      <c r="E197" s="271" t="s">
        <v>828</v>
      </c>
      <c r="F197" s="271" t="s">
        <v>827</v>
      </c>
      <c r="G197" s="272" t="s">
        <v>1334</v>
      </c>
      <c r="H197" s="272" t="s">
        <v>1334</v>
      </c>
      <c r="I197" s="272" t="s">
        <v>1335</v>
      </c>
      <c r="J197" s="272" t="s">
        <v>1335</v>
      </c>
      <c r="K197" s="271" t="s">
        <v>232</v>
      </c>
      <c r="L197" s="273">
        <v>3756</v>
      </c>
      <c r="M197" s="271" t="s">
        <v>1088</v>
      </c>
      <c r="N197" s="271" t="s">
        <v>1089</v>
      </c>
      <c r="O197" s="271" t="s">
        <v>168</v>
      </c>
      <c r="P197" s="271"/>
      <c r="Q197" s="271">
        <v>-136</v>
      </c>
    </row>
    <row r="198" spans="1:17" ht="15">
      <c r="A198" s="332" t="s">
        <v>1346</v>
      </c>
      <c r="B198" s="271" t="s">
        <v>826</v>
      </c>
      <c r="C198" s="271" t="s">
        <v>825</v>
      </c>
      <c r="D198" s="271" t="s">
        <v>165</v>
      </c>
      <c r="E198" s="271" t="s">
        <v>828</v>
      </c>
      <c r="F198" s="271" t="s">
        <v>827</v>
      </c>
      <c r="G198" s="272" t="s">
        <v>1334</v>
      </c>
      <c r="H198" s="272" t="s">
        <v>1334</v>
      </c>
      <c r="I198" s="272" t="s">
        <v>1335</v>
      </c>
      <c r="J198" s="272" t="s">
        <v>1335</v>
      </c>
      <c r="K198" s="271" t="s">
        <v>232</v>
      </c>
      <c r="L198" s="273">
        <v>33800</v>
      </c>
      <c r="M198" s="271" t="s">
        <v>1090</v>
      </c>
      <c r="N198" s="271" t="s">
        <v>168</v>
      </c>
      <c r="O198" s="271" t="s">
        <v>1091</v>
      </c>
      <c r="P198" s="271"/>
      <c r="Q198" s="271">
        <v>-1014</v>
      </c>
    </row>
    <row r="199" spans="1:17" ht="15" hidden="1">
      <c r="A199" s="332" t="s">
        <v>1347</v>
      </c>
      <c r="B199" s="271" t="s">
        <v>821</v>
      </c>
      <c r="C199" s="271" t="s">
        <v>824</v>
      </c>
      <c r="D199" s="271" t="s">
        <v>165</v>
      </c>
      <c r="E199" s="271" t="s">
        <v>686</v>
      </c>
      <c r="F199" s="271" t="s">
        <v>822</v>
      </c>
      <c r="G199" s="272" t="s">
        <v>1334</v>
      </c>
      <c r="H199" s="272" t="s">
        <v>1334</v>
      </c>
      <c r="I199" s="272" t="s">
        <v>1335</v>
      </c>
      <c r="J199" s="272" t="s">
        <v>1335</v>
      </c>
      <c r="K199" s="271" t="s">
        <v>232</v>
      </c>
      <c r="L199" s="273">
        <v>990</v>
      </c>
      <c r="M199" s="271" t="s">
        <v>1088</v>
      </c>
      <c r="N199" s="271" t="s">
        <v>1089</v>
      </c>
      <c r="O199" s="271" t="s">
        <v>168</v>
      </c>
      <c r="P199" s="271"/>
      <c r="Q199" s="271">
        <v>-35</v>
      </c>
    </row>
    <row r="200" spans="1:17" ht="15">
      <c r="A200" s="332" t="s">
        <v>1348</v>
      </c>
      <c r="B200" s="271" t="s">
        <v>821</v>
      </c>
      <c r="C200" s="271" t="s">
        <v>824</v>
      </c>
      <c r="D200" s="271" t="s">
        <v>165</v>
      </c>
      <c r="E200" s="271" t="s">
        <v>686</v>
      </c>
      <c r="F200" s="271" t="s">
        <v>822</v>
      </c>
      <c r="G200" s="272" t="s">
        <v>1334</v>
      </c>
      <c r="H200" s="272" t="s">
        <v>1334</v>
      </c>
      <c r="I200" s="272" t="s">
        <v>1335</v>
      </c>
      <c r="J200" s="272" t="s">
        <v>1335</v>
      </c>
      <c r="K200" s="271" t="s">
        <v>232</v>
      </c>
      <c r="L200" s="273">
        <v>990</v>
      </c>
      <c r="M200" s="271" t="s">
        <v>1090</v>
      </c>
      <c r="N200" s="271" t="s">
        <v>168</v>
      </c>
      <c r="O200" s="271" t="s">
        <v>1091</v>
      </c>
      <c r="P200" s="271"/>
      <c r="Q200" s="271">
        <v>-29</v>
      </c>
    </row>
    <row r="201" spans="1:17" ht="15" hidden="1">
      <c r="A201" s="332" t="s">
        <v>1349</v>
      </c>
      <c r="B201" s="271" t="s">
        <v>821</v>
      </c>
      <c r="C201" s="271" t="s">
        <v>820</v>
      </c>
      <c r="D201" s="271" t="s">
        <v>165</v>
      </c>
      <c r="E201" s="271" t="s">
        <v>823</v>
      </c>
      <c r="F201" s="271" t="s">
        <v>822</v>
      </c>
      <c r="G201" s="272" t="s">
        <v>1334</v>
      </c>
      <c r="H201" s="272" t="s">
        <v>1334</v>
      </c>
      <c r="I201" s="272" t="s">
        <v>1335</v>
      </c>
      <c r="J201" s="272" t="s">
        <v>1335</v>
      </c>
      <c r="K201" s="271" t="s">
        <v>232</v>
      </c>
      <c r="L201" s="273">
        <v>34970</v>
      </c>
      <c r="M201" s="271" t="s">
        <v>1088</v>
      </c>
      <c r="N201" s="271" t="s">
        <v>1089</v>
      </c>
      <c r="O201" s="271" t="s">
        <v>168</v>
      </c>
      <c r="P201" s="271"/>
      <c r="Q201" s="271">
        <v>-1269</v>
      </c>
    </row>
    <row r="202" spans="1:17" ht="15">
      <c r="A202" s="332" t="s">
        <v>1350</v>
      </c>
      <c r="B202" s="271" t="s">
        <v>821</v>
      </c>
      <c r="C202" s="271" t="s">
        <v>820</v>
      </c>
      <c r="D202" s="271" t="s">
        <v>165</v>
      </c>
      <c r="E202" s="271" t="s">
        <v>823</v>
      </c>
      <c r="F202" s="271" t="s">
        <v>822</v>
      </c>
      <c r="G202" s="272" t="s">
        <v>1334</v>
      </c>
      <c r="H202" s="272" t="s">
        <v>1334</v>
      </c>
      <c r="I202" s="272" t="s">
        <v>1335</v>
      </c>
      <c r="J202" s="272" t="s">
        <v>1335</v>
      </c>
      <c r="K202" s="271" t="s">
        <v>232</v>
      </c>
      <c r="L202" s="273">
        <v>34970</v>
      </c>
      <c r="M202" s="271" t="s">
        <v>1090</v>
      </c>
      <c r="N202" s="271" t="s">
        <v>168</v>
      </c>
      <c r="O202" s="271" t="s">
        <v>1091</v>
      </c>
      <c r="P202" s="271"/>
      <c r="Q202" s="271">
        <v>-1049</v>
      </c>
    </row>
    <row r="203" spans="1:17" ht="15" hidden="1">
      <c r="A203" s="332" t="s">
        <v>1351</v>
      </c>
      <c r="B203" s="271" t="s">
        <v>831</v>
      </c>
      <c r="C203" s="271" t="s">
        <v>830</v>
      </c>
      <c r="D203" s="271" t="s">
        <v>165</v>
      </c>
      <c r="E203" s="271" t="s">
        <v>686</v>
      </c>
      <c r="F203" s="271" t="s">
        <v>832</v>
      </c>
      <c r="G203" s="272" t="s">
        <v>1334</v>
      </c>
      <c r="H203" s="272" t="s">
        <v>1334</v>
      </c>
      <c r="I203" s="272" t="s">
        <v>1335</v>
      </c>
      <c r="J203" s="272" t="s">
        <v>1335</v>
      </c>
      <c r="K203" s="271" t="s">
        <v>232</v>
      </c>
      <c r="L203" s="273">
        <v>990</v>
      </c>
      <c r="M203" s="271" t="s">
        <v>1088</v>
      </c>
      <c r="N203" s="271" t="s">
        <v>1089</v>
      </c>
      <c r="O203" s="271" t="s">
        <v>168</v>
      </c>
      <c r="P203" s="271"/>
      <c r="Q203" s="271">
        <v>-35</v>
      </c>
    </row>
    <row r="204" spans="1:17" ht="15">
      <c r="A204" s="332" t="s">
        <v>1352</v>
      </c>
      <c r="B204" s="271" t="s">
        <v>831</v>
      </c>
      <c r="C204" s="271" t="s">
        <v>830</v>
      </c>
      <c r="D204" s="271" t="s">
        <v>165</v>
      </c>
      <c r="E204" s="271" t="s">
        <v>686</v>
      </c>
      <c r="F204" s="271" t="s">
        <v>832</v>
      </c>
      <c r="G204" s="272" t="s">
        <v>1334</v>
      </c>
      <c r="H204" s="272" t="s">
        <v>1334</v>
      </c>
      <c r="I204" s="272" t="s">
        <v>1335</v>
      </c>
      <c r="J204" s="272" t="s">
        <v>1335</v>
      </c>
      <c r="K204" s="271" t="s">
        <v>232</v>
      </c>
      <c r="L204" s="273">
        <v>990</v>
      </c>
      <c r="M204" s="271" t="s">
        <v>1090</v>
      </c>
      <c r="N204" s="271" t="s">
        <v>168</v>
      </c>
      <c r="O204" s="271" t="s">
        <v>1091</v>
      </c>
      <c r="P204" s="271"/>
      <c r="Q204" s="271">
        <v>-29</v>
      </c>
    </row>
    <row r="205" spans="1:17" ht="15" hidden="1">
      <c r="A205" s="332" t="s">
        <v>1353</v>
      </c>
      <c r="B205" s="271" t="s">
        <v>831</v>
      </c>
      <c r="C205" s="271" t="s">
        <v>1354</v>
      </c>
      <c r="D205" s="271" t="s">
        <v>137</v>
      </c>
      <c r="E205" s="271"/>
      <c r="F205" s="271" t="s">
        <v>832</v>
      </c>
      <c r="G205" s="272" t="s">
        <v>1334</v>
      </c>
      <c r="H205" s="272" t="s">
        <v>1334</v>
      </c>
      <c r="I205" s="272" t="s">
        <v>1335</v>
      </c>
      <c r="J205" s="272" t="s">
        <v>1335</v>
      </c>
      <c r="K205" s="271" t="s">
        <v>232</v>
      </c>
      <c r="L205" s="273">
        <v>3000</v>
      </c>
      <c r="M205" s="271" t="s">
        <v>1088</v>
      </c>
      <c r="N205" s="271" t="s">
        <v>1089</v>
      </c>
      <c r="O205" s="271" t="s">
        <v>168</v>
      </c>
      <c r="P205" s="271"/>
      <c r="Q205" s="271">
        <v>-108</v>
      </c>
    </row>
    <row r="206" spans="1:17" ht="15" hidden="1">
      <c r="A206" s="332" t="s">
        <v>1355</v>
      </c>
      <c r="B206" s="271" t="s">
        <v>814</v>
      </c>
      <c r="C206" s="271" t="s">
        <v>816</v>
      </c>
      <c r="D206" s="271" t="s">
        <v>165</v>
      </c>
      <c r="E206" s="271" t="s">
        <v>812</v>
      </c>
      <c r="F206" s="271" t="s">
        <v>815</v>
      </c>
      <c r="G206" s="272" t="s">
        <v>1356</v>
      </c>
      <c r="H206" s="272" t="s">
        <v>1356</v>
      </c>
      <c r="I206" s="272" t="s">
        <v>1334</v>
      </c>
      <c r="J206" s="272" t="s">
        <v>1334</v>
      </c>
      <c r="K206" s="271" t="s">
        <v>232</v>
      </c>
      <c r="L206" s="273">
        <v>990</v>
      </c>
      <c r="M206" s="271" t="s">
        <v>1088</v>
      </c>
      <c r="N206" s="271" t="s">
        <v>695</v>
      </c>
      <c r="O206" s="271" t="s">
        <v>168</v>
      </c>
      <c r="P206" s="271"/>
      <c r="Q206" s="271">
        <v>-35</v>
      </c>
    </row>
    <row r="207" spans="1:17" ht="15">
      <c r="A207" s="332" t="s">
        <v>1357</v>
      </c>
      <c r="B207" s="271" t="s">
        <v>814</v>
      </c>
      <c r="C207" s="271" t="s">
        <v>816</v>
      </c>
      <c r="D207" s="271" t="s">
        <v>165</v>
      </c>
      <c r="E207" s="271" t="s">
        <v>812</v>
      </c>
      <c r="F207" s="271" t="s">
        <v>815</v>
      </c>
      <c r="G207" s="272" t="s">
        <v>1356</v>
      </c>
      <c r="H207" s="272" t="s">
        <v>1356</v>
      </c>
      <c r="I207" s="272" t="s">
        <v>1334</v>
      </c>
      <c r="J207" s="272" t="s">
        <v>1334</v>
      </c>
      <c r="K207" s="271" t="s">
        <v>232</v>
      </c>
      <c r="L207" s="273">
        <v>990</v>
      </c>
      <c r="M207" s="271" t="s">
        <v>1090</v>
      </c>
      <c r="N207" s="271" t="s">
        <v>168</v>
      </c>
      <c r="O207" s="271" t="s">
        <v>1091</v>
      </c>
      <c r="P207" s="271"/>
      <c r="Q207" s="271">
        <v>-29</v>
      </c>
    </row>
    <row r="208" spans="1:17" ht="15" hidden="1">
      <c r="A208" s="332" t="s">
        <v>1358</v>
      </c>
      <c r="B208" s="271" t="s">
        <v>814</v>
      </c>
      <c r="C208" s="271" t="s">
        <v>813</v>
      </c>
      <c r="D208" s="271" t="s">
        <v>165</v>
      </c>
      <c r="E208" s="271" t="s">
        <v>795</v>
      </c>
      <c r="F208" s="271" t="s">
        <v>815</v>
      </c>
      <c r="G208" s="272" t="s">
        <v>1356</v>
      </c>
      <c r="H208" s="272" t="s">
        <v>1356</v>
      </c>
      <c r="I208" s="272" t="s">
        <v>1334</v>
      </c>
      <c r="J208" s="272" t="s">
        <v>1334</v>
      </c>
      <c r="K208" s="271" t="s">
        <v>232</v>
      </c>
      <c r="L208" s="273">
        <v>12240</v>
      </c>
      <c r="M208" s="271" t="s">
        <v>1088</v>
      </c>
      <c r="N208" s="271" t="s">
        <v>695</v>
      </c>
      <c r="O208" s="271" t="s">
        <v>168</v>
      </c>
      <c r="P208" s="271"/>
      <c r="Q208" s="271">
        <v>-444</v>
      </c>
    </row>
    <row r="209" spans="1:17" ht="15">
      <c r="A209" s="332" t="s">
        <v>1359</v>
      </c>
      <c r="B209" s="271" t="s">
        <v>814</v>
      </c>
      <c r="C209" s="271" t="s">
        <v>813</v>
      </c>
      <c r="D209" s="271" t="s">
        <v>165</v>
      </c>
      <c r="E209" s="271" t="s">
        <v>795</v>
      </c>
      <c r="F209" s="271" t="s">
        <v>815</v>
      </c>
      <c r="G209" s="272" t="s">
        <v>1356</v>
      </c>
      <c r="H209" s="272" t="s">
        <v>1356</v>
      </c>
      <c r="I209" s="272" t="s">
        <v>1334</v>
      </c>
      <c r="J209" s="272" t="s">
        <v>1334</v>
      </c>
      <c r="K209" s="271" t="s">
        <v>232</v>
      </c>
      <c r="L209" s="273">
        <v>12240</v>
      </c>
      <c r="M209" s="271" t="s">
        <v>1090</v>
      </c>
      <c r="N209" s="271" t="s">
        <v>168</v>
      </c>
      <c r="O209" s="271" t="s">
        <v>1091</v>
      </c>
      <c r="P209" s="271"/>
      <c r="Q209" s="271">
        <v>-367</v>
      </c>
    </row>
    <row r="210" spans="1:17" ht="15" hidden="1">
      <c r="A210" s="332" t="s">
        <v>1360</v>
      </c>
      <c r="B210" s="271" t="s">
        <v>814</v>
      </c>
      <c r="C210" s="271" t="s">
        <v>1361</v>
      </c>
      <c r="D210" s="271" t="s">
        <v>137</v>
      </c>
      <c r="E210" s="271"/>
      <c r="F210" s="271" t="s">
        <v>815</v>
      </c>
      <c r="G210" s="272" t="s">
        <v>1356</v>
      </c>
      <c r="H210" s="272" t="s">
        <v>1356</v>
      </c>
      <c r="I210" s="272" t="s">
        <v>1334</v>
      </c>
      <c r="J210" s="272" t="s">
        <v>1334</v>
      </c>
      <c r="K210" s="271" t="s">
        <v>232</v>
      </c>
      <c r="L210" s="273">
        <v>3000</v>
      </c>
      <c r="M210" s="271" t="s">
        <v>1088</v>
      </c>
      <c r="N210" s="271" t="s">
        <v>695</v>
      </c>
      <c r="O210" s="271" t="s">
        <v>168</v>
      </c>
      <c r="P210" s="271"/>
      <c r="Q210" s="271">
        <v>-108</v>
      </c>
    </row>
    <row r="211" spans="1:17" ht="15" hidden="1">
      <c r="A211" s="332" t="s">
        <v>1362</v>
      </c>
      <c r="B211" s="271" t="s">
        <v>818</v>
      </c>
      <c r="C211" s="271" t="s">
        <v>817</v>
      </c>
      <c r="D211" s="271" t="s">
        <v>165</v>
      </c>
      <c r="E211" s="271" t="s">
        <v>812</v>
      </c>
      <c r="F211" s="271" t="s">
        <v>819</v>
      </c>
      <c r="G211" s="272" t="s">
        <v>1356</v>
      </c>
      <c r="H211" s="272" t="s">
        <v>1356</v>
      </c>
      <c r="I211" s="272" t="s">
        <v>1334</v>
      </c>
      <c r="J211" s="272" t="s">
        <v>1334</v>
      </c>
      <c r="K211" s="271" t="s">
        <v>232</v>
      </c>
      <c r="L211" s="273">
        <v>990</v>
      </c>
      <c r="M211" s="271" t="s">
        <v>1088</v>
      </c>
      <c r="N211" s="271" t="s">
        <v>1089</v>
      </c>
      <c r="O211" s="271" t="s">
        <v>168</v>
      </c>
      <c r="P211" s="271"/>
      <c r="Q211" s="271">
        <v>-35</v>
      </c>
    </row>
    <row r="212" spans="1:17" ht="15">
      <c r="A212" s="332" t="s">
        <v>1363</v>
      </c>
      <c r="B212" s="271" t="s">
        <v>818</v>
      </c>
      <c r="C212" s="271" t="s">
        <v>817</v>
      </c>
      <c r="D212" s="271" t="s">
        <v>165</v>
      </c>
      <c r="E212" s="271" t="s">
        <v>812</v>
      </c>
      <c r="F212" s="271" t="s">
        <v>819</v>
      </c>
      <c r="G212" s="272" t="s">
        <v>1356</v>
      </c>
      <c r="H212" s="272" t="s">
        <v>1356</v>
      </c>
      <c r="I212" s="272" t="s">
        <v>1334</v>
      </c>
      <c r="J212" s="272" t="s">
        <v>1334</v>
      </c>
      <c r="K212" s="271" t="s">
        <v>232</v>
      </c>
      <c r="L212" s="273">
        <v>990</v>
      </c>
      <c r="M212" s="271" t="s">
        <v>1090</v>
      </c>
      <c r="N212" s="271" t="s">
        <v>168</v>
      </c>
      <c r="O212" s="271" t="s">
        <v>1091</v>
      </c>
      <c r="P212" s="271"/>
      <c r="Q212" s="271">
        <v>-29</v>
      </c>
    </row>
    <row r="213" spans="1:17" ht="15" hidden="1">
      <c r="A213" s="332" t="s">
        <v>1364</v>
      </c>
      <c r="B213" s="271" t="s">
        <v>818</v>
      </c>
      <c r="C213" s="271" t="s">
        <v>1365</v>
      </c>
      <c r="D213" s="271" t="s">
        <v>137</v>
      </c>
      <c r="E213" s="271"/>
      <c r="F213" s="271" t="s">
        <v>819</v>
      </c>
      <c r="G213" s="272" t="s">
        <v>1356</v>
      </c>
      <c r="H213" s="272" t="s">
        <v>1356</v>
      </c>
      <c r="I213" s="272" t="s">
        <v>1334</v>
      </c>
      <c r="J213" s="272" t="s">
        <v>1334</v>
      </c>
      <c r="K213" s="271" t="s">
        <v>232</v>
      </c>
      <c r="L213" s="273">
        <v>3000</v>
      </c>
      <c r="M213" s="271" t="s">
        <v>1088</v>
      </c>
      <c r="N213" s="271" t="s">
        <v>1089</v>
      </c>
      <c r="O213" s="271" t="s">
        <v>168</v>
      </c>
      <c r="P213" s="271"/>
      <c r="Q213" s="271">
        <v>-108</v>
      </c>
    </row>
    <row r="214" spans="1:17" ht="15" hidden="1">
      <c r="A214" s="332" t="s">
        <v>1366</v>
      </c>
      <c r="B214" s="271" t="s">
        <v>809</v>
      </c>
      <c r="C214" s="271" t="s">
        <v>811</v>
      </c>
      <c r="D214" s="271" t="s">
        <v>165</v>
      </c>
      <c r="E214" s="271" t="s">
        <v>812</v>
      </c>
      <c r="F214" s="271" t="s">
        <v>810</v>
      </c>
      <c r="G214" s="272" t="s">
        <v>1356</v>
      </c>
      <c r="H214" s="272" t="s">
        <v>1356</v>
      </c>
      <c r="I214" s="272" t="s">
        <v>1334</v>
      </c>
      <c r="J214" s="272" t="s">
        <v>1334</v>
      </c>
      <c r="K214" s="271" t="s">
        <v>232</v>
      </c>
      <c r="L214" s="273">
        <v>915</v>
      </c>
      <c r="M214" s="271" t="s">
        <v>1088</v>
      </c>
      <c r="N214" s="271" t="s">
        <v>695</v>
      </c>
      <c r="O214" s="271" t="s">
        <v>168</v>
      </c>
      <c r="P214" s="271"/>
      <c r="Q214" s="271">
        <v>-33</v>
      </c>
    </row>
    <row r="215" spans="1:17" ht="15" hidden="1">
      <c r="A215" s="332" t="s">
        <v>1367</v>
      </c>
      <c r="B215" s="271" t="s">
        <v>809</v>
      </c>
      <c r="C215" s="271" t="s">
        <v>811</v>
      </c>
      <c r="D215" s="271" t="s">
        <v>165</v>
      </c>
      <c r="E215" s="271" t="s">
        <v>812</v>
      </c>
      <c r="F215" s="271" t="s">
        <v>810</v>
      </c>
      <c r="G215" s="272" t="s">
        <v>1356</v>
      </c>
      <c r="H215" s="272" t="s">
        <v>1356</v>
      </c>
      <c r="I215" s="272" t="s">
        <v>1334</v>
      </c>
      <c r="J215" s="272" t="s">
        <v>1334</v>
      </c>
      <c r="K215" s="271" t="s">
        <v>232</v>
      </c>
      <c r="L215" s="273">
        <v>75</v>
      </c>
      <c r="M215" s="271" t="s">
        <v>1088</v>
      </c>
      <c r="N215" s="271" t="s">
        <v>1089</v>
      </c>
      <c r="O215" s="271" t="s">
        <v>168</v>
      </c>
      <c r="P215" s="271"/>
      <c r="Q215" s="271">
        <v>-2</v>
      </c>
    </row>
    <row r="216" spans="1:17" ht="15">
      <c r="A216" s="332" t="s">
        <v>1368</v>
      </c>
      <c r="B216" s="271" t="s">
        <v>809</v>
      </c>
      <c r="C216" s="271" t="s">
        <v>811</v>
      </c>
      <c r="D216" s="271" t="s">
        <v>165</v>
      </c>
      <c r="E216" s="271" t="s">
        <v>812</v>
      </c>
      <c r="F216" s="271" t="s">
        <v>810</v>
      </c>
      <c r="G216" s="272" t="s">
        <v>1356</v>
      </c>
      <c r="H216" s="272" t="s">
        <v>1356</v>
      </c>
      <c r="I216" s="272" t="s">
        <v>1334</v>
      </c>
      <c r="J216" s="272" t="s">
        <v>1334</v>
      </c>
      <c r="K216" s="271" t="s">
        <v>232</v>
      </c>
      <c r="L216" s="273">
        <v>990</v>
      </c>
      <c r="M216" s="271" t="s">
        <v>1090</v>
      </c>
      <c r="N216" s="271" t="s">
        <v>168</v>
      </c>
      <c r="O216" s="271" t="s">
        <v>1091</v>
      </c>
      <c r="P216" s="271"/>
      <c r="Q216" s="271">
        <v>-29</v>
      </c>
    </row>
    <row r="217" spans="1:17" ht="15" hidden="1">
      <c r="A217" s="332" t="s">
        <v>1369</v>
      </c>
      <c r="B217" s="271" t="s">
        <v>809</v>
      </c>
      <c r="C217" s="271" t="s">
        <v>808</v>
      </c>
      <c r="D217" s="271" t="s">
        <v>165</v>
      </c>
      <c r="E217" s="271" t="s">
        <v>795</v>
      </c>
      <c r="F217" s="271" t="s">
        <v>810</v>
      </c>
      <c r="G217" s="272" t="s">
        <v>1356</v>
      </c>
      <c r="H217" s="272" t="s">
        <v>1356</v>
      </c>
      <c r="I217" s="272" t="s">
        <v>1334</v>
      </c>
      <c r="J217" s="272" t="s">
        <v>1334</v>
      </c>
      <c r="K217" s="271" t="s">
        <v>232</v>
      </c>
      <c r="L217" s="273">
        <v>11312</v>
      </c>
      <c r="M217" s="271" t="s">
        <v>1088</v>
      </c>
      <c r="N217" s="271" t="s">
        <v>695</v>
      </c>
      <c r="O217" s="271" t="s">
        <v>168</v>
      </c>
      <c r="P217" s="271"/>
      <c r="Q217" s="271">
        <v>-410</v>
      </c>
    </row>
    <row r="218" spans="1:17" ht="15" hidden="1">
      <c r="A218" s="332" t="s">
        <v>1370</v>
      </c>
      <c r="B218" s="271" t="s">
        <v>809</v>
      </c>
      <c r="C218" s="271" t="s">
        <v>808</v>
      </c>
      <c r="D218" s="271" t="s">
        <v>165</v>
      </c>
      <c r="E218" s="271" t="s">
        <v>795</v>
      </c>
      <c r="F218" s="271" t="s">
        <v>810</v>
      </c>
      <c r="G218" s="272" t="s">
        <v>1356</v>
      </c>
      <c r="H218" s="272" t="s">
        <v>1356</v>
      </c>
      <c r="I218" s="272" t="s">
        <v>1334</v>
      </c>
      <c r="J218" s="272" t="s">
        <v>1334</v>
      </c>
      <c r="K218" s="271" t="s">
        <v>232</v>
      </c>
      <c r="L218" s="273">
        <v>928</v>
      </c>
      <c r="M218" s="271" t="s">
        <v>1088</v>
      </c>
      <c r="N218" s="271" t="s">
        <v>1089</v>
      </c>
      <c r="O218" s="271" t="s">
        <v>168</v>
      </c>
      <c r="P218" s="271"/>
      <c r="Q218" s="271">
        <v>-33</v>
      </c>
    </row>
    <row r="219" spans="1:17" ht="15">
      <c r="A219" s="332" t="s">
        <v>1371</v>
      </c>
      <c r="B219" s="271" t="s">
        <v>809</v>
      </c>
      <c r="C219" s="271" t="s">
        <v>808</v>
      </c>
      <c r="D219" s="271" t="s">
        <v>165</v>
      </c>
      <c r="E219" s="271" t="s">
        <v>795</v>
      </c>
      <c r="F219" s="271" t="s">
        <v>810</v>
      </c>
      <c r="G219" s="272" t="s">
        <v>1356</v>
      </c>
      <c r="H219" s="272" t="s">
        <v>1356</v>
      </c>
      <c r="I219" s="272" t="s">
        <v>1334</v>
      </c>
      <c r="J219" s="272" t="s">
        <v>1334</v>
      </c>
      <c r="K219" s="271" t="s">
        <v>232</v>
      </c>
      <c r="L219" s="273">
        <v>12240</v>
      </c>
      <c r="M219" s="271" t="s">
        <v>1090</v>
      </c>
      <c r="N219" s="271" t="s">
        <v>168</v>
      </c>
      <c r="O219" s="271" t="s">
        <v>1091</v>
      </c>
      <c r="P219" s="271"/>
      <c r="Q219" s="271">
        <v>-367</v>
      </c>
    </row>
    <row r="220" spans="1:17" ht="15" hidden="1">
      <c r="A220" s="332" t="s">
        <v>1372</v>
      </c>
      <c r="B220" s="271" t="s">
        <v>809</v>
      </c>
      <c r="C220" s="271" t="s">
        <v>1373</v>
      </c>
      <c r="D220" s="271" t="s">
        <v>137</v>
      </c>
      <c r="E220" s="271"/>
      <c r="F220" s="271" t="s">
        <v>810</v>
      </c>
      <c r="G220" s="272" t="s">
        <v>1356</v>
      </c>
      <c r="H220" s="272" t="s">
        <v>1356</v>
      </c>
      <c r="I220" s="272" t="s">
        <v>1334</v>
      </c>
      <c r="J220" s="272" t="s">
        <v>1334</v>
      </c>
      <c r="K220" s="271" t="s">
        <v>232</v>
      </c>
      <c r="L220" s="273">
        <v>2773</v>
      </c>
      <c r="M220" s="271" t="s">
        <v>1088</v>
      </c>
      <c r="N220" s="271" t="s">
        <v>695</v>
      </c>
      <c r="O220" s="271" t="s">
        <v>168</v>
      </c>
      <c r="P220" s="271"/>
      <c r="Q220" s="271">
        <v>-100</v>
      </c>
    </row>
    <row r="221" spans="1:17" ht="15" hidden="1">
      <c r="A221" s="332" t="s">
        <v>1374</v>
      </c>
      <c r="B221" s="271" t="s">
        <v>809</v>
      </c>
      <c r="C221" s="271" t="s">
        <v>1373</v>
      </c>
      <c r="D221" s="271" t="s">
        <v>137</v>
      </c>
      <c r="E221" s="271"/>
      <c r="F221" s="271" t="s">
        <v>810</v>
      </c>
      <c r="G221" s="272" t="s">
        <v>1356</v>
      </c>
      <c r="H221" s="272" t="s">
        <v>1356</v>
      </c>
      <c r="I221" s="272" t="s">
        <v>1334</v>
      </c>
      <c r="J221" s="272" t="s">
        <v>1334</v>
      </c>
      <c r="K221" s="271" t="s">
        <v>232</v>
      </c>
      <c r="L221" s="273">
        <v>227</v>
      </c>
      <c r="M221" s="271" t="s">
        <v>1088</v>
      </c>
      <c r="N221" s="271" t="s">
        <v>1089</v>
      </c>
      <c r="O221" s="271" t="s">
        <v>168</v>
      </c>
      <c r="P221" s="271"/>
      <c r="Q221" s="271">
        <v>-8</v>
      </c>
    </row>
    <row r="222" spans="1:17" ht="15" hidden="1">
      <c r="A222" s="332" t="s">
        <v>1375</v>
      </c>
      <c r="B222" s="271" t="s">
        <v>806</v>
      </c>
      <c r="C222" s="271" t="s">
        <v>805</v>
      </c>
      <c r="D222" s="271" t="s">
        <v>165</v>
      </c>
      <c r="E222" s="271" t="s">
        <v>686</v>
      </c>
      <c r="F222" s="271" t="s">
        <v>807</v>
      </c>
      <c r="G222" s="272" t="s">
        <v>1356</v>
      </c>
      <c r="H222" s="272" t="s">
        <v>1356</v>
      </c>
      <c r="I222" s="272" t="s">
        <v>1334</v>
      </c>
      <c r="J222" s="272" t="s">
        <v>1334</v>
      </c>
      <c r="K222" s="271" t="s">
        <v>232</v>
      </c>
      <c r="L222" s="273">
        <v>990</v>
      </c>
      <c r="M222" s="271" t="s">
        <v>1088</v>
      </c>
      <c r="N222" s="271" t="s">
        <v>695</v>
      </c>
      <c r="O222" s="271" t="s">
        <v>168</v>
      </c>
      <c r="P222" s="271"/>
      <c r="Q222" s="271">
        <v>-35</v>
      </c>
    </row>
    <row r="223" spans="1:17" ht="15">
      <c r="A223" s="332" t="s">
        <v>1376</v>
      </c>
      <c r="B223" s="271" t="s">
        <v>806</v>
      </c>
      <c r="C223" s="271" t="s">
        <v>805</v>
      </c>
      <c r="D223" s="271" t="s">
        <v>165</v>
      </c>
      <c r="E223" s="271" t="s">
        <v>686</v>
      </c>
      <c r="F223" s="271" t="s">
        <v>807</v>
      </c>
      <c r="G223" s="272" t="s">
        <v>1356</v>
      </c>
      <c r="H223" s="272" t="s">
        <v>1356</v>
      </c>
      <c r="I223" s="272" t="s">
        <v>1334</v>
      </c>
      <c r="J223" s="272" t="s">
        <v>1334</v>
      </c>
      <c r="K223" s="271" t="s">
        <v>232</v>
      </c>
      <c r="L223" s="273">
        <v>990</v>
      </c>
      <c r="M223" s="271" t="s">
        <v>1090</v>
      </c>
      <c r="N223" s="271" t="s">
        <v>168</v>
      </c>
      <c r="O223" s="271" t="s">
        <v>1091</v>
      </c>
      <c r="P223" s="271"/>
      <c r="Q223" s="271">
        <v>-29</v>
      </c>
    </row>
    <row r="224" spans="1:17" ht="15" hidden="1">
      <c r="A224" s="332" t="s">
        <v>1377</v>
      </c>
      <c r="B224" s="271" t="s">
        <v>806</v>
      </c>
      <c r="C224" s="271" t="s">
        <v>1378</v>
      </c>
      <c r="D224" s="271" t="s">
        <v>137</v>
      </c>
      <c r="E224" s="271"/>
      <c r="F224" s="271" t="s">
        <v>807</v>
      </c>
      <c r="G224" s="272" t="s">
        <v>1356</v>
      </c>
      <c r="H224" s="272" t="s">
        <v>1356</v>
      </c>
      <c r="I224" s="272" t="s">
        <v>1334</v>
      </c>
      <c r="J224" s="272" t="s">
        <v>1334</v>
      </c>
      <c r="K224" s="271" t="s">
        <v>232</v>
      </c>
      <c r="L224" s="273">
        <v>3000</v>
      </c>
      <c r="M224" s="271" t="s">
        <v>1088</v>
      </c>
      <c r="N224" s="271" t="s">
        <v>695</v>
      </c>
      <c r="O224" s="271" t="s">
        <v>168</v>
      </c>
      <c r="P224" s="271"/>
      <c r="Q224" s="271">
        <v>-108</v>
      </c>
    </row>
    <row r="225" spans="1:17" ht="15" hidden="1">
      <c r="A225" s="332" t="s">
        <v>1379</v>
      </c>
      <c r="B225" s="271" t="s">
        <v>801</v>
      </c>
      <c r="C225" s="271" t="s">
        <v>804</v>
      </c>
      <c r="D225" s="271" t="s">
        <v>165</v>
      </c>
      <c r="E225" s="271" t="s">
        <v>686</v>
      </c>
      <c r="F225" s="271" t="s">
        <v>802</v>
      </c>
      <c r="G225" s="272" t="s">
        <v>1356</v>
      </c>
      <c r="H225" s="272" t="s">
        <v>1356</v>
      </c>
      <c r="I225" s="272" t="s">
        <v>1334</v>
      </c>
      <c r="J225" s="272" t="s">
        <v>1334</v>
      </c>
      <c r="K225" s="271" t="s">
        <v>232</v>
      </c>
      <c r="L225" s="273">
        <v>269</v>
      </c>
      <c r="M225" s="271" t="s">
        <v>1088</v>
      </c>
      <c r="N225" s="271" t="s">
        <v>695</v>
      </c>
      <c r="O225" s="271" t="s">
        <v>168</v>
      </c>
      <c r="P225" s="271"/>
      <c r="Q225" s="271">
        <v>-9</v>
      </c>
    </row>
    <row r="226" spans="1:17" ht="15" hidden="1">
      <c r="A226" s="332" t="s">
        <v>1380</v>
      </c>
      <c r="B226" s="271" t="s">
        <v>801</v>
      </c>
      <c r="C226" s="271" t="s">
        <v>804</v>
      </c>
      <c r="D226" s="271" t="s">
        <v>165</v>
      </c>
      <c r="E226" s="271" t="s">
        <v>686</v>
      </c>
      <c r="F226" s="271" t="s">
        <v>802</v>
      </c>
      <c r="G226" s="272" t="s">
        <v>1356</v>
      </c>
      <c r="H226" s="272" t="s">
        <v>1356</v>
      </c>
      <c r="I226" s="272" t="s">
        <v>1334</v>
      </c>
      <c r="J226" s="272" t="s">
        <v>1334</v>
      </c>
      <c r="K226" s="271" t="s">
        <v>232</v>
      </c>
      <c r="L226" s="273">
        <v>721</v>
      </c>
      <c r="M226" s="271" t="s">
        <v>1088</v>
      </c>
      <c r="N226" s="271" t="s">
        <v>1089</v>
      </c>
      <c r="O226" s="271" t="s">
        <v>168</v>
      </c>
      <c r="P226" s="271"/>
      <c r="Q226" s="271">
        <v>-26</v>
      </c>
    </row>
    <row r="227" spans="1:17" ht="15">
      <c r="A227" s="332" t="s">
        <v>1381</v>
      </c>
      <c r="B227" s="271" t="s">
        <v>801</v>
      </c>
      <c r="C227" s="271" t="s">
        <v>804</v>
      </c>
      <c r="D227" s="271" t="s">
        <v>165</v>
      </c>
      <c r="E227" s="271" t="s">
        <v>686</v>
      </c>
      <c r="F227" s="271" t="s">
        <v>802</v>
      </c>
      <c r="G227" s="272" t="s">
        <v>1356</v>
      </c>
      <c r="H227" s="272" t="s">
        <v>1356</v>
      </c>
      <c r="I227" s="272" t="s">
        <v>1334</v>
      </c>
      <c r="J227" s="272" t="s">
        <v>1334</v>
      </c>
      <c r="K227" s="271" t="s">
        <v>232</v>
      </c>
      <c r="L227" s="273">
        <v>990</v>
      </c>
      <c r="M227" s="271" t="s">
        <v>1090</v>
      </c>
      <c r="N227" s="271" t="s">
        <v>168</v>
      </c>
      <c r="O227" s="271" t="s">
        <v>1091</v>
      </c>
      <c r="P227" s="271"/>
      <c r="Q227" s="271">
        <v>-29</v>
      </c>
    </row>
    <row r="228" spans="1:17" ht="15" hidden="1">
      <c r="A228" s="332" t="s">
        <v>1382</v>
      </c>
      <c r="B228" s="271" t="s">
        <v>801</v>
      </c>
      <c r="C228" s="271" t="s">
        <v>803</v>
      </c>
      <c r="D228" s="271" t="s">
        <v>165</v>
      </c>
      <c r="E228" s="271" t="s">
        <v>795</v>
      </c>
      <c r="F228" s="271" t="s">
        <v>802</v>
      </c>
      <c r="G228" s="272" t="s">
        <v>1356</v>
      </c>
      <c r="H228" s="272" t="s">
        <v>1356</v>
      </c>
      <c r="I228" s="272" t="s">
        <v>1334</v>
      </c>
      <c r="J228" s="272" t="s">
        <v>1334</v>
      </c>
      <c r="K228" s="271" t="s">
        <v>232</v>
      </c>
      <c r="L228" s="273">
        <v>3325</v>
      </c>
      <c r="M228" s="271" t="s">
        <v>1088</v>
      </c>
      <c r="N228" s="271" t="s">
        <v>695</v>
      </c>
      <c r="O228" s="271" t="s">
        <v>168</v>
      </c>
      <c r="P228" s="271"/>
      <c r="Q228" s="271">
        <v>-120</v>
      </c>
    </row>
    <row r="229" spans="1:17" ht="15" hidden="1">
      <c r="A229" s="332" t="s">
        <v>1383</v>
      </c>
      <c r="B229" s="271" t="s">
        <v>801</v>
      </c>
      <c r="C229" s="271" t="s">
        <v>803</v>
      </c>
      <c r="D229" s="271" t="s">
        <v>165</v>
      </c>
      <c r="E229" s="271" t="s">
        <v>795</v>
      </c>
      <c r="F229" s="271" t="s">
        <v>802</v>
      </c>
      <c r="G229" s="272" t="s">
        <v>1356</v>
      </c>
      <c r="H229" s="272" t="s">
        <v>1356</v>
      </c>
      <c r="I229" s="272" t="s">
        <v>1334</v>
      </c>
      <c r="J229" s="272" t="s">
        <v>1334</v>
      </c>
      <c r="K229" s="271" t="s">
        <v>232</v>
      </c>
      <c r="L229" s="273">
        <v>8915</v>
      </c>
      <c r="M229" s="271" t="s">
        <v>1088</v>
      </c>
      <c r="N229" s="271" t="s">
        <v>1089</v>
      </c>
      <c r="O229" s="271" t="s">
        <v>168</v>
      </c>
      <c r="P229" s="271"/>
      <c r="Q229" s="271">
        <v>-323</v>
      </c>
    </row>
    <row r="230" spans="1:17" ht="15">
      <c r="A230" s="332" t="s">
        <v>1384</v>
      </c>
      <c r="B230" s="271" t="s">
        <v>801</v>
      </c>
      <c r="C230" s="271" t="s">
        <v>803</v>
      </c>
      <c r="D230" s="271" t="s">
        <v>165</v>
      </c>
      <c r="E230" s="271" t="s">
        <v>795</v>
      </c>
      <c r="F230" s="271" t="s">
        <v>802</v>
      </c>
      <c r="G230" s="272" t="s">
        <v>1356</v>
      </c>
      <c r="H230" s="272" t="s">
        <v>1356</v>
      </c>
      <c r="I230" s="272" t="s">
        <v>1334</v>
      </c>
      <c r="J230" s="272" t="s">
        <v>1334</v>
      </c>
      <c r="K230" s="271" t="s">
        <v>232</v>
      </c>
      <c r="L230" s="273">
        <v>12240</v>
      </c>
      <c r="M230" s="271" t="s">
        <v>1090</v>
      </c>
      <c r="N230" s="271" t="s">
        <v>168</v>
      </c>
      <c r="O230" s="271" t="s">
        <v>1091</v>
      </c>
      <c r="P230" s="271"/>
      <c r="Q230" s="271">
        <v>-367</v>
      </c>
    </row>
    <row r="231" spans="1:17" ht="15" hidden="1">
      <c r="A231" s="332" t="s">
        <v>1385</v>
      </c>
      <c r="B231" s="271" t="s">
        <v>801</v>
      </c>
      <c r="C231" s="271" t="s">
        <v>800</v>
      </c>
      <c r="D231" s="271" t="s">
        <v>165</v>
      </c>
      <c r="E231" s="271" t="s">
        <v>795</v>
      </c>
      <c r="F231" s="271" t="s">
        <v>802</v>
      </c>
      <c r="G231" s="272" t="s">
        <v>1356</v>
      </c>
      <c r="H231" s="272" t="s">
        <v>1356</v>
      </c>
      <c r="I231" s="272" t="s">
        <v>1334</v>
      </c>
      <c r="J231" s="272" t="s">
        <v>1334</v>
      </c>
      <c r="K231" s="271" t="s">
        <v>232</v>
      </c>
      <c r="L231" s="273">
        <v>3325</v>
      </c>
      <c r="M231" s="271" t="s">
        <v>1088</v>
      </c>
      <c r="N231" s="271" t="s">
        <v>695</v>
      </c>
      <c r="O231" s="271" t="s">
        <v>168</v>
      </c>
      <c r="P231" s="271"/>
      <c r="Q231" s="271">
        <v>-120</v>
      </c>
    </row>
    <row r="232" spans="1:17" ht="15" hidden="1">
      <c r="A232" s="332" t="s">
        <v>1386</v>
      </c>
      <c r="B232" s="271" t="s">
        <v>801</v>
      </c>
      <c r="C232" s="271" t="s">
        <v>800</v>
      </c>
      <c r="D232" s="271" t="s">
        <v>165</v>
      </c>
      <c r="E232" s="271" t="s">
        <v>795</v>
      </c>
      <c r="F232" s="271" t="s">
        <v>802</v>
      </c>
      <c r="G232" s="272" t="s">
        <v>1356</v>
      </c>
      <c r="H232" s="272" t="s">
        <v>1356</v>
      </c>
      <c r="I232" s="272" t="s">
        <v>1334</v>
      </c>
      <c r="J232" s="272" t="s">
        <v>1334</v>
      </c>
      <c r="K232" s="271" t="s">
        <v>232</v>
      </c>
      <c r="L232" s="273">
        <v>8915</v>
      </c>
      <c r="M232" s="271" t="s">
        <v>1088</v>
      </c>
      <c r="N232" s="271" t="s">
        <v>1089</v>
      </c>
      <c r="O232" s="271" t="s">
        <v>168</v>
      </c>
      <c r="P232" s="271"/>
      <c r="Q232" s="271">
        <v>-323</v>
      </c>
    </row>
    <row r="233" spans="1:17" ht="15">
      <c r="A233" s="332" t="s">
        <v>1387</v>
      </c>
      <c r="B233" s="271" t="s">
        <v>801</v>
      </c>
      <c r="C233" s="271" t="s">
        <v>800</v>
      </c>
      <c r="D233" s="271" t="s">
        <v>165</v>
      </c>
      <c r="E233" s="271" t="s">
        <v>795</v>
      </c>
      <c r="F233" s="271" t="s">
        <v>802</v>
      </c>
      <c r="G233" s="272" t="s">
        <v>1356</v>
      </c>
      <c r="H233" s="272" t="s">
        <v>1356</v>
      </c>
      <c r="I233" s="272" t="s">
        <v>1334</v>
      </c>
      <c r="J233" s="272" t="s">
        <v>1334</v>
      </c>
      <c r="K233" s="271" t="s">
        <v>232</v>
      </c>
      <c r="L233" s="273">
        <v>12240</v>
      </c>
      <c r="M233" s="271" t="s">
        <v>1090</v>
      </c>
      <c r="N233" s="271" t="s">
        <v>168</v>
      </c>
      <c r="O233" s="271" t="s">
        <v>1091</v>
      </c>
      <c r="P233" s="271"/>
      <c r="Q233" s="271">
        <v>-367</v>
      </c>
    </row>
    <row r="234" spans="1:17" ht="15" hidden="1">
      <c r="A234" s="332" t="s">
        <v>1388</v>
      </c>
      <c r="B234" s="271" t="s">
        <v>801</v>
      </c>
      <c r="C234" s="271" t="s">
        <v>1389</v>
      </c>
      <c r="D234" s="271" t="s">
        <v>137</v>
      </c>
      <c r="E234" s="271"/>
      <c r="F234" s="271" t="s">
        <v>802</v>
      </c>
      <c r="G234" s="272" t="s">
        <v>1356</v>
      </c>
      <c r="H234" s="272" t="s">
        <v>1356</v>
      </c>
      <c r="I234" s="272" t="s">
        <v>1334</v>
      </c>
      <c r="J234" s="272" t="s">
        <v>1334</v>
      </c>
      <c r="K234" s="271" t="s">
        <v>232</v>
      </c>
      <c r="L234" s="273">
        <v>815</v>
      </c>
      <c r="M234" s="271" t="s">
        <v>1088</v>
      </c>
      <c r="N234" s="271" t="s">
        <v>695</v>
      </c>
      <c r="O234" s="271" t="s">
        <v>168</v>
      </c>
      <c r="P234" s="271"/>
      <c r="Q234" s="271">
        <v>-29</v>
      </c>
    </row>
    <row r="235" spans="1:17" ht="15" hidden="1">
      <c r="A235" s="332" t="s">
        <v>1390</v>
      </c>
      <c r="B235" s="271" t="s">
        <v>801</v>
      </c>
      <c r="C235" s="271" t="s">
        <v>1389</v>
      </c>
      <c r="D235" s="271" t="s">
        <v>137</v>
      </c>
      <c r="E235" s="271"/>
      <c r="F235" s="271" t="s">
        <v>802</v>
      </c>
      <c r="G235" s="272" t="s">
        <v>1356</v>
      </c>
      <c r="H235" s="272" t="s">
        <v>1356</v>
      </c>
      <c r="I235" s="272" t="s">
        <v>1334</v>
      </c>
      <c r="J235" s="272" t="s">
        <v>1334</v>
      </c>
      <c r="K235" s="271" t="s">
        <v>232</v>
      </c>
      <c r="L235" s="273">
        <v>2185</v>
      </c>
      <c r="M235" s="271" t="s">
        <v>1088</v>
      </c>
      <c r="N235" s="271" t="s">
        <v>1089</v>
      </c>
      <c r="O235" s="271" t="s">
        <v>168</v>
      </c>
      <c r="P235" s="271"/>
      <c r="Q235" s="271">
        <v>-79</v>
      </c>
    </row>
    <row r="236" spans="1:17" ht="15" hidden="1">
      <c r="A236" s="332" t="s">
        <v>1391</v>
      </c>
      <c r="B236" s="271" t="s">
        <v>798</v>
      </c>
      <c r="C236" s="271" t="s">
        <v>797</v>
      </c>
      <c r="D236" s="271" t="s">
        <v>165</v>
      </c>
      <c r="E236" s="271" t="s">
        <v>686</v>
      </c>
      <c r="F236" s="271" t="s">
        <v>799</v>
      </c>
      <c r="G236" s="272" t="s">
        <v>1356</v>
      </c>
      <c r="H236" s="272" t="s">
        <v>1356</v>
      </c>
      <c r="I236" s="272" t="s">
        <v>1334</v>
      </c>
      <c r="J236" s="272" t="s">
        <v>1334</v>
      </c>
      <c r="K236" s="271" t="s">
        <v>232</v>
      </c>
      <c r="L236" s="273">
        <v>683</v>
      </c>
      <c r="M236" s="271" t="s">
        <v>1088</v>
      </c>
      <c r="N236" s="271" t="s">
        <v>695</v>
      </c>
      <c r="O236" s="271" t="s">
        <v>168</v>
      </c>
      <c r="P236" s="271"/>
      <c r="Q236" s="271">
        <v>-24</v>
      </c>
    </row>
    <row r="237" spans="1:17" ht="15" hidden="1">
      <c r="A237" s="332" t="s">
        <v>1392</v>
      </c>
      <c r="B237" s="271" t="s">
        <v>798</v>
      </c>
      <c r="C237" s="271" t="s">
        <v>797</v>
      </c>
      <c r="D237" s="271" t="s">
        <v>165</v>
      </c>
      <c r="E237" s="271" t="s">
        <v>686</v>
      </c>
      <c r="F237" s="271" t="s">
        <v>799</v>
      </c>
      <c r="G237" s="272" t="s">
        <v>1356</v>
      </c>
      <c r="H237" s="272" t="s">
        <v>1356</v>
      </c>
      <c r="I237" s="272" t="s">
        <v>1334</v>
      </c>
      <c r="J237" s="272" t="s">
        <v>1334</v>
      </c>
      <c r="K237" s="271" t="s">
        <v>232</v>
      </c>
      <c r="L237" s="273">
        <v>307</v>
      </c>
      <c r="M237" s="271" t="s">
        <v>1088</v>
      </c>
      <c r="N237" s="271" t="s">
        <v>1089</v>
      </c>
      <c r="O237" s="271" t="s">
        <v>168</v>
      </c>
      <c r="P237" s="271"/>
      <c r="Q237" s="271">
        <v>-11</v>
      </c>
    </row>
    <row r="238" spans="1:17" ht="15">
      <c r="A238" s="332" t="s">
        <v>1393</v>
      </c>
      <c r="B238" s="271" t="s">
        <v>798</v>
      </c>
      <c r="C238" s="271" t="s">
        <v>797</v>
      </c>
      <c r="D238" s="271" t="s">
        <v>165</v>
      </c>
      <c r="E238" s="271" t="s">
        <v>686</v>
      </c>
      <c r="F238" s="271" t="s">
        <v>799</v>
      </c>
      <c r="G238" s="272" t="s">
        <v>1356</v>
      </c>
      <c r="H238" s="272" t="s">
        <v>1356</v>
      </c>
      <c r="I238" s="272" t="s">
        <v>1334</v>
      </c>
      <c r="J238" s="272" t="s">
        <v>1334</v>
      </c>
      <c r="K238" s="271" t="s">
        <v>232</v>
      </c>
      <c r="L238" s="273">
        <v>990</v>
      </c>
      <c r="M238" s="271" t="s">
        <v>1090</v>
      </c>
      <c r="N238" s="271" t="s">
        <v>168</v>
      </c>
      <c r="O238" s="271" t="s">
        <v>1091</v>
      </c>
      <c r="P238" s="271"/>
      <c r="Q238" s="271">
        <v>-29</v>
      </c>
    </row>
    <row r="239" spans="1:17" ht="15" hidden="1">
      <c r="A239" s="332" t="s">
        <v>1394</v>
      </c>
      <c r="B239" s="271" t="s">
        <v>798</v>
      </c>
      <c r="C239" s="271" t="s">
        <v>1395</v>
      </c>
      <c r="D239" s="271" t="s">
        <v>137</v>
      </c>
      <c r="E239" s="271"/>
      <c r="F239" s="271" t="s">
        <v>799</v>
      </c>
      <c r="G239" s="272" t="s">
        <v>1356</v>
      </c>
      <c r="H239" s="272" t="s">
        <v>1356</v>
      </c>
      <c r="I239" s="272" t="s">
        <v>1334</v>
      </c>
      <c r="J239" s="272" t="s">
        <v>1334</v>
      </c>
      <c r="K239" s="271" t="s">
        <v>232</v>
      </c>
      <c r="L239" s="273">
        <v>2070</v>
      </c>
      <c r="M239" s="271" t="s">
        <v>1088</v>
      </c>
      <c r="N239" s="271" t="s">
        <v>695</v>
      </c>
      <c r="O239" s="271" t="s">
        <v>168</v>
      </c>
      <c r="P239" s="271"/>
      <c r="Q239" s="271">
        <v>-75</v>
      </c>
    </row>
    <row r="240" spans="1:17" ht="15" hidden="1">
      <c r="A240" s="332" t="s">
        <v>1396</v>
      </c>
      <c r="B240" s="271" t="s">
        <v>798</v>
      </c>
      <c r="C240" s="271" t="s">
        <v>1395</v>
      </c>
      <c r="D240" s="271" t="s">
        <v>137</v>
      </c>
      <c r="E240" s="271"/>
      <c r="F240" s="271" t="s">
        <v>799</v>
      </c>
      <c r="G240" s="272" t="s">
        <v>1356</v>
      </c>
      <c r="H240" s="272" t="s">
        <v>1356</v>
      </c>
      <c r="I240" s="272" t="s">
        <v>1334</v>
      </c>
      <c r="J240" s="272" t="s">
        <v>1334</v>
      </c>
      <c r="K240" s="271" t="s">
        <v>232</v>
      </c>
      <c r="L240" s="273">
        <v>930</v>
      </c>
      <c r="M240" s="271" t="s">
        <v>1088</v>
      </c>
      <c r="N240" s="271" t="s">
        <v>1089</v>
      </c>
      <c r="O240" s="271" t="s">
        <v>168</v>
      </c>
      <c r="P240" s="271"/>
      <c r="Q240" s="271">
        <v>-33</v>
      </c>
    </row>
    <row r="241" spans="1:17" ht="15" hidden="1">
      <c r="A241" s="332" t="s">
        <v>1397</v>
      </c>
      <c r="B241" s="271" t="s">
        <v>793</v>
      </c>
      <c r="C241" s="271" t="s">
        <v>796</v>
      </c>
      <c r="D241" s="271" t="s">
        <v>165</v>
      </c>
      <c r="E241" s="271" t="s">
        <v>686</v>
      </c>
      <c r="F241" s="271" t="s">
        <v>794</v>
      </c>
      <c r="G241" s="272" t="s">
        <v>1356</v>
      </c>
      <c r="H241" s="272" t="s">
        <v>1356</v>
      </c>
      <c r="I241" s="272" t="s">
        <v>1334</v>
      </c>
      <c r="J241" s="272" t="s">
        <v>1334</v>
      </c>
      <c r="K241" s="271" t="s">
        <v>232</v>
      </c>
      <c r="L241" s="273">
        <v>990</v>
      </c>
      <c r="M241" s="271" t="s">
        <v>1088</v>
      </c>
      <c r="N241" s="271" t="s">
        <v>695</v>
      </c>
      <c r="O241" s="271" t="s">
        <v>168</v>
      </c>
      <c r="P241" s="271"/>
      <c r="Q241" s="271">
        <v>-35</v>
      </c>
    </row>
    <row r="242" spans="1:17" ht="15">
      <c r="A242" s="332" t="s">
        <v>1398</v>
      </c>
      <c r="B242" s="271" t="s">
        <v>793</v>
      </c>
      <c r="C242" s="271" t="s">
        <v>796</v>
      </c>
      <c r="D242" s="271" t="s">
        <v>165</v>
      </c>
      <c r="E242" s="271" t="s">
        <v>686</v>
      </c>
      <c r="F242" s="271" t="s">
        <v>794</v>
      </c>
      <c r="G242" s="272" t="s">
        <v>1356</v>
      </c>
      <c r="H242" s="272" t="s">
        <v>1356</v>
      </c>
      <c r="I242" s="272" t="s">
        <v>1334</v>
      </c>
      <c r="J242" s="272" t="s">
        <v>1334</v>
      </c>
      <c r="K242" s="271" t="s">
        <v>232</v>
      </c>
      <c r="L242" s="273">
        <v>990</v>
      </c>
      <c r="M242" s="271" t="s">
        <v>1090</v>
      </c>
      <c r="N242" s="271" t="s">
        <v>168</v>
      </c>
      <c r="O242" s="271" t="s">
        <v>1091</v>
      </c>
      <c r="P242" s="271"/>
      <c r="Q242" s="271">
        <v>-29</v>
      </c>
    </row>
    <row r="243" spans="1:17" ht="15" hidden="1">
      <c r="A243" s="332" t="s">
        <v>1399</v>
      </c>
      <c r="B243" s="271" t="s">
        <v>793</v>
      </c>
      <c r="C243" s="271" t="s">
        <v>792</v>
      </c>
      <c r="D243" s="271" t="s">
        <v>165</v>
      </c>
      <c r="E243" s="271" t="s">
        <v>795</v>
      </c>
      <c r="F243" s="271" t="s">
        <v>794</v>
      </c>
      <c r="G243" s="272" t="s">
        <v>1356</v>
      </c>
      <c r="H243" s="272" t="s">
        <v>1356</v>
      </c>
      <c r="I243" s="272" t="s">
        <v>1334</v>
      </c>
      <c r="J243" s="272" t="s">
        <v>1334</v>
      </c>
      <c r="K243" s="271" t="s">
        <v>232</v>
      </c>
      <c r="L243" s="273">
        <v>12240</v>
      </c>
      <c r="M243" s="271" t="s">
        <v>1088</v>
      </c>
      <c r="N243" s="271" t="s">
        <v>695</v>
      </c>
      <c r="O243" s="271" t="s">
        <v>168</v>
      </c>
      <c r="P243" s="271"/>
      <c r="Q243" s="271">
        <v>-444</v>
      </c>
    </row>
    <row r="244" spans="1:17" ht="15">
      <c r="A244" s="332" t="s">
        <v>1400</v>
      </c>
      <c r="B244" s="271" t="s">
        <v>793</v>
      </c>
      <c r="C244" s="271" t="s">
        <v>792</v>
      </c>
      <c r="D244" s="271" t="s">
        <v>165</v>
      </c>
      <c r="E244" s="271" t="s">
        <v>795</v>
      </c>
      <c r="F244" s="271" t="s">
        <v>794</v>
      </c>
      <c r="G244" s="272" t="s">
        <v>1356</v>
      </c>
      <c r="H244" s="272" t="s">
        <v>1356</v>
      </c>
      <c r="I244" s="272" t="s">
        <v>1334</v>
      </c>
      <c r="J244" s="272" t="s">
        <v>1334</v>
      </c>
      <c r="K244" s="271" t="s">
        <v>232</v>
      </c>
      <c r="L244" s="273">
        <v>12240</v>
      </c>
      <c r="M244" s="271" t="s">
        <v>1090</v>
      </c>
      <c r="N244" s="271" t="s">
        <v>168</v>
      </c>
      <c r="O244" s="271" t="s">
        <v>1091</v>
      </c>
      <c r="P244" s="271"/>
      <c r="Q244" s="271">
        <v>-367</v>
      </c>
    </row>
    <row r="245" spans="1:17" ht="15" hidden="1">
      <c r="A245" s="332" t="s">
        <v>1401</v>
      </c>
      <c r="B245" s="271" t="s">
        <v>793</v>
      </c>
      <c r="C245" s="271" t="s">
        <v>1402</v>
      </c>
      <c r="D245" s="271" t="s">
        <v>137</v>
      </c>
      <c r="E245" s="271"/>
      <c r="F245" s="271" t="s">
        <v>794</v>
      </c>
      <c r="G245" s="272" t="s">
        <v>1356</v>
      </c>
      <c r="H245" s="272" t="s">
        <v>1356</v>
      </c>
      <c r="I245" s="272" t="s">
        <v>1334</v>
      </c>
      <c r="J245" s="272" t="s">
        <v>1334</v>
      </c>
      <c r="K245" s="271" t="s">
        <v>232</v>
      </c>
      <c r="L245" s="273">
        <v>3000</v>
      </c>
      <c r="M245" s="271" t="s">
        <v>1088</v>
      </c>
      <c r="N245" s="271" t="s">
        <v>695</v>
      </c>
      <c r="O245" s="271" t="s">
        <v>168</v>
      </c>
      <c r="P245" s="271"/>
      <c r="Q245" s="271">
        <v>-108</v>
      </c>
    </row>
    <row r="246" spans="1:17" ht="15" hidden="1">
      <c r="A246" s="332" t="s">
        <v>1403</v>
      </c>
      <c r="B246" s="271" t="s">
        <v>790</v>
      </c>
      <c r="C246" s="271" t="s">
        <v>789</v>
      </c>
      <c r="D246" s="271" t="s">
        <v>165</v>
      </c>
      <c r="E246" s="271" t="s">
        <v>686</v>
      </c>
      <c r="F246" s="271" t="s">
        <v>791</v>
      </c>
      <c r="G246" s="272" t="s">
        <v>1356</v>
      </c>
      <c r="H246" s="272" t="s">
        <v>1356</v>
      </c>
      <c r="I246" s="272" t="s">
        <v>1334</v>
      </c>
      <c r="J246" s="272" t="s">
        <v>1334</v>
      </c>
      <c r="K246" s="271" t="s">
        <v>232</v>
      </c>
      <c r="L246" s="273">
        <v>968</v>
      </c>
      <c r="M246" s="271" t="s">
        <v>1088</v>
      </c>
      <c r="N246" s="271" t="s">
        <v>695</v>
      </c>
      <c r="O246" s="271" t="s">
        <v>168</v>
      </c>
      <c r="P246" s="271"/>
      <c r="Q246" s="271">
        <v>-35</v>
      </c>
    </row>
    <row r="247" spans="1:17" ht="15" hidden="1">
      <c r="A247" s="332" t="s">
        <v>1404</v>
      </c>
      <c r="B247" s="271" t="s">
        <v>790</v>
      </c>
      <c r="C247" s="271" t="s">
        <v>789</v>
      </c>
      <c r="D247" s="271" t="s">
        <v>165</v>
      </c>
      <c r="E247" s="271" t="s">
        <v>686</v>
      </c>
      <c r="F247" s="271" t="s">
        <v>791</v>
      </c>
      <c r="G247" s="272" t="s">
        <v>1356</v>
      </c>
      <c r="H247" s="272" t="s">
        <v>1356</v>
      </c>
      <c r="I247" s="272" t="s">
        <v>1334</v>
      </c>
      <c r="J247" s="272" t="s">
        <v>1334</v>
      </c>
      <c r="K247" s="271" t="s">
        <v>232</v>
      </c>
      <c r="L247" s="273">
        <v>22</v>
      </c>
      <c r="M247" s="271" t="s">
        <v>1088</v>
      </c>
      <c r="N247" s="271" t="s">
        <v>1089</v>
      </c>
      <c r="O247" s="271" t="s">
        <v>168</v>
      </c>
      <c r="P247" s="271"/>
      <c r="Q247" s="271">
        <v>0</v>
      </c>
    </row>
    <row r="248" spans="1:17" ht="15">
      <c r="A248" s="332" t="s">
        <v>1405</v>
      </c>
      <c r="B248" s="271" t="s">
        <v>790</v>
      </c>
      <c r="C248" s="271" t="s">
        <v>789</v>
      </c>
      <c r="D248" s="271" t="s">
        <v>165</v>
      </c>
      <c r="E248" s="271" t="s">
        <v>686</v>
      </c>
      <c r="F248" s="271" t="s">
        <v>791</v>
      </c>
      <c r="G248" s="272" t="s">
        <v>1356</v>
      </c>
      <c r="H248" s="272" t="s">
        <v>1356</v>
      </c>
      <c r="I248" s="272" t="s">
        <v>1334</v>
      </c>
      <c r="J248" s="272" t="s">
        <v>1334</v>
      </c>
      <c r="K248" s="271" t="s">
        <v>232</v>
      </c>
      <c r="L248" s="273">
        <v>990</v>
      </c>
      <c r="M248" s="271" t="s">
        <v>1090</v>
      </c>
      <c r="N248" s="271" t="s">
        <v>168</v>
      </c>
      <c r="O248" s="271" t="s">
        <v>1091</v>
      </c>
      <c r="P248" s="271"/>
      <c r="Q248" s="271">
        <v>-29</v>
      </c>
    </row>
    <row r="249" spans="1:17" ht="15" hidden="1">
      <c r="A249" s="332" t="s">
        <v>1406</v>
      </c>
      <c r="B249" s="271" t="s">
        <v>790</v>
      </c>
      <c r="C249" s="271" t="s">
        <v>1407</v>
      </c>
      <c r="D249" s="271" t="s">
        <v>137</v>
      </c>
      <c r="E249" s="271"/>
      <c r="F249" s="271" t="s">
        <v>791</v>
      </c>
      <c r="G249" s="272" t="s">
        <v>1356</v>
      </c>
      <c r="H249" s="272" t="s">
        <v>1356</v>
      </c>
      <c r="I249" s="272" t="s">
        <v>1334</v>
      </c>
      <c r="J249" s="272" t="s">
        <v>1334</v>
      </c>
      <c r="K249" s="271" t="s">
        <v>232</v>
      </c>
      <c r="L249" s="273">
        <v>2932</v>
      </c>
      <c r="M249" s="271" t="s">
        <v>1088</v>
      </c>
      <c r="N249" s="271" t="s">
        <v>695</v>
      </c>
      <c r="O249" s="271" t="s">
        <v>168</v>
      </c>
      <c r="P249" s="271"/>
      <c r="Q249" s="271">
        <v>-106</v>
      </c>
    </row>
    <row r="250" spans="1:17" ht="15" hidden="1">
      <c r="A250" s="332" t="s">
        <v>1408</v>
      </c>
      <c r="B250" s="271" t="s">
        <v>790</v>
      </c>
      <c r="C250" s="271" t="s">
        <v>1407</v>
      </c>
      <c r="D250" s="271" t="s">
        <v>137</v>
      </c>
      <c r="E250" s="271"/>
      <c r="F250" s="271" t="s">
        <v>791</v>
      </c>
      <c r="G250" s="272" t="s">
        <v>1356</v>
      </c>
      <c r="H250" s="272" t="s">
        <v>1356</v>
      </c>
      <c r="I250" s="272" t="s">
        <v>1334</v>
      </c>
      <c r="J250" s="272" t="s">
        <v>1334</v>
      </c>
      <c r="K250" s="271" t="s">
        <v>232</v>
      </c>
      <c r="L250" s="273">
        <v>68</v>
      </c>
      <c r="M250" s="271" t="s">
        <v>1088</v>
      </c>
      <c r="N250" s="271" t="s">
        <v>1089</v>
      </c>
      <c r="O250" s="271" t="s">
        <v>168</v>
      </c>
      <c r="P250" s="271"/>
      <c r="Q250" s="271">
        <v>-2</v>
      </c>
    </row>
    <row r="251" spans="1:17" ht="15" hidden="1">
      <c r="A251" s="332" t="s">
        <v>1409</v>
      </c>
      <c r="B251" s="271" t="s">
        <v>784</v>
      </c>
      <c r="C251" s="271" t="s">
        <v>783</v>
      </c>
      <c r="D251" s="271" t="s">
        <v>165</v>
      </c>
      <c r="E251" s="271" t="s">
        <v>686</v>
      </c>
      <c r="F251" s="271" t="s">
        <v>785</v>
      </c>
      <c r="G251" s="272" t="s">
        <v>1356</v>
      </c>
      <c r="H251" s="272" t="s">
        <v>1356</v>
      </c>
      <c r="I251" s="272" t="s">
        <v>1410</v>
      </c>
      <c r="J251" s="272" t="s">
        <v>1410</v>
      </c>
      <c r="K251" s="271" t="s">
        <v>232</v>
      </c>
      <c r="L251" s="273">
        <v>990</v>
      </c>
      <c r="M251" s="271" t="s">
        <v>1088</v>
      </c>
      <c r="N251" s="271" t="s">
        <v>695</v>
      </c>
      <c r="O251" s="271" t="s">
        <v>168</v>
      </c>
      <c r="P251" s="271"/>
      <c r="Q251" s="271">
        <v>-35</v>
      </c>
    </row>
    <row r="252" spans="1:17" ht="15">
      <c r="A252" s="332" t="s">
        <v>1411</v>
      </c>
      <c r="B252" s="271" t="s">
        <v>784</v>
      </c>
      <c r="C252" s="271" t="s">
        <v>783</v>
      </c>
      <c r="D252" s="271" t="s">
        <v>165</v>
      </c>
      <c r="E252" s="271" t="s">
        <v>686</v>
      </c>
      <c r="F252" s="271" t="s">
        <v>785</v>
      </c>
      <c r="G252" s="272" t="s">
        <v>1356</v>
      </c>
      <c r="H252" s="272" t="s">
        <v>1356</v>
      </c>
      <c r="I252" s="272" t="s">
        <v>1410</v>
      </c>
      <c r="J252" s="272" t="s">
        <v>1410</v>
      </c>
      <c r="K252" s="271" t="s">
        <v>232</v>
      </c>
      <c r="L252" s="273">
        <v>990</v>
      </c>
      <c r="M252" s="271" t="s">
        <v>1090</v>
      </c>
      <c r="N252" s="271" t="s">
        <v>168</v>
      </c>
      <c r="O252" s="271" t="s">
        <v>1091</v>
      </c>
      <c r="P252" s="271"/>
      <c r="Q252" s="271">
        <v>-29</v>
      </c>
    </row>
    <row r="253" spans="1:17" ht="15" hidden="1">
      <c r="A253" s="332" t="s">
        <v>1412</v>
      </c>
      <c r="B253" s="271" t="s">
        <v>784</v>
      </c>
      <c r="C253" s="271" t="s">
        <v>1413</v>
      </c>
      <c r="D253" s="271" t="s">
        <v>137</v>
      </c>
      <c r="E253" s="271"/>
      <c r="F253" s="271" t="s">
        <v>785</v>
      </c>
      <c r="G253" s="272" t="s">
        <v>1356</v>
      </c>
      <c r="H253" s="272" t="s">
        <v>1356</v>
      </c>
      <c r="I253" s="272" t="s">
        <v>1410</v>
      </c>
      <c r="J253" s="272" t="s">
        <v>1410</v>
      </c>
      <c r="K253" s="271" t="s">
        <v>232</v>
      </c>
      <c r="L253" s="273">
        <v>3000</v>
      </c>
      <c r="M253" s="271" t="s">
        <v>1088</v>
      </c>
      <c r="N253" s="271" t="s">
        <v>695</v>
      </c>
      <c r="O253" s="271" t="s">
        <v>168</v>
      </c>
      <c r="P253" s="271"/>
      <c r="Q253" s="271">
        <v>-108</v>
      </c>
    </row>
    <row r="254" spans="1:17" ht="15" hidden="1">
      <c r="A254" s="332" t="s">
        <v>1414</v>
      </c>
      <c r="B254" s="271" t="s">
        <v>787</v>
      </c>
      <c r="C254" s="271" t="s">
        <v>786</v>
      </c>
      <c r="D254" s="271" t="s">
        <v>165</v>
      </c>
      <c r="E254" s="271" t="s">
        <v>686</v>
      </c>
      <c r="F254" s="271" t="s">
        <v>788</v>
      </c>
      <c r="G254" s="272" t="s">
        <v>1356</v>
      </c>
      <c r="H254" s="272" t="s">
        <v>1356</v>
      </c>
      <c r="I254" s="272" t="s">
        <v>1410</v>
      </c>
      <c r="J254" s="272" t="s">
        <v>1410</v>
      </c>
      <c r="K254" s="271" t="s">
        <v>232</v>
      </c>
      <c r="L254" s="273">
        <v>429</v>
      </c>
      <c r="M254" s="271" t="s">
        <v>1088</v>
      </c>
      <c r="N254" s="271" t="s">
        <v>695</v>
      </c>
      <c r="O254" s="271" t="s">
        <v>168</v>
      </c>
      <c r="P254" s="271"/>
      <c r="Q254" s="271">
        <v>-15</v>
      </c>
    </row>
    <row r="255" spans="1:17" ht="15" hidden="1">
      <c r="A255" s="332" t="s">
        <v>1415</v>
      </c>
      <c r="B255" s="271" t="s">
        <v>787</v>
      </c>
      <c r="C255" s="271" t="s">
        <v>786</v>
      </c>
      <c r="D255" s="271" t="s">
        <v>165</v>
      </c>
      <c r="E255" s="271" t="s">
        <v>686</v>
      </c>
      <c r="F255" s="271" t="s">
        <v>788</v>
      </c>
      <c r="G255" s="272" t="s">
        <v>1356</v>
      </c>
      <c r="H255" s="272" t="s">
        <v>1356</v>
      </c>
      <c r="I255" s="272" t="s">
        <v>1410</v>
      </c>
      <c r="J255" s="272" t="s">
        <v>1410</v>
      </c>
      <c r="K255" s="271" t="s">
        <v>232</v>
      </c>
      <c r="L255" s="273">
        <v>561</v>
      </c>
      <c r="M255" s="271" t="s">
        <v>1088</v>
      </c>
      <c r="N255" s="271" t="s">
        <v>1089</v>
      </c>
      <c r="O255" s="271" t="s">
        <v>168</v>
      </c>
      <c r="P255" s="271"/>
      <c r="Q255" s="271">
        <v>-20</v>
      </c>
    </row>
    <row r="256" spans="1:17" ht="15">
      <c r="A256" s="332" t="s">
        <v>1416</v>
      </c>
      <c r="B256" s="271" t="s">
        <v>787</v>
      </c>
      <c r="C256" s="271" t="s">
        <v>786</v>
      </c>
      <c r="D256" s="271" t="s">
        <v>165</v>
      </c>
      <c r="E256" s="271" t="s">
        <v>686</v>
      </c>
      <c r="F256" s="271" t="s">
        <v>788</v>
      </c>
      <c r="G256" s="272" t="s">
        <v>1356</v>
      </c>
      <c r="H256" s="272" t="s">
        <v>1356</v>
      </c>
      <c r="I256" s="272" t="s">
        <v>1410</v>
      </c>
      <c r="J256" s="272" t="s">
        <v>1410</v>
      </c>
      <c r="K256" s="271" t="s">
        <v>232</v>
      </c>
      <c r="L256" s="273">
        <v>990</v>
      </c>
      <c r="M256" s="271" t="s">
        <v>1090</v>
      </c>
      <c r="N256" s="271" t="s">
        <v>168</v>
      </c>
      <c r="O256" s="271" t="s">
        <v>1091</v>
      </c>
      <c r="P256" s="271"/>
      <c r="Q256" s="271">
        <v>-29</v>
      </c>
    </row>
    <row r="257" spans="1:17" ht="15" hidden="1">
      <c r="A257" s="332" t="s">
        <v>1417</v>
      </c>
      <c r="B257" s="271" t="s">
        <v>787</v>
      </c>
      <c r="C257" s="271" t="s">
        <v>1418</v>
      </c>
      <c r="D257" s="271" t="s">
        <v>137</v>
      </c>
      <c r="E257" s="271"/>
      <c r="F257" s="271" t="s">
        <v>788</v>
      </c>
      <c r="G257" s="272" t="s">
        <v>1356</v>
      </c>
      <c r="H257" s="272" t="s">
        <v>1356</v>
      </c>
      <c r="I257" s="272" t="s">
        <v>1410</v>
      </c>
      <c r="J257" s="272" t="s">
        <v>1410</v>
      </c>
      <c r="K257" s="271" t="s">
        <v>232</v>
      </c>
      <c r="L257" s="273">
        <v>1299</v>
      </c>
      <c r="M257" s="271" t="s">
        <v>1088</v>
      </c>
      <c r="N257" s="271" t="s">
        <v>695</v>
      </c>
      <c r="O257" s="271" t="s">
        <v>168</v>
      </c>
      <c r="P257" s="271"/>
      <c r="Q257" s="271">
        <v>-47</v>
      </c>
    </row>
    <row r="258" spans="1:17" ht="15" hidden="1">
      <c r="A258" s="332" t="s">
        <v>1419</v>
      </c>
      <c r="B258" s="271" t="s">
        <v>787</v>
      </c>
      <c r="C258" s="271" t="s">
        <v>1418</v>
      </c>
      <c r="D258" s="271" t="s">
        <v>137</v>
      </c>
      <c r="E258" s="271"/>
      <c r="F258" s="271" t="s">
        <v>788</v>
      </c>
      <c r="G258" s="272" t="s">
        <v>1356</v>
      </c>
      <c r="H258" s="272" t="s">
        <v>1356</v>
      </c>
      <c r="I258" s="272" t="s">
        <v>1410</v>
      </c>
      <c r="J258" s="272" t="s">
        <v>1410</v>
      </c>
      <c r="K258" s="271" t="s">
        <v>232</v>
      </c>
      <c r="L258" s="273">
        <v>1701</v>
      </c>
      <c r="M258" s="271" t="s">
        <v>1088</v>
      </c>
      <c r="N258" s="271" t="s">
        <v>1089</v>
      </c>
      <c r="O258" s="271" t="s">
        <v>168</v>
      </c>
      <c r="P258" s="271"/>
      <c r="Q258" s="271">
        <v>-61</v>
      </c>
    </row>
    <row r="259" spans="1:17" ht="15" hidden="1">
      <c r="A259" s="332" t="s">
        <v>1420</v>
      </c>
      <c r="B259" s="271" t="s">
        <v>778</v>
      </c>
      <c r="C259" s="271" t="s">
        <v>777</v>
      </c>
      <c r="D259" s="271" t="s">
        <v>165</v>
      </c>
      <c r="E259" s="271" t="s">
        <v>686</v>
      </c>
      <c r="F259" s="271" t="s">
        <v>779</v>
      </c>
      <c r="G259" s="272" t="s">
        <v>1356</v>
      </c>
      <c r="H259" s="272" t="s">
        <v>1356</v>
      </c>
      <c r="I259" s="272" t="s">
        <v>1410</v>
      </c>
      <c r="J259" s="272" t="s">
        <v>1410</v>
      </c>
      <c r="K259" s="271" t="s">
        <v>232</v>
      </c>
      <c r="L259" s="273">
        <v>990</v>
      </c>
      <c r="M259" s="271" t="s">
        <v>1088</v>
      </c>
      <c r="N259" s="271" t="s">
        <v>695</v>
      </c>
      <c r="O259" s="271" t="s">
        <v>168</v>
      </c>
      <c r="P259" s="271"/>
      <c r="Q259" s="271">
        <v>-35</v>
      </c>
    </row>
    <row r="260" spans="1:17" ht="15">
      <c r="A260" s="332" t="s">
        <v>1421</v>
      </c>
      <c r="B260" s="271" t="s">
        <v>778</v>
      </c>
      <c r="C260" s="271" t="s">
        <v>777</v>
      </c>
      <c r="D260" s="271" t="s">
        <v>165</v>
      </c>
      <c r="E260" s="271" t="s">
        <v>686</v>
      </c>
      <c r="F260" s="271" t="s">
        <v>779</v>
      </c>
      <c r="G260" s="272" t="s">
        <v>1356</v>
      </c>
      <c r="H260" s="272" t="s">
        <v>1356</v>
      </c>
      <c r="I260" s="272" t="s">
        <v>1410</v>
      </c>
      <c r="J260" s="272" t="s">
        <v>1410</v>
      </c>
      <c r="K260" s="271" t="s">
        <v>232</v>
      </c>
      <c r="L260" s="273">
        <v>990</v>
      </c>
      <c r="M260" s="271" t="s">
        <v>1090</v>
      </c>
      <c r="N260" s="271" t="s">
        <v>168</v>
      </c>
      <c r="O260" s="271" t="s">
        <v>1091</v>
      </c>
      <c r="P260" s="271"/>
      <c r="Q260" s="271">
        <v>-29</v>
      </c>
    </row>
    <row r="261" spans="1:17" ht="15" hidden="1">
      <c r="A261" s="332" t="s">
        <v>1422</v>
      </c>
      <c r="B261" s="271" t="s">
        <v>778</v>
      </c>
      <c r="C261" s="271" t="s">
        <v>1423</v>
      </c>
      <c r="D261" s="271" t="s">
        <v>137</v>
      </c>
      <c r="E261" s="271"/>
      <c r="F261" s="271" t="s">
        <v>779</v>
      </c>
      <c r="G261" s="272" t="s">
        <v>1356</v>
      </c>
      <c r="H261" s="272" t="s">
        <v>1356</v>
      </c>
      <c r="I261" s="272" t="s">
        <v>1410</v>
      </c>
      <c r="J261" s="272" t="s">
        <v>1410</v>
      </c>
      <c r="K261" s="271" t="s">
        <v>232</v>
      </c>
      <c r="L261" s="273">
        <v>3000</v>
      </c>
      <c r="M261" s="271" t="s">
        <v>1088</v>
      </c>
      <c r="N261" s="271" t="s">
        <v>695</v>
      </c>
      <c r="O261" s="271" t="s">
        <v>168</v>
      </c>
      <c r="P261" s="271"/>
      <c r="Q261" s="271">
        <v>-108</v>
      </c>
    </row>
    <row r="262" spans="1:17" ht="15" hidden="1">
      <c r="A262" s="332" t="s">
        <v>1424</v>
      </c>
      <c r="B262" s="271" t="s">
        <v>781</v>
      </c>
      <c r="C262" s="271" t="s">
        <v>780</v>
      </c>
      <c r="D262" s="271" t="s">
        <v>165</v>
      </c>
      <c r="E262" s="271" t="s">
        <v>694</v>
      </c>
      <c r="F262" s="271" t="s">
        <v>782</v>
      </c>
      <c r="G262" s="272" t="s">
        <v>1356</v>
      </c>
      <c r="H262" s="272" t="s">
        <v>1356</v>
      </c>
      <c r="I262" s="272" t="s">
        <v>1410</v>
      </c>
      <c r="J262" s="272" t="s">
        <v>1410</v>
      </c>
      <c r="K262" s="271" t="s">
        <v>232</v>
      </c>
      <c r="L262" s="273">
        <v>20300</v>
      </c>
      <c r="M262" s="271" t="s">
        <v>1088</v>
      </c>
      <c r="N262" s="271" t="s">
        <v>695</v>
      </c>
      <c r="O262" s="271" t="s">
        <v>168</v>
      </c>
      <c r="P262" s="271"/>
      <c r="Q262" s="271">
        <v>-736</v>
      </c>
    </row>
    <row r="263" spans="1:17" ht="15">
      <c r="A263" s="332" t="s">
        <v>1425</v>
      </c>
      <c r="B263" s="271" t="s">
        <v>781</v>
      </c>
      <c r="C263" s="271" t="s">
        <v>780</v>
      </c>
      <c r="D263" s="271" t="s">
        <v>165</v>
      </c>
      <c r="E263" s="271" t="s">
        <v>694</v>
      </c>
      <c r="F263" s="271" t="s">
        <v>782</v>
      </c>
      <c r="G263" s="272" t="s">
        <v>1356</v>
      </c>
      <c r="H263" s="272" t="s">
        <v>1356</v>
      </c>
      <c r="I263" s="272" t="s">
        <v>1410</v>
      </c>
      <c r="J263" s="272" t="s">
        <v>1410</v>
      </c>
      <c r="K263" s="271" t="s">
        <v>232</v>
      </c>
      <c r="L263" s="273">
        <v>20300</v>
      </c>
      <c r="M263" s="271" t="s">
        <v>1090</v>
      </c>
      <c r="N263" s="271" t="s">
        <v>168</v>
      </c>
      <c r="O263" s="271" t="s">
        <v>1097</v>
      </c>
      <c r="P263" s="271"/>
      <c r="Q263" s="271">
        <v>-203</v>
      </c>
    </row>
    <row r="264" spans="1:17" ht="15" hidden="1">
      <c r="A264" s="332" t="s">
        <v>1426</v>
      </c>
      <c r="B264" s="271" t="s">
        <v>781</v>
      </c>
      <c r="C264" s="271" t="s">
        <v>1427</v>
      </c>
      <c r="D264" s="271" t="s">
        <v>137</v>
      </c>
      <c r="E264" s="271"/>
      <c r="F264" s="271" t="s">
        <v>782</v>
      </c>
      <c r="G264" s="272" t="s">
        <v>1356</v>
      </c>
      <c r="H264" s="272" t="s">
        <v>1356</v>
      </c>
      <c r="I264" s="272" t="s">
        <v>1410</v>
      </c>
      <c r="J264" s="272" t="s">
        <v>1410</v>
      </c>
      <c r="K264" s="271" t="s">
        <v>232</v>
      </c>
      <c r="L264" s="273">
        <v>3000</v>
      </c>
      <c r="M264" s="271" t="s">
        <v>1088</v>
      </c>
      <c r="N264" s="271" t="s">
        <v>695</v>
      </c>
      <c r="O264" s="271" t="s">
        <v>168</v>
      </c>
      <c r="P264" s="271"/>
      <c r="Q264" s="271">
        <v>-108</v>
      </c>
    </row>
    <row r="265" spans="1:17" ht="15" hidden="1">
      <c r="A265" s="332" t="s">
        <v>1428</v>
      </c>
      <c r="B265" s="271" t="s">
        <v>765</v>
      </c>
      <c r="C265" s="271" t="s">
        <v>764</v>
      </c>
      <c r="D265" s="271" t="s">
        <v>165</v>
      </c>
      <c r="E265" s="271" t="s">
        <v>686</v>
      </c>
      <c r="F265" s="271" t="s">
        <v>766</v>
      </c>
      <c r="G265" s="272" t="s">
        <v>1356</v>
      </c>
      <c r="H265" s="272" t="s">
        <v>1356</v>
      </c>
      <c r="I265" s="272" t="s">
        <v>1410</v>
      </c>
      <c r="J265" s="272" t="s">
        <v>1410</v>
      </c>
      <c r="K265" s="271" t="s">
        <v>232</v>
      </c>
      <c r="L265" s="273">
        <v>990</v>
      </c>
      <c r="M265" s="271" t="s">
        <v>1088</v>
      </c>
      <c r="N265" s="271" t="s">
        <v>1089</v>
      </c>
      <c r="O265" s="271" t="s">
        <v>168</v>
      </c>
      <c r="P265" s="271"/>
      <c r="Q265" s="271">
        <v>-35</v>
      </c>
    </row>
    <row r="266" spans="1:17" ht="15">
      <c r="A266" s="332" t="s">
        <v>1429</v>
      </c>
      <c r="B266" s="271" t="s">
        <v>765</v>
      </c>
      <c r="C266" s="271" t="s">
        <v>764</v>
      </c>
      <c r="D266" s="271" t="s">
        <v>165</v>
      </c>
      <c r="E266" s="271" t="s">
        <v>686</v>
      </c>
      <c r="F266" s="271" t="s">
        <v>766</v>
      </c>
      <c r="G266" s="272" t="s">
        <v>1356</v>
      </c>
      <c r="H266" s="272" t="s">
        <v>1356</v>
      </c>
      <c r="I266" s="272" t="s">
        <v>1410</v>
      </c>
      <c r="J266" s="272" t="s">
        <v>1410</v>
      </c>
      <c r="K266" s="271" t="s">
        <v>232</v>
      </c>
      <c r="L266" s="273">
        <v>990</v>
      </c>
      <c r="M266" s="271" t="s">
        <v>1090</v>
      </c>
      <c r="N266" s="271" t="s">
        <v>168</v>
      </c>
      <c r="O266" s="271" t="s">
        <v>1091</v>
      </c>
      <c r="P266" s="271"/>
      <c r="Q266" s="271">
        <v>-29</v>
      </c>
    </row>
    <row r="267" spans="1:17" ht="15" hidden="1">
      <c r="A267" s="332" t="s">
        <v>1430</v>
      </c>
      <c r="B267" s="271" t="s">
        <v>765</v>
      </c>
      <c r="C267" s="271" t="s">
        <v>1431</v>
      </c>
      <c r="D267" s="271" t="s">
        <v>137</v>
      </c>
      <c r="E267" s="271"/>
      <c r="F267" s="271" t="s">
        <v>766</v>
      </c>
      <c r="G267" s="272" t="s">
        <v>1356</v>
      </c>
      <c r="H267" s="272" t="s">
        <v>1356</v>
      </c>
      <c r="I267" s="272" t="s">
        <v>1410</v>
      </c>
      <c r="J267" s="272" t="s">
        <v>1410</v>
      </c>
      <c r="K267" s="271" t="s">
        <v>232</v>
      </c>
      <c r="L267" s="273">
        <v>3000</v>
      </c>
      <c r="M267" s="271" t="s">
        <v>1088</v>
      </c>
      <c r="N267" s="271" t="s">
        <v>1089</v>
      </c>
      <c r="O267" s="271" t="s">
        <v>168</v>
      </c>
      <c r="P267" s="271"/>
      <c r="Q267" s="271">
        <v>-108</v>
      </c>
    </row>
    <row r="268" spans="1:17" ht="15" hidden="1">
      <c r="A268" s="332" t="s">
        <v>1432</v>
      </c>
      <c r="B268" s="271" t="s">
        <v>772</v>
      </c>
      <c r="C268" s="271" t="s">
        <v>771</v>
      </c>
      <c r="D268" s="271" t="s">
        <v>165</v>
      </c>
      <c r="E268" s="271" t="s">
        <v>686</v>
      </c>
      <c r="F268" s="271" t="s">
        <v>773</v>
      </c>
      <c r="G268" s="272" t="s">
        <v>1356</v>
      </c>
      <c r="H268" s="272" t="s">
        <v>1356</v>
      </c>
      <c r="I268" s="272" t="s">
        <v>1410</v>
      </c>
      <c r="J268" s="272" t="s">
        <v>1410</v>
      </c>
      <c r="K268" s="271" t="s">
        <v>232</v>
      </c>
      <c r="L268" s="273">
        <v>990</v>
      </c>
      <c r="M268" s="271" t="s">
        <v>1088</v>
      </c>
      <c r="N268" s="271" t="s">
        <v>695</v>
      </c>
      <c r="O268" s="271" t="s">
        <v>168</v>
      </c>
      <c r="P268" s="271"/>
      <c r="Q268" s="271">
        <v>-35</v>
      </c>
    </row>
    <row r="269" spans="1:17" ht="15">
      <c r="A269" s="332" t="s">
        <v>1433</v>
      </c>
      <c r="B269" s="271" t="s">
        <v>772</v>
      </c>
      <c r="C269" s="271" t="s">
        <v>771</v>
      </c>
      <c r="D269" s="271" t="s">
        <v>165</v>
      </c>
      <c r="E269" s="271" t="s">
        <v>686</v>
      </c>
      <c r="F269" s="271" t="s">
        <v>773</v>
      </c>
      <c r="G269" s="272" t="s">
        <v>1356</v>
      </c>
      <c r="H269" s="272" t="s">
        <v>1356</v>
      </c>
      <c r="I269" s="272" t="s">
        <v>1410</v>
      </c>
      <c r="J269" s="272" t="s">
        <v>1410</v>
      </c>
      <c r="K269" s="271" t="s">
        <v>232</v>
      </c>
      <c r="L269" s="273">
        <v>990</v>
      </c>
      <c r="M269" s="271" t="s">
        <v>1090</v>
      </c>
      <c r="N269" s="271" t="s">
        <v>168</v>
      </c>
      <c r="O269" s="271" t="s">
        <v>1091</v>
      </c>
      <c r="P269" s="271"/>
      <c r="Q269" s="271">
        <v>-29</v>
      </c>
    </row>
    <row r="270" spans="1:17" ht="15" hidden="1">
      <c r="A270" s="332" t="s">
        <v>1434</v>
      </c>
      <c r="B270" s="271" t="s">
        <v>772</v>
      </c>
      <c r="C270" s="271" t="s">
        <v>1435</v>
      </c>
      <c r="D270" s="271" t="s">
        <v>137</v>
      </c>
      <c r="E270" s="271"/>
      <c r="F270" s="271" t="s">
        <v>773</v>
      </c>
      <c r="G270" s="272" t="s">
        <v>1356</v>
      </c>
      <c r="H270" s="272" t="s">
        <v>1356</v>
      </c>
      <c r="I270" s="272" t="s">
        <v>1410</v>
      </c>
      <c r="J270" s="272" t="s">
        <v>1410</v>
      </c>
      <c r="K270" s="271" t="s">
        <v>232</v>
      </c>
      <c r="L270" s="273">
        <v>3000</v>
      </c>
      <c r="M270" s="271" t="s">
        <v>1088</v>
      </c>
      <c r="N270" s="271" t="s">
        <v>695</v>
      </c>
      <c r="O270" s="271" t="s">
        <v>168</v>
      </c>
      <c r="P270" s="271"/>
      <c r="Q270" s="271">
        <v>-108</v>
      </c>
    </row>
    <row r="271" spans="1:17" ht="15" hidden="1">
      <c r="A271" s="332" t="s">
        <v>1436</v>
      </c>
      <c r="B271" s="271" t="s">
        <v>775</v>
      </c>
      <c r="C271" s="271" t="s">
        <v>774</v>
      </c>
      <c r="D271" s="271" t="s">
        <v>165</v>
      </c>
      <c r="E271" s="271" t="s">
        <v>686</v>
      </c>
      <c r="F271" s="271" t="s">
        <v>776</v>
      </c>
      <c r="G271" s="272" t="s">
        <v>1356</v>
      </c>
      <c r="H271" s="272" t="s">
        <v>1356</v>
      </c>
      <c r="I271" s="272" t="s">
        <v>1410</v>
      </c>
      <c r="J271" s="272" t="s">
        <v>1410</v>
      </c>
      <c r="K271" s="271" t="s">
        <v>232</v>
      </c>
      <c r="L271" s="273">
        <v>990</v>
      </c>
      <c r="M271" s="271" t="s">
        <v>1088</v>
      </c>
      <c r="N271" s="271" t="s">
        <v>1089</v>
      </c>
      <c r="O271" s="271" t="s">
        <v>168</v>
      </c>
      <c r="P271" s="271"/>
      <c r="Q271" s="271">
        <v>-35</v>
      </c>
    </row>
    <row r="272" spans="1:17" ht="15">
      <c r="A272" s="332" t="s">
        <v>1437</v>
      </c>
      <c r="B272" s="271" t="s">
        <v>775</v>
      </c>
      <c r="C272" s="271" t="s">
        <v>774</v>
      </c>
      <c r="D272" s="271" t="s">
        <v>165</v>
      </c>
      <c r="E272" s="271" t="s">
        <v>686</v>
      </c>
      <c r="F272" s="271" t="s">
        <v>776</v>
      </c>
      <c r="G272" s="272" t="s">
        <v>1356</v>
      </c>
      <c r="H272" s="272" t="s">
        <v>1356</v>
      </c>
      <c r="I272" s="272" t="s">
        <v>1410</v>
      </c>
      <c r="J272" s="272" t="s">
        <v>1410</v>
      </c>
      <c r="K272" s="271" t="s">
        <v>232</v>
      </c>
      <c r="L272" s="273">
        <v>990</v>
      </c>
      <c r="M272" s="271" t="s">
        <v>1090</v>
      </c>
      <c r="N272" s="271" t="s">
        <v>168</v>
      </c>
      <c r="O272" s="271" t="s">
        <v>1091</v>
      </c>
      <c r="P272" s="271"/>
      <c r="Q272" s="271">
        <v>-29</v>
      </c>
    </row>
    <row r="273" spans="1:17" ht="15" hidden="1">
      <c r="A273" s="332" t="s">
        <v>1438</v>
      </c>
      <c r="B273" s="271" t="s">
        <v>775</v>
      </c>
      <c r="C273" s="271" t="s">
        <v>1439</v>
      </c>
      <c r="D273" s="271" t="s">
        <v>137</v>
      </c>
      <c r="E273" s="271"/>
      <c r="F273" s="271" t="s">
        <v>776</v>
      </c>
      <c r="G273" s="272" t="s">
        <v>1356</v>
      </c>
      <c r="H273" s="272" t="s">
        <v>1356</v>
      </c>
      <c r="I273" s="272" t="s">
        <v>1410</v>
      </c>
      <c r="J273" s="272" t="s">
        <v>1410</v>
      </c>
      <c r="K273" s="271" t="s">
        <v>232</v>
      </c>
      <c r="L273" s="273">
        <v>3000</v>
      </c>
      <c r="M273" s="271" t="s">
        <v>1088</v>
      </c>
      <c r="N273" s="271" t="s">
        <v>1089</v>
      </c>
      <c r="O273" s="271" t="s">
        <v>168</v>
      </c>
      <c r="P273" s="271"/>
      <c r="Q273" s="271">
        <v>-108</v>
      </c>
    </row>
    <row r="274" spans="1:17" ht="15" hidden="1">
      <c r="A274" s="332" t="s">
        <v>1440</v>
      </c>
      <c r="B274" s="271" t="s">
        <v>768</v>
      </c>
      <c r="C274" s="271" t="s">
        <v>767</v>
      </c>
      <c r="D274" s="271" t="s">
        <v>165</v>
      </c>
      <c r="E274" s="271" t="s">
        <v>686</v>
      </c>
      <c r="F274" s="271" t="s">
        <v>769</v>
      </c>
      <c r="G274" s="272" t="s">
        <v>1356</v>
      </c>
      <c r="H274" s="272" t="s">
        <v>1356</v>
      </c>
      <c r="I274" s="272" t="s">
        <v>1410</v>
      </c>
      <c r="J274" s="272" t="s">
        <v>1410</v>
      </c>
      <c r="K274" s="271" t="s">
        <v>232</v>
      </c>
      <c r="L274" s="273">
        <v>990</v>
      </c>
      <c r="M274" s="271" t="s">
        <v>1088</v>
      </c>
      <c r="N274" s="271" t="s">
        <v>770</v>
      </c>
      <c r="O274" s="271" t="s">
        <v>168</v>
      </c>
      <c r="P274" s="271"/>
      <c r="Q274" s="271">
        <v>-35</v>
      </c>
    </row>
    <row r="275" spans="1:17" ht="15">
      <c r="A275" s="332" t="s">
        <v>1441</v>
      </c>
      <c r="B275" s="271" t="s">
        <v>768</v>
      </c>
      <c r="C275" s="271" t="s">
        <v>767</v>
      </c>
      <c r="D275" s="271" t="s">
        <v>165</v>
      </c>
      <c r="E275" s="271" t="s">
        <v>686</v>
      </c>
      <c r="F275" s="271" t="s">
        <v>769</v>
      </c>
      <c r="G275" s="272" t="s">
        <v>1356</v>
      </c>
      <c r="H275" s="272" t="s">
        <v>1356</v>
      </c>
      <c r="I275" s="272" t="s">
        <v>1410</v>
      </c>
      <c r="J275" s="272" t="s">
        <v>1410</v>
      </c>
      <c r="K275" s="271" t="s">
        <v>232</v>
      </c>
      <c r="L275" s="273">
        <v>990</v>
      </c>
      <c r="M275" s="271" t="s">
        <v>1090</v>
      </c>
      <c r="N275" s="271" t="s">
        <v>168</v>
      </c>
      <c r="O275" s="271" t="s">
        <v>1091</v>
      </c>
      <c r="P275" s="271"/>
      <c r="Q275" s="271">
        <v>-29</v>
      </c>
    </row>
    <row r="276" spans="1:17" ht="15" hidden="1">
      <c r="A276" s="332" t="s">
        <v>1442</v>
      </c>
      <c r="B276" s="271" t="s">
        <v>768</v>
      </c>
      <c r="C276" s="271" t="s">
        <v>1443</v>
      </c>
      <c r="D276" s="271" t="s">
        <v>137</v>
      </c>
      <c r="E276" s="271"/>
      <c r="F276" s="271" t="s">
        <v>769</v>
      </c>
      <c r="G276" s="272" t="s">
        <v>1356</v>
      </c>
      <c r="H276" s="272" t="s">
        <v>1356</v>
      </c>
      <c r="I276" s="272" t="s">
        <v>1410</v>
      </c>
      <c r="J276" s="272" t="s">
        <v>1410</v>
      </c>
      <c r="K276" s="271" t="s">
        <v>232</v>
      </c>
      <c r="L276" s="273">
        <v>3000</v>
      </c>
      <c r="M276" s="271" t="s">
        <v>1088</v>
      </c>
      <c r="N276" s="271" t="s">
        <v>770</v>
      </c>
      <c r="O276" s="271" t="s">
        <v>168</v>
      </c>
      <c r="P276" s="271"/>
      <c r="Q276" s="271">
        <v>-108</v>
      </c>
    </row>
    <row r="277" spans="1:17" ht="15" hidden="1">
      <c r="A277" s="332" t="s">
        <v>1444</v>
      </c>
      <c r="B277" s="271" t="s">
        <v>762</v>
      </c>
      <c r="C277" s="271" t="s">
        <v>761</v>
      </c>
      <c r="D277" s="271" t="s">
        <v>165</v>
      </c>
      <c r="E277" s="271" t="s">
        <v>704</v>
      </c>
      <c r="F277" s="271" t="s">
        <v>763</v>
      </c>
      <c r="G277" s="272" t="s">
        <v>1356</v>
      </c>
      <c r="H277" s="272" t="s">
        <v>1356</v>
      </c>
      <c r="I277" s="272" t="s">
        <v>1445</v>
      </c>
      <c r="J277" s="272" t="s">
        <v>1445</v>
      </c>
      <c r="K277" s="271" t="s">
        <v>232</v>
      </c>
      <c r="L277" s="273">
        <v>4634</v>
      </c>
      <c r="M277" s="271" t="s">
        <v>1088</v>
      </c>
      <c r="N277" s="271" t="s">
        <v>695</v>
      </c>
      <c r="O277" s="271" t="s">
        <v>168</v>
      </c>
      <c r="P277" s="271"/>
      <c r="Q277" s="271">
        <v>-168</v>
      </c>
    </row>
    <row r="278" spans="1:17" ht="15" hidden="1">
      <c r="A278" s="332" t="s">
        <v>1446</v>
      </c>
      <c r="B278" s="271" t="s">
        <v>762</v>
      </c>
      <c r="C278" s="271" t="s">
        <v>761</v>
      </c>
      <c r="D278" s="271" t="s">
        <v>165</v>
      </c>
      <c r="E278" s="271" t="s">
        <v>704</v>
      </c>
      <c r="F278" s="271" t="s">
        <v>763</v>
      </c>
      <c r="G278" s="272" t="s">
        <v>1356</v>
      </c>
      <c r="H278" s="272" t="s">
        <v>1356</v>
      </c>
      <c r="I278" s="272" t="s">
        <v>1445</v>
      </c>
      <c r="J278" s="272" t="s">
        <v>1445</v>
      </c>
      <c r="K278" s="271" t="s">
        <v>232</v>
      </c>
      <c r="L278" s="273">
        <v>2066</v>
      </c>
      <c r="M278" s="271" t="s">
        <v>1088</v>
      </c>
      <c r="N278" s="271" t="s">
        <v>1089</v>
      </c>
      <c r="O278" s="271" t="s">
        <v>168</v>
      </c>
      <c r="P278" s="271"/>
      <c r="Q278" s="271">
        <v>-74</v>
      </c>
    </row>
    <row r="279" spans="1:17" ht="15">
      <c r="A279" s="332" t="s">
        <v>1447</v>
      </c>
      <c r="B279" s="271" t="s">
        <v>762</v>
      </c>
      <c r="C279" s="271" t="s">
        <v>761</v>
      </c>
      <c r="D279" s="271" t="s">
        <v>165</v>
      </c>
      <c r="E279" s="271" t="s">
        <v>704</v>
      </c>
      <c r="F279" s="271" t="s">
        <v>763</v>
      </c>
      <c r="G279" s="272" t="s">
        <v>1356</v>
      </c>
      <c r="H279" s="272" t="s">
        <v>1356</v>
      </c>
      <c r="I279" s="272" t="s">
        <v>1445</v>
      </c>
      <c r="J279" s="272" t="s">
        <v>1445</v>
      </c>
      <c r="K279" s="271" t="s">
        <v>232</v>
      </c>
      <c r="L279" s="273">
        <v>6700</v>
      </c>
      <c r="M279" s="271" t="s">
        <v>1090</v>
      </c>
      <c r="N279" s="271" t="s">
        <v>168</v>
      </c>
      <c r="O279" s="271" t="s">
        <v>1091</v>
      </c>
      <c r="P279" s="271"/>
      <c r="Q279" s="271">
        <v>-201</v>
      </c>
    </row>
    <row r="280" spans="1:17" ht="15" hidden="1">
      <c r="A280" s="332" t="s">
        <v>1448</v>
      </c>
      <c r="B280" s="271" t="s">
        <v>762</v>
      </c>
      <c r="C280" s="271" t="s">
        <v>1449</v>
      </c>
      <c r="D280" s="271" t="s">
        <v>137</v>
      </c>
      <c r="E280" s="271"/>
      <c r="F280" s="271" t="s">
        <v>763</v>
      </c>
      <c r="G280" s="272" t="s">
        <v>1356</v>
      </c>
      <c r="H280" s="272" t="s">
        <v>1356</v>
      </c>
      <c r="I280" s="272" t="s">
        <v>1445</v>
      </c>
      <c r="J280" s="272" t="s">
        <v>1445</v>
      </c>
      <c r="K280" s="271" t="s">
        <v>232</v>
      </c>
      <c r="L280" s="273">
        <v>2075</v>
      </c>
      <c r="M280" s="271" t="s">
        <v>1088</v>
      </c>
      <c r="N280" s="271" t="s">
        <v>695</v>
      </c>
      <c r="O280" s="271" t="s">
        <v>168</v>
      </c>
      <c r="P280" s="271"/>
      <c r="Q280" s="271">
        <v>-75</v>
      </c>
    </row>
    <row r="281" spans="1:17" ht="15" hidden="1">
      <c r="A281" s="332" t="s">
        <v>1450</v>
      </c>
      <c r="B281" s="271" t="s">
        <v>762</v>
      </c>
      <c r="C281" s="271" t="s">
        <v>1449</v>
      </c>
      <c r="D281" s="271" t="s">
        <v>137</v>
      </c>
      <c r="E281" s="271"/>
      <c r="F281" s="271" t="s">
        <v>763</v>
      </c>
      <c r="G281" s="272" t="s">
        <v>1356</v>
      </c>
      <c r="H281" s="272" t="s">
        <v>1356</v>
      </c>
      <c r="I281" s="272" t="s">
        <v>1445</v>
      </c>
      <c r="J281" s="272" t="s">
        <v>1445</v>
      </c>
      <c r="K281" s="271" t="s">
        <v>232</v>
      </c>
      <c r="L281" s="273">
        <v>925</v>
      </c>
      <c r="M281" s="271" t="s">
        <v>1088</v>
      </c>
      <c r="N281" s="271" t="s">
        <v>1089</v>
      </c>
      <c r="O281" s="271" t="s">
        <v>168</v>
      </c>
      <c r="P281" s="271"/>
      <c r="Q281" s="271">
        <v>-33</v>
      </c>
    </row>
    <row r="282" spans="1:17" ht="15" hidden="1">
      <c r="A282" s="332" t="s">
        <v>1451</v>
      </c>
      <c r="B282" s="271" t="s">
        <v>759</v>
      </c>
      <c r="C282" s="271" t="s">
        <v>758</v>
      </c>
      <c r="D282" s="271" t="s">
        <v>165</v>
      </c>
      <c r="E282" s="271" t="s">
        <v>686</v>
      </c>
      <c r="F282" s="271" t="s">
        <v>760</v>
      </c>
      <c r="G282" s="272" t="s">
        <v>1452</v>
      </c>
      <c r="H282" s="272" t="s">
        <v>1452</v>
      </c>
      <c r="I282" s="272" t="s">
        <v>1356</v>
      </c>
      <c r="J282" s="272" t="s">
        <v>1356</v>
      </c>
      <c r="K282" s="271" t="s">
        <v>232</v>
      </c>
      <c r="L282" s="273">
        <v>990</v>
      </c>
      <c r="M282" s="271" t="s">
        <v>1088</v>
      </c>
      <c r="N282" s="271" t="s">
        <v>1089</v>
      </c>
      <c r="O282" s="271" t="s">
        <v>168</v>
      </c>
      <c r="P282" s="271"/>
      <c r="Q282" s="271">
        <v>-35</v>
      </c>
    </row>
    <row r="283" spans="1:17" ht="15">
      <c r="A283" s="332" t="s">
        <v>1453</v>
      </c>
      <c r="B283" s="271" t="s">
        <v>759</v>
      </c>
      <c r="C283" s="271" t="s">
        <v>758</v>
      </c>
      <c r="D283" s="271" t="s">
        <v>165</v>
      </c>
      <c r="E283" s="271" t="s">
        <v>686</v>
      </c>
      <c r="F283" s="271" t="s">
        <v>760</v>
      </c>
      <c r="G283" s="272" t="s">
        <v>1452</v>
      </c>
      <c r="H283" s="272" t="s">
        <v>1452</v>
      </c>
      <c r="I283" s="272" t="s">
        <v>1356</v>
      </c>
      <c r="J283" s="272" t="s">
        <v>1356</v>
      </c>
      <c r="K283" s="271" t="s">
        <v>232</v>
      </c>
      <c r="L283" s="273">
        <v>990</v>
      </c>
      <c r="M283" s="271" t="s">
        <v>1090</v>
      </c>
      <c r="N283" s="271" t="s">
        <v>168</v>
      </c>
      <c r="O283" s="271" t="s">
        <v>1091</v>
      </c>
      <c r="P283" s="271"/>
      <c r="Q283" s="271">
        <v>-29</v>
      </c>
    </row>
    <row r="284" spans="1:17" ht="15" hidden="1">
      <c r="A284" s="332" t="s">
        <v>1454</v>
      </c>
      <c r="B284" s="271" t="s">
        <v>759</v>
      </c>
      <c r="C284" s="271" t="s">
        <v>1455</v>
      </c>
      <c r="D284" s="271" t="s">
        <v>137</v>
      </c>
      <c r="E284" s="271"/>
      <c r="F284" s="271" t="s">
        <v>760</v>
      </c>
      <c r="G284" s="272" t="s">
        <v>1452</v>
      </c>
      <c r="H284" s="272" t="s">
        <v>1452</v>
      </c>
      <c r="I284" s="272" t="s">
        <v>1356</v>
      </c>
      <c r="J284" s="272" t="s">
        <v>1356</v>
      </c>
      <c r="K284" s="271" t="s">
        <v>232</v>
      </c>
      <c r="L284" s="273">
        <v>3000</v>
      </c>
      <c r="M284" s="271" t="s">
        <v>1088</v>
      </c>
      <c r="N284" s="271" t="s">
        <v>1089</v>
      </c>
      <c r="O284" s="271" t="s">
        <v>168</v>
      </c>
      <c r="P284" s="271"/>
      <c r="Q284" s="271">
        <v>-108</v>
      </c>
    </row>
    <row r="285" spans="1:17" ht="15" hidden="1">
      <c r="A285" s="332" t="s">
        <v>1456</v>
      </c>
      <c r="B285" s="271" t="s">
        <v>746</v>
      </c>
      <c r="C285" s="271" t="s">
        <v>745</v>
      </c>
      <c r="D285" s="271" t="s">
        <v>165</v>
      </c>
      <c r="E285" s="271" t="s">
        <v>686</v>
      </c>
      <c r="F285" s="271" t="s">
        <v>747</v>
      </c>
      <c r="G285" s="272" t="s">
        <v>1457</v>
      </c>
      <c r="H285" s="272" t="s">
        <v>1457</v>
      </c>
      <c r="I285" s="272" t="s">
        <v>1452</v>
      </c>
      <c r="J285" s="272" t="s">
        <v>1452</v>
      </c>
      <c r="K285" s="271" t="s">
        <v>232</v>
      </c>
      <c r="L285" s="273">
        <v>990</v>
      </c>
      <c r="M285" s="271" t="s">
        <v>1088</v>
      </c>
      <c r="N285" s="271" t="s">
        <v>1089</v>
      </c>
      <c r="O285" s="271" t="s">
        <v>168</v>
      </c>
      <c r="P285" s="271"/>
      <c r="Q285" s="271">
        <v>-35</v>
      </c>
    </row>
    <row r="286" spans="1:17" ht="15">
      <c r="A286" s="332" t="s">
        <v>1458</v>
      </c>
      <c r="B286" s="271" t="s">
        <v>746</v>
      </c>
      <c r="C286" s="271" t="s">
        <v>745</v>
      </c>
      <c r="D286" s="271" t="s">
        <v>165</v>
      </c>
      <c r="E286" s="271" t="s">
        <v>686</v>
      </c>
      <c r="F286" s="271" t="s">
        <v>747</v>
      </c>
      <c r="G286" s="272" t="s">
        <v>1457</v>
      </c>
      <c r="H286" s="272" t="s">
        <v>1457</v>
      </c>
      <c r="I286" s="272" t="s">
        <v>1452</v>
      </c>
      <c r="J286" s="272" t="s">
        <v>1452</v>
      </c>
      <c r="K286" s="271" t="s">
        <v>232</v>
      </c>
      <c r="L286" s="273">
        <v>990</v>
      </c>
      <c r="M286" s="271" t="s">
        <v>1090</v>
      </c>
      <c r="N286" s="271" t="s">
        <v>168</v>
      </c>
      <c r="O286" s="271" t="s">
        <v>1091</v>
      </c>
      <c r="P286" s="271"/>
      <c r="Q286" s="271">
        <v>-29</v>
      </c>
    </row>
    <row r="287" spans="1:17" ht="15" hidden="1">
      <c r="A287" s="332" t="s">
        <v>1459</v>
      </c>
      <c r="B287" s="271" t="s">
        <v>746</v>
      </c>
      <c r="C287" s="271" t="s">
        <v>1460</v>
      </c>
      <c r="D287" s="271" t="s">
        <v>137</v>
      </c>
      <c r="E287" s="271"/>
      <c r="F287" s="271" t="s">
        <v>747</v>
      </c>
      <c r="G287" s="272" t="s">
        <v>1457</v>
      </c>
      <c r="H287" s="272" t="s">
        <v>1457</v>
      </c>
      <c r="I287" s="272" t="s">
        <v>1452</v>
      </c>
      <c r="J287" s="272" t="s">
        <v>1452</v>
      </c>
      <c r="K287" s="271" t="s">
        <v>232</v>
      </c>
      <c r="L287" s="273">
        <v>3000</v>
      </c>
      <c r="M287" s="271" t="s">
        <v>1088</v>
      </c>
      <c r="N287" s="271" t="s">
        <v>1089</v>
      </c>
      <c r="O287" s="271" t="s">
        <v>168</v>
      </c>
      <c r="P287" s="271"/>
      <c r="Q287" s="271">
        <v>-108</v>
      </c>
    </row>
    <row r="288" spans="1:17" ht="15" hidden="1">
      <c r="A288" s="332" t="s">
        <v>1461</v>
      </c>
      <c r="B288" s="271" t="s">
        <v>753</v>
      </c>
      <c r="C288" s="271" t="s">
        <v>752</v>
      </c>
      <c r="D288" s="271" t="s">
        <v>165</v>
      </c>
      <c r="E288" s="271" t="s">
        <v>686</v>
      </c>
      <c r="F288" s="271" t="s">
        <v>754</v>
      </c>
      <c r="G288" s="272" t="s">
        <v>1457</v>
      </c>
      <c r="H288" s="272" t="s">
        <v>1457</v>
      </c>
      <c r="I288" s="272" t="s">
        <v>1452</v>
      </c>
      <c r="J288" s="272" t="s">
        <v>1452</v>
      </c>
      <c r="K288" s="271" t="s">
        <v>232</v>
      </c>
      <c r="L288" s="273">
        <v>990</v>
      </c>
      <c r="M288" s="271" t="s">
        <v>1088</v>
      </c>
      <c r="N288" s="271" t="s">
        <v>1089</v>
      </c>
      <c r="O288" s="271" t="s">
        <v>168</v>
      </c>
      <c r="P288" s="271"/>
      <c r="Q288" s="271">
        <v>-35</v>
      </c>
    </row>
    <row r="289" spans="1:17" ht="15">
      <c r="A289" s="332" t="s">
        <v>1462</v>
      </c>
      <c r="B289" s="271" t="s">
        <v>753</v>
      </c>
      <c r="C289" s="271" t="s">
        <v>752</v>
      </c>
      <c r="D289" s="271" t="s">
        <v>165</v>
      </c>
      <c r="E289" s="271" t="s">
        <v>686</v>
      </c>
      <c r="F289" s="271" t="s">
        <v>754</v>
      </c>
      <c r="G289" s="272" t="s">
        <v>1457</v>
      </c>
      <c r="H289" s="272" t="s">
        <v>1457</v>
      </c>
      <c r="I289" s="272" t="s">
        <v>1452</v>
      </c>
      <c r="J289" s="272" t="s">
        <v>1452</v>
      </c>
      <c r="K289" s="271" t="s">
        <v>232</v>
      </c>
      <c r="L289" s="273">
        <v>990</v>
      </c>
      <c r="M289" s="271" t="s">
        <v>1090</v>
      </c>
      <c r="N289" s="271" t="s">
        <v>168</v>
      </c>
      <c r="O289" s="271" t="s">
        <v>1091</v>
      </c>
      <c r="P289" s="271"/>
      <c r="Q289" s="271">
        <v>-29</v>
      </c>
    </row>
    <row r="290" spans="1:17" ht="15" hidden="1">
      <c r="A290" s="332" t="s">
        <v>1463</v>
      </c>
      <c r="B290" s="271" t="s">
        <v>753</v>
      </c>
      <c r="C290" s="271" t="s">
        <v>1464</v>
      </c>
      <c r="D290" s="271" t="s">
        <v>137</v>
      </c>
      <c r="E290" s="271"/>
      <c r="F290" s="271" t="s">
        <v>754</v>
      </c>
      <c r="G290" s="272" t="s">
        <v>1457</v>
      </c>
      <c r="H290" s="272" t="s">
        <v>1457</v>
      </c>
      <c r="I290" s="272" t="s">
        <v>1452</v>
      </c>
      <c r="J290" s="272" t="s">
        <v>1452</v>
      </c>
      <c r="K290" s="271" t="s">
        <v>232</v>
      </c>
      <c r="L290" s="273">
        <v>3000</v>
      </c>
      <c r="M290" s="271" t="s">
        <v>1088</v>
      </c>
      <c r="N290" s="271" t="s">
        <v>1089</v>
      </c>
      <c r="O290" s="271" t="s">
        <v>168</v>
      </c>
      <c r="P290" s="271"/>
      <c r="Q290" s="271">
        <v>-108</v>
      </c>
    </row>
    <row r="291" spans="1:17" ht="15" hidden="1">
      <c r="A291" s="332" t="s">
        <v>1465</v>
      </c>
      <c r="B291" s="271" t="s">
        <v>749</v>
      </c>
      <c r="C291" s="271" t="s">
        <v>751</v>
      </c>
      <c r="D291" s="271" t="s">
        <v>165</v>
      </c>
      <c r="E291" s="271" t="s">
        <v>686</v>
      </c>
      <c r="F291" s="271" t="s">
        <v>750</v>
      </c>
      <c r="G291" s="272" t="s">
        <v>1457</v>
      </c>
      <c r="H291" s="272" t="s">
        <v>1457</v>
      </c>
      <c r="I291" s="272" t="s">
        <v>1452</v>
      </c>
      <c r="J291" s="272" t="s">
        <v>1452</v>
      </c>
      <c r="K291" s="271" t="s">
        <v>232</v>
      </c>
      <c r="L291" s="273">
        <v>990</v>
      </c>
      <c r="M291" s="271" t="s">
        <v>1088</v>
      </c>
      <c r="N291" s="271" t="s">
        <v>1089</v>
      </c>
      <c r="O291" s="271" t="s">
        <v>168</v>
      </c>
      <c r="P291" s="271"/>
      <c r="Q291" s="271">
        <v>-35</v>
      </c>
    </row>
    <row r="292" spans="1:17" ht="15">
      <c r="A292" s="332" t="s">
        <v>1466</v>
      </c>
      <c r="B292" s="271" t="s">
        <v>749</v>
      </c>
      <c r="C292" s="271" t="s">
        <v>751</v>
      </c>
      <c r="D292" s="271" t="s">
        <v>165</v>
      </c>
      <c r="E292" s="271" t="s">
        <v>686</v>
      </c>
      <c r="F292" s="271" t="s">
        <v>750</v>
      </c>
      <c r="G292" s="272" t="s">
        <v>1457</v>
      </c>
      <c r="H292" s="272" t="s">
        <v>1457</v>
      </c>
      <c r="I292" s="272" t="s">
        <v>1452</v>
      </c>
      <c r="J292" s="272" t="s">
        <v>1452</v>
      </c>
      <c r="K292" s="271" t="s">
        <v>232</v>
      </c>
      <c r="L292" s="273">
        <v>990</v>
      </c>
      <c r="M292" s="271" t="s">
        <v>1090</v>
      </c>
      <c r="N292" s="271" t="s">
        <v>168</v>
      </c>
      <c r="O292" s="271" t="s">
        <v>1091</v>
      </c>
      <c r="P292" s="271"/>
      <c r="Q292" s="271">
        <v>-29</v>
      </c>
    </row>
    <row r="293" spans="1:17" ht="15" hidden="1">
      <c r="A293" s="332" t="s">
        <v>1467</v>
      </c>
      <c r="B293" s="271" t="s">
        <v>749</v>
      </c>
      <c r="C293" s="271" t="s">
        <v>748</v>
      </c>
      <c r="D293" s="271" t="s">
        <v>165</v>
      </c>
      <c r="E293" s="271" t="s">
        <v>742</v>
      </c>
      <c r="F293" s="271" t="s">
        <v>750</v>
      </c>
      <c r="G293" s="272" t="s">
        <v>1457</v>
      </c>
      <c r="H293" s="272" t="s">
        <v>1457</v>
      </c>
      <c r="I293" s="272" t="s">
        <v>1452</v>
      </c>
      <c r="J293" s="272" t="s">
        <v>1452</v>
      </c>
      <c r="K293" s="271" t="s">
        <v>232</v>
      </c>
      <c r="L293" s="273">
        <v>18830</v>
      </c>
      <c r="M293" s="271" t="s">
        <v>1088</v>
      </c>
      <c r="N293" s="271" t="s">
        <v>1089</v>
      </c>
      <c r="O293" s="271" t="s">
        <v>168</v>
      </c>
      <c r="P293" s="271"/>
      <c r="Q293" s="271">
        <v>-683</v>
      </c>
    </row>
    <row r="294" spans="1:17" ht="15">
      <c r="A294" s="332" t="s">
        <v>1468</v>
      </c>
      <c r="B294" s="271" t="s">
        <v>749</v>
      </c>
      <c r="C294" s="271" t="s">
        <v>748</v>
      </c>
      <c r="D294" s="271" t="s">
        <v>165</v>
      </c>
      <c r="E294" s="271" t="s">
        <v>742</v>
      </c>
      <c r="F294" s="271" t="s">
        <v>750</v>
      </c>
      <c r="G294" s="272" t="s">
        <v>1457</v>
      </c>
      <c r="H294" s="272" t="s">
        <v>1457</v>
      </c>
      <c r="I294" s="272" t="s">
        <v>1452</v>
      </c>
      <c r="J294" s="272" t="s">
        <v>1452</v>
      </c>
      <c r="K294" s="271" t="s">
        <v>232</v>
      </c>
      <c r="L294" s="273">
        <v>18830</v>
      </c>
      <c r="M294" s="271" t="s">
        <v>1090</v>
      </c>
      <c r="N294" s="271" t="s">
        <v>168</v>
      </c>
      <c r="O294" s="271" t="s">
        <v>1091</v>
      </c>
      <c r="P294" s="271"/>
      <c r="Q294" s="271">
        <v>-564</v>
      </c>
    </row>
    <row r="295" spans="1:17" ht="15" hidden="1">
      <c r="A295" s="332" t="s">
        <v>1469</v>
      </c>
      <c r="B295" s="271" t="s">
        <v>749</v>
      </c>
      <c r="C295" s="271" t="s">
        <v>1470</v>
      </c>
      <c r="D295" s="271" t="s">
        <v>137</v>
      </c>
      <c r="E295" s="271"/>
      <c r="F295" s="271" t="s">
        <v>750</v>
      </c>
      <c r="G295" s="272" t="s">
        <v>1457</v>
      </c>
      <c r="H295" s="272" t="s">
        <v>1457</v>
      </c>
      <c r="I295" s="272" t="s">
        <v>1452</v>
      </c>
      <c r="J295" s="272" t="s">
        <v>1452</v>
      </c>
      <c r="K295" s="271" t="s">
        <v>232</v>
      </c>
      <c r="L295" s="273">
        <v>3000</v>
      </c>
      <c r="M295" s="271" t="s">
        <v>1088</v>
      </c>
      <c r="N295" s="271" t="s">
        <v>1089</v>
      </c>
      <c r="O295" s="271" t="s">
        <v>168</v>
      </c>
      <c r="P295" s="271"/>
      <c r="Q295" s="271">
        <v>-108</v>
      </c>
    </row>
    <row r="296" spans="1:17" ht="15" hidden="1">
      <c r="A296" s="332" t="s">
        <v>1471</v>
      </c>
      <c r="B296" s="271" t="s">
        <v>756</v>
      </c>
      <c r="C296" s="271" t="s">
        <v>755</v>
      </c>
      <c r="D296" s="271" t="s">
        <v>165</v>
      </c>
      <c r="E296" s="271" t="s">
        <v>694</v>
      </c>
      <c r="F296" s="271" t="s">
        <v>757</v>
      </c>
      <c r="G296" s="272" t="s">
        <v>1457</v>
      </c>
      <c r="H296" s="272" t="s">
        <v>1457</v>
      </c>
      <c r="I296" s="272" t="s">
        <v>1452</v>
      </c>
      <c r="J296" s="272" t="s">
        <v>1452</v>
      </c>
      <c r="K296" s="271" t="s">
        <v>232</v>
      </c>
      <c r="L296" s="273">
        <v>19770</v>
      </c>
      <c r="M296" s="271" t="s">
        <v>1088</v>
      </c>
      <c r="N296" s="271" t="s">
        <v>695</v>
      </c>
      <c r="O296" s="271" t="s">
        <v>168</v>
      </c>
      <c r="P296" s="271"/>
      <c r="Q296" s="271">
        <v>-717</v>
      </c>
    </row>
    <row r="297" spans="1:17" ht="15" hidden="1">
      <c r="A297" s="332" t="s">
        <v>1472</v>
      </c>
      <c r="B297" s="271" t="s">
        <v>756</v>
      </c>
      <c r="C297" s="271" t="s">
        <v>755</v>
      </c>
      <c r="D297" s="271" t="s">
        <v>165</v>
      </c>
      <c r="E297" s="271" t="s">
        <v>694</v>
      </c>
      <c r="F297" s="271" t="s">
        <v>757</v>
      </c>
      <c r="G297" s="272" t="s">
        <v>1457</v>
      </c>
      <c r="H297" s="272" t="s">
        <v>1457</v>
      </c>
      <c r="I297" s="272" t="s">
        <v>1452</v>
      </c>
      <c r="J297" s="272" t="s">
        <v>1452</v>
      </c>
      <c r="K297" s="271" t="s">
        <v>232</v>
      </c>
      <c r="L297" s="273">
        <v>530</v>
      </c>
      <c r="M297" s="271" t="s">
        <v>1088</v>
      </c>
      <c r="N297" s="271" t="s">
        <v>1089</v>
      </c>
      <c r="O297" s="271" t="s">
        <v>168</v>
      </c>
      <c r="P297" s="271"/>
      <c r="Q297" s="271">
        <v>-19</v>
      </c>
    </row>
    <row r="298" spans="1:17" ht="15">
      <c r="A298" s="332" t="s">
        <v>1473</v>
      </c>
      <c r="B298" s="271" t="s">
        <v>756</v>
      </c>
      <c r="C298" s="271" t="s">
        <v>755</v>
      </c>
      <c r="D298" s="271" t="s">
        <v>165</v>
      </c>
      <c r="E298" s="271" t="s">
        <v>694</v>
      </c>
      <c r="F298" s="271" t="s">
        <v>757</v>
      </c>
      <c r="G298" s="272" t="s">
        <v>1457</v>
      </c>
      <c r="H298" s="272" t="s">
        <v>1457</v>
      </c>
      <c r="I298" s="272" t="s">
        <v>1452</v>
      </c>
      <c r="J298" s="272" t="s">
        <v>1452</v>
      </c>
      <c r="K298" s="271" t="s">
        <v>232</v>
      </c>
      <c r="L298" s="273">
        <v>20300</v>
      </c>
      <c r="M298" s="271" t="s">
        <v>1090</v>
      </c>
      <c r="N298" s="271" t="s">
        <v>168</v>
      </c>
      <c r="O298" s="271" t="s">
        <v>1097</v>
      </c>
      <c r="P298" s="271"/>
      <c r="Q298" s="271">
        <v>-203</v>
      </c>
    </row>
    <row r="299" spans="1:17" ht="15" hidden="1">
      <c r="A299" s="332" t="s">
        <v>1474</v>
      </c>
      <c r="B299" s="271" t="s">
        <v>756</v>
      </c>
      <c r="C299" s="271" t="s">
        <v>1475</v>
      </c>
      <c r="D299" s="271" t="s">
        <v>137</v>
      </c>
      <c r="E299" s="271"/>
      <c r="F299" s="271" t="s">
        <v>757</v>
      </c>
      <c r="G299" s="272" t="s">
        <v>1457</v>
      </c>
      <c r="H299" s="272" t="s">
        <v>1457</v>
      </c>
      <c r="I299" s="272" t="s">
        <v>1452</v>
      </c>
      <c r="J299" s="272" t="s">
        <v>1452</v>
      </c>
      <c r="K299" s="271" t="s">
        <v>232</v>
      </c>
      <c r="L299" s="273">
        <v>2922</v>
      </c>
      <c r="M299" s="271" t="s">
        <v>1088</v>
      </c>
      <c r="N299" s="271" t="s">
        <v>695</v>
      </c>
      <c r="O299" s="271" t="s">
        <v>168</v>
      </c>
      <c r="P299" s="271"/>
      <c r="Q299" s="271">
        <v>-106</v>
      </c>
    </row>
    <row r="300" spans="1:17" ht="15" hidden="1">
      <c r="A300" s="332" t="s">
        <v>1476</v>
      </c>
      <c r="B300" s="271" t="s">
        <v>756</v>
      </c>
      <c r="C300" s="271" t="s">
        <v>1475</v>
      </c>
      <c r="D300" s="271" t="s">
        <v>137</v>
      </c>
      <c r="E300" s="271"/>
      <c r="F300" s="271" t="s">
        <v>757</v>
      </c>
      <c r="G300" s="272" t="s">
        <v>1457</v>
      </c>
      <c r="H300" s="272" t="s">
        <v>1457</v>
      </c>
      <c r="I300" s="272" t="s">
        <v>1452</v>
      </c>
      <c r="J300" s="272" t="s">
        <v>1452</v>
      </c>
      <c r="K300" s="271" t="s">
        <v>232</v>
      </c>
      <c r="L300" s="273">
        <v>78</v>
      </c>
      <c r="M300" s="271" t="s">
        <v>1088</v>
      </c>
      <c r="N300" s="271" t="s">
        <v>1089</v>
      </c>
      <c r="O300" s="271" t="s">
        <v>168</v>
      </c>
      <c r="P300" s="271"/>
      <c r="Q300" s="271">
        <v>-2</v>
      </c>
    </row>
    <row r="301" spans="1:17" ht="15" hidden="1">
      <c r="A301" s="332" t="s">
        <v>1477</v>
      </c>
      <c r="B301" s="271" t="s">
        <v>740</v>
      </c>
      <c r="C301" s="271" t="s">
        <v>744</v>
      </c>
      <c r="D301" s="271" t="s">
        <v>165</v>
      </c>
      <c r="E301" s="271" t="s">
        <v>686</v>
      </c>
      <c r="F301" s="271" t="s">
        <v>741</v>
      </c>
      <c r="G301" s="272" t="s">
        <v>1457</v>
      </c>
      <c r="H301" s="272" t="s">
        <v>1457</v>
      </c>
      <c r="I301" s="272" t="s">
        <v>1452</v>
      </c>
      <c r="J301" s="272" t="s">
        <v>1452</v>
      </c>
      <c r="K301" s="271" t="s">
        <v>232</v>
      </c>
      <c r="L301" s="273">
        <v>977</v>
      </c>
      <c r="M301" s="271" t="s">
        <v>1088</v>
      </c>
      <c r="N301" s="271" t="s">
        <v>695</v>
      </c>
      <c r="O301" s="271" t="s">
        <v>168</v>
      </c>
      <c r="P301" s="271"/>
      <c r="Q301" s="271">
        <v>-35</v>
      </c>
    </row>
    <row r="302" spans="1:17" ht="15" hidden="1">
      <c r="A302" s="332" t="s">
        <v>1478</v>
      </c>
      <c r="B302" s="271" t="s">
        <v>740</v>
      </c>
      <c r="C302" s="271" t="s">
        <v>744</v>
      </c>
      <c r="D302" s="271" t="s">
        <v>165</v>
      </c>
      <c r="E302" s="271" t="s">
        <v>686</v>
      </c>
      <c r="F302" s="271" t="s">
        <v>741</v>
      </c>
      <c r="G302" s="272" t="s">
        <v>1457</v>
      </c>
      <c r="H302" s="272" t="s">
        <v>1457</v>
      </c>
      <c r="I302" s="272" t="s">
        <v>1452</v>
      </c>
      <c r="J302" s="272" t="s">
        <v>1452</v>
      </c>
      <c r="K302" s="271" t="s">
        <v>232</v>
      </c>
      <c r="L302" s="273">
        <v>13</v>
      </c>
      <c r="M302" s="271" t="s">
        <v>1088</v>
      </c>
      <c r="N302" s="271" t="s">
        <v>1089</v>
      </c>
      <c r="O302" s="271" t="s">
        <v>168</v>
      </c>
      <c r="P302" s="271"/>
      <c r="Q302" s="271">
        <v>0</v>
      </c>
    </row>
    <row r="303" spans="1:17" ht="15">
      <c r="A303" s="332" t="s">
        <v>1479</v>
      </c>
      <c r="B303" s="271" t="s">
        <v>740</v>
      </c>
      <c r="C303" s="271" t="s">
        <v>744</v>
      </c>
      <c r="D303" s="271" t="s">
        <v>165</v>
      </c>
      <c r="E303" s="271" t="s">
        <v>686</v>
      </c>
      <c r="F303" s="271" t="s">
        <v>741</v>
      </c>
      <c r="G303" s="272" t="s">
        <v>1457</v>
      </c>
      <c r="H303" s="272" t="s">
        <v>1457</v>
      </c>
      <c r="I303" s="272" t="s">
        <v>1452</v>
      </c>
      <c r="J303" s="272" t="s">
        <v>1452</v>
      </c>
      <c r="K303" s="271" t="s">
        <v>232</v>
      </c>
      <c r="L303" s="273">
        <v>990</v>
      </c>
      <c r="M303" s="271" t="s">
        <v>1090</v>
      </c>
      <c r="N303" s="271" t="s">
        <v>168</v>
      </c>
      <c r="O303" s="271" t="s">
        <v>1091</v>
      </c>
      <c r="P303" s="271"/>
      <c r="Q303" s="271">
        <v>-29</v>
      </c>
    </row>
    <row r="304" spans="1:17" ht="15" hidden="1">
      <c r="A304" s="332" t="s">
        <v>1480</v>
      </c>
      <c r="B304" s="271" t="s">
        <v>740</v>
      </c>
      <c r="C304" s="271" t="s">
        <v>743</v>
      </c>
      <c r="D304" s="271" t="s">
        <v>165</v>
      </c>
      <c r="E304" s="271" t="s">
        <v>742</v>
      </c>
      <c r="F304" s="271" t="s">
        <v>741</v>
      </c>
      <c r="G304" s="272" t="s">
        <v>1457</v>
      </c>
      <c r="H304" s="272" t="s">
        <v>1457</v>
      </c>
      <c r="I304" s="272" t="s">
        <v>1452</v>
      </c>
      <c r="J304" s="272" t="s">
        <v>1452</v>
      </c>
      <c r="K304" s="271" t="s">
        <v>232</v>
      </c>
      <c r="L304" s="273">
        <v>18586</v>
      </c>
      <c r="M304" s="271" t="s">
        <v>1088</v>
      </c>
      <c r="N304" s="271" t="s">
        <v>695</v>
      </c>
      <c r="O304" s="271" t="s">
        <v>168</v>
      </c>
      <c r="P304" s="271"/>
      <c r="Q304" s="271">
        <v>-674</v>
      </c>
    </row>
    <row r="305" spans="1:17" ht="15" hidden="1">
      <c r="A305" s="332" t="s">
        <v>1481</v>
      </c>
      <c r="B305" s="271" t="s">
        <v>740</v>
      </c>
      <c r="C305" s="271" t="s">
        <v>743</v>
      </c>
      <c r="D305" s="271" t="s">
        <v>165</v>
      </c>
      <c r="E305" s="271" t="s">
        <v>742</v>
      </c>
      <c r="F305" s="271" t="s">
        <v>741</v>
      </c>
      <c r="G305" s="272" t="s">
        <v>1457</v>
      </c>
      <c r="H305" s="272" t="s">
        <v>1457</v>
      </c>
      <c r="I305" s="272" t="s">
        <v>1452</v>
      </c>
      <c r="J305" s="272" t="s">
        <v>1452</v>
      </c>
      <c r="K305" s="271" t="s">
        <v>232</v>
      </c>
      <c r="L305" s="273">
        <v>244</v>
      </c>
      <c r="M305" s="271" t="s">
        <v>1088</v>
      </c>
      <c r="N305" s="271" t="s">
        <v>1089</v>
      </c>
      <c r="O305" s="271" t="s">
        <v>168</v>
      </c>
      <c r="P305" s="271"/>
      <c r="Q305" s="271">
        <v>-8</v>
      </c>
    </row>
    <row r="306" spans="1:17" ht="15">
      <c r="A306" s="332" t="s">
        <v>1482</v>
      </c>
      <c r="B306" s="271" t="s">
        <v>740</v>
      </c>
      <c r="C306" s="271" t="s">
        <v>743</v>
      </c>
      <c r="D306" s="271" t="s">
        <v>165</v>
      </c>
      <c r="E306" s="271" t="s">
        <v>742</v>
      </c>
      <c r="F306" s="271" t="s">
        <v>741</v>
      </c>
      <c r="G306" s="272" t="s">
        <v>1457</v>
      </c>
      <c r="H306" s="272" t="s">
        <v>1457</v>
      </c>
      <c r="I306" s="272" t="s">
        <v>1452</v>
      </c>
      <c r="J306" s="272" t="s">
        <v>1452</v>
      </c>
      <c r="K306" s="271" t="s">
        <v>232</v>
      </c>
      <c r="L306" s="273">
        <v>18830</v>
      </c>
      <c r="M306" s="271" t="s">
        <v>1090</v>
      </c>
      <c r="N306" s="271" t="s">
        <v>168</v>
      </c>
      <c r="O306" s="271" t="s">
        <v>1091</v>
      </c>
      <c r="P306" s="271"/>
      <c r="Q306" s="271">
        <v>-564</v>
      </c>
    </row>
    <row r="307" spans="1:17" ht="15" hidden="1">
      <c r="A307" s="332" t="s">
        <v>1483</v>
      </c>
      <c r="B307" s="271" t="s">
        <v>740</v>
      </c>
      <c r="C307" s="271" t="s">
        <v>739</v>
      </c>
      <c r="D307" s="271" t="s">
        <v>165</v>
      </c>
      <c r="E307" s="271" t="s">
        <v>742</v>
      </c>
      <c r="F307" s="271" t="s">
        <v>741</v>
      </c>
      <c r="G307" s="272" t="s">
        <v>1457</v>
      </c>
      <c r="H307" s="272" t="s">
        <v>1457</v>
      </c>
      <c r="I307" s="272" t="s">
        <v>1452</v>
      </c>
      <c r="J307" s="272" t="s">
        <v>1452</v>
      </c>
      <c r="K307" s="271" t="s">
        <v>232</v>
      </c>
      <c r="L307" s="273">
        <v>18586</v>
      </c>
      <c r="M307" s="271" t="s">
        <v>1088</v>
      </c>
      <c r="N307" s="271" t="s">
        <v>695</v>
      </c>
      <c r="O307" s="271" t="s">
        <v>168</v>
      </c>
      <c r="P307" s="271"/>
      <c r="Q307" s="271">
        <v>-674</v>
      </c>
    </row>
    <row r="308" spans="1:17" ht="15" hidden="1">
      <c r="A308" s="332" t="s">
        <v>1484</v>
      </c>
      <c r="B308" s="271" t="s">
        <v>740</v>
      </c>
      <c r="C308" s="271" t="s">
        <v>739</v>
      </c>
      <c r="D308" s="271" t="s">
        <v>165</v>
      </c>
      <c r="E308" s="271" t="s">
        <v>742</v>
      </c>
      <c r="F308" s="271" t="s">
        <v>741</v>
      </c>
      <c r="G308" s="272" t="s">
        <v>1457</v>
      </c>
      <c r="H308" s="272" t="s">
        <v>1457</v>
      </c>
      <c r="I308" s="272" t="s">
        <v>1452</v>
      </c>
      <c r="J308" s="272" t="s">
        <v>1452</v>
      </c>
      <c r="K308" s="271" t="s">
        <v>232</v>
      </c>
      <c r="L308" s="273">
        <v>244</v>
      </c>
      <c r="M308" s="271" t="s">
        <v>1088</v>
      </c>
      <c r="N308" s="271" t="s">
        <v>1089</v>
      </c>
      <c r="O308" s="271" t="s">
        <v>168</v>
      </c>
      <c r="P308" s="271"/>
      <c r="Q308" s="271">
        <v>-8</v>
      </c>
    </row>
    <row r="309" spans="1:17" ht="15">
      <c r="A309" s="332" t="s">
        <v>1485</v>
      </c>
      <c r="B309" s="271" t="s">
        <v>740</v>
      </c>
      <c r="C309" s="271" t="s">
        <v>739</v>
      </c>
      <c r="D309" s="271" t="s">
        <v>165</v>
      </c>
      <c r="E309" s="271" t="s">
        <v>742</v>
      </c>
      <c r="F309" s="271" t="s">
        <v>741</v>
      </c>
      <c r="G309" s="272" t="s">
        <v>1457</v>
      </c>
      <c r="H309" s="272" t="s">
        <v>1457</v>
      </c>
      <c r="I309" s="272" t="s">
        <v>1452</v>
      </c>
      <c r="J309" s="272" t="s">
        <v>1452</v>
      </c>
      <c r="K309" s="271" t="s">
        <v>232</v>
      </c>
      <c r="L309" s="273">
        <v>18830</v>
      </c>
      <c r="M309" s="271" t="s">
        <v>1090</v>
      </c>
      <c r="N309" s="271" t="s">
        <v>168</v>
      </c>
      <c r="O309" s="271" t="s">
        <v>1091</v>
      </c>
      <c r="P309" s="271"/>
      <c r="Q309" s="271">
        <v>-564</v>
      </c>
    </row>
    <row r="310" spans="1:17" ht="15" hidden="1">
      <c r="A310" s="332" t="s">
        <v>1486</v>
      </c>
      <c r="B310" s="271" t="s">
        <v>737</v>
      </c>
      <c r="C310" s="271" t="s">
        <v>736</v>
      </c>
      <c r="D310" s="271" t="s">
        <v>165</v>
      </c>
      <c r="E310" s="271" t="s">
        <v>686</v>
      </c>
      <c r="F310" s="271" t="s">
        <v>738</v>
      </c>
      <c r="G310" s="272" t="s">
        <v>1457</v>
      </c>
      <c r="H310" s="272" t="s">
        <v>1457</v>
      </c>
      <c r="I310" s="272" t="s">
        <v>1452</v>
      </c>
      <c r="J310" s="272" t="s">
        <v>1452</v>
      </c>
      <c r="K310" s="271" t="s">
        <v>232</v>
      </c>
      <c r="L310" s="273">
        <v>924</v>
      </c>
      <c r="M310" s="271" t="s">
        <v>1088</v>
      </c>
      <c r="N310" s="271" t="s">
        <v>695</v>
      </c>
      <c r="O310" s="271" t="s">
        <v>168</v>
      </c>
      <c r="P310" s="271"/>
      <c r="Q310" s="271">
        <v>-33</v>
      </c>
    </row>
    <row r="311" spans="1:17" ht="15" hidden="1">
      <c r="A311" s="332" t="s">
        <v>1487</v>
      </c>
      <c r="B311" s="271" t="s">
        <v>737</v>
      </c>
      <c r="C311" s="271" t="s">
        <v>736</v>
      </c>
      <c r="D311" s="271" t="s">
        <v>165</v>
      </c>
      <c r="E311" s="271" t="s">
        <v>686</v>
      </c>
      <c r="F311" s="271" t="s">
        <v>738</v>
      </c>
      <c r="G311" s="272" t="s">
        <v>1457</v>
      </c>
      <c r="H311" s="272" t="s">
        <v>1457</v>
      </c>
      <c r="I311" s="272" t="s">
        <v>1452</v>
      </c>
      <c r="J311" s="272" t="s">
        <v>1452</v>
      </c>
      <c r="K311" s="271" t="s">
        <v>232</v>
      </c>
      <c r="L311" s="273">
        <v>66</v>
      </c>
      <c r="M311" s="271" t="s">
        <v>1088</v>
      </c>
      <c r="N311" s="271" t="s">
        <v>1089</v>
      </c>
      <c r="O311" s="271" t="s">
        <v>168</v>
      </c>
      <c r="P311" s="271"/>
      <c r="Q311" s="271">
        <v>-2</v>
      </c>
    </row>
    <row r="312" spans="1:17" ht="15">
      <c r="A312" s="332" t="s">
        <v>1488</v>
      </c>
      <c r="B312" s="271" t="s">
        <v>737</v>
      </c>
      <c r="C312" s="271" t="s">
        <v>736</v>
      </c>
      <c r="D312" s="271" t="s">
        <v>165</v>
      </c>
      <c r="E312" s="271" t="s">
        <v>686</v>
      </c>
      <c r="F312" s="271" t="s">
        <v>738</v>
      </c>
      <c r="G312" s="272" t="s">
        <v>1457</v>
      </c>
      <c r="H312" s="272" t="s">
        <v>1457</v>
      </c>
      <c r="I312" s="272" t="s">
        <v>1452</v>
      </c>
      <c r="J312" s="272" t="s">
        <v>1452</v>
      </c>
      <c r="K312" s="271" t="s">
        <v>232</v>
      </c>
      <c r="L312" s="273">
        <v>990</v>
      </c>
      <c r="M312" s="271" t="s">
        <v>1090</v>
      </c>
      <c r="N312" s="271" t="s">
        <v>168</v>
      </c>
      <c r="O312" s="271" t="s">
        <v>1091</v>
      </c>
      <c r="P312" s="271"/>
      <c r="Q312" s="271">
        <v>-29</v>
      </c>
    </row>
    <row r="313" spans="1:17" ht="15" hidden="1">
      <c r="A313" s="332" t="s">
        <v>1489</v>
      </c>
      <c r="B313" s="271" t="s">
        <v>737</v>
      </c>
      <c r="C313" s="271" t="s">
        <v>1490</v>
      </c>
      <c r="D313" s="271" t="s">
        <v>137</v>
      </c>
      <c r="E313" s="271"/>
      <c r="F313" s="271" t="s">
        <v>738</v>
      </c>
      <c r="G313" s="272" t="s">
        <v>1457</v>
      </c>
      <c r="H313" s="272" t="s">
        <v>1457</v>
      </c>
      <c r="I313" s="272" t="s">
        <v>1452</v>
      </c>
      <c r="J313" s="272" t="s">
        <v>1452</v>
      </c>
      <c r="K313" s="271" t="s">
        <v>232</v>
      </c>
      <c r="L313" s="273">
        <v>2798</v>
      </c>
      <c r="M313" s="271" t="s">
        <v>1088</v>
      </c>
      <c r="N313" s="271" t="s">
        <v>695</v>
      </c>
      <c r="O313" s="271" t="s">
        <v>168</v>
      </c>
      <c r="P313" s="271"/>
      <c r="Q313" s="271">
        <v>-101</v>
      </c>
    </row>
    <row r="314" spans="1:17" ht="15" hidden="1">
      <c r="A314" s="332" t="s">
        <v>1491</v>
      </c>
      <c r="B314" s="271" t="s">
        <v>737</v>
      </c>
      <c r="C314" s="271" t="s">
        <v>1490</v>
      </c>
      <c r="D314" s="271" t="s">
        <v>137</v>
      </c>
      <c r="E314" s="271"/>
      <c r="F314" s="271" t="s">
        <v>738</v>
      </c>
      <c r="G314" s="272" t="s">
        <v>1457</v>
      </c>
      <c r="H314" s="272" t="s">
        <v>1457</v>
      </c>
      <c r="I314" s="272" t="s">
        <v>1452</v>
      </c>
      <c r="J314" s="272" t="s">
        <v>1452</v>
      </c>
      <c r="K314" s="271" t="s">
        <v>232</v>
      </c>
      <c r="L314" s="273">
        <v>202</v>
      </c>
      <c r="M314" s="271" t="s">
        <v>1088</v>
      </c>
      <c r="N314" s="271" t="s">
        <v>1089</v>
      </c>
      <c r="O314" s="271" t="s">
        <v>168</v>
      </c>
      <c r="P314" s="271"/>
      <c r="Q314" s="271">
        <v>-7</v>
      </c>
    </row>
    <row r="315" spans="1:17" ht="15" hidden="1">
      <c r="A315" s="332" t="s">
        <v>1492</v>
      </c>
      <c r="B315" s="271" t="s">
        <v>734</v>
      </c>
      <c r="C315" s="271" t="s">
        <v>733</v>
      </c>
      <c r="D315" s="271" t="s">
        <v>165</v>
      </c>
      <c r="E315" s="271" t="s">
        <v>686</v>
      </c>
      <c r="F315" s="271" t="s">
        <v>735</v>
      </c>
      <c r="G315" s="272" t="s">
        <v>1457</v>
      </c>
      <c r="H315" s="272" t="s">
        <v>1457</v>
      </c>
      <c r="I315" s="272" t="s">
        <v>1452</v>
      </c>
      <c r="J315" s="272" t="s">
        <v>1452</v>
      </c>
      <c r="K315" s="271" t="s">
        <v>232</v>
      </c>
      <c r="L315" s="273">
        <v>730</v>
      </c>
      <c r="M315" s="271" t="s">
        <v>1088</v>
      </c>
      <c r="N315" s="271" t="s">
        <v>695</v>
      </c>
      <c r="O315" s="271" t="s">
        <v>168</v>
      </c>
      <c r="P315" s="271"/>
      <c r="Q315" s="271">
        <v>-26</v>
      </c>
    </row>
    <row r="316" spans="1:17" ht="15" hidden="1">
      <c r="A316" s="332" t="s">
        <v>1493</v>
      </c>
      <c r="B316" s="271" t="s">
        <v>734</v>
      </c>
      <c r="C316" s="271" t="s">
        <v>733</v>
      </c>
      <c r="D316" s="271" t="s">
        <v>165</v>
      </c>
      <c r="E316" s="271" t="s">
        <v>686</v>
      </c>
      <c r="F316" s="271" t="s">
        <v>735</v>
      </c>
      <c r="G316" s="272" t="s">
        <v>1457</v>
      </c>
      <c r="H316" s="272" t="s">
        <v>1457</v>
      </c>
      <c r="I316" s="272" t="s">
        <v>1452</v>
      </c>
      <c r="J316" s="272" t="s">
        <v>1452</v>
      </c>
      <c r="K316" s="271" t="s">
        <v>232</v>
      </c>
      <c r="L316" s="273">
        <v>260</v>
      </c>
      <c r="M316" s="271" t="s">
        <v>1088</v>
      </c>
      <c r="N316" s="271" t="s">
        <v>1089</v>
      </c>
      <c r="O316" s="271" t="s">
        <v>168</v>
      </c>
      <c r="P316" s="271"/>
      <c r="Q316" s="271">
        <v>-9</v>
      </c>
    </row>
    <row r="317" spans="1:17" ht="15">
      <c r="A317" s="332" t="s">
        <v>1494</v>
      </c>
      <c r="B317" s="271" t="s">
        <v>734</v>
      </c>
      <c r="C317" s="271" t="s">
        <v>733</v>
      </c>
      <c r="D317" s="271" t="s">
        <v>165</v>
      </c>
      <c r="E317" s="271" t="s">
        <v>686</v>
      </c>
      <c r="F317" s="271" t="s">
        <v>735</v>
      </c>
      <c r="G317" s="272" t="s">
        <v>1457</v>
      </c>
      <c r="H317" s="272" t="s">
        <v>1457</v>
      </c>
      <c r="I317" s="272" t="s">
        <v>1452</v>
      </c>
      <c r="J317" s="272" t="s">
        <v>1452</v>
      </c>
      <c r="K317" s="271" t="s">
        <v>232</v>
      </c>
      <c r="L317" s="273">
        <v>990</v>
      </c>
      <c r="M317" s="271" t="s">
        <v>1090</v>
      </c>
      <c r="N317" s="271" t="s">
        <v>168</v>
      </c>
      <c r="O317" s="271" t="s">
        <v>1091</v>
      </c>
      <c r="P317" s="271"/>
      <c r="Q317" s="271">
        <v>-29</v>
      </c>
    </row>
    <row r="318" spans="1:17" ht="15" hidden="1">
      <c r="A318" s="332" t="s">
        <v>1495</v>
      </c>
      <c r="B318" s="271" t="s">
        <v>734</v>
      </c>
      <c r="C318" s="271" t="s">
        <v>1496</v>
      </c>
      <c r="D318" s="271" t="s">
        <v>137</v>
      </c>
      <c r="E318" s="271"/>
      <c r="F318" s="271" t="s">
        <v>735</v>
      </c>
      <c r="G318" s="272" t="s">
        <v>1457</v>
      </c>
      <c r="H318" s="272" t="s">
        <v>1457</v>
      </c>
      <c r="I318" s="272" t="s">
        <v>1452</v>
      </c>
      <c r="J318" s="272" t="s">
        <v>1452</v>
      </c>
      <c r="K318" s="271" t="s">
        <v>232</v>
      </c>
      <c r="L318" s="273">
        <v>2212</v>
      </c>
      <c r="M318" s="271" t="s">
        <v>1088</v>
      </c>
      <c r="N318" s="271" t="s">
        <v>695</v>
      </c>
      <c r="O318" s="271" t="s">
        <v>168</v>
      </c>
      <c r="P318" s="271"/>
      <c r="Q318" s="271">
        <v>-80</v>
      </c>
    </row>
    <row r="319" spans="1:17" ht="15" hidden="1">
      <c r="A319" s="332" t="s">
        <v>1497</v>
      </c>
      <c r="B319" s="271" t="s">
        <v>734</v>
      </c>
      <c r="C319" s="271" t="s">
        <v>1496</v>
      </c>
      <c r="D319" s="271" t="s">
        <v>137</v>
      </c>
      <c r="E319" s="271"/>
      <c r="F319" s="271" t="s">
        <v>735</v>
      </c>
      <c r="G319" s="272" t="s">
        <v>1457</v>
      </c>
      <c r="H319" s="272" t="s">
        <v>1457</v>
      </c>
      <c r="I319" s="272" t="s">
        <v>1452</v>
      </c>
      <c r="J319" s="272" t="s">
        <v>1452</v>
      </c>
      <c r="K319" s="271" t="s">
        <v>232</v>
      </c>
      <c r="L319" s="273">
        <v>788</v>
      </c>
      <c r="M319" s="271" t="s">
        <v>1088</v>
      </c>
      <c r="N319" s="271" t="s">
        <v>1089</v>
      </c>
      <c r="O319" s="271" t="s">
        <v>168</v>
      </c>
      <c r="P319" s="271"/>
      <c r="Q319" s="271">
        <v>-28</v>
      </c>
    </row>
    <row r="320" spans="1:17" ht="15" hidden="1">
      <c r="A320" s="332" t="s">
        <v>1498</v>
      </c>
      <c r="B320" s="271" t="s">
        <v>731</v>
      </c>
      <c r="C320" s="271" t="s">
        <v>730</v>
      </c>
      <c r="D320" s="271" t="s">
        <v>165</v>
      </c>
      <c r="E320" s="271" t="s">
        <v>686</v>
      </c>
      <c r="F320" s="271" t="s">
        <v>732</v>
      </c>
      <c r="G320" s="272" t="s">
        <v>1499</v>
      </c>
      <c r="H320" s="272" t="s">
        <v>1499</v>
      </c>
      <c r="I320" s="272" t="s">
        <v>1457</v>
      </c>
      <c r="J320" s="272" t="s">
        <v>1457</v>
      </c>
      <c r="K320" s="271" t="s">
        <v>232</v>
      </c>
      <c r="L320" s="273">
        <v>990</v>
      </c>
      <c r="M320" s="271" t="s">
        <v>1088</v>
      </c>
      <c r="N320" s="271" t="s">
        <v>695</v>
      </c>
      <c r="O320" s="271" t="s">
        <v>168</v>
      </c>
      <c r="P320" s="271"/>
      <c r="Q320" s="271">
        <v>-35</v>
      </c>
    </row>
    <row r="321" spans="1:17" ht="15">
      <c r="A321" s="332" t="s">
        <v>1500</v>
      </c>
      <c r="B321" s="271" t="s">
        <v>731</v>
      </c>
      <c r="C321" s="271" t="s">
        <v>730</v>
      </c>
      <c r="D321" s="271" t="s">
        <v>165</v>
      </c>
      <c r="E321" s="271" t="s">
        <v>686</v>
      </c>
      <c r="F321" s="271" t="s">
        <v>732</v>
      </c>
      <c r="G321" s="272" t="s">
        <v>1499</v>
      </c>
      <c r="H321" s="272" t="s">
        <v>1499</v>
      </c>
      <c r="I321" s="272" t="s">
        <v>1457</v>
      </c>
      <c r="J321" s="272" t="s">
        <v>1457</v>
      </c>
      <c r="K321" s="271" t="s">
        <v>232</v>
      </c>
      <c r="L321" s="273">
        <v>990</v>
      </c>
      <c r="M321" s="271" t="s">
        <v>1090</v>
      </c>
      <c r="N321" s="271" t="s">
        <v>168</v>
      </c>
      <c r="O321" s="271" t="s">
        <v>1091</v>
      </c>
      <c r="P321" s="271"/>
      <c r="Q321" s="271">
        <v>-29</v>
      </c>
    </row>
    <row r="322" spans="1:17" ht="15" hidden="1">
      <c r="A322" s="332" t="s">
        <v>1501</v>
      </c>
      <c r="B322" s="271" t="s">
        <v>731</v>
      </c>
      <c r="C322" s="271" t="s">
        <v>1502</v>
      </c>
      <c r="D322" s="271" t="s">
        <v>137</v>
      </c>
      <c r="E322" s="271"/>
      <c r="F322" s="271" t="s">
        <v>732</v>
      </c>
      <c r="G322" s="272" t="s">
        <v>1499</v>
      </c>
      <c r="H322" s="272" t="s">
        <v>1499</v>
      </c>
      <c r="I322" s="272" t="s">
        <v>1457</v>
      </c>
      <c r="J322" s="272" t="s">
        <v>1457</v>
      </c>
      <c r="K322" s="271" t="s">
        <v>232</v>
      </c>
      <c r="L322" s="273">
        <v>3000</v>
      </c>
      <c r="M322" s="271" t="s">
        <v>1088</v>
      </c>
      <c r="N322" s="271" t="s">
        <v>695</v>
      </c>
      <c r="O322" s="271" t="s">
        <v>168</v>
      </c>
      <c r="P322" s="271"/>
      <c r="Q322" s="271">
        <v>-108</v>
      </c>
    </row>
    <row r="323" spans="1:17" ht="15" hidden="1">
      <c r="A323" s="332" t="s">
        <v>1503</v>
      </c>
      <c r="B323" s="271" t="s">
        <v>728</v>
      </c>
      <c r="C323" s="271" t="s">
        <v>727</v>
      </c>
      <c r="D323" s="271" t="s">
        <v>165</v>
      </c>
      <c r="E323" s="271" t="s">
        <v>686</v>
      </c>
      <c r="F323" s="271" t="s">
        <v>729</v>
      </c>
      <c r="G323" s="272" t="s">
        <v>1504</v>
      </c>
      <c r="H323" s="272" t="s">
        <v>1504</v>
      </c>
      <c r="I323" s="272" t="s">
        <v>1499</v>
      </c>
      <c r="J323" s="272" t="s">
        <v>1499</v>
      </c>
      <c r="K323" s="271" t="s">
        <v>232</v>
      </c>
      <c r="L323" s="273">
        <v>990</v>
      </c>
      <c r="M323" s="271" t="s">
        <v>1088</v>
      </c>
      <c r="N323" s="271" t="s">
        <v>1089</v>
      </c>
      <c r="O323" s="271" t="s">
        <v>168</v>
      </c>
      <c r="P323" s="271"/>
      <c r="Q323" s="271">
        <v>-35</v>
      </c>
    </row>
    <row r="324" spans="1:17" ht="15">
      <c r="A324" s="332" t="s">
        <v>1505</v>
      </c>
      <c r="B324" s="271" t="s">
        <v>728</v>
      </c>
      <c r="C324" s="271" t="s">
        <v>727</v>
      </c>
      <c r="D324" s="271" t="s">
        <v>165</v>
      </c>
      <c r="E324" s="271" t="s">
        <v>686</v>
      </c>
      <c r="F324" s="271" t="s">
        <v>729</v>
      </c>
      <c r="G324" s="272" t="s">
        <v>1504</v>
      </c>
      <c r="H324" s="272" t="s">
        <v>1504</v>
      </c>
      <c r="I324" s="272" t="s">
        <v>1499</v>
      </c>
      <c r="J324" s="272" t="s">
        <v>1499</v>
      </c>
      <c r="K324" s="271" t="s">
        <v>232</v>
      </c>
      <c r="L324" s="273">
        <v>990</v>
      </c>
      <c r="M324" s="271" t="s">
        <v>1090</v>
      </c>
      <c r="N324" s="271" t="s">
        <v>168</v>
      </c>
      <c r="O324" s="271" t="s">
        <v>1091</v>
      </c>
      <c r="P324" s="271"/>
      <c r="Q324" s="271">
        <v>-29</v>
      </c>
    </row>
    <row r="325" spans="1:17" ht="15" hidden="1">
      <c r="A325" s="332" t="s">
        <v>1506</v>
      </c>
      <c r="B325" s="271" t="s">
        <v>728</v>
      </c>
      <c r="C325" s="271" t="s">
        <v>1507</v>
      </c>
      <c r="D325" s="271" t="s">
        <v>137</v>
      </c>
      <c r="E325" s="271"/>
      <c r="F325" s="271" t="s">
        <v>729</v>
      </c>
      <c r="G325" s="272" t="s">
        <v>1504</v>
      </c>
      <c r="H325" s="272" t="s">
        <v>1504</v>
      </c>
      <c r="I325" s="272" t="s">
        <v>1499</v>
      </c>
      <c r="J325" s="272" t="s">
        <v>1499</v>
      </c>
      <c r="K325" s="271" t="s">
        <v>232</v>
      </c>
      <c r="L325" s="273">
        <v>3000</v>
      </c>
      <c r="M325" s="271" t="s">
        <v>1088</v>
      </c>
      <c r="N325" s="271" t="s">
        <v>1089</v>
      </c>
      <c r="O325" s="271" t="s">
        <v>168</v>
      </c>
      <c r="P325" s="271"/>
      <c r="Q325" s="271">
        <v>-108</v>
      </c>
    </row>
    <row r="326" spans="1:17" ht="15" hidden="1">
      <c r="A326" s="332" t="s">
        <v>1508</v>
      </c>
      <c r="B326" s="271" t="s">
        <v>725</v>
      </c>
      <c r="C326" s="271" t="s">
        <v>724</v>
      </c>
      <c r="D326" s="271" t="s">
        <v>165</v>
      </c>
      <c r="E326" s="271" t="s">
        <v>686</v>
      </c>
      <c r="F326" s="271" t="s">
        <v>726</v>
      </c>
      <c r="G326" s="272" t="s">
        <v>1504</v>
      </c>
      <c r="H326" s="272" t="s">
        <v>1504</v>
      </c>
      <c r="I326" s="272" t="s">
        <v>1499</v>
      </c>
      <c r="J326" s="272" t="s">
        <v>1499</v>
      </c>
      <c r="K326" s="271" t="s">
        <v>232</v>
      </c>
      <c r="L326" s="273">
        <v>990</v>
      </c>
      <c r="M326" s="271" t="s">
        <v>1088</v>
      </c>
      <c r="N326" s="271" t="s">
        <v>1089</v>
      </c>
      <c r="O326" s="271" t="s">
        <v>168</v>
      </c>
      <c r="P326" s="271"/>
      <c r="Q326" s="271">
        <v>-35</v>
      </c>
    </row>
    <row r="327" spans="1:17" ht="15">
      <c r="A327" s="332" t="s">
        <v>1509</v>
      </c>
      <c r="B327" s="271" t="s">
        <v>725</v>
      </c>
      <c r="C327" s="271" t="s">
        <v>724</v>
      </c>
      <c r="D327" s="271" t="s">
        <v>165</v>
      </c>
      <c r="E327" s="271" t="s">
        <v>686</v>
      </c>
      <c r="F327" s="271" t="s">
        <v>726</v>
      </c>
      <c r="G327" s="272" t="s">
        <v>1504</v>
      </c>
      <c r="H327" s="272" t="s">
        <v>1504</v>
      </c>
      <c r="I327" s="272" t="s">
        <v>1499</v>
      </c>
      <c r="J327" s="272" t="s">
        <v>1499</v>
      </c>
      <c r="K327" s="271" t="s">
        <v>232</v>
      </c>
      <c r="L327" s="273">
        <v>990</v>
      </c>
      <c r="M327" s="271" t="s">
        <v>1090</v>
      </c>
      <c r="N327" s="271" t="s">
        <v>168</v>
      </c>
      <c r="O327" s="271" t="s">
        <v>1091</v>
      </c>
      <c r="P327" s="271"/>
      <c r="Q327" s="271">
        <v>-29</v>
      </c>
    </row>
    <row r="328" spans="1:17" ht="15" hidden="1">
      <c r="A328" s="332" t="s">
        <v>1510</v>
      </c>
      <c r="B328" s="271" t="s">
        <v>725</v>
      </c>
      <c r="C328" s="271" t="s">
        <v>1511</v>
      </c>
      <c r="D328" s="271" t="s">
        <v>137</v>
      </c>
      <c r="E328" s="271"/>
      <c r="F328" s="271" t="s">
        <v>726</v>
      </c>
      <c r="G328" s="272" t="s">
        <v>1504</v>
      </c>
      <c r="H328" s="272" t="s">
        <v>1504</v>
      </c>
      <c r="I328" s="272" t="s">
        <v>1499</v>
      </c>
      <c r="J328" s="272" t="s">
        <v>1499</v>
      </c>
      <c r="K328" s="271" t="s">
        <v>232</v>
      </c>
      <c r="L328" s="273">
        <v>3000</v>
      </c>
      <c r="M328" s="271" t="s">
        <v>1088</v>
      </c>
      <c r="N328" s="271" t="s">
        <v>1089</v>
      </c>
      <c r="O328" s="271" t="s">
        <v>168</v>
      </c>
      <c r="P328" s="271"/>
      <c r="Q328" s="271">
        <v>-108</v>
      </c>
    </row>
    <row r="329" spans="1:17" ht="15" hidden="1">
      <c r="A329" s="332" t="s">
        <v>1512</v>
      </c>
      <c r="B329" s="271" t="s">
        <v>722</v>
      </c>
      <c r="C329" s="271" t="s">
        <v>721</v>
      </c>
      <c r="D329" s="271" t="s">
        <v>165</v>
      </c>
      <c r="E329" s="271" t="s">
        <v>694</v>
      </c>
      <c r="F329" s="271" t="s">
        <v>723</v>
      </c>
      <c r="G329" s="272" t="s">
        <v>1504</v>
      </c>
      <c r="H329" s="272" t="s">
        <v>1504</v>
      </c>
      <c r="I329" s="272" t="s">
        <v>1513</v>
      </c>
      <c r="J329" s="272" t="s">
        <v>1513</v>
      </c>
      <c r="K329" s="271" t="s">
        <v>232</v>
      </c>
      <c r="L329" s="273">
        <v>20300</v>
      </c>
      <c r="M329" s="271" t="s">
        <v>1088</v>
      </c>
      <c r="N329" s="271" t="s">
        <v>1089</v>
      </c>
      <c r="O329" s="271" t="s">
        <v>168</v>
      </c>
      <c r="P329" s="271"/>
      <c r="Q329" s="271">
        <v>-736</v>
      </c>
    </row>
    <row r="330" spans="1:17" ht="15">
      <c r="A330" s="332" t="s">
        <v>1514</v>
      </c>
      <c r="B330" s="271" t="s">
        <v>722</v>
      </c>
      <c r="C330" s="271" t="s">
        <v>721</v>
      </c>
      <c r="D330" s="271" t="s">
        <v>165</v>
      </c>
      <c r="E330" s="271" t="s">
        <v>694</v>
      </c>
      <c r="F330" s="271" t="s">
        <v>723</v>
      </c>
      <c r="G330" s="272" t="s">
        <v>1504</v>
      </c>
      <c r="H330" s="272" t="s">
        <v>1504</v>
      </c>
      <c r="I330" s="272" t="s">
        <v>1513</v>
      </c>
      <c r="J330" s="272" t="s">
        <v>1513</v>
      </c>
      <c r="K330" s="271" t="s">
        <v>232</v>
      </c>
      <c r="L330" s="273">
        <v>20300</v>
      </c>
      <c r="M330" s="271" t="s">
        <v>1090</v>
      </c>
      <c r="N330" s="271" t="s">
        <v>168</v>
      </c>
      <c r="O330" s="271" t="s">
        <v>1097</v>
      </c>
      <c r="P330" s="271"/>
      <c r="Q330" s="271">
        <v>-203</v>
      </c>
    </row>
    <row r="331" spans="1:17" ht="15" hidden="1">
      <c r="A331" s="332" t="s">
        <v>1515</v>
      </c>
      <c r="B331" s="271" t="s">
        <v>722</v>
      </c>
      <c r="C331" s="271" t="s">
        <v>1516</v>
      </c>
      <c r="D331" s="271" t="s">
        <v>137</v>
      </c>
      <c r="E331" s="271"/>
      <c r="F331" s="271" t="s">
        <v>723</v>
      </c>
      <c r="G331" s="272" t="s">
        <v>1504</v>
      </c>
      <c r="H331" s="272" t="s">
        <v>1504</v>
      </c>
      <c r="I331" s="272" t="s">
        <v>1513</v>
      </c>
      <c r="J331" s="272" t="s">
        <v>1513</v>
      </c>
      <c r="K331" s="271" t="s">
        <v>232</v>
      </c>
      <c r="L331" s="273">
        <v>3000</v>
      </c>
      <c r="M331" s="271" t="s">
        <v>1088</v>
      </c>
      <c r="N331" s="271" t="s">
        <v>1089</v>
      </c>
      <c r="O331" s="271" t="s">
        <v>168</v>
      </c>
      <c r="P331" s="271"/>
      <c r="Q331" s="271">
        <v>-108</v>
      </c>
    </row>
    <row r="332" spans="1:17" ht="15" hidden="1">
      <c r="A332" s="332" t="s">
        <v>1517</v>
      </c>
      <c r="B332" s="271" t="s">
        <v>719</v>
      </c>
      <c r="C332" s="271" t="s">
        <v>718</v>
      </c>
      <c r="D332" s="271" t="s">
        <v>165</v>
      </c>
      <c r="E332" s="271" t="s">
        <v>686</v>
      </c>
      <c r="F332" s="271" t="s">
        <v>720</v>
      </c>
      <c r="G332" s="272" t="s">
        <v>1504</v>
      </c>
      <c r="H332" s="272" t="s">
        <v>1504</v>
      </c>
      <c r="I332" s="272" t="s">
        <v>1513</v>
      </c>
      <c r="J332" s="272" t="s">
        <v>1513</v>
      </c>
      <c r="K332" s="271" t="s">
        <v>232</v>
      </c>
      <c r="L332" s="273">
        <v>990</v>
      </c>
      <c r="M332" s="271" t="s">
        <v>1088</v>
      </c>
      <c r="N332" s="271" t="s">
        <v>695</v>
      </c>
      <c r="O332" s="271" t="s">
        <v>168</v>
      </c>
      <c r="P332" s="271"/>
      <c r="Q332" s="271">
        <v>-35</v>
      </c>
    </row>
    <row r="333" spans="1:17" ht="15">
      <c r="A333" s="332" t="s">
        <v>1518</v>
      </c>
      <c r="B333" s="271" t="s">
        <v>719</v>
      </c>
      <c r="C333" s="271" t="s">
        <v>718</v>
      </c>
      <c r="D333" s="271" t="s">
        <v>165</v>
      </c>
      <c r="E333" s="271" t="s">
        <v>686</v>
      </c>
      <c r="F333" s="271" t="s">
        <v>720</v>
      </c>
      <c r="G333" s="272" t="s">
        <v>1504</v>
      </c>
      <c r="H333" s="272" t="s">
        <v>1504</v>
      </c>
      <c r="I333" s="272" t="s">
        <v>1513</v>
      </c>
      <c r="J333" s="272" t="s">
        <v>1513</v>
      </c>
      <c r="K333" s="271" t="s">
        <v>232</v>
      </c>
      <c r="L333" s="273">
        <v>990</v>
      </c>
      <c r="M333" s="271" t="s">
        <v>1090</v>
      </c>
      <c r="N333" s="271" t="s">
        <v>168</v>
      </c>
      <c r="O333" s="271" t="s">
        <v>1091</v>
      </c>
      <c r="P333" s="271"/>
      <c r="Q333" s="271">
        <v>-29</v>
      </c>
    </row>
    <row r="334" spans="1:17" ht="15" hidden="1">
      <c r="A334" s="332" t="s">
        <v>1519</v>
      </c>
      <c r="B334" s="271" t="s">
        <v>719</v>
      </c>
      <c r="C334" s="271" t="s">
        <v>1520</v>
      </c>
      <c r="D334" s="271" t="s">
        <v>137</v>
      </c>
      <c r="E334" s="271"/>
      <c r="F334" s="271" t="s">
        <v>720</v>
      </c>
      <c r="G334" s="272" t="s">
        <v>1504</v>
      </c>
      <c r="H334" s="272" t="s">
        <v>1504</v>
      </c>
      <c r="I334" s="272" t="s">
        <v>1513</v>
      </c>
      <c r="J334" s="272" t="s">
        <v>1513</v>
      </c>
      <c r="K334" s="271" t="s">
        <v>232</v>
      </c>
      <c r="L334" s="273">
        <v>3000</v>
      </c>
      <c r="M334" s="271" t="s">
        <v>1088</v>
      </c>
      <c r="N334" s="271" t="s">
        <v>695</v>
      </c>
      <c r="O334" s="271" t="s">
        <v>168</v>
      </c>
      <c r="P334" s="271"/>
      <c r="Q334" s="271">
        <v>-108</v>
      </c>
    </row>
    <row r="335" spans="1:17" ht="15" hidden="1">
      <c r="A335" s="332" t="s">
        <v>1521</v>
      </c>
      <c r="B335" s="271" t="s">
        <v>716</v>
      </c>
      <c r="C335" s="271" t="s">
        <v>715</v>
      </c>
      <c r="D335" s="271" t="s">
        <v>165</v>
      </c>
      <c r="E335" s="271" t="s">
        <v>686</v>
      </c>
      <c r="F335" s="271" t="s">
        <v>717</v>
      </c>
      <c r="G335" s="272" t="s">
        <v>1504</v>
      </c>
      <c r="H335" s="272" t="s">
        <v>1504</v>
      </c>
      <c r="I335" s="272" t="s">
        <v>1513</v>
      </c>
      <c r="J335" s="272" t="s">
        <v>1513</v>
      </c>
      <c r="K335" s="271" t="s">
        <v>232</v>
      </c>
      <c r="L335" s="273">
        <v>906</v>
      </c>
      <c r="M335" s="271" t="s">
        <v>1088</v>
      </c>
      <c r="N335" s="271" t="s">
        <v>695</v>
      </c>
      <c r="O335" s="271" t="s">
        <v>168</v>
      </c>
      <c r="P335" s="271"/>
      <c r="Q335" s="271">
        <v>-32</v>
      </c>
    </row>
    <row r="336" spans="1:17" ht="15" hidden="1">
      <c r="A336" s="332" t="s">
        <v>1522</v>
      </c>
      <c r="B336" s="271" t="s">
        <v>716</v>
      </c>
      <c r="C336" s="271" t="s">
        <v>715</v>
      </c>
      <c r="D336" s="271" t="s">
        <v>165</v>
      </c>
      <c r="E336" s="271" t="s">
        <v>686</v>
      </c>
      <c r="F336" s="271" t="s">
        <v>717</v>
      </c>
      <c r="G336" s="272" t="s">
        <v>1504</v>
      </c>
      <c r="H336" s="272" t="s">
        <v>1504</v>
      </c>
      <c r="I336" s="272" t="s">
        <v>1513</v>
      </c>
      <c r="J336" s="272" t="s">
        <v>1513</v>
      </c>
      <c r="K336" s="271" t="s">
        <v>232</v>
      </c>
      <c r="L336" s="273">
        <v>84</v>
      </c>
      <c r="M336" s="271" t="s">
        <v>1088</v>
      </c>
      <c r="N336" s="271" t="s">
        <v>1089</v>
      </c>
      <c r="O336" s="271" t="s">
        <v>168</v>
      </c>
      <c r="P336" s="271"/>
      <c r="Q336" s="271">
        <v>-3</v>
      </c>
    </row>
    <row r="337" spans="1:17" ht="15">
      <c r="A337" s="332" t="s">
        <v>1523</v>
      </c>
      <c r="B337" s="271" t="s">
        <v>716</v>
      </c>
      <c r="C337" s="271" t="s">
        <v>715</v>
      </c>
      <c r="D337" s="271" t="s">
        <v>165</v>
      </c>
      <c r="E337" s="271" t="s">
        <v>686</v>
      </c>
      <c r="F337" s="271" t="s">
        <v>717</v>
      </c>
      <c r="G337" s="272" t="s">
        <v>1504</v>
      </c>
      <c r="H337" s="272" t="s">
        <v>1504</v>
      </c>
      <c r="I337" s="272" t="s">
        <v>1513</v>
      </c>
      <c r="J337" s="272" t="s">
        <v>1513</v>
      </c>
      <c r="K337" s="271" t="s">
        <v>232</v>
      </c>
      <c r="L337" s="273">
        <v>990</v>
      </c>
      <c r="M337" s="271" t="s">
        <v>1090</v>
      </c>
      <c r="N337" s="271" t="s">
        <v>168</v>
      </c>
      <c r="O337" s="271" t="s">
        <v>1091</v>
      </c>
      <c r="P337" s="271"/>
      <c r="Q337" s="271">
        <v>-29</v>
      </c>
    </row>
    <row r="338" spans="1:17" ht="15" hidden="1">
      <c r="A338" s="332" t="s">
        <v>1524</v>
      </c>
      <c r="B338" s="271" t="s">
        <v>716</v>
      </c>
      <c r="C338" s="271" t="s">
        <v>1525</v>
      </c>
      <c r="D338" s="271" t="s">
        <v>137</v>
      </c>
      <c r="E338" s="271"/>
      <c r="F338" s="271" t="s">
        <v>717</v>
      </c>
      <c r="G338" s="272" t="s">
        <v>1504</v>
      </c>
      <c r="H338" s="272" t="s">
        <v>1504</v>
      </c>
      <c r="I338" s="272" t="s">
        <v>1513</v>
      </c>
      <c r="J338" s="272" t="s">
        <v>1513</v>
      </c>
      <c r="K338" s="271" t="s">
        <v>232</v>
      </c>
      <c r="L338" s="273">
        <v>2746</v>
      </c>
      <c r="M338" s="271" t="s">
        <v>1088</v>
      </c>
      <c r="N338" s="271" t="s">
        <v>695</v>
      </c>
      <c r="O338" s="271" t="s">
        <v>168</v>
      </c>
      <c r="P338" s="271"/>
      <c r="Q338" s="271">
        <v>-99</v>
      </c>
    </row>
    <row r="339" spans="1:17" ht="15" hidden="1">
      <c r="A339" s="332" t="s">
        <v>1526</v>
      </c>
      <c r="B339" s="271" t="s">
        <v>716</v>
      </c>
      <c r="C339" s="271" t="s">
        <v>1525</v>
      </c>
      <c r="D339" s="271" t="s">
        <v>137</v>
      </c>
      <c r="E339" s="271"/>
      <c r="F339" s="271" t="s">
        <v>717</v>
      </c>
      <c r="G339" s="272" t="s">
        <v>1504</v>
      </c>
      <c r="H339" s="272" t="s">
        <v>1504</v>
      </c>
      <c r="I339" s="272" t="s">
        <v>1513</v>
      </c>
      <c r="J339" s="272" t="s">
        <v>1513</v>
      </c>
      <c r="K339" s="271" t="s">
        <v>232</v>
      </c>
      <c r="L339" s="273">
        <v>254</v>
      </c>
      <c r="M339" s="271" t="s">
        <v>1088</v>
      </c>
      <c r="N339" s="271" t="s">
        <v>1089</v>
      </c>
      <c r="O339" s="271" t="s">
        <v>168</v>
      </c>
      <c r="P339" s="271"/>
      <c r="Q339" s="271">
        <v>-9</v>
      </c>
    </row>
    <row r="340" spans="1:17" ht="15" hidden="1">
      <c r="A340" s="332" t="s">
        <v>1527</v>
      </c>
      <c r="B340" s="271" t="s">
        <v>710</v>
      </c>
      <c r="C340" s="271" t="s">
        <v>709</v>
      </c>
      <c r="D340" s="271" t="s">
        <v>165</v>
      </c>
      <c r="E340" s="271" t="s">
        <v>686</v>
      </c>
      <c r="F340" s="271" t="s">
        <v>711</v>
      </c>
      <c r="G340" s="272" t="s">
        <v>1504</v>
      </c>
      <c r="H340" s="272" t="s">
        <v>1504</v>
      </c>
      <c r="I340" s="272" t="s">
        <v>1513</v>
      </c>
      <c r="J340" s="272" t="s">
        <v>1513</v>
      </c>
      <c r="K340" s="271" t="s">
        <v>232</v>
      </c>
      <c r="L340" s="273">
        <v>990</v>
      </c>
      <c r="M340" s="271" t="s">
        <v>1088</v>
      </c>
      <c r="N340" s="271" t="s">
        <v>1089</v>
      </c>
      <c r="O340" s="271" t="s">
        <v>168</v>
      </c>
      <c r="P340" s="271"/>
      <c r="Q340" s="271">
        <v>-35</v>
      </c>
    </row>
    <row r="341" spans="1:17" ht="15">
      <c r="A341" s="332" t="s">
        <v>1528</v>
      </c>
      <c r="B341" s="271" t="s">
        <v>710</v>
      </c>
      <c r="C341" s="271" t="s">
        <v>709</v>
      </c>
      <c r="D341" s="271" t="s">
        <v>165</v>
      </c>
      <c r="E341" s="271" t="s">
        <v>686</v>
      </c>
      <c r="F341" s="271" t="s">
        <v>711</v>
      </c>
      <c r="G341" s="272" t="s">
        <v>1504</v>
      </c>
      <c r="H341" s="272" t="s">
        <v>1504</v>
      </c>
      <c r="I341" s="272" t="s">
        <v>1513</v>
      </c>
      <c r="J341" s="272" t="s">
        <v>1513</v>
      </c>
      <c r="K341" s="271" t="s">
        <v>232</v>
      </c>
      <c r="L341" s="273">
        <v>990</v>
      </c>
      <c r="M341" s="271" t="s">
        <v>1090</v>
      </c>
      <c r="N341" s="271" t="s">
        <v>168</v>
      </c>
      <c r="O341" s="271" t="s">
        <v>1091</v>
      </c>
      <c r="P341" s="271"/>
      <c r="Q341" s="271">
        <v>-29</v>
      </c>
    </row>
    <row r="342" spans="1:17" ht="15" hidden="1">
      <c r="A342" s="332" t="s">
        <v>1529</v>
      </c>
      <c r="B342" s="271" t="s">
        <v>710</v>
      </c>
      <c r="C342" s="271" t="s">
        <v>1530</v>
      </c>
      <c r="D342" s="271" t="s">
        <v>137</v>
      </c>
      <c r="E342" s="271"/>
      <c r="F342" s="271" t="s">
        <v>711</v>
      </c>
      <c r="G342" s="272" t="s">
        <v>1504</v>
      </c>
      <c r="H342" s="272" t="s">
        <v>1504</v>
      </c>
      <c r="I342" s="272" t="s">
        <v>1513</v>
      </c>
      <c r="J342" s="272" t="s">
        <v>1513</v>
      </c>
      <c r="K342" s="271" t="s">
        <v>232</v>
      </c>
      <c r="L342" s="273">
        <v>3000</v>
      </c>
      <c r="M342" s="271" t="s">
        <v>1088</v>
      </c>
      <c r="N342" s="271" t="s">
        <v>1089</v>
      </c>
      <c r="O342" s="271" t="s">
        <v>168</v>
      </c>
      <c r="P342" s="271"/>
      <c r="Q342" s="271">
        <v>-108</v>
      </c>
    </row>
    <row r="343" spans="1:17" ht="15" hidden="1">
      <c r="A343" s="332" t="s">
        <v>1531</v>
      </c>
      <c r="B343" s="271" t="s">
        <v>707</v>
      </c>
      <c r="C343" s="271" t="s">
        <v>706</v>
      </c>
      <c r="D343" s="271" t="s">
        <v>165</v>
      </c>
      <c r="E343" s="271" t="s">
        <v>686</v>
      </c>
      <c r="F343" s="271" t="s">
        <v>708</v>
      </c>
      <c r="G343" s="272" t="s">
        <v>1504</v>
      </c>
      <c r="H343" s="272" t="s">
        <v>1504</v>
      </c>
      <c r="I343" s="272" t="s">
        <v>1513</v>
      </c>
      <c r="J343" s="272" t="s">
        <v>1513</v>
      </c>
      <c r="K343" s="271" t="s">
        <v>232</v>
      </c>
      <c r="L343" s="273">
        <v>990</v>
      </c>
      <c r="M343" s="271" t="s">
        <v>1088</v>
      </c>
      <c r="N343" s="271" t="s">
        <v>695</v>
      </c>
      <c r="O343" s="271" t="s">
        <v>168</v>
      </c>
      <c r="P343" s="271"/>
      <c r="Q343" s="271">
        <v>-35</v>
      </c>
    </row>
    <row r="344" spans="1:17" ht="15">
      <c r="A344" s="332" t="s">
        <v>1532</v>
      </c>
      <c r="B344" s="271" t="s">
        <v>707</v>
      </c>
      <c r="C344" s="271" t="s">
        <v>706</v>
      </c>
      <c r="D344" s="271" t="s">
        <v>165</v>
      </c>
      <c r="E344" s="271" t="s">
        <v>686</v>
      </c>
      <c r="F344" s="271" t="s">
        <v>708</v>
      </c>
      <c r="G344" s="272" t="s">
        <v>1504</v>
      </c>
      <c r="H344" s="272" t="s">
        <v>1504</v>
      </c>
      <c r="I344" s="272" t="s">
        <v>1513</v>
      </c>
      <c r="J344" s="272" t="s">
        <v>1513</v>
      </c>
      <c r="K344" s="271" t="s">
        <v>232</v>
      </c>
      <c r="L344" s="273">
        <v>990</v>
      </c>
      <c r="M344" s="271" t="s">
        <v>1090</v>
      </c>
      <c r="N344" s="271" t="s">
        <v>168</v>
      </c>
      <c r="O344" s="271" t="s">
        <v>1091</v>
      </c>
      <c r="P344" s="271"/>
      <c r="Q344" s="271">
        <v>-29</v>
      </c>
    </row>
    <row r="345" spans="1:17" ht="15" hidden="1">
      <c r="A345" s="332" t="s">
        <v>1533</v>
      </c>
      <c r="B345" s="271" t="s">
        <v>707</v>
      </c>
      <c r="C345" s="271" t="s">
        <v>1534</v>
      </c>
      <c r="D345" s="271" t="s">
        <v>137</v>
      </c>
      <c r="E345" s="271"/>
      <c r="F345" s="271" t="s">
        <v>708</v>
      </c>
      <c r="G345" s="272" t="s">
        <v>1504</v>
      </c>
      <c r="H345" s="272" t="s">
        <v>1504</v>
      </c>
      <c r="I345" s="272" t="s">
        <v>1513</v>
      </c>
      <c r="J345" s="272" t="s">
        <v>1513</v>
      </c>
      <c r="K345" s="271" t="s">
        <v>232</v>
      </c>
      <c r="L345" s="273">
        <v>3000</v>
      </c>
      <c r="M345" s="271" t="s">
        <v>1088</v>
      </c>
      <c r="N345" s="271" t="s">
        <v>695</v>
      </c>
      <c r="O345" s="271" t="s">
        <v>168</v>
      </c>
      <c r="P345" s="271"/>
      <c r="Q345" s="271">
        <v>-108</v>
      </c>
    </row>
    <row r="346" spans="1:17" ht="15" hidden="1">
      <c r="A346" s="332" t="s">
        <v>1535</v>
      </c>
      <c r="B346" s="271" t="s">
        <v>703</v>
      </c>
      <c r="C346" s="271" t="s">
        <v>705</v>
      </c>
      <c r="D346" s="271" t="s">
        <v>165</v>
      </c>
      <c r="E346" s="271" t="s">
        <v>701</v>
      </c>
      <c r="F346" s="271" t="s">
        <v>138</v>
      </c>
      <c r="G346" s="272" t="s">
        <v>1504</v>
      </c>
      <c r="H346" s="272" t="s">
        <v>1504</v>
      </c>
      <c r="I346" s="272" t="s">
        <v>1513</v>
      </c>
      <c r="J346" s="272" t="s">
        <v>1513</v>
      </c>
      <c r="K346" s="271" t="s">
        <v>232</v>
      </c>
      <c r="L346" s="273">
        <v>6800</v>
      </c>
      <c r="M346" s="271" t="s">
        <v>1088</v>
      </c>
      <c r="N346" s="271" t="s">
        <v>695</v>
      </c>
      <c r="O346" s="271" t="s">
        <v>168</v>
      </c>
      <c r="P346" s="271"/>
      <c r="Q346" s="271">
        <v>-246</v>
      </c>
    </row>
    <row r="347" spans="1:17" ht="15">
      <c r="A347" s="332" t="s">
        <v>1536</v>
      </c>
      <c r="B347" s="271" t="s">
        <v>703</v>
      </c>
      <c r="C347" s="271" t="s">
        <v>705</v>
      </c>
      <c r="D347" s="271" t="s">
        <v>165</v>
      </c>
      <c r="E347" s="271" t="s">
        <v>701</v>
      </c>
      <c r="F347" s="271" t="s">
        <v>138</v>
      </c>
      <c r="G347" s="272" t="s">
        <v>1504</v>
      </c>
      <c r="H347" s="272" t="s">
        <v>1504</v>
      </c>
      <c r="I347" s="272" t="s">
        <v>1513</v>
      </c>
      <c r="J347" s="272" t="s">
        <v>1513</v>
      </c>
      <c r="K347" s="271" t="s">
        <v>232</v>
      </c>
      <c r="L347" s="273">
        <v>6800</v>
      </c>
      <c r="M347" s="271" t="s">
        <v>1090</v>
      </c>
      <c r="N347" s="271" t="s">
        <v>168</v>
      </c>
      <c r="O347" s="271" t="s">
        <v>1091</v>
      </c>
      <c r="P347" s="271"/>
      <c r="Q347" s="271">
        <v>-204</v>
      </c>
    </row>
    <row r="348" spans="1:17" ht="15" hidden="1">
      <c r="A348" s="332" t="s">
        <v>1537</v>
      </c>
      <c r="B348" s="271" t="s">
        <v>703</v>
      </c>
      <c r="C348" s="271" t="s">
        <v>702</v>
      </c>
      <c r="D348" s="271" t="s">
        <v>165</v>
      </c>
      <c r="E348" s="271" t="s">
        <v>704</v>
      </c>
      <c r="F348" s="271" t="s">
        <v>138</v>
      </c>
      <c r="G348" s="272" t="s">
        <v>1504</v>
      </c>
      <c r="H348" s="272" t="s">
        <v>1504</v>
      </c>
      <c r="I348" s="272" t="s">
        <v>1513</v>
      </c>
      <c r="J348" s="272" t="s">
        <v>1513</v>
      </c>
      <c r="K348" s="271" t="s">
        <v>232</v>
      </c>
      <c r="L348" s="273">
        <v>6800</v>
      </c>
      <c r="M348" s="271" t="s">
        <v>1088</v>
      </c>
      <c r="N348" s="271" t="s">
        <v>695</v>
      </c>
      <c r="O348" s="271" t="s">
        <v>168</v>
      </c>
      <c r="P348" s="271"/>
      <c r="Q348" s="271">
        <v>-246</v>
      </c>
    </row>
    <row r="349" spans="1:17" ht="15">
      <c r="A349" s="332" t="s">
        <v>1538</v>
      </c>
      <c r="B349" s="271" t="s">
        <v>703</v>
      </c>
      <c r="C349" s="271" t="s">
        <v>702</v>
      </c>
      <c r="D349" s="271" t="s">
        <v>165</v>
      </c>
      <c r="E349" s="271" t="s">
        <v>704</v>
      </c>
      <c r="F349" s="271" t="s">
        <v>138</v>
      </c>
      <c r="G349" s="272" t="s">
        <v>1504</v>
      </c>
      <c r="H349" s="272" t="s">
        <v>1504</v>
      </c>
      <c r="I349" s="272" t="s">
        <v>1513</v>
      </c>
      <c r="J349" s="272" t="s">
        <v>1513</v>
      </c>
      <c r="K349" s="271" t="s">
        <v>232</v>
      </c>
      <c r="L349" s="273">
        <v>6800</v>
      </c>
      <c r="M349" s="271" t="s">
        <v>1090</v>
      </c>
      <c r="N349" s="271" t="s">
        <v>168</v>
      </c>
      <c r="O349" s="271" t="s">
        <v>1091</v>
      </c>
      <c r="P349" s="271"/>
      <c r="Q349" s="271">
        <v>-204</v>
      </c>
    </row>
    <row r="350" spans="1:17" ht="15" hidden="1">
      <c r="A350" s="332" t="s">
        <v>1539</v>
      </c>
      <c r="B350" s="271" t="s">
        <v>703</v>
      </c>
      <c r="C350" s="271" t="s">
        <v>1540</v>
      </c>
      <c r="D350" s="271" t="s">
        <v>137</v>
      </c>
      <c r="E350" s="271"/>
      <c r="F350" s="271" t="s">
        <v>138</v>
      </c>
      <c r="G350" s="272" t="s">
        <v>1504</v>
      </c>
      <c r="H350" s="272" t="s">
        <v>1504</v>
      </c>
      <c r="I350" s="272" t="s">
        <v>1513</v>
      </c>
      <c r="J350" s="272" t="s">
        <v>1513</v>
      </c>
      <c r="K350" s="271" t="s">
        <v>232</v>
      </c>
      <c r="L350" s="273">
        <v>3000</v>
      </c>
      <c r="M350" s="271" t="s">
        <v>1088</v>
      </c>
      <c r="N350" s="271" t="s">
        <v>695</v>
      </c>
      <c r="O350" s="271" t="s">
        <v>168</v>
      </c>
      <c r="P350" s="271"/>
      <c r="Q350" s="271">
        <v>-108</v>
      </c>
    </row>
    <row r="351" spans="1:17" ht="15" hidden="1">
      <c r="A351" s="332" t="s">
        <v>1541</v>
      </c>
      <c r="B351" s="271" t="s">
        <v>713</v>
      </c>
      <c r="C351" s="271" t="s">
        <v>712</v>
      </c>
      <c r="D351" s="271" t="s">
        <v>165</v>
      </c>
      <c r="E351" s="271" t="s">
        <v>694</v>
      </c>
      <c r="F351" s="271" t="s">
        <v>714</v>
      </c>
      <c r="G351" s="272" t="s">
        <v>1504</v>
      </c>
      <c r="H351" s="272" t="s">
        <v>1504</v>
      </c>
      <c r="I351" s="272" t="s">
        <v>1513</v>
      </c>
      <c r="J351" s="272" t="s">
        <v>1513</v>
      </c>
      <c r="K351" s="271" t="s">
        <v>232</v>
      </c>
      <c r="L351" s="273">
        <v>20200</v>
      </c>
      <c r="M351" s="271" t="s">
        <v>1088</v>
      </c>
      <c r="N351" s="271" t="s">
        <v>695</v>
      </c>
      <c r="O351" s="271" t="s">
        <v>168</v>
      </c>
      <c r="P351" s="271"/>
      <c r="Q351" s="271">
        <v>-733</v>
      </c>
    </row>
    <row r="352" spans="1:17" ht="15">
      <c r="A352" s="332" t="s">
        <v>1542</v>
      </c>
      <c r="B352" s="271" t="s">
        <v>713</v>
      </c>
      <c r="C352" s="271" t="s">
        <v>712</v>
      </c>
      <c r="D352" s="271" t="s">
        <v>165</v>
      </c>
      <c r="E352" s="271" t="s">
        <v>694</v>
      </c>
      <c r="F352" s="271" t="s">
        <v>714</v>
      </c>
      <c r="G352" s="272" t="s">
        <v>1504</v>
      </c>
      <c r="H352" s="272" t="s">
        <v>1504</v>
      </c>
      <c r="I352" s="272" t="s">
        <v>1513</v>
      </c>
      <c r="J352" s="272" t="s">
        <v>1513</v>
      </c>
      <c r="K352" s="271" t="s">
        <v>232</v>
      </c>
      <c r="L352" s="273">
        <v>20200</v>
      </c>
      <c r="M352" s="271" t="s">
        <v>1090</v>
      </c>
      <c r="N352" s="271" t="s">
        <v>168</v>
      </c>
      <c r="O352" s="271" t="s">
        <v>1091</v>
      </c>
      <c r="P352" s="271"/>
      <c r="Q352" s="271">
        <v>-606</v>
      </c>
    </row>
    <row r="353" spans="1:17" ht="15" hidden="1">
      <c r="A353" s="332" t="s">
        <v>1543</v>
      </c>
      <c r="B353" s="271" t="s">
        <v>713</v>
      </c>
      <c r="C353" s="271" t="s">
        <v>1544</v>
      </c>
      <c r="D353" s="271" t="s">
        <v>137</v>
      </c>
      <c r="E353" s="271"/>
      <c r="F353" s="271" t="s">
        <v>714</v>
      </c>
      <c r="G353" s="272" t="s">
        <v>1504</v>
      </c>
      <c r="H353" s="272" t="s">
        <v>1504</v>
      </c>
      <c r="I353" s="272" t="s">
        <v>1513</v>
      </c>
      <c r="J353" s="272" t="s">
        <v>1513</v>
      </c>
      <c r="K353" s="271" t="s">
        <v>232</v>
      </c>
      <c r="L353" s="273">
        <v>3000</v>
      </c>
      <c r="M353" s="271" t="s">
        <v>1088</v>
      </c>
      <c r="N353" s="271" t="s">
        <v>695</v>
      </c>
      <c r="O353" s="271" t="s">
        <v>168</v>
      </c>
      <c r="P353" s="271"/>
      <c r="Q353" s="271">
        <v>-108</v>
      </c>
    </row>
    <row r="354" spans="1:17" ht="15" hidden="1">
      <c r="A354" s="332" t="s">
        <v>1545</v>
      </c>
      <c r="B354" s="271" t="s">
        <v>697</v>
      </c>
      <c r="C354" s="271" t="s">
        <v>700</v>
      </c>
      <c r="D354" s="271" t="s">
        <v>165</v>
      </c>
      <c r="E354" s="271" t="s">
        <v>701</v>
      </c>
      <c r="F354" s="271" t="s">
        <v>698</v>
      </c>
      <c r="G354" s="272" t="s">
        <v>1504</v>
      </c>
      <c r="H354" s="272" t="s">
        <v>1504</v>
      </c>
      <c r="I354" s="272" t="s">
        <v>1546</v>
      </c>
      <c r="J354" s="272" t="s">
        <v>1546</v>
      </c>
      <c r="K354" s="271" t="s">
        <v>232</v>
      </c>
      <c r="L354" s="273">
        <v>6800</v>
      </c>
      <c r="M354" s="271" t="s">
        <v>1088</v>
      </c>
      <c r="N354" s="271" t="s">
        <v>695</v>
      </c>
      <c r="O354" s="271" t="s">
        <v>168</v>
      </c>
      <c r="P354" s="271"/>
      <c r="Q354" s="271">
        <v>-246</v>
      </c>
    </row>
    <row r="355" spans="1:17" ht="15">
      <c r="A355" s="332" t="s">
        <v>1547</v>
      </c>
      <c r="B355" s="271" t="s">
        <v>697</v>
      </c>
      <c r="C355" s="271" t="s">
        <v>700</v>
      </c>
      <c r="D355" s="271" t="s">
        <v>165</v>
      </c>
      <c r="E355" s="271" t="s">
        <v>701</v>
      </c>
      <c r="F355" s="271" t="s">
        <v>698</v>
      </c>
      <c r="G355" s="272" t="s">
        <v>1504</v>
      </c>
      <c r="H355" s="272" t="s">
        <v>1504</v>
      </c>
      <c r="I355" s="272" t="s">
        <v>1546</v>
      </c>
      <c r="J355" s="272" t="s">
        <v>1546</v>
      </c>
      <c r="K355" s="271" t="s">
        <v>232</v>
      </c>
      <c r="L355" s="273">
        <v>6800</v>
      </c>
      <c r="M355" s="271" t="s">
        <v>1090</v>
      </c>
      <c r="N355" s="271" t="s">
        <v>168</v>
      </c>
      <c r="O355" s="271" t="s">
        <v>1091</v>
      </c>
      <c r="P355" s="271"/>
      <c r="Q355" s="271">
        <v>-204</v>
      </c>
    </row>
    <row r="356" spans="1:17" ht="15" hidden="1">
      <c r="A356" s="332" t="s">
        <v>1548</v>
      </c>
      <c r="B356" s="271" t="s">
        <v>697</v>
      </c>
      <c r="C356" s="271" t="s">
        <v>696</v>
      </c>
      <c r="D356" s="271" t="s">
        <v>165</v>
      </c>
      <c r="E356" s="271" t="s">
        <v>699</v>
      </c>
      <c r="F356" s="271" t="s">
        <v>698</v>
      </c>
      <c r="G356" s="272" t="s">
        <v>1504</v>
      </c>
      <c r="H356" s="272" t="s">
        <v>1504</v>
      </c>
      <c r="I356" s="272" t="s">
        <v>1546</v>
      </c>
      <c r="J356" s="272" t="s">
        <v>1546</v>
      </c>
      <c r="K356" s="271" t="s">
        <v>232</v>
      </c>
      <c r="L356" s="273">
        <v>33800</v>
      </c>
      <c r="M356" s="271" t="s">
        <v>1088</v>
      </c>
      <c r="N356" s="271" t="s">
        <v>695</v>
      </c>
      <c r="O356" s="271" t="s">
        <v>168</v>
      </c>
      <c r="P356" s="271"/>
      <c r="Q356" s="271">
        <v>-1226</v>
      </c>
    </row>
    <row r="357" spans="1:17" ht="15">
      <c r="A357" s="332" t="s">
        <v>1549</v>
      </c>
      <c r="B357" s="271" t="s">
        <v>697</v>
      </c>
      <c r="C357" s="271" t="s">
        <v>696</v>
      </c>
      <c r="D357" s="271" t="s">
        <v>165</v>
      </c>
      <c r="E357" s="271" t="s">
        <v>699</v>
      </c>
      <c r="F357" s="271" t="s">
        <v>698</v>
      </c>
      <c r="G357" s="272" t="s">
        <v>1504</v>
      </c>
      <c r="H357" s="272" t="s">
        <v>1504</v>
      </c>
      <c r="I357" s="272" t="s">
        <v>1546</v>
      </c>
      <c r="J357" s="272" t="s">
        <v>1546</v>
      </c>
      <c r="K357" s="271" t="s">
        <v>232</v>
      </c>
      <c r="L357" s="273">
        <v>33800</v>
      </c>
      <c r="M357" s="271" t="s">
        <v>1090</v>
      </c>
      <c r="N357" s="271" t="s">
        <v>168</v>
      </c>
      <c r="O357" s="271" t="s">
        <v>1091</v>
      </c>
      <c r="P357" s="271"/>
      <c r="Q357" s="271">
        <v>-1014</v>
      </c>
    </row>
    <row r="358" spans="1:17" ht="15" hidden="1">
      <c r="A358" s="332" t="s">
        <v>1550</v>
      </c>
      <c r="B358" s="271" t="s">
        <v>692</v>
      </c>
      <c r="C358" s="271" t="s">
        <v>691</v>
      </c>
      <c r="D358" s="271" t="s">
        <v>165</v>
      </c>
      <c r="E358" s="271" t="s">
        <v>694</v>
      </c>
      <c r="F358" s="271" t="s">
        <v>693</v>
      </c>
      <c r="G358" s="272" t="s">
        <v>1504</v>
      </c>
      <c r="H358" s="272" t="s">
        <v>1504</v>
      </c>
      <c r="I358" s="272" t="s">
        <v>1546</v>
      </c>
      <c r="J358" s="272" t="s">
        <v>1546</v>
      </c>
      <c r="K358" s="271" t="s">
        <v>232</v>
      </c>
      <c r="L358" s="273">
        <v>20182</v>
      </c>
      <c r="M358" s="271" t="s">
        <v>1088</v>
      </c>
      <c r="N358" s="271" t="s">
        <v>695</v>
      </c>
      <c r="O358" s="271" t="s">
        <v>168</v>
      </c>
      <c r="P358" s="271"/>
      <c r="Q358" s="271">
        <v>-732</v>
      </c>
    </row>
    <row r="359" spans="1:17" ht="15" hidden="1">
      <c r="A359" s="332" t="s">
        <v>1551</v>
      </c>
      <c r="B359" s="271" t="s">
        <v>692</v>
      </c>
      <c r="C359" s="271" t="s">
        <v>691</v>
      </c>
      <c r="D359" s="271" t="s">
        <v>165</v>
      </c>
      <c r="E359" s="271" t="s">
        <v>694</v>
      </c>
      <c r="F359" s="271" t="s">
        <v>693</v>
      </c>
      <c r="G359" s="272" t="s">
        <v>1504</v>
      </c>
      <c r="H359" s="272" t="s">
        <v>1504</v>
      </c>
      <c r="I359" s="272" t="s">
        <v>1546</v>
      </c>
      <c r="J359" s="272" t="s">
        <v>1546</v>
      </c>
      <c r="K359" s="271" t="s">
        <v>232</v>
      </c>
      <c r="L359" s="273">
        <v>118</v>
      </c>
      <c r="M359" s="271" t="s">
        <v>1088</v>
      </c>
      <c r="N359" s="271" t="s">
        <v>1089</v>
      </c>
      <c r="O359" s="271" t="s">
        <v>168</v>
      </c>
      <c r="P359" s="271"/>
      <c r="Q359" s="271">
        <v>-4</v>
      </c>
    </row>
    <row r="360" spans="1:17" ht="15">
      <c r="A360" s="332" t="s">
        <v>1552</v>
      </c>
      <c r="B360" s="271" t="s">
        <v>692</v>
      </c>
      <c r="C360" s="271" t="s">
        <v>691</v>
      </c>
      <c r="D360" s="271" t="s">
        <v>165</v>
      </c>
      <c r="E360" s="271" t="s">
        <v>694</v>
      </c>
      <c r="F360" s="271" t="s">
        <v>693</v>
      </c>
      <c r="G360" s="272" t="s">
        <v>1504</v>
      </c>
      <c r="H360" s="272" t="s">
        <v>1504</v>
      </c>
      <c r="I360" s="272" t="s">
        <v>1546</v>
      </c>
      <c r="J360" s="272" t="s">
        <v>1546</v>
      </c>
      <c r="K360" s="271" t="s">
        <v>232</v>
      </c>
      <c r="L360" s="273">
        <v>20300</v>
      </c>
      <c r="M360" s="271" t="s">
        <v>1090</v>
      </c>
      <c r="N360" s="271" t="s">
        <v>168</v>
      </c>
      <c r="O360" s="271" t="s">
        <v>1097</v>
      </c>
      <c r="P360" s="271"/>
      <c r="Q360" s="271">
        <v>-203</v>
      </c>
    </row>
    <row r="361" spans="1:17" ht="15" hidden="1">
      <c r="A361" s="332" t="s">
        <v>1553</v>
      </c>
      <c r="B361" s="271" t="s">
        <v>692</v>
      </c>
      <c r="C361" s="271" t="s">
        <v>1554</v>
      </c>
      <c r="D361" s="271" t="s">
        <v>137</v>
      </c>
      <c r="E361" s="271"/>
      <c r="F361" s="271" t="s">
        <v>693</v>
      </c>
      <c r="G361" s="272" t="s">
        <v>1504</v>
      </c>
      <c r="H361" s="272" t="s">
        <v>1504</v>
      </c>
      <c r="I361" s="272" t="s">
        <v>1546</v>
      </c>
      <c r="J361" s="272" t="s">
        <v>1546</v>
      </c>
      <c r="K361" s="271" t="s">
        <v>232</v>
      </c>
      <c r="L361" s="273">
        <v>2982</v>
      </c>
      <c r="M361" s="271" t="s">
        <v>1088</v>
      </c>
      <c r="N361" s="271" t="s">
        <v>695</v>
      </c>
      <c r="O361" s="271" t="s">
        <v>168</v>
      </c>
      <c r="P361" s="271"/>
      <c r="Q361" s="271">
        <v>-108</v>
      </c>
    </row>
    <row r="362" spans="1:17" ht="15" hidden="1">
      <c r="A362" s="332" t="s">
        <v>1555</v>
      </c>
      <c r="B362" s="271" t="s">
        <v>692</v>
      </c>
      <c r="C362" s="271" t="s">
        <v>1554</v>
      </c>
      <c r="D362" s="271" t="s">
        <v>137</v>
      </c>
      <c r="E362" s="271"/>
      <c r="F362" s="271" t="s">
        <v>693</v>
      </c>
      <c r="G362" s="272" t="s">
        <v>1504</v>
      </c>
      <c r="H362" s="272" t="s">
        <v>1504</v>
      </c>
      <c r="I362" s="272" t="s">
        <v>1546</v>
      </c>
      <c r="J362" s="272" t="s">
        <v>1546</v>
      </c>
      <c r="K362" s="271" t="s">
        <v>232</v>
      </c>
      <c r="L362" s="273">
        <v>18</v>
      </c>
      <c r="M362" s="271" t="s">
        <v>1088</v>
      </c>
      <c r="N362" s="271" t="s">
        <v>1089</v>
      </c>
      <c r="O362" s="271" t="s">
        <v>168</v>
      </c>
      <c r="P362" s="271"/>
      <c r="Q362" s="271">
        <v>0</v>
      </c>
    </row>
    <row r="363" spans="1:17" ht="15" hidden="1">
      <c r="A363" s="332" t="s">
        <v>1556</v>
      </c>
      <c r="B363" s="271" t="s">
        <v>682</v>
      </c>
      <c r="C363" s="271" t="s">
        <v>681</v>
      </c>
      <c r="D363" s="271" t="s">
        <v>165</v>
      </c>
      <c r="E363" s="271" t="s">
        <v>686</v>
      </c>
      <c r="F363" s="271" t="s">
        <v>683</v>
      </c>
      <c r="G363" s="272" t="s">
        <v>1504</v>
      </c>
      <c r="H363" s="272" t="s">
        <v>1504</v>
      </c>
      <c r="I363" s="272" t="s">
        <v>1546</v>
      </c>
      <c r="J363" s="272" t="s">
        <v>1546</v>
      </c>
      <c r="K363" s="271" t="s">
        <v>232</v>
      </c>
      <c r="L363" s="273">
        <v>990</v>
      </c>
      <c r="M363" s="271" t="s">
        <v>1088</v>
      </c>
      <c r="N363" s="271" t="s">
        <v>695</v>
      </c>
      <c r="O363" s="271" t="s">
        <v>168</v>
      </c>
      <c r="P363" s="271"/>
      <c r="Q363" s="271">
        <v>-35</v>
      </c>
    </row>
    <row r="364" spans="1:17" ht="15">
      <c r="A364" s="332" t="s">
        <v>1557</v>
      </c>
      <c r="B364" s="271" t="s">
        <v>682</v>
      </c>
      <c r="C364" s="271" t="s">
        <v>681</v>
      </c>
      <c r="D364" s="271" t="s">
        <v>165</v>
      </c>
      <c r="E364" s="271" t="s">
        <v>686</v>
      </c>
      <c r="F364" s="271" t="s">
        <v>683</v>
      </c>
      <c r="G364" s="272" t="s">
        <v>1504</v>
      </c>
      <c r="H364" s="272" t="s">
        <v>1504</v>
      </c>
      <c r="I364" s="272" t="s">
        <v>1546</v>
      </c>
      <c r="J364" s="272" t="s">
        <v>1546</v>
      </c>
      <c r="K364" s="271" t="s">
        <v>232</v>
      </c>
      <c r="L364" s="273">
        <v>990</v>
      </c>
      <c r="M364" s="271" t="s">
        <v>1090</v>
      </c>
      <c r="N364" s="271" t="s">
        <v>168</v>
      </c>
      <c r="O364" s="271" t="s">
        <v>1091</v>
      </c>
      <c r="P364" s="271"/>
      <c r="Q364" s="271">
        <v>-29</v>
      </c>
    </row>
    <row r="365" spans="1:17" ht="15" hidden="1">
      <c r="A365" s="332" t="s">
        <v>1558</v>
      </c>
      <c r="B365" s="271" t="s">
        <v>682</v>
      </c>
      <c r="C365" s="271" t="s">
        <v>1559</v>
      </c>
      <c r="D365" s="271" t="s">
        <v>137</v>
      </c>
      <c r="E365" s="271"/>
      <c r="F365" s="271" t="s">
        <v>683</v>
      </c>
      <c r="G365" s="272" t="s">
        <v>1504</v>
      </c>
      <c r="H365" s="272" t="s">
        <v>1504</v>
      </c>
      <c r="I365" s="272" t="s">
        <v>1546</v>
      </c>
      <c r="J365" s="272" t="s">
        <v>1546</v>
      </c>
      <c r="K365" s="271" t="s">
        <v>232</v>
      </c>
      <c r="L365" s="273">
        <v>3000</v>
      </c>
      <c r="M365" s="271" t="s">
        <v>1088</v>
      </c>
      <c r="N365" s="271" t="s">
        <v>695</v>
      </c>
      <c r="O365" s="271" t="s">
        <v>168</v>
      </c>
      <c r="P365" s="271"/>
      <c r="Q365" s="271">
        <v>-108</v>
      </c>
    </row>
    <row r="366" spans="1:17" ht="15"/>
    <row r="367" spans="1:17" ht="15"/>
    <row r="368" spans="1:17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</sheetData>
  <autoFilter ref="A1:Q365" xr:uid="{00000000-0001-0000-0600-000000000000}">
    <filterColumn colId="3">
      <filters>
        <filter val="상품주문"/>
      </filters>
    </filterColumn>
    <filterColumn colId="12">
      <filters>
        <filter val="판매 수수료"/>
      </filters>
    </filterColumn>
  </autoFilter>
  <phoneticPr fontId="24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880"/>
  <sheetViews>
    <sheetView topLeftCell="B1" workbookViewId="0">
      <selection activeCell="I38" sqref="I38"/>
    </sheetView>
  </sheetViews>
  <sheetFormatPr baseColWidth="10" defaultColWidth="12.6640625" defaultRowHeight="15"/>
  <cols>
    <col min="1" max="1" width="16.33203125" bestFit="1" customWidth="1"/>
    <col min="2" max="3" width="13.5" bestFit="1" customWidth="1"/>
    <col min="4" max="4" width="19.6640625" bestFit="1" customWidth="1"/>
    <col min="5" max="5" width="15.1640625" customWidth="1"/>
    <col min="6" max="6" width="49.1640625" bestFit="1" customWidth="1"/>
    <col min="7" max="7" width="19" bestFit="1" customWidth="1"/>
    <col min="8" max="8" width="15.6640625" bestFit="1" customWidth="1"/>
    <col min="9" max="11" width="7.83203125" customWidth="1"/>
    <col min="12" max="13" width="9.6640625" customWidth="1"/>
    <col min="14" max="14" width="10.5" customWidth="1"/>
    <col min="15" max="15" width="14.1640625" bestFit="1" customWidth="1"/>
    <col min="16" max="16" width="7.83203125" customWidth="1"/>
    <col min="17" max="17" width="9" bestFit="1" customWidth="1"/>
    <col min="18" max="18" width="7.5" bestFit="1" customWidth="1"/>
    <col min="19" max="19" width="9" bestFit="1" customWidth="1"/>
    <col min="20" max="20" width="8.5" customWidth="1"/>
    <col min="21" max="22" width="7.83203125" customWidth="1"/>
    <col min="23" max="23" width="17" bestFit="1" customWidth="1"/>
    <col min="24" max="26" width="7.83203125" customWidth="1"/>
    <col min="27" max="27" width="17" bestFit="1" customWidth="1"/>
    <col min="28" max="34" width="7.83203125" customWidth="1"/>
  </cols>
  <sheetData>
    <row r="1" spans="1:34">
      <c r="A1" s="160" t="s">
        <v>546</v>
      </c>
      <c r="B1" s="160" t="s">
        <v>166</v>
      </c>
      <c r="C1" s="160" t="s">
        <v>547</v>
      </c>
      <c r="D1" s="160" t="s">
        <v>548</v>
      </c>
      <c r="E1" s="160" t="s">
        <v>549</v>
      </c>
      <c r="F1" s="160" t="s">
        <v>134</v>
      </c>
      <c r="G1" s="160" t="s">
        <v>550</v>
      </c>
      <c r="H1" s="160" t="s">
        <v>551</v>
      </c>
      <c r="I1" s="160" t="s">
        <v>552</v>
      </c>
      <c r="J1" s="160" t="s">
        <v>553</v>
      </c>
      <c r="K1" s="160" t="s">
        <v>554</v>
      </c>
      <c r="L1" s="160" t="s">
        <v>136</v>
      </c>
      <c r="M1" s="160" t="s">
        <v>135</v>
      </c>
      <c r="N1" s="160" t="s">
        <v>555</v>
      </c>
      <c r="O1" s="160" t="s">
        <v>556</v>
      </c>
      <c r="P1" s="160" t="s">
        <v>167</v>
      </c>
      <c r="Q1" s="160" t="s">
        <v>129</v>
      </c>
      <c r="R1" s="160" t="s">
        <v>557</v>
      </c>
      <c r="S1" s="160" t="s">
        <v>558</v>
      </c>
      <c r="T1" s="160" t="s">
        <v>559</v>
      </c>
      <c r="U1" s="160" t="s">
        <v>560</v>
      </c>
      <c r="V1" s="160" t="s">
        <v>561</v>
      </c>
      <c r="W1" s="160" t="s">
        <v>562</v>
      </c>
      <c r="X1" s="160" t="s">
        <v>563</v>
      </c>
      <c r="Y1" s="160" t="s">
        <v>564</v>
      </c>
      <c r="Z1" s="160" t="s">
        <v>565</v>
      </c>
      <c r="AA1" s="160" t="s">
        <v>566</v>
      </c>
      <c r="AB1" s="160" t="s">
        <v>567</v>
      </c>
      <c r="AC1" s="160" t="s">
        <v>568</v>
      </c>
      <c r="AD1" s="160" t="s">
        <v>569</v>
      </c>
      <c r="AE1" s="160" t="s">
        <v>570</v>
      </c>
      <c r="AF1" s="160" t="s">
        <v>636</v>
      </c>
      <c r="AG1" s="160" t="s">
        <v>637</v>
      </c>
      <c r="AH1" s="111"/>
    </row>
    <row r="2" spans="1:34">
      <c r="A2" s="160" t="s">
        <v>571</v>
      </c>
      <c r="B2" s="160" t="s">
        <v>572</v>
      </c>
      <c r="C2" s="160" t="s">
        <v>573</v>
      </c>
      <c r="D2" s="160" t="s">
        <v>574</v>
      </c>
      <c r="E2" s="160" t="s">
        <v>575</v>
      </c>
      <c r="F2" s="160" t="s">
        <v>638</v>
      </c>
      <c r="G2" s="160" t="s">
        <v>639</v>
      </c>
      <c r="H2" s="160" t="s">
        <v>576</v>
      </c>
      <c r="I2" s="160" t="s">
        <v>577</v>
      </c>
      <c r="J2" s="160" t="s">
        <v>168</v>
      </c>
      <c r="K2" s="269">
        <v>6800</v>
      </c>
      <c r="L2" s="269">
        <v>6800</v>
      </c>
      <c r="M2" s="269">
        <v>1</v>
      </c>
      <c r="N2" s="269">
        <v>6800</v>
      </c>
      <c r="O2" s="160" t="s">
        <v>168</v>
      </c>
      <c r="P2" s="160" t="s">
        <v>168</v>
      </c>
      <c r="Q2" s="160" t="s">
        <v>640</v>
      </c>
      <c r="R2" s="160" t="s">
        <v>640</v>
      </c>
      <c r="S2" s="160" t="s">
        <v>641</v>
      </c>
      <c r="T2" s="160" t="s">
        <v>168</v>
      </c>
      <c r="U2" s="160" t="s">
        <v>168</v>
      </c>
      <c r="V2" s="160" t="s">
        <v>579</v>
      </c>
      <c r="W2" s="160" t="s">
        <v>168</v>
      </c>
      <c r="X2" s="160" t="s">
        <v>168</v>
      </c>
      <c r="Y2" s="160" t="s">
        <v>168</v>
      </c>
      <c r="Z2" s="160" t="s">
        <v>580</v>
      </c>
      <c r="AA2" s="160" t="s">
        <v>168</v>
      </c>
      <c r="AB2" s="160" t="s">
        <v>168</v>
      </c>
      <c r="AC2" s="160" t="s">
        <v>168</v>
      </c>
      <c r="AD2" s="160" t="s">
        <v>168</v>
      </c>
      <c r="AE2" s="160" t="s">
        <v>168</v>
      </c>
      <c r="AF2" s="160" t="s">
        <v>581</v>
      </c>
      <c r="AG2" s="160" t="s">
        <v>582</v>
      </c>
      <c r="AH2" s="111"/>
    </row>
    <row r="3" spans="1:34">
      <c r="A3" s="160" t="s">
        <v>583</v>
      </c>
      <c r="B3" s="160" t="s">
        <v>584</v>
      </c>
      <c r="C3" s="160" t="s">
        <v>573</v>
      </c>
      <c r="D3" s="160" t="s">
        <v>585</v>
      </c>
      <c r="E3" s="160" t="s">
        <v>575</v>
      </c>
      <c r="F3" s="160" t="s">
        <v>638</v>
      </c>
      <c r="G3" s="160" t="s">
        <v>639</v>
      </c>
      <c r="H3" s="160" t="s">
        <v>576</v>
      </c>
      <c r="I3" s="160" t="s">
        <v>577</v>
      </c>
      <c r="J3" s="160" t="s">
        <v>168</v>
      </c>
      <c r="K3" s="269">
        <v>6800</v>
      </c>
      <c r="L3" s="269">
        <v>6800</v>
      </c>
      <c r="M3" s="269">
        <v>1</v>
      </c>
      <c r="N3" s="269">
        <v>6800</v>
      </c>
      <c r="O3" s="160" t="s">
        <v>168</v>
      </c>
      <c r="P3" s="160" t="s">
        <v>168</v>
      </c>
      <c r="Q3" s="160" t="s">
        <v>642</v>
      </c>
      <c r="R3" s="160" t="s">
        <v>642</v>
      </c>
      <c r="S3" s="160" t="s">
        <v>641</v>
      </c>
      <c r="T3" s="160" t="s">
        <v>168</v>
      </c>
      <c r="U3" s="160" t="s">
        <v>168</v>
      </c>
      <c r="V3" s="160" t="s">
        <v>586</v>
      </c>
      <c r="W3" s="160" t="s">
        <v>168</v>
      </c>
      <c r="X3" s="160" t="s">
        <v>168</v>
      </c>
      <c r="Y3" s="160" t="s">
        <v>168</v>
      </c>
      <c r="Z3" s="160" t="s">
        <v>587</v>
      </c>
      <c r="AA3" s="160" t="s">
        <v>168</v>
      </c>
      <c r="AB3" s="160" t="s">
        <v>168</v>
      </c>
      <c r="AC3" s="160" t="s">
        <v>168</v>
      </c>
      <c r="AD3" s="160" t="s">
        <v>168</v>
      </c>
      <c r="AE3" s="160" t="s">
        <v>168</v>
      </c>
      <c r="AF3" s="160" t="s">
        <v>581</v>
      </c>
      <c r="AG3" s="160" t="s">
        <v>588</v>
      </c>
      <c r="AH3" s="111"/>
    </row>
    <row r="4" spans="1:34">
      <c r="A4" s="160" t="s">
        <v>589</v>
      </c>
      <c r="B4" s="160" t="s">
        <v>590</v>
      </c>
      <c r="C4" s="160" t="s">
        <v>573</v>
      </c>
      <c r="D4" s="160" t="s">
        <v>591</v>
      </c>
      <c r="E4" s="160" t="s">
        <v>575</v>
      </c>
      <c r="F4" s="160" t="s">
        <v>638</v>
      </c>
      <c r="G4" s="160" t="s">
        <v>639</v>
      </c>
      <c r="H4" s="160" t="s">
        <v>576</v>
      </c>
      <c r="I4" s="160" t="s">
        <v>577</v>
      </c>
      <c r="J4" s="160" t="s">
        <v>168</v>
      </c>
      <c r="K4" s="269">
        <v>6800</v>
      </c>
      <c r="L4" s="269">
        <v>6800</v>
      </c>
      <c r="M4" s="269">
        <v>1</v>
      </c>
      <c r="N4" s="269">
        <v>6800</v>
      </c>
      <c r="O4" s="160" t="s">
        <v>168</v>
      </c>
      <c r="P4" s="160" t="s">
        <v>168</v>
      </c>
      <c r="Q4" s="160" t="s">
        <v>643</v>
      </c>
      <c r="R4" s="160" t="s">
        <v>643</v>
      </c>
      <c r="S4" s="160" t="s">
        <v>641</v>
      </c>
      <c r="T4" s="160" t="s">
        <v>168</v>
      </c>
      <c r="U4" s="160" t="s">
        <v>168</v>
      </c>
      <c r="V4" s="160" t="s">
        <v>592</v>
      </c>
      <c r="W4" s="160" t="s">
        <v>168</v>
      </c>
      <c r="X4" s="160" t="s">
        <v>168</v>
      </c>
      <c r="Y4" s="160" t="s">
        <v>168</v>
      </c>
      <c r="Z4" s="160" t="s">
        <v>593</v>
      </c>
      <c r="AA4" s="160" t="s">
        <v>168</v>
      </c>
      <c r="AB4" s="160" t="s">
        <v>168</v>
      </c>
      <c r="AC4" s="160" t="s">
        <v>168</v>
      </c>
      <c r="AD4" s="160" t="s">
        <v>168</v>
      </c>
      <c r="AE4" s="160" t="s">
        <v>168</v>
      </c>
      <c r="AF4" s="160" t="s">
        <v>581</v>
      </c>
      <c r="AG4" s="160" t="s">
        <v>594</v>
      </c>
      <c r="AH4" s="111"/>
    </row>
    <row r="5" spans="1:34">
      <c r="A5" s="160" t="s">
        <v>595</v>
      </c>
      <c r="B5" s="160" t="s">
        <v>596</v>
      </c>
      <c r="C5" s="160" t="s">
        <v>573</v>
      </c>
      <c r="D5" s="160" t="s">
        <v>597</v>
      </c>
      <c r="E5" s="160" t="s">
        <v>575</v>
      </c>
      <c r="F5" s="160" t="s">
        <v>638</v>
      </c>
      <c r="G5" s="160" t="s">
        <v>639</v>
      </c>
      <c r="H5" s="160" t="s">
        <v>576</v>
      </c>
      <c r="I5" s="160" t="s">
        <v>577</v>
      </c>
      <c r="J5" s="160" t="s">
        <v>168</v>
      </c>
      <c r="K5" s="269">
        <v>6800</v>
      </c>
      <c r="L5" s="269">
        <v>6800</v>
      </c>
      <c r="M5" s="269">
        <v>1</v>
      </c>
      <c r="N5" s="269">
        <v>6800</v>
      </c>
      <c r="O5" s="160" t="s">
        <v>168</v>
      </c>
      <c r="P5" s="160" t="s">
        <v>168</v>
      </c>
      <c r="Q5" s="160" t="s">
        <v>644</v>
      </c>
      <c r="R5" s="160" t="s">
        <v>644</v>
      </c>
      <c r="S5" s="160" t="s">
        <v>641</v>
      </c>
      <c r="T5" s="160" t="s">
        <v>168</v>
      </c>
      <c r="U5" s="160" t="s">
        <v>168</v>
      </c>
      <c r="V5" s="160" t="s">
        <v>598</v>
      </c>
      <c r="W5" s="160" t="s">
        <v>168</v>
      </c>
      <c r="X5" s="160" t="s">
        <v>168</v>
      </c>
      <c r="Y5" s="160" t="s">
        <v>168</v>
      </c>
      <c r="Z5" s="160" t="s">
        <v>593</v>
      </c>
      <c r="AA5" s="160" t="s">
        <v>168</v>
      </c>
      <c r="AB5" s="160" t="s">
        <v>168</v>
      </c>
      <c r="AC5" s="160" t="s">
        <v>168</v>
      </c>
      <c r="AD5" s="160" t="s">
        <v>168</v>
      </c>
      <c r="AE5" s="160" t="s">
        <v>168</v>
      </c>
      <c r="AF5" s="160" t="s">
        <v>581</v>
      </c>
      <c r="AG5" s="160" t="s">
        <v>599</v>
      </c>
      <c r="AH5" s="111"/>
    </row>
    <row r="6" spans="1:34">
      <c r="A6" s="160" t="s">
        <v>600</v>
      </c>
      <c r="B6" s="160" t="s">
        <v>601</v>
      </c>
      <c r="C6" s="160" t="s">
        <v>573</v>
      </c>
      <c r="D6" s="160" t="s">
        <v>602</v>
      </c>
      <c r="E6" s="160" t="s">
        <v>575</v>
      </c>
      <c r="F6" s="160" t="s">
        <v>638</v>
      </c>
      <c r="G6" s="160" t="s">
        <v>639</v>
      </c>
      <c r="H6" s="160" t="s">
        <v>576</v>
      </c>
      <c r="I6" s="160" t="s">
        <v>577</v>
      </c>
      <c r="J6" s="160" t="s">
        <v>168</v>
      </c>
      <c r="K6" s="269">
        <v>6800</v>
      </c>
      <c r="L6" s="269">
        <v>6800</v>
      </c>
      <c r="M6" s="269">
        <v>1</v>
      </c>
      <c r="N6" s="269">
        <v>6800</v>
      </c>
      <c r="O6" s="160" t="s">
        <v>168</v>
      </c>
      <c r="P6" s="160" t="s">
        <v>168</v>
      </c>
      <c r="Q6" s="160" t="s">
        <v>645</v>
      </c>
      <c r="R6" s="160" t="s">
        <v>646</v>
      </c>
      <c r="S6" s="160" t="s">
        <v>641</v>
      </c>
      <c r="T6" s="160" t="s">
        <v>168</v>
      </c>
      <c r="U6" s="160" t="s">
        <v>168</v>
      </c>
      <c r="V6" s="160" t="s">
        <v>603</v>
      </c>
      <c r="W6" s="160" t="s">
        <v>168</v>
      </c>
      <c r="X6" s="160" t="s">
        <v>168</v>
      </c>
      <c r="Y6" s="160" t="s">
        <v>168</v>
      </c>
      <c r="Z6" s="160" t="s">
        <v>593</v>
      </c>
      <c r="AA6" s="160" t="s">
        <v>168</v>
      </c>
      <c r="AB6" s="160" t="s">
        <v>168</v>
      </c>
      <c r="AC6" s="160" t="s">
        <v>168</v>
      </c>
      <c r="AD6" s="160" t="s">
        <v>168</v>
      </c>
      <c r="AE6" s="160" t="s">
        <v>168</v>
      </c>
      <c r="AF6" s="160" t="s">
        <v>581</v>
      </c>
      <c r="AG6" s="160" t="s">
        <v>604</v>
      </c>
      <c r="AH6" s="111"/>
    </row>
    <row r="7" spans="1:34">
      <c r="A7" s="160" t="s">
        <v>605</v>
      </c>
      <c r="B7" s="160" t="s">
        <v>606</v>
      </c>
      <c r="C7" s="160" t="s">
        <v>573</v>
      </c>
      <c r="D7" s="160" t="s">
        <v>607</v>
      </c>
      <c r="E7" s="160" t="s">
        <v>575</v>
      </c>
      <c r="F7" s="160" t="s">
        <v>638</v>
      </c>
      <c r="G7" s="160" t="s">
        <v>639</v>
      </c>
      <c r="H7" s="160" t="s">
        <v>576</v>
      </c>
      <c r="I7" s="160" t="s">
        <v>577</v>
      </c>
      <c r="J7" s="160" t="s">
        <v>168</v>
      </c>
      <c r="K7" s="269">
        <v>6800</v>
      </c>
      <c r="L7" s="269">
        <v>6800</v>
      </c>
      <c r="M7" s="269">
        <v>1</v>
      </c>
      <c r="N7" s="269">
        <v>6800</v>
      </c>
      <c r="O7" s="160" t="s">
        <v>168</v>
      </c>
      <c r="P7" s="160" t="s">
        <v>168</v>
      </c>
      <c r="Q7" s="160" t="s">
        <v>647</v>
      </c>
      <c r="R7" s="160" t="s">
        <v>647</v>
      </c>
      <c r="S7" s="160" t="s">
        <v>641</v>
      </c>
      <c r="T7" s="160" t="s">
        <v>168</v>
      </c>
      <c r="U7" s="160" t="s">
        <v>168</v>
      </c>
      <c r="V7" s="160" t="s">
        <v>608</v>
      </c>
      <c r="W7" s="160" t="s">
        <v>168</v>
      </c>
      <c r="X7" s="160" t="s">
        <v>168</v>
      </c>
      <c r="Y7" s="160" t="s">
        <v>168</v>
      </c>
      <c r="Z7" s="160" t="s">
        <v>609</v>
      </c>
      <c r="AA7" s="160" t="s">
        <v>168</v>
      </c>
      <c r="AB7" s="160" t="s">
        <v>168</v>
      </c>
      <c r="AC7" s="160" t="s">
        <v>168</v>
      </c>
      <c r="AD7" s="160" t="s">
        <v>168</v>
      </c>
      <c r="AE7" s="160" t="s">
        <v>168</v>
      </c>
      <c r="AF7" s="160" t="s">
        <v>581</v>
      </c>
      <c r="AG7" s="160" t="s">
        <v>610</v>
      </c>
      <c r="AH7" s="111"/>
    </row>
    <row r="8" spans="1:34">
      <c r="A8" s="160" t="s">
        <v>611</v>
      </c>
      <c r="B8" s="160" t="s">
        <v>612</v>
      </c>
      <c r="C8" s="160" t="s">
        <v>573</v>
      </c>
      <c r="D8" s="160" t="s">
        <v>613</v>
      </c>
      <c r="E8" s="160" t="s">
        <v>575</v>
      </c>
      <c r="F8" s="160" t="s">
        <v>638</v>
      </c>
      <c r="G8" s="160" t="s">
        <v>639</v>
      </c>
      <c r="H8" s="160" t="s">
        <v>576</v>
      </c>
      <c r="I8" s="160" t="s">
        <v>577</v>
      </c>
      <c r="J8" s="160" t="s">
        <v>168</v>
      </c>
      <c r="K8" s="269">
        <v>6800</v>
      </c>
      <c r="L8" s="269">
        <v>6800</v>
      </c>
      <c r="M8" s="269">
        <v>1</v>
      </c>
      <c r="N8" s="269">
        <v>6800</v>
      </c>
      <c r="O8" s="160" t="s">
        <v>168</v>
      </c>
      <c r="P8" s="160" t="s">
        <v>168</v>
      </c>
      <c r="Q8" s="160" t="s">
        <v>648</v>
      </c>
      <c r="R8" s="160" t="s">
        <v>648</v>
      </c>
      <c r="S8" s="160" t="s">
        <v>641</v>
      </c>
      <c r="T8" s="160" t="s">
        <v>168</v>
      </c>
      <c r="U8" s="160" t="s">
        <v>168</v>
      </c>
      <c r="V8" s="160" t="s">
        <v>614</v>
      </c>
      <c r="W8" s="160" t="s">
        <v>168</v>
      </c>
      <c r="X8" s="160" t="s">
        <v>168</v>
      </c>
      <c r="Y8" s="160" t="s">
        <v>168</v>
      </c>
      <c r="Z8" s="160" t="s">
        <v>615</v>
      </c>
      <c r="AA8" s="160" t="s">
        <v>168</v>
      </c>
      <c r="AB8" s="160" t="s">
        <v>168</v>
      </c>
      <c r="AC8" s="160" t="s">
        <v>168</v>
      </c>
      <c r="AD8" s="160" t="s">
        <v>168</v>
      </c>
      <c r="AE8" s="160" t="s">
        <v>168</v>
      </c>
      <c r="AF8" s="160" t="s">
        <v>581</v>
      </c>
      <c r="AG8" s="160" t="s">
        <v>616</v>
      </c>
      <c r="AH8" s="111"/>
    </row>
    <row r="9" spans="1:34">
      <c r="A9" s="160" t="s">
        <v>617</v>
      </c>
      <c r="B9" s="160" t="s">
        <v>618</v>
      </c>
      <c r="C9" s="160" t="s">
        <v>573</v>
      </c>
      <c r="D9" s="160" t="s">
        <v>619</v>
      </c>
      <c r="E9" s="160" t="s">
        <v>575</v>
      </c>
      <c r="F9" s="160" t="s">
        <v>638</v>
      </c>
      <c r="G9" s="160" t="s">
        <v>639</v>
      </c>
      <c r="H9" s="160" t="s">
        <v>576</v>
      </c>
      <c r="I9" s="160" t="s">
        <v>577</v>
      </c>
      <c r="J9" s="160" t="s">
        <v>168</v>
      </c>
      <c r="K9" s="269">
        <v>6800</v>
      </c>
      <c r="L9" s="269">
        <v>6800</v>
      </c>
      <c r="M9" s="269">
        <v>1</v>
      </c>
      <c r="N9" s="269">
        <v>6800</v>
      </c>
      <c r="O9" s="160" t="s">
        <v>168</v>
      </c>
      <c r="P9" s="160" t="s">
        <v>168</v>
      </c>
      <c r="Q9" s="160" t="s">
        <v>647</v>
      </c>
      <c r="R9" s="160" t="s">
        <v>647</v>
      </c>
      <c r="S9" s="160" t="s">
        <v>641</v>
      </c>
      <c r="T9" s="160" t="s">
        <v>168</v>
      </c>
      <c r="U9" s="160" t="s">
        <v>168</v>
      </c>
      <c r="V9" s="160" t="s">
        <v>620</v>
      </c>
      <c r="W9" s="160" t="s">
        <v>168</v>
      </c>
      <c r="X9" s="160" t="s">
        <v>168</v>
      </c>
      <c r="Y9" s="160" t="s">
        <v>168</v>
      </c>
      <c r="Z9" s="160" t="s">
        <v>621</v>
      </c>
      <c r="AA9" s="160" t="s">
        <v>168</v>
      </c>
      <c r="AB9" s="160" t="s">
        <v>168</v>
      </c>
      <c r="AC9" s="160" t="s">
        <v>168</v>
      </c>
      <c r="AD9" s="160" t="s">
        <v>168</v>
      </c>
      <c r="AE9" s="160" t="s">
        <v>168</v>
      </c>
      <c r="AF9" s="160" t="s">
        <v>581</v>
      </c>
      <c r="AG9" s="160" t="s">
        <v>622</v>
      </c>
      <c r="AH9" s="111"/>
    </row>
    <row r="10" spans="1:34">
      <c r="A10" s="160" t="s">
        <v>623</v>
      </c>
      <c r="B10" s="160" t="s">
        <v>624</v>
      </c>
      <c r="C10" s="160" t="s">
        <v>573</v>
      </c>
      <c r="D10" s="160" t="s">
        <v>625</v>
      </c>
      <c r="E10" s="160" t="s">
        <v>575</v>
      </c>
      <c r="F10" s="160" t="s">
        <v>638</v>
      </c>
      <c r="G10" s="160" t="s">
        <v>639</v>
      </c>
      <c r="H10" s="160" t="s">
        <v>576</v>
      </c>
      <c r="I10" s="160" t="s">
        <v>577</v>
      </c>
      <c r="J10" s="160" t="s">
        <v>168</v>
      </c>
      <c r="K10" s="269">
        <v>6800</v>
      </c>
      <c r="L10" s="269">
        <v>6800</v>
      </c>
      <c r="M10" s="269">
        <v>2</v>
      </c>
      <c r="N10" s="269">
        <v>13600</v>
      </c>
      <c r="O10" s="160" t="s">
        <v>168</v>
      </c>
      <c r="P10" s="160" t="s">
        <v>168</v>
      </c>
      <c r="Q10" s="160" t="s">
        <v>649</v>
      </c>
      <c r="R10" s="160" t="s">
        <v>649</v>
      </c>
      <c r="S10" s="160" t="s">
        <v>641</v>
      </c>
      <c r="T10" s="160" t="s">
        <v>168</v>
      </c>
      <c r="U10" s="160" t="s">
        <v>168</v>
      </c>
      <c r="V10" s="160" t="s">
        <v>627</v>
      </c>
      <c r="W10" s="160" t="s">
        <v>168</v>
      </c>
      <c r="X10" s="160" t="s">
        <v>168</v>
      </c>
      <c r="Y10" s="160" t="s">
        <v>168</v>
      </c>
      <c r="Z10" s="160" t="s">
        <v>628</v>
      </c>
      <c r="AA10" s="160" t="s">
        <v>168</v>
      </c>
      <c r="AB10" s="160" t="s">
        <v>168</v>
      </c>
      <c r="AC10" s="160" t="s">
        <v>168</v>
      </c>
      <c r="AD10" s="160" t="s">
        <v>168</v>
      </c>
      <c r="AE10" s="160" t="s">
        <v>168</v>
      </c>
      <c r="AF10" s="160" t="s">
        <v>581</v>
      </c>
      <c r="AG10" s="160" t="s">
        <v>629</v>
      </c>
      <c r="AH10" s="111"/>
    </row>
    <row r="11" spans="1:34">
      <c r="A11" s="160" t="s">
        <v>630</v>
      </c>
      <c r="B11" s="160" t="s">
        <v>631</v>
      </c>
      <c r="C11" s="160" t="s">
        <v>573</v>
      </c>
      <c r="D11" s="160" t="s">
        <v>632</v>
      </c>
      <c r="E11" s="160" t="s">
        <v>575</v>
      </c>
      <c r="F11" s="160" t="s">
        <v>638</v>
      </c>
      <c r="G11" s="160" t="s">
        <v>639</v>
      </c>
      <c r="H11" s="160" t="s">
        <v>576</v>
      </c>
      <c r="I11" s="160" t="s">
        <v>577</v>
      </c>
      <c r="J11" s="160" t="s">
        <v>168</v>
      </c>
      <c r="K11" s="269">
        <v>6800</v>
      </c>
      <c r="L11" s="269">
        <v>6800</v>
      </c>
      <c r="M11" s="269">
        <v>1</v>
      </c>
      <c r="N11" s="269">
        <v>6800</v>
      </c>
      <c r="O11" s="160" t="s">
        <v>168</v>
      </c>
      <c r="P11" s="160" t="s">
        <v>168</v>
      </c>
      <c r="Q11" s="160" t="s">
        <v>650</v>
      </c>
      <c r="R11" s="160" t="s">
        <v>650</v>
      </c>
      <c r="S11" s="160" t="s">
        <v>641</v>
      </c>
      <c r="T11" s="160" t="s">
        <v>168</v>
      </c>
      <c r="U11" s="160" t="s">
        <v>168</v>
      </c>
      <c r="V11" s="160" t="s">
        <v>633</v>
      </c>
      <c r="W11" s="160" t="s">
        <v>168</v>
      </c>
      <c r="X11" s="160" t="s">
        <v>168</v>
      </c>
      <c r="Y11" s="160" t="s">
        <v>168</v>
      </c>
      <c r="Z11" s="160" t="s">
        <v>634</v>
      </c>
      <c r="AA11" s="160" t="s">
        <v>168</v>
      </c>
      <c r="AB11" s="160" t="s">
        <v>168</v>
      </c>
      <c r="AC11" s="160" t="s">
        <v>168</v>
      </c>
      <c r="AD11" s="160" t="s">
        <v>168</v>
      </c>
      <c r="AE11" s="160" t="s">
        <v>168</v>
      </c>
      <c r="AF11" s="160" t="s">
        <v>581</v>
      </c>
      <c r="AG11" s="160" t="s">
        <v>635</v>
      </c>
      <c r="AH11" s="111"/>
    </row>
    <row r="12" spans="1:34"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2"/>
      <c r="O12" s="112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</row>
    <row r="13" spans="1:34"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7">
        <f>SUM(N2:N12)</f>
        <v>74800</v>
      </c>
      <c r="O13" s="112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</row>
    <row r="14" spans="1:34"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 t="s">
        <v>651</v>
      </c>
      <c r="N14" s="313">
        <v>0.35</v>
      </c>
      <c r="O14" s="112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</row>
    <row r="15" spans="1:34"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 t="s">
        <v>653</v>
      </c>
      <c r="N15" s="112">
        <f>N13*N14</f>
        <v>26180</v>
      </c>
      <c r="O15" s="314" t="s">
        <v>654</v>
      </c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</row>
    <row r="16" spans="1:34"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 t="s">
        <v>652</v>
      </c>
      <c r="N16" s="117">
        <f>N13-N15</f>
        <v>48620</v>
      </c>
      <c r="O16" s="112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</row>
    <row r="17" spans="2:34"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2"/>
      <c r="O17" s="112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</row>
    <row r="18" spans="2:34"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2"/>
      <c r="O18" s="112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</row>
    <row r="19" spans="2:34"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2"/>
      <c r="O19" s="112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</row>
    <row r="20" spans="2:34"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2"/>
      <c r="O20" s="112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</row>
    <row r="21" spans="2:34"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2"/>
      <c r="O21" s="112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</row>
    <row r="22" spans="2:34"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2"/>
      <c r="O22" s="112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</row>
    <row r="23" spans="2:34"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2"/>
      <c r="O23" s="112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</row>
    <row r="24" spans="2:34"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2"/>
      <c r="O24" s="112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</row>
    <row r="25" spans="2:34"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2"/>
      <c r="O25" s="112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</row>
    <row r="26" spans="2:34"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2"/>
      <c r="O26" s="112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</row>
    <row r="27" spans="2:34"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2"/>
      <c r="O27" s="112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</row>
    <row r="28" spans="2:34"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2"/>
      <c r="O28" s="112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</row>
    <row r="29" spans="2:34"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2"/>
      <c r="O29" s="112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</row>
    <row r="30" spans="2:34"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2"/>
      <c r="O30" s="112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</row>
    <row r="31" spans="2:34"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2"/>
      <c r="O31" s="112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</row>
    <row r="32" spans="2:34"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2"/>
      <c r="O32" s="112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</row>
    <row r="33" spans="2:34"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2"/>
      <c r="O33" s="112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</row>
    <row r="34" spans="2:34"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2"/>
      <c r="O34" s="112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</row>
    <row r="35" spans="2:34"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2"/>
      <c r="O35" s="112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</row>
    <row r="36" spans="2:34"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2"/>
      <c r="O36" s="112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</row>
    <row r="37" spans="2:34"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2"/>
      <c r="O37" s="112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</row>
    <row r="38" spans="2:34"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2"/>
      <c r="O38" s="112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</row>
    <row r="39" spans="2:34"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2"/>
      <c r="O39" s="112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</row>
    <row r="40" spans="2:34"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2"/>
      <c r="O40" s="112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</row>
    <row r="41" spans="2:34"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2"/>
      <c r="O41" s="112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</row>
    <row r="42" spans="2:34"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2"/>
      <c r="O42" s="112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</row>
    <row r="43" spans="2:34"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2"/>
      <c r="O43" s="112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</row>
    <row r="44" spans="2:34"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2"/>
      <c r="O44" s="112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</row>
    <row r="45" spans="2:34"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112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</row>
    <row r="46" spans="2:34"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2"/>
      <c r="O46" s="112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</row>
    <row r="47" spans="2:34"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2"/>
      <c r="O47" s="112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</row>
    <row r="48" spans="2:34"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2"/>
      <c r="O48" s="112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</row>
    <row r="49" spans="2:34"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2"/>
      <c r="O49" s="112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</row>
    <row r="50" spans="2:34"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2"/>
      <c r="O50" s="112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</row>
    <row r="51" spans="2:34"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2"/>
      <c r="O51" s="112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</row>
    <row r="52" spans="2:34"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2"/>
      <c r="O52" s="112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</row>
    <row r="53" spans="2:34"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2"/>
      <c r="O53" s="112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</row>
    <row r="54" spans="2:34"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2"/>
      <c r="O54" s="112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</row>
    <row r="55" spans="2:34"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2"/>
      <c r="O55" s="112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</row>
    <row r="56" spans="2:34"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2"/>
      <c r="O56" s="112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</row>
    <row r="57" spans="2:34"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2"/>
      <c r="O57" s="112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</row>
    <row r="58" spans="2:34"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2"/>
      <c r="O58" s="112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</row>
    <row r="59" spans="2:34"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2"/>
      <c r="O59" s="112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</row>
    <row r="60" spans="2:34"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2"/>
      <c r="O60" s="112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</row>
    <row r="61" spans="2:34"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2"/>
      <c r="O61" s="112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</row>
    <row r="62" spans="2:34"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2"/>
      <c r="O62" s="112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</row>
    <row r="63" spans="2:34"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2"/>
      <c r="O63" s="112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</row>
    <row r="64" spans="2:34"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2"/>
      <c r="O64" s="112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</row>
    <row r="65" spans="2:34"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2"/>
      <c r="O65" s="112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</row>
    <row r="66" spans="2:34"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2"/>
      <c r="O66" s="112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</row>
    <row r="67" spans="2:34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2"/>
      <c r="O67" s="112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</row>
    <row r="68" spans="2:34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2"/>
      <c r="O68" s="112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</row>
    <row r="69" spans="2:34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2"/>
      <c r="O69" s="112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</row>
    <row r="70" spans="2:34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2"/>
      <c r="O70" s="112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</row>
    <row r="71" spans="2:34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2"/>
      <c r="O71" s="112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</row>
    <row r="72" spans="2:34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2"/>
      <c r="O72" s="112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</row>
    <row r="73" spans="2:34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2"/>
      <c r="O73" s="112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</row>
    <row r="74" spans="2:34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2"/>
      <c r="O74" s="112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</row>
    <row r="75" spans="2:34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2"/>
      <c r="O75" s="112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</row>
    <row r="76" spans="2:34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2"/>
      <c r="O76" s="112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</row>
    <row r="77" spans="2:34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2"/>
      <c r="O77" s="112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</row>
    <row r="78" spans="2:34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2"/>
      <c r="O78" s="112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</row>
    <row r="79" spans="2:34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2"/>
      <c r="O79" s="112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</row>
    <row r="80" spans="2:34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2"/>
      <c r="O80" s="112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</row>
    <row r="81" spans="2:34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2"/>
      <c r="O81" s="112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</row>
    <row r="82" spans="2:34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2"/>
      <c r="O82" s="112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</row>
    <row r="83" spans="2:34"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2"/>
      <c r="O83" s="112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</row>
    <row r="84" spans="2:34"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2"/>
      <c r="O84" s="112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</row>
    <row r="85" spans="2:34"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2"/>
      <c r="O85" s="112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</row>
    <row r="86" spans="2:34"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2"/>
      <c r="O86" s="112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</row>
    <row r="87" spans="2:34"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2"/>
      <c r="O87" s="112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</row>
    <row r="88" spans="2:34"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2"/>
      <c r="O88" s="112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</row>
    <row r="89" spans="2:34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2"/>
      <c r="O89" s="112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</row>
    <row r="90" spans="2:34"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2"/>
      <c r="O90" s="112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</row>
    <row r="91" spans="2:34"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2"/>
      <c r="O91" s="112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</row>
    <row r="92" spans="2:34"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2"/>
      <c r="O92" s="112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</row>
    <row r="93" spans="2:34"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2"/>
      <c r="O93" s="112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</row>
    <row r="94" spans="2:34"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2"/>
      <c r="O94" s="112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</row>
    <row r="95" spans="2:34"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2"/>
      <c r="O95" s="112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</row>
    <row r="96" spans="2:34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2"/>
      <c r="O96" s="112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</row>
    <row r="97" spans="2:34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2"/>
      <c r="O97" s="112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</row>
    <row r="98" spans="2:34"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2"/>
      <c r="O98" s="112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</row>
    <row r="99" spans="2:34"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2"/>
      <c r="O99" s="112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</row>
    <row r="100" spans="2:34"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2"/>
      <c r="O100" s="112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</row>
    <row r="101" spans="2:34"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2"/>
      <c r="O101" s="112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</row>
    <row r="102" spans="2:34"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2"/>
      <c r="O102" s="112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</row>
    <row r="103" spans="2:34"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2"/>
      <c r="O103" s="112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</row>
    <row r="104" spans="2:34"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2"/>
      <c r="O104" s="112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</row>
    <row r="105" spans="2:34"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2"/>
      <c r="O105" s="112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</row>
    <row r="106" spans="2:34"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2"/>
      <c r="O106" s="112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</row>
    <row r="107" spans="2:34"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2"/>
      <c r="O107" s="112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</row>
    <row r="108" spans="2:34"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2"/>
      <c r="O108" s="112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</row>
    <row r="109" spans="2:34"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2"/>
      <c r="O109" s="112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</row>
    <row r="110" spans="2:34"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2"/>
      <c r="O110" s="112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</row>
    <row r="111" spans="2:34"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2"/>
      <c r="O111" s="112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</row>
    <row r="112" spans="2:34"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2"/>
      <c r="O112" s="112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</row>
    <row r="113" spans="2:34"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2"/>
      <c r="O113" s="112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</row>
    <row r="114" spans="2:34"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2"/>
      <c r="O114" s="112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</row>
    <row r="115" spans="2:34"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2"/>
      <c r="O115" s="112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</row>
    <row r="116" spans="2:34"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2"/>
      <c r="O116" s="112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</row>
    <row r="117" spans="2:34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2"/>
      <c r="O117" s="112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</row>
    <row r="118" spans="2:34"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2"/>
      <c r="O118" s="112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</row>
    <row r="119" spans="2:34"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2"/>
      <c r="O119" s="112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</row>
    <row r="120" spans="2:34"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2"/>
      <c r="O120" s="112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</row>
    <row r="121" spans="2:34"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2"/>
      <c r="O121" s="112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</row>
    <row r="122" spans="2:34"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2"/>
      <c r="O122" s="112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</row>
    <row r="123" spans="2:34"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2"/>
      <c r="O123" s="112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</row>
    <row r="124" spans="2:34"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2"/>
      <c r="O124" s="112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</row>
    <row r="125" spans="2:34"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2"/>
      <c r="O125" s="112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</row>
    <row r="126" spans="2:34"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2"/>
      <c r="O126" s="112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</row>
    <row r="127" spans="2:34"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2"/>
      <c r="O127" s="112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</row>
    <row r="128" spans="2:34"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2"/>
      <c r="O128" s="112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</row>
    <row r="129" spans="2:34"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2"/>
      <c r="O129" s="112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</row>
    <row r="130" spans="2:34"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2"/>
      <c r="O130" s="112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</row>
    <row r="131" spans="2:34"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2"/>
      <c r="O131" s="112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</row>
    <row r="132" spans="2:34"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2"/>
      <c r="O132" s="112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</row>
    <row r="133" spans="2:34"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2"/>
      <c r="O133" s="112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</row>
    <row r="134" spans="2:34"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2"/>
      <c r="O134" s="112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</row>
    <row r="135" spans="2:34"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2"/>
      <c r="O135" s="112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</row>
    <row r="136" spans="2:34"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2"/>
      <c r="O136" s="112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</row>
    <row r="137" spans="2:34"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2"/>
      <c r="O137" s="112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</row>
    <row r="138" spans="2:34"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2"/>
      <c r="O138" s="112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</row>
    <row r="139" spans="2:34"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2"/>
      <c r="O139" s="112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</row>
    <row r="140" spans="2:34"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2"/>
      <c r="O140" s="112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</row>
    <row r="141" spans="2:34"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2"/>
      <c r="O141" s="112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</row>
    <row r="142" spans="2:34"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2"/>
      <c r="O142" s="112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</row>
    <row r="143" spans="2:34"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2"/>
      <c r="O143" s="112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</row>
    <row r="144" spans="2:34"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2"/>
      <c r="O144" s="112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</row>
    <row r="145" spans="2:34"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2"/>
      <c r="O145" s="112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</row>
    <row r="146" spans="2:34"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2"/>
      <c r="O146" s="112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</row>
    <row r="147" spans="2:34"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2"/>
      <c r="O147" s="112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</row>
    <row r="148" spans="2:34"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2"/>
      <c r="O148" s="112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</row>
    <row r="149" spans="2:34"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2"/>
      <c r="O149" s="112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</row>
    <row r="150" spans="2:34"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2"/>
      <c r="O150" s="112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</row>
    <row r="151" spans="2:34"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2"/>
      <c r="O151" s="112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</row>
    <row r="152" spans="2:34"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2"/>
      <c r="O152" s="112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</row>
    <row r="153" spans="2:34"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2"/>
      <c r="O153" s="112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</row>
    <row r="154" spans="2:34"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2"/>
      <c r="O154" s="112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</row>
    <row r="155" spans="2:34"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2"/>
      <c r="O155" s="112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</row>
    <row r="156" spans="2:34"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2"/>
      <c r="O156" s="112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</row>
    <row r="157" spans="2:34"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2"/>
      <c r="O157" s="112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</row>
    <row r="158" spans="2:34"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2"/>
      <c r="O158" s="112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</row>
    <row r="159" spans="2:34"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2"/>
      <c r="O159" s="112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</row>
    <row r="160" spans="2:34"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2"/>
      <c r="O160" s="112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</row>
    <row r="161" spans="2:34"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2"/>
      <c r="O161" s="112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</row>
    <row r="162" spans="2:34"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2"/>
      <c r="O162" s="112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</row>
    <row r="163" spans="2:34"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2"/>
      <c r="O163" s="112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</row>
    <row r="164" spans="2:34"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2"/>
      <c r="O164" s="112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</row>
    <row r="165" spans="2:34"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2"/>
      <c r="O165" s="112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</row>
    <row r="166" spans="2:34"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2"/>
      <c r="O166" s="112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</row>
    <row r="167" spans="2:34"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2"/>
      <c r="O167" s="112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</row>
    <row r="168" spans="2:34"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2"/>
      <c r="O168" s="112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</row>
    <row r="169" spans="2:34"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2"/>
      <c r="O169" s="112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</row>
    <row r="170" spans="2:34"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2"/>
      <c r="O170" s="112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</row>
    <row r="171" spans="2:34"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2"/>
      <c r="O171" s="112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</row>
    <row r="172" spans="2:34"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2"/>
      <c r="O172" s="112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</row>
    <row r="173" spans="2:34"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2"/>
      <c r="O173" s="112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</row>
    <row r="174" spans="2:34"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2"/>
      <c r="O174" s="112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</row>
    <row r="175" spans="2:34"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2"/>
      <c r="O175" s="112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</row>
    <row r="176" spans="2:34"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2"/>
      <c r="O176" s="112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</row>
    <row r="177" spans="2:34"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2"/>
      <c r="O177" s="112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</row>
    <row r="178" spans="2:34"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2"/>
      <c r="O178" s="112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</row>
    <row r="179" spans="2:34"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2"/>
      <c r="O179" s="112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</row>
    <row r="180" spans="2:34"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2"/>
      <c r="O180" s="112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</row>
    <row r="181" spans="2:34"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2"/>
      <c r="O181" s="112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</row>
    <row r="182" spans="2:34"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2"/>
      <c r="O182" s="112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</row>
    <row r="183" spans="2:34"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2"/>
      <c r="O183" s="112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</row>
    <row r="184" spans="2:34"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2"/>
      <c r="O184" s="112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</row>
    <row r="185" spans="2:34"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2"/>
      <c r="O185" s="112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</row>
    <row r="186" spans="2:34"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2"/>
      <c r="O186" s="112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</row>
    <row r="187" spans="2:34"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2"/>
      <c r="O187" s="112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</row>
    <row r="188" spans="2:34"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2"/>
      <c r="O188" s="112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</row>
    <row r="189" spans="2:34"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2"/>
      <c r="O189" s="112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</row>
    <row r="190" spans="2:34"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2"/>
      <c r="O190" s="112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</row>
    <row r="191" spans="2:34"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2"/>
      <c r="O191" s="112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</row>
    <row r="192" spans="2:34"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2"/>
      <c r="O192" s="112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</row>
    <row r="193" spans="2:34"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2"/>
      <c r="O193" s="112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</row>
    <row r="194" spans="2:34"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2"/>
      <c r="O194" s="112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</row>
    <row r="195" spans="2:34"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2"/>
      <c r="O195" s="112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</row>
    <row r="196" spans="2:34"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2"/>
      <c r="O196" s="112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</row>
    <row r="197" spans="2:34"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2"/>
      <c r="O197" s="112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</row>
    <row r="198" spans="2:34"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2"/>
      <c r="O198" s="112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</row>
    <row r="199" spans="2:34"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2"/>
      <c r="O199" s="112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</row>
    <row r="200" spans="2:34"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2"/>
      <c r="O200" s="112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</row>
    <row r="201" spans="2:34"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2"/>
      <c r="O201" s="112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</row>
    <row r="202" spans="2:34"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2"/>
      <c r="O202" s="112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</row>
    <row r="203" spans="2:34"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2"/>
      <c r="O203" s="112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</row>
    <row r="204" spans="2:34"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2"/>
      <c r="O204" s="112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</row>
    <row r="205" spans="2:34"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2"/>
      <c r="O205" s="112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</row>
    <row r="206" spans="2:34"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2"/>
      <c r="O206" s="112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</row>
    <row r="207" spans="2:34"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2"/>
      <c r="O207" s="112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</row>
    <row r="208" spans="2:34"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2"/>
      <c r="O208" s="112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</row>
    <row r="209" spans="2:34"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2"/>
      <c r="O209" s="112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</row>
    <row r="210" spans="2:34"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2"/>
      <c r="O210" s="112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</row>
    <row r="211" spans="2:34"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2"/>
      <c r="O211" s="112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</row>
    <row r="212" spans="2:34"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2"/>
      <c r="O212" s="112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</row>
    <row r="213" spans="2:34"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2"/>
      <c r="O213" s="112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</row>
    <row r="214" spans="2:34"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2"/>
      <c r="O214" s="112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</row>
    <row r="215" spans="2:34"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2"/>
      <c r="O215" s="112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</row>
    <row r="216" spans="2:34"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2"/>
      <c r="O216" s="112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</row>
    <row r="217" spans="2:34"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2"/>
      <c r="O217" s="112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</row>
    <row r="218" spans="2:34"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2"/>
      <c r="O218" s="112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</row>
    <row r="219" spans="2:34"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2"/>
      <c r="O219" s="112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</row>
    <row r="220" spans="2:34"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2"/>
      <c r="O220" s="112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</row>
    <row r="221" spans="2:34"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2"/>
      <c r="O221" s="112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</row>
    <row r="222" spans="2:34"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2"/>
      <c r="O222" s="112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</row>
    <row r="223" spans="2:34"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2"/>
      <c r="O223" s="112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</row>
    <row r="224" spans="2:34"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2"/>
      <c r="O224" s="112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</row>
    <row r="225" spans="2:34"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2"/>
      <c r="O225" s="112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</row>
    <row r="226" spans="2:34"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2"/>
      <c r="O226" s="112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</row>
    <row r="227" spans="2:34"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2"/>
      <c r="O227" s="112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</row>
    <row r="228" spans="2:34"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2"/>
      <c r="O228" s="112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</row>
    <row r="229" spans="2:34"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2"/>
      <c r="O229" s="112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</row>
    <row r="230" spans="2:34"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2"/>
      <c r="O230" s="112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</row>
    <row r="231" spans="2:34"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2"/>
      <c r="O231" s="112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</row>
    <row r="232" spans="2:34"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2"/>
      <c r="O232" s="112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</row>
    <row r="233" spans="2:34"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2"/>
      <c r="O233" s="112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</row>
    <row r="234" spans="2:34"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2"/>
      <c r="O234" s="112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</row>
    <row r="235" spans="2:34"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2"/>
      <c r="O235" s="112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</row>
    <row r="236" spans="2:34"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2"/>
      <c r="O236" s="112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</row>
    <row r="237" spans="2:34"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2"/>
      <c r="O237" s="112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</row>
    <row r="238" spans="2:34"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2"/>
      <c r="O238" s="112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</row>
    <row r="239" spans="2:34"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2"/>
      <c r="O239" s="112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</row>
    <row r="240" spans="2:34"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2"/>
      <c r="O240" s="112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</row>
    <row r="241" spans="2:34"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2"/>
      <c r="O241" s="112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</row>
    <row r="242" spans="2:34"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2"/>
      <c r="O242" s="112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</row>
    <row r="243" spans="2:34"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2"/>
      <c r="O243" s="112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</row>
    <row r="244" spans="2:34"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2"/>
      <c r="O244" s="112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</row>
    <row r="245" spans="2:34"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2"/>
      <c r="O245" s="112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</row>
    <row r="246" spans="2:34"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2"/>
      <c r="O246" s="112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</row>
    <row r="247" spans="2:34"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2"/>
      <c r="O247" s="112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</row>
    <row r="248" spans="2:34"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2"/>
      <c r="O248" s="112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</row>
    <row r="249" spans="2:34"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2"/>
      <c r="O249" s="112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</row>
    <row r="250" spans="2:34"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2"/>
      <c r="O250" s="112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</row>
    <row r="251" spans="2:34"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2"/>
      <c r="O251" s="112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</row>
    <row r="252" spans="2:34"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2"/>
      <c r="O252" s="112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</row>
    <row r="253" spans="2:34"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2"/>
      <c r="O253" s="112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</row>
    <row r="254" spans="2:34"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2"/>
      <c r="O254" s="112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</row>
    <row r="255" spans="2:34"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2"/>
      <c r="O255" s="112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</row>
    <row r="256" spans="2:34"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2"/>
      <c r="O256" s="112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</row>
    <row r="257" spans="2:34"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2"/>
      <c r="O257" s="112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</row>
    <row r="258" spans="2:34"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2"/>
      <c r="O258" s="112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</row>
    <row r="259" spans="2:34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2"/>
      <c r="O259" s="112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</row>
    <row r="260" spans="2:34"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2"/>
      <c r="O260" s="112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</row>
    <row r="261" spans="2:34"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2"/>
      <c r="O261" s="112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</row>
    <row r="262" spans="2:34"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2"/>
      <c r="O262" s="112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</row>
    <row r="263" spans="2:34"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2"/>
      <c r="O263" s="112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</row>
    <row r="264" spans="2:34"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2"/>
      <c r="O264" s="112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</row>
    <row r="265" spans="2:34"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2"/>
      <c r="O265" s="112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</row>
    <row r="266" spans="2:34"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2"/>
      <c r="O266" s="112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</row>
    <row r="267" spans="2:34"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2"/>
      <c r="O267" s="112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</row>
    <row r="268" spans="2:34"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2"/>
      <c r="O268" s="112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</row>
    <row r="269" spans="2:34"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2"/>
      <c r="O269" s="112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</row>
    <row r="270" spans="2:34"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2"/>
      <c r="O270" s="112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</row>
    <row r="271" spans="2:34"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2"/>
      <c r="O271" s="112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</row>
    <row r="272" spans="2:34"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2"/>
      <c r="O272" s="112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</row>
    <row r="273" spans="2:34"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2"/>
      <c r="O273" s="112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</row>
    <row r="274" spans="2:34"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2"/>
      <c r="O274" s="112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</row>
    <row r="275" spans="2:34"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2"/>
      <c r="O275" s="112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</row>
    <row r="276" spans="2:34"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2"/>
      <c r="O276" s="112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</row>
    <row r="277" spans="2:34"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2"/>
      <c r="O277" s="112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</row>
    <row r="278" spans="2:34"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2"/>
      <c r="O278" s="112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</row>
    <row r="279" spans="2:34"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2"/>
      <c r="O279" s="112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</row>
    <row r="280" spans="2:34"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2"/>
      <c r="O280" s="112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</row>
    <row r="281" spans="2:34"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2"/>
      <c r="O281" s="112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</row>
    <row r="282" spans="2:34"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2"/>
      <c r="O282" s="112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</row>
    <row r="283" spans="2:34"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2"/>
      <c r="O283" s="112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</row>
    <row r="284" spans="2:34"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2"/>
      <c r="O284" s="112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</row>
    <row r="285" spans="2:34"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2"/>
      <c r="O285" s="112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</row>
    <row r="286" spans="2:34"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2"/>
      <c r="O286" s="112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</row>
    <row r="287" spans="2:34"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2"/>
      <c r="O287" s="112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</row>
    <row r="288" spans="2:34"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2"/>
      <c r="O288" s="112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</row>
    <row r="289" spans="2:34"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2"/>
      <c r="O289" s="112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</row>
    <row r="290" spans="2:34"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2"/>
      <c r="O290" s="112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</row>
    <row r="291" spans="2:34"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2"/>
      <c r="O291" s="112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</row>
    <row r="292" spans="2:34"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2"/>
      <c r="O292" s="112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</row>
    <row r="293" spans="2:34"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2"/>
      <c r="O293" s="112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</row>
    <row r="294" spans="2:34"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2"/>
      <c r="O294" s="112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</row>
    <row r="295" spans="2:34"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2"/>
      <c r="O295" s="112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</row>
    <row r="296" spans="2:34"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2"/>
      <c r="O296" s="112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</row>
    <row r="297" spans="2:34"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2"/>
      <c r="O297" s="112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</row>
    <row r="298" spans="2:34"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2"/>
      <c r="O298" s="112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</row>
    <row r="299" spans="2:34"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2"/>
      <c r="O299" s="112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</row>
    <row r="300" spans="2:34"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2"/>
      <c r="O300" s="112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</row>
    <row r="301" spans="2:34"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2"/>
      <c r="O301" s="112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</row>
    <row r="302" spans="2:34"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2"/>
      <c r="O302" s="112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</row>
    <row r="303" spans="2:34"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2"/>
      <c r="O303" s="112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</row>
    <row r="304" spans="2:34"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2"/>
      <c r="O304" s="112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</row>
    <row r="305" spans="2:34"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2"/>
      <c r="O305" s="112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</row>
    <row r="306" spans="2:34"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2"/>
      <c r="O306" s="112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</row>
    <row r="307" spans="2:34"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2"/>
      <c r="O307" s="112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</row>
    <row r="308" spans="2:34"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2"/>
      <c r="O308" s="112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</row>
    <row r="309" spans="2:34"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2"/>
      <c r="O309" s="112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</row>
    <row r="310" spans="2:34"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2"/>
      <c r="O310" s="112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</row>
    <row r="311" spans="2:34"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2"/>
      <c r="O311" s="112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</row>
    <row r="312" spans="2:34"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2"/>
      <c r="O312" s="112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</row>
    <row r="313" spans="2:34"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2"/>
      <c r="O313" s="112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</row>
    <row r="314" spans="2:34"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2"/>
      <c r="O314" s="112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</row>
    <row r="315" spans="2:34"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2"/>
      <c r="O315" s="112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</row>
    <row r="316" spans="2:34"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2"/>
      <c r="O316" s="112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</row>
    <row r="317" spans="2:34"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2"/>
      <c r="O317" s="112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</row>
    <row r="318" spans="2:34"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2"/>
      <c r="O318" s="112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</row>
    <row r="319" spans="2:34"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2"/>
      <c r="O319" s="112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</row>
    <row r="320" spans="2:34"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2"/>
      <c r="O320" s="112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</row>
    <row r="321" spans="2:34"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2"/>
      <c r="O321" s="112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</row>
    <row r="322" spans="2:34"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2"/>
      <c r="O322" s="112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</row>
    <row r="323" spans="2:34"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2"/>
      <c r="O323" s="112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</row>
    <row r="324" spans="2:34"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2"/>
      <c r="O324" s="112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</row>
    <row r="325" spans="2:34"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2"/>
      <c r="O325" s="112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</row>
    <row r="326" spans="2:34"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2"/>
      <c r="O326" s="112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</row>
    <row r="327" spans="2:34"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2"/>
      <c r="O327" s="112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</row>
    <row r="328" spans="2:34"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2"/>
      <c r="O328" s="112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</row>
    <row r="329" spans="2:34"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2"/>
      <c r="O329" s="112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</row>
    <row r="330" spans="2:34"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2"/>
      <c r="O330" s="112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</row>
    <row r="331" spans="2:34"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2"/>
      <c r="O331" s="112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</row>
    <row r="332" spans="2:34"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2"/>
      <c r="O332" s="112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</row>
    <row r="333" spans="2:34"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2"/>
      <c r="O333" s="112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</row>
    <row r="334" spans="2:34"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2"/>
      <c r="O334" s="112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</row>
    <row r="335" spans="2:34"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2"/>
      <c r="O335" s="112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</row>
    <row r="336" spans="2:34"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2"/>
      <c r="O336" s="112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</row>
    <row r="337" spans="2:34"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2"/>
      <c r="O337" s="112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</row>
    <row r="338" spans="2:34"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2"/>
      <c r="O338" s="112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</row>
    <row r="339" spans="2:34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2"/>
      <c r="O339" s="112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</row>
    <row r="340" spans="2:34"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2"/>
      <c r="O340" s="112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</row>
    <row r="341" spans="2:34"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2"/>
      <c r="O341" s="112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</row>
    <row r="342" spans="2:34"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2"/>
      <c r="O342" s="112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</row>
    <row r="343" spans="2:34"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2"/>
      <c r="O343" s="112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</row>
    <row r="344" spans="2:34"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2"/>
      <c r="O344" s="112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</row>
    <row r="345" spans="2:34"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2"/>
      <c r="O345" s="112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</row>
    <row r="346" spans="2:34"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2"/>
      <c r="O346" s="112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</row>
    <row r="347" spans="2:34"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2"/>
      <c r="O347" s="112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</row>
    <row r="348" spans="2:34"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2"/>
      <c r="O348" s="112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</row>
    <row r="349" spans="2:34"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2"/>
      <c r="O349" s="112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</row>
    <row r="350" spans="2:34"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2"/>
      <c r="O350" s="112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</row>
    <row r="351" spans="2:34"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2"/>
      <c r="O351" s="112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</row>
    <row r="352" spans="2:34"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2"/>
      <c r="O352" s="112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</row>
    <row r="353" spans="2:34"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2"/>
      <c r="O353" s="112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</row>
    <row r="354" spans="2:34"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2"/>
      <c r="O354" s="112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</row>
    <row r="355" spans="2:34"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2"/>
      <c r="O355" s="112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</row>
    <row r="356" spans="2:34"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2"/>
      <c r="O356" s="112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</row>
    <row r="357" spans="2:34"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2"/>
      <c r="O357" s="112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</row>
    <row r="358" spans="2:34"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2"/>
      <c r="O358" s="112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</row>
    <row r="359" spans="2:34"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2"/>
      <c r="O359" s="112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</row>
    <row r="360" spans="2:34"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2"/>
      <c r="O360" s="112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</row>
    <row r="361" spans="2:34"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2"/>
      <c r="O361" s="112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</row>
    <row r="362" spans="2:34"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2"/>
      <c r="O362" s="112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</row>
    <row r="363" spans="2:34"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2"/>
      <c r="O363" s="112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</row>
    <row r="364" spans="2:34"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2"/>
      <c r="O364" s="112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</row>
    <row r="365" spans="2:34"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2"/>
      <c r="O365" s="112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</row>
    <row r="366" spans="2:34"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2"/>
      <c r="O366" s="112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</row>
    <row r="367" spans="2:34"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2"/>
      <c r="O367" s="112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</row>
    <row r="368" spans="2:34"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2"/>
      <c r="O368" s="112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</row>
    <row r="369" spans="2:34"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2"/>
      <c r="O369" s="112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</row>
    <row r="370" spans="2:34"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2"/>
      <c r="O370" s="112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</row>
    <row r="371" spans="2:34"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2"/>
      <c r="O371" s="112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</row>
    <row r="372" spans="2:34"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2"/>
      <c r="O372" s="112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</row>
    <row r="373" spans="2:34"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2"/>
      <c r="O373" s="112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</row>
    <row r="374" spans="2:34"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2"/>
      <c r="O374" s="112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</row>
    <row r="375" spans="2:34"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2"/>
      <c r="O375" s="112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</row>
    <row r="376" spans="2:34"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2"/>
      <c r="O376" s="112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</row>
    <row r="377" spans="2:34"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2"/>
      <c r="O377" s="112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</row>
    <row r="378" spans="2:34"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2"/>
      <c r="O378" s="112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</row>
    <row r="379" spans="2:34"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2"/>
      <c r="O379" s="112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</row>
    <row r="380" spans="2:34"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2"/>
      <c r="O380" s="112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</row>
    <row r="381" spans="2:34"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2"/>
      <c r="O381" s="112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</row>
    <row r="382" spans="2:34"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2"/>
      <c r="O382" s="112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</row>
    <row r="383" spans="2:34"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2"/>
      <c r="O383" s="112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</row>
    <row r="384" spans="2:34"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2"/>
      <c r="O384" s="112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</row>
    <row r="385" spans="2:34"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2"/>
      <c r="O385" s="112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</row>
    <row r="386" spans="2:34"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2"/>
      <c r="O386" s="112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</row>
    <row r="387" spans="2:34"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2"/>
      <c r="O387" s="112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</row>
    <row r="388" spans="2:34"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2"/>
      <c r="O388" s="112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</row>
    <row r="389" spans="2:34"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2"/>
      <c r="O389" s="112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</row>
    <row r="390" spans="2:34"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2"/>
      <c r="O390" s="112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</row>
    <row r="391" spans="2:34"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2"/>
      <c r="O391" s="112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</row>
    <row r="392" spans="2:34"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2"/>
      <c r="O392" s="112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</row>
    <row r="393" spans="2:34"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2"/>
      <c r="O393" s="112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</row>
    <row r="394" spans="2:34"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2"/>
      <c r="O394" s="112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</row>
    <row r="395" spans="2:34"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2"/>
      <c r="O395" s="112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</row>
    <row r="396" spans="2:34"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2"/>
      <c r="O396" s="112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</row>
    <row r="397" spans="2:34"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2"/>
      <c r="O397" s="112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</row>
    <row r="398" spans="2:34"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2"/>
      <c r="O398" s="112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</row>
    <row r="399" spans="2:34"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2"/>
      <c r="O399" s="112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</row>
    <row r="400" spans="2:34"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2"/>
      <c r="O400" s="112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</row>
    <row r="401" spans="2:34"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2"/>
      <c r="O401" s="112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</row>
    <row r="402" spans="2:34"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2"/>
      <c r="O402" s="112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</row>
    <row r="403" spans="2:34"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2"/>
      <c r="O403" s="112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</row>
    <row r="404" spans="2:34"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2"/>
      <c r="O404" s="112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</row>
    <row r="405" spans="2:34"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2"/>
      <c r="O405" s="112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</row>
    <row r="406" spans="2:34"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2"/>
      <c r="O406" s="112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</row>
    <row r="407" spans="2:34"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2"/>
      <c r="O407" s="112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</row>
    <row r="408" spans="2:34"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2"/>
      <c r="O408" s="112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</row>
    <row r="409" spans="2:34"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2"/>
      <c r="O409" s="112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</row>
    <row r="410" spans="2:34"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2"/>
      <c r="O410" s="112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</row>
    <row r="411" spans="2:34"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2"/>
      <c r="O411" s="112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</row>
    <row r="412" spans="2:34"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2"/>
      <c r="O412" s="112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</row>
    <row r="413" spans="2:34"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2"/>
      <c r="O413" s="112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</row>
    <row r="414" spans="2:34"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2"/>
      <c r="O414" s="112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</row>
    <row r="415" spans="2:34"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2"/>
      <c r="O415" s="112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</row>
    <row r="416" spans="2:34"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2"/>
      <c r="O416" s="112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</row>
    <row r="417" spans="2:34"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2"/>
      <c r="O417" s="112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</row>
    <row r="418" spans="2:34"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2"/>
      <c r="O418" s="112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</row>
    <row r="419" spans="2:34"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2"/>
      <c r="O419" s="112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</row>
    <row r="420" spans="2:34"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2"/>
      <c r="O420" s="112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</row>
    <row r="421" spans="2:34"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2"/>
      <c r="O421" s="112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</row>
    <row r="422" spans="2:34"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2"/>
      <c r="O422" s="112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</row>
    <row r="423" spans="2:34"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2"/>
      <c r="O423" s="112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</row>
    <row r="424" spans="2:34"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2"/>
      <c r="O424" s="112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</row>
    <row r="425" spans="2:34"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2"/>
      <c r="O425" s="112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</row>
    <row r="426" spans="2:34"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2"/>
      <c r="O426" s="112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</row>
    <row r="427" spans="2:34"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2"/>
      <c r="O427" s="112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</row>
    <row r="428" spans="2:34"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2"/>
      <c r="O428" s="112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</row>
    <row r="429" spans="2:34"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2"/>
      <c r="O429" s="112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</row>
    <row r="430" spans="2:34"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2"/>
      <c r="O430" s="112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</row>
    <row r="431" spans="2:34"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2"/>
      <c r="O431" s="112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</row>
    <row r="432" spans="2:34"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2"/>
      <c r="O432" s="112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</row>
    <row r="433" spans="2:34"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2"/>
      <c r="O433" s="112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</row>
    <row r="434" spans="2:34"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2"/>
      <c r="O434" s="112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</row>
    <row r="435" spans="2:34"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2"/>
      <c r="O435" s="112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</row>
    <row r="436" spans="2:34"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2"/>
      <c r="O436" s="112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</row>
    <row r="437" spans="2:34"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2"/>
      <c r="O437" s="112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</row>
    <row r="438" spans="2:34"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2"/>
      <c r="O438" s="112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</row>
    <row r="439" spans="2:34"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2"/>
      <c r="O439" s="112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</row>
    <row r="440" spans="2:34"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2"/>
      <c r="O440" s="112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</row>
    <row r="441" spans="2:34"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2"/>
      <c r="O441" s="112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</row>
    <row r="442" spans="2:34"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2"/>
      <c r="O442" s="112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</row>
    <row r="443" spans="2:34"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2"/>
      <c r="O443" s="112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</row>
    <row r="444" spans="2:34"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2"/>
      <c r="O444" s="112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</row>
    <row r="445" spans="2:34"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2"/>
      <c r="O445" s="112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</row>
    <row r="446" spans="2:34"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2"/>
      <c r="O446" s="112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</row>
    <row r="447" spans="2:34"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2"/>
      <c r="O447" s="112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</row>
    <row r="448" spans="2:34"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2"/>
      <c r="O448" s="112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</row>
    <row r="449" spans="2:34"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2"/>
      <c r="O449" s="112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</row>
    <row r="450" spans="2:34"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2"/>
      <c r="O450" s="112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</row>
    <row r="451" spans="2:34"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2"/>
      <c r="O451" s="112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</row>
    <row r="452" spans="2:34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2"/>
      <c r="O452" s="112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</row>
    <row r="453" spans="2:34"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2"/>
      <c r="O453" s="112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</row>
    <row r="454" spans="2:34"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2"/>
      <c r="O454" s="112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</row>
    <row r="455" spans="2:34"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2"/>
      <c r="O455" s="112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</row>
    <row r="456" spans="2:34"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2"/>
      <c r="O456" s="112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</row>
    <row r="457" spans="2:34"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2"/>
      <c r="O457" s="112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</row>
    <row r="458" spans="2:34"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2"/>
      <c r="O458" s="112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</row>
    <row r="459" spans="2:34"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2"/>
      <c r="O459" s="112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</row>
    <row r="460" spans="2:34"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2"/>
      <c r="O460" s="112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</row>
    <row r="461" spans="2:34"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2"/>
      <c r="O461" s="112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</row>
    <row r="462" spans="2:34"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2"/>
      <c r="O462" s="112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</row>
    <row r="463" spans="2:34"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2"/>
      <c r="O463" s="112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</row>
    <row r="464" spans="2:34"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2"/>
      <c r="O464" s="112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</row>
    <row r="465" spans="2:34"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2"/>
      <c r="O465" s="112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</row>
    <row r="466" spans="2:34"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2"/>
      <c r="O466" s="112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</row>
    <row r="467" spans="2:34"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2"/>
      <c r="O467" s="112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</row>
    <row r="468" spans="2:34"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2"/>
      <c r="O468" s="112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</row>
    <row r="469" spans="2:34"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2"/>
      <c r="O469" s="112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</row>
    <row r="470" spans="2:34"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2"/>
      <c r="O470" s="112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</row>
    <row r="471" spans="2:34"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2"/>
      <c r="O471" s="112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</row>
    <row r="472" spans="2:34"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2"/>
      <c r="O472" s="112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</row>
    <row r="473" spans="2:34"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2"/>
      <c r="O473" s="112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</row>
    <row r="474" spans="2:34"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2"/>
      <c r="O474" s="112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</row>
    <row r="475" spans="2:34"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2"/>
      <c r="O475" s="112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</row>
    <row r="476" spans="2:34"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2"/>
      <c r="O476" s="112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</row>
    <row r="477" spans="2:34"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2"/>
      <c r="O477" s="112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</row>
    <row r="478" spans="2:34"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2"/>
      <c r="O478" s="112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</row>
    <row r="479" spans="2:34"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2"/>
      <c r="O479" s="112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</row>
    <row r="480" spans="2:34"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2"/>
      <c r="O480" s="112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</row>
    <row r="481" spans="2:34"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2"/>
      <c r="O481" s="112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</row>
    <row r="482" spans="2:34"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2"/>
      <c r="O482" s="112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</row>
    <row r="483" spans="2:34"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2"/>
      <c r="O483" s="112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</row>
    <row r="484" spans="2:34"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2"/>
      <c r="O484" s="112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</row>
    <row r="485" spans="2:34"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2"/>
      <c r="O485" s="112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</row>
    <row r="486" spans="2:34"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2"/>
      <c r="O486" s="112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</row>
    <row r="487" spans="2:34"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2"/>
      <c r="O487" s="112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</row>
    <row r="488" spans="2:34"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2"/>
      <c r="O488" s="112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</row>
    <row r="489" spans="2:34"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2"/>
      <c r="O489" s="112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</row>
    <row r="490" spans="2:34"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2"/>
      <c r="O490" s="112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</row>
    <row r="491" spans="2:34"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2"/>
      <c r="O491" s="112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</row>
    <row r="492" spans="2:34"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2"/>
      <c r="O492" s="112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</row>
    <row r="493" spans="2:34"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2"/>
      <c r="O493" s="112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</row>
    <row r="494" spans="2:34"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2"/>
      <c r="O494" s="112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</row>
    <row r="495" spans="2:34"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2"/>
      <c r="O495" s="112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</row>
    <row r="496" spans="2:34"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2"/>
      <c r="O496" s="112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</row>
    <row r="497" spans="2:34"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2"/>
      <c r="O497" s="112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</row>
    <row r="498" spans="2:34"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2"/>
      <c r="O498" s="112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</row>
    <row r="499" spans="2:34"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2"/>
      <c r="O499" s="112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</row>
    <row r="500" spans="2:34"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2"/>
      <c r="O500" s="112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</row>
    <row r="501" spans="2:34"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2"/>
      <c r="O501" s="112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</row>
    <row r="502" spans="2:34"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2"/>
      <c r="O502" s="112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</row>
    <row r="503" spans="2:34"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2"/>
      <c r="O503" s="112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</row>
    <row r="504" spans="2:34"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2"/>
      <c r="O504" s="112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</row>
    <row r="505" spans="2:34"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2"/>
      <c r="O505" s="112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</row>
    <row r="506" spans="2:34"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2"/>
      <c r="O506" s="112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</row>
    <row r="507" spans="2:34"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2"/>
      <c r="O507" s="112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</row>
    <row r="508" spans="2:34"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2"/>
      <c r="O508" s="112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</row>
    <row r="509" spans="2:34"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2"/>
      <c r="O509" s="112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</row>
    <row r="510" spans="2:34"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2"/>
      <c r="O510" s="112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</row>
    <row r="511" spans="2:34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2"/>
      <c r="O511" s="112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</row>
    <row r="512" spans="2:34"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2"/>
      <c r="O512" s="112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</row>
    <row r="513" spans="2:34"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2"/>
      <c r="O513" s="112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</row>
    <row r="514" spans="2:34"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2"/>
      <c r="O514" s="112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</row>
    <row r="515" spans="2:34"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2"/>
      <c r="O515" s="112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</row>
    <row r="516" spans="2:34"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2"/>
      <c r="O516" s="112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</row>
    <row r="517" spans="2:34"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2"/>
      <c r="O517" s="112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</row>
    <row r="518" spans="2:34"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2"/>
      <c r="O518" s="112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</row>
    <row r="519" spans="2:34"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2"/>
      <c r="O519" s="112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</row>
    <row r="520" spans="2:34"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2"/>
      <c r="O520" s="112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</row>
    <row r="521" spans="2:34"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2"/>
      <c r="O521" s="112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</row>
    <row r="522" spans="2:34"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2"/>
      <c r="O522" s="112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</row>
    <row r="523" spans="2:34"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2"/>
      <c r="O523" s="112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</row>
    <row r="524" spans="2:34"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2"/>
      <c r="O524" s="112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</row>
    <row r="525" spans="2:34"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2"/>
      <c r="O525" s="112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</row>
    <row r="526" spans="2:34"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2"/>
      <c r="O526" s="112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</row>
    <row r="527" spans="2:34"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2"/>
      <c r="O527" s="112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</row>
    <row r="528" spans="2:34"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2"/>
      <c r="O528" s="112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</row>
    <row r="529" spans="2:34"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2"/>
      <c r="O529" s="112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</row>
    <row r="530" spans="2:34"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2"/>
      <c r="O530" s="112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</row>
    <row r="531" spans="2:34"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2"/>
      <c r="O531" s="112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</row>
    <row r="532" spans="2:34"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2"/>
      <c r="O532" s="112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</row>
    <row r="533" spans="2:34"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2"/>
      <c r="O533" s="112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</row>
    <row r="534" spans="2:34"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2"/>
      <c r="O534" s="112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</row>
    <row r="535" spans="2:34"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2"/>
      <c r="O535" s="112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</row>
    <row r="536" spans="2:34"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2"/>
      <c r="O536" s="112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</row>
    <row r="537" spans="2:34"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2"/>
      <c r="O537" s="112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</row>
    <row r="538" spans="2:34"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2"/>
      <c r="O538" s="112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</row>
    <row r="539" spans="2:34"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2"/>
      <c r="O539" s="112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</row>
    <row r="540" spans="2:34"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2"/>
      <c r="O540" s="112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</row>
    <row r="541" spans="2:34"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2"/>
      <c r="O541" s="112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</row>
    <row r="542" spans="2:34"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2"/>
      <c r="O542" s="112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</row>
    <row r="543" spans="2:34"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2"/>
      <c r="O543" s="112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</row>
    <row r="544" spans="2:34"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2"/>
      <c r="O544" s="112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</row>
    <row r="545" spans="2:34"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2"/>
      <c r="O545" s="112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</row>
    <row r="546" spans="2:34"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2"/>
      <c r="O546" s="112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</row>
    <row r="547" spans="2:34"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2"/>
      <c r="O547" s="112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</row>
    <row r="548" spans="2:34"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2"/>
      <c r="O548" s="112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</row>
    <row r="549" spans="2:34"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2"/>
      <c r="O549" s="112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</row>
    <row r="550" spans="2:34"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2"/>
      <c r="O550" s="112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</row>
    <row r="551" spans="2:34"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2"/>
      <c r="O551" s="112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</row>
    <row r="552" spans="2:34"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2"/>
      <c r="O552" s="112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</row>
    <row r="553" spans="2:34"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2"/>
      <c r="O553" s="112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</row>
    <row r="554" spans="2:34"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2"/>
      <c r="O554" s="112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</row>
    <row r="555" spans="2:34"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2"/>
      <c r="O555" s="112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</row>
    <row r="556" spans="2:34"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2"/>
      <c r="O556" s="112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</row>
    <row r="557" spans="2:34"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2"/>
      <c r="O557" s="112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</row>
    <row r="558" spans="2:34"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2"/>
      <c r="O558" s="112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</row>
    <row r="559" spans="2:34"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2"/>
      <c r="O559" s="112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</row>
    <row r="560" spans="2:34"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2"/>
      <c r="O560" s="112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</row>
    <row r="561" spans="2:34"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2"/>
      <c r="O561" s="112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</row>
    <row r="562" spans="2:34"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2"/>
      <c r="O562" s="112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</row>
    <row r="563" spans="2:34"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2"/>
      <c r="O563" s="112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</row>
    <row r="564" spans="2:34"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2"/>
      <c r="O564" s="112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</row>
    <row r="565" spans="2:34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2"/>
      <c r="O565" s="112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</row>
    <row r="566" spans="2:34"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2"/>
      <c r="O566" s="112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</row>
    <row r="567" spans="2:34"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2"/>
      <c r="O567" s="112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</row>
    <row r="568" spans="2:34"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2"/>
      <c r="O568" s="112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</row>
    <row r="569" spans="2:34"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2"/>
      <c r="O569" s="112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</row>
    <row r="570" spans="2:34"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2"/>
      <c r="O570" s="112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</row>
    <row r="571" spans="2:34"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2"/>
      <c r="O571" s="112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</row>
    <row r="572" spans="2:34"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2"/>
      <c r="O572" s="112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</row>
    <row r="573" spans="2:34"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2"/>
      <c r="O573" s="112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</row>
    <row r="574" spans="2:34"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2"/>
      <c r="O574" s="112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</row>
    <row r="575" spans="2:34"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2"/>
      <c r="O575" s="112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</row>
    <row r="576" spans="2:34"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2"/>
      <c r="O576" s="112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</row>
    <row r="577" spans="2:34"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2"/>
      <c r="O577" s="112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</row>
    <row r="578" spans="2:34"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2"/>
      <c r="O578" s="112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</row>
    <row r="579" spans="2:34"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2"/>
      <c r="O579" s="112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</row>
    <row r="580" spans="2:34"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2"/>
      <c r="O580" s="112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</row>
    <row r="581" spans="2:34"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2"/>
      <c r="O581" s="112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</row>
    <row r="582" spans="2:34"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2"/>
      <c r="O582" s="112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</row>
    <row r="583" spans="2:34"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2"/>
      <c r="O583" s="112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</row>
    <row r="584" spans="2:34"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2"/>
      <c r="O584" s="112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</row>
    <row r="585" spans="2:34"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2"/>
      <c r="O585" s="112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</row>
    <row r="586" spans="2:34"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2"/>
      <c r="O586" s="112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</row>
    <row r="587" spans="2:34"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2"/>
      <c r="O587" s="112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</row>
    <row r="588" spans="2:34"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2"/>
      <c r="O588" s="112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</row>
    <row r="589" spans="2:34"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2"/>
      <c r="O589" s="112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</row>
    <row r="590" spans="2:34"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2"/>
      <c r="O590" s="112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</row>
    <row r="591" spans="2:34"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2"/>
      <c r="O591" s="112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</row>
    <row r="592" spans="2:34"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2"/>
      <c r="O592" s="112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</row>
    <row r="593" spans="2:34"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2"/>
      <c r="O593" s="112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</row>
    <row r="594" spans="2:34"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2"/>
      <c r="O594" s="112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</row>
    <row r="595" spans="2:34"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2"/>
      <c r="O595" s="112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</row>
    <row r="596" spans="2:34"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2"/>
      <c r="O596" s="112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</row>
    <row r="597" spans="2:34"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2"/>
      <c r="O597" s="112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</row>
    <row r="598" spans="2:34"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2"/>
      <c r="O598" s="112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</row>
    <row r="599" spans="2:34"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2"/>
      <c r="O599" s="112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</row>
    <row r="600" spans="2:34"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2"/>
      <c r="O600" s="112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</row>
    <row r="601" spans="2:34"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2"/>
      <c r="O601" s="112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</row>
    <row r="602" spans="2:34"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2"/>
      <c r="O602" s="112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</row>
    <row r="603" spans="2:34"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2"/>
      <c r="O603" s="112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</row>
    <row r="604" spans="2:34"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2"/>
      <c r="O604" s="112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</row>
    <row r="605" spans="2:34"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2"/>
      <c r="O605" s="112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</row>
    <row r="606" spans="2:34"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2"/>
      <c r="O606" s="112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</row>
    <row r="607" spans="2:34"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2"/>
      <c r="O607" s="112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</row>
    <row r="608" spans="2:34"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2"/>
      <c r="O608" s="112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</row>
    <row r="609" spans="2:34"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2"/>
      <c r="O609" s="112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</row>
    <row r="610" spans="2:34"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2"/>
      <c r="O610" s="112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</row>
    <row r="611" spans="2:34"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2"/>
      <c r="O611" s="112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</row>
    <row r="612" spans="2:34"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2"/>
      <c r="O612" s="112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</row>
    <row r="613" spans="2:34"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2"/>
      <c r="O613" s="112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</row>
    <row r="614" spans="2:34"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2"/>
      <c r="O614" s="112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</row>
    <row r="615" spans="2:34"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2"/>
      <c r="O615" s="112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</row>
    <row r="616" spans="2:34"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2"/>
      <c r="O616" s="112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</row>
    <row r="617" spans="2:34"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2"/>
      <c r="O617" s="112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</row>
    <row r="618" spans="2:34"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2"/>
      <c r="O618" s="112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</row>
    <row r="619" spans="2:34"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2"/>
      <c r="O619" s="112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</row>
    <row r="620" spans="2:34"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2"/>
      <c r="O620" s="112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</row>
    <row r="621" spans="2:34"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2"/>
      <c r="O621" s="112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</row>
    <row r="622" spans="2:34"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2"/>
      <c r="O622" s="112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</row>
    <row r="623" spans="2:34"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2"/>
      <c r="O623" s="112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</row>
    <row r="624" spans="2:34"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2"/>
      <c r="O624" s="112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</row>
    <row r="625" spans="2:34"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2"/>
      <c r="O625" s="112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</row>
    <row r="626" spans="2:34"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2"/>
      <c r="O626" s="112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</row>
    <row r="627" spans="2:34"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2"/>
      <c r="O627" s="112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</row>
    <row r="628" spans="2:34"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2"/>
      <c r="O628" s="112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</row>
    <row r="629" spans="2:34"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2"/>
      <c r="O629" s="112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</row>
    <row r="630" spans="2:34"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2"/>
      <c r="O630" s="112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</row>
    <row r="631" spans="2:34"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2"/>
      <c r="O631" s="112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</row>
    <row r="632" spans="2:34"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2"/>
      <c r="O632" s="112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</row>
    <row r="633" spans="2:34"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2"/>
      <c r="O633" s="112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</row>
    <row r="634" spans="2:34"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2"/>
      <c r="O634" s="112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</row>
    <row r="635" spans="2:34"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2"/>
      <c r="O635" s="112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</row>
    <row r="636" spans="2:34"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2"/>
      <c r="O636" s="112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</row>
    <row r="637" spans="2:34"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2"/>
      <c r="O637" s="112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</row>
    <row r="638" spans="2:34"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2"/>
      <c r="O638" s="112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</row>
    <row r="639" spans="2:34"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2"/>
      <c r="O639" s="112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</row>
    <row r="640" spans="2:34"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2"/>
      <c r="O640" s="112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</row>
    <row r="641" spans="2:34"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2"/>
      <c r="O641" s="112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</row>
    <row r="642" spans="2:34"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2"/>
      <c r="O642" s="112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</row>
    <row r="643" spans="2:34"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2"/>
      <c r="O643" s="112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</row>
    <row r="644" spans="2:34"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2"/>
      <c r="O644" s="112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</row>
    <row r="645" spans="2:34"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2"/>
      <c r="O645" s="112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</row>
    <row r="646" spans="2:34"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2"/>
      <c r="O646" s="112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</row>
    <row r="647" spans="2:34"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2"/>
      <c r="O647" s="112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</row>
    <row r="648" spans="2:34"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2"/>
      <c r="O648" s="112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</row>
    <row r="649" spans="2:34"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2"/>
      <c r="O649" s="112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</row>
    <row r="650" spans="2:34"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2"/>
      <c r="O650" s="112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</row>
    <row r="651" spans="2:34"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2"/>
      <c r="O651" s="112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</row>
    <row r="652" spans="2:34"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2"/>
      <c r="O652" s="112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</row>
    <row r="653" spans="2:34"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2"/>
      <c r="O653" s="112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</row>
    <row r="654" spans="2:34"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2"/>
      <c r="O654" s="112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</row>
    <row r="655" spans="2:34"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2"/>
      <c r="O655" s="112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</row>
    <row r="656" spans="2:34"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2"/>
      <c r="O656" s="112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</row>
    <row r="657" spans="2:34"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2"/>
      <c r="O657" s="112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</row>
    <row r="658" spans="2:34"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2"/>
      <c r="O658" s="112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</row>
    <row r="659" spans="2:34"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2"/>
      <c r="O659" s="112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</row>
    <row r="660" spans="2:34"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2"/>
      <c r="O660" s="112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</row>
    <row r="661" spans="2:34"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2"/>
      <c r="O661" s="112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</row>
    <row r="662" spans="2:34"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2"/>
      <c r="O662" s="112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</row>
    <row r="663" spans="2:34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2"/>
      <c r="O663" s="112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</row>
    <row r="664" spans="2:34"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2"/>
      <c r="O664" s="112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</row>
    <row r="665" spans="2:34"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2"/>
      <c r="O665" s="112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</row>
    <row r="666" spans="2:34"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2"/>
      <c r="O666" s="112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</row>
    <row r="667" spans="2:34"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2"/>
      <c r="O667" s="112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</row>
    <row r="668" spans="2:34"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2"/>
      <c r="O668" s="112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</row>
    <row r="669" spans="2:34"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2"/>
      <c r="O669" s="112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</row>
    <row r="670" spans="2:34"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2"/>
      <c r="O670" s="112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</row>
    <row r="671" spans="2:34"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2"/>
      <c r="O671" s="112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</row>
    <row r="672" spans="2:34"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2"/>
      <c r="O672" s="112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</row>
    <row r="673" spans="2:34"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2"/>
      <c r="O673" s="112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</row>
    <row r="674" spans="2:34"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2"/>
      <c r="O674" s="112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</row>
    <row r="675" spans="2:34"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2"/>
      <c r="O675" s="112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</row>
    <row r="676" spans="2:34"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2"/>
      <c r="O676" s="112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</row>
    <row r="677" spans="2:34"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2"/>
      <c r="O677" s="112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</row>
    <row r="678" spans="2:34"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2"/>
      <c r="O678" s="112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</row>
    <row r="679" spans="2:34"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2"/>
      <c r="O679" s="112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</row>
    <row r="680" spans="2:34"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2"/>
      <c r="O680" s="112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</row>
    <row r="681" spans="2:34"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2"/>
      <c r="O681" s="112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</row>
    <row r="682" spans="2:34"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2"/>
      <c r="O682" s="112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</row>
    <row r="683" spans="2:34"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2"/>
      <c r="O683" s="112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</row>
    <row r="684" spans="2:34"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2"/>
      <c r="O684" s="112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</row>
    <row r="685" spans="2:34"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2"/>
      <c r="O685" s="112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</row>
    <row r="686" spans="2:34"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2"/>
      <c r="O686" s="112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</row>
    <row r="687" spans="2:34"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2"/>
      <c r="O687" s="112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</row>
    <row r="688" spans="2:34"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2"/>
      <c r="O688" s="112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</row>
    <row r="689" spans="2:34"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2"/>
      <c r="O689" s="112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</row>
    <row r="690" spans="2:34"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2"/>
      <c r="O690" s="112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</row>
    <row r="691" spans="2:34"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2"/>
      <c r="O691" s="112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</row>
    <row r="692" spans="2:34"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2"/>
      <c r="O692" s="112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</row>
    <row r="693" spans="2:34"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2"/>
      <c r="O693" s="112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</row>
    <row r="694" spans="2:34"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2"/>
      <c r="O694" s="112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</row>
    <row r="695" spans="2:34"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2"/>
      <c r="O695" s="112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</row>
    <row r="696" spans="2:34"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2"/>
      <c r="O696" s="112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</row>
    <row r="697" spans="2:34"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2"/>
      <c r="O697" s="112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</row>
    <row r="698" spans="2:34"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2"/>
      <c r="O698" s="112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</row>
    <row r="699" spans="2:34"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2"/>
      <c r="O699" s="112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</row>
    <row r="700" spans="2:34"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2"/>
      <c r="O700" s="112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</row>
    <row r="701" spans="2:34"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2"/>
      <c r="O701" s="112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</row>
    <row r="702" spans="2:34"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2"/>
      <c r="O702" s="112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</row>
    <row r="703" spans="2:34"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2"/>
      <c r="O703" s="112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</row>
    <row r="704" spans="2:34"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2"/>
      <c r="O704" s="112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</row>
    <row r="705" spans="2:34"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2"/>
      <c r="O705" s="112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</row>
    <row r="706" spans="2:34"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2"/>
      <c r="O706" s="112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</row>
    <row r="707" spans="2:34"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2"/>
      <c r="O707" s="112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</row>
    <row r="708" spans="2:34"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2"/>
      <c r="O708" s="112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</row>
    <row r="709" spans="2:34"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2"/>
      <c r="O709" s="112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</row>
    <row r="710" spans="2:34"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2"/>
      <c r="O710" s="112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</row>
    <row r="711" spans="2:34"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2"/>
      <c r="O711" s="112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</row>
    <row r="712" spans="2:34"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2"/>
      <c r="O712" s="112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</row>
    <row r="713" spans="2:34"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2"/>
      <c r="O713" s="112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</row>
    <row r="714" spans="2:34"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2"/>
      <c r="O714" s="112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</row>
    <row r="715" spans="2:34"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2"/>
      <c r="O715" s="112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</row>
    <row r="716" spans="2:34"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2"/>
      <c r="O716" s="112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</row>
    <row r="717" spans="2:34"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2"/>
      <c r="O717" s="112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</row>
    <row r="718" spans="2:34"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2"/>
      <c r="O718" s="112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</row>
    <row r="719" spans="2:34"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2"/>
      <c r="O719" s="112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</row>
    <row r="720" spans="2:34"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2"/>
      <c r="O720" s="112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</row>
    <row r="721" spans="2:34"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2"/>
      <c r="O721" s="112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</row>
    <row r="722" spans="2:34"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2"/>
      <c r="O722" s="112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</row>
    <row r="723" spans="2:34"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2"/>
      <c r="O723" s="112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</row>
    <row r="724" spans="2:34"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2"/>
      <c r="O724" s="112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</row>
    <row r="725" spans="2:34"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2"/>
      <c r="O725" s="112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</row>
    <row r="726" spans="2:34"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2"/>
      <c r="O726" s="112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</row>
    <row r="727" spans="2:34"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2"/>
      <c r="O727" s="112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</row>
    <row r="728" spans="2:34"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2"/>
      <c r="O728" s="112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</row>
    <row r="729" spans="2:34"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2"/>
      <c r="O729" s="112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</row>
    <row r="730" spans="2:34"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2"/>
      <c r="O730" s="112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</row>
    <row r="731" spans="2:34"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2"/>
      <c r="O731" s="112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</row>
    <row r="732" spans="2:34"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2"/>
      <c r="O732" s="112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</row>
    <row r="733" spans="2:34"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2"/>
      <c r="O733" s="112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</row>
    <row r="734" spans="2:34"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2"/>
      <c r="O734" s="112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</row>
    <row r="735" spans="2:34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2"/>
      <c r="O735" s="112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</row>
    <row r="736" spans="2:34"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2"/>
      <c r="O736" s="112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</row>
    <row r="737" spans="2:34"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2"/>
      <c r="O737" s="112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</row>
    <row r="738" spans="2:34"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2"/>
      <c r="O738" s="112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</row>
    <row r="739" spans="2:34"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2"/>
      <c r="O739" s="112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</row>
    <row r="740" spans="2:34"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2"/>
      <c r="O740" s="112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</row>
    <row r="741" spans="2:34"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2"/>
      <c r="O741" s="112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</row>
    <row r="742" spans="2:34"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2"/>
      <c r="O742" s="112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</row>
    <row r="743" spans="2:34"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2"/>
      <c r="O743" s="112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</row>
    <row r="744" spans="2:34"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2"/>
      <c r="O744" s="112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</row>
    <row r="745" spans="2:34"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2"/>
      <c r="O745" s="112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</row>
    <row r="746" spans="2:34"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2"/>
      <c r="O746" s="112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</row>
    <row r="747" spans="2:34"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2"/>
      <c r="O747" s="112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</row>
    <row r="748" spans="2:34"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2"/>
      <c r="O748" s="112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</row>
    <row r="749" spans="2:34"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2"/>
      <c r="O749" s="112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</row>
    <row r="750" spans="2:34"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2"/>
      <c r="O750" s="112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</row>
    <row r="751" spans="2:34"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2"/>
      <c r="O751" s="112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</row>
    <row r="752" spans="2:34"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2"/>
      <c r="O752" s="112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</row>
    <row r="753" spans="2:34"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2"/>
      <c r="O753" s="112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</row>
    <row r="754" spans="2:34"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2"/>
      <c r="O754" s="112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</row>
    <row r="755" spans="2:34"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2"/>
      <c r="O755" s="112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</row>
    <row r="756" spans="2:34"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2"/>
      <c r="O756" s="112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</row>
    <row r="757" spans="2:34"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2"/>
      <c r="O757" s="112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</row>
    <row r="758" spans="2:34"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2"/>
      <c r="O758" s="112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</row>
    <row r="759" spans="2:34"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2"/>
      <c r="O759" s="112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</row>
    <row r="760" spans="2:34"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2"/>
      <c r="O760" s="112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</row>
    <row r="761" spans="2:34"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2"/>
      <c r="O761" s="112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</row>
    <row r="762" spans="2:34"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2"/>
      <c r="O762" s="112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</row>
    <row r="763" spans="2:34"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2"/>
      <c r="O763" s="112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</row>
    <row r="764" spans="2:34"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2"/>
      <c r="O764" s="112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</row>
    <row r="765" spans="2:34"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2"/>
      <c r="O765" s="112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</row>
    <row r="766" spans="2:34"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2"/>
      <c r="O766" s="112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</row>
    <row r="767" spans="2:34"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2"/>
      <c r="O767" s="112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</row>
    <row r="768" spans="2:34"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2"/>
      <c r="O768" s="112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</row>
    <row r="769" spans="2:34"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2"/>
      <c r="O769" s="112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</row>
    <row r="770" spans="2:34"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2"/>
      <c r="O770" s="112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</row>
    <row r="771" spans="2:34"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2"/>
      <c r="O771" s="112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</row>
    <row r="772" spans="2:34"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2"/>
      <c r="O772" s="112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</row>
    <row r="773" spans="2:34"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2"/>
      <c r="O773" s="112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</row>
    <row r="774" spans="2:34"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2"/>
      <c r="O774" s="112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</row>
    <row r="775" spans="2:34"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2"/>
      <c r="O775" s="112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</row>
    <row r="776" spans="2:34"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2"/>
      <c r="O776" s="112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</row>
    <row r="777" spans="2:34"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2"/>
      <c r="O777" s="112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</row>
    <row r="778" spans="2:34"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2"/>
      <c r="O778" s="112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</row>
    <row r="779" spans="2:34"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2"/>
      <c r="O779" s="112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</row>
    <row r="780" spans="2:34"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2"/>
      <c r="O780" s="112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</row>
    <row r="781" spans="2:34"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2"/>
      <c r="O781" s="112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</row>
    <row r="782" spans="2:34"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2"/>
      <c r="O782" s="112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</row>
    <row r="783" spans="2:34"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2"/>
      <c r="O783" s="112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</row>
    <row r="784" spans="2:34"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2"/>
      <c r="O784" s="112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</row>
    <row r="785" spans="2:34"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2"/>
      <c r="O785" s="112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</row>
    <row r="786" spans="2:34"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2"/>
      <c r="O786" s="112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</row>
    <row r="787" spans="2:34"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2"/>
      <c r="O787" s="112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</row>
    <row r="788" spans="2:34"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2"/>
      <c r="O788" s="112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</row>
    <row r="789" spans="2:34"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2"/>
      <c r="O789" s="112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</row>
    <row r="790" spans="2:34"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2"/>
      <c r="O790" s="112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</row>
    <row r="791" spans="2:34"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2"/>
      <c r="O791" s="112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</row>
    <row r="792" spans="2:34"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2"/>
      <c r="O792" s="112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</row>
    <row r="793" spans="2:34"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2"/>
      <c r="O793" s="112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</row>
    <row r="794" spans="2:34"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2"/>
      <c r="O794" s="112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</row>
    <row r="795" spans="2:34"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2"/>
      <c r="O795" s="112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</row>
    <row r="796" spans="2:34"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2"/>
      <c r="O796" s="112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</row>
    <row r="797" spans="2:34"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2"/>
      <c r="O797" s="112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</row>
    <row r="798" spans="2:34"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2"/>
      <c r="O798" s="112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</row>
    <row r="799" spans="2:34"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2"/>
      <c r="O799" s="112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</row>
    <row r="800" spans="2:34"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2"/>
      <c r="O800" s="112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</row>
    <row r="801" spans="2:34"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2"/>
      <c r="O801" s="112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</row>
    <row r="802" spans="2:34"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2"/>
      <c r="O802" s="112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</row>
    <row r="803" spans="2:34"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2"/>
      <c r="O803" s="112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</row>
    <row r="804" spans="2:34"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2"/>
      <c r="O804" s="112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</row>
    <row r="805" spans="2:34"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2"/>
      <c r="O805" s="112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</row>
    <row r="806" spans="2:34"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2"/>
      <c r="O806" s="112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</row>
    <row r="807" spans="2:34"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2"/>
      <c r="O807" s="112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</row>
    <row r="808" spans="2:34"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2"/>
      <c r="O808" s="112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</row>
    <row r="809" spans="2:34"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2"/>
      <c r="O809" s="112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</row>
    <row r="810" spans="2:34"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2"/>
      <c r="O810" s="112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</row>
    <row r="811" spans="2:34"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2"/>
      <c r="O811" s="112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</row>
    <row r="812" spans="2:34"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2"/>
      <c r="O812" s="112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</row>
    <row r="813" spans="2:34"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2"/>
      <c r="O813" s="112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</row>
    <row r="814" spans="2:34"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2"/>
      <c r="O814" s="112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</row>
    <row r="815" spans="2:34"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2"/>
      <c r="O815" s="112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</row>
    <row r="816" spans="2:34"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2"/>
      <c r="O816" s="112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</row>
    <row r="817" spans="2:34"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2"/>
      <c r="O817" s="112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</row>
    <row r="818" spans="2:34"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2"/>
      <c r="O818" s="112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</row>
    <row r="819" spans="2:34"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2"/>
      <c r="O819" s="112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</row>
    <row r="820" spans="2:34"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2"/>
      <c r="O820" s="112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</row>
    <row r="821" spans="2:34"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2"/>
      <c r="O821" s="112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</row>
    <row r="822" spans="2:34"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2"/>
      <c r="O822" s="112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</row>
    <row r="823" spans="2:34"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2"/>
      <c r="O823" s="112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</row>
    <row r="824" spans="2:34"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2"/>
      <c r="O824" s="112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</row>
    <row r="825" spans="2:34"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2"/>
      <c r="O825" s="112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</row>
    <row r="826" spans="2:34"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2"/>
      <c r="O826" s="112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</row>
    <row r="827" spans="2:34"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2"/>
      <c r="O827" s="112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</row>
    <row r="828" spans="2:34"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2"/>
      <c r="O828" s="112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</row>
    <row r="829" spans="2:34"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2"/>
      <c r="O829" s="112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</row>
    <row r="830" spans="2:34"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2"/>
      <c r="O830" s="112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</row>
    <row r="831" spans="2:34"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2"/>
      <c r="O831" s="112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</row>
    <row r="832" spans="2:34"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2"/>
      <c r="O832" s="112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</row>
    <row r="833" spans="2:34"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2"/>
      <c r="O833" s="112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</row>
    <row r="834" spans="2:34"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2"/>
      <c r="O834" s="112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</row>
    <row r="835" spans="2:34"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2"/>
      <c r="O835" s="112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</row>
    <row r="836" spans="2:34"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2"/>
      <c r="O836" s="112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</row>
    <row r="837" spans="2:34"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2"/>
      <c r="O837" s="112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</row>
    <row r="838" spans="2:34"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2"/>
      <c r="O838" s="112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</row>
    <row r="839" spans="2:34"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2"/>
      <c r="O839" s="112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</row>
    <row r="840" spans="2:34"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2"/>
      <c r="O840" s="112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</row>
    <row r="841" spans="2:34"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2"/>
      <c r="O841" s="112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</row>
    <row r="842" spans="2:34"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2"/>
      <c r="O842" s="112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</row>
    <row r="843" spans="2:34"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2"/>
      <c r="O843" s="112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</row>
    <row r="844" spans="2:34"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2"/>
      <c r="O844" s="112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</row>
    <row r="845" spans="2:34"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2"/>
      <c r="O845" s="112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</row>
    <row r="846" spans="2:34"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2"/>
      <c r="O846" s="112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</row>
    <row r="847" spans="2:34"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2"/>
      <c r="O847" s="112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</row>
    <row r="848" spans="2:34"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2"/>
      <c r="O848" s="112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</row>
    <row r="849" spans="2:34"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2"/>
      <c r="O849" s="112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</row>
    <row r="850" spans="2:34"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2"/>
      <c r="O850" s="112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</row>
    <row r="851" spans="2:34"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2"/>
      <c r="O851" s="112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</row>
    <row r="852" spans="2:34"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2"/>
      <c r="O852" s="112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</row>
    <row r="853" spans="2:34"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2"/>
      <c r="O853" s="112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</row>
    <row r="854" spans="2:34"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2"/>
      <c r="O854" s="112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</row>
    <row r="855" spans="2:34"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2"/>
      <c r="O855" s="112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</row>
    <row r="856" spans="2:34"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2"/>
      <c r="O856" s="112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</row>
    <row r="857" spans="2:34"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2"/>
      <c r="O857" s="112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</row>
    <row r="858" spans="2:34"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2"/>
      <c r="O858" s="112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</row>
    <row r="859" spans="2:34"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2"/>
      <c r="O859" s="112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</row>
    <row r="860" spans="2:34"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2"/>
      <c r="O860" s="112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</row>
    <row r="861" spans="2:34"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2"/>
      <c r="O861" s="112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</row>
    <row r="862" spans="2:34"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2"/>
      <c r="O862" s="112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</row>
    <row r="863" spans="2:34"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2"/>
      <c r="O863" s="112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</row>
    <row r="864" spans="2:34"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2"/>
      <c r="O864" s="112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</row>
    <row r="865" spans="2:34"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2"/>
      <c r="O865" s="112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</row>
    <row r="866" spans="2:34"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2"/>
      <c r="O866" s="112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</row>
    <row r="867" spans="2:34"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2"/>
      <c r="O867" s="112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</row>
    <row r="868" spans="2:34"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2"/>
      <c r="O868" s="112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</row>
    <row r="869" spans="2:34"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2"/>
      <c r="O869" s="112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</row>
    <row r="870" spans="2:34"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2"/>
      <c r="O870" s="112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</row>
    <row r="871" spans="2:34"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2"/>
      <c r="O871" s="112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</row>
    <row r="872" spans="2:34"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2"/>
      <c r="O872" s="112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</row>
    <row r="873" spans="2:34"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2"/>
      <c r="O873" s="112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</row>
    <row r="874" spans="2:34"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2"/>
      <c r="O874" s="112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</row>
    <row r="875" spans="2:34"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2"/>
      <c r="O875" s="112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</row>
    <row r="876" spans="2:34"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2"/>
      <c r="O876" s="112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</row>
    <row r="877" spans="2:34"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2"/>
      <c r="O877" s="112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</row>
    <row r="878" spans="2:34"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2"/>
      <c r="O878" s="112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</row>
    <row r="879" spans="2:34"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2"/>
      <c r="O879" s="112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</row>
    <row r="880" spans="2:34"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2"/>
      <c r="O880" s="112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</row>
  </sheetData>
  <phoneticPr fontId="24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48"/>
  <sheetViews>
    <sheetView workbookViewId="0">
      <selection activeCell="E9" sqref="E9"/>
    </sheetView>
  </sheetViews>
  <sheetFormatPr baseColWidth="10" defaultColWidth="12.6640625" defaultRowHeight="15" customHeight="1"/>
  <cols>
    <col min="1" max="1" width="8.5" customWidth="1"/>
    <col min="2" max="2" width="12.33203125" customWidth="1"/>
    <col min="3" max="3" width="31.6640625" customWidth="1"/>
    <col min="4" max="4" width="9.6640625" bestFit="1" customWidth="1"/>
    <col min="5" max="7" width="13.83203125" bestFit="1" customWidth="1"/>
    <col min="8" max="8" width="11.5" bestFit="1" customWidth="1"/>
    <col min="9" max="9" width="13.6640625" customWidth="1"/>
    <col min="10" max="10" width="11" bestFit="1" customWidth="1"/>
    <col min="11" max="11" width="24.1640625" customWidth="1"/>
    <col min="12" max="13" width="6.5" customWidth="1"/>
    <col min="14" max="26" width="7.6640625" customWidth="1"/>
  </cols>
  <sheetData>
    <row r="1" spans="1:13" ht="16.5" customHeight="1">
      <c r="K1" s="121"/>
      <c r="L1" s="121"/>
      <c r="M1" s="122"/>
    </row>
    <row r="2" spans="1:13" ht="16.5" customHeight="1">
      <c r="A2" t="s">
        <v>0</v>
      </c>
      <c r="K2" s="121"/>
      <c r="L2" s="121"/>
      <c r="M2" s="122"/>
    </row>
    <row r="3" spans="1:13" ht="16.5" customHeight="1">
      <c r="I3" t="s">
        <v>1</v>
      </c>
      <c r="K3" s="121"/>
      <c r="L3" s="121"/>
      <c r="M3" s="122"/>
    </row>
    <row r="4" spans="1:13" ht="16.5" customHeight="1">
      <c r="A4" t="s">
        <v>268</v>
      </c>
      <c r="B4" t="s">
        <v>2</v>
      </c>
      <c r="C4" t="s">
        <v>222</v>
      </c>
      <c r="D4" t="s">
        <v>265</v>
      </c>
      <c r="E4" t="s">
        <v>266</v>
      </c>
      <c r="F4" t="s">
        <v>267</v>
      </c>
      <c r="G4" t="s">
        <v>269</v>
      </c>
      <c r="H4" t="s">
        <v>263</v>
      </c>
      <c r="I4" t="s">
        <v>264</v>
      </c>
      <c r="K4" s="121"/>
      <c r="L4" s="121"/>
      <c r="M4" s="122"/>
    </row>
    <row r="5" spans="1:13" ht="16.5" customHeight="1">
      <c r="A5" s="215" t="s">
        <v>74</v>
      </c>
      <c r="B5" s="215" t="s">
        <v>545</v>
      </c>
      <c r="C5" s="238">
        <v>0.35</v>
      </c>
      <c r="D5" s="215">
        <f>D8</f>
        <v>114</v>
      </c>
      <c r="E5" s="215">
        <f>E8</f>
        <v>775200</v>
      </c>
      <c r="F5" s="215">
        <f>G8</f>
        <v>20400</v>
      </c>
      <c r="G5" s="216">
        <f>I8</f>
        <v>754800</v>
      </c>
      <c r="H5" s="215">
        <f>G5*C5</f>
        <v>264180</v>
      </c>
      <c r="I5" s="216">
        <f>G5-H5</f>
        <v>490620</v>
      </c>
      <c r="K5" s="121"/>
      <c r="L5" s="121"/>
      <c r="M5" s="122"/>
    </row>
    <row r="6" spans="1:13" ht="16.5" customHeight="1">
      <c r="K6" s="121"/>
      <c r="L6" s="121"/>
      <c r="M6" s="122"/>
    </row>
    <row r="7" spans="1:13" ht="16.5" customHeight="1">
      <c r="A7" t="s">
        <v>14</v>
      </c>
      <c r="B7" t="s">
        <v>15</v>
      </c>
      <c r="D7" t="s">
        <v>265</v>
      </c>
      <c r="E7" t="s">
        <v>266</v>
      </c>
      <c r="F7" t="s">
        <v>270</v>
      </c>
      <c r="G7" t="s">
        <v>267</v>
      </c>
      <c r="H7" t="s">
        <v>271</v>
      </c>
      <c r="I7" t="s">
        <v>272</v>
      </c>
      <c r="K7" s="121"/>
      <c r="L7" s="121"/>
      <c r="M7" s="122"/>
    </row>
    <row r="8" spans="1:13" ht="16.5" customHeight="1">
      <c r="A8" t="s">
        <v>172</v>
      </c>
      <c r="B8" t="s">
        <v>121</v>
      </c>
      <c r="D8" s="215">
        <v>114</v>
      </c>
      <c r="E8" s="215">
        <f>6800*D8</f>
        <v>775200</v>
      </c>
      <c r="F8" s="215">
        <v>3</v>
      </c>
      <c r="G8" s="215">
        <f>6800*F8</f>
        <v>20400</v>
      </c>
      <c r="H8" s="215">
        <f>D8-F8</f>
        <v>111</v>
      </c>
      <c r="I8" s="216">
        <f>6800*H8</f>
        <v>754800</v>
      </c>
      <c r="K8" s="121"/>
      <c r="L8" s="121"/>
      <c r="M8" s="122"/>
    </row>
    <row r="9" spans="1:13" ht="16.5" customHeight="1">
      <c r="K9" s="121"/>
      <c r="L9" s="121"/>
      <c r="M9" s="122"/>
    </row>
    <row r="10" spans="1:13" ht="16.5" customHeight="1">
      <c r="D10" s="215"/>
      <c r="E10" s="215"/>
      <c r="F10" s="215"/>
      <c r="G10" s="215"/>
      <c r="H10" s="215"/>
      <c r="I10" s="215"/>
      <c r="K10" s="121"/>
      <c r="L10" s="121"/>
      <c r="M10" s="122"/>
    </row>
    <row r="11" spans="1:13" ht="16.5" customHeight="1">
      <c r="K11" s="121"/>
      <c r="L11" s="121"/>
      <c r="M11" s="122"/>
    </row>
    <row r="12" spans="1:13" ht="16.5" customHeight="1">
      <c r="K12" s="121"/>
      <c r="L12" s="121"/>
      <c r="M12" s="122"/>
    </row>
    <row r="13" spans="1:13" ht="16.5" customHeight="1">
      <c r="K13" s="121"/>
      <c r="L13" s="121"/>
      <c r="M13" s="122"/>
    </row>
    <row r="14" spans="1:13" ht="16.5" customHeight="1" thickBot="1">
      <c r="K14" s="121"/>
      <c r="L14" s="121"/>
      <c r="M14" s="122"/>
    </row>
    <row r="15" spans="1:13" ht="16" customHeight="1" thickBot="1">
      <c r="A15" s="134" t="s">
        <v>169</v>
      </c>
      <c r="B15" s="135" t="s">
        <v>14</v>
      </c>
      <c r="C15" s="135" t="s">
        <v>15</v>
      </c>
      <c r="D15" s="135" t="s">
        <v>135</v>
      </c>
      <c r="E15" s="135" t="s">
        <v>146</v>
      </c>
      <c r="F15" s="135" t="s">
        <v>170</v>
      </c>
      <c r="G15" s="135" t="s">
        <v>171</v>
      </c>
      <c r="H15" s="135" t="s">
        <v>147</v>
      </c>
      <c r="I15" s="135" t="s">
        <v>148</v>
      </c>
      <c r="J15" s="135" t="s">
        <v>59</v>
      </c>
      <c r="K15" s="136" t="s">
        <v>131</v>
      </c>
      <c r="L15" s="137" t="s">
        <v>199</v>
      </c>
      <c r="M15" s="138" t="s">
        <v>200</v>
      </c>
    </row>
    <row r="16" spans="1:13" ht="16.5" customHeight="1" thickBot="1">
      <c r="A16" s="139">
        <v>46143</v>
      </c>
      <c r="B16" s="140" t="s">
        <v>172</v>
      </c>
      <c r="C16" s="140" t="s">
        <v>121</v>
      </c>
      <c r="D16" s="141">
        <v>1</v>
      </c>
      <c r="E16" s="142">
        <v>6182</v>
      </c>
      <c r="F16" s="120"/>
      <c r="G16" s="142">
        <v>6182</v>
      </c>
      <c r="H16" s="142">
        <v>6182</v>
      </c>
      <c r="I16" s="142">
        <v>618</v>
      </c>
      <c r="J16" s="142">
        <v>6800</v>
      </c>
      <c r="K16" s="143" t="s">
        <v>485</v>
      </c>
      <c r="L16" s="143" t="s">
        <v>201</v>
      </c>
      <c r="M16" s="144" t="s">
        <v>202</v>
      </c>
    </row>
    <row r="17" spans="1:13" ht="16.5" customHeight="1" thickBot="1">
      <c r="A17" s="139">
        <v>46143</v>
      </c>
      <c r="B17" s="140" t="s">
        <v>172</v>
      </c>
      <c r="C17" s="140" t="s">
        <v>121</v>
      </c>
      <c r="D17" s="141">
        <v>3</v>
      </c>
      <c r="E17" s="142">
        <v>6182</v>
      </c>
      <c r="F17" s="120"/>
      <c r="G17" s="142">
        <v>6182</v>
      </c>
      <c r="H17" s="142">
        <v>18545</v>
      </c>
      <c r="I17" s="142">
        <v>1855</v>
      </c>
      <c r="J17" s="142">
        <v>20400</v>
      </c>
      <c r="K17" s="143" t="s">
        <v>486</v>
      </c>
      <c r="L17" s="143" t="s">
        <v>201</v>
      </c>
      <c r="M17" s="144" t="s">
        <v>202</v>
      </c>
    </row>
    <row r="18" spans="1:13" ht="16.5" customHeight="1" thickBot="1">
      <c r="A18" s="139">
        <v>46143</v>
      </c>
      <c r="B18" s="140" t="s">
        <v>172</v>
      </c>
      <c r="C18" s="140" t="s">
        <v>121</v>
      </c>
      <c r="D18" s="141">
        <v>3</v>
      </c>
      <c r="E18" s="142">
        <v>6182</v>
      </c>
      <c r="F18" s="120"/>
      <c r="G18" s="142">
        <v>6182</v>
      </c>
      <c r="H18" s="142">
        <v>18545</v>
      </c>
      <c r="I18" s="142">
        <v>1855</v>
      </c>
      <c r="J18" s="142">
        <v>20400</v>
      </c>
      <c r="K18" s="143" t="s">
        <v>487</v>
      </c>
      <c r="L18" s="143" t="s">
        <v>201</v>
      </c>
      <c r="M18" s="144" t="s">
        <v>202</v>
      </c>
    </row>
    <row r="19" spans="1:13" ht="16.5" customHeight="1" thickBot="1">
      <c r="A19" s="139">
        <v>46143</v>
      </c>
      <c r="B19" s="140" t="s">
        <v>172</v>
      </c>
      <c r="C19" s="140" t="s">
        <v>121</v>
      </c>
      <c r="D19" s="141">
        <v>5</v>
      </c>
      <c r="E19" s="142">
        <v>6182</v>
      </c>
      <c r="F19" s="120"/>
      <c r="G19" s="142">
        <v>6182</v>
      </c>
      <c r="H19" s="142">
        <v>30909</v>
      </c>
      <c r="I19" s="142">
        <v>3091</v>
      </c>
      <c r="J19" s="142">
        <v>34000</v>
      </c>
      <c r="K19" s="143" t="s">
        <v>488</v>
      </c>
      <c r="L19" s="143" t="s">
        <v>201</v>
      </c>
      <c r="M19" s="144" t="s">
        <v>202</v>
      </c>
    </row>
    <row r="20" spans="1:13" ht="16.5" customHeight="1" thickBot="1">
      <c r="A20" s="139">
        <v>46145</v>
      </c>
      <c r="B20" s="140" t="s">
        <v>172</v>
      </c>
      <c r="C20" s="140" t="s">
        <v>121</v>
      </c>
      <c r="D20" s="141">
        <v>1</v>
      </c>
      <c r="E20" s="142">
        <v>6182</v>
      </c>
      <c r="F20" s="120"/>
      <c r="G20" s="142">
        <v>6182</v>
      </c>
      <c r="H20" s="142">
        <v>6182</v>
      </c>
      <c r="I20" s="142">
        <v>618</v>
      </c>
      <c r="J20" s="142">
        <v>6800</v>
      </c>
      <c r="K20" s="143" t="s">
        <v>489</v>
      </c>
      <c r="L20" s="143" t="s">
        <v>201</v>
      </c>
      <c r="M20" s="144" t="s">
        <v>202</v>
      </c>
    </row>
    <row r="21" spans="1:13" ht="16.5" customHeight="1" thickBot="1">
      <c r="A21" s="139">
        <v>46146</v>
      </c>
      <c r="B21" s="140" t="s">
        <v>172</v>
      </c>
      <c r="C21" s="140" t="s">
        <v>121</v>
      </c>
      <c r="D21" s="141">
        <v>1</v>
      </c>
      <c r="E21" s="142">
        <v>6182</v>
      </c>
      <c r="F21" s="120"/>
      <c r="G21" s="142">
        <v>6182</v>
      </c>
      <c r="H21" s="142">
        <v>6182</v>
      </c>
      <c r="I21" s="142">
        <v>618</v>
      </c>
      <c r="J21" s="142">
        <v>6800</v>
      </c>
      <c r="K21" s="143" t="s">
        <v>490</v>
      </c>
      <c r="L21" s="143" t="s">
        <v>201</v>
      </c>
      <c r="M21" s="144" t="s">
        <v>202</v>
      </c>
    </row>
    <row r="22" spans="1:13" ht="16.5" customHeight="1" thickBot="1">
      <c r="A22" s="139">
        <v>46147</v>
      </c>
      <c r="B22" s="140" t="s">
        <v>172</v>
      </c>
      <c r="C22" s="140" t="s">
        <v>121</v>
      </c>
      <c r="D22" s="141">
        <v>1</v>
      </c>
      <c r="E22" s="142">
        <v>6182</v>
      </c>
      <c r="F22" s="120"/>
      <c r="G22" s="142">
        <v>6182</v>
      </c>
      <c r="H22" s="142">
        <v>6182</v>
      </c>
      <c r="I22" s="142">
        <v>618</v>
      </c>
      <c r="J22" s="142">
        <v>6800</v>
      </c>
      <c r="K22" s="143" t="s">
        <v>491</v>
      </c>
      <c r="L22" s="143" t="s">
        <v>201</v>
      </c>
      <c r="M22" s="144" t="s">
        <v>202</v>
      </c>
    </row>
    <row r="23" spans="1:13" ht="16.5" customHeight="1" thickBot="1">
      <c r="A23" s="139">
        <v>46147</v>
      </c>
      <c r="B23" s="140" t="s">
        <v>172</v>
      </c>
      <c r="C23" s="140" t="s">
        <v>121</v>
      </c>
      <c r="D23" s="141">
        <v>3</v>
      </c>
      <c r="E23" s="142">
        <v>6182</v>
      </c>
      <c r="F23" s="120"/>
      <c r="G23" s="142">
        <v>6182</v>
      </c>
      <c r="H23" s="142">
        <v>18545</v>
      </c>
      <c r="I23" s="142">
        <v>1855</v>
      </c>
      <c r="J23" s="142">
        <v>20400</v>
      </c>
      <c r="K23" s="143" t="s">
        <v>492</v>
      </c>
      <c r="L23" s="143" t="s">
        <v>201</v>
      </c>
      <c r="M23" s="144" t="s">
        <v>202</v>
      </c>
    </row>
    <row r="24" spans="1:13" ht="16.5" customHeight="1" thickBot="1">
      <c r="A24" s="139">
        <v>46146</v>
      </c>
      <c r="B24" s="140" t="s">
        <v>172</v>
      </c>
      <c r="C24" s="140" t="s">
        <v>121</v>
      </c>
      <c r="D24" s="141">
        <v>3</v>
      </c>
      <c r="E24" s="142">
        <v>6182</v>
      </c>
      <c r="F24" s="120"/>
      <c r="G24" s="142">
        <v>6182</v>
      </c>
      <c r="H24" s="142">
        <v>18545</v>
      </c>
      <c r="I24" s="142">
        <v>1855</v>
      </c>
      <c r="J24" s="142">
        <v>20400</v>
      </c>
      <c r="K24" s="143" t="s">
        <v>493</v>
      </c>
      <c r="L24" s="143" t="s">
        <v>201</v>
      </c>
      <c r="M24" s="144" t="s">
        <v>202</v>
      </c>
    </row>
    <row r="25" spans="1:13" ht="16.5" customHeight="1" thickBot="1">
      <c r="A25" s="139">
        <v>46148</v>
      </c>
      <c r="B25" s="140" t="s">
        <v>172</v>
      </c>
      <c r="C25" s="140" t="s">
        <v>121</v>
      </c>
      <c r="D25" s="141">
        <v>1</v>
      </c>
      <c r="E25" s="142">
        <v>6182</v>
      </c>
      <c r="F25" s="120"/>
      <c r="G25" s="142">
        <v>6182</v>
      </c>
      <c r="H25" s="142">
        <v>6182</v>
      </c>
      <c r="I25" s="142">
        <v>618</v>
      </c>
      <c r="J25" s="142">
        <v>6800</v>
      </c>
      <c r="K25" s="143" t="s">
        <v>494</v>
      </c>
      <c r="L25" s="143" t="s">
        <v>201</v>
      </c>
      <c r="M25" s="144" t="s">
        <v>202</v>
      </c>
    </row>
    <row r="26" spans="1:13" ht="16.5" customHeight="1" thickBot="1">
      <c r="A26" s="139">
        <v>46148</v>
      </c>
      <c r="B26" s="140" t="s">
        <v>172</v>
      </c>
      <c r="C26" s="140" t="s">
        <v>121</v>
      </c>
      <c r="D26" s="141">
        <v>1</v>
      </c>
      <c r="E26" s="142">
        <v>6182</v>
      </c>
      <c r="F26" s="120"/>
      <c r="G26" s="142">
        <v>6182</v>
      </c>
      <c r="H26" s="142">
        <v>6182</v>
      </c>
      <c r="I26" s="142">
        <v>618</v>
      </c>
      <c r="J26" s="142">
        <v>6800</v>
      </c>
      <c r="K26" s="143" t="s">
        <v>495</v>
      </c>
      <c r="L26" s="143" t="s">
        <v>201</v>
      </c>
      <c r="M26" s="144" t="s">
        <v>202</v>
      </c>
    </row>
    <row r="27" spans="1:13" ht="16.5" customHeight="1" thickBot="1">
      <c r="A27" s="139">
        <v>46147</v>
      </c>
      <c r="B27" s="140" t="s">
        <v>172</v>
      </c>
      <c r="C27" s="140" t="s">
        <v>121</v>
      </c>
      <c r="D27" s="141">
        <v>1</v>
      </c>
      <c r="E27" s="142">
        <v>6182</v>
      </c>
      <c r="F27" s="120"/>
      <c r="G27" s="142">
        <v>6182</v>
      </c>
      <c r="H27" s="142">
        <v>6182</v>
      </c>
      <c r="I27" s="142">
        <v>618</v>
      </c>
      <c r="J27" s="142">
        <v>6800</v>
      </c>
      <c r="K27" s="143" t="s">
        <v>496</v>
      </c>
      <c r="L27" s="143" t="s">
        <v>201</v>
      </c>
      <c r="M27" s="144" t="s">
        <v>202</v>
      </c>
    </row>
    <row r="28" spans="1:13" ht="16.5" customHeight="1" thickBot="1">
      <c r="A28" s="139">
        <v>46149</v>
      </c>
      <c r="B28" s="140" t="s">
        <v>172</v>
      </c>
      <c r="C28" s="140" t="s">
        <v>121</v>
      </c>
      <c r="D28" s="141">
        <v>1</v>
      </c>
      <c r="E28" s="142">
        <v>6182</v>
      </c>
      <c r="F28" s="120"/>
      <c r="G28" s="142">
        <v>6182</v>
      </c>
      <c r="H28" s="142">
        <v>6182</v>
      </c>
      <c r="I28" s="142">
        <v>618</v>
      </c>
      <c r="J28" s="142">
        <v>6800</v>
      </c>
      <c r="K28" s="143" t="s">
        <v>497</v>
      </c>
      <c r="L28" s="143" t="s">
        <v>201</v>
      </c>
      <c r="M28" s="144" t="s">
        <v>202</v>
      </c>
    </row>
    <row r="29" spans="1:13" ht="16.5" customHeight="1" thickBot="1">
      <c r="A29" s="139">
        <v>46149</v>
      </c>
      <c r="B29" s="140" t="s">
        <v>172</v>
      </c>
      <c r="C29" s="140" t="s">
        <v>121</v>
      </c>
      <c r="D29" s="141">
        <v>3</v>
      </c>
      <c r="E29" s="142">
        <v>6182</v>
      </c>
      <c r="F29" s="120"/>
      <c r="G29" s="142">
        <v>6182</v>
      </c>
      <c r="H29" s="142">
        <v>18545</v>
      </c>
      <c r="I29" s="142">
        <v>1855</v>
      </c>
      <c r="J29" s="142">
        <v>20400</v>
      </c>
      <c r="K29" s="143" t="s">
        <v>498</v>
      </c>
      <c r="L29" s="143" t="s">
        <v>201</v>
      </c>
      <c r="M29" s="144" t="s">
        <v>202</v>
      </c>
    </row>
    <row r="30" spans="1:13" ht="16.5" customHeight="1" thickBot="1">
      <c r="A30" s="139">
        <v>46150</v>
      </c>
      <c r="B30" s="140" t="s">
        <v>172</v>
      </c>
      <c r="C30" s="140" t="s">
        <v>121</v>
      </c>
      <c r="D30" s="141">
        <v>1</v>
      </c>
      <c r="E30" s="142">
        <v>6182</v>
      </c>
      <c r="F30" s="120"/>
      <c r="G30" s="142">
        <v>6182</v>
      </c>
      <c r="H30" s="142">
        <v>6182</v>
      </c>
      <c r="I30" s="142">
        <v>618</v>
      </c>
      <c r="J30" s="142">
        <v>6800</v>
      </c>
      <c r="K30" s="143" t="s">
        <v>499</v>
      </c>
      <c r="L30" s="143" t="s">
        <v>201</v>
      </c>
      <c r="M30" s="144" t="s">
        <v>202</v>
      </c>
    </row>
    <row r="31" spans="1:13" ht="16.5" customHeight="1" thickBot="1">
      <c r="A31" s="139">
        <v>46150</v>
      </c>
      <c r="B31" s="140" t="s">
        <v>172</v>
      </c>
      <c r="C31" s="140" t="s">
        <v>121</v>
      </c>
      <c r="D31" s="141">
        <v>1</v>
      </c>
      <c r="E31" s="142">
        <v>6182</v>
      </c>
      <c r="F31" s="120"/>
      <c r="G31" s="142">
        <v>6182</v>
      </c>
      <c r="H31" s="142">
        <v>6182</v>
      </c>
      <c r="I31" s="142">
        <v>618</v>
      </c>
      <c r="J31" s="142">
        <v>6800</v>
      </c>
      <c r="K31" s="143" t="s">
        <v>500</v>
      </c>
      <c r="L31" s="143" t="s">
        <v>201</v>
      </c>
      <c r="M31" s="144" t="s">
        <v>202</v>
      </c>
    </row>
    <row r="32" spans="1:13" ht="16.5" customHeight="1" thickBot="1">
      <c r="A32" s="139">
        <v>46150</v>
      </c>
      <c r="B32" s="140" t="s">
        <v>172</v>
      </c>
      <c r="C32" s="140" t="s">
        <v>121</v>
      </c>
      <c r="D32" s="141">
        <v>1</v>
      </c>
      <c r="E32" s="142">
        <v>6182</v>
      </c>
      <c r="F32" s="120"/>
      <c r="G32" s="142">
        <v>6182</v>
      </c>
      <c r="H32" s="142">
        <v>6182</v>
      </c>
      <c r="I32" s="142">
        <v>618</v>
      </c>
      <c r="J32" s="142">
        <v>6800</v>
      </c>
      <c r="K32" s="143" t="s">
        <v>501</v>
      </c>
      <c r="L32" s="143" t="s">
        <v>201</v>
      </c>
      <c r="M32" s="144" t="s">
        <v>202</v>
      </c>
    </row>
    <row r="33" spans="1:13" ht="16.5" customHeight="1" thickBot="1">
      <c r="A33" s="139">
        <v>46150</v>
      </c>
      <c r="B33" s="140" t="s">
        <v>172</v>
      </c>
      <c r="C33" s="140" t="s">
        <v>121</v>
      </c>
      <c r="D33" s="141">
        <v>1</v>
      </c>
      <c r="E33" s="142">
        <v>6182</v>
      </c>
      <c r="F33" s="120"/>
      <c r="G33" s="142">
        <v>6182</v>
      </c>
      <c r="H33" s="142">
        <v>6182</v>
      </c>
      <c r="I33" s="142">
        <v>618</v>
      </c>
      <c r="J33" s="142">
        <v>6800</v>
      </c>
      <c r="K33" s="143" t="s">
        <v>502</v>
      </c>
      <c r="L33" s="143" t="s">
        <v>201</v>
      </c>
      <c r="M33" s="144" t="s">
        <v>202</v>
      </c>
    </row>
    <row r="34" spans="1:13" ht="16.5" customHeight="1" thickBot="1">
      <c r="A34" s="139">
        <v>46152</v>
      </c>
      <c r="B34" s="140" t="s">
        <v>172</v>
      </c>
      <c r="C34" s="140" t="s">
        <v>121</v>
      </c>
      <c r="D34" s="141">
        <v>1</v>
      </c>
      <c r="E34" s="142">
        <v>6182</v>
      </c>
      <c r="F34" s="120"/>
      <c r="G34" s="142">
        <v>6182</v>
      </c>
      <c r="H34" s="142">
        <v>6182</v>
      </c>
      <c r="I34" s="142">
        <v>618</v>
      </c>
      <c r="J34" s="142">
        <v>6800</v>
      </c>
      <c r="K34" s="143" t="s">
        <v>503</v>
      </c>
      <c r="L34" s="143" t="s">
        <v>201</v>
      </c>
      <c r="M34" s="144" t="s">
        <v>202</v>
      </c>
    </row>
    <row r="35" spans="1:13" ht="16.5" customHeight="1" thickBot="1">
      <c r="A35" s="139">
        <v>46152</v>
      </c>
      <c r="B35" s="140" t="s">
        <v>172</v>
      </c>
      <c r="C35" s="140" t="s">
        <v>121</v>
      </c>
      <c r="D35" s="141">
        <v>1</v>
      </c>
      <c r="E35" s="142">
        <v>6182</v>
      </c>
      <c r="F35" s="120"/>
      <c r="G35" s="142">
        <v>6182</v>
      </c>
      <c r="H35" s="142">
        <v>6182</v>
      </c>
      <c r="I35" s="142">
        <v>618</v>
      </c>
      <c r="J35" s="142">
        <v>6800</v>
      </c>
      <c r="K35" s="143" t="s">
        <v>504</v>
      </c>
      <c r="L35" s="143" t="s">
        <v>201</v>
      </c>
      <c r="M35" s="144" t="s">
        <v>202</v>
      </c>
    </row>
    <row r="36" spans="1:13" ht="16.5" customHeight="1" thickBot="1">
      <c r="A36" s="139">
        <v>46153</v>
      </c>
      <c r="B36" s="140" t="s">
        <v>172</v>
      </c>
      <c r="C36" s="140" t="s">
        <v>121</v>
      </c>
      <c r="D36" s="141">
        <v>1</v>
      </c>
      <c r="E36" s="142">
        <v>6182</v>
      </c>
      <c r="F36" s="120"/>
      <c r="G36" s="142">
        <v>6182</v>
      </c>
      <c r="H36" s="142">
        <v>6182</v>
      </c>
      <c r="I36" s="142">
        <v>618</v>
      </c>
      <c r="J36" s="142">
        <v>6800</v>
      </c>
      <c r="K36" s="143" t="s">
        <v>505</v>
      </c>
      <c r="L36" s="143" t="s">
        <v>201</v>
      </c>
      <c r="M36" s="144" t="s">
        <v>202</v>
      </c>
    </row>
    <row r="37" spans="1:13" ht="16.5" customHeight="1" thickBot="1">
      <c r="A37" s="139">
        <v>46154</v>
      </c>
      <c r="B37" s="140" t="s">
        <v>172</v>
      </c>
      <c r="C37" s="140" t="s">
        <v>121</v>
      </c>
      <c r="D37" s="141">
        <v>1</v>
      </c>
      <c r="E37" s="142">
        <v>6182</v>
      </c>
      <c r="F37" s="120"/>
      <c r="G37" s="142">
        <v>6182</v>
      </c>
      <c r="H37" s="142">
        <v>6182</v>
      </c>
      <c r="I37" s="142">
        <v>618</v>
      </c>
      <c r="J37" s="142">
        <v>6800</v>
      </c>
      <c r="K37" s="143" t="s">
        <v>506</v>
      </c>
      <c r="L37" s="143" t="s">
        <v>201</v>
      </c>
      <c r="M37" s="144" t="s">
        <v>202</v>
      </c>
    </row>
    <row r="38" spans="1:13" ht="16.5" customHeight="1" thickBot="1">
      <c r="A38" s="139">
        <v>46154</v>
      </c>
      <c r="B38" s="140" t="s">
        <v>172</v>
      </c>
      <c r="C38" s="140" t="s">
        <v>121</v>
      </c>
      <c r="D38" s="141">
        <v>6</v>
      </c>
      <c r="E38" s="142">
        <v>6182</v>
      </c>
      <c r="F38" s="120"/>
      <c r="G38" s="142">
        <v>6182</v>
      </c>
      <c r="H38" s="142">
        <v>37091</v>
      </c>
      <c r="I38" s="142">
        <v>3709</v>
      </c>
      <c r="J38" s="142">
        <v>40800</v>
      </c>
      <c r="K38" s="143" t="s">
        <v>506</v>
      </c>
      <c r="L38" s="143" t="s">
        <v>201</v>
      </c>
      <c r="M38" s="144" t="s">
        <v>202</v>
      </c>
    </row>
    <row r="39" spans="1:13" ht="16.5" customHeight="1" thickBot="1">
      <c r="A39" s="139">
        <v>46154</v>
      </c>
      <c r="B39" s="140" t="s">
        <v>172</v>
      </c>
      <c r="C39" s="140" t="s">
        <v>121</v>
      </c>
      <c r="D39" s="141">
        <v>1</v>
      </c>
      <c r="E39" s="142">
        <v>6182</v>
      </c>
      <c r="F39" s="120"/>
      <c r="G39" s="142">
        <v>6182</v>
      </c>
      <c r="H39" s="142">
        <v>6182</v>
      </c>
      <c r="I39" s="142">
        <v>618</v>
      </c>
      <c r="J39" s="142">
        <v>6800</v>
      </c>
      <c r="K39" s="143" t="s">
        <v>507</v>
      </c>
      <c r="L39" s="143" t="s">
        <v>201</v>
      </c>
      <c r="M39" s="144" t="s">
        <v>202</v>
      </c>
    </row>
    <row r="40" spans="1:13" ht="16.5" customHeight="1" thickBot="1">
      <c r="A40" s="139">
        <v>46155</v>
      </c>
      <c r="B40" s="140" t="s">
        <v>172</v>
      </c>
      <c r="C40" s="140" t="s">
        <v>121</v>
      </c>
      <c r="D40" s="141">
        <v>1</v>
      </c>
      <c r="E40" s="142">
        <v>6182</v>
      </c>
      <c r="F40" s="120"/>
      <c r="G40" s="142">
        <v>6182</v>
      </c>
      <c r="H40" s="142">
        <v>6182</v>
      </c>
      <c r="I40" s="142">
        <v>618</v>
      </c>
      <c r="J40" s="142">
        <v>6800</v>
      </c>
      <c r="K40" s="143" t="s">
        <v>508</v>
      </c>
      <c r="L40" s="143" t="s">
        <v>201</v>
      </c>
      <c r="M40" s="144" t="s">
        <v>202</v>
      </c>
    </row>
    <row r="41" spans="1:13" ht="16.5" customHeight="1" thickBot="1">
      <c r="A41" s="139">
        <v>46155</v>
      </c>
      <c r="B41" s="140" t="s">
        <v>172</v>
      </c>
      <c r="C41" s="140" t="s">
        <v>121</v>
      </c>
      <c r="D41" s="141">
        <v>2</v>
      </c>
      <c r="E41" s="142">
        <v>6182</v>
      </c>
      <c r="F41" s="120"/>
      <c r="G41" s="142">
        <v>6182</v>
      </c>
      <c r="H41" s="142">
        <v>12364</v>
      </c>
      <c r="I41" s="142">
        <v>1236</v>
      </c>
      <c r="J41" s="142">
        <v>13600</v>
      </c>
      <c r="K41" s="143" t="s">
        <v>509</v>
      </c>
      <c r="L41" s="143" t="s">
        <v>201</v>
      </c>
      <c r="M41" s="144" t="s">
        <v>202</v>
      </c>
    </row>
    <row r="42" spans="1:13" ht="16.5" customHeight="1" thickBot="1">
      <c r="A42" s="139">
        <v>46155</v>
      </c>
      <c r="B42" s="140" t="s">
        <v>172</v>
      </c>
      <c r="C42" s="140" t="s">
        <v>121</v>
      </c>
      <c r="D42" s="141">
        <v>3</v>
      </c>
      <c r="E42" s="142">
        <v>6182</v>
      </c>
      <c r="F42" s="120"/>
      <c r="G42" s="142">
        <v>6182</v>
      </c>
      <c r="H42" s="142">
        <v>18545</v>
      </c>
      <c r="I42" s="142">
        <v>1855</v>
      </c>
      <c r="J42" s="142">
        <v>20400</v>
      </c>
      <c r="K42" s="143" t="s">
        <v>510</v>
      </c>
      <c r="L42" s="143" t="s">
        <v>201</v>
      </c>
      <c r="M42" s="144" t="s">
        <v>202</v>
      </c>
    </row>
    <row r="43" spans="1:13" ht="16.5" customHeight="1" thickBot="1">
      <c r="A43" s="139">
        <v>46156</v>
      </c>
      <c r="B43" s="140" t="s">
        <v>172</v>
      </c>
      <c r="C43" s="140" t="s">
        <v>121</v>
      </c>
      <c r="D43" s="141">
        <v>1</v>
      </c>
      <c r="E43" s="142">
        <v>6182</v>
      </c>
      <c r="F43" s="120"/>
      <c r="G43" s="142">
        <v>6182</v>
      </c>
      <c r="H43" s="142">
        <v>6182</v>
      </c>
      <c r="I43" s="142">
        <v>618</v>
      </c>
      <c r="J43" s="142">
        <v>6800</v>
      </c>
      <c r="K43" s="143" t="s">
        <v>511</v>
      </c>
      <c r="L43" s="143" t="s">
        <v>201</v>
      </c>
      <c r="M43" s="144" t="s">
        <v>202</v>
      </c>
    </row>
    <row r="44" spans="1:13" ht="16.5" customHeight="1" thickBot="1">
      <c r="A44" s="139">
        <v>46156</v>
      </c>
      <c r="B44" s="140" t="s">
        <v>172</v>
      </c>
      <c r="C44" s="140" t="s">
        <v>121</v>
      </c>
      <c r="D44" s="141">
        <v>1</v>
      </c>
      <c r="E44" s="142">
        <v>6182</v>
      </c>
      <c r="F44" s="120"/>
      <c r="G44" s="142">
        <v>6182</v>
      </c>
      <c r="H44" s="142">
        <v>6182</v>
      </c>
      <c r="I44" s="142">
        <v>618</v>
      </c>
      <c r="J44" s="142">
        <v>6800</v>
      </c>
      <c r="K44" s="143" t="s">
        <v>512</v>
      </c>
      <c r="L44" s="143" t="s">
        <v>201</v>
      </c>
      <c r="M44" s="144" t="s">
        <v>202</v>
      </c>
    </row>
    <row r="45" spans="1:13" ht="16.5" customHeight="1" thickBot="1">
      <c r="A45" s="139">
        <v>46157</v>
      </c>
      <c r="B45" s="140" t="s">
        <v>172</v>
      </c>
      <c r="C45" s="140" t="s">
        <v>121</v>
      </c>
      <c r="D45" s="141">
        <v>1</v>
      </c>
      <c r="E45" s="142">
        <v>6182</v>
      </c>
      <c r="F45" s="120"/>
      <c r="G45" s="142">
        <v>6182</v>
      </c>
      <c r="H45" s="142">
        <v>6182</v>
      </c>
      <c r="I45" s="142">
        <v>618</v>
      </c>
      <c r="J45" s="142">
        <v>6800</v>
      </c>
      <c r="K45" s="143" t="s">
        <v>513</v>
      </c>
      <c r="L45" s="143" t="s">
        <v>201</v>
      </c>
      <c r="M45" s="144" t="s">
        <v>202</v>
      </c>
    </row>
    <row r="46" spans="1:13" ht="16.5" customHeight="1" thickBot="1">
      <c r="A46" s="139">
        <v>46157</v>
      </c>
      <c r="B46" s="140" t="s">
        <v>172</v>
      </c>
      <c r="C46" s="140" t="s">
        <v>121</v>
      </c>
      <c r="D46" s="141">
        <v>3</v>
      </c>
      <c r="E46" s="142">
        <v>6182</v>
      </c>
      <c r="F46" s="120"/>
      <c r="G46" s="142">
        <v>6182</v>
      </c>
      <c r="H46" s="142">
        <v>18545</v>
      </c>
      <c r="I46" s="142">
        <v>1855</v>
      </c>
      <c r="J46" s="142">
        <v>20400</v>
      </c>
      <c r="K46" s="143" t="s">
        <v>514</v>
      </c>
      <c r="L46" s="143" t="s">
        <v>201</v>
      </c>
      <c r="M46" s="144" t="s">
        <v>202</v>
      </c>
    </row>
    <row r="47" spans="1:13" ht="16.5" customHeight="1" thickBot="1">
      <c r="A47" s="139">
        <v>46160</v>
      </c>
      <c r="B47" s="140" t="s">
        <v>172</v>
      </c>
      <c r="C47" s="140" t="s">
        <v>121</v>
      </c>
      <c r="D47" s="141">
        <v>1</v>
      </c>
      <c r="E47" s="142">
        <v>6182</v>
      </c>
      <c r="F47" s="120"/>
      <c r="G47" s="142">
        <v>6182</v>
      </c>
      <c r="H47" s="142">
        <v>6182</v>
      </c>
      <c r="I47" s="142">
        <v>618</v>
      </c>
      <c r="J47" s="142">
        <v>6800</v>
      </c>
      <c r="K47" s="143" t="s">
        <v>515</v>
      </c>
      <c r="L47" s="143" t="s">
        <v>201</v>
      </c>
      <c r="M47" s="144" t="s">
        <v>202</v>
      </c>
    </row>
    <row r="48" spans="1:13" ht="16.5" customHeight="1" thickBot="1">
      <c r="A48" s="139">
        <v>46160</v>
      </c>
      <c r="B48" s="140" t="s">
        <v>172</v>
      </c>
      <c r="C48" s="140" t="s">
        <v>121</v>
      </c>
      <c r="D48" s="141">
        <v>3</v>
      </c>
      <c r="E48" s="142">
        <v>6182</v>
      </c>
      <c r="F48" s="120"/>
      <c r="G48" s="142">
        <v>6182</v>
      </c>
      <c r="H48" s="142">
        <v>18545</v>
      </c>
      <c r="I48" s="142">
        <v>1855</v>
      </c>
      <c r="J48" s="142">
        <v>20400</v>
      </c>
      <c r="K48" s="143" t="s">
        <v>516</v>
      </c>
      <c r="L48" s="143" t="s">
        <v>201</v>
      </c>
      <c r="M48" s="144" t="s">
        <v>202</v>
      </c>
    </row>
    <row r="49" spans="1:13" ht="16.5" customHeight="1" thickBot="1">
      <c r="A49" s="139">
        <v>46159</v>
      </c>
      <c r="B49" s="140" t="s">
        <v>172</v>
      </c>
      <c r="C49" s="140" t="s">
        <v>121</v>
      </c>
      <c r="D49" s="141">
        <v>1</v>
      </c>
      <c r="E49" s="142">
        <v>6182</v>
      </c>
      <c r="F49" s="120"/>
      <c r="G49" s="142">
        <v>6182</v>
      </c>
      <c r="H49" s="142">
        <v>6182</v>
      </c>
      <c r="I49" s="142">
        <v>618</v>
      </c>
      <c r="J49" s="142">
        <v>6800</v>
      </c>
      <c r="K49" s="143" t="s">
        <v>517</v>
      </c>
      <c r="L49" s="143" t="s">
        <v>201</v>
      </c>
      <c r="M49" s="144" t="s">
        <v>202</v>
      </c>
    </row>
    <row r="50" spans="1:13" ht="16.5" customHeight="1" thickBot="1">
      <c r="A50" s="139">
        <v>46159</v>
      </c>
      <c r="B50" s="140" t="s">
        <v>172</v>
      </c>
      <c r="C50" s="140" t="s">
        <v>121</v>
      </c>
      <c r="D50" s="141">
        <v>1</v>
      </c>
      <c r="E50" s="142">
        <v>6182</v>
      </c>
      <c r="F50" s="120"/>
      <c r="G50" s="142">
        <v>6182</v>
      </c>
      <c r="H50" s="142">
        <v>6182</v>
      </c>
      <c r="I50" s="142">
        <v>618</v>
      </c>
      <c r="J50" s="142">
        <v>6800</v>
      </c>
      <c r="K50" s="143" t="s">
        <v>518</v>
      </c>
      <c r="L50" s="143" t="s">
        <v>201</v>
      </c>
      <c r="M50" s="144" t="s">
        <v>202</v>
      </c>
    </row>
    <row r="51" spans="1:13" ht="16.5" customHeight="1" thickBot="1">
      <c r="A51" s="139">
        <v>46160</v>
      </c>
      <c r="B51" s="140" t="s">
        <v>172</v>
      </c>
      <c r="C51" s="140" t="s">
        <v>121</v>
      </c>
      <c r="D51" s="141">
        <v>3</v>
      </c>
      <c r="E51" s="142">
        <v>6182</v>
      </c>
      <c r="F51" s="120"/>
      <c r="G51" s="142">
        <v>6182</v>
      </c>
      <c r="H51" s="142">
        <v>18545</v>
      </c>
      <c r="I51" s="142">
        <v>1855</v>
      </c>
      <c r="J51" s="142">
        <v>20400</v>
      </c>
      <c r="K51" s="143" t="s">
        <v>519</v>
      </c>
      <c r="L51" s="143" t="s">
        <v>201</v>
      </c>
      <c r="M51" s="144" t="s">
        <v>202</v>
      </c>
    </row>
    <row r="52" spans="1:13" ht="16.5" customHeight="1" thickBot="1">
      <c r="A52" s="139">
        <v>46161</v>
      </c>
      <c r="B52" s="140" t="s">
        <v>172</v>
      </c>
      <c r="C52" s="140" t="s">
        <v>121</v>
      </c>
      <c r="D52" s="141">
        <v>1</v>
      </c>
      <c r="E52" s="142">
        <v>6182</v>
      </c>
      <c r="F52" s="120"/>
      <c r="G52" s="142">
        <v>6182</v>
      </c>
      <c r="H52" s="142">
        <v>6182</v>
      </c>
      <c r="I52" s="142">
        <v>618</v>
      </c>
      <c r="J52" s="142">
        <v>6800</v>
      </c>
      <c r="K52" s="143" t="s">
        <v>520</v>
      </c>
      <c r="L52" s="143" t="s">
        <v>201</v>
      </c>
      <c r="M52" s="144" t="s">
        <v>202</v>
      </c>
    </row>
    <row r="53" spans="1:13" ht="16.5" customHeight="1" thickBot="1">
      <c r="A53" s="139">
        <v>46161</v>
      </c>
      <c r="B53" s="140" t="s">
        <v>172</v>
      </c>
      <c r="C53" s="140" t="s">
        <v>121</v>
      </c>
      <c r="D53" s="141">
        <v>3</v>
      </c>
      <c r="E53" s="142">
        <v>6182</v>
      </c>
      <c r="F53" s="120"/>
      <c r="G53" s="142">
        <v>6182</v>
      </c>
      <c r="H53" s="142">
        <v>18545</v>
      </c>
      <c r="I53" s="142">
        <v>1855</v>
      </c>
      <c r="J53" s="142">
        <v>20400</v>
      </c>
      <c r="K53" s="143" t="s">
        <v>521</v>
      </c>
      <c r="L53" s="143" t="s">
        <v>201</v>
      </c>
      <c r="M53" s="144" t="s">
        <v>202</v>
      </c>
    </row>
    <row r="54" spans="1:13" ht="16.5" customHeight="1" thickBot="1">
      <c r="A54" s="139">
        <v>46162</v>
      </c>
      <c r="B54" s="140" t="s">
        <v>172</v>
      </c>
      <c r="C54" s="140" t="s">
        <v>121</v>
      </c>
      <c r="D54" s="141">
        <v>1</v>
      </c>
      <c r="E54" s="142">
        <v>6182</v>
      </c>
      <c r="F54" s="120"/>
      <c r="G54" s="142">
        <v>6182</v>
      </c>
      <c r="H54" s="142">
        <v>6182</v>
      </c>
      <c r="I54" s="142">
        <v>618</v>
      </c>
      <c r="J54" s="142">
        <v>6800</v>
      </c>
      <c r="K54" s="143" t="s">
        <v>522</v>
      </c>
      <c r="L54" s="143" t="s">
        <v>201</v>
      </c>
      <c r="M54" s="144" t="s">
        <v>202</v>
      </c>
    </row>
    <row r="55" spans="1:13" ht="16.5" customHeight="1" thickBot="1">
      <c r="A55" s="139">
        <v>46163</v>
      </c>
      <c r="B55" s="140" t="s">
        <v>172</v>
      </c>
      <c r="C55" s="140" t="s">
        <v>121</v>
      </c>
      <c r="D55" s="141">
        <v>1</v>
      </c>
      <c r="E55" s="142">
        <v>6182</v>
      </c>
      <c r="F55" s="120"/>
      <c r="G55" s="142">
        <v>6182</v>
      </c>
      <c r="H55" s="142">
        <v>6182</v>
      </c>
      <c r="I55" s="142">
        <v>618</v>
      </c>
      <c r="J55" s="142">
        <v>6800</v>
      </c>
      <c r="K55" s="143" t="s">
        <v>523</v>
      </c>
      <c r="L55" s="143" t="s">
        <v>201</v>
      </c>
      <c r="M55" s="144" t="s">
        <v>202</v>
      </c>
    </row>
    <row r="56" spans="1:13" ht="16.5" customHeight="1" thickBot="1">
      <c r="A56" s="139">
        <v>46163</v>
      </c>
      <c r="B56" s="140" t="s">
        <v>172</v>
      </c>
      <c r="C56" s="140" t="s">
        <v>121</v>
      </c>
      <c r="D56" s="141">
        <v>1</v>
      </c>
      <c r="E56" s="142">
        <v>6182</v>
      </c>
      <c r="F56" s="120"/>
      <c r="G56" s="142">
        <v>6182</v>
      </c>
      <c r="H56" s="142">
        <v>6182</v>
      </c>
      <c r="I56" s="142">
        <v>618</v>
      </c>
      <c r="J56" s="142">
        <v>6800</v>
      </c>
      <c r="K56" s="143" t="s">
        <v>524</v>
      </c>
      <c r="L56" s="143" t="s">
        <v>201</v>
      </c>
      <c r="M56" s="144" t="s">
        <v>202</v>
      </c>
    </row>
    <row r="57" spans="1:13" ht="16.5" customHeight="1" thickBot="1">
      <c r="A57" s="139">
        <v>46164</v>
      </c>
      <c r="B57" s="140" t="s">
        <v>172</v>
      </c>
      <c r="C57" s="140" t="s">
        <v>121</v>
      </c>
      <c r="D57" s="141">
        <v>1</v>
      </c>
      <c r="E57" s="142">
        <v>6182</v>
      </c>
      <c r="F57" s="120"/>
      <c r="G57" s="142">
        <v>6182</v>
      </c>
      <c r="H57" s="142">
        <v>6182</v>
      </c>
      <c r="I57" s="142">
        <v>618</v>
      </c>
      <c r="J57" s="142">
        <v>6800</v>
      </c>
      <c r="K57" s="143" t="s">
        <v>525</v>
      </c>
      <c r="L57" s="143" t="s">
        <v>201</v>
      </c>
      <c r="M57" s="144" t="s">
        <v>202</v>
      </c>
    </row>
    <row r="58" spans="1:13" ht="16.5" customHeight="1" thickBot="1">
      <c r="A58" s="139">
        <v>46164</v>
      </c>
      <c r="B58" s="140" t="s">
        <v>172</v>
      </c>
      <c r="C58" s="140" t="s">
        <v>121</v>
      </c>
      <c r="D58" s="141">
        <v>1</v>
      </c>
      <c r="E58" s="142">
        <v>6182</v>
      </c>
      <c r="F58" s="120"/>
      <c r="G58" s="142">
        <v>6182</v>
      </c>
      <c r="H58" s="142">
        <v>6182</v>
      </c>
      <c r="I58" s="142">
        <v>618</v>
      </c>
      <c r="J58" s="142">
        <v>6800</v>
      </c>
      <c r="K58" s="143" t="s">
        <v>526</v>
      </c>
      <c r="L58" s="143" t="s">
        <v>201</v>
      </c>
      <c r="M58" s="144" t="s">
        <v>202</v>
      </c>
    </row>
    <row r="59" spans="1:13" ht="16.5" customHeight="1" thickBot="1">
      <c r="A59" s="139">
        <v>46164</v>
      </c>
      <c r="B59" s="140" t="s">
        <v>172</v>
      </c>
      <c r="C59" s="140" t="s">
        <v>121</v>
      </c>
      <c r="D59" s="141">
        <v>3</v>
      </c>
      <c r="E59" s="142">
        <v>6182</v>
      </c>
      <c r="F59" s="120"/>
      <c r="G59" s="142">
        <v>6182</v>
      </c>
      <c r="H59" s="142">
        <v>18545</v>
      </c>
      <c r="I59" s="142">
        <v>1855</v>
      </c>
      <c r="J59" s="142">
        <v>20400</v>
      </c>
      <c r="K59" s="143" t="s">
        <v>527</v>
      </c>
      <c r="L59" s="143" t="s">
        <v>201</v>
      </c>
      <c r="M59" s="144" t="s">
        <v>202</v>
      </c>
    </row>
    <row r="60" spans="1:13" ht="16.5" customHeight="1" thickBot="1">
      <c r="A60" s="139">
        <v>46164</v>
      </c>
      <c r="B60" s="140" t="s">
        <v>172</v>
      </c>
      <c r="C60" s="140" t="s">
        <v>121</v>
      </c>
      <c r="D60" s="141">
        <v>3</v>
      </c>
      <c r="E60" s="142">
        <v>6182</v>
      </c>
      <c r="F60" s="120"/>
      <c r="G60" s="142">
        <v>6182</v>
      </c>
      <c r="H60" s="142">
        <v>18545</v>
      </c>
      <c r="I60" s="142">
        <v>1855</v>
      </c>
      <c r="J60" s="142">
        <v>20400</v>
      </c>
      <c r="K60" s="143" t="s">
        <v>528</v>
      </c>
      <c r="L60" s="143" t="s">
        <v>201</v>
      </c>
      <c r="M60" s="144" t="s">
        <v>202</v>
      </c>
    </row>
    <row r="61" spans="1:13" ht="16.5" customHeight="1" thickBot="1">
      <c r="A61" s="139">
        <v>46168</v>
      </c>
      <c r="B61" s="140" t="s">
        <v>172</v>
      </c>
      <c r="C61" s="140" t="s">
        <v>121</v>
      </c>
      <c r="D61" s="141">
        <v>1</v>
      </c>
      <c r="E61" s="142">
        <v>6182</v>
      </c>
      <c r="F61" s="120"/>
      <c r="G61" s="142">
        <v>6182</v>
      </c>
      <c r="H61" s="142">
        <v>6182</v>
      </c>
      <c r="I61" s="142">
        <v>618</v>
      </c>
      <c r="J61" s="142">
        <v>6800</v>
      </c>
      <c r="K61" s="143" t="s">
        <v>529</v>
      </c>
      <c r="L61" s="143" t="s">
        <v>201</v>
      </c>
      <c r="M61" s="144" t="s">
        <v>202</v>
      </c>
    </row>
    <row r="62" spans="1:13" ht="16.5" customHeight="1" thickBot="1">
      <c r="A62" s="139">
        <v>46167</v>
      </c>
      <c r="B62" s="140" t="s">
        <v>172</v>
      </c>
      <c r="C62" s="140" t="s">
        <v>121</v>
      </c>
      <c r="D62" s="141">
        <v>2</v>
      </c>
      <c r="E62" s="142">
        <v>6182</v>
      </c>
      <c r="F62" s="120"/>
      <c r="G62" s="142">
        <v>6182</v>
      </c>
      <c r="H62" s="142">
        <v>12364</v>
      </c>
      <c r="I62" s="142">
        <v>1236</v>
      </c>
      <c r="J62" s="142">
        <v>13600</v>
      </c>
      <c r="K62" s="143" t="s">
        <v>530</v>
      </c>
      <c r="L62" s="143" t="s">
        <v>201</v>
      </c>
      <c r="M62" s="144" t="s">
        <v>202</v>
      </c>
    </row>
    <row r="63" spans="1:13" ht="16.5" customHeight="1" thickBot="1">
      <c r="A63" s="139">
        <v>46167</v>
      </c>
      <c r="B63" s="140" t="s">
        <v>172</v>
      </c>
      <c r="C63" s="140" t="s">
        <v>121</v>
      </c>
      <c r="D63" s="141">
        <v>9</v>
      </c>
      <c r="E63" s="142">
        <v>6182</v>
      </c>
      <c r="F63" s="120"/>
      <c r="G63" s="142">
        <v>6182</v>
      </c>
      <c r="H63" s="142">
        <v>55636</v>
      </c>
      <c r="I63" s="142">
        <v>5564</v>
      </c>
      <c r="J63" s="142">
        <v>61200</v>
      </c>
      <c r="K63" s="143" t="s">
        <v>531</v>
      </c>
      <c r="L63" s="143" t="s">
        <v>201</v>
      </c>
      <c r="M63" s="144" t="s">
        <v>202</v>
      </c>
    </row>
    <row r="64" spans="1:13" ht="16.5" customHeight="1" thickBot="1">
      <c r="A64" s="139">
        <v>46168</v>
      </c>
      <c r="B64" s="140" t="s">
        <v>172</v>
      </c>
      <c r="C64" s="140" t="s">
        <v>121</v>
      </c>
      <c r="D64" s="141">
        <v>1</v>
      </c>
      <c r="E64" s="142">
        <v>6182</v>
      </c>
      <c r="F64" s="120"/>
      <c r="G64" s="142">
        <v>6182</v>
      </c>
      <c r="H64" s="142">
        <v>6182</v>
      </c>
      <c r="I64" s="142">
        <v>618</v>
      </c>
      <c r="J64" s="142">
        <v>6800</v>
      </c>
      <c r="K64" s="143" t="s">
        <v>532</v>
      </c>
      <c r="L64" s="143" t="s">
        <v>201</v>
      </c>
      <c r="M64" s="144" t="s">
        <v>202</v>
      </c>
    </row>
    <row r="65" spans="1:13" ht="16.5" customHeight="1" thickBot="1">
      <c r="A65" s="139">
        <v>46167</v>
      </c>
      <c r="B65" s="140" t="s">
        <v>172</v>
      </c>
      <c r="C65" s="140" t="s">
        <v>121</v>
      </c>
      <c r="D65" s="141">
        <v>1</v>
      </c>
      <c r="E65" s="142">
        <v>6182</v>
      </c>
      <c r="F65" s="120"/>
      <c r="G65" s="142">
        <v>6182</v>
      </c>
      <c r="H65" s="142">
        <v>6182</v>
      </c>
      <c r="I65" s="142">
        <v>618</v>
      </c>
      <c r="J65" s="142">
        <v>6800</v>
      </c>
      <c r="K65" s="143" t="s">
        <v>533</v>
      </c>
      <c r="L65" s="143" t="s">
        <v>201</v>
      </c>
      <c r="M65" s="144" t="s">
        <v>202</v>
      </c>
    </row>
    <row r="66" spans="1:13" ht="16.5" customHeight="1" thickBot="1">
      <c r="A66" s="139">
        <v>46167</v>
      </c>
      <c r="B66" s="140" t="s">
        <v>172</v>
      </c>
      <c r="C66" s="140" t="s">
        <v>121</v>
      </c>
      <c r="D66" s="141">
        <v>3</v>
      </c>
      <c r="E66" s="142">
        <v>6182</v>
      </c>
      <c r="F66" s="120"/>
      <c r="G66" s="142">
        <v>6182</v>
      </c>
      <c r="H66" s="142">
        <v>18545</v>
      </c>
      <c r="I66" s="142">
        <v>1855</v>
      </c>
      <c r="J66" s="142">
        <v>20400</v>
      </c>
      <c r="K66" s="143" t="s">
        <v>534</v>
      </c>
      <c r="L66" s="143" t="s">
        <v>201</v>
      </c>
      <c r="M66" s="144" t="s">
        <v>202</v>
      </c>
    </row>
    <row r="67" spans="1:13" ht="16.5" customHeight="1" thickBot="1">
      <c r="A67" s="139">
        <v>46167</v>
      </c>
      <c r="B67" s="140" t="s">
        <v>172</v>
      </c>
      <c r="C67" s="140" t="s">
        <v>121</v>
      </c>
      <c r="D67" s="141">
        <v>1</v>
      </c>
      <c r="E67" s="142">
        <v>6182</v>
      </c>
      <c r="F67" s="120"/>
      <c r="G67" s="142">
        <v>6182</v>
      </c>
      <c r="H67" s="142">
        <v>6182</v>
      </c>
      <c r="I67" s="142">
        <v>618</v>
      </c>
      <c r="J67" s="142">
        <v>6800</v>
      </c>
      <c r="K67" s="143" t="s">
        <v>535</v>
      </c>
      <c r="L67" s="143" t="s">
        <v>201</v>
      </c>
      <c r="M67" s="144" t="s">
        <v>202</v>
      </c>
    </row>
    <row r="68" spans="1:13" ht="16.5" customHeight="1" thickBot="1">
      <c r="A68" s="139">
        <v>46167</v>
      </c>
      <c r="B68" s="140" t="s">
        <v>172</v>
      </c>
      <c r="C68" s="140" t="s">
        <v>121</v>
      </c>
      <c r="D68" s="141">
        <v>1</v>
      </c>
      <c r="E68" s="142">
        <v>6182</v>
      </c>
      <c r="F68" s="120"/>
      <c r="G68" s="142">
        <v>6182</v>
      </c>
      <c r="H68" s="142">
        <v>6182</v>
      </c>
      <c r="I68" s="142">
        <v>618</v>
      </c>
      <c r="J68" s="142">
        <v>6800</v>
      </c>
      <c r="K68" s="143" t="s">
        <v>535</v>
      </c>
      <c r="L68" s="143" t="s">
        <v>201</v>
      </c>
      <c r="M68" s="144" t="s">
        <v>202</v>
      </c>
    </row>
    <row r="69" spans="1:13" ht="16.5" customHeight="1" thickBot="1">
      <c r="A69" s="139">
        <v>46168</v>
      </c>
      <c r="B69" s="140" t="s">
        <v>172</v>
      </c>
      <c r="C69" s="140" t="s">
        <v>121</v>
      </c>
      <c r="D69" s="141">
        <v>1</v>
      </c>
      <c r="E69" s="142">
        <v>6182</v>
      </c>
      <c r="F69" s="120"/>
      <c r="G69" s="142">
        <v>6182</v>
      </c>
      <c r="H69" s="142">
        <v>6182</v>
      </c>
      <c r="I69" s="142">
        <v>618</v>
      </c>
      <c r="J69" s="142">
        <v>6800</v>
      </c>
      <c r="K69" s="143" t="s">
        <v>536</v>
      </c>
      <c r="L69" s="143" t="s">
        <v>201</v>
      </c>
      <c r="M69" s="144" t="s">
        <v>202</v>
      </c>
    </row>
    <row r="70" spans="1:13" ht="16.5" customHeight="1" thickBot="1">
      <c r="A70" s="139">
        <v>46168</v>
      </c>
      <c r="B70" s="140" t="s">
        <v>172</v>
      </c>
      <c r="C70" s="140" t="s">
        <v>121</v>
      </c>
      <c r="D70" s="141">
        <v>3</v>
      </c>
      <c r="E70" s="142">
        <v>6182</v>
      </c>
      <c r="F70" s="120"/>
      <c r="G70" s="142">
        <v>6182</v>
      </c>
      <c r="H70" s="142">
        <v>18545</v>
      </c>
      <c r="I70" s="142">
        <v>1855</v>
      </c>
      <c r="J70" s="142">
        <v>20400</v>
      </c>
      <c r="K70" s="143" t="s">
        <v>537</v>
      </c>
      <c r="L70" s="143" t="s">
        <v>201</v>
      </c>
      <c r="M70" s="144" t="s">
        <v>202</v>
      </c>
    </row>
    <row r="71" spans="1:13" ht="16.5" customHeight="1" thickBot="1">
      <c r="A71" s="139">
        <v>46169</v>
      </c>
      <c r="B71" s="140" t="s">
        <v>172</v>
      </c>
      <c r="C71" s="140" t="s">
        <v>121</v>
      </c>
      <c r="D71" s="141">
        <v>1</v>
      </c>
      <c r="E71" s="142">
        <v>6182</v>
      </c>
      <c r="F71" s="120"/>
      <c r="G71" s="142">
        <v>6182</v>
      </c>
      <c r="H71" s="142">
        <v>6182</v>
      </c>
      <c r="I71" s="142">
        <v>618</v>
      </c>
      <c r="J71" s="142">
        <v>6800</v>
      </c>
      <c r="K71" s="143" t="s">
        <v>538</v>
      </c>
      <c r="L71" s="143" t="s">
        <v>201</v>
      </c>
      <c r="M71" s="144" t="s">
        <v>202</v>
      </c>
    </row>
    <row r="72" spans="1:13" ht="16.5" customHeight="1" thickBot="1">
      <c r="A72" s="139">
        <v>46170</v>
      </c>
      <c r="B72" s="140" t="s">
        <v>172</v>
      </c>
      <c r="C72" s="140" t="s">
        <v>121</v>
      </c>
      <c r="D72" s="141">
        <v>5</v>
      </c>
      <c r="E72" s="142">
        <v>6182</v>
      </c>
      <c r="F72" s="120"/>
      <c r="G72" s="142">
        <v>6182</v>
      </c>
      <c r="H72" s="142">
        <v>30909</v>
      </c>
      <c r="I72" s="142">
        <v>3091</v>
      </c>
      <c r="J72" s="142">
        <v>34000</v>
      </c>
      <c r="K72" s="143" t="s">
        <v>539</v>
      </c>
      <c r="L72" s="143" t="s">
        <v>201</v>
      </c>
      <c r="M72" s="144" t="s">
        <v>202</v>
      </c>
    </row>
    <row r="73" spans="1:13" ht="16.5" customHeight="1" thickBot="1">
      <c r="A73" s="139">
        <v>46171</v>
      </c>
      <c r="B73" s="140" t="s">
        <v>172</v>
      </c>
      <c r="C73" s="140" t="s">
        <v>121</v>
      </c>
      <c r="D73" s="141">
        <v>1</v>
      </c>
      <c r="E73" s="142">
        <v>6182</v>
      </c>
      <c r="F73" s="120"/>
      <c r="G73" s="142">
        <v>6182</v>
      </c>
      <c r="H73" s="142">
        <v>6182</v>
      </c>
      <c r="I73" s="142">
        <v>618</v>
      </c>
      <c r="J73" s="142">
        <v>6800</v>
      </c>
      <c r="K73" s="143" t="s">
        <v>540</v>
      </c>
      <c r="L73" s="143" t="s">
        <v>201</v>
      </c>
      <c r="M73" s="144" t="s">
        <v>202</v>
      </c>
    </row>
    <row r="74" spans="1:13" ht="16.5" customHeight="1" thickBot="1">
      <c r="A74" s="139">
        <v>46173</v>
      </c>
      <c r="B74" s="140" t="s">
        <v>172</v>
      </c>
      <c r="C74" s="140" t="s">
        <v>121</v>
      </c>
      <c r="D74" s="141">
        <v>1</v>
      </c>
      <c r="E74" s="142">
        <v>6182</v>
      </c>
      <c r="F74" s="120"/>
      <c r="G74" s="142">
        <v>6182</v>
      </c>
      <c r="H74" s="142">
        <v>6182</v>
      </c>
      <c r="I74" s="142">
        <v>618</v>
      </c>
      <c r="J74" s="142">
        <v>6800</v>
      </c>
      <c r="K74" s="143" t="s">
        <v>541</v>
      </c>
      <c r="L74" s="143" t="s">
        <v>201</v>
      </c>
      <c r="M74" s="144" t="s">
        <v>202</v>
      </c>
    </row>
    <row r="75" spans="1:13" ht="16.5" customHeight="1" thickBot="1">
      <c r="A75" s="139">
        <v>46173</v>
      </c>
      <c r="B75" s="140" t="s">
        <v>172</v>
      </c>
      <c r="C75" s="140" t="s">
        <v>121</v>
      </c>
      <c r="D75" s="141">
        <v>1</v>
      </c>
      <c r="E75" s="142">
        <v>6182</v>
      </c>
      <c r="F75" s="120"/>
      <c r="G75" s="142">
        <v>6182</v>
      </c>
      <c r="H75" s="142">
        <v>6182</v>
      </c>
      <c r="I75" s="142">
        <v>618</v>
      </c>
      <c r="J75" s="142">
        <v>6800</v>
      </c>
      <c r="K75" s="143" t="s">
        <v>542</v>
      </c>
      <c r="L75" s="143" t="s">
        <v>201</v>
      </c>
      <c r="M75" s="144" t="s">
        <v>202</v>
      </c>
    </row>
    <row r="76" spans="1:13" ht="16.5" customHeight="1" thickBot="1">
      <c r="A76" s="139">
        <v>46173</v>
      </c>
      <c r="B76" s="140" t="s">
        <v>172</v>
      </c>
      <c r="C76" s="140" t="s">
        <v>121</v>
      </c>
      <c r="D76" s="141">
        <v>3</v>
      </c>
      <c r="E76" s="142">
        <v>6182</v>
      </c>
      <c r="F76" s="120"/>
      <c r="G76" s="142">
        <v>6182</v>
      </c>
      <c r="H76" s="142">
        <v>18545</v>
      </c>
      <c r="I76" s="142">
        <v>1855</v>
      </c>
      <c r="J76" s="142">
        <v>20400</v>
      </c>
      <c r="K76" s="143" t="s">
        <v>543</v>
      </c>
      <c r="L76" s="143" t="s">
        <v>201</v>
      </c>
      <c r="M76" s="144" t="s">
        <v>202</v>
      </c>
    </row>
    <row r="77" spans="1:13" ht="16.5" customHeight="1" thickBot="1">
      <c r="A77" s="139">
        <v>46157</v>
      </c>
      <c r="B77" s="140" t="s">
        <v>172</v>
      </c>
      <c r="C77" s="140" t="s">
        <v>121</v>
      </c>
      <c r="D77" s="141">
        <v>-3</v>
      </c>
      <c r="E77" s="142">
        <v>6182</v>
      </c>
      <c r="F77" s="120"/>
      <c r="G77" s="142">
        <v>6182</v>
      </c>
      <c r="H77" s="142">
        <v>-18545</v>
      </c>
      <c r="I77" s="142">
        <v>-1855</v>
      </c>
      <c r="J77" s="142">
        <v>-20400</v>
      </c>
      <c r="K77" s="143" t="s">
        <v>544</v>
      </c>
      <c r="L77" s="143" t="s">
        <v>242</v>
      </c>
      <c r="M77" s="144" t="s">
        <v>202</v>
      </c>
    </row>
    <row r="78" spans="1:13" ht="16.5" customHeight="1" thickBot="1">
      <c r="A78" s="145"/>
      <c r="B78" s="146"/>
      <c r="C78" s="146" t="s">
        <v>173</v>
      </c>
      <c r="D78" s="147"/>
      <c r="E78" s="148"/>
      <c r="F78" s="149"/>
      <c r="G78" s="148"/>
      <c r="H78" s="148"/>
      <c r="I78" s="148"/>
      <c r="J78" s="150"/>
      <c r="K78" s="151"/>
      <c r="L78" s="151"/>
      <c r="M78" s="152"/>
    </row>
    <row r="79" spans="1:13" ht="16.5" customHeight="1">
      <c r="K79" s="121"/>
      <c r="L79" s="121"/>
      <c r="M79" s="122"/>
    </row>
    <row r="80" spans="1:13" ht="16.5" customHeight="1">
      <c r="K80" s="121"/>
      <c r="L80" s="121"/>
      <c r="M80" s="122"/>
    </row>
    <row r="81" spans="11:13" ht="16.5" customHeight="1">
      <c r="K81" s="121"/>
      <c r="L81" s="121"/>
      <c r="M81" s="122"/>
    </row>
    <row r="82" spans="11:13" ht="16.5" customHeight="1">
      <c r="K82" s="121"/>
      <c r="L82" s="121"/>
      <c r="M82" s="122"/>
    </row>
    <row r="83" spans="11:13" ht="16.5" customHeight="1">
      <c r="K83" s="121"/>
      <c r="L83" s="121"/>
      <c r="M83" s="122"/>
    </row>
    <row r="84" spans="11:13" ht="16.5" customHeight="1">
      <c r="K84" s="121"/>
      <c r="L84" s="121"/>
      <c r="M84" s="122"/>
    </row>
    <row r="85" spans="11:13" ht="16.5" customHeight="1">
      <c r="K85" s="121"/>
      <c r="L85" s="121"/>
      <c r="M85" s="122"/>
    </row>
    <row r="86" spans="11:13" ht="16.5" customHeight="1">
      <c r="K86" s="121"/>
      <c r="L86" s="121"/>
      <c r="M86" s="122"/>
    </row>
    <row r="87" spans="11:13" ht="16.5" customHeight="1">
      <c r="K87" s="121"/>
      <c r="L87" s="121"/>
      <c r="M87" s="122"/>
    </row>
    <row r="88" spans="11:13" ht="16.5" customHeight="1">
      <c r="K88" s="121"/>
      <c r="L88" s="121"/>
      <c r="M88" s="122"/>
    </row>
    <row r="89" spans="11:13" ht="16.5" customHeight="1">
      <c r="K89" s="121"/>
      <c r="L89" s="121"/>
      <c r="M89" s="122"/>
    </row>
    <row r="90" spans="11:13" ht="16.5" customHeight="1">
      <c r="K90" s="121"/>
      <c r="L90" s="121"/>
      <c r="M90" s="122"/>
    </row>
    <row r="91" spans="11:13" ht="16.5" customHeight="1">
      <c r="K91" s="121"/>
      <c r="L91" s="121"/>
      <c r="M91" s="122"/>
    </row>
    <row r="92" spans="11:13" ht="16.5" customHeight="1">
      <c r="K92" s="121"/>
      <c r="L92" s="121"/>
      <c r="M92" s="122"/>
    </row>
    <row r="93" spans="11:13" ht="16.5" customHeight="1">
      <c r="K93" s="121"/>
      <c r="L93" s="121"/>
      <c r="M93" s="122"/>
    </row>
    <row r="94" spans="11:13" ht="16.5" customHeight="1">
      <c r="K94" s="121"/>
      <c r="L94" s="121"/>
      <c r="M94" s="122"/>
    </row>
    <row r="95" spans="11:13" ht="16.5" customHeight="1">
      <c r="K95" s="121"/>
      <c r="L95" s="121"/>
      <c r="M95" s="122"/>
    </row>
    <row r="96" spans="11:13" ht="16.5" customHeight="1">
      <c r="K96" s="121"/>
      <c r="L96" s="121"/>
      <c r="M96" s="122"/>
    </row>
    <row r="97" spans="11:13" ht="16.5" customHeight="1">
      <c r="K97" s="121"/>
      <c r="L97" s="121"/>
      <c r="M97" s="122"/>
    </row>
    <row r="98" spans="11:13" ht="16.5" customHeight="1">
      <c r="K98" s="121"/>
      <c r="L98" s="121"/>
      <c r="M98" s="122"/>
    </row>
    <row r="99" spans="11:13" ht="16.5" customHeight="1">
      <c r="K99" s="121"/>
      <c r="L99" s="121"/>
      <c r="M99" s="122"/>
    </row>
    <row r="100" spans="11:13" ht="16.5" customHeight="1">
      <c r="K100" s="121"/>
      <c r="L100" s="121"/>
      <c r="M100" s="122"/>
    </row>
    <row r="101" spans="11:13" ht="16.5" customHeight="1">
      <c r="K101" s="121"/>
      <c r="L101" s="121"/>
      <c r="M101" s="122"/>
    </row>
    <row r="102" spans="11:13" ht="16.5" customHeight="1">
      <c r="K102" s="121"/>
      <c r="L102" s="121"/>
      <c r="M102" s="122"/>
    </row>
    <row r="103" spans="11:13" ht="16.5" customHeight="1">
      <c r="K103" s="121"/>
      <c r="L103" s="121"/>
      <c r="M103" s="122"/>
    </row>
    <row r="104" spans="11:13" ht="16.5" customHeight="1">
      <c r="K104" s="121"/>
      <c r="L104" s="121"/>
      <c r="M104" s="122"/>
    </row>
    <row r="105" spans="11:13" ht="16.5" customHeight="1">
      <c r="K105" s="121"/>
      <c r="L105" s="121"/>
      <c r="M105" s="122"/>
    </row>
    <row r="106" spans="11:13" ht="16.5" customHeight="1">
      <c r="K106" s="121"/>
      <c r="L106" s="121"/>
      <c r="M106" s="122"/>
    </row>
    <row r="107" spans="11:13" ht="16.5" customHeight="1">
      <c r="K107" s="121"/>
      <c r="L107" s="121"/>
      <c r="M107" s="122"/>
    </row>
    <row r="108" spans="11:13" ht="16.5" customHeight="1">
      <c r="K108" s="121"/>
      <c r="L108" s="121"/>
      <c r="M108" s="122"/>
    </row>
    <row r="109" spans="11:13" ht="16.5" customHeight="1">
      <c r="K109" s="121"/>
      <c r="L109" s="121"/>
      <c r="M109" s="122"/>
    </row>
    <row r="110" spans="11:13" ht="16.5" customHeight="1">
      <c r="K110" s="121"/>
      <c r="L110" s="121"/>
      <c r="M110" s="122"/>
    </row>
    <row r="111" spans="11:13" ht="16.5" customHeight="1">
      <c r="K111" s="121"/>
      <c r="L111" s="121"/>
      <c r="M111" s="122"/>
    </row>
    <row r="112" spans="11:13" ht="16.5" customHeight="1">
      <c r="K112" s="121"/>
      <c r="L112" s="121"/>
      <c r="M112" s="122"/>
    </row>
    <row r="113" spans="11:13" ht="16.5" customHeight="1">
      <c r="K113" s="121"/>
      <c r="L113" s="121"/>
      <c r="M113" s="122"/>
    </row>
    <row r="114" spans="11:13" ht="16.5" customHeight="1">
      <c r="K114" s="121"/>
      <c r="L114" s="121"/>
      <c r="M114" s="122"/>
    </row>
    <row r="115" spans="11:13" ht="16.5" customHeight="1">
      <c r="K115" s="121"/>
      <c r="L115" s="121"/>
      <c r="M115" s="122"/>
    </row>
    <row r="116" spans="11:13" ht="16.5" customHeight="1">
      <c r="K116" s="121"/>
      <c r="L116" s="121"/>
      <c r="M116" s="122"/>
    </row>
    <row r="117" spans="11:13" ht="16.5" customHeight="1">
      <c r="K117" s="121"/>
      <c r="L117" s="121"/>
      <c r="M117" s="122"/>
    </row>
    <row r="118" spans="11:13" ht="16.5" customHeight="1">
      <c r="K118" s="121"/>
      <c r="L118" s="121"/>
      <c r="M118" s="122"/>
    </row>
    <row r="119" spans="11:13" ht="16.5" customHeight="1">
      <c r="K119" s="121"/>
      <c r="L119" s="121"/>
      <c r="M119" s="122"/>
    </row>
    <row r="120" spans="11:13" ht="16.5" customHeight="1">
      <c r="K120" s="121"/>
      <c r="L120" s="121"/>
      <c r="M120" s="122"/>
    </row>
    <row r="121" spans="11:13" ht="16.5" customHeight="1">
      <c r="K121" s="121"/>
      <c r="L121" s="121"/>
      <c r="M121" s="122"/>
    </row>
    <row r="122" spans="11:13" ht="16.5" customHeight="1">
      <c r="K122" s="121"/>
      <c r="L122" s="121"/>
      <c r="M122" s="122"/>
    </row>
    <row r="123" spans="11:13" ht="16.5" customHeight="1">
      <c r="K123" s="121"/>
      <c r="L123" s="121"/>
      <c r="M123" s="122"/>
    </row>
    <row r="124" spans="11:13" ht="16.5" customHeight="1">
      <c r="K124" s="121"/>
      <c r="L124" s="121"/>
      <c r="M124" s="122"/>
    </row>
    <row r="125" spans="11:13" ht="16.5" customHeight="1">
      <c r="K125" s="121"/>
      <c r="L125" s="121"/>
      <c r="M125" s="122"/>
    </row>
    <row r="126" spans="11:13" ht="16.5" customHeight="1">
      <c r="K126" s="121"/>
      <c r="L126" s="121"/>
      <c r="M126" s="122"/>
    </row>
    <row r="127" spans="11:13" ht="16.5" customHeight="1">
      <c r="K127" s="121"/>
      <c r="L127" s="121"/>
      <c r="M127" s="122"/>
    </row>
    <row r="128" spans="11:13" ht="16.5" customHeight="1">
      <c r="K128" s="121"/>
      <c r="L128" s="121"/>
      <c r="M128" s="122"/>
    </row>
    <row r="129" spans="11:13" ht="16.5" customHeight="1">
      <c r="K129" s="121"/>
      <c r="L129" s="121"/>
      <c r="M129" s="122"/>
    </row>
    <row r="130" spans="11:13" ht="16.5" customHeight="1">
      <c r="K130" s="121"/>
      <c r="L130" s="121"/>
      <c r="M130" s="122"/>
    </row>
    <row r="131" spans="11:13" ht="16.5" customHeight="1">
      <c r="K131" s="121"/>
      <c r="L131" s="121"/>
      <c r="M131" s="122"/>
    </row>
    <row r="132" spans="11:13" ht="16.5" customHeight="1">
      <c r="K132" s="121"/>
      <c r="L132" s="121"/>
      <c r="M132" s="122"/>
    </row>
    <row r="133" spans="11:13" ht="16.5" customHeight="1">
      <c r="K133" s="121"/>
      <c r="L133" s="121"/>
      <c r="M133" s="122"/>
    </row>
    <row r="134" spans="11:13" ht="16.5" customHeight="1">
      <c r="K134" s="121"/>
      <c r="L134" s="121"/>
      <c r="M134" s="122"/>
    </row>
    <row r="135" spans="11:13" ht="16.5" customHeight="1">
      <c r="K135" s="121"/>
      <c r="L135" s="121"/>
      <c r="M135" s="122"/>
    </row>
    <row r="136" spans="11:13" ht="16.5" customHeight="1">
      <c r="K136" s="121"/>
      <c r="L136" s="121"/>
      <c r="M136" s="122"/>
    </row>
    <row r="137" spans="11:13" ht="16.5" customHeight="1">
      <c r="K137" s="121"/>
      <c r="L137" s="121"/>
      <c r="M137" s="122"/>
    </row>
    <row r="138" spans="11:13" ht="16.5" customHeight="1">
      <c r="K138" s="121"/>
      <c r="L138" s="121"/>
      <c r="M138" s="122"/>
    </row>
    <row r="139" spans="11:13" ht="16.5" customHeight="1">
      <c r="K139" s="121"/>
      <c r="L139" s="121"/>
      <c r="M139" s="122"/>
    </row>
    <row r="140" spans="11:13" ht="16.5" customHeight="1">
      <c r="K140" s="121"/>
      <c r="L140" s="121"/>
      <c r="M140" s="122"/>
    </row>
    <row r="141" spans="11:13" ht="16.5" customHeight="1">
      <c r="K141" s="121"/>
      <c r="L141" s="121"/>
      <c r="M141" s="122"/>
    </row>
    <row r="142" spans="11:13" ht="16.5" customHeight="1">
      <c r="K142" s="121"/>
      <c r="L142" s="121"/>
      <c r="M142" s="122"/>
    </row>
    <row r="143" spans="11:13" ht="16.5" customHeight="1">
      <c r="K143" s="121"/>
      <c r="L143" s="121"/>
      <c r="M143" s="122"/>
    </row>
    <row r="144" spans="11:13" ht="16.5" customHeight="1">
      <c r="K144" s="121"/>
      <c r="L144" s="121"/>
      <c r="M144" s="122"/>
    </row>
    <row r="145" spans="11:13" ht="16.5" customHeight="1">
      <c r="K145" s="121"/>
      <c r="L145" s="121"/>
      <c r="M145" s="122"/>
    </row>
    <row r="146" spans="11:13" ht="16.5" customHeight="1">
      <c r="K146" s="121"/>
      <c r="L146" s="121"/>
      <c r="M146" s="122"/>
    </row>
    <row r="147" spans="11:13" ht="16.5" customHeight="1">
      <c r="K147" s="121"/>
      <c r="L147" s="121"/>
      <c r="M147" s="122"/>
    </row>
    <row r="148" spans="11:13" ht="16.5" customHeight="1">
      <c r="K148" s="121"/>
      <c r="L148" s="121"/>
      <c r="M148" s="122"/>
    </row>
    <row r="149" spans="11:13" ht="16.5" customHeight="1">
      <c r="K149" s="121"/>
      <c r="L149" s="121"/>
      <c r="M149" s="122"/>
    </row>
    <row r="150" spans="11:13" ht="16.5" customHeight="1">
      <c r="K150" s="121"/>
      <c r="L150" s="121"/>
      <c r="M150" s="122"/>
    </row>
    <row r="151" spans="11:13" ht="16.5" customHeight="1">
      <c r="K151" s="121"/>
      <c r="L151" s="121"/>
      <c r="M151" s="122"/>
    </row>
    <row r="152" spans="11:13" ht="16.5" customHeight="1">
      <c r="K152" s="121"/>
      <c r="L152" s="121"/>
      <c r="M152" s="122"/>
    </row>
    <row r="153" spans="11:13" ht="16.5" customHeight="1">
      <c r="K153" s="121"/>
      <c r="L153" s="121"/>
      <c r="M153" s="122"/>
    </row>
    <row r="154" spans="11:13" ht="16.5" customHeight="1">
      <c r="K154" s="121"/>
      <c r="L154" s="121"/>
      <c r="M154" s="122"/>
    </row>
    <row r="155" spans="11:13" ht="16.5" customHeight="1">
      <c r="K155" s="121"/>
      <c r="L155" s="121"/>
      <c r="M155" s="122"/>
    </row>
    <row r="156" spans="11:13" ht="16.5" customHeight="1">
      <c r="K156" s="121"/>
      <c r="L156" s="121"/>
      <c r="M156" s="122"/>
    </row>
    <row r="157" spans="11:13" ht="16.5" customHeight="1">
      <c r="K157" s="121"/>
      <c r="L157" s="121"/>
      <c r="M157" s="122"/>
    </row>
    <row r="158" spans="11:13" ht="16.5" customHeight="1">
      <c r="K158" s="121"/>
      <c r="L158" s="121"/>
      <c r="M158" s="122"/>
    </row>
    <row r="159" spans="11:13" ht="16.5" customHeight="1">
      <c r="K159" s="121"/>
      <c r="L159" s="121"/>
      <c r="M159" s="122"/>
    </row>
    <row r="160" spans="11:13" ht="16.5" customHeight="1">
      <c r="K160" s="121"/>
      <c r="L160" s="121"/>
      <c r="M160" s="122"/>
    </row>
    <row r="161" spans="11:13" ht="16.5" customHeight="1">
      <c r="K161" s="121"/>
      <c r="L161" s="121"/>
      <c r="M161" s="122"/>
    </row>
    <row r="162" spans="11:13" ht="16.5" customHeight="1">
      <c r="K162" s="121"/>
      <c r="L162" s="121"/>
      <c r="M162" s="122"/>
    </row>
    <row r="163" spans="11:13" ht="16.5" customHeight="1">
      <c r="K163" s="121"/>
      <c r="L163" s="121"/>
      <c r="M163" s="122"/>
    </row>
    <row r="164" spans="11:13" ht="16.5" customHeight="1">
      <c r="K164" s="121"/>
      <c r="L164" s="121"/>
      <c r="M164" s="122"/>
    </row>
    <row r="165" spans="11:13" ht="16.5" customHeight="1">
      <c r="K165" s="121"/>
      <c r="L165" s="121"/>
      <c r="M165" s="122"/>
    </row>
    <row r="166" spans="11:13" ht="16.5" customHeight="1">
      <c r="K166" s="121"/>
      <c r="L166" s="121"/>
      <c r="M166" s="122"/>
    </row>
    <row r="167" spans="11:13" ht="16.5" customHeight="1">
      <c r="K167" s="121"/>
      <c r="L167" s="121"/>
      <c r="M167" s="122"/>
    </row>
    <row r="168" spans="11:13" ht="16.5" customHeight="1">
      <c r="K168" s="121"/>
      <c r="L168" s="121"/>
      <c r="M168" s="122"/>
    </row>
    <row r="169" spans="11:13" ht="16.5" customHeight="1">
      <c r="K169" s="121"/>
      <c r="L169" s="121"/>
      <c r="M169" s="122"/>
    </row>
    <row r="170" spans="11:13" ht="16.5" customHeight="1">
      <c r="K170" s="121"/>
      <c r="L170" s="121"/>
      <c r="M170" s="122"/>
    </row>
    <row r="171" spans="11:13" ht="16.5" customHeight="1">
      <c r="K171" s="121"/>
      <c r="L171" s="121"/>
      <c r="M171" s="122"/>
    </row>
    <row r="172" spans="11:13" ht="16.5" customHeight="1">
      <c r="K172" s="121"/>
      <c r="L172" s="121"/>
      <c r="M172" s="122"/>
    </row>
    <row r="173" spans="11:13" ht="16.5" customHeight="1">
      <c r="K173" s="121"/>
      <c r="L173" s="121"/>
      <c r="M173" s="122"/>
    </row>
    <row r="174" spans="11:13" ht="16.5" customHeight="1">
      <c r="K174" s="121"/>
      <c r="L174" s="121"/>
      <c r="M174" s="122"/>
    </row>
    <row r="175" spans="11:13" ht="16.5" customHeight="1">
      <c r="K175" s="121"/>
      <c r="L175" s="121"/>
      <c r="M175" s="122"/>
    </row>
    <row r="176" spans="11:13" ht="16.5" customHeight="1">
      <c r="K176" s="121"/>
      <c r="L176" s="121"/>
      <c r="M176" s="122"/>
    </row>
    <row r="177" spans="11:13" ht="16.5" customHeight="1">
      <c r="K177" s="121"/>
      <c r="L177" s="121"/>
      <c r="M177" s="122"/>
    </row>
    <row r="178" spans="11:13" ht="16.5" customHeight="1">
      <c r="K178" s="121"/>
      <c r="L178" s="121"/>
      <c r="M178" s="122"/>
    </row>
    <row r="179" spans="11:13" ht="16.5" customHeight="1">
      <c r="K179" s="121"/>
      <c r="L179" s="121"/>
      <c r="M179" s="122"/>
    </row>
    <row r="180" spans="11:13" ht="16.5" customHeight="1">
      <c r="K180" s="121"/>
      <c r="L180" s="121"/>
      <c r="M180" s="122"/>
    </row>
    <row r="181" spans="11:13" ht="16.5" customHeight="1">
      <c r="K181" s="121"/>
      <c r="L181" s="121"/>
      <c r="M181" s="122"/>
    </row>
    <row r="182" spans="11:13" ht="16.5" customHeight="1">
      <c r="K182" s="121"/>
      <c r="L182" s="121"/>
      <c r="M182" s="122"/>
    </row>
    <row r="183" spans="11:13" ht="16.5" customHeight="1">
      <c r="K183" s="121"/>
      <c r="L183" s="121"/>
      <c r="M183" s="122"/>
    </row>
    <row r="184" spans="11:13" ht="16.5" customHeight="1">
      <c r="K184" s="121"/>
      <c r="L184" s="121"/>
      <c r="M184" s="122"/>
    </row>
    <row r="185" spans="11:13" ht="16.5" customHeight="1">
      <c r="K185" s="121"/>
      <c r="L185" s="121"/>
      <c r="M185" s="122"/>
    </row>
    <row r="186" spans="11:13" ht="16.5" customHeight="1">
      <c r="K186" s="121"/>
      <c r="L186" s="121"/>
      <c r="M186" s="122"/>
    </row>
    <row r="187" spans="11:13" ht="16.5" customHeight="1">
      <c r="K187" s="121"/>
      <c r="L187" s="121"/>
      <c r="M187" s="122"/>
    </row>
    <row r="188" spans="11:13" ht="16.5" customHeight="1">
      <c r="K188" s="121"/>
      <c r="L188" s="121"/>
      <c r="M188" s="122"/>
    </row>
    <row r="189" spans="11:13" ht="16.5" customHeight="1">
      <c r="K189" s="121"/>
      <c r="L189" s="121"/>
      <c r="M189" s="122"/>
    </row>
    <row r="190" spans="11:13" ht="16.5" customHeight="1">
      <c r="K190" s="121"/>
      <c r="L190" s="121"/>
      <c r="M190" s="122"/>
    </row>
    <row r="191" spans="11:13" ht="16.5" customHeight="1">
      <c r="K191" s="121"/>
      <c r="L191" s="121"/>
      <c r="M191" s="122"/>
    </row>
    <row r="192" spans="11:13" ht="16.5" customHeight="1">
      <c r="K192" s="121"/>
      <c r="L192" s="121"/>
      <c r="M192" s="122"/>
    </row>
    <row r="193" spans="11:13" ht="16.5" customHeight="1">
      <c r="K193" s="121"/>
      <c r="L193" s="121"/>
      <c r="M193" s="122"/>
    </row>
    <row r="194" spans="11:13" ht="16.5" customHeight="1">
      <c r="K194" s="121"/>
      <c r="L194" s="121"/>
      <c r="M194" s="122"/>
    </row>
    <row r="195" spans="11:13" ht="16.5" customHeight="1">
      <c r="K195" s="121"/>
      <c r="L195" s="121"/>
      <c r="M195" s="122"/>
    </row>
    <row r="196" spans="11:13" ht="16.5" customHeight="1">
      <c r="K196" s="121"/>
      <c r="L196" s="121"/>
      <c r="M196" s="122"/>
    </row>
    <row r="197" spans="11:13" ht="16.5" customHeight="1">
      <c r="K197" s="121"/>
      <c r="L197" s="121"/>
      <c r="M197" s="122"/>
    </row>
    <row r="198" spans="11:13" ht="16.5" customHeight="1">
      <c r="K198" s="121"/>
      <c r="L198" s="121"/>
      <c r="M198" s="122"/>
    </row>
    <row r="199" spans="11:13" ht="16.5" customHeight="1">
      <c r="K199" s="121"/>
      <c r="L199" s="121"/>
      <c r="M199" s="122"/>
    </row>
    <row r="200" spans="11:13" ht="16.5" customHeight="1">
      <c r="K200" s="121"/>
      <c r="L200" s="121"/>
      <c r="M200" s="122"/>
    </row>
    <row r="201" spans="11:13" ht="16.5" customHeight="1">
      <c r="K201" s="121"/>
      <c r="L201" s="121"/>
      <c r="M201" s="122"/>
    </row>
    <row r="202" spans="11:13" ht="16.5" customHeight="1">
      <c r="K202" s="121"/>
      <c r="L202" s="121"/>
      <c r="M202" s="122"/>
    </row>
    <row r="203" spans="11:13" ht="16.5" customHeight="1">
      <c r="K203" s="121"/>
      <c r="L203" s="121"/>
      <c r="M203" s="122"/>
    </row>
    <row r="204" spans="11:13" ht="16.5" customHeight="1">
      <c r="K204" s="121"/>
      <c r="L204" s="121"/>
      <c r="M204" s="122"/>
    </row>
    <row r="205" spans="11:13" ht="16.5" customHeight="1">
      <c r="K205" s="121"/>
      <c r="L205" s="121"/>
      <c r="M205" s="122"/>
    </row>
    <row r="206" spans="11:13" ht="16.5" customHeight="1">
      <c r="K206" s="121"/>
      <c r="L206" s="121"/>
      <c r="M206" s="122"/>
    </row>
    <row r="207" spans="11:13" ht="16.5" customHeight="1">
      <c r="K207" s="121"/>
      <c r="L207" s="121"/>
      <c r="M207" s="122"/>
    </row>
    <row r="208" spans="11:13" ht="16.5" customHeight="1">
      <c r="K208" s="121"/>
      <c r="L208" s="121"/>
      <c r="M208" s="122"/>
    </row>
    <row r="209" spans="11:13" ht="16.5" customHeight="1">
      <c r="K209" s="121"/>
      <c r="L209" s="121"/>
      <c r="M209" s="122"/>
    </row>
    <row r="210" spans="11:13" ht="16.5" customHeight="1">
      <c r="K210" s="121"/>
      <c r="L210" s="121"/>
      <c r="M210" s="122"/>
    </row>
    <row r="211" spans="11:13" ht="16.5" customHeight="1">
      <c r="K211" s="121"/>
      <c r="L211" s="121"/>
      <c r="M211" s="122"/>
    </row>
    <row r="212" spans="11:13" ht="16.5" customHeight="1">
      <c r="K212" s="121"/>
      <c r="L212" s="121"/>
      <c r="M212" s="122"/>
    </row>
    <row r="213" spans="11:13" ht="16.5" customHeight="1">
      <c r="K213" s="121"/>
      <c r="L213" s="121"/>
      <c r="M213" s="122"/>
    </row>
    <row r="214" spans="11:13" ht="16.5" customHeight="1">
      <c r="K214" s="121"/>
      <c r="L214" s="121"/>
      <c r="M214" s="122"/>
    </row>
    <row r="215" spans="11:13" ht="16.5" customHeight="1">
      <c r="K215" s="121"/>
      <c r="L215" s="121"/>
      <c r="M215" s="122"/>
    </row>
    <row r="216" spans="11:13" ht="16.5" customHeight="1">
      <c r="K216" s="121"/>
      <c r="L216" s="121"/>
      <c r="M216" s="122"/>
    </row>
    <row r="217" spans="11:13" ht="16.5" customHeight="1">
      <c r="K217" s="121"/>
      <c r="L217" s="121"/>
      <c r="M217" s="122"/>
    </row>
    <row r="218" spans="11:13" ht="16.5" customHeight="1">
      <c r="K218" s="121"/>
      <c r="L218" s="121"/>
      <c r="M218" s="122"/>
    </row>
    <row r="219" spans="11:13" ht="16.5" customHeight="1">
      <c r="K219" s="121"/>
      <c r="L219" s="121"/>
      <c r="M219" s="122"/>
    </row>
    <row r="220" spans="11:13" ht="16.5" customHeight="1">
      <c r="K220" s="121"/>
      <c r="L220" s="121"/>
      <c r="M220" s="122"/>
    </row>
    <row r="221" spans="11:13" ht="16.5" customHeight="1">
      <c r="K221" s="121"/>
      <c r="L221" s="121"/>
      <c r="M221" s="122"/>
    </row>
    <row r="222" spans="11:13" ht="16.5" customHeight="1">
      <c r="K222" s="121"/>
      <c r="L222" s="121"/>
      <c r="M222" s="122"/>
    </row>
    <row r="223" spans="11:13" ht="16.5" customHeight="1">
      <c r="K223" s="121"/>
      <c r="L223" s="121"/>
      <c r="M223" s="122"/>
    </row>
    <row r="224" spans="11:13" ht="16.5" customHeight="1">
      <c r="K224" s="121"/>
      <c r="L224" s="121"/>
      <c r="M224" s="122"/>
    </row>
    <row r="225" spans="11:13" ht="16.5" customHeight="1">
      <c r="K225" s="121"/>
      <c r="L225" s="121"/>
      <c r="M225" s="122"/>
    </row>
    <row r="226" spans="11:13" ht="16.5" customHeight="1">
      <c r="K226" s="121"/>
      <c r="L226" s="121"/>
      <c r="M226" s="122"/>
    </row>
    <row r="227" spans="11:13" ht="16.5" customHeight="1">
      <c r="K227" s="121"/>
      <c r="L227" s="121"/>
      <c r="M227" s="122"/>
    </row>
    <row r="228" spans="11:13" ht="16.5" customHeight="1">
      <c r="K228" s="121"/>
      <c r="L228" s="121"/>
      <c r="M228" s="122"/>
    </row>
    <row r="229" spans="11:13" ht="16.5" customHeight="1">
      <c r="K229" s="121"/>
      <c r="L229" s="121"/>
      <c r="M229" s="122"/>
    </row>
    <row r="230" spans="11:13" ht="16.5" customHeight="1">
      <c r="K230" s="121"/>
      <c r="L230" s="121"/>
      <c r="M230" s="122"/>
    </row>
    <row r="231" spans="11:13" ht="16.5" customHeight="1">
      <c r="K231" s="121"/>
      <c r="L231" s="121"/>
      <c r="M231" s="122"/>
    </row>
    <row r="232" spans="11:13" ht="16.5" customHeight="1">
      <c r="K232" s="121"/>
      <c r="L232" s="121"/>
      <c r="M232" s="122"/>
    </row>
    <row r="233" spans="11:13" ht="16.5" customHeight="1">
      <c r="K233" s="121"/>
      <c r="L233" s="121"/>
      <c r="M233" s="122"/>
    </row>
    <row r="234" spans="11:13" ht="16.5" customHeight="1">
      <c r="K234" s="121"/>
      <c r="L234" s="121"/>
      <c r="M234" s="122"/>
    </row>
    <row r="235" spans="11:13" ht="16.5" customHeight="1">
      <c r="K235" s="121"/>
      <c r="L235" s="121"/>
      <c r="M235" s="122"/>
    </row>
    <row r="236" spans="11:13" ht="16.5" customHeight="1">
      <c r="K236" s="121"/>
      <c r="L236" s="121"/>
      <c r="M236" s="122"/>
    </row>
    <row r="237" spans="11:13" ht="16.5" customHeight="1">
      <c r="K237" s="121"/>
      <c r="L237" s="121"/>
      <c r="M237" s="122"/>
    </row>
    <row r="238" spans="11:13" ht="16.5" customHeight="1">
      <c r="K238" s="121"/>
      <c r="L238" s="121"/>
      <c r="M238" s="122"/>
    </row>
    <row r="239" spans="11:13" ht="16.5" customHeight="1">
      <c r="K239" s="121"/>
      <c r="L239" s="121"/>
      <c r="M239" s="122"/>
    </row>
    <row r="240" spans="11:13" ht="16.5" customHeight="1">
      <c r="K240" s="121"/>
      <c r="L240" s="121"/>
      <c r="M240" s="122"/>
    </row>
    <row r="241" spans="11:13" ht="16.5" customHeight="1">
      <c r="K241" s="121"/>
      <c r="L241" s="121"/>
      <c r="M241" s="122"/>
    </row>
    <row r="242" spans="11:13" ht="16.5" customHeight="1">
      <c r="K242" s="121"/>
      <c r="L242" s="121"/>
      <c r="M242" s="122"/>
    </row>
    <row r="243" spans="11:13" ht="16.5" customHeight="1">
      <c r="K243" s="121"/>
      <c r="L243" s="121"/>
      <c r="M243" s="122"/>
    </row>
    <row r="244" spans="11:13" ht="16.5" customHeight="1">
      <c r="K244" s="121"/>
      <c r="L244" s="121"/>
      <c r="M244" s="122"/>
    </row>
    <row r="245" spans="11:13" ht="16.5" customHeight="1">
      <c r="K245" s="121"/>
      <c r="L245" s="121"/>
      <c r="M245" s="122"/>
    </row>
    <row r="246" spans="11:13" ht="16.5" customHeight="1">
      <c r="K246" s="121"/>
      <c r="L246" s="121"/>
      <c r="M246" s="122"/>
    </row>
    <row r="247" spans="11:13" ht="16.5" customHeight="1">
      <c r="K247" s="121"/>
      <c r="L247" s="121"/>
      <c r="M247" s="122"/>
    </row>
    <row r="248" spans="11:13" ht="16.5" customHeight="1">
      <c r="K248" s="121"/>
      <c r="L248" s="121"/>
      <c r="M248" s="122"/>
    </row>
    <row r="249" spans="11:13" ht="16.5" customHeight="1">
      <c r="K249" s="121"/>
      <c r="L249" s="121"/>
      <c r="M249" s="122"/>
    </row>
    <row r="250" spans="11:13" ht="16.5" customHeight="1">
      <c r="K250" s="121"/>
      <c r="L250" s="121"/>
      <c r="M250" s="122"/>
    </row>
    <row r="251" spans="11:13" ht="16.5" customHeight="1">
      <c r="K251" s="121"/>
      <c r="L251" s="121"/>
      <c r="M251" s="122"/>
    </row>
    <row r="252" spans="11:13" ht="16.5" customHeight="1">
      <c r="K252" s="121"/>
      <c r="L252" s="121"/>
      <c r="M252" s="122"/>
    </row>
    <row r="253" spans="11:13" ht="16.5" customHeight="1">
      <c r="K253" s="121"/>
      <c r="L253" s="121"/>
      <c r="M253" s="122"/>
    </row>
    <row r="254" spans="11:13" ht="16.5" customHeight="1">
      <c r="K254" s="121"/>
      <c r="L254" s="121"/>
      <c r="M254" s="122"/>
    </row>
    <row r="255" spans="11:13" ht="16.5" customHeight="1">
      <c r="K255" s="121"/>
      <c r="L255" s="121"/>
      <c r="M255" s="122"/>
    </row>
    <row r="256" spans="11:13" ht="16.5" customHeight="1">
      <c r="K256" s="121"/>
      <c r="L256" s="121"/>
      <c r="M256" s="122"/>
    </row>
    <row r="257" spans="11:13" ht="16.5" customHeight="1">
      <c r="K257" s="121"/>
      <c r="L257" s="121"/>
      <c r="M257" s="122"/>
    </row>
    <row r="258" spans="11:13" ht="16.5" customHeight="1">
      <c r="K258" s="121"/>
      <c r="L258" s="121"/>
      <c r="M258" s="122"/>
    </row>
    <row r="259" spans="11:13" ht="16.5" customHeight="1">
      <c r="K259" s="121"/>
      <c r="L259" s="121"/>
      <c r="M259" s="122"/>
    </row>
    <row r="260" spans="11:13" ht="16.5" customHeight="1">
      <c r="K260" s="121"/>
      <c r="L260" s="121"/>
      <c r="M260" s="122"/>
    </row>
    <row r="261" spans="11:13" ht="16.5" customHeight="1">
      <c r="K261" s="121"/>
      <c r="L261" s="121"/>
      <c r="M261" s="122"/>
    </row>
    <row r="262" spans="11:13" ht="16.5" customHeight="1">
      <c r="K262" s="121"/>
      <c r="L262" s="121"/>
      <c r="M262" s="122"/>
    </row>
    <row r="263" spans="11:13" ht="16.5" customHeight="1">
      <c r="K263" s="121"/>
      <c r="L263" s="121"/>
      <c r="M263" s="122"/>
    </row>
    <row r="264" spans="11:13" ht="16.5" customHeight="1">
      <c r="K264" s="121"/>
      <c r="L264" s="121"/>
      <c r="M264" s="122"/>
    </row>
    <row r="265" spans="11:13" ht="16.5" customHeight="1">
      <c r="K265" s="121"/>
      <c r="L265" s="121"/>
      <c r="M265" s="122"/>
    </row>
    <row r="266" spans="11:13" ht="16.5" customHeight="1">
      <c r="K266" s="121"/>
      <c r="L266" s="121"/>
      <c r="M266" s="122"/>
    </row>
    <row r="267" spans="11:13" ht="16.5" customHeight="1">
      <c r="K267" s="121"/>
      <c r="L267" s="121"/>
      <c r="M267" s="122"/>
    </row>
    <row r="268" spans="11:13" ht="16.5" customHeight="1">
      <c r="K268" s="121"/>
      <c r="L268" s="121"/>
      <c r="M268" s="122"/>
    </row>
    <row r="269" spans="11:13" ht="16.5" customHeight="1">
      <c r="K269" s="121"/>
      <c r="L269" s="121"/>
      <c r="M269" s="122"/>
    </row>
    <row r="270" spans="11:13" ht="16.5" customHeight="1">
      <c r="K270" s="121"/>
      <c r="L270" s="121"/>
      <c r="M270" s="122"/>
    </row>
    <row r="271" spans="11:13" ht="16.5" customHeight="1">
      <c r="K271" s="121"/>
      <c r="L271" s="121"/>
      <c r="M271" s="122"/>
    </row>
    <row r="272" spans="11:13" ht="16.5" customHeight="1">
      <c r="K272" s="121"/>
      <c r="L272" s="121"/>
      <c r="M272" s="122"/>
    </row>
    <row r="273" spans="11:13" ht="16.5" customHeight="1">
      <c r="K273" s="121"/>
      <c r="L273" s="121"/>
      <c r="M273" s="122"/>
    </row>
    <row r="274" spans="11:13" ht="16.5" customHeight="1">
      <c r="K274" s="121"/>
      <c r="L274" s="121"/>
      <c r="M274" s="122"/>
    </row>
    <row r="275" spans="11:13" ht="16.5" customHeight="1">
      <c r="K275" s="121"/>
      <c r="L275" s="121"/>
      <c r="M275" s="122"/>
    </row>
    <row r="276" spans="11:13" ht="16.5" customHeight="1">
      <c r="K276" s="121"/>
      <c r="L276" s="121"/>
      <c r="M276" s="122"/>
    </row>
    <row r="277" spans="11:13" ht="16.5" customHeight="1">
      <c r="K277" s="121"/>
      <c r="L277" s="121"/>
      <c r="M277" s="122"/>
    </row>
    <row r="278" spans="11:13" ht="16.5" customHeight="1">
      <c r="K278" s="121"/>
      <c r="L278" s="121"/>
      <c r="M278" s="122"/>
    </row>
    <row r="279" spans="11:13" ht="16.5" customHeight="1">
      <c r="K279" s="121"/>
      <c r="L279" s="121"/>
      <c r="M279" s="122"/>
    </row>
    <row r="280" spans="11:13" ht="16.5" customHeight="1">
      <c r="K280" s="121"/>
      <c r="L280" s="121"/>
      <c r="M280" s="122"/>
    </row>
    <row r="281" spans="11:13" ht="16.5" customHeight="1">
      <c r="K281" s="121"/>
      <c r="L281" s="121"/>
      <c r="M281" s="122"/>
    </row>
    <row r="282" spans="11:13" ht="16.5" customHeight="1">
      <c r="K282" s="121"/>
      <c r="L282" s="121"/>
      <c r="M282" s="122"/>
    </row>
    <row r="283" spans="11:13" ht="16.5" customHeight="1">
      <c r="K283" s="121"/>
      <c r="L283" s="121"/>
      <c r="M283" s="122"/>
    </row>
    <row r="284" spans="11:13" ht="16.5" customHeight="1">
      <c r="K284" s="121"/>
      <c r="L284" s="121"/>
      <c r="M284" s="122"/>
    </row>
    <row r="285" spans="11:13" ht="16.5" customHeight="1">
      <c r="K285" s="121"/>
      <c r="L285" s="121"/>
      <c r="M285" s="122"/>
    </row>
    <row r="286" spans="11:13" ht="16.5" customHeight="1">
      <c r="K286" s="121"/>
      <c r="L286" s="121"/>
      <c r="M286" s="122"/>
    </row>
    <row r="287" spans="11:13" ht="16.5" customHeight="1">
      <c r="K287" s="121"/>
      <c r="L287" s="121"/>
      <c r="M287" s="122"/>
    </row>
    <row r="288" spans="11:13" ht="16.5" customHeight="1">
      <c r="K288" s="121"/>
      <c r="L288" s="121"/>
      <c r="M288" s="122"/>
    </row>
    <row r="289" spans="11:13" ht="16.5" customHeight="1">
      <c r="K289" s="121"/>
      <c r="L289" s="121"/>
      <c r="M289" s="122"/>
    </row>
    <row r="290" spans="11:13" ht="16.5" customHeight="1">
      <c r="K290" s="121"/>
      <c r="L290" s="121"/>
      <c r="M290" s="122"/>
    </row>
    <row r="291" spans="11:13" ht="16.5" customHeight="1">
      <c r="K291" s="121"/>
      <c r="L291" s="121"/>
      <c r="M291" s="122"/>
    </row>
    <row r="292" spans="11:13" ht="16.5" customHeight="1">
      <c r="K292" s="121"/>
      <c r="L292" s="121"/>
      <c r="M292" s="122"/>
    </row>
    <row r="293" spans="11:13" ht="16.5" customHeight="1">
      <c r="K293" s="121"/>
      <c r="L293" s="121"/>
      <c r="M293" s="122"/>
    </row>
    <row r="294" spans="11:13" ht="16.5" customHeight="1">
      <c r="K294" s="121"/>
      <c r="L294" s="121"/>
      <c r="M294" s="122"/>
    </row>
    <row r="295" spans="11:13" ht="16.5" customHeight="1">
      <c r="K295" s="121"/>
      <c r="L295" s="121"/>
      <c r="M295" s="122"/>
    </row>
    <row r="296" spans="11:13" ht="16.5" customHeight="1">
      <c r="K296" s="121"/>
      <c r="L296" s="121"/>
      <c r="M296" s="122"/>
    </row>
    <row r="297" spans="11:13" ht="16.5" customHeight="1">
      <c r="K297" s="121"/>
      <c r="L297" s="121"/>
      <c r="M297" s="122"/>
    </row>
    <row r="298" spans="11:13" ht="16.5" customHeight="1">
      <c r="K298" s="121"/>
      <c r="L298" s="121"/>
      <c r="M298" s="122"/>
    </row>
    <row r="299" spans="11:13" ht="16.5" customHeight="1">
      <c r="K299" s="121"/>
      <c r="L299" s="121"/>
      <c r="M299" s="122"/>
    </row>
    <row r="300" spans="11:13" ht="16.5" customHeight="1">
      <c r="K300" s="121"/>
      <c r="L300" s="121"/>
      <c r="M300" s="122"/>
    </row>
    <row r="301" spans="11:13" ht="16.5" customHeight="1">
      <c r="K301" s="121"/>
      <c r="L301" s="121"/>
      <c r="M301" s="122"/>
    </row>
    <row r="302" spans="11:13" ht="16.5" customHeight="1">
      <c r="K302" s="121"/>
      <c r="L302" s="121"/>
      <c r="M302" s="122"/>
    </row>
    <row r="303" spans="11:13" ht="16.5" customHeight="1">
      <c r="K303" s="121"/>
      <c r="L303" s="121"/>
      <c r="M303" s="122"/>
    </row>
    <row r="304" spans="11:13" ht="16.5" customHeight="1">
      <c r="K304" s="121"/>
      <c r="L304" s="121"/>
      <c r="M304" s="122"/>
    </row>
    <row r="305" spans="11:13" ht="16.5" customHeight="1">
      <c r="K305" s="121"/>
      <c r="L305" s="121"/>
      <c r="M305" s="122"/>
    </row>
    <row r="306" spans="11:13" ht="16.5" customHeight="1">
      <c r="K306" s="121"/>
      <c r="L306" s="121"/>
      <c r="M306" s="122"/>
    </row>
    <row r="307" spans="11:13" ht="16.5" customHeight="1">
      <c r="K307" s="121"/>
      <c r="L307" s="121"/>
      <c r="M307" s="122"/>
    </row>
    <row r="308" spans="11:13" ht="16.5" customHeight="1">
      <c r="K308" s="121"/>
      <c r="L308" s="121"/>
      <c r="M308" s="122"/>
    </row>
    <row r="309" spans="11:13" ht="16.5" customHeight="1">
      <c r="K309" s="121"/>
      <c r="L309" s="121"/>
      <c r="M309" s="122"/>
    </row>
    <row r="310" spans="11:13" ht="16.5" customHeight="1">
      <c r="K310" s="121"/>
      <c r="L310" s="121"/>
      <c r="M310" s="122"/>
    </row>
    <row r="311" spans="11:13" ht="16.5" customHeight="1">
      <c r="K311" s="121"/>
      <c r="L311" s="121"/>
      <c r="M311" s="122"/>
    </row>
    <row r="312" spans="11:13" ht="16.5" customHeight="1">
      <c r="K312" s="121"/>
      <c r="L312" s="121"/>
      <c r="M312" s="122"/>
    </row>
    <row r="313" spans="11:13" ht="16.5" customHeight="1">
      <c r="K313" s="121"/>
      <c r="L313" s="121"/>
      <c r="M313" s="122"/>
    </row>
    <row r="314" spans="11:13" ht="16.5" customHeight="1">
      <c r="K314" s="121"/>
      <c r="L314" s="121"/>
      <c r="M314" s="122"/>
    </row>
    <row r="315" spans="11:13" ht="16.5" customHeight="1">
      <c r="K315" s="121"/>
      <c r="L315" s="121"/>
      <c r="M315" s="122"/>
    </row>
    <row r="316" spans="11:13" ht="16.5" customHeight="1">
      <c r="K316" s="121"/>
      <c r="L316" s="121"/>
      <c r="M316" s="122"/>
    </row>
    <row r="317" spans="11:13" ht="16.5" customHeight="1">
      <c r="K317" s="121"/>
      <c r="L317" s="121"/>
      <c r="M317" s="122"/>
    </row>
    <row r="318" spans="11:13" ht="16.5" customHeight="1">
      <c r="K318" s="121"/>
      <c r="L318" s="121"/>
      <c r="M318" s="122"/>
    </row>
    <row r="319" spans="11:13" ht="16.5" customHeight="1">
      <c r="K319" s="121"/>
      <c r="L319" s="121"/>
      <c r="M319" s="122"/>
    </row>
    <row r="320" spans="11:13" ht="16.5" customHeight="1">
      <c r="K320" s="121"/>
      <c r="L320" s="121"/>
      <c r="M320" s="122"/>
    </row>
    <row r="321" spans="11:13" ht="16.5" customHeight="1">
      <c r="K321" s="121"/>
      <c r="L321" s="121"/>
      <c r="M321" s="122"/>
    </row>
    <row r="322" spans="11:13" ht="16.5" customHeight="1">
      <c r="K322" s="121"/>
      <c r="L322" s="121"/>
      <c r="M322" s="122"/>
    </row>
    <row r="323" spans="11:13" ht="16.5" customHeight="1">
      <c r="K323" s="121"/>
      <c r="L323" s="121"/>
      <c r="M323" s="122"/>
    </row>
    <row r="324" spans="11:13" ht="16.5" customHeight="1">
      <c r="K324" s="121"/>
      <c r="L324" s="121"/>
      <c r="M324" s="122"/>
    </row>
    <row r="325" spans="11:13" ht="16.5" customHeight="1">
      <c r="K325" s="121"/>
      <c r="L325" s="121"/>
      <c r="M325" s="122"/>
    </row>
    <row r="326" spans="11:13" ht="16.5" customHeight="1">
      <c r="K326" s="121"/>
      <c r="L326" s="121"/>
      <c r="M326" s="122"/>
    </row>
    <row r="327" spans="11:13" ht="16.5" customHeight="1">
      <c r="K327" s="121"/>
      <c r="L327" s="121"/>
      <c r="M327" s="122"/>
    </row>
    <row r="328" spans="11:13" ht="16.5" customHeight="1">
      <c r="K328" s="121"/>
      <c r="L328" s="121"/>
      <c r="M328" s="122"/>
    </row>
    <row r="329" spans="11:13" ht="16.5" customHeight="1">
      <c r="K329" s="121"/>
      <c r="L329" s="121"/>
      <c r="M329" s="122"/>
    </row>
    <row r="330" spans="11:13" ht="16.5" customHeight="1">
      <c r="K330" s="121"/>
      <c r="L330" s="121"/>
      <c r="M330" s="122"/>
    </row>
    <row r="331" spans="11:13" ht="16.5" customHeight="1">
      <c r="K331" s="121"/>
      <c r="L331" s="121"/>
      <c r="M331" s="122"/>
    </row>
    <row r="332" spans="11:13" ht="16.5" customHeight="1">
      <c r="K332" s="121"/>
      <c r="L332" s="121"/>
      <c r="M332" s="122"/>
    </row>
    <row r="333" spans="11:13" ht="16.5" customHeight="1">
      <c r="K333" s="121"/>
      <c r="L333" s="121"/>
      <c r="M333" s="122"/>
    </row>
    <row r="334" spans="11:13" ht="16.5" customHeight="1">
      <c r="K334" s="121"/>
      <c r="L334" s="121"/>
      <c r="M334" s="122"/>
    </row>
    <row r="335" spans="11:13" ht="16.5" customHeight="1">
      <c r="K335" s="121"/>
      <c r="L335" s="121"/>
      <c r="M335" s="122"/>
    </row>
    <row r="336" spans="11:13" ht="16.5" customHeight="1">
      <c r="K336" s="121"/>
      <c r="L336" s="121"/>
      <c r="M336" s="122"/>
    </row>
    <row r="337" spans="11:13" ht="16.5" customHeight="1">
      <c r="K337" s="121"/>
      <c r="L337" s="121"/>
      <c r="M337" s="122"/>
    </row>
    <row r="338" spans="11:13" ht="16.5" customHeight="1">
      <c r="K338" s="121"/>
      <c r="L338" s="121"/>
      <c r="M338" s="122"/>
    </row>
    <row r="339" spans="11:13" ht="16.5" customHeight="1">
      <c r="K339" s="121"/>
      <c r="L339" s="121"/>
      <c r="M339" s="122"/>
    </row>
    <row r="340" spans="11:13" ht="16.5" customHeight="1">
      <c r="K340" s="121"/>
      <c r="L340" s="121"/>
      <c r="M340" s="122"/>
    </row>
    <row r="341" spans="11:13" ht="16.5" customHeight="1">
      <c r="K341" s="121"/>
      <c r="L341" s="121"/>
      <c r="M341" s="122"/>
    </row>
    <row r="342" spans="11:13" ht="16.5" customHeight="1">
      <c r="K342" s="121"/>
      <c r="L342" s="121"/>
      <c r="M342" s="122"/>
    </row>
    <row r="343" spans="11:13" ht="16.5" customHeight="1">
      <c r="K343" s="121"/>
      <c r="L343" s="121"/>
      <c r="M343" s="122"/>
    </row>
    <row r="344" spans="11:13" ht="16.5" customHeight="1">
      <c r="K344" s="121"/>
      <c r="L344" s="121"/>
      <c r="M344" s="122"/>
    </row>
    <row r="345" spans="11:13" ht="16.5" customHeight="1">
      <c r="K345" s="121"/>
      <c r="L345" s="121"/>
      <c r="M345" s="122"/>
    </row>
    <row r="346" spans="11:13" ht="16.5" customHeight="1">
      <c r="K346" s="121"/>
      <c r="L346" s="121"/>
      <c r="M346" s="122"/>
    </row>
    <row r="347" spans="11:13" ht="16.5" customHeight="1">
      <c r="K347" s="121"/>
      <c r="L347" s="121"/>
      <c r="M347" s="122"/>
    </row>
    <row r="348" spans="11:13" ht="16.5" customHeight="1">
      <c r="K348" s="121"/>
      <c r="L348" s="121"/>
      <c r="M348" s="122"/>
    </row>
    <row r="349" spans="11:13" ht="16.5" customHeight="1">
      <c r="K349" s="121"/>
      <c r="L349" s="121"/>
      <c r="M349" s="122"/>
    </row>
    <row r="350" spans="11:13" ht="16.5" customHeight="1">
      <c r="K350" s="121"/>
      <c r="L350" s="121"/>
      <c r="M350" s="122"/>
    </row>
    <row r="351" spans="11:13" ht="16.5" customHeight="1">
      <c r="K351" s="121"/>
      <c r="L351" s="121"/>
      <c r="M351" s="122"/>
    </row>
    <row r="352" spans="11:13" ht="16.5" customHeight="1">
      <c r="K352" s="121"/>
      <c r="L352" s="121"/>
      <c r="M352" s="122"/>
    </row>
    <row r="353" spans="11:13" ht="16.5" customHeight="1">
      <c r="K353" s="121"/>
      <c r="L353" s="121"/>
      <c r="M353" s="122"/>
    </row>
    <row r="354" spans="11:13" ht="16.5" customHeight="1">
      <c r="K354" s="121"/>
      <c r="L354" s="121"/>
      <c r="M354" s="122"/>
    </row>
    <row r="355" spans="11:13" ht="16.5" customHeight="1">
      <c r="K355" s="121"/>
      <c r="L355" s="121"/>
      <c r="M355" s="122"/>
    </row>
    <row r="356" spans="11:13" ht="16.5" customHeight="1">
      <c r="K356" s="121"/>
      <c r="L356" s="121"/>
      <c r="M356" s="122"/>
    </row>
    <row r="357" spans="11:13" ht="16.5" customHeight="1">
      <c r="K357" s="121"/>
      <c r="L357" s="121"/>
      <c r="M357" s="122"/>
    </row>
    <row r="358" spans="11:13" ht="16.5" customHeight="1">
      <c r="K358" s="121"/>
      <c r="L358" s="121"/>
      <c r="M358" s="122"/>
    </row>
    <row r="359" spans="11:13" ht="16.5" customHeight="1">
      <c r="K359" s="121"/>
      <c r="L359" s="121"/>
      <c r="M359" s="122"/>
    </row>
    <row r="360" spans="11:13" ht="16.5" customHeight="1">
      <c r="K360" s="121"/>
      <c r="L360" s="121"/>
      <c r="M360" s="122"/>
    </row>
    <row r="361" spans="11:13" ht="16.5" customHeight="1">
      <c r="K361" s="121"/>
      <c r="L361" s="121"/>
      <c r="M361" s="122"/>
    </row>
    <row r="362" spans="11:13" ht="16.5" customHeight="1">
      <c r="K362" s="121"/>
      <c r="L362" s="121"/>
      <c r="M362" s="122"/>
    </row>
    <row r="363" spans="11:13" ht="16.5" customHeight="1">
      <c r="K363" s="121"/>
      <c r="L363" s="121"/>
      <c r="M363" s="122"/>
    </row>
    <row r="364" spans="11:13" ht="16.5" customHeight="1">
      <c r="K364" s="121"/>
      <c r="L364" s="121"/>
      <c r="M364" s="122"/>
    </row>
    <row r="365" spans="11:13" ht="16.5" customHeight="1">
      <c r="K365" s="121"/>
      <c r="L365" s="121"/>
      <c r="M365" s="122"/>
    </row>
    <row r="366" spans="11:13" ht="16.5" customHeight="1">
      <c r="K366" s="121"/>
      <c r="L366" s="121"/>
      <c r="M366" s="122"/>
    </row>
    <row r="367" spans="11:13" ht="16.5" customHeight="1">
      <c r="K367" s="121"/>
      <c r="L367" s="121"/>
      <c r="M367" s="122"/>
    </row>
    <row r="368" spans="11:13" ht="16.5" customHeight="1">
      <c r="K368" s="121"/>
      <c r="L368" s="121"/>
      <c r="M368" s="122"/>
    </row>
    <row r="369" spans="11:13" ht="16.5" customHeight="1">
      <c r="K369" s="121"/>
      <c r="L369" s="121"/>
      <c r="M369" s="122"/>
    </row>
    <row r="370" spans="11:13" ht="16.5" customHeight="1">
      <c r="K370" s="121"/>
      <c r="L370" s="121"/>
      <c r="M370" s="122"/>
    </row>
    <row r="371" spans="11:13" ht="16.5" customHeight="1">
      <c r="K371" s="121"/>
      <c r="L371" s="121"/>
      <c r="M371" s="122"/>
    </row>
    <row r="372" spans="11:13" ht="16.5" customHeight="1">
      <c r="K372" s="121"/>
      <c r="L372" s="121"/>
      <c r="M372" s="122"/>
    </row>
    <row r="373" spans="11:13" ht="16.5" customHeight="1">
      <c r="K373" s="121"/>
      <c r="L373" s="121"/>
      <c r="M373" s="122"/>
    </row>
    <row r="374" spans="11:13" ht="16.5" customHeight="1">
      <c r="K374" s="121"/>
      <c r="L374" s="121"/>
      <c r="M374" s="122"/>
    </row>
    <row r="375" spans="11:13" ht="16.5" customHeight="1">
      <c r="K375" s="121"/>
      <c r="L375" s="121"/>
      <c r="M375" s="122"/>
    </row>
    <row r="376" spans="11:13" ht="16.5" customHeight="1">
      <c r="K376" s="121"/>
      <c r="L376" s="121"/>
      <c r="M376" s="122"/>
    </row>
    <row r="377" spans="11:13" ht="16.5" customHeight="1">
      <c r="K377" s="121"/>
      <c r="L377" s="121"/>
      <c r="M377" s="122"/>
    </row>
    <row r="378" spans="11:13" ht="16.5" customHeight="1">
      <c r="K378" s="121"/>
      <c r="L378" s="121"/>
      <c r="M378" s="122"/>
    </row>
    <row r="379" spans="11:13" ht="16.5" customHeight="1">
      <c r="K379" s="121"/>
      <c r="L379" s="121"/>
      <c r="M379" s="122"/>
    </row>
    <row r="380" spans="11:13" ht="16.5" customHeight="1">
      <c r="K380" s="121"/>
      <c r="L380" s="121"/>
      <c r="M380" s="122"/>
    </row>
    <row r="381" spans="11:13" ht="16.5" customHeight="1">
      <c r="K381" s="121"/>
      <c r="L381" s="121"/>
      <c r="M381" s="122"/>
    </row>
    <row r="382" spans="11:13" ht="16.5" customHeight="1">
      <c r="K382" s="121"/>
      <c r="L382" s="121"/>
      <c r="M382" s="122"/>
    </row>
    <row r="383" spans="11:13" ht="16.5" customHeight="1">
      <c r="K383" s="121"/>
      <c r="L383" s="121"/>
      <c r="M383" s="122"/>
    </row>
    <row r="384" spans="11:13" ht="16.5" customHeight="1">
      <c r="K384" s="121"/>
      <c r="L384" s="121"/>
      <c r="M384" s="122"/>
    </row>
    <row r="385" spans="11:13" ht="16.5" customHeight="1">
      <c r="K385" s="121"/>
      <c r="L385" s="121"/>
      <c r="M385" s="122"/>
    </row>
    <row r="386" spans="11:13" ht="16.5" customHeight="1">
      <c r="K386" s="121"/>
      <c r="L386" s="121"/>
      <c r="M386" s="122"/>
    </row>
    <row r="387" spans="11:13" ht="16.5" customHeight="1">
      <c r="K387" s="121"/>
      <c r="L387" s="121"/>
      <c r="M387" s="122"/>
    </row>
    <row r="388" spans="11:13" ht="16.5" customHeight="1">
      <c r="K388" s="121"/>
      <c r="L388" s="121"/>
      <c r="M388" s="122"/>
    </row>
    <row r="389" spans="11:13" ht="16.5" customHeight="1">
      <c r="K389" s="121"/>
      <c r="L389" s="121"/>
      <c r="M389" s="122"/>
    </row>
    <row r="390" spans="11:13" ht="16.5" customHeight="1">
      <c r="K390" s="121"/>
      <c r="L390" s="121"/>
      <c r="M390" s="122"/>
    </row>
    <row r="391" spans="11:13" ht="16.5" customHeight="1">
      <c r="K391" s="121"/>
      <c r="L391" s="121"/>
      <c r="M391" s="122"/>
    </row>
    <row r="392" spans="11:13" ht="16.5" customHeight="1">
      <c r="K392" s="121"/>
      <c r="L392" s="121"/>
      <c r="M392" s="122"/>
    </row>
    <row r="393" spans="11:13" ht="16.5" customHeight="1">
      <c r="K393" s="121"/>
      <c r="L393" s="121"/>
      <c r="M393" s="122"/>
    </row>
    <row r="394" spans="11:13" ht="16.5" customHeight="1">
      <c r="K394" s="121"/>
      <c r="L394" s="121"/>
      <c r="M394" s="122"/>
    </row>
    <row r="395" spans="11:13" ht="16.5" customHeight="1">
      <c r="K395" s="121"/>
      <c r="L395" s="121"/>
      <c r="M395" s="122"/>
    </row>
    <row r="396" spans="11:13" ht="16.5" customHeight="1">
      <c r="K396" s="121"/>
      <c r="L396" s="121"/>
      <c r="M396" s="122"/>
    </row>
    <row r="397" spans="11:13" ht="16.5" customHeight="1">
      <c r="K397" s="121"/>
      <c r="L397" s="121"/>
      <c r="M397" s="122"/>
    </row>
    <row r="398" spans="11:13" ht="16.5" customHeight="1">
      <c r="K398" s="121"/>
      <c r="L398" s="121"/>
      <c r="M398" s="122"/>
    </row>
    <row r="399" spans="11:13" ht="16.5" customHeight="1">
      <c r="K399" s="121"/>
      <c r="L399" s="121"/>
      <c r="M399" s="122"/>
    </row>
    <row r="400" spans="11:13" ht="16.5" customHeight="1">
      <c r="K400" s="121"/>
      <c r="L400" s="121"/>
      <c r="M400" s="122"/>
    </row>
    <row r="401" spans="11:13" ht="16.5" customHeight="1">
      <c r="K401" s="121"/>
      <c r="L401" s="121"/>
      <c r="M401" s="122"/>
    </row>
    <row r="402" spans="11:13" ht="16.5" customHeight="1">
      <c r="K402" s="121"/>
      <c r="L402" s="121"/>
      <c r="M402" s="122"/>
    </row>
    <row r="403" spans="11:13" ht="16.5" customHeight="1">
      <c r="K403" s="121"/>
      <c r="L403" s="121"/>
      <c r="M403" s="122"/>
    </row>
    <row r="404" spans="11:13" ht="16.5" customHeight="1">
      <c r="K404" s="121"/>
      <c r="L404" s="121"/>
      <c r="M404" s="122"/>
    </row>
    <row r="405" spans="11:13" ht="16.5" customHeight="1">
      <c r="K405" s="121"/>
      <c r="L405" s="121"/>
      <c r="M405" s="122"/>
    </row>
    <row r="406" spans="11:13" ht="16.5" customHeight="1">
      <c r="K406" s="121"/>
      <c r="L406" s="121"/>
      <c r="M406" s="122"/>
    </row>
    <row r="407" spans="11:13" ht="16.5" customHeight="1">
      <c r="K407" s="121"/>
      <c r="L407" s="121"/>
      <c r="M407" s="122"/>
    </row>
    <row r="408" spans="11:13" ht="16.5" customHeight="1">
      <c r="K408" s="121"/>
      <c r="L408" s="121"/>
      <c r="M408" s="122"/>
    </row>
    <row r="409" spans="11:13" ht="16.5" customHeight="1">
      <c r="K409" s="121"/>
      <c r="L409" s="121"/>
      <c r="M409" s="122"/>
    </row>
    <row r="410" spans="11:13" ht="16.5" customHeight="1">
      <c r="K410" s="121"/>
      <c r="L410" s="121"/>
      <c r="M410" s="122"/>
    </row>
    <row r="411" spans="11:13" ht="16.5" customHeight="1">
      <c r="K411" s="121"/>
      <c r="L411" s="121"/>
      <c r="M411" s="122"/>
    </row>
    <row r="412" spans="11:13" ht="16.5" customHeight="1">
      <c r="K412" s="121"/>
      <c r="L412" s="121"/>
      <c r="M412" s="122"/>
    </row>
    <row r="413" spans="11:13" ht="16.5" customHeight="1">
      <c r="K413" s="121"/>
      <c r="L413" s="121"/>
      <c r="M413" s="122"/>
    </row>
    <row r="414" spans="11:13" ht="16.5" customHeight="1">
      <c r="K414" s="121"/>
      <c r="L414" s="121"/>
      <c r="M414" s="122"/>
    </row>
    <row r="415" spans="11:13" ht="16.5" customHeight="1">
      <c r="K415" s="121"/>
      <c r="L415" s="121"/>
      <c r="M415" s="122"/>
    </row>
    <row r="416" spans="11:13" ht="16.5" customHeight="1">
      <c r="K416" s="121"/>
      <c r="L416" s="121"/>
      <c r="M416" s="122"/>
    </row>
    <row r="417" spans="11:13" ht="16.5" customHeight="1">
      <c r="K417" s="121"/>
      <c r="L417" s="121"/>
      <c r="M417" s="122"/>
    </row>
    <row r="418" spans="11:13" ht="16.5" customHeight="1">
      <c r="K418" s="121"/>
      <c r="L418" s="121"/>
      <c r="M418" s="122"/>
    </row>
    <row r="419" spans="11:13" ht="16.5" customHeight="1">
      <c r="K419" s="121"/>
      <c r="L419" s="121"/>
      <c r="M419" s="122"/>
    </row>
    <row r="420" spans="11:13" ht="16.5" customHeight="1">
      <c r="K420" s="121"/>
      <c r="L420" s="121"/>
      <c r="M420" s="122"/>
    </row>
    <row r="421" spans="11:13" ht="16.5" customHeight="1">
      <c r="K421" s="121"/>
      <c r="L421" s="121"/>
      <c r="M421" s="122"/>
    </row>
    <row r="422" spans="11:13" ht="16.5" customHeight="1">
      <c r="K422" s="121"/>
      <c r="L422" s="121"/>
      <c r="M422" s="122"/>
    </row>
    <row r="423" spans="11:13" ht="16.5" customHeight="1">
      <c r="K423" s="121"/>
      <c r="L423" s="121"/>
      <c r="M423" s="122"/>
    </row>
    <row r="424" spans="11:13" ht="16.5" customHeight="1">
      <c r="K424" s="121"/>
      <c r="L424" s="121"/>
      <c r="M424" s="122"/>
    </row>
    <row r="425" spans="11:13" ht="16.5" customHeight="1">
      <c r="K425" s="121"/>
      <c r="L425" s="121"/>
      <c r="M425" s="122"/>
    </row>
    <row r="426" spans="11:13" ht="16.5" customHeight="1">
      <c r="K426" s="121"/>
      <c r="L426" s="121"/>
      <c r="M426" s="122"/>
    </row>
    <row r="427" spans="11:13" ht="16.5" customHeight="1">
      <c r="K427" s="121"/>
      <c r="L427" s="121"/>
      <c r="M427" s="122"/>
    </row>
    <row r="428" spans="11:13" ht="16.5" customHeight="1">
      <c r="K428" s="121"/>
      <c r="L428" s="121"/>
      <c r="M428" s="122"/>
    </row>
    <row r="429" spans="11:13" ht="16.5" customHeight="1">
      <c r="K429" s="121"/>
      <c r="L429" s="121"/>
      <c r="M429" s="122"/>
    </row>
    <row r="430" spans="11:13" ht="16.5" customHeight="1">
      <c r="K430" s="121"/>
      <c r="L430" s="121"/>
      <c r="M430" s="122"/>
    </row>
    <row r="431" spans="11:13" ht="16.5" customHeight="1">
      <c r="K431" s="121"/>
      <c r="L431" s="121"/>
      <c r="M431" s="122"/>
    </row>
    <row r="432" spans="11:13" ht="16.5" customHeight="1">
      <c r="K432" s="121"/>
      <c r="L432" s="121"/>
      <c r="M432" s="122"/>
    </row>
    <row r="433" spans="11:13" ht="16.5" customHeight="1">
      <c r="K433" s="121"/>
      <c r="L433" s="121"/>
      <c r="M433" s="122"/>
    </row>
    <row r="434" spans="11:13" ht="16.5" customHeight="1">
      <c r="K434" s="121"/>
      <c r="L434" s="121"/>
      <c r="M434" s="122"/>
    </row>
    <row r="435" spans="11:13" ht="16.5" customHeight="1">
      <c r="K435" s="121"/>
      <c r="L435" s="121"/>
      <c r="M435" s="122"/>
    </row>
    <row r="436" spans="11:13" ht="16.5" customHeight="1">
      <c r="K436" s="121"/>
      <c r="L436" s="121"/>
      <c r="M436" s="122"/>
    </row>
    <row r="437" spans="11:13" ht="16.5" customHeight="1">
      <c r="K437" s="121"/>
      <c r="L437" s="121"/>
      <c r="M437" s="122"/>
    </row>
    <row r="438" spans="11:13" ht="16.5" customHeight="1">
      <c r="K438" s="121"/>
      <c r="L438" s="121"/>
      <c r="M438" s="122"/>
    </row>
    <row r="439" spans="11:13" ht="16.5" customHeight="1">
      <c r="K439" s="121"/>
      <c r="L439" s="121"/>
      <c r="M439" s="122"/>
    </row>
    <row r="440" spans="11:13" ht="16.5" customHeight="1">
      <c r="K440" s="121"/>
      <c r="L440" s="121"/>
      <c r="M440" s="122"/>
    </row>
    <row r="441" spans="11:13" ht="16.5" customHeight="1">
      <c r="K441" s="121"/>
      <c r="L441" s="121"/>
      <c r="M441" s="122"/>
    </row>
    <row r="442" spans="11:13" ht="16.5" customHeight="1">
      <c r="K442" s="121"/>
      <c r="L442" s="121"/>
      <c r="M442" s="122"/>
    </row>
    <row r="443" spans="11:13" ht="16.5" customHeight="1">
      <c r="K443" s="121"/>
      <c r="L443" s="121"/>
      <c r="M443" s="122"/>
    </row>
    <row r="444" spans="11:13" ht="16.5" customHeight="1">
      <c r="K444" s="121"/>
      <c r="L444" s="121"/>
      <c r="M444" s="122"/>
    </row>
    <row r="445" spans="11:13" ht="16.5" customHeight="1">
      <c r="K445" s="121"/>
      <c r="L445" s="121"/>
      <c r="M445" s="122"/>
    </row>
    <row r="446" spans="11:13" ht="16.5" customHeight="1">
      <c r="K446" s="121"/>
      <c r="L446" s="121"/>
      <c r="M446" s="122"/>
    </row>
    <row r="447" spans="11:13" ht="16.5" customHeight="1">
      <c r="K447" s="121"/>
      <c r="L447" s="121"/>
      <c r="M447" s="122"/>
    </row>
    <row r="448" spans="11:13" ht="16.5" customHeight="1">
      <c r="K448" s="121"/>
      <c r="L448" s="121"/>
      <c r="M448" s="122"/>
    </row>
    <row r="449" spans="11:13" ht="16.5" customHeight="1">
      <c r="K449" s="121"/>
      <c r="L449" s="121"/>
      <c r="M449" s="122"/>
    </row>
    <row r="450" spans="11:13" ht="16.5" customHeight="1">
      <c r="K450" s="121"/>
      <c r="L450" s="121"/>
      <c r="M450" s="122"/>
    </row>
    <row r="451" spans="11:13" ht="16.5" customHeight="1">
      <c r="K451" s="121"/>
      <c r="L451" s="121"/>
      <c r="M451" s="122"/>
    </row>
    <row r="452" spans="11:13" ht="16.5" customHeight="1">
      <c r="K452" s="121"/>
      <c r="L452" s="121"/>
      <c r="M452" s="122"/>
    </row>
    <row r="453" spans="11:13" ht="16.5" customHeight="1">
      <c r="K453" s="121"/>
      <c r="L453" s="121"/>
      <c r="M453" s="122"/>
    </row>
    <row r="454" spans="11:13" ht="16.5" customHeight="1">
      <c r="K454" s="121"/>
      <c r="L454" s="121"/>
      <c r="M454" s="122"/>
    </row>
    <row r="455" spans="11:13" ht="16.5" customHeight="1">
      <c r="K455" s="121"/>
      <c r="L455" s="121"/>
      <c r="M455" s="122"/>
    </row>
    <row r="456" spans="11:13" ht="16.5" customHeight="1">
      <c r="K456" s="121"/>
      <c r="L456" s="121"/>
      <c r="M456" s="122"/>
    </row>
    <row r="457" spans="11:13" ht="16.5" customHeight="1">
      <c r="K457" s="121"/>
      <c r="L457" s="121"/>
      <c r="M457" s="122"/>
    </row>
    <row r="458" spans="11:13" ht="16.5" customHeight="1">
      <c r="K458" s="121"/>
      <c r="L458" s="121"/>
      <c r="M458" s="122"/>
    </row>
    <row r="459" spans="11:13" ht="16.5" customHeight="1">
      <c r="K459" s="121"/>
      <c r="L459" s="121"/>
      <c r="M459" s="122"/>
    </row>
    <row r="460" spans="11:13" ht="16.5" customHeight="1">
      <c r="K460" s="121"/>
      <c r="L460" s="121"/>
      <c r="M460" s="122"/>
    </row>
    <row r="461" spans="11:13" ht="16.5" customHeight="1">
      <c r="K461" s="121"/>
      <c r="L461" s="121"/>
      <c r="M461" s="122"/>
    </row>
    <row r="462" spans="11:13" ht="16.5" customHeight="1">
      <c r="K462" s="121"/>
      <c r="L462" s="121"/>
      <c r="M462" s="122"/>
    </row>
    <row r="463" spans="11:13" ht="16.5" customHeight="1">
      <c r="K463" s="121"/>
      <c r="L463" s="121"/>
      <c r="M463" s="122"/>
    </row>
    <row r="464" spans="11:13" ht="16.5" customHeight="1">
      <c r="K464" s="121"/>
      <c r="L464" s="121"/>
      <c r="M464" s="122"/>
    </row>
    <row r="465" spans="11:13" ht="16.5" customHeight="1">
      <c r="K465" s="121"/>
      <c r="L465" s="121"/>
      <c r="M465" s="122"/>
    </row>
    <row r="466" spans="11:13" ht="16.5" customHeight="1">
      <c r="K466" s="121"/>
      <c r="L466" s="121"/>
      <c r="M466" s="122"/>
    </row>
    <row r="467" spans="11:13" ht="16.5" customHeight="1">
      <c r="K467" s="121"/>
      <c r="L467" s="121"/>
      <c r="M467" s="122"/>
    </row>
    <row r="468" spans="11:13" ht="16.5" customHeight="1">
      <c r="K468" s="121"/>
      <c r="L468" s="121"/>
      <c r="M468" s="122"/>
    </row>
    <row r="469" spans="11:13" ht="16.5" customHeight="1">
      <c r="K469" s="121"/>
      <c r="L469" s="121"/>
      <c r="M469" s="122"/>
    </row>
    <row r="470" spans="11:13" ht="16.5" customHeight="1">
      <c r="K470" s="121"/>
      <c r="L470" s="121"/>
      <c r="M470" s="122"/>
    </row>
    <row r="471" spans="11:13" ht="16.5" customHeight="1">
      <c r="K471" s="121"/>
      <c r="L471" s="121"/>
      <c r="M471" s="122"/>
    </row>
    <row r="472" spans="11:13" ht="16.5" customHeight="1">
      <c r="K472" s="121"/>
      <c r="L472" s="121"/>
      <c r="M472" s="122"/>
    </row>
    <row r="473" spans="11:13" ht="16.5" customHeight="1">
      <c r="K473" s="121"/>
      <c r="L473" s="121"/>
      <c r="M473" s="122"/>
    </row>
    <row r="474" spans="11:13" ht="16.5" customHeight="1">
      <c r="K474" s="121"/>
      <c r="L474" s="121"/>
      <c r="M474" s="122"/>
    </row>
    <row r="475" spans="11:13" ht="16.5" customHeight="1">
      <c r="K475" s="121"/>
      <c r="L475" s="121"/>
      <c r="M475" s="122"/>
    </row>
    <row r="476" spans="11:13" ht="16.5" customHeight="1">
      <c r="K476" s="121"/>
      <c r="L476" s="121"/>
      <c r="M476" s="122"/>
    </row>
    <row r="477" spans="11:13" ht="16.5" customHeight="1">
      <c r="K477" s="121"/>
      <c r="L477" s="121"/>
      <c r="M477" s="122"/>
    </row>
    <row r="478" spans="11:13" ht="16.5" customHeight="1">
      <c r="K478" s="121"/>
      <c r="L478" s="121"/>
      <c r="M478" s="122"/>
    </row>
    <row r="479" spans="11:13" ht="16.5" customHeight="1">
      <c r="K479" s="121"/>
      <c r="L479" s="121"/>
      <c r="M479" s="122"/>
    </row>
    <row r="480" spans="11:13" ht="16.5" customHeight="1">
      <c r="K480" s="121"/>
      <c r="L480" s="121"/>
      <c r="M480" s="122"/>
    </row>
    <row r="481" spans="11:13" ht="16.5" customHeight="1">
      <c r="K481" s="121"/>
      <c r="L481" s="121"/>
      <c r="M481" s="122"/>
    </row>
    <row r="482" spans="11:13" ht="16.5" customHeight="1">
      <c r="K482" s="121"/>
      <c r="L482" s="121"/>
      <c r="M482" s="122"/>
    </row>
    <row r="483" spans="11:13" ht="16.5" customHeight="1">
      <c r="K483" s="121"/>
      <c r="L483" s="121"/>
      <c r="M483" s="122"/>
    </row>
    <row r="484" spans="11:13" ht="16.5" customHeight="1">
      <c r="K484" s="121"/>
      <c r="L484" s="121"/>
      <c r="M484" s="122"/>
    </row>
    <row r="485" spans="11:13" ht="16.5" customHeight="1">
      <c r="K485" s="121"/>
      <c r="L485" s="121"/>
      <c r="M485" s="122"/>
    </row>
    <row r="486" spans="11:13" ht="16.5" customHeight="1">
      <c r="K486" s="121"/>
      <c r="L486" s="121"/>
      <c r="M486" s="122"/>
    </row>
    <row r="487" spans="11:13" ht="16.5" customHeight="1">
      <c r="K487" s="121"/>
      <c r="L487" s="121"/>
      <c r="M487" s="122"/>
    </row>
    <row r="488" spans="11:13" ht="16.5" customHeight="1">
      <c r="K488" s="121"/>
      <c r="L488" s="121"/>
      <c r="M488" s="122"/>
    </row>
    <row r="489" spans="11:13" ht="16.5" customHeight="1">
      <c r="K489" s="121"/>
      <c r="L489" s="121"/>
      <c r="M489" s="122"/>
    </row>
    <row r="490" spans="11:13" ht="16.5" customHeight="1">
      <c r="K490" s="121"/>
      <c r="L490" s="121"/>
      <c r="M490" s="122"/>
    </row>
    <row r="491" spans="11:13" ht="16.5" customHeight="1">
      <c r="K491" s="121"/>
      <c r="L491" s="121"/>
      <c r="M491" s="122"/>
    </row>
    <row r="492" spans="11:13" ht="16.5" customHeight="1">
      <c r="K492" s="121"/>
      <c r="L492" s="121"/>
      <c r="M492" s="122"/>
    </row>
    <row r="493" spans="11:13" ht="16.5" customHeight="1">
      <c r="K493" s="121"/>
      <c r="L493" s="121"/>
      <c r="M493" s="122"/>
    </row>
    <row r="494" spans="11:13" ht="16.5" customHeight="1">
      <c r="K494" s="121"/>
      <c r="L494" s="121"/>
      <c r="M494" s="122"/>
    </row>
    <row r="495" spans="11:13" ht="16.5" customHeight="1">
      <c r="K495" s="121"/>
      <c r="L495" s="121"/>
      <c r="M495" s="122"/>
    </row>
    <row r="496" spans="11:13" ht="16.5" customHeight="1">
      <c r="K496" s="121"/>
      <c r="L496" s="121"/>
      <c r="M496" s="122"/>
    </row>
    <row r="497" spans="11:13" ht="16.5" customHeight="1">
      <c r="K497" s="121"/>
      <c r="L497" s="121"/>
      <c r="M497" s="122"/>
    </row>
    <row r="498" spans="11:13" ht="16.5" customHeight="1">
      <c r="K498" s="121"/>
      <c r="L498" s="121"/>
      <c r="M498" s="122"/>
    </row>
    <row r="499" spans="11:13" ht="16.5" customHeight="1">
      <c r="K499" s="121"/>
      <c r="L499" s="121"/>
      <c r="M499" s="122"/>
    </row>
    <row r="500" spans="11:13" ht="16.5" customHeight="1">
      <c r="K500" s="121"/>
      <c r="L500" s="121"/>
      <c r="M500" s="122"/>
    </row>
    <row r="501" spans="11:13" ht="16.5" customHeight="1">
      <c r="K501" s="121"/>
      <c r="L501" s="121"/>
      <c r="M501" s="122"/>
    </row>
    <row r="502" spans="11:13" ht="16.5" customHeight="1">
      <c r="K502" s="121"/>
      <c r="L502" s="121"/>
      <c r="M502" s="122"/>
    </row>
    <row r="503" spans="11:13" ht="16.5" customHeight="1">
      <c r="K503" s="121"/>
      <c r="L503" s="121"/>
      <c r="M503" s="122"/>
    </row>
    <row r="504" spans="11:13" ht="16.5" customHeight="1">
      <c r="K504" s="121"/>
      <c r="L504" s="121"/>
      <c r="M504" s="122"/>
    </row>
    <row r="505" spans="11:13" ht="16.5" customHeight="1">
      <c r="K505" s="121"/>
      <c r="L505" s="121"/>
      <c r="M505" s="122"/>
    </row>
    <row r="506" spans="11:13" ht="16.5" customHeight="1">
      <c r="K506" s="121"/>
      <c r="L506" s="121"/>
      <c r="M506" s="122"/>
    </row>
    <row r="507" spans="11:13" ht="16.5" customHeight="1">
      <c r="K507" s="121"/>
      <c r="L507" s="121"/>
      <c r="M507" s="122"/>
    </row>
    <row r="508" spans="11:13" ht="16.5" customHeight="1">
      <c r="K508" s="121"/>
      <c r="L508" s="121"/>
      <c r="M508" s="122"/>
    </row>
    <row r="509" spans="11:13" ht="16.5" customHeight="1">
      <c r="K509" s="121"/>
      <c r="L509" s="121"/>
      <c r="M509" s="122"/>
    </row>
    <row r="510" spans="11:13" ht="16.5" customHeight="1">
      <c r="K510" s="121"/>
      <c r="L510" s="121"/>
      <c r="M510" s="122"/>
    </row>
    <row r="511" spans="11:13" ht="16.5" customHeight="1">
      <c r="K511" s="121"/>
      <c r="L511" s="121"/>
      <c r="M511" s="122"/>
    </row>
    <row r="512" spans="11:13" ht="16.5" customHeight="1">
      <c r="K512" s="121"/>
      <c r="L512" s="121"/>
      <c r="M512" s="122"/>
    </row>
    <row r="513" spans="11:13" ht="16.5" customHeight="1">
      <c r="K513" s="121"/>
      <c r="L513" s="121"/>
      <c r="M513" s="122"/>
    </row>
    <row r="514" spans="11:13" ht="16.5" customHeight="1">
      <c r="K514" s="121"/>
      <c r="L514" s="121"/>
      <c r="M514" s="122"/>
    </row>
    <row r="515" spans="11:13" ht="16.5" customHeight="1">
      <c r="K515" s="121"/>
      <c r="L515" s="121"/>
      <c r="M515" s="122"/>
    </row>
    <row r="516" spans="11:13" ht="16.5" customHeight="1">
      <c r="K516" s="121"/>
      <c r="L516" s="121"/>
      <c r="M516" s="122"/>
    </row>
    <row r="517" spans="11:13" ht="16.5" customHeight="1">
      <c r="K517" s="121"/>
      <c r="L517" s="121"/>
      <c r="M517" s="122"/>
    </row>
    <row r="518" spans="11:13" ht="16.5" customHeight="1">
      <c r="K518" s="121"/>
      <c r="L518" s="121"/>
      <c r="M518" s="122"/>
    </row>
    <row r="519" spans="11:13" ht="16.5" customHeight="1">
      <c r="K519" s="121"/>
      <c r="L519" s="121"/>
      <c r="M519" s="122"/>
    </row>
    <row r="520" spans="11:13" ht="16.5" customHeight="1">
      <c r="K520" s="121"/>
      <c r="L520" s="121"/>
      <c r="M520" s="122"/>
    </row>
    <row r="521" spans="11:13" ht="16.5" customHeight="1">
      <c r="K521" s="121"/>
      <c r="L521" s="121"/>
      <c r="M521" s="122"/>
    </row>
    <row r="522" spans="11:13" ht="16.5" customHeight="1">
      <c r="K522" s="121"/>
      <c r="L522" s="121"/>
      <c r="M522" s="122"/>
    </row>
    <row r="523" spans="11:13" ht="16.5" customHeight="1">
      <c r="K523" s="121"/>
      <c r="L523" s="121"/>
      <c r="M523" s="122"/>
    </row>
    <row r="524" spans="11:13" ht="16.5" customHeight="1">
      <c r="K524" s="121"/>
      <c r="L524" s="121"/>
      <c r="M524" s="122"/>
    </row>
    <row r="525" spans="11:13" ht="16.5" customHeight="1">
      <c r="K525" s="121"/>
      <c r="L525" s="121"/>
      <c r="M525" s="122"/>
    </row>
    <row r="526" spans="11:13" ht="16.5" customHeight="1">
      <c r="K526" s="121"/>
      <c r="L526" s="121"/>
      <c r="M526" s="122"/>
    </row>
    <row r="527" spans="11:13" ht="16.5" customHeight="1">
      <c r="K527" s="121"/>
      <c r="L527" s="121"/>
      <c r="M527" s="122"/>
    </row>
    <row r="528" spans="11:13" ht="16.5" customHeight="1">
      <c r="K528" s="121"/>
      <c r="L528" s="121"/>
      <c r="M528" s="122"/>
    </row>
    <row r="529" spans="11:13" ht="16.5" customHeight="1">
      <c r="K529" s="121"/>
      <c r="L529" s="121"/>
      <c r="M529" s="122"/>
    </row>
    <row r="530" spans="11:13" ht="16.5" customHeight="1">
      <c r="K530" s="121"/>
      <c r="L530" s="121"/>
      <c r="M530" s="122"/>
    </row>
    <row r="531" spans="11:13" ht="16.5" customHeight="1">
      <c r="K531" s="121"/>
      <c r="L531" s="121"/>
      <c r="M531" s="122"/>
    </row>
    <row r="532" spans="11:13" ht="16.5" customHeight="1">
      <c r="K532" s="121"/>
      <c r="L532" s="121"/>
      <c r="M532" s="122"/>
    </row>
    <row r="533" spans="11:13" ht="16.5" customHeight="1">
      <c r="K533" s="121"/>
      <c r="L533" s="121"/>
      <c r="M533" s="122"/>
    </row>
    <row r="534" spans="11:13" ht="16.5" customHeight="1">
      <c r="K534" s="121"/>
      <c r="L534" s="121"/>
      <c r="M534" s="122"/>
    </row>
    <row r="535" spans="11:13" ht="16.5" customHeight="1">
      <c r="K535" s="121"/>
      <c r="L535" s="121"/>
      <c r="M535" s="122"/>
    </row>
    <row r="536" spans="11:13" ht="16.5" customHeight="1">
      <c r="K536" s="121"/>
      <c r="L536" s="121"/>
      <c r="M536" s="122"/>
    </row>
    <row r="537" spans="11:13" ht="16.5" customHeight="1">
      <c r="K537" s="121"/>
      <c r="L537" s="121"/>
      <c r="M537" s="122"/>
    </row>
    <row r="538" spans="11:13" ht="16.5" customHeight="1">
      <c r="K538" s="121"/>
      <c r="L538" s="121"/>
      <c r="M538" s="122"/>
    </row>
    <row r="539" spans="11:13" ht="16.5" customHeight="1">
      <c r="K539" s="121"/>
      <c r="L539" s="121"/>
      <c r="M539" s="122"/>
    </row>
    <row r="540" spans="11:13" ht="16.5" customHeight="1">
      <c r="K540" s="121"/>
      <c r="L540" s="121"/>
      <c r="M540" s="122"/>
    </row>
    <row r="541" spans="11:13" ht="16.5" customHeight="1">
      <c r="K541" s="121"/>
      <c r="L541" s="121"/>
      <c r="M541" s="122"/>
    </row>
    <row r="542" spans="11:13" ht="16.5" customHeight="1">
      <c r="K542" s="121"/>
      <c r="L542" s="121"/>
      <c r="M542" s="122"/>
    </row>
    <row r="543" spans="11:13" ht="16.5" customHeight="1">
      <c r="K543" s="121"/>
      <c r="L543" s="121"/>
      <c r="M543" s="122"/>
    </row>
    <row r="544" spans="11:13" ht="16.5" customHeight="1">
      <c r="K544" s="121"/>
      <c r="L544" s="121"/>
      <c r="M544" s="122"/>
    </row>
    <row r="545" spans="11:13" ht="16.5" customHeight="1">
      <c r="K545" s="121"/>
      <c r="L545" s="121"/>
      <c r="M545" s="122"/>
    </row>
    <row r="546" spans="11:13" ht="16.5" customHeight="1">
      <c r="K546" s="121"/>
      <c r="L546" s="121"/>
      <c r="M546" s="122"/>
    </row>
    <row r="547" spans="11:13" ht="16.5" customHeight="1">
      <c r="K547" s="121"/>
      <c r="L547" s="121"/>
      <c r="M547" s="122"/>
    </row>
    <row r="548" spans="11:13" ht="16.5" customHeight="1">
      <c r="K548" s="121"/>
      <c r="L548" s="121"/>
      <c r="M548" s="122"/>
    </row>
    <row r="549" spans="11:13" ht="16.5" customHeight="1">
      <c r="K549" s="121"/>
      <c r="L549" s="121"/>
      <c r="M549" s="122"/>
    </row>
    <row r="550" spans="11:13" ht="16.5" customHeight="1">
      <c r="K550" s="121"/>
      <c r="L550" s="121"/>
      <c r="M550" s="122"/>
    </row>
    <row r="551" spans="11:13" ht="16.5" customHeight="1">
      <c r="K551" s="121"/>
      <c r="L551" s="121"/>
      <c r="M551" s="122"/>
    </row>
    <row r="552" spans="11:13" ht="16.5" customHeight="1">
      <c r="K552" s="121"/>
      <c r="L552" s="121"/>
      <c r="M552" s="122"/>
    </row>
    <row r="553" spans="11:13" ht="16.5" customHeight="1">
      <c r="K553" s="121"/>
      <c r="L553" s="121"/>
      <c r="M553" s="122"/>
    </row>
    <row r="554" spans="11:13" ht="16.5" customHeight="1">
      <c r="K554" s="121"/>
      <c r="L554" s="121"/>
      <c r="M554" s="122"/>
    </row>
    <row r="555" spans="11:13" ht="16.5" customHeight="1">
      <c r="K555" s="121"/>
      <c r="L555" s="121"/>
      <c r="M555" s="122"/>
    </row>
    <row r="556" spans="11:13" ht="16.5" customHeight="1">
      <c r="K556" s="121"/>
      <c r="L556" s="121"/>
      <c r="M556" s="122"/>
    </row>
    <row r="557" spans="11:13" ht="16.5" customHeight="1">
      <c r="K557" s="121"/>
      <c r="L557" s="121"/>
      <c r="M557" s="122"/>
    </row>
    <row r="558" spans="11:13" ht="16.5" customHeight="1">
      <c r="K558" s="121"/>
      <c r="L558" s="121"/>
      <c r="M558" s="122"/>
    </row>
    <row r="559" spans="11:13" ht="16.5" customHeight="1">
      <c r="K559" s="121"/>
      <c r="L559" s="121"/>
      <c r="M559" s="122"/>
    </row>
    <row r="560" spans="11:13" ht="16.5" customHeight="1">
      <c r="K560" s="121"/>
      <c r="L560" s="121"/>
      <c r="M560" s="122"/>
    </row>
    <row r="561" spans="11:13" ht="16.5" customHeight="1">
      <c r="K561" s="121"/>
      <c r="L561" s="121"/>
      <c r="M561" s="122"/>
    </row>
    <row r="562" spans="11:13" ht="16.5" customHeight="1">
      <c r="K562" s="121"/>
      <c r="L562" s="121"/>
      <c r="M562" s="122"/>
    </row>
    <row r="563" spans="11:13" ht="16.5" customHeight="1">
      <c r="K563" s="121"/>
      <c r="L563" s="121"/>
      <c r="M563" s="122"/>
    </row>
    <row r="564" spans="11:13" ht="16.5" customHeight="1">
      <c r="K564" s="121"/>
      <c r="L564" s="121"/>
      <c r="M564" s="122"/>
    </row>
    <row r="565" spans="11:13" ht="16.5" customHeight="1">
      <c r="K565" s="121"/>
      <c r="L565" s="121"/>
      <c r="M565" s="122"/>
    </row>
    <row r="566" spans="11:13" ht="16.5" customHeight="1">
      <c r="K566" s="121"/>
      <c r="L566" s="121"/>
      <c r="M566" s="122"/>
    </row>
    <row r="567" spans="11:13" ht="16.5" customHeight="1">
      <c r="K567" s="121"/>
      <c r="L567" s="121"/>
      <c r="M567" s="122"/>
    </row>
    <row r="568" spans="11:13" ht="16.5" customHeight="1">
      <c r="K568" s="121"/>
      <c r="L568" s="121"/>
      <c r="M568" s="122"/>
    </row>
    <row r="569" spans="11:13" ht="16.5" customHeight="1">
      <c r="K569" s="121"/>
      <c r="L569" s="121"/>
      <c r="M569" s="122"/>
    </row>
    <row r="570" spans="11:13" ht="16.5" customHeight="1">
      <c r="K570" s="121"/>
      <c r="L570" s="121"/>
      <c r="M570" s="122"/>
    </row>
    <row r="571" spans="11:13" ht="16.5" customHeight="1">
      <c r="K571" s="121"/>
      <c r="L571" s="121"/>
      <c r="M571" s="122"/>
    </row>
    <row r="572" spans="11:13" ht="16.5" customHeight="1">
      <c r="K572" s="121"/>
      <c r="L572" s="121"/>
      <c r="M572" s="122"/>
    </row>
    <row r="573" spans="11:13" ht="16.5" customHeight="1">
      <c r="K573" s="121"/>
      <c r="L573" s="121"/>
      <c r="M573" s="122"/>
    </row>
    <row r="574" spans="11:13" ht="16.5" customHeight="1">
      <c r="K574" s="121"/>
      <c r="L574" s="121"/>
      <c r="M574" s="122"/>
    </row>
    <row r="575" spans="11:13" ht="16.5" customHeight="1">
      <c r="K575" s="121"/>
      <c r="L575" s="121"/>
      <c r="M575" s="122"/>
    </row>
    <row r="576" spans="11:13" ht="16.5" customHeight="1">
      <c r="K576" s="121"/>
      <c r="L576" s="121"/>
      <c r="M576" s="122"/>
    </row>
    <row r="577" spans="11:13" ht="16.5" customHeight="1">
      <c r="K577" s="121"/>
      <c r="L577" s="121"/>
      <c r="M577" s="122"/>
    </row>
    <row r="578" spans="11:13" ht="16.5" customHeight="1">
      <c r="K578" s="121"/>
      <c r="L578" s="121"/>
      <c r="M578" s="122"/>
    </row>
    <row r="579" spans="11:13" ht="16.5" customHeight="1">
      <c r="K579" s="121"/>
      <c r="L579" s="121"/>
      <c r="M579" s="122"/>
    </row>
    <row r="580" spans="11:13" ht="16.5" customHeight="1">
      <c r="K580" s="121"/>
      <c r="L580" s="121"/>
      <c r="M580" s="122"/>
    </row>
    <row r="581" spans="11:13" ht="16.5" customHeight="1">
      <c r="K581" s="121"/>
      <c r="L581" s="121"/>
      <c r="M581" s="122"/>
    </row>
    <row r="582" spans="11:13" ht="16.5" customHeight="1">
      <c r="K582" s="121"/>
      <c r="L582" s="121"/>
      <c r="M582" s="122"/>
    </row>
    <row r="583" spans="11:13" ht="16.5" customHeight="1">
      <c r="K583" s="121"/>
      <c r="L583" s="121"/>
      <c r="M583" s="122"/>
    </row>
    <row r="584" spans="11:13" ht="16.5" customHeight="1">
      <c r="K584" s="121"/>
      <c r="L584" s="121"/>
      <c r="M584" s="122"/>
    </row>
    <row r="585" spans="11:13" ht="16.5" customHeight="1">
      <c r="K585" s="121"/>
      <c r="L585" s="121"/>
      <c r="M585" s="122"/>
    </row>
    <row r="586" spans="11:13" ht="16.5" customHeight="1">
      <c r="K586" s="121"/>
      <c r="L586" s="121"/>
      <c r="M586" s="122"/>
    </row>
    <row r="587" spans="11:13" ht="16.5" customHeight="1">
      <c r="K587" s="121"/>
      <c r="L587" s="121"/>
      <c r="M587" s="122"/>
    </row>
    <row r="588" spans="11:13" ht="16.5" customHeight="1">
      <c r="K588" s="121"/>
      <c r="L588" s="121"/>
      <c r="M588" s="122"/>
    </row>
    <row r="589" spans="11:13" ht="16.5" customHeight="1">
      <c r="K589" s="121"/>
      <c r="L589" s="121"/>
      <c r="M589" s="122"/>
    </row>
    <row r="590" spans="11:13" ht="16.5" customHeight="1">
      <c r="K590" s="121"/>
      <c r="L590" s="121"/>
      <c r="M590" s="122"/>
    </row>
    <row r="591" spans="11:13" ht="16.5" customHeight="1">
      <c r="K591" s="121"/>
      <c r="L591" s="121"/>
      <c r="M591" s="122"/>
    </row>
    <row r="592" spans="11:13" ht="16.5" customHeight="1">
      <c r="K592" s="121"/>
      <c r="L592" s="121"/>
      <c r="M592" s="122"/>
    </row>
    <row r="593" spans="11:13" ht="16.5" customHeight="1">
      <c r="K593" s="121"/>
      <c r="L593" s="121"/>
      <c r="M593" s="122"/>
    </row>
    <row r="594" spans="11:13" ht="16.5" customHeight="1">
      <c r="K594" s="121"/>
      <c r="L594" s="121"/>
      <c r="M594" s="122"/>
    </row>
    <row r="595" spans="11:13" ht="16.5" customHeight="1">
      <c r="K595" s="121"/>
      <c r="L595" s="121"/>
      <c r="M595" s="122"/>
    </row>
    <row r="596" spans="11:13" ht="16.5" customHeight="1">
      <c r="K596" s="121"/>
      <c r="L596" s="121"/>
      <c r="M596" s="122"/>
    </row>
    <row r="597" spans="11:13" ht="16.5" customHeight="1">
      <c r="K597" s="121"/>
      <c r="L597" s="121"/>
      <c r="M597" s="122"/>
    </row>
    <row r="598" spans="11:13" ht="16.5" customHeight="1">
      <c r="K598" s="121"/>
      <c r="L598" s="121"/>
      <c r="M598" s="122"/>
    </row>
    <row r="599" spans="11:13" ht="16.5" customHeight="1">
      <c r="K599" s="121"/>
      <c r="L599" s="121"/>
      <c r="M599" s="122"/>
    </row>
    <row r="600" spans="11:13" ht="16.5" customHeight="1">
      <c r="K600" s="121"/>
      <c r="L600" s="121"/>
      <c r="M600" s="122"/>
    </row>
    <row r="601" spans="11:13" ht="16.5" customHeight="1">
      <c r="K601" s="121"/>
      <c r="L601" s="121"/>
      <c r="M601" s="122"/>
    </row>
    <row r="602" spans="11:13" ht="16.5" customHeight="1">
      <c r="K602" s="121"/>
      <c r="L602" s="121"/>
      <c r="M602" s="122"/>
    </row>
    <row r="603" spans="11:13" ht="16.5" customHeight="1">
      <c r="K603" s="121"/>
      <c r="L603" s="121"/>
      <c r="M603" s="122"/>
    </row>
    <row r="604" spans="11:13" ht="16.5" customHeight="1">
      <c r="K604" s="121"/>
      <c r="L604" s="121"/>
      <c r="M604" s="122"/>
    </row>
    <row r="605" spans="11:13" ht="16.5" customHeight="1">
      <c r="K605" s="121"/>
      <c r="L605" s="121"/>
      <c r="M605" s="122"/>
    </row>
    <row r="606" spans="11:13" ht="16.5" customHeight="1">
      <c r="K606" s="121"/>
      <c r="L606" s="121"/>
      <c r="M606" s="122"/>
    </row>
    <row r="607" spans="11:13" ht="16.5" customHeight="1">
      <c r="K607" s="121"/>
      <c r="L607" s="121"/>
      <c r="M607" s="122"/>
    </row>
    <row r="608" spans="11:13" ht="16.5" customHeight="1">
      <c r="K608" s="121"/>
      <c r="L608" s="121"/>
      <c r="M608" s="122"/>
    </row>
    <row r="609" spans="11:13" ht="16.5" customHeight="1">
      <c r="K609" s="121"/>
      <c r="L609" s="121"/>
      <c r="M609" s="122"/>
    </row>
    <row r="610" spans="11:13" ht="16.5" customHeight="1">
      <c r="K610" s="121"/>
      <c r="L610" s="121"/>
      <c r="M610" s="122"/>
    </row>
    <row r="611" spans="11:13" ht="16.5" customHeight="1">
      <c r="K611" s="121"/>
      <c r="L611" s="121"/>
      <c r="M611" s="122"/>
    </row>
    <row r="612" spans="11:13" ht="16.5" customHeight="1">
      <c r="K612" s="121"/>
      <c r="L612" s="121"/>
      <c r="M612" s="122"/>
    </row>
    <row r="613" spans="11:13" ht="16.5" customHeight="1">
      <c r="K613" s="121"/>
      <c r="L613" s="121"/>
      <c r="M613" s="122"/>
    </row>
    <row r="614" spans="11:13" ht="16.5" customHeight="1">
      <c r="K614" s="121"/>
      <c r="L614" s="121"/>
      <c r="M614" s="122"/>
    </row>
    <row r="615" spans="11:13" ht="16.5" customHeight="1">
      <c r="K615" s="121"/>
      <c r="L615" s="121"/>
      <c r="M615" s="122"/>
    </row>
    <row r="616" spans="11:13" ht="16.5" customHeight="1">
      <c r="K616" s="121"/>
      <c r="L616" s="121"/>
      <c r="M616" s="122"/>
    </row>
    <row r="617" spans="11:13" ht="16.5" customHeight="1">
      <c r="K617" s="121"/>
      <c r="L617" s="121"/>
      <c r="M617" s="122"/>
    </row>
    <row r="618" spans="11:13" ht="16.5" customHeight="1">
      <c r="K618" s="121"/>
      <c r="L618" s="121"/>
      <c r="M618" s="122"/>
    </row>
    <row r="619" spans="11:13" ht="16.5" customHeight="1">
      <c r="K619" s="121"/>
      <c r="L619" s="121"/>
      <c r="M619" s="122"/>
    </row>
    <row r="620" spans="11:13" ht="16.5" customHeight="1">
      <c r="K620" s="121"/>
      <c r="L620" s="121"/>
      <c r="M620" s="122"/>
    </row>
    <row r="621" spans="11:13" ht="16.5" customHeight="1">
      <c r="K621" s="121"/>
      <c r="L621" s="121"/>
      <c r="M621" s="122"/>
    </row>
    <row r="622" spans="11:13" ht="16.5" customHeight="1">
      <c r="K622" s="121"/>
      <c r="L622" s="121"/>
      <c r="M622" s="122"/>
    </row>
    <row r="623" spans="11:13" ht="16.5" customHeight="1">
      <c r="K623" s="121"/>
      <c r="L623" s="121"/>
      <c r="M623" s="122"/>
    </row>
    <row r="624" spans="11:13" ht="16.5" customHeight="1">
      <c r="K624" s="121"/>
      <c r="L624" s="121"/>
      <c r="M624" s="122"/>
    </row>
    <row r="625" spans="11:13" ht="16.5" customHeight="1">
      <c r="K625" s="121"/>
      <c r="L625" s="121"/>
      <c r="M625" s="122"/>
    </row>
    <row r="626" spans="11:13" ht="16.5" customHeight="1">
      <c r="K626" s="121"/>
      <c r="L626" s="121"/>
      <c r="M626" s="122"/>
    </row>
    <row r="627" spans="11:13" ht="16.5" customHeight="1">
      <c r="K627" s="121"/>
      <c r="L627" s="121"/>
      <c r="M627" s="122"/>
    </row>
    <row r="628" spans="11:13" ht="16.5" customHeight="1">
      <c r="K628" s="121"/>
      <c r="L628" s="121"/>
      <c r="M628" s="122"/>
    </row>
    <row r="629" spans="11:13" ht="16.5" customHeight="1">
      <c r="K629" s="121"/>
      <c r="L629" s="121"/>
      <c r="M629" s="122"/>
    </row>
    <row r="630" spans="11:13" ht="16.5" customHeight="1">
      <c r="K630" s="121"/>
      <c r="L630" s="121"/>
      <c r="M630" s="122"/>
    </row>
    <row r="631" spans="11:13" ht="16.5" customHeight="1">
      <c r="K631" s="121"/>
      <c r="L631" s="121"/>
      <c r="M631" s="122"/>
    </row>
    <row r="632" spans="11:13" ht="16.5" customHeight="1">
      <c r="K632" s="121"/>
      <c r="L632" s="121"/>
      <c r="M632" s="122"/>
    </row>
    <row r="633" spans="11:13" ht="16.5" customHeight="1">
      <c r="K633" s="121"/>
      <c r="L633" s="121"/>
      <c r="M633" s="122"/>
    </row>
    <row r="634" spans="11:13" ht="16.5" customHeight="1">
      <c r="K634" s="121"/>
      <c r="L634" s="121"/>
      <c r="M634" s="122"/>
    </row>
    <row r="635" spans="11:13" ht="16.5" customHeight="1">
      <c r="K635" s="121"/>
      <c r="L635" s="121"/>
      <c r="M635" s="122"/>
    </row>
    <row r="636" spans="11:13" ht="16.5" customHeight="1">
      <c r="K636" s="121"/>
      <c r="L636" s="121"/>
      <c r="M636" s="122"/>
    </row>
    <row r="637" spans="11:13" ht="16.5" customHeight="1">
      <c r="K637" s="121"/>
      <c r="L637" s="121"/>
      <c r="M637" s="122"/>
    </row>
    <row r="638" spans="11:13" ht="16.5" customHeight="1">
      <c r="K638" s="121"/>
      <c r="L638" s="121"/>
      <c r="M638" s="122"/>
    </row>
    <row r="639" spans="11:13" ht="16.5" customHeight="1">
      <c r="K639" s="121"/>
      <c r="L639" s="121"/>
      <c r="M639" s="122"/>
    </row>
    <row r="640" spans="11:13" ht="16.5" customHeight="1">
      <c r="K640" s="121"/>
      <c r="L640" s="121"/>
      <c r="M640" s="122"/>
    </row>
    <row r="641" spans="11:13" ht="16.5" customHeight="1">
      <c r="K641" s="121"/>
      <c r="L641" s="121"/>
      <c r="M641" s="122"/>
    </row>
    <row r="642" spans="11:13" ht="16.5" customHeight="1">
      <c r="K642" s="121"/>
      <c r="L642" s="121"/>
      <c r="M642" s="122"/>
    </row>
    <row r="643" spans="11:13" ht="16.5" customHeight="1">
      <c r="K643" s="121"/>
      <c r="L643" s="121"/>
      <c r="M643" s="122"/>
    </row>
    <row r="644" spans="11:13" ht="16.5" customHeight="1">
      <c r="K644" s="121"/>
      <c r="L644" s="121"/>
      <c r="M644" s="122"/>
    </row>
    <row r="645" spans="11:13" ht="16.5" customHeight="1">
      <c r="K645" s="121"/>
      <c r="L645" s="121"/>
      <c r="M645" s="122"/>
    </row>
    <row r="646" spans="11:13" ht="16.5" customHeight="1">
      <c r="K646" s="121"/>
      <c r="L646" s="121"/>
      <c r="M646" s="122"/>
    </row>
    <row r="647" spans="11:13" ht="16.5" customHeight="1">
      <c r="K647" s="121"/>
      <c r="L647" s="121"/>
      <c r="M647" s="122"/>
    </row>
    <row r="648" spans="11:13" ht="16.5" customHeight="1">
      <c r="K648" s="121"/>
      <c r="L648" s="121"/>
      <c r="M648" s="122"/>
    </row>
    <row r="649" spans="11:13" ht="16.5" customHeight="1">
      <c r="K649" s="121"/>
      <c r="L649" s="121"/>
      <c r="M649" s="122"/>
    </row>
    <row r="650" spans="11:13" ht="16.5" customHeight="1">
      <c r="K650" s="121"/>
      <c r="L650" s="121"/>
      <c r="M650" s="122"/>
    </row>
    <row r="651" spans="11:13" ht="16.5" customHeight="1">
      <c r="K651" s="121"/>
      <c r="L651" s="121"/>
      <c r="M651" s="122"/>
    </row>
    <row r="652" spans="11:13" ht="16.5" customHeight="1">
      <c r="K652" s="121"/>
      <c r="L652" s="121"/>
      <c r="M652" s="122"/>
    </row>
    <row r="653" spans="11:13" ht="16.5" customHeight="1">
      <c r="K653" s="121"/>
      <c r="L653" s="121"/>
      <c r="M653" s="122"/>
    </row>
    <row r="654" spans="11:13" ht="16.5" customHeight="1">
      <c r="K654" s="121"/>
      <c r="L654" s="121"/>
      <c r="M654" s="122"/>
    </row>
    <row r="655" spans="11:13" ht="16.5" customHeight="1">
      <c r="K655" s="121"/>
      <c r="L655" s="121"/>
      <c r="M655" s="122"/>
    </row>
    <row r="656" spans="11:13" ht="16.5" customHeight="1">
      <c r="K656" s="121"/>
      <c r="L656" s="121"/>
      <c r="M656" s="122"/>
    </row>
    <row r="657" spans="11:13" ht="16.5" customHeight="1">
      <c r="K657" s="121"/>
      <c r="L657" s="121"/>
      <c r="M657" s="122"/>
    </row>
    <row r="658" spans="11:13" ht="16.5" customHeight="1">
      <c r="K658" s="121"/>
      <c r="L658" s="121"/>
      <c r="M658" s="122"/>
    </row>
    <row r="659" spans="11:13" ht="16.5" customHeight="1">
      <c r="K659" s="121"/>
      <c r="L659" s="121"/>
      <c r="M659" s="122"/>
    </row>
    <row r="660" spans="11:13" ht="16.5" customHeight="1">
      <c r="K660" s="121"/>
      <c r="L660" s="121"/>
      <c r="M660" s="122"/>
    </row>
    <row r="661" spans="11:13" ht="16.5" customHeight="1">
      <c r="K661" s="121"/>
      <c r="L661" s="121"/>
      <c r="M661" s="122"/>
    </row>
    <row r="662" spans="11:13" ht="16.5" customHeight="1">
      <c r="K662" s="121"/>
      <c r="L662" s="121"/>
      <c r="M662" s="122"/>
    </row>
    <row r="663" spans="11:13" ht="16.5" customHeight="1">
      <c r="K663" s="121"/>
      <c r="L663" s="121"/>
      <c r="M663" s="122"/>
    </row>
    <row r="664" spans="11:13" ht="16.5" customHeight="1">
      <c r="K664" s="121"/>
      <c r="L664" s="121"/>
      <c r="M664" s="122"/>
    </row>
    <row r="665" spans="11:13" ht="16.5" customHeight="1">
      <c r="K665" s="121"/>
      <c r="L665" s="121"/>
      <c r="M665" s="122"/>
    </row>
    <row r="666" spans="11:13" ht="16.5" customHeight="1">
      <c r="K666" s="121"/>
      <c r="L666" s="121"/>
      <c r="M666" s="122"/>
    </row>
    <row r="667" spans="11:13" ht="16.5" customHeight="1">
      <c r="K667" s="121"/>
      <c r="L667" s="121"/>
      <c r="M667" s="122"/>
    </row>
    <row r="668" spans="11:13" ht="16.5" customHeight="1">
      <c r="K668" s="121"/>
      <c r="L668" s="121"/>
      <c r="M668" s="122"/>
    </row>
    <row r="669" spans="11:13" ht="16.5" customHeight="1">
      <c r="K669" s="121"/>
      <c r="L669" s="121"/>
      <c r="M669" s="122"/>
    </row>
    <row r="670" spans="11:13" ht="16.5" customHeight="1">
      <c r="K670" s="121"/>
      <c r="L670" s="121"/>
      <c r="M670" s="122"/>
    </row>
    <row r="671" spans="11:13" ht="16.5" customHeight="1">
      <c r="K671" s="121"/>
      <c r="L671" s="121"/>
      <c r="M671" s="122"/>
    </row>
    <row r="672" spans="11:13" ht="16.5" customHeight="1">
      <c r="K672" s="121"/>
      <c r="L672" s="121"/>
      <c r="M672" s="122"/>
    </row>
    <row r="673" spans="11:13" ht="16.5" customHeight="1">
      <c r="K673" s="121"/>
      <c r="L673" s="121"/>
      <c r="M673" s="122"/>
    </row>
    <row r="674" spans="11:13" ht="16.5" customHeight="1">
      <c r="K674" s="121"/>
      <c r="L674" s="121"/>
      <c r="M674" s="122"/>
    </row>
    <row r="675" spans="11:13" ht="16.5" customHeight="1">
      <c r="K675" s="121"/>
      <c r="L675" s="121"/>
      <c r="M675" s="122"/>
    </row>
    <row r="676" spans="11:13" ht="16.5" customHeight="1">
      <c r="K676" s="121"/>
      <c r="L676" s="121"/>
      <c r="M676" s="122"/>
    </row>
    <row r="677" spans="11:13" ht="16.5" customHeight="1">
      <c r="K677" s="121"/>
      <c r="L677" s="121"/>
      <c r="M677" s="122"/>
    </row>
    <row r="678" spans="11:13" ht="16.5" customHeight="1">
      <c r="K678" s="121"/>
      <c r="L678" s="121"/>
      <c r="M678" s="122"/>
    </row>
    <row r="679" spans="11:13" ht="16.5" customHeight="1">
      <c r="K679" s="121"/>
      <c r="L679" s="121"/>
      <c r="M679" s="122"/>
    </row>
    <row r="680" spans="11:13" ht="16.5" customHeight="1">
      <c r="K680" s="121"/>
      <c r="L680" s="121"/>
      <c r="M680" s="122"/>
    </row>
    <row r="681" spans="11:13" ht="16.5" customHeight="1">
      <c r="K681" s="121"/>
      <c r="L681" s="121"/>
      <c r="M681" s="122"/>
    </row>
    <row r="682" spans="11:13" ht="16.5" customHeight="1">
      <c r="K682" s="121"/>
      <c r="L682" s="121"/>
      <c r="M682" s="122"/>
    </row>
    <row r="683" spans="11:13" ht="16.5" customHeight="1">
      <c r="K683" s="121"/>
      <c r="L683" s="121"/>
      <c r="M683" s="122"/>
    </row>
    <row r="684" spans="11:13" ht="16.5" customHeight="1">
      <c r="K684" s="121"/>
      <c r="L684" s="121"/>
      <c r="M684" s="122"/>
    </row>
    <row r="685" spans="11:13" ht="16.5" customHeight="1">
      <c r="K685" s="121"/>
      <c r="L685" s="121"/>
      <c r="M685" s="122"/>
    </row>
    <row r="686" spans="11:13" ht="16.5" customHeight="1">
      <c r="K686" s="121"/>
      <c r="L686" s="121"/>
      <c r="M686" s="122"/>
    </row>
    <row r="687" spans="11:13" ht="16.5" customHeight="1">
      <c r="K687" s="121"/>
      <c r="L687" s="121"/>
      <c r="M687" s="122"/>
    </row>
    <row r="688" spans="11:13" ht="16.5" customHeight="1">
      <c r="K688" s="121"/>
      <c r="L688" s="121"/>
      <c r="M688" s="122"/>
    </row>
    <row r="689" spans="11:13" ht="16.5" customHeight="1">
      <c r="K689" s="121"/>
      <c r="L689" s="121"/>
      <c r="M689" s="122"/>
    </row>
    <row r="690" spans="11:13" ht="16.5" customHeight="1">
      <c r="K690" s="121"/>
      <c r="L690" s="121"/>
      <c r="M690" s="122"/>
    </row>
    <row r="691" spans="11:13" ht="16.5" customHeight="1">
      <c r="K691" s="121"/>
      <c r="L691" s="121"/>
      <c r="M691" s="122"/>
    </row>
    <row r="692" spans="11:13" ht="16.5" customHeight="1">
      <c r="K692" s="121"/>
      <c r="L692" s="121"/>
      <c r="M692" s="122"/>
    </row>
    <row r="693" spans="11:13" ht="16.5" customHeight="1">
      <c r="K693" s="121"/>
      <c r="L693" s="121"/>
      <c r="M693" s="122"/>
    </row>
    <row r="694" spans="11:13" ht="16.5" customHeight="1">
      <c r="K694" s="121"/>
      <c r="L694" s="121"/>
      <c r="M694" s="122"/>
    </row>
    <row r="695" spans="11:13" ht="16.5" customHeight="1">
      <c r="K695" s="121"/>
      <c r="L695" s="121"/>
      <c r="M695" s="122"/>
    </row>
    <row r="696" spans="11:13" ht="16.5" customHeight="1">
      <c r="K696" s="121"/>
      <c r="L696" s="121"/>
      <c r="M696" s="122"/>
    </row>
    <row r="697" spans="11:13" ht="16.5" customHeight="1">
      <c r="K697" s="121"/>
      <c r="L697" s="121"/>
      <c r="M697" s="122"/>
    </row>
    <row r="698" spans="11:13" ht="16.5" customHeight="1">
      <c r="K698" s="121"/>
      <c r="L698" s="121"/>
      <c r="M698" s="122"/>
    </row>
    <row r="699" spans="11:13" ht="16.5" customHeight="1">
      <c r="K699" s="121"/>
      <c r="L699" s="121"/>
      <c r="M699" s="122"/>
    </row>
    <row r="700" spans="11:13" ht="16.5" customHeight="1">
      <c r="K700" s="121"/>
      <c r="L700" s="121"/>
      <c r="M700" s="122"/>
    </row>
    <row r="701" spans="11:13" ht="16.5" customHeight="1">
      <c r="K701" s="121"/>
      <c r="L701" s="121"/>
      <c r="M701" s="122"/>
    </row>
    <row r="702" spans="11:13" ht="16.5" customHeight="1">
      <c r="K702" s="121"/>
      <c r="L702" s="121"/>
      <c r="M702" s="122"/>
    </row>
    <row r="703" spans="11:13" ht="16.5" customHeight="1">
      <c r="K703" s="121"/>
      <c r="L703" s="121"/>
      <c r="M703" s="122"/>
    </row>
    <row r="704" spans="11:13" ht="16.5" customHeight="1">
      <c r="K704" s="121"/>
      <c r="L704" s="121"/>
      <c r="M704" s="122"/>
    </row>
    <row r="705" spans="11:13" ht="16.5" customHeight="1">
      <c r="K705" s="121"/>
      <c r="L705" s="121"/>
      <c r="M705" s="122"/>
    </row>
    <row r="706" spans="11:13" ht="16.5" customHeight="1">
      <c r="K706" s="121"/>
      <c r="L706" s="121"/>
      <c r="M706" s="122"/>
    </row>
    <row r="707" spans="11:13" ht="16.5" customHeight="1">
      <c r="K707" s="121"/>
      <c r="L707" s="121"/>
      <c r="M707" s="122"/>
    </row>
    <row r="708" spans="11:13" ht="16.5" customHeight="1">
      <c r="K708" s="121"/>
      <c r="L708" s="121"/>
      <c r="M708" s="122"/>
    </row>
    <row r="709" spans="11:13" ht="16.5" customHeight="1">
      <c r="K709" s="121"/>
      <c r="L709" s="121"/>
      <c r="M709" s="122"/>
    </row>
    <row r="710" spans="11:13" ht="16.5" customHeight="1">
      <c r="K710" s="121"/>
      <c r="L710" s="121"/>
      <c r="M710" s="122"/>
    </row>
    <row r="711" spans="11:13" ht="16.5" customHeight="1">
      <c r="K711" s="121"/>
      <c r="L711" s="121"/>
      <c r="M711" s="122"/>
    </row>
    <row r="712" spans="11:13" ht="16.5" customHeight="1">
      <c r="K712" s="121"/>
      <c r="L712" s="121"/>
      <c r="M712" s="122"/>
    </row>
    <row r="713" spans="11:13" ht="16.5" customHeight="1">
      <c r="K713" s="121"/>
      <c r="L713" s="121"/>
      <c r="M713" s="122"/>
    </row>
    <row r="714" spans="11:13" ht="16.5" customHeight="1">
      <c r="K714" s="121"/>
      <c r="L714" s="121"/>
      <c r="M714" s="122"/>
    </row>
    <row r="715" spans="11:13" ht="16.5" customHeight="1">
      <c r="K715" s="121"/>
      <c r="L715" s="121"/>
      <c r="M715" s="122"/>
    </row>
    <row r="716" spans="11:13" ht="16.5" customHeight="1">
      <c r="K716" s="121"/>
      <c r="L716" s="121"/>
      <c r="M716" s="122"/>
    </row>
    <row r="717" spans="11:13" ht="16.5" customHeight="1">
      <c r="K717" s="121"/>
      <c r="L717" s="121"/>
      <c r="M717" s="122"/>
    </row>
    <row r="718" spans="11:13" ht="16.5" customHeight="1">
      <c r="K718" s="121"/>
      <c r="L718" s="121"/>
      <c r="M718" s="122"/>
    </row>
    <row r="719" spans="11:13" ht="16.5" customHeight="1">
      <c r="K719" s="121"/>
      <c r="L719" s="121"/>
      <c r="M719" s="122"/>
    </row>
    <row r="720" spans="11:13" ht="16.5" customHeight="1">
      <c r="K720" s="121"/>
      <c r="L720" s="121"/>
      <c r="M720" s="122"/>
    </row>
    <row r="721" spans="11:13" ht="16.5" customHeight="1">
      <c r="K721" s="121"/>
      <c r="L721" s="121"/>
      <c r="M721" s="122"/>
    </row>
    <row r="722" spans="11:13" ht="16.5" customHeight="1">
      <c r="K722" s="121"/>
      <c r="L722" s="121"/>
      <c r="M722" s="122"/>
    </row>
    <row r="723" spans="11:13" ht="16.5" customHeight="1">
      <c r="K723" s="121"/>
      <c r="L723" s="121"/>
      <c r="M723" s="122"/>
    </row>
    <row r="724" spans="11:13" ht="16.5" customHeight="1">
      <c r="K724" s="121"/>
      <c r="L724" s="121"/>
      <c r="M724" s="122"/>
    </row>
    <row r="725" spans="11:13" ht="16.5" customHeight="1">
      <c r="K725" s="121"/>
      <c r="L725" s="121"/>
      <c r="M725" s="122"/>
    </row>
    <row r="726" spans="11:13" ht="16.5" customHeight="1">
      <c r="K726" s="121"/>
      <c r="L726" s="121"/>
      <c r="M726" s="122"/>
    </row>
    <row r="727" spans="11:13" ht="16.5" customHeight="1">
      <c r="K727" s="121"/>
      <c r="L727" s="121"/>
      <c r="M727" s="122"/>
    </row>
    <row r="728" spans="11:13" ht="16.5" customHeight="1">
      <c r="K728" s="121"/>
      <c r="L728" s="121"/>
      <c r="M728" s="122"/>
    </row>
    <row r="729" spans="11:13" ht="16.5" customHeight="1">
      <c r="K729" s="121"/>
      <c r="L729" s="121"/>
      <c r="M729" s="122"/>
    </row>
    <row r="730" spans="11:13" ht="16.5" customHeight="1">
      <c r="K730" s="121"/>
      <c r="L730" s="121"/>
      <c r="M730" s="122"/>
    </row>
    <row r="731" spans="11:13" ht="16.5" customHeight="1">
      <c r="K731" s="121"/>
      <c r="L731" s="121"/>
      <c r="M731" s="122"/>
    </row>
    <row r="732" spans="11:13" ht="16.5" customHeight="1">
      <c r="K732" s="121"/>
      <c r="L732" s="121"/>
      <c r="M732" s="122"/>
    </row>
    <row r="733" spans="11:13" ht="16.5" customHeight="1">
      <c r="K733" s="121"/>
      <c r="L733" s="121"/>
      <c r="M733" s="122"/>
    </row>
    <row r="734" spans="11:13" ht="16.5" customHeight="1">
      <c r="K734" s="121"/>
      <c r="L734" s="121"/>
      <c r="M734" s="122"/>
    </row>
    <row r="735" spans="11:13" ht="16.5" customHeight="1">
      <c r="K735" s="121"/>
      <c r="L735" s="121"/>
      <c r="M735" s="122"/>
    </row>
    <row r="736" spans="11:13" ht="16.5" customHeight="1">
      <c r="K736" s="121"/>
      <c r="L736" s="121"/>
      <c r="M736" s="122"/>
    </row>
    <row r="737" spans="11:13" ht="16.5" customHeight="1">
      <c r="K737" s="121"/>
      <c r="L737" s="121"/>
      <c r="M737" s="122"/>
    </row>
    <row r="738" spans="11:13" ht="16.5" customHeight="1">
      <c r="K738" s="121"/>
      <c r="L738" s="121"/>
      <c r="M738" s="122"/>
    </row>
    <row r="739" spans="11:13" ht="16.5" customHeight="1">
      <c r="K739" s="121"/>
      <c r="L739" s="121"/>
      <c r="M739" s="122"/>
    </row>
    <row r="740" spans="11:13" ht="16.5" customHeight="1">
      <c r="K740" s="121"/>
      <c r="L740" s="121"/>
      <c r="M740" s="122"/>
    </row>
    <row r="741" spans="11:13" ht="16.5" customHeight="1">
      <c r="K741" s="121"/>
      <c r="L741" s="121"/>
      <c r="M741" s="122"/>
    </row>
    <row r="742" spans="11:13" ht="16.5" customHeight="1">
      <c r="K742" s="121"/>
      <c r="L742" s="121"/>
      <c r="M742" s="122"/>
    </row>
    <row r="743" spans="11:13" ht="16.5" customHeight="1">
      <c r="K743" s="121"/>
      <c r="L743" s="121"/>
      <c r="M743" s="122"/>
    </row>
    <row r="744" spans="11:13" ht="16.5" customHeight="1">
      <c r="K744" s="121"/>
      <c r="L744" s="121"/>
      <c r="M744" s="122"/>
    </row>
    <row r="745" spans="11:13" ht="16.5" customHeight="1">
      <c r="K745" s="121"/>
      <c r="L745" s="121"/>
      <c r="M745" s="122"/>
    </row>
    <row r="746" spans="11:13" ht="16.5" customHeight="1">
      <c r="K746" s="121"/>
      <c r="L746" s="121"/>
      <c r="M746" s="122"/>
    </row>
    <row r="747" spans="11:13" ht="16.5" customHeight="1">
      <c r="K747" s="121"/>
      <c r="L747" s="121"/>
      <c r="M747" s="122"/>
    </row>
    <row r="748" spans="11:13" ht="16.5" customHeight="1">
      <c r="K748" s="121"/>
      <c r="L748" s="121"/>
      <c r="M748" s="122"/>
    </row>
    <row r="749" spans="11:13" ht="16.5" customHeight="1">
      <c r="K749" s="121"/>
      <c r="L749" s="121"/>
      <c r="M749" s="122"/>
    </row>
    <row r="750" spans="11:13" ht="16.5" customHeight="1">
      <c r="K750" s="121"/>
      <c r="L750" s="121"/>
      <c r="M750" s="122"/>
    </row>
    <row r="751" spans="11:13" ht="16.5" customHeight="1">
      <c r="K751" s="121"/>
      <c r="L751" s="121"/>
      <c r="M751" s="122"/>
    </row>
    <row r="752" spans="11:13" ht="16.5" customHeight="1">
      <c r="K752" s="121"/>
      <c r="L752" s="121"/>
      <c r="M752" s="122"/>
    </row>
    <row r="753" spans="11:13" ht="16.5" customHeight="1">
      <c r="K753" s="121"/>
      <c r="L753" s="121"/>
      <c r="M753" s="122"/>
    </row>
    <row r="754" spans="11:13" ht="16.5" customHeight="1">
      <c r="K754" s="121"/>
      <c r="L754" s="121"/>
      <c r="M754" s="122"/>
    </row>
    <row r="755" spans="11:13" ht="16.5" customHeight="1">
      <c r="K755" s="121"/>
      <c r="L755" s="121"/>
      <c r="M755" s="122"/>
    </row>
    <row r="756" spans="11:13" ht="16.5" customHeight="1">
      <c r="K756" s="121"/>
      <c r="L756" s="121"/>
      <c r="M756" s="122"/>
    </row>
    <row r="757" spans="11:13" ht="16.5" customHeight="1">
      <c r="K757" s="121"/>
      <c r="L757" s="121"/>
      <c r="M757" s="122"/>
    </row>
    <row r="758" spans="11:13" ht="16.5" customHeight="1">
      <c r="K758" s="121"/>
      <c r="L758" s="121"/>
      <c r="M758" s="122"/>
    </row>
    <row r="759" spans="11:13" ht="16.5" customHeight="1">
      <c r="K759" s="121"/>
      <c r="L759" s="121"/>
      <c r="M759" s="122"/>
    </row>
    <row r="760" spans="11:13" ht="16.5" customHeight="1">
      <c r="K760" s="121"/>
      <c r="L760" s="121"/>
      <c r="M760" s="122"/>
    </row>
    <row r="761" spans="11:13" ht="16.5" customHeight="1">
      <c r="K761" s="121"/>
      <c r="L761" s="121"/>
      <c r="M761" s="122"/>
    </row>
    <row r="762" spans="11:13" ht="16.5" customHeight="1">
      <c r="K762" s="121"/>
      <c r="L762" s="121"/>
      <c r="M762" s="122"/>
    </row>
    <row r="763" spans="11:13" ht="16.5" customHeight="1">
      <c r="K763" s="121"/>
      <c r="L763" s="121"/>
      <c r="M763" s="122"/>
    </row>
    <row r="764" spans="11:13" ht="16.5" customHeight="1">
      <c r="K764" s="121"/>
      <c r="L764" s="121"/>
      <c r="M764" s="122"/>
    </row>
    <row r="765" spans="11:13" ht="16.5" customHeight="1">
      <c r="K765" s="121"/>
      <c r="L765" s="121"/>
      <c r="M765" s="122"/>
    </row>
    <row r="766" spans="11:13" ht="16.5" customHeight="1">
      <c r="K766" s="121"/>
      <c r="L766" s="121"/>
      <c r="M766" s="122"/>
    </row>
    <row r="767" spans="11:13" ht="16.5" customHeight="1">
      <c r="K767" s="121"/>
      <c r="L767" s="121"/>
      <c r="M767" s="122"/>
    </row>
    <row r="768" spans="11:13" ht="16.5" customHeight="1">
      <c r="K768" s="121"/>
      <c r="L768" s="121"/>
      <c r="M768" s="122"/>
    </row>
    <row r="769" spans="11:13" ht="16.5" customHeight="1">
      <c r="K769" s="121"/>
      <c r="L769" s="121"/>
      <c r="M769" s="122"/>
    </row>
    <row r="770" spans="11:13" ht="16.5" customHeight="1">
      <c r="K770" s="121"/>
      <c r="L770" s="121"/>
      <c r="M770" s="122"/>
    </row>
    <row r="771" spans="11:13" ht="16.5" customHeight="1">
      <c r="K771" s="121"/>
      <c r="L771" s="121"/>
      <c r="M771" s="122"/>
    </row>
    <row r="772" spans="11:13" ht="16.5" customHeight="1">
      <c r="K772" s="121"/>
      <c r="L772" s="121"/>
      <c r="M772" s="122"/>
    </row>
    <row r="773" spans="11:13" ht="16.5" customHeight="1">
      <c r="K773" s="121"/>
      <c r="L773" s="121"/>
      <c r="M773" s="122"/>
    </row>
    <row r="774" spans="11:13" ht="16.5" customHeight="1">
      <c r="K774" s="121"/>
      <c r="L774" s="121"/>
      <c r="M774" s="122"/>
    </row>
    <row r="775" spans="11:13" ht="16.5" customHeight="1">
      <c r="K775" s="121"/>
      <c r="L775" s="121"/>
      <c r="M775" s="122"/>
    </row>
    <row r="776" spans="11:13" ht="16.5" customHeight="1">
      <c r="K776" s="121"/>
      <c r="L776" s="121"/>
      <c r="M776" s="122"/>
    </row>
    <row r="777" spans="11:13" ht="16.5" customHeight="1">
      <c r="K777" s="121"/>
      <c r="L777" s="121"/>
      <c r="M777" s="122"/>
    </row>
    <row r="778" spans="11:13" ht="16.5" customHeight="1">
      <c r="K778" s="121"/>
      <c r="L778" s="121"/>
      <c r="M778" s="122"/>
    </row>
    <row r="779" spans="11:13" ht="16.5" customHeight="1">
      <c r="K779" s="121"/>
      <c r="L779" s="121"/>
      <c r="M779" s="122"/>
    </row>
    <row r="780" spans="11:13" ht="16.5" customHeight="1">
      <c r="K780" s="121"/>
      <c r="L780" s="121"/>
      <c r="M780" s="122"/>
    </row>
    <row r="781" spans="11:13" ht="16.5" customHeight="1">
      <c r="K781" s="121"/>
      <c r="L781" s="121"/>
      <c r="M781" s="122"/>
    </row>
    <row r="782" spans="11:13" ht="16.5" customHeight="1">
      <c r="K782" s="121"/>
      <c r="L782" s="121"/>
      <c r="M782" s="122"/>
    </row>
    <row r="783" spans="11:13" ht="16.5" customHeight="1">
      <c r="K783" s="121"/>
      <c r="L783" s="121"/>
      <c r="M783" s="122"/>
    </row>
    <row r="784" spans="11:13" ht="16.5" customHeight="1">
      <c r="K784" s="121"/>
      <c r="L784" s="121"/>
      <c r="M784" s="122"/>
    </row>
    <row r="785" spans="11:13" ht="16.5" customHeight="1">
      <c r="K785" s="121"/>
      <c r="L785" s="121"/>
      <c r="M785" s="122"/>
    </row>
    <row r="786" spans="11:13" ht="16.5" customHeight="1">
      <c r="K786" s="121"/>
      <c r="L786" s="121"/>
      <c r="M786" s="122"/>
    </row>
    <row r="787" spans="11:13" ht="16.5" customHeight="1">
      <c r="K787" s="121"/>
      <c r="L787" s="121"/>
      <c r="M787" s="122"/>
    </row>
    <row r="788" spans="11:13" ht="16.5" customHeight="1">
      <c r="K788" s="121"/>
      <c r="L788" s="121"/>
      <c r="M788" s="122"/>
    </row>
    <row r="789" spans="11:13" ht="16.5" customHeight="1">
      <c r="K789" s="121"/>
      <c r="L789" s="121"/>
      <c r="M789" s="122"/>
    </row>
    <row r="790" spans="11:13" ht="16.5" customHeight="1">
      <c r="K790" s="121"/>
      <c r="L790" s="121"/>
      <c r="M790" s="122"/>
    </row>
    <row r="791" spans="11:13" ht="16.5" customHeight="1">
      <c r="K791" s="121"/>
      <c r="L791" s="121"/>
      <c r="M791" s="122"/>
    </row>
    <row r="792" spans="11:13" ht="16.5" customHeight="1">
      <c r="K792" s="121"/>
      <c r="L792" s="121"/>
      <c r="M792" s="122"/>
    </row>
    <row r="793" spans="11:13" ht="16.5" customHeight="1">
      <c r="K793" s="121"/>
      <c r="L793" s="121"/>
      <c r="M793" s="122"/>
    </row>
    <row r="794" spans="11:13" ht="16.5" customHeight="1">
      <c r="K794" s="121"/>
      <c r="L794" s="121"/>
      <c r="M794" s="122"/>
    </row>
    <row r="795" spans="11:13" ht="16.5" customHeight="1">
      <c r="K795" s="121"/>
      <c r="L795" s="121"/>
      <c r="M795" s="122"/>
    </row>
    <row r="796" spans="11:13" ht="16.5" customHeight="1">
      <c r="K796" s="121"/>
      <c r="L796" s="121"/>
      <c r="M796" s="122"/>
    </row>
    <row r="797" spans="11:13" ht="16.5" customHeight="1">
      <c r="K797" s="121"/>
      <c r="L797" s="121"/>
      <c r="M797" s="122"/>
    </row>
    <row r="798" spans="11:13" ht="16.5" customHeight="1">
      <c r="K798" s="121"/>
      <c r="L798" s="121"/>
      <c r="M798" s="122"/>
    </row>
    <row r="799" spans="11:13" ht="16.5" customHeight="1">
      <c r="K799" s="121"/>
      <c r="L799" s="121"/>
      <c r="M799" s="122"/>
    </row>
    <row r="800" spans="11:13" ht="16.5" customHeight="1">
      <c r="K800" s="121"/>
      <c r="L800" s="121"/>
      <c r="M800" s="122"/>
    </row>
    <row r="801" spans="11:13" ht="16.5" customHeight="1">
      <c r="K801" s="121"/>
      <c r="L801" s="121"/>
      <c r="M801" s="122"/>
    </row>
    <row r="802" spans="11:13" ht="16.5" customHeight="1">
      <c r="K802" s="121"/>
      <c r="L802" s="121"/>
      <c r="M802" s="122"/>
    </row>
    <row r="803" spans="11:13" ht="16.5" customHeight="1">
      <c r="K803" s="121"/>
      <c r="L803" s="121"/>
      <c r="M803" s="122"/>
    </row>
    <row r="804" spans="11:13" ht="16.5" customHeight="1">
      <c r="K804" s="121"/>
      <c r="L804" s="121"/>
      <c r="M804" s="122"/>
    </row>
    <row r="805" spans="11:13" ht="16.5" customHeight="1">
      <c r="K805" s="121"/>
      <c r="L805" s="121"/>
      <c r="M805" s="122"/>
    </row>
    <row r="806" spans="11:13" ht="16.5" customHeight="1">
      <c r="K806" s="121"/>
      <c r="L806" s="121"/>
      <c r="M806" s="122"/>
    </row>
    <row r="807" spans="11:13" ht="16.5" customHeight="1">
      <c r="K807" s="121"/>
      <c r="L807" s="121"/>
      <c r="M807" s="122"/>
    </row>
    <row r="808" spans="11:13" ht="16.5" customHeight="1">
      <c r="K808" s="121"/>
      <c r="L808" s="121"/>
      <c r="M808" s="122"/>
    </row>
    <row r="809" spans="11:13" ht="16.5" customHeight="1">
      <c r="K809" s="121"/>
      <c r="L809" s="121"/>
      <c r="M809" s="122"/>
    </row>
    <row r="810" spans="11:13" ht="16.5" customHeight="1">
      <c r="K810" s="121"/>
      <c r="L810" s="121"/>
      <c r="M810" s="122"/>
    </row>
    <row r="811" spans="11:13" ht="16.5" customHeight="1">
      <c r="K811" s="121"/>
      <c r="L811" s="121"/>
      <c r="M811" s="122"/>
    </row>
    <row r="812" spans="11:13" ht="16.5" customHeight="1">
      <c r="K812" s="121"/>
      <c r="L812" s="121"/>
      <c r="M812" s="122"/>
    </row>
    <row r="813" spans="11:13" ht="16.5" customHeight="1">
      <c r="K813" s="121"/>
      <c r="L813" s="121"/>
      <c r="M813" s="122"/>
    </row>
    <row r="814" spans="11:13" ht="16.5" customHeight="1">
      <c r="K814" s="121"/>
      <c r="L814" s="121"/>
      <c r="M814" s="122"/>
    </row>
    <row r="815" spans="11:13" ht="16.5" customHeight="1">
      <c r="K815" s="121"/>
      <c r="L815" s="121"/>
      <c r="M815" s="122"/>
    </row>
    <row r="816" spans="11:13" ht="16.5" customHeight="1">
      <c r="K816" s="121"/>
      <c r="L816" s="121"/>
      <c r="M816" s="122"/>
    </row>
    <row r="817" spans="11:13" ht="16.5" customHeight="1">
      <c r="K817" s="121"/>
      <c r="L817" s="121"/>
      <c r="M817" s="122"/>
    </row>
    <row r="818" spans="11:13" ht="16.5" customHeight="1">
      <c r="K818" s="121"/>
      <c r="L818" s="121"/>
      <c r="M818" s="122"/>
    </row>
    <row r="819" spans="11:13" ht="16.5" customHeight="1">
      <c r="K819" s="121"/>
      <c r="L819" s="121"/>
      <c r="M819" s="122"/>
    </row>
    <row r="820" spans="11:13" ht="16.5" customHeight="1">
      <c r="K820" s="121"/>
      <c r="L820" s="121"/>
      <c r="M820" s="122"/>
    </row>
    <row r="821" spans="11:13" ht="16.5" customHeight="1">
      <c r="K821" s="121"/>
      <c r="L821" s="121"/>
      <c r="M821" s="122"/>
    </row>
    <row r="822" spans="11:13" ht="16.5" customHeight="1">
      <c r="K822" s="121"/>
      <c r="L822" s="121"/>
      <c r="M822" s="122"/>
    </row>
    <row r="823" spans="11:13" ht="16.5" customHeight="1">
      <c r="K823" s="121"/>
      <c r="L823" s="121"/>
      <c r="M823" s="122"/>
    </row>
    <row r="824" spans="11:13" ht="16.5" customHeight="1">
      <c r="K824" s="121"/>
      <c r="L824" s="121"/>
      <c r="M824" s="122"/>
    </row>
    <row r="825" spans="11:13" ht="16.5" customHeight="1">
      <c r="K825" s="121"/>
      <c r="L825" s="121"/>
      <c r="M825" s="122"/>
    </row>
    <row r="826" spans="11:13" ht="16.5" customHeight="1">
      <c r="K826" s="121"/>
      <c r="L826" s="121"/>
      <c r="M826" s="122"/>
    </row>
    <row r="827" spans="11:13" ht="16.5" customHeight="1">
      <c r="K827" s="121"/>
      <c r="L827" s="121"/>
      <c r="M827" s="122"/>
    </row>
    <row r="828" spans="11:13" ht="16.5" customHeight="1">
      <c r="K828" s="121"/>
      <c r="L828" s="121"/>
      <c r="M828" s="122"/>
    </row>
    <row r="829" spans="11:13" ht="16.5" customHeight="1">
      <c r="K829" s="121"/>
      <c r="L829" s="121"/>
      <c r="M829" s="122"/>
    </row>
    <row r="830" spans="11:13" ht="16.5" customHeight="1">
      <c r="K830" s="121"/>
      <c r="L830" s="121"/>
      <c r="M830" s="122"/>
    </row>
    <row r="831" spans="11:13" ht="16.5" customHeight="1">
      <c r="K831" s="121"/>
      <c r="L831" s="121"/>
      <c r="M831" s="122"/>
    </row>
    <row r="832" spans="11:13" ht="16.5" customHeight="1">
      <c r="K832" s="121"/>
      <c r="L832" s="121"/>
      <c r="M832" s="122"/>
    </row>
    <row r="833" spans="11:13" ht="16.5" customHeight="1">
      <c r="K833" s="121"/>
      <c r="L833" s="121"/>
      <c r="M833" s="122"/>
    </row>
    <row r="834" spans="11:13" ht="16.5" customHeight="1">
      <c r="K834" s="121"/>
      <c r="L834" s="121"/>
      <c r="M834" s="122"/>
    </row>
    <row r="835" spans="11:13" ht="16.5" customHeight="1">
      <c r="K835" s="121"/>
      <c r="L835" s="121"/>
      <c r="M835" s="122"/>
    </row>
    <row r="836" spans="11:13" ht="16.5" customHeight="1">
      <c r="K836" s="121"/>
      <c r="L836" s="121"/>
      <c r="M836" s="122"/>
    </row>
    <row r="837" spans="11:13" ht="16.5" customHeight="1">
      <c r="K837" s="121"/>
      <c r="L837" s="121"/>
      <c r="M837" s="122"/>
    </row>
    <row r="838" spans="11:13" ht="16.5" customHeight="1">
      <c r="K838" s="121"/>
      <c r="L838" s="121"/>
      <c r="M838" s="122"/>
    </row>
    <row r="839" spans="11:13" ht="16.5" customHeight="1">
      <c r="K839" s="121"/>
      <c r="L839" s="121"/>
      <c r="M839" s="122"/>
    </row>
    <row r="840" spans="11:13" ht="16.5" customHeight="1">
      <c r="K840" s="121"/>
      <c r="L840" s="121"/>
      <c r="M840" s="122"/>
    </row>
    <row r="841" spans="11:13" ht="16.5" customHeight="1">
      <c r="K841" s="121"/>
      <c r="L841" s="121"/>
      <c r="M841" s="122"/>
    </row>
    <row r="842" spans="11:13" ht="16.5" customHeight="1">
      <c r="K842" s="121"/>
      <c r="L842" s="121"/>
      <c r="M842" s="122"/>
    </row>
    <row r="843" spans="11:13" ht="16.5" customHeight="1">
      <c r="K843" s="121"/>
      <c r="L843" s="121"/>
      <c r="M843" s="122"/>
    </row>
    <row r="844" spans="11:13" ht="16.5" customHeight="1">
      <c r="K844" s="121"/>
      <c r="L844" s="121"/>
      <c r="M844" s="122"/>
    </row>
    <row r="845" spans="11:13" ht="16.5" customHeight="1">
      <c r="K845" s="121"/>
      <c r="L845" s="121"/>
      <c r="M845" s="122"/>
    </row>
    <row r="846" spans="11:13" ht="16.5" customHeight="1">
      <c r="K846" s="121"/>
      <c r="L846" s="121"/>
      <c r="M846" s="122"/>
    </row>
    <row r="847" spans="11:13" ht="16.5" customHeight="1">
      <c r="K847" s="121"/>
      <c r="L847" s="121"/>
      <c r="M847" s="122"/>
    </row>
    <row r="848" spans="11:13" ht="16.5" customHeight="1">
      <c r="K848" s="121"/>
      <c r="L848" s="121"/>
      <c r="M848" s="122"/>
    </row>
  </sheetData>
  <phoneticPr fontId="24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91"/>
  <sheetViews>
    <sheetView workbookViewId="0">
      <selection activeCell="T23" sqref="T23"/>
    </sheetView>
  </sheetViews>
  <sheetFormatPr baseColWidth="10" defaultColWidth="12.6640625" defaultRowHeight="15" customHeight="1"/>
  <cols>
    <col min="1" max="9" width="9.6640625" customWidth="1"/>
    <col min="10" max="10" width="14.6640625" bestFit="1" customWidth="1"/>
    <col min="11" max="11" width="12" customWidth="1"/>
    <col min="12" max="12" width="13" customWidth="1"/>
    <col min="13" max="27" width="9.6640625" customWidth="1"/>
  </cols>
  <sheetData>
    <row r="1" spans="1:12">
      <c r="B1" t="s">
        <v>480</v>
      </c>
    </row>
    <row r="2" spans="1:12" ht="17">
      <c r="A2" s="154" t="s">
        <v>203</v>
      </c>
      <c r="B2" s="154" t="s">
        <v>204</v>
      </c>
      <c r="C2" s="154" t="s">
        <v>205</v>
      </c>
      <c r="D2" s="154" t="s">
        <v>481</v>
      </c>
      <c r="E2" s="159" t="s">
        <v>213</v>
      </c>
      <c r="F2" s="154" t="s">
        <v>206</v>
      </c>
      <c r="G2" s="154" t="s">
        <v>207</v>
      </c>
      <c r="H2" s="154" t="s">
        <v>208</v>
      </c>
      <c r="I2" s="154" t="s">
        <v>201</v>
      </c>
      <c r="J2" s="154" t="s">
        <v>209</v>
      </c>
      <c r="K2" s="154" t="s">
        <v>210</v>
      </c>
      <c r="L2" s="237"/>
    </row>
    <row r="3" spans="1:12">
      <c r="A3" s="155">
        <v>3</v>
      </c>
      <c r="B3" s="155" t="s">
        <v>211</v>
      </c>
      <c r="C3" s="155" t="s">
        <v>212</v>
      </c>
      <c r="D3" s="156">
        <v>4080</v>
      </c>
      <c r="E3" s="156">
        <v>4080</v>
      </c>
      <c r="F3" s="155">
        <v>24</v>
      </c>
      <c r="G3" s="155"/>
      <c r="H3" s="155"/>
      <c r="I3" s="155">
        <v>6</v>
      </c>
      <c r="J3" s="155">
        <f t="shared" ref="J3" si="0">F3+G3-I3</f>
        <v>18</v>
      </c>
      <c r="K3" s="156">
        <f>D3*I3</f>
        <v>24480</v>
      </c>
    </row>
    <row r="4" spans="1:12">
      <c r="K4" s="157"/>
    </row>
    <row r="5" spans="1:12" ht="17">
      <c r="J5" s="217" t="s">
        <v>210</v>
      </c>
      <c r="K5" s="158">
        <f>K3-K4</f>
        <v>24480</v>
      </c>
    </row>
    <row r="6" spans="1:12" ht="16.5" customHeight="1">
      <c r="D6" t="s">
        <v>261</v>
      </c>
      <c r="E6" s="157">
        <f>I3</f>
        <v>6</v>
      </c>
      <c r="K6" s="157"/>
    </row>
    <row r="7" spans="1:12" ht="16.5" customHeight="1">
      <c r="D7" t="s">
        <v>262</v>
      </c>
      <c r="E7" s="157">
        <f>6800*E6</f>
        <v>40800</v>
      </c>
      <c r="J7" t="s">
        <v>260</v>
      </c>
      <c r="K7" s="158">
        <f>K5-K6</f>
        <v>24480</v>
      </c>
    </row>
    <row r="8" spans="1:12" ht="16.5" customHeight="1"/>
    <row r="9" spans="1:12" ht="16.5" customHeight="1"/>
    <row r="10" spans="1:12" ht="16.5" customHeight="1"/>
    <row r="11" spans="1:12" ht="16.5" customHeight="1"/>
    <row r="12" spans="1:12" ht="16.5" customHeight="1"/>
    <row r="13" spans="1:12" ht="16.5" customHeight="1"/>
    <row r="14" spans="1:12" ht="16.5" customHeight="1"/>
    <row r="15" spans="1:12" ht="16.5" customHeight="1"/>
    <row r="16" spans="1:12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</sheetData>
  <phoneticPr fontId="24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7322-81A3-F241-8FAC-47B0DAECFE4D}">
  <dimension ref="A1:J7"/>
  <sheetViews>
    <sheetView workbookViewId="0">
      <selection activeCell="H15" sqref="H15"/>
    </sheetView>
  </sheetViews>
  <sheetFormatPr baseColWidth="10" defaultRowHeight="15"/>
  <cols>
    <col min="1" max="1" width="6.6640625" customWidth="1"/>
    <col min="2" max="2" width="23.5" customWidth="1"/>
    <col min="10" max="10" width="24.33203125" customWidth="1"/>
  </cols>
  <sheetData>
    <row r="1" spans="1:10">
      <c r="A1" s="336" t="s">
        <v>246</v>
      </c>
      <c r="B1" s="336" t="s">
        <v>134</v>
      </c>
      <c r="C1" s="336" t="s">
        <v>90</v>
      </c>
      <c r="D1" s="336" t="s">
        <v>52</v>
      </c>
      <c r="E1" s="336" t="s">
        <v>170</v>
      </c>
      <c r="F1" s="337" t="s">
        <v>136</v>
      </c>
      <c r="G1" s="336" t="s">
        <v>247</v>
      </c>
      <c r="H1" s="336" t="s">
        <v>248</v>
      </c>
      <c r="I1" s="336" t="s">
        <v>216</v>
      </c>
      <c r="J1" s="336" t="s">
        <v>259</v>
      </c>
    </row>
    <row r="2" spans="1:10">
      <c r="A2" s="221">
        <v>1</v>
      </c>
      <c r="B2" s="222" t="s">
        <v>482</v>
      </c>
      <c r="C2" s="224">
        <v>6800</v>
      </c>
      <c r="D2" s="224">
        <f>C2*G2</f>
        <v>13600</v>
      </c>
      <c r="E2" s="225"/>
      <c r="F2" s="224">
        <v>5000</v>
      </c>
      <c r="G2" s="222">
        <v>2</v>
      </c>
      <c r="H2" s="224">
        <f>F2*G2</f>
        <v>10000</v>
      </c>
      <c r="I2" s="223">
        <f>H2*20%</f>
        <v>2000</v>
      </c>
      <c r="J2" s="338" t="s">
        <v>1561</v>
      </c>
    </row>
    <row r="3" spans="1:10">
      <c r="A3" s="221">
        <v>2</v>
      </c>
      <c r="B3" s="222" t="s">
        <v>483</v>
      </c>
      <c r="C3" s="224">
        <v>6800</v>
      </c>
      <c r="D3" s="224">
        <f t="shared" ref="D3:D4" si="0">C3*G3</f>
        <v>34000</v>
      </c>
      <c r="E3" s="225"/>
      <c r="F3" s="224">
        <v>5000</v>
      </c>
      <c r="G3" s="222">
        <v>5</v>
      </c>
      <c r="H3" s="224">
        <f t="shared" ref="H3:H4" si="1">F3*G3</f>
        <v>25000</v>
      </c>
      <c r="I3" s="223">
        <f t="shared" ref="I3:I4" si="2">H3*20%</f>
        <v>5000</v>
      </c>
    </row>
    <row r="4" spans="1:10">
      <c r="A4" s="339">
        <v>3</v>
      </c>
      <c r="B4" s="340" t="s">
        <v>484</v>
      </c>
      <c r="C4" s="341">
        <v>26900</v>
      </c>
      <c r="D4" s="341">
        <f t="shared" si="0"/>
        <v>26900</v>
      </c>
      <c r="E4" s="342"/>
      <c r="F4" s="341">
        <v>20000</v>
      </c>
      <c r="G4" s="340">
        <v>1</v>
      </c>
      <c r="H4" s="341">
        <f t="shared" si="1"/>
        <v>20000</v>
      </c>
      <c r="I4" s="343">
        <f t="shared" si="2"/>
        <v>4000</v>
      </c>
      <c r="J4" s="312"/>
    </row>
    <row r="6" spans="1:10">
      <c r="B6" s="344" t="s">
        <v>229</v>
      </c>
      <c r="D6" s="153">
        <f>SUM(D2:D5)</f>
        <v>74500</v>
      </c>
      <c r="H6" s="226">
        <f>SUM(H2:H5)</f>
        <v>55000</v>
      </c>
      <c r="I6" s="153">
        <f>SUM(I2:I5)</f>
        <v>11000</v>
      </c>
      <c r="J6" s="345">
        <f>H6-I6</f>
        <v>44000</v>
      </c>
    </row>
    <row r="7" spans="1:10">
      <c r="J7" s="346" t="s">
        <v>1562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  <outlinePr summaryBelow="0" summaryRight="0"/>
  </sheetPr>
  <dimension ref="A1:AA210"/>
  <sheetViews>
    <sheetView topLeftCell="A174" workbookViewId="0">
      <selection activeCell="F219" sqref="F219"/>
    </sheetView>
  </sheetViews>
  <sheetFormatPr baseColWidth="10" defaultColWidth="12.6640625" defaultRowHeight="15" customHeight="1"/>
  <cols>
    <col min="1" max="1" width="8" bestFit="1" customWidth="1"/>
    <col min="3" max="3" width="19.6640625" bestFit="1" customWidth="1"/>
    <col min="4" max="4" width="12.6640625" customWidth="1"/>
    <col min="5" max="5" width="13.33203125" customWidth="1"/>
    <col min="6" max="6" width="48.1640625" bestFit="1" customWidth="1"/>
    <col min="7" max="8" width="12.6640625" customWidth="1"/>
    <col min="9" max="9" width="6.83203125" customWidth="1"/>
    <col min="10" max="10" width="9.5" customWidth="1"/>
    <col min="11" max="11" width="11.6640625" bestFit="1" customWidth="1"/>
    <col min="12" max="13" width="9.5" bestFit="1" customWidth="1"/>
    <col min="14" max="14" width="12.1640625" bestFit="1" customWidth="1"/>
    <col min="15" max="15" width="18" bestFit="1" customWidth="1"/>
    <col min="16" max="17" width="0" hidden="1" customWidth="1"/>
    <col min="18" max="18" width="23.1640625" hidden="1" customWidth="1"/>
    <col min="19" max="26" width="0" hidden="1" customWidth="1"/>
  </cols>
  <sheetData>
    <row r="1" spans="1:27" ht="15" customHeight="1">
      <c r="A1" s="302" t="s">
        <v>282</v>
      </c>
      <c r="B1" s="210" t="s">
        <v>174</v>
      </c>
      <c r="C1" s="210" t="s">
        <v>175</v>
      </c>
      <c r="D1" s="210" t="s">
        <v>176</v>
      </c>
      <c r="E1" s="210" t="s">
        <v>177</v>
      </c>
      <c r="F1" s="210" t="s">
        <v>134</v>
      </c>
      <c r="G1" s="210" t="s">
        <v>178</v>
      </c>
      <c r="H1" s="210" t="s">
        <v>179</v>
      </c>
      <c r="I1" s="210" t="s">
        <v>180</v>
      </c>
      <c r="J1" s="210" t="s">
        <v>181</v>
      </c>
      <c r="K1" s="210" t="s">
        <v>182</v>
      </c>
      <c r="L1" s="210" t="s">
        <v>183</v>
      </c>
      <c r="M1" s="210" t="s">
        <v>184</v>
      </c>
      <c r="N1" s="210" t="s">
        <v>185</v>
      </c>
      <c r="O1" s="210" t="s">
        <v>472</v>
      </c>
      <c r="P1" s="303" t="s">
        <v>473</v>
      </c>
      <c r="Q1" s="210" t="s">
        <v>474</v>
      </c>
      <c r="R1" s="20" t="s">
        <v>186</v>
      </c>
      <c r="S1" s="20" t="s">
        <v>233</v>
      </c>
      <c r="T1" s="213" t="s">
        <v>286</v>
      </c>
      <c r="U1" s="212" t="s">
        <v>287</v>
      </c>
      <c r="V1" s="210" t="s">
        <v>283</v>
      </c>
      <c r="W1" s="210" t="s">
        <v>284</v>
      </c>
      <c r="X1" s="211" t="s">
        <v>285</v>
      </c>
      <c r="Y1" s="210" t="s">
        <v>286</v>
      </c>
      <c r="Z1" s="210" t="s">
        <v>292</v>
      </c>
      <c r="AA1" s="210"/>
    </row>
    <row r="2" spans="1:27" ht="15" customHeight="1">
      <c r="A2" s="302">
        <v>1</v>
      </c>
      <c r="B2" s="212">
        <v>46171</v>
      </c>
      <c r="C2" s="210" t="s">
        <v>315</v>
      </c>
      <c r="D2" s="210" t="s">
        <v>187</v>
      </c>
      <c r="E2" s="211">
        <v>8809990970018</v>
      </c>
      <c r="F2" s="210" t="s">
        <v>281</v>
      </c>
      <c r="G2" s="210" t="s">
        <v>188</v>
      </c>
      <c r="H2" s="210"/>
      <c r="I2" s="210"/>
      <c r="J2" s="210">
        <v>0</v>
      </c>
      <c r="K2" s="210"/>
      <c r="L2" s="210">
        <v>1</v>
      </c>
      <c r="M2" s="210"/>
      <c r="N2" s="210" t="s">
        <v>189</v>
      </c>
      <c r="O2" s="211">
        <v>92235591125</v>
      </c>
      <c r="P2" s="303"/>
      <c r="Q2" s="210" t="s">
        <v>475</v>
      </c>
      <c r="R2" s="210"/>
      <c r="S2" s="210"/>
      <c r="T2" s="213"/>
      <c r="U2" s="212"/>
      <c r="V2" s="210"/>
      <c r="W2" s="210"/>
      <c r="X2" s="211"/>
      <c r="Y2" s="210" t="str">
        <f>""</f>
        <v/>
      </c>
      <c r="Z2" s="210" t="s">
        <v>289</v>
      </c>
      <c r="AA2" s="210"/>
    </row>
    <row r="3" spans="1:27" ht="15" customHeight="1">
      <c r="A3" s="302"/>
      <c r="B3" s="212">
        <v>46171</v>
      </c>
      <c r="C3" s="210" t="s">
        <v>315</v>
      </c>
      <c r="D3" s="210" t="s">
        <v>187</v>
      </c>
      <c r="E3" s="211">
        <v>8809879544071</v>
      </c>
      <c r="F3" s="210" t="s">
        <v>288</v>
      </c>
      <c r="G3" s="210" t="s">
        <v>188</v>
      </c>
      <c r="H3" s="210"/>
      <c r="I3" s="210"/>
      <c r="J3" s="210">
        <v>0</v>
      </c>
      <c r="K3" s="210"/>
      <c r="L3" s="210">
        <v>1</v>
      </c>
      <c r="M3" s="210"/>
      <c r="N3" s="210" t="s">
        <v>189</v>
      </c>
      <c r="O3" s="211">
        <v>92235591125</v>
      </c>
      <c r="P3" s="303"/>
      <c r="Q3" s="210" t="s">
        <v>475</v>
      </c>
      <c r="R3" s="210"/>
      <c r="S3" s="210"/>
      <c r="T3" s="213"/>
      <c r="U3" s="212"/>
      <c r="V3" s="210"/>
      <c r="W3" s="210"/>
      <c r="X3" s="211"/>
      <c r="Y3" s="210" t="str">
        <f>""</f>
        <v/>
      </c>
      <c r="Z3" s="210" t="s">
        <v>289</v>
      </c>
      <c r="AA3" s="210"/>
    </row>
    <row r="4" spans="1:27" ht="15" customHeight="1">
      <c r="A4" s="302">
        <v>2</v>
      </c>
      <c r="B4" s="212">
        <v>46171</v>
      </c>
      <c r="C4" s="210" t="s">
        <v>316</v>
      </c>
      <c r="D4" s="210" t="s">
        <v>187</v>
      </c>
      <c r="E4" s="211">
        <v>8809990970018</v>
      </c>
      <c r="F4" s="210" t="s">
        <v>281</v>
      </c>
      <c r="G4" s="210" t="s">
        <v>188</v>
      </c>
      <c r="H4" s="210"/>
      <c r="I4" s="210"/>
      <c r="J4" s="210">
        <v>0</v>
      </c>
      <c r="K4" s="210"/>
      <c r="L4" s="210">
        <v>1</v>
      </c>
      <c r="M4" s="210"/>
      <c r="N4" s="210" t="s">
        <v>189</v>
      </c>
      <c r="O4" s="211">
        <v>92235591324</v>
      </c>
      <c r="P4" s="303"/>
      <c r="Q4" s="210" t="s">
        <v>475</v>
      </c>
      <c r="R4" s="210"/>
      <c r="S4" s="210"/>
      <c r="T4" s="213"/>
      <c r="U4" s="212"/>
      <c r="V4" s="210"/>
      <c r="W4" s="210"/>
      <c r="X4" s="211"/>
      <c r="Y4" s="210" t="str">
        <f>""</f>
        <v/>
      </c>
      <c r="Z4" s="210" t="s">
        <v>289</v>
      </c>
      <c r="AA4" s="210"/>
    </row>
    <row r="5" spans="1:27" ht="15" customHeight="1">
      <c r="A5" s="302"/>
      <c r="B5" s="212">
        <v>46171</v>
      </c>
      <c r="C5" s="210" t="s">
        <v>316</v>
      </c>
      <c r="D5" s="210" t="s">
        <v>187</v>
      </c>
      <c r="E5" s="211">
        <v>8809879544071</v>
      </c>
      <c r="F5" s="210" t="s">
        <v>288</v>
      </c>
      <c r="G5" s="210" t="s">
        <v>188</v>
      </c>
      <c r="H5" s="210"/>
      <c r="I5" s="210"/>
      <c r="J5" s="210">
        <v>0</v>
      </c>
      <c r="K5" s="210"/>
      <c r="L5" s="210">
        <v>1</v>
      </c>
      <c r="M5" s="210"/>
      <c r="N5" s="210" t="s">
        <v>189</v>
      </c>
      <c r="O5" s="211">
        <v>92235591324</v>
      </c>
      <c r="P5" s="303"/>
      <c r="Q5" s="210" t="s">
        <v>475</v>
      </c>
      <c r="R5" s="210"/>
      <c r="S5" s="210"/>
      <c r="T5" s="213"/>
      <c r="U5" s="212"/>
      <c r="V5" s="210"/>
      <c r="W5" s="210"/>
      <c r="X5" s="211"/>
      <c r="Y5" s="210" t="str">
        <f>""</f>
        <v/>
      </c>
      <c r="Z5" s="210" t="s">
        <v>289</v>
      </c>
      <c r="AA5" s="210"/>
    </row>
    <row r="6" spans="1:27" ht="15" customHeight="1">
      <c r="A6" s="302">
        <v>3</v>
      </c>
      <c r="B6" s="212">
        <v>46171</v>
      </c>
      <c r="C6" s="210" t="s">
        <v>317</v>
      </c>
      <c r="D6" s="210" t="s">
        <v>187</v>
      </c>
      <c r="E6" s="211">
        <v>8809990970018</v>
      </c>
      <c r="F6" s="210" t="s">
        <v>281</v>
      </c>
      <c r="G6" s="210" t="s">
        <v>188</v>
      </c>
      <c r="H6" s="210"/>
      <c r="I6" s="210"/>
      <c r="J6" s="210">
        <v>0</v>
      </c>
      <c r="K6" s="210"/>
      <c r="L6" s="210">
        <v>1</v>
      </c>
      <c r="M6" s="210"/>
      <c r="N6" s="210" t="s">
        <v>189</v>
      </c>
      <c r="O6" s="211">
        <v>92235591335</v>
      </c>
      <c r="P6" s="303"/>
      <c r="Q6" s="210" t="s">
        <v>475</v>
      </c>
      <c r="R6" s="210"/>
      <c r="S6" s="210"/>
      <c r="T6" s="213"/>
      <c r="U6" s="212"/>
      <c r="V6" s="210"/>
      <c r="W6" s="210"/>
      <c r="X6" s="211"/>
      <c r="Y6" s="210" t="str">
        <f>""</f>
        <v/>
      </c>
      <c r="Z6" s="210" t="s">
        <v>291</v>
      </c>
      <c r="AA6" s="210"/>
    </row>
    <row r="7" spans="1:27" ht="15" customHeight="1">
      <c r="A7" s="302"/>
      <c r="B7" s="212">
        <v>46171</v>
      </c>
      <c r="C7" s="210" t="s">
        <v>317</v>
      </c>
      <c r="D7" s="210" t="s">
        <v>187</v>
      </c>
      <c r="E7" s="211">
        <v>8809879544071</v>
      </c>
      <c r="F7" s="210" t="s">
        <v>288</v>
      </c>
      <c r="G7" s="210" t="s">
        <v>188</v>
      </c>
      <c r="H7" s="210"/>
      <c r="I7" s="210"/>
      <c r="J7" s="210">
        <v>0</v>
      </c>
      <c r="K7" s="210"/>
      <c r="L7" s="210">
        <v>1</v>
      </c>
      <c r="M7" s="210"/>
      <c r="N7" s="210" t="s">
        <v>189</v>
      </c>
      <c r="O7" s="211">
        <v>92235591335</v>
      </c>
      <c r="P7" s="303"/>
      <c r="Q7" s="210" t="s">
        <v>475</v>
      </c>
      <c r="R7" s="210"/>
      <c r="S7" s="210"/>
      <c r="T7" s="213"/>
      <c r="U7" s="212"/>
      <c r="V7" s="210"/>
      <c r="W7" s="210"/>
      <c r="X7" s="211"/>
      <c r="Y7" s="210"/>
      <c r="Z7" s="210" t="s">
        <v>291</v>
      </c>
      <c r="AA7" s="210"/>
    </row>
    <row r="8" spans="1:27" ht="15" customHeight="1">
      <c r="A8" s="302">
        <v>4</v>
      </c>
      <c r="B8" s="212">
        <v>46171</v>
      </c>
      <c r="C8" s="210" t="s">
        <v>318</v>
      </c>
      <c r="D8" s="210" t="s">
        <v>187</v>
      </c>
      <c r="E8" s="211">
        <v>8809990970018</v>
      </c>
      <c r="F8" s="210" t="s">
        <v>281</v>
      </c>
      <c r="G8" s="210" t="s">
        <v>188</v>
      </c>
      <c r="H8" s="210"/>
      <c r="I8" s="210"/>
      <c r="J8" s="210">
        <v>0</v>
      </c>
      <c r="K8" s="210"/>
      <c r="L8" s="210">
        <v>1</v>
      </c>
      <c r="M8" s="210"/>
      <c r="N8" s="210" t="s">
        <v>189</v>
      </c>
      <c r="O8" s="211">
        <v>92235591346</v>
      </c>
      <c r="P8" s="303"/>
      <c r="Q8" s="210" t="s">
        <v>475</v>
      </c>
      <c r="R8" s="210"/>
      <c r="S8" s="210"/>
      <c r="T8" s="213"/>
      <c r="U8" s="212"/>
      <c r="V8" s="210"/>
      <c r="W8" s="210"/>
      <c r="X8" s="211"/>
      <c r="Y8" s="210" t="str">
        <f>""</f>
        <v/>
      </c>
      <c r="Z8" s="210" t="s">
        <v>289</v>
      </c>
      <c r="AA8" s="210"/>
    </row>
    <row r="9" spans="1:27" ht="15" customHeight="1">
      <c r="A9" s="302"/>
      <c r="B9" s="212">
        <v>46171</v>
      </c>
      <c r="C9" s="210" t="s">
        <v>318</v>
      </c>
      <c r="D9" s="210" t="s">
        <v>187</v>
      </c>
      <c r="E9" s="211">
        <v>8809879544071</v>
      </c>
      <c r="F9" s="210" t="s">
        <v>288</v>
      </c>
      <c r="G9" s="210" t="s">
        <v>188</v>
      </c>
      <c r="H9" s="210"/>
      <c r="I9" s="210"/>
      <c r="J9" s="210">
        <v>0</v>
      </c>
      <c r="K9" s="210"/>
      <c r="L9" s="210">
        <v>1</v>
      </c>
      <c r="M9" s="210"/>
      <c r="N9" s="210" t="s">
        <v>189</v>
      </c>
      <c r="O9" s="211">
        <v>92235591346</v>
      </c>
      <c r="P9" s="303"/>
      <c r="Q9" s="210" t="s">
        <v>475</v>
      </c>
      <c r="R9" s="210"/>
      <c r="S9" s="210"/>
      <c r="T9" s="213"/>
      <c r="U9" s="212"/>
      <c r="V9" s="210"/>
      <c r="W9" s="210"/>
      <c r="X9" s="211"/>
      <c r="Y9" s="210"/>
      <c r="Z9" s="210" t="s">
        <v>289</v>
      </c>
      <c r="AA9" s="210"/>
    </row>
    <row r="10" spans="1:27" ht="15" customHeight="1">
      <c r="A10" s="302">
        <v>5</v>
      </c>
      <c r="B10" s="212">
        <v>46171</v>
      </c>
      <c r="C10" s="210" t="s">
        <v>319</v>
      </c>
      <c r="D10" s="210" t="s">
        <v>187</v>
      </c>
      <c r="E10" s="211">
        <v>8809990970018</v>
      </c>
      <c r="F10" s="210" t="s">
        <v>281</v>
      </c>
      <c r="G10" s="210" t="s">
        <v>188</v>
      </c>
      <c r="H10" s="210"/>
      <c r="I10" s="210"/>
      <c r="J10" s="210">
        <v>0</v>
      </c>
      <c r="K10" s="210"/>
      <c r="L10" s="210">
        <v>1</v>
      </c>
      <c r="M10" s="210"/>
      <c r="N10" s="210" t="s">
        <v>189</v>
      </c>
      <c r="O10" s="211">
        <v>92235591350</v>
      </c>
      <c r="P10" s="303"/>
      <c r="Q10" s="210" t="s">
        <v>475</v>
      </c>
      <c r="R10" s="210"/>
      <c r="S10" s="210"/>
      <c r="T10" s="213"/>
      <c r="U10" s="212"/>
      <c r="V10" s="210"/>
      <c r="W10" s="210"/>
      <c r="X10" s="211"/>
      <c r="Y10" s="210"/>
      <c r="Z10" s="210" t="s">
        <v>289</v>
      </c>
      <c r="AA10" s="210"/>
    </row>
    <row r="11" spans="1:27" ht="15" customHeight="1">
      <c r="A11" s="302"/>
      <c r="B11" s="212">
        <v>46171</v>
      </c>
      <c r="C11" s="210" t="s">
        <v>319</v>
      </c>
      <c r="D11" s="210" t="s">
        <v>187</v>
      </c>
      <c r="E11" s="211">
        <v>8809879544071</v>
      </c>
      <c r="F11" s="210" t="s">
        <v>288</v>
      </c>
      <c r="G11" s="210" t="s">
        <v>188</v>
      </c>
      <c r="H11" s="210"/>
      <c r="I11" s="210"/>
      <c r="J11" s="210">
        <v>0</v>
      </c>
      <c r="K11" s="210"/>
      <c r="L11" s="210">
        <v>1</v>
      </c>
      <c r="M11" s="210"/>
      <c r="N11" s="210" t="s">
        <v>189</v>
      </c>
      <c r="O11" s="211">
        <v>92235591350</v>
      </c>
      <c r="P11" s="303"/>
      <c r="Q11" s="210" t="s">
        <v>475</v>
      </c>
      <c r="R11" s="210"/>
      <c r="S11" s="210"/>
      <c r="T11" s="213"/>
      <c r="U11" s="212"/>
      <c r="V11" s="210"/>
      <c r="W11" s="210"/>
      <c r="X11" s="211"/>
      <c r="Y11" s="210" t="str">
        <f>""</f>
        <v/>
      </c>
      <c r="Z11" s="210" t="s">
        <v>289</v>
      </c>
      <c r="AA11" s="210"/>
    </row>
    <row r="12" spans="1:27" ht="15" customHeight="1">
      <c r="A12" s="302">
        <v>6</v>
      </c>
      <c r="B12" s="212">
        <v>46171</v>
      </c>
      <c r="C12" s="210" t="s">
        <v>320</v>
      </c>
      <c r="D12" s="210" t="s">
        <v>187</v>
      </c>
      <c r="E12" s="211">
        <v>8809990970018</v>
      </c>
      <c r="F12" s="210" t="s">
        <v>281</v>
      </c>
      <c r="G12" s="210" t="s">
        <v>188</v>
      </c>
      <c r="H12" s="210"/>
      <c r="I12" s="210"/>
      <c r="J12" s="210">
        <v>0</v>
      </c>
      <c r="K12" s="210"/>
      <c r="L12" s="210">
        <v>1</v>
      </c>
      <c r="M12" s="210"/>
      <c r="N12" s="210" t="s">
        <v>189</v>
      </c>
      <c r="O12" s="211">
        <v>92235591361</v>
      </c>
      <c r="P12" s="303"/>
      <c r="Q12" s="210" t="s">
        <v>475</v>
      </c>
      <c r="R12" s="210"/>
      <c r="S12" s="210"/>
      <c r="T12" s="213"/>
      <c r="U12" s="212"/>
      <c r="V12" s="210"/>
      <c r="W12" s="210"/>
      <c r="X12" s="211"/>
      <c r="Y12" s="210" t="str">
        <f>""</f>
        <v/>
      </c>
      <c r="Z12" s="210" t="s">
        <v>289</v>
      </c>
      <c r="AA12" s="210"/>
    </row>
    <row r="13" spans="1:27" ht="15" customHeight="1">
      <c r="A13" s="302"/>
      <c r="B13" s="212">
        <v>46171</v>
      </c>
      <c r="C13" s="210" t="s">
        <v>320</v>
      </c>
      <c r="D13" s="210" t="s">
        <v>187</v>
      </c>
      <c r="E13" s="211">
        <v>8809879544071</v>
      </c>
      <c r="F13" s="210" t="s">
        <v>288</v>
      </c>
      <c r="G13" s="210" t="s">
        <v>188</v>
      </c>
      <c r="H13" s="210"/>
      <c r="I13" s="210"/>
      <c r="J13" s="210">
        <v>0</v>
      </c>
      <c r="K13" s="210"/>
      <c r="L13" s="210">
        <v>1</v>
      </c>
      <c r="M13" s="210"/>
      <c r="N13" s="210" t="s">
        <v>189</v>
      </c>
      <c r="O13" s="211">
        <v>92235591361</v>
      </c>
      <c r="P13" s="303"/>
      <c r="Q13" s="210" t="s">
        <v>475</v>
      </c>
      <c r="R13" s="210"/>
      <c r="S13" s="210"/>
      <c r="T13" s="213"/>
      <c r="U13" s="212"/>
      <c r="V13" s="210"/>
      <c r="W13" s="210"/>
      <c r="X13" s="211"/>
      <c r="Y13" s="210" t="str">
        <f>""</f>
        <v/>
      </c>
      <c r="Z13" s="210" t="s">
        <v>289</v>
      </c>
      <c r="AA13" s="210"/>
    </row>
    <row r="14" spans="1:27" ht="15" customHeight="1">
      <c r="A14" s="302">
        <v>7</v>
      </c>
      <c r="B14" s="212">
        <v>46171</v>
      </c>
      <c r="C14" s="210" t="s">
        <v>321</v>
      </c>
      <c r="D14" s="210" t="s">
        <v>187</v>
      </c>
      <c r="E14" s="211">
        <v>8809990970018</v>
      </c>
      <c r="F14" s="210" t="s">
        <v>281</v>
      </c>
      <c r="G14" s="210" t="s">
        <v>188</v>
      </c>
      <c r="H14" s="210"/>
      <c r="I14" s="210"/>
      <c r="J14" s="210">
        <v>0</v>
      </c>
      <c r="K14" s="210"/>
      <c r="L14" s="210">
        <v>1</v>
      </c>
      <c r="M14" s="210"/>
      <c r="N14" s="210" t="s">
        <v>189</v>
      </c>
      <c r="O14" s="211">
        <v>92235591302</v>
      </c>
      <c r="P14" s="303"/>
      <c r="Q14" s="210" t="s">
        <v>475</v>
      </c>
      <c r="R14" s="210"/>
      <c r="S14" s="210"/>
      <c r="T14" s="213"/>
      <c r="U14" s="212"/>
      <c r="V14" s="210"/>
      <c r="W14" s="210"/>
      <c r="X14" s="211"/>
      <c r="Y14" s="210" t="str">
        <f>""</f>
        <v/>
      </c>
      <c r="Z14" s="210" t="s">
        <v>289</v>
      </c>
      <c r="AA14" s="210"/>
    </row>
    <row r="15" spans="1:27" ht="15" customHeight="1">
      <c r="A15" s="302"/>
      <c r="B15" s="212">
        <v>46171</v>
      </c>
      <c r="C15" s="210" t="s">
        <v>321</v>
      </c>
      <c r="D15" s="210" t="s">
        <v>187</v>
      </c>
      <c r="E15" s="211">
        <v>8809879544071</v>
      </c>
      <c r="F15" s="210" t="s">
        <v>288</v>
      </c>
      <c r="G15" s="210" t="s">
        <v>188</v>
      </c>
      <c r="H15" s="210"/>
      <c r="I15" s="210"/>
      <c r="J15" s="210">
        <v>0</v>
      </c>
      <c r="K15" s="210"/>
      <c r="L15" s="210">
        <v>1</v>
      </c>
      <c r="M15" s="210"/>
      <c r="N15" s="210" t="s">
        <v>189</v>
      </c>
      <c r="O15" s="211">
        <v>92235591302</v>
      </c>
      <c r="P15" s="303"/>
      <c r="Q15" s="210" t="s">
        <v>475</v>
      </c>
      <c r="R15" s="210"/>
      <c r="S15" s="210"/>
      <c r="T15" s="213"/>
      <c r="U15" s="212"/>
      <c r="V15" s="210"/>
      <c r="W15" s="210"/>
      <c r="X15" s="211"/>
      <c r="Y15" s="210" t="str">
        <f>""</f>
        <v/>
      </c>
      <c r="Z15" s="210" t="s">
        <v>289</v>
      </c>
      <c r="AA15" s="210"/>
    </row>
    <row r="16" spans="1:27" ht="15" customHeight="1">
      <c r="A16" s="302">
        <v>8</v>
      </c>
      <c r="B16" s="212">
        <v>46171</v>
      </c>
      <c r="C16" s="210" t="s">
        <v>322</v>
      </c>
      <c r="D16" s="210" t="s">
        <v>187</v>
      </c>
      <c r="E16" s="211">
        <v>8809990970018</v>
      </c>
      <c r="F16" s="210" t="s">
        <v>281</v>
      </c>
      <c r="G16" s="210" t="s">
        <v>188</v>
      </c>
      <c r="H16" s="210"/>
      <c r="I16" s="210"/>
      <c r="J16" s="210">
        <v>0</v>
      </c>
      <c r="K16" s="210"/>
      <c r="L16" s="210">
        <v>1</v>
      </c>
      <c r="M16" s="210"/>
      <c r="N16" s="210" t="s">
        <v>189</v>
      </c>
      <c r="O16" s="211">
        <v>92235591265</v>
      </c>
      <c r="P16" s="303"/>
      <c r="Q16" s="210" t="s">
        <v>475</v>
      </c>
      <c r="R16" s="210"/>
      <c r="S16" s="210"/>
      <c r="T16" s="213"/>
      <c r="U16" s="212"/>
      <c r="V16" s="210"/>
      <c r="W16" s="210"/>
      <c r="X16" s="211"/>
      <c r="Y16" s="210" t="str">
        <f>""</f>
        <v/>
      </c>
      <c r="Z16" s="210" t="s">
        <v>289</v>
      </c>
      <c r="AA16" s="210"/>
    </row>
    <row r="17" spans="1:27" ht="15" customHeight="1">
      <c r="A17" s="302"/>
      <c r="B17" s="212">
        <v>46171</v>
      </c>
      <c r="C17" s="210" t="s">
        <v>322</v>
      </c>
      <c r="D17" s="210" t="s">
        <v>187</v>
      </c>
      <c r="E17" s="211">
        <v>8809879544071</v>
      </c>
      <c r="F17" s="210" t="s">
        <v>288</v>
      </c>
      <c r="G17" s="210" t="s">
        <v>188</v>
      </c>
      <c r="H17" s="210"/>
      <c r="I17" s="210"/>
      <c r="J17" s="210">
        <v>0</v>
      </c>
      <c r="K17" s="210"/>
      <c r="L17" s="210">
        <v>1</v>
      </c>
      <c r="M17" s="210"/>
      <c r="N17" s="210" t="s">
        <v>189</v>
      </c>
      <c r="O17" s="211">
        <v>92235591265</v>
      </c>
      <c r="P17" s="303"/>
      <c r="Q17" s="210" t="s">
        <v>475</v>
      </c>
      <c r="R17" s="210"/>
      <c r="S17" s="210"/>
      <c r="T17" s="213"/>
      <c r="U17" s="212"/>
      <c r="V17" s="210"/>
      <c r="W17" s="210"/>
      <c r="X17" s="211"/>
      <c r="Y17" s="210" t="str">
        <f>""</f>
        <v/>
      </c>
      <c r="Z17" s="210" t="s">
        <v>289</v>
      </c>
      <c r="AA17" s="210"/>
    </row>
    <row r="18" spans="1:27" ht="15" customHeight="1">
      <c r="A18" s="302">
        <v>9</v>
      </c>
      <c r="B18" s="212">
        <v>46171</v>
      </c>
      <c r="C18" s="210" t="s">
        <v>323</v>
      </c>
      <c r="D18" s="210" t="s">
        <v>187</v>
      </c>
      <c r="E18" s="211">
        <v>8809990970018</v>
      </c>
      <c r="F18" s="210" t="s">
        <v>281</v>
      </c>
      <c r="G18" s="210" t="s">
        <v>188</v>
      </c>
      <c r="H18" s="210"/>
      <c r="I18" s="210"/>
      <c r="J18" s="210">
        <v>0</v>
      </c>
      <c r="K18" s="210"/>
      <c r="L18" s="210">
        <v>1</v>
      </c>
      <c r="M18" s="210"/>
      <c r="N18" s="210" t="s">
        <v>189</v>
      </c>
      <c r="O18" s="211">
        <v>92235591276</v>
      </c>
      <c r="P18" s="303"/>
      <c r="Q18" s="210" t="s">
        <v>475</v>
      </c>
      <c r="R18" s="210"/>
      <c r="S18" s="210"/>
      <c r="T18" s="213"/>
      <c r="U18" s="212"/>
      <c r="V18" s="210"/>
      <c r="W18" s="210"/>
      <c r="X18" s="211"/>
      <c r="Y18" s="210"/>
      <c r="Z18" s="210" t="s">
        <v>289</v>
      </c>
      <c r="AA18" s="210"/>
    </row>
    <row r="19" spans="1:27" ht="15" customHeight="1">
      <c r="A19" s="302"/>
      <c r="B19" s="212">
        <v>46171</v>
      </c>
      <c r="C19" s="210" t="s">
        <v>323</v>
      </c>
      <c r="D19" s="210" t="s">
        <v>187</v>
      </c>
      <c r="E19" s="211">
        <v>8809879544071</v>
      </c>
      <c r="F19" s="210" t="s">
        <v>288</v>
      </c>
      <c r="G19" s="210" t="s">
        <v>188</v>
      </c>
      <c r="H19" s="210"/>
      <c r="I19" s="210"/>
      <c r="J19" s="210">
        <v>0</v>
      </c>
      <c r="K19" s="210"/>
      <c r="L19" s="210">
        <v>1</v>
      </c>
      <c r="M19" s="210"/>
      <c r="N19" s="210" t="s">
        <v>189</v>
      </c>
      <c r="O19" s="211">
        <v>92235591276</v>
      </c>
      <c r="P19" s="303"/>
      <c r="Q19" s="210" t="s">
        <v>475</v>
      </c>
      <c r="R19" s="210"/>
      <c r="S19" s="210"/>
      <c r="T19" s="213"/>
      <c r="U19" s="212"/>
      <c r="V19" s="210"/>
      <c r="W19" s="210"/>
      <c r="X19" s="211"/>
      <c r="Y19" s="210" t="str">
        <f>""</f>
        <v/>
      </c>
      <c r="Z19" s="210" t="s">
        <v>289</v>
      </c>
      <c r="AA19" s="210"/>
    </row>
    <row r="20" spans="1:27" ht="15" customHeight="1">
      <c r="A20" s="302">
        <v>10</v>
      </c>
      <c r="B20" s="212">
        <v>46171</v>
      </c>
      <c r="C20" s="210" t="s">
        <v>324</v>
      </c>
      <c r="D20" s="210" t="s">
        <v>187</v>
      </c>
      <c r="E20" s="211">
        <v>8809990970018</v>
      </c>
      <c r="F20" s="210" t="s">
        <v>281</v>
      </c>
      <c r="G20" s="210" t="s">
        <v>188</v>
      </c>
      <c r="H20" s="210"/>
      <c r="I20" s="210"/>
      <c r="J20" s="210">
        <v>0</v>
      </c>
      <c r="K20" s="210"/>
      <c r="L20" s="210">
        <v>1</v>
      </c>
      <c r="M20" s="210"/>
      <c r="N20" s="210" t="s">
        <v>189</v>
      </c>
      <c r="O20" s="211">
        <v>92235591243</v>
      </c>
      <c r="P20" s="303"/>
      <c r="Q20" s="210" t="s">
        <v>475</v>
      </c>
      <c r="R20" s="210"/>
      <c r="S20" s="210"/>
      <c r="T20" s="213"/>
      <c r="U20" s="212"/>
      <c r="V20" s="210"/>
      <c r="W20" s="210"/>
      <c r="X20" s="211"/>
      <c r="Y20" s="210"/>
      <c r="Z20" s="210" t="s">
        <v>289</v>
      </c>
      <c r="AA20" s="210"/>
    </row>
    <row r="21" spans="1:27" ht="15" customHeight="1">
      <c r="A21" s="302"/>
      <c r="B21" s="212">
        <v>46171</v>
      </c>
      <c r="C21" s="210" t="s">
        <v>324</v>
      </c>
      <c r="D21" s="210" t="s">
        <v>187</v>
      </c>
      <c r="E21" s="211">
        <v>8809879544071</v>
      </c>
      <c r="F21" s="210" t="s">
        <v>288</v>
      </c>
      <c r="G21" s="210" t="s">
        <v>188</v>
      </c>
      <c r="H21" s="210"/>
      <c r="I21" s="210"/>
      <c r="J21" s="210">
        <v>0</v>
      </c>
      <c r="K21" s="210"/>
      <c r="L21" s="210">
        <v>1</v>
      </c>
      <c r="M21" s="210"/>
      <c r="N21" s="210" t="s">
        <v>189</v>
      </c>
      <c r="O21" s="211">
        <v>92235591243</v>
      </c>
      <c r="P21" s="303"/>
      <c r="Q21" s="210" t="s">
        <v>475</v>
      </c>
      <c r="R21" s="210"/>
      <c r="S21" s="210"/>
      <c r="T21" s="213"/>
      <c r="U21" s="212"/>
      <c r="V21" s="210"/>
      <c r="W21" s="210"/>
      <c r="X21" s="211"/>
      <c r="Y21" s="210" t="str">
        <f>""</f>
        <v/>
      </c>
      <c r="Z21" s="210" t="s">
        <v>289</v>
      </c>
      <c r="AA21" s="210"/>
    </row>
    <row r="22" spans="1:27" ht="15" customHeight="1">
      <c r="A22" s="302">
        <v>11</v>
      </c>
      <c r="B22" s="212">
        <v>46171</v>
      </c>
      <c r="C22" s="210" t="s">
        <v>325</v>
      </c>
      <c r="D22" s="210" t="s">
        <v>187</v>
      </c>
      <c r="E22" s="211">
        <v>8809990970018</v>
      </c>
      <c r="F22" s="210" t="s">
        <v>281</v>
      </c>
      <c r="G22" s="210" t="s">
        <v>188</v>
      </c>
      <c r="H22" s="210"/>
      <c r="I22" s="210"/>
      <c r="J22" s="210">
        <v>0</v>
      </c>
      <c r="K22" s="210"/>
      <c r="L22" s="210">
        <v>1</v>
      </c>
      <c r="M22" s="210"/>
      <c r="N22" s="210" t="s">
        <v>189</v>
      </c>
      <c r="O22" s="211">
        <v>92235591221</v>
      </c>
      <c r="P22" s="303"/>
      <c r="Q22" s="210" t="s">
        <v>475</v>
      </c>
      <c r="R22" s="210"/>
      <c r="S22" s="210"/>
      <c r="T22" s="213"/>
      <c r="U22" s="212"/>
      <c r="V22" s="210"/>
      <c r="W22" s="210"/>
      <c r="X22" s="211"/>
      <c r="Y22" s="210"/>
      <c r="Z22" s="210" t="s">
        <v>289</v>
      </c>
      <c r="AA22" s="210"/>
    </row>
    <row r="23" spans="1:27" ht="15" customHeight="1">
      <c r="A23" s="302"/>
      <c r="B23" s="212">
        <v>46171</v>
      </c>
      <c r="C23" s="210" t="s">
        <v>325</v>
      </c>
      <c r="D23" s="210" t="s">
        <v>187</v>
      </c>
      <c r="E23" s="211">
        <v>8809879544071</v>
      </c>
      <c r="F23" s="210" t="s">
        <v>288</v>
      </c>
      <c r="G23" s="210" t="s">
        <v>188</v>
      </c>
      <c r="H23" s="210"/>
      <c r="I23" s="210"/>
      <c r="J23" s="210">
        <v>0</v>
      </c>
      <c r="K23" s="210"/>
      <c r="L23" s="210">
        <v>1</v>
      </c>
      <c r="M23" s="210"/>
      <c r="N23" s="210" t="s">
        <v>189</v>
      </c>
      <c r="O23" s="211">
        <v>92235591221</v>
      </c>
      <c r="P23" s="303"/>
      <c r="Q23" s="210" t="s">
        <v>475</v>
      </c>
      <c r="R23" s="210"/>
      <c r="S23" s="210"/>
      <c r="T23" s="213"/>
      <c r="U23" s="212"/>
      <c r="V23" s="210"/>
      <c r="W23" s="210"/>
      <c r="X23" s="211"/>
      <c r="Y23" s="210" t="str">
        <f>""</f>
        <v/>
      </c>
      <c r="Z23" s="210" t="s">
        <v>289</v>
      </c>
      <c r="AA23" s="210"/>
    </row>
    <row r="24" spans="1:27" ht="15" customHeight="1">
      <c r="A24" s="302">
        <v>12</v>
      </c>
      <c r="B24" s="212">
        <v>46171</v>
      </c>
      <c r="C24" s="210" t="s">
        <v>326</v>
      </c>
      <c r="D24" s="210" t="s">
        <v>187</v>
      </c>
      <c r="E24" s="211">
        <v>8809990970018</v>
      </c>
      <c r="F24" s="210" t="s">
        <v>281</v>
      </c>
      <c r="G24" s="210" t="s">
        <v>188</v>
      </c>
      <c r="H24" s="210"/>
      <c r="I24" s="210"/>
      <c r="J24" s="210">
        <v>0</v>
      </c>
      <c r="K24" s="210"/>
      <c r="L24" s="210">
        <v>1</v>
      </c>
      <c r="M24" s="210"/>
      <c r="N24" s="210" t="s">
        <v>189</v>
      </c>
      <c r="O24" s="211">
        <v>92235591210</v>
      </c>
      <c r="P24" s="303"/>
      <c r="Q24" s="210" t="s">
        <v>475</v>
      </c>
      <c r="R24" s="210"/>
      <c r="S24" s="210"/>
      <c r="T24" s="213"/>
      <c r="U24" s="212"/>
      <c r="V24" s="210"/>
      <c r="W24" s="210"/>
      <c r="X24" s="211"/>
      <c r="Y24" s="210"/>
      <c r="Z24" s="210" t="s">
        <v>289</v>
      </c>
      <c r="AA24" s="210"/>
    </row>
    <row r="25" spans="1:27" ht="15" customHeight="1">
      <c r="A25" s="302"/>
      <c r="B25" s="212">
        <v>46171</v>
      </c>
      <c r="C25" s="210" t="s">
        <v>326</v>
      </c>
      <c r="D25" s="210" t="s">
        <v>187</v>
      </c>
      <c r="E25" s="211">
        <v>8809879544071</v>
      </c>
      <c r="F25" s="210" t="s">
        <v>288</v>
      </c>
      <c r="G25" s="210" t="s">
        <v>188</v>
      </c>
      <c r="H25" s="210"/>
      <c r="I25" s="210"/>
      <c r="J25" s="210">
        <v>0</v>
      </c>
      <c r="K25" s="210"/>
      <c r="L25" s="210">
        <v>1</v>
      </c>
      <c r="M25" s="210"/>
      <c r="N25" s="210" t="s">
        <v>189</v>
      </c>
      <c r="O25" s="211">
        <v>92235591210</v>
      </c>
      <c r="P25" s="303"/>
      <c r="Q25" s="210" t="s">
        <v>475</v>
      </c>
      <c r="R25" s="210"/>
      <c r="S25" s="210"/>
      <c r="T25" s="213"/>
      <c r="U25" s="212"/>
      <c r="V25" s="210"/>
      <c r="W25" s="210"/>
      <c r="X25" s="211"/>
      <c r="Y25" s="210" t="str">
        <f>""</f>
        <v/>
      </c>
      <c r="Z25" s="210" t="s">
        <v>289</v>
      </c>
      <c r="AA25" s="210"/>
    </row>
    <row r="26" spans="1:27" ht="15" customHeight="1">
      <c r="A26" s="302">
        <v>13</v>
      </c>
      <c r="B26" s="212">
        <v>46171</v>
      </c>
      <c r="C26" s="210" t="s">
        <v>327</v>
      </c>
      <c r="D26" s="210" t="s">
        <v>187</v>
      </c>
      <c r="E26" s="211">
        <v>8809990970018</v>
      </c>
      <c r="F26" s="210" t="s">
        <v>281</v>
      </c>
      <c r="G26" s="210" t="s">
        <v>188</v>
      </c>
      <c r="H26" s="210"/>
      <c r="I26" s="210"/>
      <c r="J26" s="210">
        <v>0</v>
      </c>
      <c r="K26" s="210"/>
      <c r="L26" s="210">
        <v>1</v>
      </c>
      <c r="M26" s="210"/>
      <c r="N26" s="210" t="s">
        <v>189</v>
      </c>
      <c r="O26" s="211">
        <v>92235591195</v>
      </c>
      <c r="P26" s="303"/>
      <c r="Q26" s="210" t="s">
        <v>475</v>
      </c>
      <c r="R26" s="210"/>
      <c r="S26" s="210"/>
      <c r="T26" s="213"/>
      <c r="U26" s="212"/>
      <c r="V26" s="210"/>
      <c r="W26" s="210"/>
      <c r="X26" s="211"/>
      <c r="Y26" s="210"/>
      <c r="Z26" s="210" t="s">
        <v>289</v>
      </c>
      <c r="AA26" s="210"/>
    </row>
    <row r="27" spans="1:27" ht="15" customHeight="1">
      <c r="A27" s="302"/>
      <c r="B27" s="212">
        <v>46171</v>
      </c>
      <c r="C27" s="210" t="s">
        <v>327</v>
      </c>
      <c r="D27" s="210" t="s">
        <v>187</v>
      </c>
      <c r="E27" s="211">
        <v>8809879544071</v>
      </c>
      <c r="F27" s="210" t="s">
        <v>288</v>
      </c>
      <c r="G27" s="210" t="s">
        <v>188</v>
      </c>
      <c r="H27" s="210"/>
      <c r="I27" s="210"/>
      <c r="J27" s="210">
        <v>0</v>
      </c>
      <c r="K27" s="210"/>
      <c r="L27" s="210">
        <v>1</v>
      </c>
      <c r="M27" s="210"/>
      <c r="N27" s="210" t="s">
        <v>189</v>
      </c>
      <c r="O27" s="211">
        <v>92235591195</v>
      </c>
      <c r="P27" s="303"/>
      <c r="Q27" s="210" t="s">
        <v>475</v>
      </c>
      <c r="R27" s="210"/>
      <c r="S27" s="210"/>
      <c r="T27" s="213"/>
      <c r="U27" s="212"/>
      <c r="V27" s="210"/>
      <c r="W27" s="210"/>
      <c r="X27" s="211"/>
      <c r="Y27" s="210" t="str">
        <f>""</f>
        <v/>
      </c>
      <c r="Z27" s="210" t="s">
        <v>289</v>
      </c>
      <c r="AA27" s="210"/>
    </row>
    <row r="28" spans="1:27" ht="15" customHeight="1">
      <c r="A28" s="302">
        <v>14</v>
      </c>
      <c r="B28" s="212">
        <v>46171</v>
      </c>
      <c r="C28" s="210" t="s">
        <v>328</v>
      </c>
      <c r="D28" s="210" t="s">
        <v>187</v>
      </c>
      <c r="E28" s="211">
        <v>8809990970018</v>
      </c>
      <c r="F28" s="210" t="s">
        <v>281</v>
      </c>
      <c r="G28" s="210" t="s">
        <v>188</v>
      </c>
      <c r="H28" s="210"/>
      <c r="I28" s="210"/>
      <c r="J28" s="210">
        <v>0</v>
      </c>
      <c r="K28" s="210"/>
      <c r="L28" s="210">
        <v>1</v>
      </c>
      <c r="M28" s="210"/>
      <c r="N28" s="210" t="s">
        <v>189</v>
      </c>
      <c r="O28" s="211">
        <v>92235591151</v>
      </c>
      <c r="P28" s="303"/>
      <c r="Q28" s="210" t="s">
        <v>475</v>
      </c>
      <c r="R28" s="210"/>
      <c r="S28" s="210"/>
      <c r="T28" s="213"/>
      <c r="U28" s="212"/>
      <c r="V28" s="210"/>
      <c r="W28" s="210"/>
      <c r="X28" s="211"/>
      <c r="Y28" s="210" t="str">
        <f>""</f>
        <v/>
      </c>
      <c r="Z28" s="210" t="s">
        <v>289</v>
      </c>
      <c r="AA28" s="210"/>
    </row>
    <row r="29" spans="1:27" ht="15" customHeight="1">
      <c r="A29" s="302"/>
      <c r="B29" s="212">
        <v>46171</v>
      </c>
      <c r="C29" s="210" t="s">
        <v>328</v>
      </c>
      <c r="D29" s="210" t="s">
        <v>187</v>
      </c>
      <c r="E29" s="211">
        <v>8809879544071</v>
      </c>
      <c r="F29" s="210" t="s">
        <v>288</v>
      </c>
      <c r="G29" s="210" t="s">
        <v>188</v>
      </c>
      <c r="H29" s="210"/>
      <c r="I29" s="210"/>
      <c r="J29" s="210">
        <v>0</v>
      </c>
      <c r="K29" s="210"/>
      <c r="L29" s="210">
        <v>1</v>
      </c>
      <c r="M29" s="210"/>
      <c r="N29" s="210" t="s">
        <v>189</v>
      </c>
      <c r="O29" s="211">
        <v>92235591151</v>
      </c>
      <c r="P29" s="303"/>
      <c r="Q29" s="210" t="s">
        <v>475</v>
      </c>
      <c r="R29" s="210"/>
      <c r="S29" s="210"/>
      <c r="T29" s="213"/>
      <c r="U29" s="212"/>
      <c r="V29" s="210"/>
      <c r="W29" s="210"/>
      <c r="X29" s="211"/>
      <c r="Y29" s="210"/>
      <c r="Z29" s="210" t="s">
        <v>289</v>
      </c>
      <c r="AA29" s="210"/>
    </row>
    <row r="30" spans="1:27" ht="15" customHeight="1">
      <c r="A30" s="302">
        <v>15</v>
      </c>
      <c r="B30" s="212">
        <v>46171</v>
      </c>
      <c r="C30" s="210" t="s">
        <v>329</v>
      </c>
      <c r="D30" s="210" t="s">
        <v>187</v>
      </c>
      <c r="E30" s="211">
        <v>8809990970018</v>
      </c>
      <c r="F30" s="210" t="s">
        <v>281</v>
      </c>
      <c r="G30" s="210" t="s">
        <v>188</v>
      </c>
      <c r="H30" s="210"/>
      <c r="I30" s="210"/>
      <c r="J30" s="210">
        <v>0</v>
      </c>
      <c r="K30" s="210"/>
      <c r="L30" s="210">
        <v>1</v>
      </c>
      <c r="M30" s="210"/>
      <c r="N30" s="210" t="s">
        <v>189</v>
      </c>
      <c r="O30" s="211">
        <v>92235591140</v>
      </c>
      <c r="P30" s="303"/>
      <c r="Q30" s="210" t="s">
        <v>475</v>
      </c>
      <c r="R30" s="210"/>
      <c r="S30" s="210"/>
      <c r="T30" s="213"/>
      <c r="U30" s="212"/>
      <c r="V30" s="210"/>
      <c r="W30" s="210"/>
      <c r="X30" s="211"/>
      <c r="Y30" s="210" t="str">
        <f>""</f>
        <v/>
      </c>
      <c r="Z30" s="210" t="s">
        <v>289</v>
      </c>
      <c r="AA30" s="210"/>
    </row>
    <row r="31" spans="1:27" ht="15" customHeight="1">
      <c r="A31" s="302"/>
      <c r="B31" s="212">
        <v>46171</v>
      </c>
      <c r="C31" s="210" t="s">
        <v>329</v>
      </c>
      <c r="D31" s="210" t="s">
        <v>187</v>
      </c>
      <c r="E31" s="211">
        <v>8809879544071</v>
      </c>
      <c r="F31" s="210" t="s">
        <v>288</v>
      </c>
      <c r="G31" s="210" t="s">
        <v>188</v>
      </c>
      <c r="H31" s="210"/>
      <c r="I31" s="210"/>
      <c r="J31" s="210">
        <v>0</v>
      </c>
      <c r="K31" s="210"/>
      <c r="L31" s="210">
        <v>1</v>
      </c>
      <c r="M31" s="210"/>
      <c r="N31" s="210" t="s">
        <v>189</v>
      </c>
      <c r="O31" s="211">
        <v>92235591140</v>
      </c>
      <c r="P31" s="303"/>
      <c r="Q31" s="210" t="s">
        <v>475</v>
      </c>
      <c r="R31" s="210"/>
      <c r="S31" s="210"/>
      <c r="T31" s="213"/>
      <c r="U31" s="212"/>
      <c r="V31" s="210"/>
      <c r="W31" s="210"/>
      <c r="X31" s="211"/>
      <c r="Y31" s="210" t="str">
        <f>""</f>
        <v/>
      </c>
      <c r="Z31" s="210" t="s">
        <v>289</v>
      </c>
      <c r="AA31" s="210"/>
    </row>
    <row r="32" spans="1:27" ht="15" customHeight="1">
      <c r="A32" s="302">
        <v>16</v>
      </c>
      <c r="B32" s="212">
        <v>46171</v>
      </c>
      <c r="C32" s="210" t="s">
        <v>330</v>
      </c>
      <c r="D32" s="210" t="s">
        <v>187</v>
      </c>
      <c r="E32" s="211">
        <v>8809990970018</v>
      </c>
      <c r="F32" s="210" t="s">
        <v>281</v>
      </c>
      <c r="G32" s="210" t="s">
        <v>188</v>
      </c>
      <c r="H32" s="210"/>
      <c r="I32" s="210"/>
      <c r="J32" s="210">
        <v>0</v>
      </c>
      <c r="K32" s="210"/>
      <c r="L32" s="210">
        <v>1</v>
      </c>
      <c r="M32" s="210"/>
      <c r="N32" s="210" t="s">
        <v>189</v>
      </c>
      <c r="O32" s="211">
        <v>92235591114</v>
      </c>
      <c r="P32" s="303"/>
      <c r="Q32" s="210" t="s">
        <v>475</v>
      </c>
      <c r="R32" s="210"/>
      <c r="S32" s="210"/>
      <c r="T32" s="213"/>
      <c r="U32" s="212"/>
      <c r="V32" s="210"/>
      <c r="W32" s="210"/>
      <c r="X32" s="211"/>
      <c r="Y32" s="210" t="str">
        <f>""</f>
        <v/>
      </c>
      <c r="Z32" s="210" t="s">
        <v>289</v>
      </c>
      <c r="AA32" s="210"/>
    </row>
    <row r="33" spans="1:27" ht="15" customHeight="1">
      <c r="A33" s="302"/>
      <c r="B33" s="212">
        <v>46171</v>
      </c>
      <c r="C33" s="210" t="s">
        <v>330</v>
      </c>
      <c r="D33" s="210" t="s">
        <v>187</v>
      </c>
      <c r="E33" s="211">
        <v>8809879544071</v>
      </c>
      <c r="F33" s="210" t="s">
        <v>288</v>
      </c>
      <c r="G33" s="210" t="s">
        <v>188</v>
      </c>
      <c r="H33" s="210"/>
      <c r="I33" s="210"/>
      <c r="J33" s="210">
        <v>0</v>
      </c>
      <c r="K33" s="210"/>
      <c r="L33" s="210">
        <v>1</v>
      </c>
      <c r="M33" s="210"/>
      <c r="N33" s="210" t="s">
        <v>189</v>
      </c>
      <c r="O33" s="211">
        <v>92235591114</v>
      </c>
      <c r="P33" s="303"/>
      <c r="Q33" s="210" t="s">
        <v>475</v>
      </c>
      <c r="R33" s="210"/>
      <c r="S33" s="210"/>
      <c r="T33" s="213"/>
      <c r="U33" s="212"/>
      <c r="V33" s="210"/>
      <c r="W33" s="210"/>
      <c r="X33" s="211"/>
      <c r="Y33" s="210" t="str">
        <f>""</f>
        <v/>
      </c>
      <c r="Z33" s="210" t="s">
        <v>289</v>
      </c>
      <c r="AA33" s="210"/>
    </row>
    <row r="34" spans="1:27" ht="15" customHeight="1">
      <c r="A34" s="302">
        <v>17</v>
      </c>
      <c r="B34" s="212">
        <v>46171</v>
      </c>
      <c r="C34" s="210" t="s">
        <v>331</v>
      </c>
      <c r="D34" s="210" t="s">
        <v>187</v>
      </c>
      <c r="E34" s="211">
        <v>8809990970018</v>
      </c>
      <c r="F34" s="210" t="s">
        <v>281</v>
      </c>
      <c r="G34" s="210" t="s">
        <v>188</v>
      </c>
      <c r="H34" s="210"/>
      <c r="I34" s="210"/>
      <c r="J34" s="210">
        <v>0</v>
      </c>
      <c r="K34" s="210"/>
      <c r="L34" s="210">
        <v>1</v>
      </c>
      <c r="M34" s="210"/>
      <c r="N34" s="210" t="s">
        <v>189</v>
      </c>
      <c r="O34" s="211">
        <v>92235591103</v>
      </c>
      <c r="P34" s="303"/>
      <c r="Q34" s="210" t="s">
        <v>475</v>
      </c>
      <c r="R34" s="210"/>
      <c r="S34" s="210"/>
      <c r="T34" s="213"/>
      <c r="U34" s="212"/>
      <c r="V34" s="210"/>
      <c r="W34" s="210"/>
      <c r="X34" s="211"/>
      <c r="Y34" s="210" t="str">
        <f>""</f>
        <v/>
      </c>
      <c r="Z34" s="210" t="s">
        <v>289</v>
      </c>
      <c r="AA34" s="210"/>
    </row>
    <row r="35" spans="1:27" ht="15" customHeight="1">
      <c r="A35" s="302"/>
      <c r="B35" s="212">
        <v>46171</v>
      </c>
      <c r="C35" s="210" t="s">
        <v>331</v>
      </c>
      <c r="D35" s="210" t="s">
        <v>187</v>
      </c>
      <c r="E35" s="211">
        <v>8809879544071</v>
      </c>
      <c r="F35" s="210" t="s">
        <v>288</v>
      </c>
      <c r="G35" s="210" t="s">
        <v>188</v>
      </c>
      <c r="H35" s="210"/>
      <c r="I35" s="210"/>
      <c r="J35" s="210">
        <v>0</v>
      </c>
      <c r="K35" s="210"/>
      <c r="L35" s="210">
        <v>1</v>
      </c>
      <c r="M35" s="210"/>
      <c r="N35" s="210" t="s">
        <v>189</v>
      </c>
      <c r="O35" s="211">
        <v>92235591103</v>
      </c>
      <c r="P35" s="303"/>
      <c r="Q35" s="210" t="s">
        <v>475</v>
      </c>
      <c r="R35" s="210"/>
      <c r="S35" s="210"/>
      <c r="T35" s="213"/>
      <c r="U35" s="212"/>
      <c r="V35" s="210"/>
      <c r="W35" s="210"/>
      <c r="X35" s="211"/>
      <c r="Y35" s="210" t="str">
        <f>""</f>
        <v/>
      </c>
      <c r="Z35" s="210" t="s">
        <v>289</v>
      </c>
      <c r="AA35" s="210"/>
    </row>
    <row r="36" spans="1:27" ht="15" customHeight="1">
      <c r="A36" s="302">
        <v>18</v>
      </c>
      <c r="B36" s="212">
        <v>46171</v>
      </c>
      <c r="C36" s="210" t="s">
        <v>332</v>
      </c>
      <c r="D36" s="210" t="s">
        <v>187</v>
      </c>
      <c r="E36" s="211">
        <v>8809990970018</v>
      </c>
      <c r="F36" s="210" t="s">
        <v>281</v>
      </c>
      <c r="G36" s="210" t="s">
        <v>188</v>
      </c>
      <c r="H36" s="210"/>
      <c r="I36" s="210"/>
      <c r="J36" s="210">
        <v>0</v>
      </c>
      <c r="K36" s="210"/>
      <c r="L36" s="210">
        <v>1</v>
      </c>
      <c r="M36" s="210"/>
      <c r="N36" s="210" t="s">
        <v>189</v>
      </c>
      <c r="O36" s="211">
        <v>92235591081</v>
      </c>
      <c r="P36" s="303"/>
      <c r="Q36" s="210" t="s">
        <v>475</v>
      </c>
      <c r="R36" s="210"/>
      <c r="S36" s="210"/>
      <c r="T36" s="213"/>
      <c r="U36" s="212"/>
      <c r="V36" s="210"/>
      <c r="W36" s="210"/>
      <c r="X36" s="211"/>
      <c r="Y36" s="210" t="str">
        <f>""</f>
        <v/>
      </c>
      <c r="Z36" s="210" t="s">
        <v>289</v>
      </c>
      <c r="AA36" s="210"/>
    </row>
    <row r="37" spans="1:27" ht="15" customHeight="1">
      <c r="A37" s="302"/>
      <c r="B37" s="212">
        <v>46171</v>
      </c>
      <c r="C37" s="210" t="s">
        <v>332</v>
      </c>
      <c r="D37" s="210" t="s">
        <v>187</v>
      </c>
      <c r="E37" s="211">
        <v>8809879544071</v>
      </c>
      <c r="F37" s="210" t="s">
        <v>288</v>
      </c>
      <c r="G37" s="210" t="s">
        <v>188</v>
      </c>
      <c r="H37" s="210"/>
      <c r="I37" s="210"/>
      <c r="J37" s="210">
        <v>0</v>
      </c>
      <c r="K37" s="210"/>
      <c r="L37" s="210">
        <v>1</v>
      </c>
      <c r="M37" s="210"/>
      <c r="N37" s="210" t="s">
        <v>189</v>
      </c>
      <c r="O37" s="211">
        <v>92235591081</v>
      </c>
      <c r="P37" s="303"/>
      <c r="Q37" s="210" t="s">
        <v>475</v>
      </c>
      <c r="R37" s="210"/>
      <c r="S37" s="210"/>
      <c r="T37" s="213"/>
      <c r="U37" s="212"/>
      <c r="V37" s="210"/>
      <c r="W37" s="210"/>
      <c r="X37" s="211"/>
      <c r="Y37" s="210" t="str">
        <f>""</f>
        <v/>
      </c>
      <c r="Z37" s="210" t="s">
        <v>289</v>
      </c>
      <c r="AA37" s="210"/>
    </row>
    <row r="38" spans="1:27" ht="15" customHeight="1">
      <c r="A38" s="302">
        <v>19</v>
      </c>
      <c r="B38" s="212">
        <v>46171</v>
      </c>
      <c r="C38" s="210" t="s">
        <v>333</v>
      </c>
      <c r="D38" s="210" t="s">
        <v>187</v>
      </c>
      <c r="E38" s="211">
        <v>8809990970018</v>
      </c>
      <c r="F38" s="210" t="s">
        <v>281</v>
      </c>
      <c r="G38" s="210" t="s">
        <v>188</v>
      </c>
      <c r="H38" s="210"/>
      <c r="I38" s="210"/>
      <c r="J38" s="210">
        <v>0</v>
      </c>
      <c r="K38" s="210"/>
      <c r="L38" s="210">
        <v>1</v>
      </c>
      <c r="M38" s="210"/>
      <c r="N38" s="210" t="s">
        <v>189</v>
      </c>
      <c r="O38" s="211">
        <v>92235591070</v>
      </c>
      <c r="P38" s="303"/>
      <c r="Q38" s="210" t="s">
        <v>475</v>
      </c>
      <c r="R38" s="210"/>
      <c r="S38" s="210"/>
      <c r="T38" s="213"/>
      <c r="U38" s="212"/>
      <c r="V38" s="210"/>
      <c r="W38" s="210"/>
      <c r="X38" s="211"/>
      <c r="Y38" s="210" t="str">
        <f>""</f>
        <v/>
      </c>
      <c r="Z38" s="210" t="s">
        <v>289</v>
      </c>
      <c r="AA38" s="210"/>
    </row>
    <row r="39" spans="1:27" ht="15" customHeight="1">
      <c r="A39" s="302"/>
      <c r="B39" s="212">
        <v>46171</v>
      </c>
      <c r="C39" s="210" t="s">
        <v>333</v>
      </c>
      <c r="D39" s="210" t="s">
        <v>187</v>
      </c>
      <c r="E39" s="211">
        <v>8809879544071</v>
      </c>
      <c r="F39" s="210" t="s">
        <v>288</v>
      </c>
      <c r="G39" s="210" t="s">
        <v>188</v>
      </c>
      <c r="H39" s="210"/>
      <c r="I39" s="210"/>
      <c r="J39" s="210">
        <v>0</v>
      </c>
      <c r="K39" s="210"/>
      <c r="L39" s="210">
        <v>1</v>
      </c>
      <c r="M39" s="210"/>
      <c r="N39" s="210" t="s">
        <v>189</v>
      </c>
      <c r="O39" s="211">
        <v>92235591070</v>
      </c>
      <c r="P39" s="303"/>
      <c r="Q39" s="210" t="s">
        <v>475</v>
      </c>
      <c r="R39" s="210"/>
      <c r="S39" s="210"/>
      <c r="T39" s="213"/>
      <c r="U39" s="212"/>
      <c r="V39" s="210"/>
      <c r="W39" s="210"/>
      <c r="X39" s="211"/>
      <c r="Y39" s="210" t="str">
        <f>""</f>
        <v/>
      </c>
      <c r="Z39" s="210" t="s">
        <v>289</v>
      </c>
      <c r="AA39" s="210"/>
    </row>
    <row r="40" spans="1:27" ht="15" customHeight="1">
      <c r="A40" s="302">
        <v>20</v>
      </c>
      <c r="B40" s="212">
        <v>46171</v>
      </c>
      <c r="C40" s="210" t="s">
        <v>334</v>
      </c>
      <c r="D40" s="210" t="s">
        <v>187</v>
      </c>
      <c r="E40" s="211">
        <v>8809990970018</v>
      </c>
      <c r="F40" s="210" t="s">
        <v>281</v>
      </c>
      <c r="G40" s="210" t="s">
        <v>188</v>
      </c>
      <c r="H40" s="210"/>
      <c r="I40" s="210"/>
      <c r="J40" s="210">
        <v>0</v>
      </c>
      <c r="K40" s="210"/>
      <c r="L40" s="210">
        <v>2</v>
      </c>
      <c r="M40" s="210"/>
      <c r="N40" s="210" t="s">
        <v>189</v>
      </c>
      <c r="O40" s="211">
        <v>92235591313</v>
      </c>
      <c r="P40" s="303"/>
      <c r="Q40" s="210" t="s">
        <v>475</v>
      </c>
      <c r="R40" s="210"/>
      <c r="S40" s="210"/>
      <c r="T40" s="213"/>
      <c r="U40" s="212"/>
      <c r="V40" s="210"/>
      <c r="W40" s="210"/>
      <c r="X40" s="211"/>
      <c r="Y40" s="210" t="str">
        <f>""</f>
        <v/>
      </c>
      <c r="Z40" s="210" t="s">
        <v>289</v>
      </c>
      <c r="AA40" s="210"/>
    </row>
    <row r="41" spans="1:27" ht="15" customHeight="1">
      <c r="A41" s="302">
        <v>21</v>
      </c>
      <c r="B41" s="212">
        <v>46171</v>
      </c>
      <c r="C41" s="210" t="s">
        <v>335</v>
      </c>
      <c r="D41" s="210" t="s">
        <v>187</v>
      </c>
      <c r="E41" s="211">
        <v>8809990970018</v>
      </c>
      <c r="F41" s="210" t="s">
        <v>281</v>
      </c>
      <c r="G41" s="210" t="s">
        <v>188</v>
      </c>
      <c r="H41" s="210"/>
      <c r="I41" s="210"/>
      <c r="J41" s="210">
        <v>0</v>
      </c>
      <c r="K41" s="210"/>
      <c r="L41" s="210">
        <v>2</v>
      </c>
      <c r="M41" s="210"/>
      <c r="N41" s="210" t="s">
        <v>189</v>
      </c>
      <c r="O41" s="211">
        <v>92235591291</v>
      </c>
      <c r="P41" s="303"/>
      <c r="Q41" s="210" t="s">
        <v>475</v>
      </c>
      <c r="R41" s="210"/>
      <c r="S41" s="210"/>
      <c r="T41" s="213"/>
      <c r="U41" s="212"/>
      <c r="V41" s="210"/>
      <c r="W41" s="210"/>
      <c r="X41" s="211"/>
      <c r="Y41" s="210"/>
      <c r="Z41" s="210" t="s">
        <v>289</v>
      </c>
      <c r="AA41" s="210"/>
    </row>
    <row r="42" spans="1:27" ht="15" customHeight="1">
      <c r="A42" s="302">
        <v>22</v>
      </c>
      <c r="B42" s="212">
        <v>46171</v>
      </c>
      <c r="C42" s="210" t="s">
        <v>336</v>
      </c>
      <c r="D42" s="210" t="s">
        <v>187</v>
      </c>
      <c r="E42" s="211">
        <v>8809990970018</v>
      </c>
      <c r="F42" s="210" t="s">
        <v>281</v>
      </c>
      <c r="G42" s="210" t="s">
        <v>188</v>
      </c>
      <c r="H42" s="210"/>
      <c r="I42" s="210"/>
      <c r="J42" s="210">
        <v>0</v>
      </c>
      <c r="K42" s="210"/>
      <c r="L42" s="210">
        <v>2</v>
      </c>
      <c r="M42" s="210"/>
      <c r="N42" s="210" t="s">
        <v>189</v>
      </c>
      <c r="O42" s="211">
        <v>92235591232</v>
      </c>
      <c r="P42" s="303"/>
      <c r="Q42" s="210" t="s">
        <v>475</v>
      </c>
      <c r="R42" s="210"/>
      <c r="S42" s="210"/>
      <c r="T42" s="213"/>
      <c r="U42" s="212"/>
      <c r="V42" s="210"/>
      <c r="W42" s="210"/>
      <c r="X42" s="211"/>
      <c r="Y42" s="210" t="str">
        <f>""</f>
        <v/>
      </c>
      <c r="Z42" s="210" t="s">
        <v>289</v>
      </c>
      <c r="AA42" s="210"/>
    </row>
    <row r="43" spans="1:27" ht="15" customHeight="1">
      <c r="A43" s="302">
        <v>23</v>
      </c>
      <c r="B43" s="212">
        <v>46171</v>
      </c>
      <c r="C43" s="210" t="s">
        <v>337</v>
      </c>
      <c r="D43" s="210" t="s">
        <v>187</v>
      </c>
      <c r="E43" s="211">
        <v>8809990970018</v>
      </c>
      <c r="F43" s="210" t="s">
        <v>281</v>
      </c>
      <c r="G43" s="210" t="s">
        <v>188</v>
      </c>
      <c r="H43" s="210"/>
      <c r="I43" s="210"/>
      <c r="J43" s="210">
        <v>0</v>
      </c>
      <c r="K43" s="210"/>
      <c r="L43" s="210">
        <v>2</v>
      </c>
      <c r="M43" s="210"/>
      <c r="N43" s="210" t="s">
        <v>189</v>
      </c>
      <c r="O43" s="211">
        <v>92235591184</v>
      </c>
      <c r="P43" s="303"/>
      <c r="Q43" s="210" t="s">
        <v>475</v>
      </c>
      <c r="R43" s="210"/>
      <c r="S43" s="210"/>
      <c r="T43" s="213"/>
      <c r="U43" s="212"/>
      <c r="V43" s="210"/>
      <c r="W43" s="210"/>
      <c r="X43" s="211"/>
      <c r="Y43" s="210" t="str">
        <f>""</f>
        <v/>
      </c>
      <c r="Z43" s="210" t="s">
        <v>289</v>
      </c>
      <c r="AA43" s="210"/>
    </row>
    <row r="44" spans="1:27" ht="15" customHeight="1">
      <c r="A44" s="302">
        <v>24</v>
      </c>
      <c r="B44" s="212">
        <v>46171</v>
      </c>
      <c r="C44" s="210" t="s">
        <v>338</v>
      </c>
      <c r="D44" s="210" t="s">
        <v>187</v>
      </c>
      <c r="E44" s="211">
        <v>8809990970018</v>
      </c>
      <c r="F44" s="210" t="s">
        <v>281</v>
      </c>
      <c r="G44" s="210" t="s">
        <v>188</v>
      </c>
      <c r="H44" s="210"/>
      <c r="I44" s="210"/>
      <c r="J44" s="210">
        <v>0</v>
      </c>
      <c r="K44" s="210"/>
      <c r="L44" s="210">
        <v>2</v>
      </c>
      <c r="M44" s="210"/>
      <c r="N44" s="210" t="s">
        <v>189</v>
      </c>
      <c r="O44" s="211">
        <v>92235591173</v>
      </c>
      <c r="P44" s="303"/>
      <c r="Q44" s="210" t="s">
        <v>475</v>
      </c>
      <c r="R44" s="210"/>
      <c r="S44" s="210"/>
      <c r="T44" s="213"/>
      <c r="U44" s="212"/>
      <c r="V44" s="210"/>
      <c r="W44" s="210"/>
      <c r="X44" s="211"/>
      <c r="Y44" s="210" t="str">
        <f>""</f>
        <v/>
      </c>
      <c r="Z44" s="210" t="s">
        <v>289</v>
      </c>
      <c r="AA44" s="210"/>
    </row>
    <row r="45" spans="1:27" ht="15" customHeight="1">
      <c r="A45" s="302">
        <v>25</v>
      </c>
      <c r="B45" s="212">
        <v>46171</v>
      </c>
      <c r="C45" s="210" t="s">
        <v>339</v>
      </c>
      <c r="D45" s="210" t="s">
        <v>187</v>
      </c>
      <c r="E45" s="211">
        <v>8809879544071</v>
      </c>
      <c r="F45" s="210" t="s">
        <v>288</v>
      </c>
      <c r="G45" s="210" t="s">
        <v>188</v>
      </c>
      <c r="H45" s="210"/>
      <c r="I45" s="210"/>
      <c r="J45" s="210">
        <v>0</v>
      </c>
      <c r="K45" s="210"/>
      <c r="L45" s="210">
        <v>2</v>
      </c>
      <c r="M45" s="210"/>
      <c r="N45" s="210" t="s">
        <v>189</v>
      </c>
      <c r="O45" s="211">
        <v>92235591280</v>
      </c>
      <c r="P45" s="303"/>
      <c r="Q45" s="210" t="s">
        <v>475</v>
      </c>
      <c r="R45" s="210"/>
      <c r="S45" s="210"/>
      <c r="T45" s="213"/>
      <c r="U45" s="212"/>
      <c r="V45" s="210"/>
      <c r="W45" s="210"/>
      <c r="X45" s="211"/>
      <c r="Y45" s="210" t="str">
        <f>""</f>
        <v/>
      </c>
      <c r="Z45" s="210" t="s">
        <v>289</v>
      </c>
      <c r="AA45" s="210"/>
    </row>
    <row r="46" spans="1:27" ht="15" customHeight="1">
      <c r="A46" s="302">
        <v>26</v>
      </c>
      <c r="B46" s="212">
        <v>46171</v>
      </c>
      <c r="C46" s="210" t="s">
        <v>340</v>
      </c>
      <c r="D46" s="210" t="s">
        <v>187</v>
      </c>
      <c r="E46" s="211">
        <v>8809879544071</v>
      </c>
      <c r="F46" s="210" t="s">
        <v>288</v>
      </c>
      <c r="G46" s="210" t="s">
        <v>188</v>
      </c>
      <c r="H46" s="210"/>
      <c r="I46" s="210"/>
      <c r="J46" s="210">
        <v>0</v>
      </c>
      <c r="K46" s="210"/>
      <c r="L46" s="210">
        <v>2</v>
      </c>
      <c r="M46" s="210"/>
      <c r="N46" s="210" t="s">
        <v>189</v>
      </c>
      <c r="O46" s="211">
        <v>92235591254</v>
      </c>
      <c r="P46" s="303"/>
      <c r="Q46" s="210" t="s">
        <v>475</v>
      </c>
      <c r="R46" s="210"/>
      <c r="S46" s="210"/>
      <c r="T46" s="213"/>
      <c r="U46" s="212"/>
      <c r="V46" s="210"/>
      <c r="W46" s="210"/>
      <c r="X46" s="211"/>
      <c r="Y46" s="210" t="str">
        <f>""</f>
        <v/>
      </c>
      <c r="Z46" s="210" t="s">
        <v>289</v>
      </c>
      <c r="AA46" s="210"/>
    </row>
    <row r="47" spans="1:27" ht="15" customHeight="1">
      <c r="A47" s="302">
        <v>27</v>
      </c>
      <c r="B47" s="212">
        <v>46171</v>
      </c>
      <c r="C47" s="210" t="s">
        <v>341</v>
      </c>
      <c r="D47" s="210" t="s">
        <v>187</v>
      </c>
      <c r="E47" s="211">
        <v>8809879544071</v>
      </c>
      <c r="F47" s="210" t="s">
        <v>288</v>
      </c>
      <c r="G47" s="210" t="s">
        <v>188</v>
      </c>
      <c r="H47" s="210"/>
      <c r="I47" s="210"/>
      <c r="J47" s="210">
        <v>0</v>
      </c>
      <c r="K47" s="210"/>
      <c r="L47" s="210">
        <v>2</v>
      </c>
      <c r="M47" s="210"/>
      <c r="N47" s="210" t="s">
        <v>189</v>
      </c>
      <c r="O47" s="211">
        <v>92235591206</v>
      </c>
      <c r="P47" s="303"/>
      <c r="Q47" s="210" t="s">
        <v>475</v>
      </c>
      <c r="R47" s="210"/>
      <c r="S47" s="210"/>
      <c r="T47" s="213"/>
      <c r="U47" s="212"/>
      <c r="V47" s="210"/>
      <c r="W47" s="210"/>
      <c r="X47" s="211"/>
      <c r="Y47" s="210" t="str">
        <f>""</f>
        <v/>
      </c>
      <c r="Z47" s="210" t="s">
        <v>289</v>
      </c>
      <c r="AA47" s="210"/>
    </row>
    <row r="48" spans="1:27" ht="15" customHeight="1">
      <c r="A48" s="302">
        <v>28</v>
      </c>
      <c r="B48" s="212">
        <v>46171</v>
      </c>
      <c r="C48" s="210" t="s">
        <v>342</v>
      </c>
      <c r="D48" s="210" t="s">
        <v>187</v>
      </c>
      <c r="E48" s="211">
        <v>8809879544071</v>
      </c>
      <c r="F48" s="210" t="s">
        <v>288</v>
      </c>
      <c r="G48" s="210" t="s">
        <v>188</v>
      </c>
      <c r="H48" s="210"/>
      <c r="I48" s="210"/>
      <c r="J48" s="210">
        <v>0</v>
      </c>
      <c r="K48" s="210"/>
      <c r="L48" s="210">
        <v>2</v>
      </c>
      <c r="M48" s="210"/>
      <c r="N48" s="210" t="s">
        <v>189</v>
      </c>
      <c r="O48" s="211">
        <v>92235591162</v>
      </c>
      <c r="P48" s="303"/>
      <c r="Q48" s="210" t="s">
        <v>475</v>
      </c>
      <c r="R48" s="210"/>
      <c r="S48" s="210"/>
      <c r="T48" s="213"/>
      <c r="U48" s="212"/>
      <c r="V48" s="210"/>
      <c r="W48" s="210"/>
      <c r="X48" s="211"/>
      <c r="Y48" s="210" t="str">
        <f>""</f>
        <v/>
      </c>
      <c r="Z48" s="210" t="s">
        <v>289</v>
      </c>
      <c r="AA48" s="210"/>
    </row>
    <row r="49" spans="1:27" ht="15" customHeight="1">
      <c r="A49" s="302">
        <v>29</v>
      </c>
      <c r="B49" s="212">
        <v>46171</v>
      </c>
      <c r="C49" s="210" t="s">
        <v>343</v>
      </c>
      <c r="D49" s="210" t="s">
        <v>187</v>
      </c>
      <c r="E49" s="211">
        <v>8809879544071</v>
      </c>
      <c r="F49" s="210" t="s">
        <v>288</v>
      </c>
      <c r="G49" s="210" t="s">
        <v>188</v>
      </c>
      <c r="H49" s="210"/>
      <c r="I49" s="210"/>
      <c r="J49" s="210">
        <v>0</v>
      </c>
      <c r="K49" s="210"/>
      <c r="L49" s="210">
        <v>2</v>
      </c>
      <c r="M49" s="210"/>
      <c r="N49" s="210" t="s">
        <v>189</v>
      </c>
      <c r="O49" s="211">
        <v>92235591136</v>
      </c>
      <c r="P49" s="303"/>
      <c r="Q49" s="210" t="s">
        <v>475</v>
      </c>
      <c r="R49" s="210"/>
      <c r="S49" s="210"/>
      <c r="T49" s="213"/>
      <c r="U49" s="212"/>
      <c r="V49" s="210"/>
      <c r="W49" s="210"/>
      <c r="X49" s="211"/>
      <c r="Y49" s="210" t="str">
        <f>""</f>
        <v/>
      </c>
      <c r="Z49" s="210" t="s">
        <v>289</v>
      </c>
      <c r="AA49" s="210"/>
    </row>
    <row r="50" spans="1:27" ht="15" customHeight="1">
      <c r="A50" s="302">
        <v>30</v>
      </c>
      <c r="B50" s="212">
        <v>46171</v>
      </c>
      <c r="C50" s="210" t="s">
        <v>344</v>
      </c>
      <c r="D50" s="210" t="s">
        <v>187</v>
      </c>
      <c r="E50" s="211">
        <v>8809879544071</v>
      </c>
      <c r="F50" s="210" t="s">
        <v>288</v>
      </c>
      <c r="G50" s="210" t="s">
        <v>188</v>
      </c>
      <c r="H50" s="210"/>
      <c r="I50" s="210"/>
      <c r="J50" s="210">
        <v>0</v>
      </c>
      <c r="K50" s="210"/>
      <c r="L50" s="210">
        <v>2</v>
      </c>
      <c r="M50" s="210"/>
      <c r="N50" s="210" t="s">
        <v>189</v>
      </c>
      <c r="O50" s="211">
        <v>92235591092</v>
      </c>
      <c r="P50" s="303"/>
      <c r="Q50" s="210" t="s">
        <v>475</v>
      </c>
      <c r="R50" s="210"/>
      <c r="S50" s="210"/>
      <c r="T50" s="213"/>
      <c r="U50" s="212"/>
      <c r="V50" s="210"/>
      <c r="W50" s="210"/>
      <c r="X50" s="211"/>
      <c r="Y50" s="210" t="str">
        <f>""</f>
        <v/>
      </c>
      <c r="Z50" s="210" t="s">
        <v>289</v>
      </c>
      <c r="AA50" s="210"/>
    </row>
    <row r="51" spans="1:27" ht="15" customHeight="1">
      <c r="A51" s="302">
        <v>31</v>
      </c>
      <c r="B51" s="212">
        <v>46171</v>
      </c>
      <c r="C51" s="210" t="s">
        <v>345</v>
      </c>
      <c r="D51" s="210" t="s">
        <v>187</v>
      </c>
      <c r="E51" s="211">
        <v>8809879544071</v>
      </c>
      <c r="F51" s="210" t="s">
        <v>288</v>
      </c>
      <c r="G51" s="210" t="s">
        <v>188</v>
      </c>
      <c r="H51" s="210"/>
      <c r="I51" s="210"/>
      <c r="J51" s="210">
        <v>0</v>
      </c>
      <c r="K51" s="210"/>
      <c r="L51" s="210">
        <v>1</v>
      </c>
      <c r="M51" s="210"/>
      <c r="N51" s="210" t="s">
        <v>189</v>
      </c>
      <c r="O51" s="211">
        <v>92235591431</v>
      </c>
      <c r="P51" s="303"/>
      <c r="Q51" s="210" t="s">
        <v>475</v>
      </c>
      <c r="R51" s="210"/>
      <c r="S51" s="210"/>
      <c r="T51" s="213"/>
      <c r="U51" s="212"/>
      <c r="V51" s="210"/>
      <c r="W51" s="210"/>
      <c r="X51" s="211"/>
      <c r="Y51" s="210" t="str">
        <f>""</f>
        <v/>
      </c>
      <c r="Z51" s="210" t="s">
        <v>289</v>
      </c>
      <c r="AA51" s="210"/>
    </row>
    <row r="52" spans="1:27" ht="15" customHeight="1">
      <c r="A52" s="302">
        <v>32</v>
      </c>
      <c r="B52" s="212">
        <v>46170</v>
      </c>
      <c r="C52" s="210" t="s">
        <v>346</v>
      </c>
      <c r="D52" s="210" t="s">
        <v>187</v>
      </c>
      <c r="E52" s="211">
        <v>8809879544071</v>
      </c>
      <c r="F52" s="210" t="s">
        <v>288</v>
      </c>
      <c r="G52" s="210" t="s">
        <v>188</v>
      </c>
      <c r="H52" s="210"/>
      <c r="I52" s="210"/>
      <c r="J52" s="210">
        <v>0</v>
      </c>
      <c r="K52" s="210"/>
      <c r="L52" s="210">
        <v>9</v>
      </c>
      <c r="M52" s="210"/>
      <c r="N52" s="210" t="s">
        <v>189</v>
      </c>
      <c r="O52" s="211">
        <v>92235560480</v>
      </c>
      <c r="P52" s="303"/>
      <c r="Q52" s="210" t="s">
        <v>475</v>
      </c>
      <c r="R52" s="210"/>
      <c r="S52" s="210"/>
      <c r="T52" s="213"/>
      <c r="U52" s="212"/>
      <c r="V52" s="210"/>
      <c r="W52" s="210"/>
      <c r="X52" s="211"/>
      <c r="Y52" s="210" t="str">
        <f>""</f>
        <v/>
      </c>
      <c r="Z52" s="210" t="s">
        <v>289</v>
      </c>
      <c r="AA52" s="210"/>
    </row>
    <row r="53" spans="1:27" ht="15" customHeight="1">
      <c r="A53" s="302">
        <v>33</v>
      </c>
      <c r="B53" s="212">
        <v>46170</v>
      </c>
      <c r="C53" s="210" t="s">
        <v>347</v>
      </c>
      <c r="D53" s="210" t="s">
        <v>187</v>
      </c>
      <c r="E53" s="211">
        <v>8809990970018</v>
      </c>
      <c r="F53" s="210" t="s">
        <v>281</v>
      </c>
      <c r="G53" s="210" t="s">
        <v>188</v>
      </c>
      <c r="H53" s="210"/>
      <c r="I53" s="210"/>
      <c r="J53" s="210">
        <v>0</v>
      </c>
      <c r="K53" s="210"/>
      <c r="L53" s="210">
        <v>3</v>
      </c>
      <c r="M53" s="210"/>
      <c r="N53" s="210" t="s">
        <v>189</v>
      </c>
      <c r="O53" s="211">
        <v>92235560546</v>
      </c>
      <c r="P53" s="303"/>
      <c r="Q53" s="210" t="s">
        <v>475</v>
      </c>
      <c r="R53" s="210"/>
      <c r="S53" s="210"/>
      <c r="T53" s="213"/>
      <c r="U53" s="212"/>
      <c r="V53" s="210"/>
      <c r="W53" s="210"/>
      <c r="X53" s="211"/>
      <c r="Y53" s="210" t="str">
        <f>""</f>
        <v/>
      </c>
      <c r="Z53" s="210" t="s">
        <v>289</v>
      </c>
      <c r="AA53" s="210"/>
    </row>
    <row r="54" spans="1:27" ht="15" customHeight="1">
      <c r="A54" s="302">
        <v>34</v>
      </c>
      <c r="B54" s="212">
        <v>46170</v>
      </c>
      <c r="C54" s="210" t="s">
        <v>348</v>
      </c>
      <c r="D54" s="210" t="s">
        <v>187</v>
      </c>
      <c r="E54" s="211">
        <v>8809879544071</v>
      </c>
      <c r="F54" s="210" t="s">
        <v>288</v>
      </c>
      <c r="G54" s="210" t="s">
        <v>188</v>
      </c>
      <c r="H54" s="210"/>
      <c r="I54" s="210"/>
      <c r="J54" s="210">
        <v>0</v>
      </c>
      <c r="K54" s="210"/>
      <c r="L54" s="210">
        <v>1</v>
      </c>
      <c r="M54" s="210"/>
      <c r="N54" s="210" t="s">
        <v>189</v>
      </c>
      <c r="O54" s="211">
        <v>92235560443</v>
      </c>
      <c r="P54" s="303"/>
      <c r="Q54" s="210" t="s">
        <v>475</v>
      </c>
      <c r="R54" s="210"/>
      <c r="S54" s="210"/>
      <c r="T54" s="213"/>
      <c r="U54" s="212"/>
      <c r="V54" s="210"/>
      <c r="W54" s="210"/>
      <c r="X54" s="211"/>
      <c r="Y54" s="210" t="str">
        <f>""</f>
        <v/>
      </c>
      <c r="Z54" s="210" t="s">
        <v>291</v>
      </c>
      <c r="AA54" s="210"/>
    </row>
    <row r="55" spans="1:27" ht="15" customHeight="1">
      <c r="A55" s="302"/>
      <c r="B55" s="212">
        <v>46170</v>
      </c>
      <c r="C55" s="210" t="s">
        <v>348</v>
      </c>
      <c r="D55" s="210" t="s">
        <v>187</v>
      </c>
      <c r="E55" s="211">
        <v>8809879544255</v>
      </c>
      <c r="F55" s="210" t="s">
        <v>290</v>
      </c>
      <c r="G55" s="210" t="s">
        <v>188</v>
      </c>
      <c r="H55" s="210"/>
      <c r="I55" s="210"/>
      <c r="J55" s="210">
        <v>0</v>
      </c>
      <c r="K55" s="210"/>
      <c r="L55" s="210">
        <v>1</v>
      </c>
      <c r="M55" s="210"/>
      <c r="N55" s="210" t="s">
        <v>189</v>
      </c>
      <c r="O55" s="211">
        <v>92235560443</v>
      </c>
      <c r="P55" s="303"/>
      <c r="Q55" s="210" t="s">
        <v>475</v>
      </c>
      <c r="R55" s="210"/>
      <c r="S55" s="210"/>
      <c r="T55" s="213"/>
      <c r="U55" s="212"/>
      <c r="V55" s="210"/>
      <c r="W55" s="210"/>
      <c r="X55" s="211"/>
      <c r="Y55" s="210" t="str">
        <f>""</f>
        <v/>
      </c>
      <c r="Z55" s="210" t="s">
        <v>289</v>
      </c>
      <c r="AA55" s="210"/>
    </row>
    <row r="56" spans="1:27" ht="15" customHeight="1">
      <c r="A56" s="302">
        <v>35</v>
      </c>
      <c r="B56" s="212">
        <v>46170</v>
      </c>
      <c r="C56" s="210" t="s">
        <v>349</v>
      </c>
      <c r="D56" s="210" t="s">
        <v>187</v>
      </c>
      <c r="E56" s="211">
        <v>8809879544071</v>
      </c>
      <c r="F56" s="210" t="s">
        <v>288</v>
      </c>
      <c r="G56" s="210" t="s">
        <v>188</v>
      </c>
      <c r="H56" s="210"/>
      <c r="I56" s="210"/>
      <c r="J56" s="210">
        <v>0</v>
      </c>
      <c r="K56" s="210"/>
      <c r="L56" s="210">
        <v>3</v>
      </c>
      <c r="M56" s="210"/>
      <c r="N56" s="210" t="s">
        <v>189</v>
      </c>
      <c r="O56" s="211">
        <v>92235529831</v>
      </c>
      <c r="P56" s="303"/>
      <c r="Q56" s="210" t="s">
        <v>475</v>
      </c>
      <c r="R56" s="210"/>
      <c r="S56" s="210"/>
      <c r="T56" s="213"/>
      <c r="U56" s="212"/>
      <c r="V56" s="210"/>
      <c r="W56" s="210"/>
      <c r="X56" s="211"/>
      <c r="Y56" s="210" t="str">
        <f>""</f>
        <v/>
      </c>
      <c r="Z56" s="210" t="s">
        <v>289</v>
      </c>
      <c r="AA56" s="210"/>
    </row>
    <row r="57" spans="1:27" ht="15" customHeight="1">
      <c r="A57" s="302">
        <v>36</v>
      </c>
      <c r="B57" s="212">
        <v>46170</v>
      </c>
      <c r="C57" s="210" t="s">
        <v>350</v>
      </c>
      <c r="D57" s="210" t="s">
        <v>187</v>
      </c>
      <c r="E57" s="211">
        <v>8809879544071</v>
      </c>
      <c r="F57" s="210" t="s">
        <v>288</v>
      </c>
      <c r="G57" s="210" t="s">
        <v>188</v>
      </c>
      <c r="H57" s="210"/>
      <c r="I57" s="210"/>
      <c r="J57" s="210">
        <v>0</v>
      </c>
      <c r="K57" s="210"/>
      <c r="L57" s="210">
        <v>300</v>
      </c>
      <c r="M57" s="210"/>
      <c r="N57" s="210" t="s">
        <v>189</v>
      </c>
      <c r="O57" s="211">
        <v>92235529886</v>
      </c>
      <c r="P57" s="303">
        <v>2</v>
      </c>
      <c r="Q57" s="210" t="s">
        <v>476</v>
      </c>
      <c r="R57" s="210"/>
      <c r="S57" s="210"/>
      <c r="T57" s="213"/>
      <c r="U57" s="212"/>
      <c r="V57" s="210"/>
      <c r="W57" s="210"/>
      <c r="X57" s="211"/>
      <c r="Y57" s="210" t="str">
        <f>""</f>
        <v/>
      </c>
      <c r="Z57" s="210" t="s">
        <v>289</v>
      </c>
      <c r="AA57" s="210"/>
    </row>
    <row r="58" spans="1:27" ht="15" customHeight="1">
      <c r="A58" s="302">
        <v>37</v>
      </c>
      <c r="B58" s="212">
        <v>46170</v>
      </c>
      <c r="C58" s="210" t="s">
        <v>351</v>
      </c>
      <c r="D58" s="210" t="s">
        <v>187</v>
      </c>
      <c r="E58" s="211">
        <v>8809990970018</v>
      </c>
      <c r="F58" s="210" t="s">
        <v>281</v>
      </c>
      <c r="G58" s="210" t="s">
        <v>188</v>
      </c>
      <c r="H58" s="210"/>
      <c r="I58" s="210"/>
      <c r="J58" s="210">
        <v>0</v>
      </c>
      <c r="K58" s="210"/>
      <c r="L58" s="210">
        <v>100</v>
      </c>
      <c r="M58" s="210"/>
      <c r="N58" s="210" t="s">
        <v>189</v>
      </c>
      <c r="O58" s="211">
        <v>92235529820</v>
      </c>
      <c r="P58" s="303"/>
      <c r="Q58" s="210" t="s">
        <v>476</v>
      </c>
      <c r="R58" s="210"/>
      <c r="S58" s="210"/>
      <c r="T58" s="213"/>
      <c r="U58" s="212"/>
      <c r="V58" s="210"/>
      <c r="W58" s="210"/>
      <c r="X58" s="211"/>
      <c r="Y58" s="210" t="str">
        <f>""</f>
        <v/>
      </c>
      <c r="Z58" s="210" t="s">
        <v>289</v>
      </c>
      <c r="AA58" s="210"/>
    </row>
    <row r="59" spans="1:27" ht="15" customHeight="1">
      <c r="A59" s="302">
        <v>38</v>
      </c>
      <c r="B59" s="212">
        <v>46169</v>
      </c>
      <c r="C59" s="210" t="s">
        <v>352</v>
      </c>
      <c r="D59" s="210" t="s">
        <v>187</v>
      </c>
      <c r="E59" s="211">
        <v>8809879544071</v>
      </c>
      <c r="F59" s="210" t="s">
        <v>288</v>
      </c>
      <c r="G59" s="210" t="s">
        <v>188</v>
      </c>
      <c r="H59" s="210"/>
      <c r="I59" s="210"/>
      <c r="J59" s="210">
        <v>0</v>
      </c>
      <c r="K59" s="210"/>
      <c r="L59" s="210">
        <v>2</v>
      </c>
      <c r="M59" s="210"/>
      <c r="N59" s="210" t="s">
        <v>189</v>
      </c>
      <c r="O59" s="211">
        <v>92235510581</v>
      </c>
      <c r="P59" s="303"/>
      <c r="Q59" s="210" t="s">
        <v>475</v>
      </c>
      <c r="R59" s="210"/>
      <c r="S59" s="210"/>
      <c r="T59" s="213"/>
      <c r="U59" s="212"/>
      <c r="V59" s="210"/>
      <c r="W59" s="210"/>
      <c r="X59" s="211"/>
      <c r="Y59" s="210" t="str">
        <f>""</f>
        <v/>
      </c>
      <c r="Z59" s="210" t="s">
        <v>289</v>
      </c>
      <c r="AA59" s="210"/>
    </row>
    <row r="60" spans="1:27" ht="15" customHeight="1">
      <c r="A60" s="302">
        <v>39</v>
      </c>
      <c r="B60" s="212">
        <v>46169</v>
      </c>
      <c r="C60" s="210" t="s">
        <v>353</v>
      </c>
      <c r="D60" s="210" t="s">
        <v>187</v>
      </c>
      <c r="E60" s="211">
        <v>8809879544071</v>
      </c>
      <c r="F60" s="210" t="s">
        <v>288</v>
      </c>
      <c r="G60" s="210" t="s">
        <v>188</v>
      </c>
      <c r="H60" s="210"/>
      <c r="I60" s="210"/>
      <c r="J60" s="210">
        <v>0</v>
      </c>
      <c r="K60" s="210"/>
      <c r="L60" s="210">
        <v>1</v>
      </c>
      <c r="M60" s="210"/>
      <c r="N60" s="210" t="s">
        <v>189</v>
      </c>
      <c r="O60" s="211">
        <v>92235510625</v>
      </c>
      <c r="P60" s="303"/>
      <c r="Q60" s="210" t="s">
        <v>475</v>
      </c>
      <c r="R60" s="210"/>
      <c r="S60" s="210"/>
      <c r="T60" s="213"/>
      <c r="U60" s="212"/>
      <c r="V60" s="210"/>
      <c r="W60" s="210"/>
      <c r="X60" s="211"/>
      <c r="Y60" s="210" t="str">
        <f>""</f>
        <v/>
      </c>
      <c r="Z60" s="210" t="s">
        <v>289</v>
      </c>
      <c r="AA60" s="210"/>
    </row>
    <row r="61" spans="1:27" ht="15" customHeight="1">
      <c r="A61" s="302">
        <v>40</v>
      </c>
      <c r="B61" s="212">
        <v>46168</v>
      </c>
      <c r="C61" s="210" t="s">
        <v>354</v>
      </c>
      <c r="D61" s="210" t="s">
        <v>187</v>
      </c>
      <c r="E61" s="211">
        <v>8809879544071</v>
      </c>
      <c r="F61" s="210" t="s">
        <v>288</v>
      </c>
      <c r="G61" s="210" t="s">
        <v>188</v>
      </c>
      <c r="H61" s="210"/>
      <c r="I61" s="210"/>
      <c r="J61" s="210">
        <v>0</v>
      </c>
      <c r="K61" s="210"/>
      <c r="L61" s="210">
        <v>1</v>
      </c>
      <c r="M61" s="210"/>
      <c r="N61" s="210" t="s">
        <v>189</v>
      </c>
      <c r="O61" s="211">
        <v>92235430825</v>
      </c>
      <c r="P61" s="303"/>
      <c r="Q61" s="210" t="s">
        <v>475</v>
      </c>
      <c r="R61" s="210"/>
      <c r="S61" s="210"/>
      <c r="T61" s="213"/>
      <c r="U61" s="212"/>
      <c r="V61" s="210"/>
      <c r="W61" s="210"/>
      <c r="X61" s="211"/>
      <c r="Y61" s="210" t="str">
        <f>""</f>
        <v/>
      </c>
      <c r="Z61" s="210" t="s">
        <v>289</v>
      </c>
      <c r="AA61" s="210"/>
    </row>
    <row r="62" spans="1:27" ht="15" customHeight="1">
      <c r="A62" s="302">
        <v>41</v>
      </c>
      <c r="B62" s="212">
        <v>46168</v>
      </c>
      <c r="C62" s="210" t="s">
        <v>355</v>
      </c>
      <c r="D62" s="210" t="s">
        <v>187</v>
      </c>
      <c r="E62" s="211">
        <v>8809879544071</v>
      </c>
      <c r="F62" s="210" t="s">
        <v>288</v>
      </c>
      <c r="G62" s="210" t="s">
        <v>188</v>
      </c>
      <c r="H62" s="210"/>
      <c r="I62" s="210"/>
      <c r="J62" s="210">
        <v>0</v>
      </c>
      <c r="K62" s="210"/>
      <c r="L62" s="210">
        <v>1</v>
      </c>
      <c r="M62" s="210"/>
      <c r="N62" s="210" t="s">
        <v>189</v>
      </c>
      <c r="O62" s="211">
        <v>92235430733</v>
      </c>
      <c r="P62" s="303"/>
      <c r="Q62" s="210" t="s">
        <v>475</v>
      </c>
      <c r="R62" s="210"/>
      <c r="S62" s="210"/>
      <c r="T62" s="213"/>
      <c r="U62" s="212"/>
      <c r="V62" s="210"/>
      <c r="W62" s="210"/>
      <c r="X62" s="211"/>
      <c r="Y62" s="210" t="str">
        <f>""</f>
        <v/>
      </c>
      <c r="Z62" s="210" t="s">
        <v>289</v>
      </c>
      <c r="AA62" s="210"/>
    </row>
    <row r="63" spans="1:27" ht="15" customHeight="1">
      <c r="A63" s="302">
        <v>42</v>
      </c>
      <c r="B63" s="212">
        <v>46168</v>
      </c>
      <c r="C63" s="210" t="s">
        <v>356</v>
      </c>
      <c r="D63" s="210" t="s">
        <v>187</v>
      </c>
      <c r="E63" s="211">
        <v>8809879544071</v>
      </c>
      <c r="F63" s="210" t="s">
        <v>288</v>
      </c>
      <c r="G63" s="210" t="s">
        <v>188</v>
      </c>
      <c r="H63" s="210"/>
      <c r="I63" s="210"/>
      <c r="J63" s="210">
        <v>0</v>
      </c>
      <c r="K63" s="210"/>
      <c r="L63" s="210">
        <v>1</v>
      </c>
      <c r="M63" s="210"/>
      <c r="N63" s="210" t="s">
        <v>189</v>
      </c>
      <c r="O63" s="211">
        <v>92235430722</v>
      </c>
      <c r="P63" s="303"/>
      <c r="Q63" s="210" t="s">
        <v>475</v>
      </c>
      <c r="R63" s="210"/>
      <c r="S63" s="210"/>
      <c r="T63" s="213"/>
      <c r="U63" s="212"/>
      <c r="V63" s="210"/>
      <c r="W63" s="210"/>
      <c r="X63" s="211"/>
      <c r="Y63" s="210" t="str">
        <f>""</f>
        <v/>
      </c>
      <c r="Z63" s="210" t="s">
        <v>289</v>
      </c>
      <c r="AA63" s="210"/>
    </row>
    <row r="64" spans="1:27" ht="15" customHeight="1">
      <c r="A64" s="302">
        <v>43</v>
      </c>
      <c r="B64" s="212">
        <v>46168</v>
      </c>
      <c r="C64" s="210" t="s">
        <v>357</v>
      </c>
      <c r="D64" s="210" t="s">
        <v>187</v>
      </c>
      <c r="E64" s="211">
        <v>8809879544071</v>
      </c>
      <c r="F64" s="210" t="s">
        <v>288</v>
      </c>
      <c r="G64" s="210" t="s">
        <v>188</v>
      </c>
      <c r="H64" s="210"/>
      <c r="I64" s="210"/>
      <c r="J64" s="210">
        <v>0</v>
      </c>
      <c r="K64" s="210"/>
      <c r="L64" s="210">
        <v>1</v>
      </c>
      <c r="M64" s="210"/>
      <c r="N64" s="210" t="s">
        <v>189</v>
      </c>
      <c r="O64" s="211">
        <v>92235430630</v>
      </c>
      <c r="P64" s="303"/>
      <c r="Q64" s="210" t="s">
        <v>475</v>
      </c>
      <c r="R64" s="210"/>
      <c r="S64" s="210"/>
      <c r="T64" s="213"/>
      <c r="U64" s="212"/>
      <c r="V64" s="210"/>
      <c r="W64" s="210"/>
      <c r="X64" s="211"/>
      <c r="Y64" s="210" t="str">
        <f>""</f>
        <v/>
      </c>
      <c r="Z64" s="210" t="s">
        <v>289</v>
      </c>
      <c r="AA64" s="210"/>
    </row>
    <row r="65" spans="1:27" ht="15" customHeight="1">
      <c r="A65" s="302">
        <v>44</v>
      </c>
      <c r="B65" s="212">
        <v>46168</v>
      </c>
      <c r="C65" s="210" t="s">
        <v>358</v>
      </c>
      <c r="D65" s="210" t="s">
        <v>187</v>
      </c>
      <c r="E65" s="211">
        <v>8809879544071</v>
      </c>
      <c r="F65" s="210" t="s">
        <v>288</v>
      </c>
      <c r="G65" s="210" t="s">
        <v>188</v>
      </c>
      <c r="H65" s="210"/>
      <c r="I65" s="210"/>
      <c r="J65" s="210">
        <v>0</v>
      </c>
      <c r="K65" s="210"/>
      <c r="L65" s="210">
        <v>1</v>
      </c>
      <c r="M65" s="210"/>
      <c r="N65" s="210" t="s">
        <v>189</v>
      </c>
      <c r="O65" s="211">
        <v>92235430560</v>
      </c>
      <c r="P65" s="303"/>
      <c r="Q65" s="210" t="s">
        <v>475</v>
      </c>
      <c r="R65" s="210"/>
      <c r="S65" s="210"/>
      <c r="T65" s="213"/>
      <c r="U65" s="212"/>
      <c r="V65" s="210"/>
      <c r="W65" s="210"/>
      <c r="X65" s="211"/>
      <c r="Y65" s="210" t="str">
        <f>""</f>
        <v/>
      </c>
      <c r="Z65" s="210" t="s">
        <v>289</v>
      </c>
      <c r="AA65" s="210"/>
    </row>
    <row r="66" spans="1:27" ht="15" customHeight="1">
      <c r="A66" s="302">
        <v>45</v>
      </c>
      <c r="B66" s="212">
        <v>46168</v>
      </c>
      <c r="C66" s="210" t="s">
        <v>359</v>
      </c>
      <c r="D66" s="210" t="s">
        <v>187</v>
      </c>
      <c r="E66" s="211">
        <v>8809879544071</v>
      </c>
      <c r="F66" s="210" t="s">
        <v>288</v>
      </c>
      <c r="G66" s="210" t="s">
        <v>188</v>
      </c>
      <c r="H66" s="210"/>
      <c r="I66" s="210"/>
      <c r="J66" s="210">
        <v>0</v>
      </c>
      <c r="K66" s="210"/>
      <c r="L66" s="210">
        <v>1</v>
      </c>
      <c r="M66" s="210"/>
      <c r="N66" s="210" t="s">
        <v>189</v>
      </c>
      <c r="O66" s="211">
        <v>92235430523</v>
      </c>
      <c r="P66" s="303"/>
      <c r="Q66" s="210" t="s">
        <v>475</v>
      </c>
      <c r="R66" s="210"/>
      <c r="S66" s="210"/>
      <c r="T66" s="213"/>
      <c r="U66" s="212"/>
      <c r="V66" s="210"/>
      <c r="W66" s="210"/>
      <c r="X66" s="211"/>
      <c r="Y66" s="210" t="str">
        <f>""</f>
        <v/>
      </c>
      <c r="Z66" s="210" t="s">
        <v>289</v>
      </c>
      <c r="AA66" s="210"/>
    </row>
    <row r="67" spans="1:27" ht="15" customHeight="1">
      <c r="A67" s="302">
        <v>46</v>
      </c>
      <c r="B67" s="212">
        <v>46168</v>
      </c>
      <c r="C67" s="210" t="s">
        <v>360</v>
      </c>
      <c r="D67" s="210" t="s">
        <v>187</v>
      </c>
      <c r="E67" s="211">
        <v>8809879544071</v>
      </c>
      <c r="F67" s="210" t="s">
        <v>288</v>
      </c>
      <c r="G67" s="210" t="s">
        <v>188</v>
      </c>
      <c r="H67" s="210"/>
      <c r="I67" s="210"/>
      <c r="J67" s="210">
        <v>0</v>
      </c>
      <c r="K67" s="210"/>
      <c r="L67" s="210">
        <v>1</v>
      </c>
      <c r="M67" s="210"/>
      <c r="N67" s="210" t="s">
        <v>189</v>
      </c>
      <c r="O67" s="211">
        <v>92235430652</v>
      </c>
      <c r="P67" s="303"/>
      <c r="Q67" s="210" t="s">
        <v>475</v>
      </c>
      <c r="R67" s="210"/>
      <c r="S67" s="210"/>
      <c r="T67" s="213"/>
      <c r="U67" s="212"/>
      <c r="V67" s="210"/>
      <c r="W67" s="210"/>
      <c r="X67" s="211"/>
      <c r="Y67" s="210" t="str">
        <f>""</f>
        <v/>
      </c>
      <c r="Z67" s="210" t="s">
        <v>289</v>
      </c>
      <c r="AA67" s="210"/>
    </row>
    <row r="68" spans="1:27" ht="15" customHeight="1">
      <c r="A68" s="302">
        <v>47</v>
      </c>
      <c r="B68" s="212">
        <v>46168</v>
      </c>
      <c r="C68" s="210" t="s">
        <v>361</v>
      </c>
      <c r="D68" s="210" t="s">
        <v>187</v>
      </c>
      <c r="E68" s="211">
        <v>8809879544071</v>
      </c>
      <c r="F68" s="210" t="s">
        <v>288</v>
      </c>
      <c r="G68" s="210" t="s">
        <v>188</v>
      </c>
      <c r="H68" s="210"/>
      <c r="I68" s="210"/>
      <c r="J68" s="210">
        <v>0</v>
      </c>
      <c r="K68" s="210"/>
      <c r="L68" s="210">
        <v>1</v>
      </c>
      <c r="M68" s="210"/>
      <c r="N68" s="210" t="s">
        <v>189</v>
      </c>
      <c r="O68" s="211">
        <v>92235430663</v>
      </c>
      <c r="P68" s="303"/>
      <c r="Q68" s="210" t="s">
        <v>475</v>
      </c>
      <c r="R68" s="210"/>
      <c r="S68" s="210"/>
      <c r="T68" s="213"/>
      <c r="U68" s="212"/>
      <c r="V68" s="210"/>
      <c r="W68" s="210"/>
      <c r="X68" s="211"/>
      <c r="Y68" s="210"/>
      <c r="Z68" s="210" t="s">
        <v>289</v>
      </c>
      <c r="AA68" s="210"/>
    </row>
    <row r="69" spans="1:27" ht="15" customHeight="1">
      <c r="A69" s="302">
        <v>48</v>
      </c>
      <c r="B69" s="212">
        <v>46168</v>
      </c>
      <c r="C69" s="210" t="s">
        <v>362</v>
      </c>
      <c r="D69" s="210" t="s">
        <v>187</v>
      </c>
      <c r="E69" s="211">
        <v>8809990970018</v>
      </c>
      <c r="F69" s="210" t="s">
        <v>281</v>
      </c>
      <c r="G69" s="210" t="s">
        <v>188</v>
      </c>
      <c r="H69" s="210"/>
      <c r="I69" s="210"/>
      <c r="J69" s="210">
        <v>0</v>
      </c>
      <c r="K69" s="210"/>
      <c r="L69" s="210">
        <v>1</v>
      </c>
      <c r="M69" s="210"/>
      <c r="N69" s="210" t="s">
        <v>189</v>
      </c>
      <c r="O69" s="211">
        <v>92235430593</v>
      </c>
      <c r="P69" s="303"/>
      <c r="Q69" s="210" t="s">
        <v>475</v>
      </c>
      <c r="R69" s="210"/>
      <c r="S69" s="210"/>
      <c r="T69" s="213"/>
      <c r="U69" s="212"/>
      <c r="V69" s="210"/>
      <c r="W69" s="210"/>
      <c r="X69" s="211"/>
      <c r="Y69" s="210"/>
      <c r="Z69" s="210"/>
      <c r="AA69" s="210"/>
    </row>
    <row r="70" spans="1:27" ht="15" customHeight="1">
      <c r="A70" s="302">
        <v>49</v>
      </c>
      <c r="B70" s="212">
        <v>46168</v>
      </c>
      <c r="C70" s="210" t="s">
        <v>363</v>
      </c>
      <c r="D70" s="210" t="s">
        <v>187</v>
      </c>
      <c r="E70" s="211">
        <v>8809879544255</v>
      </c>
      <c r="F70" s="210" t="s">
        <v>290</v>
      </c>
      <c r="G70" s="210" t="s">
        <v>188</v>
      </c>
      <c r="H70" s="210"/>
      <c r="I70" s="210"/>
      <c r="J70" s="210">
        <v>0</v>
      </c>
      <c r="K70" s="210"/>
      <c r="L70" s="210">
        <v>2</v>
      </c>
      <c r="M70" s="210"/>
      <c r="N70" s="210" t="s">
        <v>189</v>
      </c>
      <c r="O70" s="211">
        <v>92235430280</v>
      </c>
      <c r="P70" s="303"/>
      <c r="Q70" s="210" t="s">
        <v>475</v>
      </c>
    </row>
    <row r="71" spans="1:27" ht="15" customHeight="1">
      <c r="A71" s="302"/>
      <c r="B71" s="212">
        <v>46168</v>
      </c>
      <c r="C71" s="210" t="s">
        <v>363</v>
      </c>
      <c r="D71" s="210" t="s">
        <v>187</v>
      </c>
      <c r="E71" s="211">
        <v>8809879544071</v>
      </c>
      <c r="F71" s="210" t="s">
        <v>288</v>
      </c>
      <c r="G71" s="210" t="s">
        <v>188</v>
      </c>
      <c r="H71" s="210"/>
      <c r="I71" s="210"/>
      <c r="J71" s="210">
        <v>0</v>
      </c>
      <c r="K71" s="210"/>
      <c r="L71" s="210">
        <v>1</v>
      </c>
      <c r="M71" s="210"/>
      <c r="N71" s="210" t="s">
        <v>189</v>
      </c>
      <c r="O71" s="211">
        <v>92235430280</v>
      </c>
      <c r="P71" s="303"/>
      <c r="Q71" s="210" t="s">
        <v>475</v>
      </c>
    </row>
    <row r="72" spans="1:27" ht="15" customHeight="1">
      <c r="A72" s="302">
        <v>50</v>
      </c>
      <c r="B72" s="212">
        <v>46168</v>
      </c>
      <c r="C72" s="210" t="s">
        <v>364</v>
      </c>
      <c r="D72" s="210" t="s">
        <v>187</v>
      </c>
      <c r="E72" s="211">
        <v>8809879544071</v>
      </c>
      <c r="F72" s="210" t="s">
        <v>288</v>
      </c>
      <c r="G72" s="210" t="s">
        <v>188</v>
      </c>
      <c r="H72" s="210"/>
      <c r="I72" s="210"/>
      <c r="J72" s="210">
        <v>0</v>
      </c>
      <c r="K72" s="210"/>
      <c r="L72" s="210">
        <v>1</v>
      </c>
      <c r="M72" s="210"/>
      <c r="N72" s="210" t="s">
        <v>189</v>
      </c>
      <c r="O72" s="211">
        <v>92235430372</v>
      </c>
      <c r="P72" s="303"/>
      <c r="Q72" s="210" t="s">
        <v>475</v>
      </c>
    </row>
    <row r="73" spans="1:27" ht="15" customHeight="1">
      <c r="A73" s="302"/>
      <c r="B73" s="212">
        <v>46168</v>
      </c>
      <c r="C73" s="210" t="s">
        <v>364</v>
      </c>
      <c r="D73" s="210" t="s">
        <v>187</v>
      </c>
      <c r="E73" s="211">
        <v>8809990970018</v>
      </c>
      <c r="F73" s="210" t="s">
        <v>281</v>
      </c>
      <c r="G73" s="210" t="s">
        <v>188</v>
      </c>
      <c r="H73" s="210"/>
      <c r="I73" s="210"/>
      <c r="J73" s="210">
        <v>0</v>
      </c>
      <c r="K73" s="210"/>
      <c r="L73" s="210">
        <v>1</v>
      </c>
      <c r="M73" s="210"/>
      <c r="N73" s="210" t="s">
        <v>189</v>
      </c>
      <c r="O73" s="211">
        <v>92235430372</v>
      </c>
      <c r="P73" s="303"/>
      <c r="Q73" s="210" t="s">
        <v>475</v>
      </c>
    </row>
    <row r="74" spans="1:27" ht="15" customHeight="1">
      <c r="A74" s="302">
        <v>51</v>
      </c>
      <c r="B74" s="212">
        <v>46168</v>
      </c>
      <c r="C74" s="210" t="s">
        <v>365</v>
      </c>
      <c r="D74" s="210" t="s">
        <v>187</v>
      </c>
      <c r="E74" s="211">
        <v>8809879544071</v>
      </c>
      <c r="F74" s="210" t="s">
        <v>288</v>
      </c>
      <c r="G74" s="210" t="s">
        <v>188</v>
      </c>
      <c r="H74" s="210"/>
      <c r="I74" s="210"/>
      <c r="J74" s="210">
        <v>0</v>
      </c>
      <c r="K74" s="210"/>
      <c r="L74" s="210">
        <v>1</v>
      </c>
      <c r="M74" s="210"/>
      <c r="N74" s="210" t="s">
        <v>189</v>
      </c>
      <c r="O74" s="211">
        <v>92235430162</v>
      </c>
      <c r="P74" s="303"/>
      <c r="Q74" s="210" t="s">
        <v>475</v>
      </c>
    </row>
    <row r="75" spans="1:27" ht="15" customHeight="1">
      <c r="A75" s="302"/>
      <c r="B75" s="212">
        <v>46168</v>
      </c>
      <c r="C75" s="210" t="s">
        <v>365</v>
      </c>
      <c r="D75" s="210" t="s">
        <v>187</v>
      </c>
      <c r="E75" s="211">
        <v>8809990970018</v>
      </c>
      <c r="F75" s="210" t="s">
        <v>281</v>
      </c>
      <c r="G75" s="210" t="s">
        <v>188</v>
      </c>
      <c r="H75" s="210"/>
      <c r="I75" s="210"/>
      <c r="J75" s="210">
        <v>0</v>
      </c>
      <c r="K75" s="210"/>
      <c r="L75" s="210">
        <v>2</v>
      </c>
      <c r="M75" s="210"/>
      <c r="N75" s="210" t="s">
        <v>189</v>
      </c>
      <c r="O75" s="211">
        <v>92235430162</v>
      </c>
      <c r="P75" s="303"/>
      <c r="Q75" s="210" t="s">
        <v>475</v>
      </c>
    </row>
    <row r="76" spans="1:27" ht="15" customHeight="1">
      <c r="A76" s="302">
        <v>52</v>
      </c>
      <c r="B76" s="212">
        <v>46164</v>
      </c>
      <c r="C76" s="210" t="s">
        <v>366</v>
      </c>
      <c r="D76" s="210" t="s">
        <v>187</v>
      </c>
      <c r="E76" s="211">
        <v>8809879544071</v>
      </c>
      <c r="F76" s="210" t="s">
        <v>288</v>
      </c>
      <c r="G76" s="210" t="s">
        <v>188</v>
      </c>
      <c r="H76" s="210"/>
      <c r="I76" s="210"/>
      <c r="J76" s="210">
        <v>0</v>
      </c>
      <c r="K76" s="210"/>
      <c r="L76" s="210">
        <v>4</v>
      </c>
      <c r="M76" s="210"/>
      <c r="N76" s="210" t="s">
        <v>189</v>
      </c>
      <c r="O76" s="211">
        <v>92235391382</v>
      </c>
      <c r="P76" s="303"/>
      <c r="Q76" s="210" t="s">
        <v>475</v>
      </c>
    </row>
    <row r="77" spans="1:27" ht="15" customHeight="1">
      <c r="A77" s="302">
        <v>53</v>
      </c>
      <c r="B77" s="212">
        <v>46164</v>
      </c>
      <c r="C77" s="210" t="s">
        <v>367</v>
      </c>
      <c r="D77" s="210" t="s">
        <v>187</v>
      </c>
      <c r="E77" s="211">
        <v>8809879544071</v>
      </c>
      <c r="F77" s="210" t="s">
        <v>288</v>
      </c>
      <c r="G77" s="210" t="s">
        <v>188</v>
      </c>
      <c r="H77" s="210"/>
      <c r="I77" s="210"/>
      <c r="J77" s="210">
        <v>0</v>
      </c>
      <c r="K77" s="210"/>
      <c r="L77" s="210">
        <v>3</v>
      </c>
      <c r="M77" s="210"/>
      <c r="N77" s="210" t="s">
        <v>189</v>
      </c>
      <c r="O77" s="211">
        <v>92235391345</v>
      </c>
      <c r="P77" s="303"/>
      <c r="Q77" s="210" t="s">
        <v>475</v>
      </c>
    </row>
    <row r="78" spans="1:27" ht="15" customHeight="1">
      <c r="A78" s="302"/>
      <c r="B78" s="212">
        <v>46164</v>
      </c>
      <c r="C78" s="210" t="s">
        <v>368</v>
      </c>
      <c r="D78" s="210" t="s">
        <v>187</v>
      </c>
      <c r="E78" s="211">
        <v>8809879544071</v>
      </c>
      <c r="F78" s="210" t="s">
        <v>288</v>
      </c>
      <c r="G78" s="210" t="s">
        <v>188</v>
      </c>
      <c r="H78" s="210"/>
      <c r="I78" s="210"/>
      <c r="J78" s="210">
        <v>4</v>
      </c>
      <c r="K78" s="210"/>
      <c r="L78" s="210">
        <v>0</v>
      </c>
      <c r="M78" s="210"/>
      <c r="N78" s="304" t="s">
        <v>369</v>
      </c>
      <c r="O78" s="211">
        <v>92235385664</v>
      </c>
      <c r="P78" s="303"/>
      <c r="Q78" s="210" t="s">
        <v>475</v>
      </c>
    </row>
    <row r="79" spans="1:27" ht="15" customHeight="1">
      <c r="A79" s="302">
        <v>54</v>
      </c>
      <c r="B79" s="212">
        <v>46164</v>
      </c>
      <c r="C79" s="210" t="s">
        <v>370</v>
      </c>
      <c r="D79" s="210" t="s">
        <v>187</v>
      </c>
      <c r="E79" s="211">
        <v>8809879544071</v>
      </c>
      <c r="F79" s="210" t="s">
        <v>288</v>
      </c>
      <c r="G79" s="210" t="s">
        <v>188</v>
      </c>
      <c r="H79" s="210"/>
      <c r="I79" s="210"/>
      <c r="J79" s="210">
        <v>0</v>
      </c>
      <c r="K79" s="210"/>
      <c r="L79" s="210">
        <v>4</v>
      </c>
      <c r="M79" s="210"/>
      <c r="N79" s="210" t="s">
        <v>189</v>
      </c>
      <c r="O79" s="211">
        <v>92235385664</v>
      </c>
      <c r="P79" s="303"/>
      <c r="Q79" s="210" t="s">
        <v>475</v>
      </c>
    </row>
    <row r="80" spans="1:27" ht="15" customHeight="1">
      <c r="A80" s="302">
        <v>55</v>
      </c>
      <c r="B80" s="212">
        <v>46164</v>
      </c>
      <c r="C80" s="210" t="s">
        <v>371</v>
      </c>
      <c r="D80" s="210" t="s">
        <v>187</v>
      </c>
      <c r="E80" s="211">
        <v>8809879544071</v>
      </c>
      <c r="F80" s="210" t="s">
        <v>288</v>
      </c>
      <c r="G80" s="210" t="s">
        <v>188</v>
      </c>
      <c r="H80" s="210"/>
      <c r="I80" s="210"/>
      <c r="J80" s="210">
        <v>0</v>
      </c>
      <c r="K80" s="210"/>
      <c r="L80" s="210">
        <v>10</v>
      </c>
      <c r="M80" s="210"/>
      <c r="N80" s="210" t="s">
        <v>189</v>
      </c>
      <c r="O80" s="211">
        <v>92235385675</v>
      </c>
      <c r="P80" s="303"/>
      <c r="Q80" s="210" t="s">
        <v>475</v>
      </c>
    </row>
    <row r="81" spans="1:17" ht="15" customHeight="1">
      <c r="A81" s="302">
        <v>56</v>
      </c>
      <c r="B81" s="212">
        <v>46164</v>
      </c>
      <c r="C81" s="210" t="s">
        <v>372</v>
      </c>
      <c r="D81" s="210" t="s">
        <v>187</v>
      </c>
      <c r="E81" s="211">
        <v>8809879544071</v>
      </c>
      <c r="F81" s="210" t="s">
        <v>288</v>
      </c>
      <c r="G81" s="210" t="s">
        <v>188</v>
      </c>
      <c r="H81" s="210"/>
      <c r="I81" s="210"/>
      <c r="J81" s="210">
        <v>0</v>
      </c>
      <c r="K81" s="210"/>
      <c r="L81" s="210">
        <v>10</v>
      </c>
      <c r="M81" s="210"/>
      <c r="N81" s="210" t="s">
        <v>189</v>
      </c>
      <c r="O81" s="211">
        <v>92235385690</v>
      </c>
      <c r="P81" s="303"/>
      <c r="Q81" s="210" t="s">
        <v>475</v>
      </c>
    </row>
    <row r="82" spans="1:17" ht="15" customHeight="1">
      <c r="A82" s="302">
        <v>57</v>
      </c>
      <c r="B82" s="212">
        <v>46164</v>
      </c>
      <c r="C82" s="210" t="s">
        <v>373</v>
      </c>
      <c r="D82" s="210" t="s">
        <v>187</v>
      </c>
      <c r="E82" s="211">
        <v>8809879544071</v>
      </c>
      <c r="F82" s="210" t="s">
        <v>288</v>
      </c>
      <c r="G82" s="210" t="s">
        <v>188</v>
      </c>
      <c r="H82" s="210"/>
      <c r="I82" s="210"/>
      <c r="J82" s="210">
        <v>0</v>
      </c>
      <c r="K82" s="210"/>
      <c r="L82" s="210">
        <v>5</v>
      </c>
      <c r="M82" s="210"/>
      <c r="N82" s="210" t="s">
        <v>189</v>
      </c>
      <c r="O82" s="211">
        <v>92235385686</v>
      </c>
      <c r="P82" s="303"/>
      <c r="Q82" s="210" t="s">
        <v>475</v>
      </c>
    </row>
    <row r="83" spans="1:17" ht="15" customHeight="1">
      <c r="A83" s="302">
        <v>58</v>
      </c>
      <c r="B83" s="212">
        <v>46164</v>
      </c>
      <c r="C83" s="210" t="s">
        <v>374</v>
      </c>
      <c r="D83" s="210" t="s">
        <v>187</v>
      </c>
      <c r="E83" s="211">
        <v>8809879544071</v>
      </c>
      <c r="F83" s="210" t="s">
        <v>288</v>
      </c>
      <c r="G83" s="210" t="s">
        <v>188</v>
      </c>
      <c r="H83" s="210"/>
      <c r="I83" s="210"/>
      <c r="J83" s="210">
        <v>0</v>
      </c>
      <c r="K83" s="210"/>
      <c r="L83" s="210">
        <v>1</v>
      </c>
      <c r="M83" s="210"/>
      <c r="N83" s="210" t="s">
        <v>189</v>
      </c>
      <c r="O83" s="211">
        <v>92235385734</v>
      </c>
      <c r="P83" s="303"/>
      <c r="Q83" s="210" t="s">
        <v>475</v>
      </c>
    </row>
    <row r="84" spans="1:17" ht="15" customHeight="1">
      <c r="A84" s="302">
        <v>59</v>
      </c>
      <c r="B84" s="212">
        <v>46164</v>
      </c>
      <c r="C84" s="210" t="s">
        <v>375</v>
      </c>
      <c r="D84" s="210" t="s">
        <v>187</v>
      </c>
      <c r="E84" s="211">
        <v>8809879544071</v>
      </c>
      <c r="F84" s="210" t="s">
        <v>288</v>
      </c>
      <c r="G84" s="210" t="s">
        <v>188</v>
      </c>
      <c r="H84" s="210"/>
      <c r="I84" s="210"/>
      <c r="J84" s="210">
        <v>0</v>
      </c>
      <c r="K84" s="210"/>
      <c r="L84" s="210">
        <v>1</v>
      </c>
      <c r="M84" s="210"/>
      <c r="N84" s="210" t="s">
        <v>189</v>
      </c>
      <c r="O84" s="211">
        <v>92235385723</v>
      </c>
      <c r="P84" s="303"/>
      <c r="Q84" s="210" t="s">
        <v>475</v>
      </c>
    </row>
    <row r="85" spans="1:17" ht="15" customHeight="1">
      <c r="A85" s="302">
        <v>60</v>
      </c>
      <c r="B85" s="212">
        <v>46164</v>
      </c>
      <c r="C85" s="210" t="s">
        <v>376</v>
      </c>
      <c r="D85" s="210" t="s">
        <v>187</v>
      </c>
      <c r="E85" s="211">
        <v>8809879544071</v>
      </c>
      <c r="F85" s="210" t="s">
        <v>288</v>
      </c>
      <c r="G85" s="210" t="s">
        <v>188</v>
      </c>
      <c r="H85" s="210"/>
      <c r="I85" s="210"/>
      <c r="J85" s="210">
        <v>0</v>
      </c>
      <c r="K85" s="210"/>
      <c r="L85" s="210">
        <v>1</v>
      </c>
      <c r="M85" s="210"/>
      <c r="N85" s="210" t="s">
        <v>189</v>
      </c>
      <c r="O85" s="211">
        <v>92235371303</v>
      </c>
      <c r="P85" s="303"/>
      <c r="Q85" s="210" t="s">
        <v>475</v>
      </c>
    </row>
    <row r="86" spans="1:17" ht="15" customHeight="1">
      <c r="A86" s="302">
        <v>61</v>
      </c>
      <c r="B86" s="212">
        <v>46163</v>
      </c>
      <c r="C86" s="210" t="s">
        <v>377</v>
      </c>
      <c r="D86" s="210" t="s">
        <v>187</v>
      </c>
      <c r="E86" s="211">
        <v>8809990970018</v>
      </c>
      <c r="F86" s="210" t="s">
        <v>281</v>
      </c>
      <c r="G86" s="210" t="s">
        <v>188</v>
      </c>
      <c r="H86" s="210"/>
      <c r="I86" s="210"/>
      <c r="J86" s="210">
        <v>0</v>
      </c>
      <c r="K86" s="210"/>
      <c r="L86" s="210">
        <v>1</v>
      </c>
      <c r="M86" s="210"/>
      <c r="N86" s="210" t="s">
        <v>189</v>
      </c>
      <c r="O86" s="211">
        <v>92235353814</v>
      </c>
      <c r="P86" s="303"/>
      <c r="Q86" s="210" t="s">
        <v>475</v>
      </c>
    </row>
    <row r="87" spans="1:17" ht="15" customHeight="1">
      <c r="A87" s="302">
        <v>62</v>
      </c>
      <c r="B87" s="212">
        <v>46163</v>
      </c>
      <c r="C87" s="210" t="s">
        <v>378</v>
      </c>
      <c r="D87" s="210" t="s">
        <v>187</v>
      </c>
      <c r="E87" s="211">
        <v>8809879544071</v>
      </c>
      <c r="F87" s="210" t="s">
        <v>288</v>
      </c>
      <c r="G87" s="210" t="s">
        <v>188</v>
      </c>
      <c r="H87" s="210"/>
      <c r="I87" s="210"/>
      <c r="J87" s="210">
        <v>0</v>
      </c>
      <c r="K87" s="210"/>
      <c r="L87" s="210">
        <v>1</v>
      </c>
      <c r="M87" s="210"/>
      <c r="N87" s="210" t="s">
        <v>189</v>
      </c>
      <c r="O87" s="211">
        <v>92235353825</v>
      </c>
      <c r="P87" s="303"/>
      <c r="Q87" s="210" t="s">
        <v>475</v>
      </c>
    </row>
    <row r="88" spans="1:17" ht="15" customHeight="1">
      <c r="A88" s="302">
        <v>63</v>
      </c>
      <c r="B88" s="212">
        <v>46163</v>
      </c>
      <c r="C88" s="210" t="s">
        <v>379</v>
      </c>
      <c r="D88" s="210" t="s">
        <v>187</v>
      </c>
      <c r="E88" s="211">
        <v>8809879544071</v>
      </c>
      <c r="F88" s="210" t="s">
        <v>288</v>
      </c>
      <c r="G88" s="210" t="s">
        <v>188</v>
      </c>
      <c r="H88" s="210"/>
      <c r="I88" s="210"/>
      <c r="J88" s="210">
        <v>0</v>
      </c>
      <c r="K88" s="210"/>
      <c r="L88" s="210">
        <v>20</v>
      </c>
      <c r="M88" s="210"/>
      <c r="N88" s="210" t="s">
        <v>189</v>
      </c>
      <c r="O88" s="211">
        <v>92235353770</v>
      </c>
      <c r="P88" s="303"/>
      <c r="Q88" s="210" t="s">
        <v>475</v>
      </c>
    </row>
    <row r="89" spans="1:17" ht="15" customHeight="1">
      <c r="A89" s="302"/>
      <c r="B89" s="212">
        <v>46163</v>
      </c>
      <c r="C89" s="210" t="s">
        <v>379</v>
      </c>
      <c r="D89" s="210" t="s">
        <v>187</v>
      </c>
      <c r="E89" s="211">
        <v>8809990970018</v>
      </c>
      <c r="F89" s="210" t="s">
        <v>281</v>
      </c>
      <c r="G89" s="210" t="s">
        <v>188</v>
      </c>
      <c r="H89" s="210"/>
      <c r="I89" s="210"/>
      <c r="J89" s="210">
        <v>0</v>
      </c>
      <c r="K89" s="210"/>
      <c r="L89" s="210">
        <v>10</v>
      </c>
      <c r="M89" s="210"/>
      <c r="N89" s="210" t="s">
        <v>189</v>
      </c>
      <c r="O89" s="211">
        <v>92235353770</v>
      </c>
      <c r="P89" s="303"/>
      <c r="Q89" s="210" t="s">
        <v>475</v>
      </c>
    </row>
    <row r="90" spans="1:17" ht="15" customHeight="1">
      <c r="A90" s="302">
        <v>64</v>
      </c>
      <c r="B90" s="212">
        <v>46163</v>
      </c>
      <c r="C90" s="210" t="s">
        <v>380</v>
      </c>
      <c r="D90" s="210" t="s">
        <v>187</v>
      </c>
      <c r="E90" s="211">
        <v>8809879544071</v>
      </c>
      <c r="F90" s="210" t="s">
        <v>288</v>
      </c>
      <c r="G90" s="210" t="s">
        <v>188</v>
      </c>
      <c r="H90" s="210"/>
      <c r="I90" s="210"/>
      <c r="J90" s="210">
        <v>0</v>
      </c>
      <c r="K90" s="210"/>
      <c r="L90" s="210">
        <v>1</v>
      </c>
      <c r="M90" s="210"/>
      <c r="N90" s="210" t="s">
        <v>189</v>
      </c>
      <c r="O90" s="211">
        <v>92235330692</v>
      </c>
      <c r="P90" s="303"/>
      <c r="Q90" s="210" t="s">
        <v>475</v>
      </c>
    </row>
    <row r="91" spans="1:17" ht="15" customHeight="1">
      <c r="A91" s="302">
        <v>65</v>
      </c>
      <c r="B91" s="212">
        <v>46163</v>
      </c>
      <c r="C91" s="210" t="s">
        <v>381</v>
      </c>
      <c r="D91" s="210" t="s">
        <v>187</v>
      </c>
      <c r="E91" s="211">
        <v>8809879544071</v>
      </c>
      <c r="F91" s="210" t="s">
        <v>288</v>
      </c>
      <c r="G91" s="210" t="s">
        <v>188</v>
      </c>
      <c r="H91" s="210"/>
      <c r="I91" s="210"/>
      <c r="J91" s="210">
        <v>0</v>
      </c>
      <c r="K91" s="210"/>
      <c r="L91" s="210">
        <v>1</v>
      </c>
      <c r="M91" s="210"/>
      <c r="N91" s="210" t="s">
        <v>189</v>
      </c>
      <c r="O91" s="211">
        <v>92235330681</v>
      </c>
      <c r="P91" s="303"/>
      <c r="Q91" s="210" t="s">
        <v>475</v>
      </c>
    </row>
    <row r="92" spans="1:17" ht="15" customHeight="1">
      <c r="A92" s="302">
        <v>66</v>
      </c>
      <c r="B92" s="212">
        <v>46163</v>
      </c>
      <c r="C92" s="210" t="s">
        <v>382</v>
      </c>
      <c r="D92" s="210" t="s">
        <v>187</v>
      </c>
      <c r="E92" s="211">
        <v>8809879544071</v>
      </c>
      <c r="F92" s="210" t="s">
        <v>288</v>
      </c>
      <c r="G92" s="210" t="s">
        <v>188</v>
      </c>
      <c r="H92" s="210"/>
      <c r="I92" s="210"/>
      <c r="J92" s="210">
        <v>0</v>
      </c>
      <c r="K92" s="210"/>
      <c r="L92" s="210">
        <v>1</v>
      </c>
      <c r="M92" s="210"/>
      <c r="N92" s="210" t="s">
        <v>189</v>
      </c>
      <c r="O92" s="211">
        <v>92235330644</v>
      </c>
      <c r="P92" s="303"/>
      <c r="Q92" s="210" t="s">
        <v>475</v>
      </c>
    </row>
    <row r="93" spans="1:17" ht="15" customHeight="1">
      <c r="A93" s="302">
        <v>67</v>
      </c>
      <c r="B93" s="212">
        <v>46163</v>
      </c>
      <c r="C93" s="210" t="s">
        <v>383</v>
      </c>
      <c r="D93" s="210" t="s">
        <v>187</v>
      </c>
      <c r="E93" s="211">
        <v>8809990970018</v>
      </c>
      <c r="F93" s="210" t="s">
        <v>281</v>
      </c>
      <c r="G93" s="210" t="s">
        <v>188</v>
      </c>
      <c r="H93" s="210"/>
      <c r="I93" s="210"/>
      <c r="J93" s="210">
        <v>0</v>
      </c>
      <c r="K93" s="210"/>
      <c r="L93" s="210">
        <v>1</v>
      </c>
      <c r="M93" s="210"/>
      <c r="N93" s="210" t="s">
        <v>189</v>
      </c>
      <c r="O93" s="211">
        <v>92235330552</v>
      </c>
      <c r="P93" s="303"/>
      <c r="Q93" s="210" t="s">
        <v>475</v>
      </c>
    </row>
    <row r="94" spans="1:17" ht="15" customHeight="1">
      <c r="A94" s="302"/>
      <c r="B94" s="212">
        <v>46163</v>
      </c>
      <c r="C94" s="210" t="s">
        <v>383</v>
      </c>
      <c r="D94" s="210" t="s">
        <v>187</v>
      </c>
      <c r="E94" s="211">
        <v>8809990970018</v>
      </c>
      <c r="F94" s="210" t="s">
        <v>281</v>
      </c>
      <c r="G94" s="210" t="s">
        <v>188</v>
      </c>
      <c r="H94" s="210"/>
      <c r="I94" s="210"/>
      <c r="J94" s="210">
        <v>0</v>
      </c>
      <c r="K94" s="210"/>
      <c r="L94" s="210">
        <v>1</v>
      </c>
      <c r="M94" s="210"/>
      <c r="N94" s="210" t="s">
        <v>189</v>
      </c>
      <c r="O94" s="211">
        <v>92235330552</v>
      </c>
      <c r="P94" s="303"/>
      <c r="Q94" s="210" t="s">
        <v>475</v>
      </c>
    </row>
    <row r="95" spans="1:17" ht="15" customHeight="1">
      <c r="A95" s="302">
        <v>68</v>
      </c>
      <c r="B95" s="212">
        <v>46163</v>
      </c>
      <c r="C95" s="210" t="s">
        <v>384</v>
      </c>
      <c r="D95" s="210" t="s">
        <v>187</v>
      </c>
      <c r="E95" s="211">
        <v>8809990970018</v>
      </c>
      <c r="F95" s="210" t="s">
        <v>281</v>
      </c>
      <c r="G95" s="210" t="s">
        <v>188</v>
      </c>
      <c r="H95" s="210"/>
      <c r="I95" s="210"/>
      <c r="J95" s="210">
        <v>0</v>
      </c>
      <c r="K95" s="210"/>
      <c r="L95" s="210">
        <v>1</v>
      </c>
      <c r="M95" s="210"/>
      <c r="N95" s="210" t="s">
        <v>189</v>
      </c>
      <c r="O95" s="211">
        <v>92235330670</v>
      </c>
      <c r="P95" s="303"/>
      <c r="Q95" s="210" t="s">
        <v>475</v>
      </c>
    </row>
    <row r="96" spans="1:17" ht="15" customHeight="1">
      <c r="A96" s="302">
        <v>69</v>
      </c>
      <c r="B96" s="212">
        <v>46162</v>
      </c>
      <c r="C96" s="210" t="s">
        <v>385</v>
      </c>
      <c r="D96" s="210" t="s">
        <v>187</v>
      </c>
      <c r="E96" s="211">
        <v>8809990970018</v>
      </c>
      <c r="F96" s="210" t="s">
        <v>281</v>
      </c>
      <c r="G96" s="210" t="s">
        <v>188</v>
      </c>
      <c r="H96" s="210"/>
      <c r="I96" s="210"/>
      <c r="J96" s="210">
        <v>0</v>
      </c>
      <c r="K96" s="210"/>
      <c r="L96" s="210">
        <v>1</v>
      </c>
      <c r="M96" s="210"/>
      <c r="N96" s="210" t="s">
        <v>189</v>
      </c>
      <c r="O96" s="211">
        <v>92235312923</v>
      </c>
      <c r="P96" s="303"/>
      <c r="Q96" s="210" t="s">
        <v>475</v>
      </c>
    </row>
    <row r="97" spans="1:17" ht="15" customHeight="1">
      <c r="A97" s="302">
        <v>70</v>
      </c>
      <c r="B97" s="212">
        <v>46162</v>
      </c>
      <c r="C97" s="210" t="s">
        <v>386</v>
      </c>
      <c r="D97" s="210" t="s">
        <v>187</v>
      </c>
      <c r="E97" s="211">
        <v>8809879544071</v>
      </c>
      <c r="F97" s="210" t="s">
        <v>288</v>
      </c>
      <c r="G97" s="210" t="s">
        <v>188</v>
      </c>
      <c r="H97" s="210"/>
      <c r="I97" s="210"/>
      <c r="J97" s="210">
        <v>0</v>
      </c>
      <c r="K97" s="210"/>
      <c r="L97" s="210">
        <v>2</v>
      </c>
      <c r="M97" s="210"/>
      <c r="N97" s="210" t="s">
        <v>189</v>
      </c>
      <c r="O97" s="211">
        <v>92235312890</v>
      </c>
      <c r="P97" s="303"/>
      <c r="Q97" s="210" t="s">
        <v>475</v>
      </c>
    </row>
    <row r="98" spans="1:17" ht="15" customHeight="1">
      <c r="A98" s="302"/>
      <c r="B98" s="212">
        <v>46162</v>
      </c>
      <c r="C98" s="210" t="s">
        <v>386</v>
      </c>
      <c r="D98" s="210" t="s">
        <v>187</v>
      </c>
      <c r="E98" s="211">
        <v>8809879544071</v>
      </c>
      <c r="F98" s="210" t="s">
        <v>288</v>
      </c>
      <c r="G98" s="210" t="s">
        <v>188</v>
      </c>
      <c r="H98" s="210"/>
      <c r="I98" s="210"/>
      <c r="J98" s="210">
        <v>0</v>
      </c>
      <c r="K98" s="210"/>
      <c r="L98" s="210">
        <v>1</v>
      </c>
      <c r="M98" s="210"/>
      <c r="N98" s="210" t="s">
        <v>189</v>
      </c>
      <c r="O98" s="211">
        <v>92235312890</v>
      </c>
      <c r="P98" s="303"/>
      <c r="Q98" s="210" t="s">
        <v>475</v>
      </c>
    </row>
    <row r="99" spans="1:17" ht="15" customHeight="1">
      <c r="A99" s="302">
        <v>71</v>
      </c>
      <c r="B99" s="212">
        <v>46162</v>
      </c>
      <c r="C99" s="210" t="s">
        <v>387</v>
      </c>
      <c r="D99" s="210" t="s">
        <v>187</v>
      </c>
      <c r="E99" s="211">
        <v>8809879544071</v>
      </c>
      <c r="F99" s="210" t="s">
        <v>288</v>
      </c>
      <c r="G99" s="210" t="s">
        <v>188</v>
      </c>
      <c r="H99" s="210"/>
      <c r="I99" s="210"/>
      <c r="J99" s="210">
        <v>0</v>
      </c>
      <c r="K99" s="210"/>
      <c r="L99" s="210">
        <v>1</v>
      </c>
      <c r="M99" s="210"/>
      <c r="N99" s="210" t="s">
        <v>189</v>
      </c>
      <c r="O99" s="211">
        <v>92235298190</v>
      </c>
      <c r="P99" s="303"/>
      <c r="Q99" s="210" t="s">
        <v>475</v>
      </c>
    </row>
    <row r="100" spans="1:17" ht="15" customHeight="1">
      <c r="A100" s="302">
        <v>72</v>
      </c>
      <c r="B100" s="212">
        <v>46162</v>
      </c>
      <c r="C100" s="210" t="s">
        <v>388</v>
      </c>
      <c r="D100" s="210" t="s">
        <v>187</v>
      </c>
      <c r="E100" s="211">
        <v>8809879544071</v>
      </c>
      <c r="F100" s="210" t="s">
        <v>288</v>
      </c>
      <c r="G100" s="210" t="s">
        <v>188</v>
      </c>
      <c r="H100" s="210"/>
      <c r="I100" s="210"/>
      <c r="J100" s="210">
        <v>0</v>
      </c>
      <c r="K100" s="210"/>
      <c r="L100" s="210">
        <v>1</v>
      </c>
      <c r="M100" s="210"/>
      <c r="N100" s="210" t="s">
        <v>189</v>
      </c>
      <c r="O100" s="211">
        <v>92235298153</v>
      </c>
      <c r="P100" s="303"/>
      <c r="Q100" s="210" t="s">
        <v>475</v>
      </c>
    </row>
    <row r="101" spans="1:17" ht="15" customHeight="1">
      <c r="A101" s="302">
        <v>73</v>
      </c>
      <c r="B101" s="212">
        <v>46162</v>
      </c>
      <c r="C101" s="210" t="s">
        <v>389</v>
      </c>
      <c r="D101" s="210" t="s">
        <v>187</v>
      </c>
      <c r="E101" s="211">
        <v>8809879544255</v>
      </c>
      <c r="F101" s="210" t="s">
        <v>290</v>
      </c>
      <c r="G101" s="210" t="s">
        <v>188</v>
      </c>
      <c r="H101" s="210"/>
      <c r="I101" s="210"/>
      <c r="J101" s="210">
        <v>0</v>
      </c>
      <c r="K101" s="210"/>
      <c r="L101" s="210">
        <v>2</v>
      </c>
      <c r="M101" s="210"/>
      <c r="N101" s="210" t="s">
        <v>189</v>
      </c>
      <c r="O101" s="211">
        <v>92235298094</v>
      </c>
      <c r="P101" s="303"/>
      <c r="Q101" s="210" t="s">
        <v>475</v>
      </c>
    </row>
    <row r="102" spans="1:17" ht="15" customHeight="1">
      <c r="A102" s="302"/>
      <c r="B102" s="212">
        <v>46162</v>
      </c>
      <c r="C102" s="210" t="s">
        <v>389</v>
      </c>
      <c r="D102" s="210" t="s">
        <v>187</v>
      </c>
      <c r="E102" s="211">
        <v>8809990970018</v>
      </c>
      <c r="F102" s="210" t="s">
        <v>281</v>
      </c>
      <c r="G102" s="210" t="s">
        <v>188</v>
      </c>
      <c r="H102" s="210"/>
      <c r="I102" s="210"/>
      <c r="J102" s="210">
        <v>0</v>
      </c>
      <c r="K102" s="210"/>
      <c r="L102" s="210">
        <v>1</v>
      </c>
      <c r="M102" s="210"/>
      <c r="N102" s="210" t="s">
        <v>189</v>
      </c>
      <c r="O102" s="211">
        <v>92235298094</v>
      </c>
      <c r="P102" s="303"/>
      <c r="Q102" s="210" t="s">
        <v>475</v>
      </c>
    </row>
    <row r="103" spans="1:17" ht="15" customHeight="1">
      <c r="A103" s="302">
        <v>74</v>
      </c>
      <c r="B103" s="212">
        <v>46161</v>
      </c>
      <c r="C103" s="210" t="s">
        <v>390</v>
      </c>
      <c r="D103" s="210" t="s">
        <v>187</v>
      </c>
      <c r="E103" s="211">
        <v>8809879544071</v>
      </c>
      <c r="F103" s="210" t="s">
        <v>288</v>
      </c>
      <c r="G103" s="210" t="s">
        <v>188</v>
      </c>
      <c r="H103" s="210"/>
      <c r="I103" s="210"/>
      <c r="J103" s="210">
        <v>0</v>
      </c>
      <c r="K103" s="210"/>
      <c r="L103" s="210">
        <v>11</v>
      </c>
      <c r="M103" s="210"/>
      <c r="N103" s="210" t="s">
        <v>189</v>
      </c>
      <c r="O103" s="211">
        <v>92235276501</v>
      </c>
      <c r="P103" s="303"/>
      <c r="Q103" s="210" t="s">
        <v>475</v>
      </c>
    </row>
    <row r="104" spans="1:17" ht="15" customHeight="1">
      <c r="A104" s="302">
        <v>75</v>
      </c>
      <c r="B104" s="212">
        <v>46161</v>
      </c>
      <c r="C104" s="210" t="s">
        <v>391</v>
      </c>
      <c r="D104" s="210" t="s">
        <v>187</v>
      </c>
      <c r="E104" s="211">
        <v>8809879544071</v>
      </c>
      <c r="F104" s="210" t="s">
        <v>288</v>
      </c>
      <c r="G104" s="210" t="s">
        <v>188</v>
      </c>
      <c r="H104" s="210"/>
      <c r="I104" s="210"/>
      <c r="J104" s="210">
        <v>0</v>
      </c>
      <c r="K104" s="210"/>
      <c r="L104" s="210">
        <v>3</v>
      </c>
      <c r="M104" s="210"/>
      <c r="N104" s="210" t="s">
        <v>189</v>
      </c>
      <c r="O104" s="211">
        <v>92235276512</v>
      </c>
      <c r="P104" s="303"/>
      <c r="Q104" s="210" t="s">
        <v>475</v>
      </c>
    </row>
    <row r="105" spans="1:17" ht="15" customHeight="1">
      <c r="A105" s="302">
        <v>76</v>
      </c>
      <c r="B105" s="212">
        <v>46161</v>
      </c>
      <c r="C105" s="210" t="s">
        <v>392</v>
      </c>
      <c r="D105" s="210" t="s">
        <v>187</v>
      </c>
      <c r="E105" s="211">
        <v>8809879544071</v>
      </c>
      <c r="F105" s="210" t="s">
        <v>288</v>
      </c>
      <c r="G105" s="210" t="s">
        <v>188</v>
      </c>
      <c r="H105" s="210"/>
      <c r="I105" s="210"/>
      <c r="J105" s="210">
        <v>0</v>
      </c>
      <c r="K105" s="210"/>
      <c r="L105" s="210">
        <v>1</v>
      </c>
      <c r="M105" s="210"/>
      <c r="N105" s="210" t="s">
        <v>189</v>
      </c>
      <c r="O105" s="211">
        <v>92235243111</v>
      </c>
      <c r="P105" s="303"/>
      <c r="Q105" s="210" t="s">
        <v>475</v>
      </c>
    </row>
    <row r="106" spans="1:17" ht="15" customHeight="1">
      <c r="A106" s="302">
        <v>77</v>
      </c>
      <c r="B106" s="212">
        <v>46160</v>
      </c>
      <c r="C106" s="210" t="s">
        <v>393</v>
      </c>
      <c r="D106" s="210" t="s">
        <v>187</v>
      </c>
      <c r="E106" s="211">
        <v>8809990970025</v>
      </c>
      <c r="F106" s="210" t="s">
        <v>394</v>
      </c>
      <c r="G106" s="210" t="s">
        <v>188</v>
      </c>
      <c r="H106" s="210"/>
      <c r="I106" s="210"/>
      <c r="J106" s="210">
        <v>0</v>
      </c>
      <c r="K106" s="210"/>
      <c r="L106" s="210">
        <v>32</v>
      </c>
      <c r="M106" s="210"/>
      <c r="N106" s="210" t="s">
        <v>189</v>
      </c>
      <c r="O106" s="211">
        <v>92235225865</v>
      </c>
      <c r="P106" s="303"/>
      <c r="Q106" s="210" t="s">
        <v>476</v>
      </c>
    </row>
    <row r="107" spans="1:17" ht="15" customHeight="1">
      <c r="A107" s="302">
        <v>78</v>
      </c>
      <c r="B107" s="212">
        <v>46160</v>
      </c>
      <c r="C107" s="210" t="s">
        <v>395</v>
      </c>
      <c r="D107" s="210" t="s">
        <v>187</v>
      </c>
      <c r="E107" s="211">
        <v>8809990970018</v>
      </c>
      <c r="F107" s="210" t="s">
        <v>281</v>
      </c>
      <c r="G107" s="210" t="s">
        <v>188</v>
      </c>
      <c r="H107" s="210"/>
      <c r="I107" s="210"/>
      <c r="J107" s="210">
        <v>0</v>
      </c>
      <c r="K107" s="210"/>
      <c r="L107" s="210">
        <v>1</v>
      </c>
      <c r="M107" s="210"/>
      <c r="N107" s="210" t="s">
        <v>189</v>
      </c>
      <c r="O107" s="211">
        <v>92235225935</v>
      </c>
      <c r="P107" s="303"/>
      <c r="Q107" s="210" t="s">
        <v>475</v>
      </c>
    </row>
    <row r="108" spans="1:17" ht="15" customHeight="1">
      <c r="A108" s="302">
        <v>79</v>
      </c>
      <c r="B108" s="212">
        <v>46160</v>
      </c>
      <c r="C108" s="210" t="s">
        <v>396</v>
      </c>
      <c r="D108" s="210" t="s">
        <v>187</v>
      </c>
      <c r="E108" s="211">
        <v>8809879544255</v>
      </c>
      <c r="F108" s="210" t="s">
        <v>290</v>
      </c>
      <c r="G108" s="210" t="s">
        <v>188</v>
      </c>
      <c r="H108" s="210"/>
      <c r="I108" s="210"/>
      <c r="J108" s="210">
        <v>0</v>
      </c>
      <c r="K108" s="210"/>
      <c r="L108" s="210">
        <v>1</v>
      </c>
      <c r="M108" s="210"/>
      <c r="N108" s="210" t="s">
        <v>189</v>
      </c>
      <c r="O108" s="211">
        <v>92235225832</v>
      </c>
      <c r="P108" s="303"/>
      <c r="Q108" s="210" t="s">
        <v>475</v>
      </c>
    </row>
    <row r="109" spans="1:17" ht="15" customHeight="1">
      <c r="A109" s="302"/>
      <c r="B109" s="212">
        <v>46160</v>
      </c>
      <c r="C109" s="210" t="s">
        <v>396</v>
      </c>
      <c r="D109" s="210" t="s">
        <v>187</v>
      </c>
      <c r="E109" s="211">
        <v>8809990970025</v>
      </c>
      <c r="F109" s="210" t="s">
        <v>394</v>
      </c>
      <c r="G109" s="210" t="s">
        <v>188</v>
      </c>
      <c r="H109" s="210"/>
      <c r="I109" s="210"/>
      <c r="J109" s="210">
        <v>0</v>
      </c>
      <c r="K109" s="210"/>
      <c r="L109" s="210">
        <v>1</v>
      </c>
      <c r="M109" s="210"/>
      <c r="N109" s="210" t="s">
        <v>189</v>
      </c>
      <c r="O109" s="211">
        <v>92235225832</v>
      </c>
      <c r="P109" s="303"/>
      <c r="Q109" s="210" t="s">
        <v>475</v>
      </c>
    </row>
    <row r="110" spans="1:17" ht="15" customHeight="1">
      <c r="A110" s="302">
        <v>80</v>
      </c>
      <c r="B110" s="212">
        <v>46160</v>
      </c>
      <c r="C110" s="210" t="s">
        <v>396</v>
      </c>
      <c r="D110" s="210" t="s">
        <v>187</v>
      </c>
      <c r="E110" s="211">
        <v>8809990970018</v>
      </c>
      <c r="F110" s="210" t="s">
        <v>281</v>
      </c>
      <c r="G110" s="210" t="s">
        <v>188</v>
      </c>
      <c r="H110" s="210"/>
      <c r="I110" s="210"/>
      <c r="J110" s="210">
        <v>0</v>
      </c>
      <c r="K110" s="210"/>
      <c r="L110" s="210">
        <v>1</v>
      </c>
      <c r="M110" s="210"/>
      <c r="N110" s="210" t="s">
        <v>189</v>
      </c>
      <c r="O110" s="211">
        <v>92235225832</v>
      </c>
      <c r="P110" s="303"/>
      <c r="Q110" s="210" t="s">
        <v>475</v>
      </c>
    </row>
    <row r="111" spans="1:17" ht="15" customHeight="1">
      <c r="A111" s="302"/>
      <c r="B111" s="212">
        <v>46160</v>
      </c>
      <c r="C111" s="210" t="s">
        <v>397</v>
      </c>
      <c r="D111" s="210" t="s">
        <v>187</v>
      </c>
      <c r="E111" s="211">
        <v>8809879544255</v>
      </c>
      <c r="F111" s="210" t="s">
        <v>290</v>
      </c>
      <c r="G111" s="210" t="s">
        <v>188</v>
      </c>
      <c r="H111" s="210"/>
      <c r="I111" s="210"/>
      <c r="J111" s="210">
        <v>0</v>
      </c>
      <c r="K111" s="210"/>
      <c r="L111" s="210">
        <v>1</v>
      </c>
      <c r="M111" s="210"/>
      <c r="N111" s="210" t="s">
        <v>189</v>
      </c>
      <c r="O111" s="211">
        <v>92235147314</v>
      </c>
      <c r="P111" s="303"/>
      <c r="Q111" s="210" t="s">
        <v>475</v>
      </c>
    </row>
    <row r="112" spans="1:17" ht="15" customHeight="1">
      <c r="A112" s="302">
        <v>81</v>
      </c>
      <c r="B112" s="212">
        <v>46160</v>
      </c>
      <c r="C112" s="210" t="s">
        <v>397</v>
      </c>
      <c r="D112" s="210" t="s">
        <v>187</v>
      </c>
      <c r="E112" s="211">
        <v>8809990970018</v>
      </c>
      <c r="F112" s="210" t="s">
        <v>281</v>
      </c>
      <c r="G112" s="210" t="s">
        <v>188</v>
      </c>
      <c r="H112" s="210"/>
      <c r="I112" s="210"/>
      <c r="J112" s="210">
        <v>0</v>
      </c>
      <c r="K112" s="210"/>
      <c r="L112" s="210">
        <v>1</v>
      </c>
      <c r="M112" s="210"/>
      <c r="N112" s="210" t="s">
        <v>189</v>
      </c>
      <c r="O112" s="211">
        <v>92235147314</v>
      </c>
      <c r="P112" s="303"/>
      <c r="Q112" s="210" t="s">
        <v>475</v>
      </c>
    </row>
    <row r="113" spans="1:17" ht="15" customHeight="1">
      <c r="A113" s="302"/>
      <c r="B113" s="212">
        <v>46160</v>
      </c>
      <c r="C113" s="210" t="s">
        <v>398</v>
      </c>
      <c r="D113" s="210" t="s">
        <v>187</v>
      </c>
      <c r="E113" s="211">
        <v>8809879544071</v>
      </c>
      <c r="F113" s="210" t="s">
        <v>288</v>
      </c>
      <c r="G113" s="210" t="s">
        <v>188</v>
      </c>
      <c r="H113" s="210"/>
      <c r="I113" s="210"/>
      <c r="J113" s="210">
        <v>0</v>
      </c>
      <c r="K113" s="210"/>
      <c r="L113" s="210">
        <v>2</v>
      </c>
      <c r="M113" s="210"/>
      <c r="N113" s="210" t="s">
        <v>189</v>
      </c>
      <c r="O113" s="211">
        <v>92235147222</v>
      </c>
      <c r="P113" s="303"/>
      <c r="Q113" s="210" t="s">
        <v>475</v>
      </c>
    </row>
    <row r="114" spans="1:17" ht="15" customHeight="1">
      <c r="A114" s="302">
        <v>82</v>
      </c>
      <c r="B114" s="212">
        <v>46160</v>
      </c>
      <c r="C114" s="210" t="s">
        <v>398</v>
      </c>
      <c r="D114" s="210" t="s">
        <v>187</v>
      </c>
      <c r="E114" s="211">
        <v>8809990970018</v>
      </c>
      <c r="F114" s="210" t="s">
        <v>281</v>
      </c>
      <c r="G114" s="210" t="s">
        <v>188</v>
      </c>
      <c r="H114" s="210"/>
      <c r="I114" s="210"/>
      <c r="J114" s="210">
        <v>0</v>
      </c>
      <c r="K114" s="210"/>
      <c r="L114" s="210">
        <v>2</v>
      </c>
      <c r="M114" s="210"/>
      <c r="N114" s="210" t="s">
        <v>189</v>
      </c>
      <c r="O114" s="211">
        <v>92235147222</v>
      </c>
      <c r="P114" s="303"/>
      <c r="Q114" s="210" t="s">
        <v>475</v>
      </c>
    </row>
    <row r="115" spans="1:17" ht="15" customHeight="1">
      <c r="A115" s="302"/>
      <c r="B115" s="212">
        <v>46160</v>
      </c>
      <c r="C115" s="210" t="s">
        <v>398</v>
      </c>
      <c r="D115" s="210" t="s">
        <v>187</v>
      </c>
      <c r="E115" s="211">
        <v>8809879544071</v>
      </c>
      <c r="F115" s="210" t="s">
        <v>288</v>
      </c>
      <c r="G115" s="210" t="s">
        <v>188</v>
      </c>
      <c r="H115" s="210"/>
      <c r="I115" s="210"/>
      <c r="J115" s="210">
        <v>0</v>
      </c>
      <c r="K115" s="210"/>
      <c r="L115" s="210">
        <v>1</v>
      </c>
      <c r="M115" s="210"/>
      <c r="N115" s="210" t="s">
        <v>189</v>
      </c>
      <c r="O115" s="211">
        <v>92235147222</v>
      </c>
      <c r="P115" s="303"/>
      <c r="Q115" s="210" t="s">
        <v>475</v>
      </c>
    </row>
    <row r="116" spans="1:17" ht="15" customHeight="1">
      <c r="A116" s="302">
        <v>83</v>
      </c>
      <c r="B116" s="212">
        <v>46160</v>
      </c>
      <c r="C116" s="210" t="s">
        <v>399</v>
      </c>
      <c r="D116" s="210" t="s">
        <v>187</v>
      </c>
      <c r="E116" s="211">
        <v>8809990970018</v>
      </c>
      <c r="F116" s="210" t="s">
        <v>281</v>
      </c>
      <c r="G116" s="210" t="s">
        <v>188</v>
      </c>
      <c r="H116" s="210"/>
      <c r="I116" s="210"/>
      <c r="J116" s="210">
        <v>0</v>
      </c>
      <c r="K116" s="210"/>
      <c r="L116" s="210">
        <v>1</v>
      </c>
      <c r="M116" s="210"/>
      <c r="N116" s="210" t="s">
        <v>189</v>
      </c>
      <c r="O116" s="211">
        <v>92235147572</v>
      </c>
      <c r="P116" s="303"/>
      <c r="Q116" s="210" t="s">
        <v>475</v>
      </c>
    </row>
    <row r="117" spans="1:17" ht="15" customHeight="1">
      <c r="A117" s="302">
        <v>84</v>
      </c>
      <c r="B117" s="212">
        <v>46160</v>
      </c>
      <c r="C117" s="210" t="s">
        <v>400</v>
      </c>
      <c r="D117" s="210" t="s">
        <v>187</v>
      </c>
      <c r="E117" s="211">
        <v>8809879544071</v>
      </c>
      <c r="F117" s="210" t="s">
        <v>288</v>
      </c>
      <c r="G117" s="210" t="s">
        <v>188</v>
      </c>
      <c r="H117" s="210"/>
      <c r="I117" s="210"/>
      <c r="J117" s="210">
        <v>0</v>
      </c>
      <c r="K117" s="210"/>
      <c r="L117" s="210">
        <v>1</v>
      </c>
      <c r="M117" s="210"/>
      <c r="N117" s="210" t="s">
        <v>189</v>
      </c>
      <c r="O117" s="211">
        <v>92235147793</v>
      </c>
      <c r="P117" s="303"/>
      <c r="Q117" s="210" t="s">
        <v>475</v>
      </c>
    </row>
    <row r="118" spans="1:17" ht="15" customHeight="1">
      <c r="A118" s="302">
        <v>85</v>
      </c>
      <c r="B118" s="212">
        <v>46160</v>
      </c>
      <c r="C118" s="210" t="s">
        <v>401</v>
      </c>
      <c r="D118" s="210" t="s">
        <v>187</v>
      </c>
      <c r="E118" s="211">
        <v>8809879544071</v>
      </c>
      <c r="F118" s="210" t="s">
        <v>288</v>
      </c>
      <c r="G118" s="210" t="s">
        <v>188</v>
      </c>
      <c r="H118" s="210"/>
      <c r="I118" s="210"/>
      <c r="J118" s="210">
        <v>0</v>
      </c>
      <c r="K118" s="210"/>
      <c r="L118" s="210">
        <v>1</v>
      </c>
      <c r="M118" s="210"/>
      <c r="N118" s="210" t="s">
        <v>189</v>
      </c>
      <c r="O118" s="211">
        <v>92235147782</v>
      </c>
      <c r="P118" s="303"/>
      <c r="Q118" s="210" t="s">
        <v>475</v>
      </c>
    </row>
    <row r="119" spans="1:17" ht="15" customHeight="1">
      <c r="A119" s="302">
        <v>86</v>
      </c>
      <c r="B119" s="212">
        <v>46160</v>
      </c>
      <c r="C119" s="210" t="s">
        <v>402</v>
      </c>
      <c r="D119" s="210" t="s">
        <v>187</v>
      </c>
      <c r="E119" s="211">
        <v>8809879544071</v>
      </c>
      <c r="F119" s="210" t="s">
        <v>288</v>
      </c>
      <c r="G119" s="210" t="s">
        <v>188</v>
      </c>
      <c r="H119" s="210"/>
      <c r="I119" s="210"/>
      <c r="J119" s="210">
        <v>0</v>
      </c>
      <c r="K119" s="210"/>
      <c r="L119" s="210">
        <v>1</v>
      </c>
      <c r="M119" s="210"/>
      <c r="N119" s="210" t="s">
        <v>189</v>
      </c>
      <c r="O119" s="211">
        <v>92235147675</v>
      </c>
      <c r="P119" s="303"/>
      <c r="Q119" s="210" t="s">
        <v>475</v>
      </c>
    </row>
    <row r="120" spans="1:17" ht="15" customHeight="1">
      <c r="A120" s="302">
        <v>87</v>
      </c>
      <c r="B120" s="212">
        <v>46160</v>
      </c>
      <c r="C120" s="210" t="s">
        <v>403</v>
      </c>
      <c r="D120" s="210" t="s">
        <v>187</v>
      </c>
      <c r="E120" s="211">
        <v>8809879544071</v>
      </c>
      <c r="F120" s="210" t="s">
        <v>288</v>
      </c>
      <c r="G120" s="210" t="s">
        <v>188</v>
      </c>
      <c r="H120" s="210"/>
      <c r="I120" s="210"/>
      <c r="J120" s="210">
        <v>0</v>
      </c>
      <c r="K120" s="210"/>
      <c r="L120" s="210">
        <v>1</v>
      </c>
      <c r="M120" s="210"/>
      <c r="N120" s="210" t="s">
        <v>189</v>
      </c>
      <c r="O120" s="211">
        <v>92235147550</v>
      </c>
      <c r="P120" s="303"/>
      <c r="Q120" s="210" t="s">
        <v>475</v>
      </c>
    </row>
    <row r="121" spans="1:17" ht="15" customHeight="1">
      <c r="A121" s="302">
        <v>88</v>
      </c>
      <c r="B121" s="212">
        <v>46160</v>
      </c>
      <c r="C121" s="210" t="s">
        <v>404</v>
      </c>
      <c r="D121" s="210" t="s">
        <v>187</v>
      </c>
      <c r="E121" s="211">
        <v>8809879544071</v>
      </c>
      <c r="F121" s="210" t="s">
        <v>288</v>
      </c>
      <c r="G121" s="210" t="s">
        <v>188</v>
      </c>
      <c r="H121" s="210"/>
      <c r="I121" s="210"/>
      <c r="J121" s="210">
        <v>0</v>
      </c>
      <c r="K121" s="210"/>
      <c r="L121" s="210">
        <v>1</v>
      </c>
      <c r="M121" s="210"/>
      <c r="N121" s="210" t="s">
        <v>189</v>
      </c>
      <c r="O121" s="211">
        <v>92235147454</v>
      </c>
      <c r="P121" s="303"/>
      <c r="Q121" s="210" t="s">
        <v>475</v>
      </c>
    </row>
    <row r="122" spans="1:17" ht="15" customHeight="1">
      <c r="A122" s="302">
        <v>89</v>
      </c>
      <c r="B122" s="212">
        <v>46160</v>
      </c>
      <c r="C122" s="210" t="s">
        <v>405</v>
      </c>
      <c r="D122" s="210" t="s">
        <v>187</v>
      </c>
      <c r="E122" s="211">
        <v>8809879544071</v>
      </c>
      <c r="F122" s="210" t="s">
        <v>288</v>
      </c>
      <c r="G122" s="210" t="s">
        <v>188</v>
      </c>
      <c r="H122" s="210"/>
      <c r="I122" s="210"/>
      <c r="J122" s="210">
        <v>0</v>
      </c>
      <c r="K122" s="210"/>
      <c r="L122" s="210">
        <v>5</v>
      </c>
      <c r="M122" s="210"/>
      <c r="N122" s="210" t="s">
        <v>189</v>
      </c>
      <c r="O122" s="211">
        <v>92235147034</v>
      </c>
      <c r="P122" s="303"/>
      <c r="Q122" s="210" t="s">
        <v>475</v>
      </c>
    </row>
    <row r="123" spans="1:17" ht="15" customHeight="1">
      <c r="A123" s="302"/>
      <c r="B123" s="212">
        <v>46160</v>
      </c>
      <c r="C123" s="210" t="s">
        <v>405</v>
      </c>
      <c r="D123" s="210" t="s">
        <v>187</v>
      </c>
      <c r="E123" s="211">
        <v>8809879544071</v>
      </c>
      <c r="F123" s="210" t="s">
        <v>288</v>
      </c>
      <c r="G123" s="210" t="s">
        <v>188</v>
      </c>
      <c r="H123" s="210"/>
      <c r="I123" s="210"/>
      <c r="J123" s="210">
        <v>0</v>
      </c>
      <c r="K123" s="210"/>
      <c r="L123" s="210">
        <v>1</v>
      </c>
      <c r="M123" s="210"/>
      <c r="N123" s="210" t="s">
        <v>189</v>
      </c>
      <c r="O123" s="211">
        <v>92235147034</v>
      </c>
      <c r="P123" s="303"/>
      <c r="Q123" s="210" t="s">
        <v>475</v>
      </c>
    </row>
    <row r="124" spans="1:17" ht="15" customHeight="1">
      <c r="A124" s="302">
        <v>90</v>
      </c>
      <c r="B124" s="212">
        <v>46157</v>
      </c>
      <c r="C124" s="210" t="s">
        <v>406</v>
      </c>
      <c r="D124" s="210" t="s">
        <v>187</v>
      </c>
      <c r="E124" s="211">
        <v>8809990970018</v>
      </c>
      <c r="F124" s="210" t="s">
        <v>281</v>
      </c>
      <c r="G124" s="210" t="s">
        <v>188</v>
      </c>
      <c r="H124" s="210"/>
      <c r="I124" s="210"/>
      <c r="J124" s="210">
        <v>0</v>
      </c>
      <c r="K124" s="210"/>
      <c r="L124" s="210">
        <v>1</v>
      </c>
      <c r="M124" s="210"/>
      <c r="N124" s="210" t="s">
        <v>189</v>
      </c>
      <c r="O124" s="211">
        <v>92235116245</v>
      </c>
      <c r="P124" s="303"/>
      <c r="Q124" s="210" t="s">
        <v>475</v>
      </c>
    </row>
    <row r="125" spans="1:17" ht="15" customHeight="1">
      <c r="A125" s="302">
        <v>91</v>
      </c>
      <c r="B125" s="212">
        <v>46157</v>
      </c>
      <c r="C125" s="210" t="s">
        <v>407</v>
      </c>
      <c r="D125" s="210" t="s">
        <v>187</v>
      </c>
      <c r="E125" s="211">
        <v>8809879544071</v>
      </c>
      <c r="F125" s="210" t="s">
        <v>288</v>
      </c>
      <c r="G125" s="210" t="s">
        <v>188</v>
      </c>
      <c r="H125" s="210"/>
      <c r="I125" s="210"/>
      <c r="J125" s="210">
        <v>0</v>
      </c>
      <c r="K125" s="210"/>
      <c r="L125" s="210">
        <v>1</v>
      </c>
      <c r="M125" s="210"/>
      <c r="N125" s="210" t="s">
        <v>189</v>
      </c>
      <c r="O125" s="211">
        <v>92235116234</v>
      </c>
      <c r="P125" s="303"/>
      <c r="Q125" s="210" t="s">
        <v>475</v>
      </c>
    </row>
    <row r="126" spans="1:17" ht="15" customHeight="1">
      <c r="A126" s="302">
        <v>92</v>
      </c>
      <c r="B126" s="212">
        <v>46157</v>
      </c>
      <c r="C126" s="210" t="s">
        <v>408</v>
      </c>
      <c r="D126" s="210" t="s">
        <v>187</v>
      </c>
      <c r="E126" s="211">
        <v>8809879544071</v>
      </c>
      <c r="F126" s="210" t="s">
        <v>288</v>
      </c>
      <c r="G126" s="210" t="s">
        <v>188</v>
      </c>
      <c r="H126" s="210"/>
      <c r="I126" s="210"/>
      <c r="J126" s="210">
        <v>0</v>
      </c>
      <c r="K126" s="210"/>
      <c r="L126" s="210">
        <v>1</v>
      </c>
      <c r="M126" s="210"/>
      <c r="N126" s="210" t="s">
        <v>189</v>
      </c>
      <c r="O126" s="211">
        <v>92235116223</v>
      </c>
      <c r="P126" s="303"/>
      <c r="Q126" s="210" t="s">
        <v>475</v>
      </c>
    </row>
    <row r="127" spans="1:17" ht="15" customHeight="1">
      <c r="A127" s="302"/>
      <c r="B127" s="212">
        <v>46157</v>
      </c>
      <c r="C127" s="210" t="s">
        <v>409</v>
      </c>
      <c r="D127" s="210" t="s">
        <v>187</v>
      </c>
      <c r="E127" s="211">
        <v>8809990970018</v>
      </c>
      <c r="F127" s="210" t="s">
        <v>281</v>
      </c>
      <c r="G127" s="210" t="s">
        <v>188</v>
      </c>
      <c r="H127" s="210"/>
      <c r="I127" s="210"/>
      <c r="J127" s="210">
        <v>4400</v>
      </c>
      <c r="K127" s="210"/>
      <c r="L127" s="210">
        <v>0</v>
      </c>
      <c r="M127" s="210"/>
      <c r="N127" s="304" t="s">
        <v>16</v>
      </c>
      <c r="O127" s="211"/>
      <c r="P127" s="303"/>
      <c r="Q127" s="210"/>
    </row>
    <row r="128" spans="1:17" ht="15" customHeight="1">
      <c r="A128" s="302"/>
      <c r="B128" s="212">
        <v>46157</v>
      </c>
      <c r="C128" s="210" t="s">
        <v>410</v>
      </c>
      <c r="D128" s="210" t="s">
        <v>187</v>
      </c>
      <c r="E128" s="211">
        <v>8809990970025</v>
      </c>
      <c r="F128" s="210" t="s">
        <v>394</v>
      </c>
      <c r="G128" s="210" t="s">
        <v>188</v>
      </c>
      <c r="H128" s="210"/>
      <c r="I128" s="210"/>
      <c r="J128" s="210">
        <v>500</v>
      </c>
      <c r="K128" s="210"/>
      <c r="L128" s="210">
        <v>0</v>
      </c>
      <c r="M128" s="210"/>
      <c r="N128" s="304" t="s">
        <v>16</v>
      </c>
      <c r="O128" s="211"/>
      <c r="P128" s="303"/>
      <c r="Q128" s="210"/>
    </row>
    <row r="129" spans="1:17" ht="15" customHeight="1">
      <c r="A129" s="302">
        <v>93</v>
      </c>
      <c r="B129" s="212">
        <v>46157</v>
      </c>
      <c r="C129" s="210" t="s">
        <v>411</v>
      </c>
      <c r="D129" s="210" t="s">
        <v>187</v>
      </c>
      <c r="E129" s="211">
        <v>8809879544071</v>
      </c>
      <c r="F129" s="210" t="s">
        <v>288</v>
      </c>
      <c r="G129" s="210" t="s">
        <v>188</v>
      </c>
      <c r="H129" s="210"/>
      <c r="I129" s="210"/>
      <c r="J129" s="210">
        <v>0</v>
      </c>
      <c r="K129" s="210"/>
      <c r="L129" s="210">
        <v>1</v>
      </c>
      <c r="M129" s="210"/>
      <c r="N129" s="210" t="s">
        <v>189</v>
      </c>
      <c r="O129" s="211">
        <v>92235090080</v>
      </c>
      <c r="P129" s="303"/>
      <c r="Q129" s="210" t="s">
        <v>475</v>
      </c>
    </row>
    <row r="130" spans="1:17" ht="15" customHeight="1">
      <c r="A130" s="302">
        <v>94</v>
      </c>
      <c r="B130" s="212">
        <v>46157</v>
      </c>
      <c r="C130" s="210" t="s">
        <v>412</v>
      </c>
      <c r="D130" s="210" t="s">
        <v>187</v>
      </c>
      <c r="E130" s="211">
        <v>8809990970018</v>
      </c>
      <c r="F130" s="210" t="s">
        <v>281</v>
      </c>
      <c r="G130" s="210" t="s">
        <v>188</v>
      </c>
      <c r="H130" s="210"/>
      <c r="I130" s="210"/>
      <c r="J130" s="210">
        <v>0</v>
      </c>
      <c r="K130" s="210"/>
      <c r="L130" s="210">
        <v>1</v>
      </c>
      <c r="M130" s="210"/>
      <c r="N130" s="210" t="s">
        <v>189</v>
      </c>
      <c r="O130" s="211">
        <v>92235090102</v>
      </c>
      <c r="P130" s="303"/>
      <c r="Q130" s="210" t="s">
        <v>475</v>
      </c>
    </row>
    <row r="131" spans="1:17" ht="15" customHeight="1">
      <c r="A131" s="302">
        <v>95</v>
      </c>
      <c r="B131" s="212">
        <v>46156</v>
      </c>
      <c r="C131" s="210" t="s">
        <v>413</v>
      </c>
      <c r="D131" s="210" t="s">
        <v>187</v>
      </c>
      <c r="E131" s="211">
        <v>8809879544071</v>
      </c>
      <c r="F131" s="210" t="s">
        <v>288</v>
      </c>
      <c r="G131" s="210" t="s">
        <v>188</v>
      </c>
      <c r="H131" s="210"/>
      <c r="I131" s="210"/>
      <c r="J131" s="210">
        <v>0</v>
      </c>
      <c r="K131" s="210"/>
      <c r="L131" s="210">
        <v>8</v>
      </c>
      <c r="M131" s="210"/>
      <c r="N131" s="210" t="s">
        <v>189</v>
      </c>
      <c r="O131" s="211">
        <v>92235077001</v>
      </c>
      <c r="P131" s="303"/>
      <c r="Q131" s="210" t="s">
        <v>475</v>
      </c>
    </row>
    <row r="132" spans="1:17" ht="15" customHeight="1">
      <c r="A132" s="302">
        <v>96</v>
      </c>
      <c r="B132" s="212">
        <v>46156</v>
      </c>
      <c r="C132" s="210" t="s">
        <v>414</v>
      </c>
      <c r="D132" s="210" t="s">
        <v>187</v>
      </c>
      <c r="E132" s="211">
        <v>8809990970018</v>
      </c>
      <c r="F132" s="210" t="s">
        <v>281</v>
      </c>
      <c r="G132" s="210" t="s">
        <v>188</v>
      </c>
      <c r="H132" s="210"/>
      <c r="I132" s="210"/>
      <c r="J132" s="210">
        <v>0</v>
      </c>
      <c r="K132" s="210"/>
      <c r="L132" s="210">
        <v>2</v>
      </c>
      <c r="M132" s="210"/>
      <c r="N132" s="210" t="s">
        <v>189</v>
      </c>
      <c r="O132" s="211">
        <v>92235076990</v>
      </c>
      <c r="P132" s="303"/>
      <c r="Q132" s="210" t="s">
        <v>475</v>
      </c>
    </row>
    <row r="133" spans="1:17" ht="15" customHeight="1">
      <c r="A133" s="302"/>
      <c r="B133" s="212">
        <v>46156</v>
      </c>
      <c r="C133" s="210" t="s">
        <v>414</v>
      </c>
      <c r="D133" s="210" t="s">
        <v>187</v>
      </c>
      <c r="E133" s="211">
        <v>8809879544071</v>
      </c>
      <c r="F133" s="210" t="s">
        <v>288</v>
      </c>
      <c r="G133" s="210" t="s">
        <v>188</v>
      </c>
      <c r="H133" s="210"/>
      <c r="I133" s="210"/>
      <c r="J133" s="210">
        <v>0</v>
      </c>
      <c r="K133" s="210"/>
      <c r="L133" s="210">
        <v>1</v>
      </c>
      <c r="M133" s="210"/>
      <c r="N133" s="210" t="s">
        <v>189</v>
      </c>
      <c r="O133" s="211">
        <v>92235076990</v>
      </c>
      <c r="P133" s="303"/>
      <c r="Q133" s="210" t="s">
        <v>475</v>
      </c>
    </row>
    <row r="134" spans="1:17" ht="15" customHeight="1">
      <c r="A134" s="302">
        <v>97</v>
      </c>
      <c r="B134" s="212">
        <v>46156</v>
      </c>
      <c r="C134" s="210" t="s">
        <v>415</v>
      </c>
      <c r="D134" s="210" t="s">
        <v>187</v>
      </c>
      <c r="E134" s="211">
        <v>8809879544071</v>
      </c>
      <c r="F134" s="210" t="s">
        <v>288</v>
      </c>
      <c r="G134" s="210" t="s">
        <v>188</v>
      </c>
      <c r="H134" s="210"/>
      <c r="I134" s="210"/>
      <c r="J134" s="210">
        <v>0</v>
      </c>
      <c r="K134" s="210"/>
      <c r="L134" s="210">
        <v>1</v>
      </c>
      <c r="M134" s="210"/>
      <c r="N134" s="210" t="s">
        <v>189</v>
      </c>
      <c r="O134" s="211">
        <v>92235077056</v>
      </c>
      <c r="P134" s="303"/>
      <c r="Q134" s="210" t="s">
        <v>475</v>
      </c>
    </row>
    <row r="135" spans="1:17" ht="15" customHeight="1">
      <c r="A135" s="302">
        <v>98</v>
      </c>
      <c r="B135" s="212">
        <v>46156</v>
      </c>
      <c r="C135" s="210" t="s">
        <v>416</v>
      </c>
      <c r="D135" s="210" t="s">
        <v>187</v>
      </c>
      <c r="E135" s="211">
        <v>8809990970018</v>
      </c>
      <c r="F135" s="210" t="s">
        <v>281</v>
      </c>
      <c r="G135" s="210" t="s">
        <v>188</v>
      </c>
      <c r="H135" s="210"/>
      <c r="I135" s="210"/>
      <c r="J135" s="210">
        <v>0</v>
      </c>
      <c r="K135" s="210"/>
      <c r="L135" s="210">
        <v>1</v>
      </c>
      <c r="M135" s="210"/>
      <c r="N135" s="210" t="s">
        <v>189</v>
      </c>
      <c r="O135" s="211">
        <v>92235071703</v>
      </c>
      <c r="P135" s="303"/>
      <c r="Q135" s="210" t="s">
        <v>475</v>
      </c>
    </row>
    <row r="136" spans="1:17" ht="15" customHeight="1">
      <c r="A136" s="302">
        <v>99</v>
      </c>
      <c r="B136" s="212">
        <v>46156</v>
      </c>
      <c r="C136" s="210" t="s">
        <v>417</v>
      </c>
      <c r="D136" s="210" t="s">
        <v>187</v>
      </c>
      <c r="E136" s="211">
        <v>8809990970018</v>
      </c>
      <c r="F136" s="210" t="s">
        <v>281</v>
      </c>
      <c r="G136" s="210" t="s">
        <v>188</v>
      </c>
      <c r="H136" s="210"/>
      <c r="I136" s="210"/>
      <c r="J136" s="210">
        <v>0</v>
      </c>
      <c r="K136" s="210"/>
      <c r="L136" s="210">
        <v>4</v>
      </c>
      <c r="M136" s="210"/>
      <c r="N136" s="210" t="s">
        <v>189</v>
      </c>
      <c r="O136" s="211">
        <v>92235071670</v>
      </c>
      <c r="P136" s="303"/>
      <c r="Q136" s="210" t="s">
        <v>475</v>
      </c>
    </row>
    <row r="137" spans="1:17" ht="15" customHeight="1">
      <c r="A137" s="302"/>
      <c r="B137" s="212">
        <v>46156</v>
      </c>
      <c r="C137" s="210" t="s">
        <v>417</v>
      </c>
      <c r="D137" s="210" t="s">
        <v>187</v>
      </c>
      <c r="E137" s="211">
        <v>8809879544255</v>
      </c>
      <c r="F137" s="210" t="s">
        <v>290</v>
      </c>
      <c r="G137" s="210" t="s">
        <v>188</v>
      </c>
      <c r="H137" s="210"/>
      <c r="I137" s="210"/>
      <c r="J137" s="210">
        <v>0</v>
      </c>
      <c r="K137" s="210"/>
      <c r="L137" s="210">
        <v>1</v>
      </c>
      <c r="M137" s="210"/>
      <c r="N137" s="210" t="s">
        <v>189</v>
      </c>
      <c r="O137" s="211">
        <v>92235071670</v>
      </c>
      <c r="P137" s="303"/>
      <c r="Q137" s="210" t="s">
        <v>475</v>
      </c>
    </row>
    <row r="138" spans="1:17" ht="15" customHeight="1">
      <c r="A138" s="302"/>
      <c r="B138" s="212">
        <v>46156</v>
      </c>
      <c r="C138" s="210" t="s">
        <v>417</v>
      </c>
      <c r="D138" s="210" t="s">
        <v>187</v>
      </c>
      <c r="E138" s="211">
        <v>8809879544071</v>
      </c>
      <c r="F138" s="210" t="s">
        <v>288</v>
      </c>
      <c r="G138" s="210" t="s">
        <v>188</v>
      </c>
      <c r="H138" s="210"/>
      <c r="I138" s="210"/>
      <c r="J138" s="210">
        <v>0</v>
      </c>
      <c r="K138" s="210"/>
      <c r="L138" s="210">
        <v>1</v>
      </c>
      <c r="M138" s="210"/>
      <c r="N138" s="210" t="s">
        <v>189</v>
      </c>
      <c r="O138" s="211">
        <v>92235071670</v>
      </c>
      <c r="P138" s="303"/>
      <c r="Q138" s="210" t="s">
        <v>475</v>
      </c>
    </row>
    <row r="139" spans="1:17" ht="15" customHeight="1">
      <c r="A139" s="302">
        <v>100</v>
      </c>
      <c r="B139" s="212">
        <v>46156</v>
      </c>
      <c r="C139" s="210" t="s">
        <v>418</v>
      </c>
      <c r="D139" s="210" t="s">
        <v>187</v>
      </c>
      <c r="E139" s="211">
        <v>8809990970018</v>
      </c>
      <c r="F139" s="210" t="s">
        <v>281</v>
      </c>
      <c r="G139" s="210" t="s">
        <v>188</v>
      </c>
      <c r="H139" s="210"/>
      <c r="I139" s="210"/>
      <c r="J139" s="210">
        <v>0</v>
      </c>
      <c r="K139" s="210"/>
      <c r="L139" s="210">
        <v>50</v>
      </c>
      <c r="M139" s="210"/>
      <c r="N139" s="210" t="s">
        <v>189</v>
      </c>
      <c r="O139" s="211">
        <v>92235055500</v>
      </c>
      <c r="P139" s="303"/>
      <c r="Q139" s="210" t="s">
        <v>476</v>
      </c>
    </row>
    <row r="140" spans="1:17" ht="15" customHeight="1">
      <c r="A140" s="302">
        <v>101</v>
      </c>
      <c r="B140" s="212">
        <v>46156</v>
      </c>
      <c r="C140" s="210" t="s">
        <v>419</v>
      </c>
      <c r="D140" s="210" t="s">
        <v>187</v>
      </c>
      <c r="E140" s="211">
        <v>8809879544071</v>
      </c>
      <c r="F140" s="210" t="s">
        <v>288</v>
      </c>
      <c r="G140" s="210" t="s">
        <v>188</v>
      </c>
      <c r="H140" s="210"/>
      <c r="I140" s="210"/>
      <c r="J140" s="210">
        <v>0</v>
      </c>
      <c r="K140" s="210"/>
      <c r="L140" s="210">
        <v>1</v>
      </c>
      <c r="M140" s="210"/>
      <c r="N140" s="210" t="s">
        <v>189</v>
      </c>
      <c r="O140" s="211">
        <v>92235056056</v>
      </c>
      <c r="P140" s="303"/>
      <c r="Q140" s="210" t="s">
        <v>475</v>
      </c>
    </row>
    <row r="141" spans="1:17" ht="15" customHeight="1">
      <c r="A141" s="302">
        <v>102</v>
      </c>
      <c r="B141" s="212">
        <v>46156</v>
      </c>
      <c r="C141" s="210" t="s">
        <v>420</v>
      </c>
      <c r="D141" s="210" t="s">
        <v>187</v>
      </c>
      <c r="E141" s="211">
        <v>8809879544071</v>
      </c>
      <c r="F141" s="210" t="s">
        <v>288</v>
      </c>
      <c r="G141" s="210" t="s">
        <v>188</v>
      </c>
      <c r="H141" s="210"/>
      <c r="I141" s="210"/>
      <c r="J141" s="210">
        <v>0</v>
      </c>
      <c r="K141" s="210"/>
      <c r="L141" s="210">
        <v>1</v>
      </c>
      <c r="M141" s="210"/>
      <c r="N141" s="210" t="s">
        <v>189</v>
      </c>
      <c r="O141" s="211">
        <v>92235056034</v>
      </c>
      <c r="P141" s="303"/>
      <c r="Q141" s="210" t="s">
        <v>475</v>
      </c>
    </row>
    <row r="142" spans="1:17" ht="15" customHeight="1">
      <c r="A142" s="302">
        <v>103</v>
      </c>
      <c r="B142" s="212">
        <v>46156</v>
      </c>
      <c r="C142" s="210" t="s">
        <v>421</v>
      </c>
      <c r="D142" s="210" t="s">
        <v>187</v>
      </c>
      <c r="E142" s="211">
        <v>8809879544071</v>
      </c>
      <c r="F142" s="210" t="s">
        <v>288</v>
      </c>
      <c r="G142" s="210" t="s">
        <v>188</v>
      </c>
      <c r="H142" s="210"/>
      <c r="I142" s="210"/>
      <c r="J142" s="210">
        <v>0</v>
      </c>
      <c r="K142" s="210"/>
      <c r="L142" s="210">
        <v>1</v>
      </c>
      <c r="M142" s="210"/>
      <c r="N142" s="210" t="s">
        <v>189</v>
      </c>
      <c r="O142" s="211">
        <v>92235056012</v>
      </c>
      <c r="P142" s="303"/>
      <c r="Q142" s="210" t="s">
        <v>475</v>
      </c>
    </row>
    <row r="143" spans="1:17" ht="15" customHeight="1">
      <c r="A143" s="302">
        <v>104</v>
      </c>
      <c r="B143" s="212">
        <v>46156</v>
      </c>
      <c r="C143" s="210" t="s">
        <v>422</v>
      </c>
      <c r="D143" s="210" t="s">
        <v>187</v>
      </c>
      <c r="E143" s="211">
        <v>8809879544071</v>
      </c>
      <c r="F143" s="210" t="s">
        <v>288</v>
      </c>
      <c r="G143" s="210" t="s">
        <v>188</v>
      </c>
      <c r="H143" s="210"/>
      <c r="I143" s="210"/>
      <c r="J143" s="210">
        <v>0</v>
      </c>
      <c r="K143" s="210"/>
      <c r="L143" s="210">
        <v>1</v>
      </c>
      <c r="M143" s="210"/>
      <c r="N143" s="210" t="s">
        <v>189</v>
      </c>
      <c r="O143" s="211">
        <v>92235055964</v>
      </c>
      <c r="P143" s="303"/>
      <c r="Q143" s="210" t="s">
        <v>475</v>
      </c>
    </row>
    <row r="144" spans="1:17" ht="15" customHeight="1">
      <c r="A144" s="302">
        <v>105</v>
      </c>
      <c r="B144" s="212">
        <v>46156</v>
      </c>
      <c r="C144" s="210" t="s">
        <v>423</v>
      </c>
      <c r="D144" s="210" t="s">
        <v>187</v>
      </c>
      <c r="E144" s="211">
        <v>8809879544071</v>
      </c>
      <c r="F144" s="210" t="s">
        <v>288</v>
      </c>
      <c r="G144" s="210" t="s">
        <v>188</v>
      </c>
      <c r="H144" s="210"/>
      <c r="I144" s="210"/>
      <c r="J144" s="210">
        <v>0</v>
      </c>
      <c r="K144" s="210"/>
      <c r="L144" s="210">
        <v>1</v>
      </c>
      <c r="M144" s="210"/>
      <c r="N144" s="210" t="s">
        <v>189</v>
      </c>
      <c r="O144" s="211">
        <v>92235055953</v>
      </c>
      <c r="P144" s="303"/>
      <c r="Q144" s="210" t="s">
        <v>475</v>
      </c>
    </row>
    <row r="145" spans="1:17" ht="15" customHeight="1">
      <c r="A145" s="302">
        <v>106</v>
      </c>
      <c r="B145" s="212">
        <v>46156</v>
      </c>
      <c r="C145" s="210" t="s">
        <v>424</v>
      </c>
      <c r="D145" s="210" t="s">
        <v>187</v>
      </c>
      <c r="E145" s="211">
        <v>8809879544071</v>
      </c>
      <c r="F145" s="210" t="s">
        <v>288</v>
      </c>
      <c r="G145" s="210" t="s">
        <v>188</v>
      </c>
      <c r="H145" s="210"/>
      <c r="I145" s="210"/>
      <c r="J145" s="210">
        <v>0</v>
      </c>
      <c r="K145" s="210"/>
      <c r="L145" s="210">
        <v>1</v>
      </c>
      <c r="M145" s="210"/>
      <c r="N145" s="210" t="s">
        <v>189</v>
      </c>
      <c r="O145" s="211">
        <v>92235055942</v>
      </c>
      <c r="P145" s="303"/>
      <c r="Q145" s="210" t="s">
        <v>475</v>
      </c>
    </row>
    <row r="146" spans="1:17" ht="15" customHeight="1">
      <c r="A146" s="302">
        <v>107</v>
      </c>
      <c r="B146" s="212">
        <v>46156</v>
      </c>
      <c r="C146" s="210" t="s">
        <v>425</v>
      </c>
      <c r="D146" s="210" t="s">
        <v>187</v>
      </c>
      <c r="E146" s="211">
        <v>8809990970018</v>
      </c>
      <c r="F146" s="210" t="s">
        <v>281</v>
      </c>
      <c r="G146" s="210" t="s">
        <v>188</v>
      </c>
      <c r="H146" s="210"/>
      <c r="I146" s="210"/>
      <c r="J146" s="210">
        <v>0</v>
      </c>
      <c r="K146" s="210"/>
      <c r="L146" s="210">
        <v>1</v>
      </c>
      <c r="M146" s="210"/>
      <c r="N146" s="210" t="s">
        <v>189</v>
      </c>
      <c r="O146" s="211">
        <v>92235056001</v>
      </c>
      <c r="P146" s="303"/>
      <c r="Q146" s="210" t="s">
        <v>475</v>
      </c>
    </row>
    <row r="147" spans="1:17" ht="15" customHeight="1">
      <c r="A147" s="302">
        <v>108</v>
      </c>
      <c r="B147" s="212">
        <v>46156</v>
      </c>
      <c r="C147" s="210" t="s">
        <v>426</v>
      </c>
      <c r="D147" s="210" t="s">
        <v>187</v>
      </c>
      <c r="E147" s="211">
        <v>8809990970018</v>
      </c>
      <c r="F147" s="210" t="s">
        <v>281</v>
      </c>
      <c r="G147" s="210" t="s">
        <v>188</v>
      </c>
      <c r="H147" s="210"/>
      <c r="I147" s="210"/>
      <c r="J147" s="210">
        <v>0</v>
      </c>
      <c r="K147" s="210"/>
      <c r="L147" s="210">
        <v>1</v>
      </c>
      <c r="M147" s="210"/>
      <c r="N147" s="210" t="s">
        <v>189</v>
      </c>
      <c r="O147" s="211">
        <v>92235056045</v>
      </c>
      <c r="P147" s="303"/>
      <c r="Q147" s="210" t="s">
        <v>475</v>
      </c>
    </row>
    <row r="148" spans="1:17" ht="15" customHeight="1">
      <c r="A148" s="302">
        <v>109</v>
      </c>
      <c r="B148" s="212">
        <v>46156</v>
      </c>
      <c r="C148" s="210" t="s">
        <v>427</v>
      </c>
      <c r="D148" s="210" t="s">
        <v>187</v>
      </c>
      <c r="E148" s="211">
        <v>8809990970018</v>
      </c>
      <c r="F148" s="210" t="s">
        <v>281</v>
      </c>
      <c r="G148" s="210" t="s">
        <v>188</v>
      </c>
      <c r="H148" s="210"/>
      <c r="I148" s="210"/>
      <c r="J148" s="210">
        <v>0</v>
      </c>
      <c r="K148" s="210"/>
      <c r="L148" s="210">
        <v>1</v>
      </c>
      <c r="M148" s="210"/>
      <c r="N148" s="210" t="s">
        <v>189</v>
      </c>
      <c r="O148" s="211">
        <v>92235055975</v>
      </c>
      <c r="P148" s="303"/>
      <c r="Q148" s="210" t="s">
        <v>475</v>
      </c>
    </row>
    <row r="149" spans="1:17" ht="15" customHeight="1">
      <c r="A149" s="302">
        <v>110</v>
      </c>
      <c r="B149" s="212">
        <v>46156</v>
      </c>
      <c r="C149" s="210" t="s">
        <v>428</v>
      </c>
      <c r="D149" s="210" t="s">
        <v>187</v>
      </c>
      <c r="E149" s="211">
        <v>8809879544071</v>
      </c>
      <c r="F149" s="210" t="s">
        <v>288</v>
      </c>
      <c r="G149" s="210" t="s">
        <v>188</v>
      </c>
      <c r="H149" s="210"/>
      <c r="I149" s="210"/>
      <c r="J149" s="210">
        <v>0</v>
      </c>
      <c r="K149" s="210"/>
      <c r="L149" s="210">
        <v>2</v>
      </c>
      <c r="M149" s="210"/>
      <c r="N149" s="210" t="s">
        <v>189</v>
      </c>
      <c r="O149" s="211">
        <v>92235055846</v>
      </c>
      <c r="P149" s="303"/>
      <c r="Q149" s="210" t="s">
        <v>475</v>
      </c>
    </row>
    <row r="150" spans="1:17" ht="15" customHeight="1">
      <c r="A150" s="302"/>
      <c r="B150" s="212">
        <v>46156</v>
      </c>
      <c r="C150" s="210" t="s">
        <v>428</v>
      </c>
      <c r="D150" s="210" t="s">
        <v>187</v>
      </c>
      <c r="E150" s="211">
        <v>8809990970018</v>
      </c>
      <c r="F150" s="210" t="s">
        <v>281</v>
      </c>
      <c r="G150" s="210" t="s">
        <v>188</v>
      </c>
      <c r="H150" s="210"/>
      <c r="I150" s="210"/>
      <c r="J150" s="210">
        <v>0</v>
      </c>
      <c r="K150" s="210"/>
      <c r="L150" s="210">
        <v>2</v>
      </c>
      <c r="M150" s="210"/>
      <c r="N150" s="210" t="s">
        <v>189</v>
      </c>
      <c r="O150" s="211">
        <v>92235055846</v>
      </c>
      <c r="P150" s="303"/>
      <c r="Q150" s="210" t="s">
        <v>475</v>
      </c>
    </row>
    <row r="151" spans="1:17" ht="15" customHeight="1">
      <c r="A151" s="302"/>
      <c r="B151" s="212">
        <v>46156</v>
      </c>
      <c r="C151" s="210" t="s">
        <v>428</v>
      </c>
      <c r="D151" s="210" t="s">
        <v>187</v>
      </c>
      <c r="E151" s="211">
        <v>8809879544071</v>
      </c>
      <c r="F151" s="210" t="s">
        <v>288</v>
      </c>
      <c r="G151" s="210" t="s">
        <v>188</v>
      </c>
      <c r="H151" s="210"/>
      <c r="I151" s="210"/>
      <c r="J151" s="210">
        <v>0</v>
      </c>
      <c r="K151" s="210"/>
      <c r="L151" s="210">
        <v>1</v>
      </c>
      <c r="M151" s="210"/>
      <c r="N151" s="210" t="s">
        <v>189</v>
      </c>
      <c r="O151" s="211">
        <v>92235055846</v>
      </c>
      <c r="P151" s="303"/>
      <c r="Q151" s="210" t="s">
        <v>475</v>
      </c>
    </row>
    <row r="152" spans="1:17" ht="15" customHeight="1">
      <c r="A152" s="302">
        <v>111</v>
      </c>
      <c r="B152" s="212">
        <v>46155</v>
      </c>
      <c r="C152" s="210" t="s">
        <v>429</v>
      </c>
      <c r="D152" s="210" t="s">
        <v>187</v>
      </c>
      <c r="E152" s="211">
        <v>8809879544071</v>
      </c>
      <c r="F152" s="210" t="s">
        <v>288</v>
      </c>
      <c r="G152" s="210" t="s">
        <v>188</v>
      </c>
      <c r="H152" s="210"/>
      <c r="I152" s="210"/>
      <c r="J152" s="210">
        <v>0</v>
      </c>
      <c r="K152" s="210"/>
      <c r="L152" s="210">
        <v>1</v>
      </c>
      <c r="M152" s="210"/>
      <c r="N152" s="210" t="s">
        <v>189</v>
      </c>
      <c r="O152" s="211">
        <v>92235044160</v>
      </c>
      <c r="P152" s="303"/>
      <c r="Q152" s="210" t="s">
        <v>475</v>
      </c>
    </row>
    <row r="153" spans="1:17" ht="15" customHeight="1">
      <c r="A153" s="302"/>
      <c r="B153" s="212">
        <v>46155</v>
      </c>
      <c r="C153" s="210" t="s">
        <v>429</v>
      </c>
      <c r="D153" s="210" t="s">
        <v>187</v>
      </c>
      <c r="E153" s="211">
        <v>8809990970018</v>
      </c>
      <c r="F153" s="210" t="s">
        <v>281</v>
      </c>
      <c r="G153" s="210" t="s">
        <v>188</v>
      </c>
      <c r="H153" s="210"/>
      <c r="I153" s="210"/>
      <c r="J153" s="210">
        <v>0</v>
      </c>
      <c r="K153" s="210"/>
      <c r="L153" s="210">
        <v>4</v>
      </c>
      <c r="M153" s="210"/>
      <c r="N153" s="210" t="s">
        <v>189</v>
      </c>
      <c r="O153" s="211">
        <v>92235044160</v>
      </c>
      <c r="P153" s="303"/>
      <c r="Q153" s="210" t="s">
        <v>475</v>
      </c>
    </row>
    <row r="154" spans="1:17" ht="15" customHeight="1">
      <c r="A154" s="302"/>
      <c r="B154" s="212">
        <v>46155</v>
      </c>
      <c r="C154" s="210" t="s">
        <v>429</v>
      </c>
      <c r="D154" s="210" t="s">
        <v>187</v>
      </c>
      <c r="E154" s="211">
        <v>8809990970018</v>
      </c>
      <c r="F154" s="210" t="s">
        <v>281</v>
      </c>
      <c r="G154" s="210" t="s">
        <v>188</v>
      </c>
      <c r="H154" s="210"/>
      <c r="I154" s="210"/>
      <c r="J154" s="210">
        <v>0</v>
      </c>
      <c r="K154" s="210"/>
      <c r="L154" s="210">
        <v>1</v>
      </c>
      <c r="M154" s="210"/>
      <c r="N154" s="210" t="s">
        <v>189</v>
      </c>
      <c r="O154" s="211">
        <v>92235044160</v>
      </c>
      <c r="P154" s="303"/>
      <c r="Q154" s="210" t="s">
        <v>475</v>
      </c>
    </row>
    <row r="155" spans="1:17" ht="15" customHeight="1">
      <c r="A155" s="302">
        <v>112</v>
      </c>
      <c r="B155" s="212">
        <v>46155</v>
      </c>
      <c r="C155" s="210" t="s">
        <v>430</v>
      </c>
      <c r="D155" s="210" t="s">
        <v>187</v>
      </c>
      <c r="E155" s="211">
        <v>8809879544071</v>
      </c>
      <c r="F155" s="210" t="s">
        <v>288</v>
      </c>
      <c r="G155" s="210" t="s">
        <v>188</v>
      </c>
      <c r="H155" s="210"/>
      <c r="I155" s="210"/>
      <c r="J155" s="210">
        <v>0</v>
      </c>
      <c r="K155" s="210"/>
      <c r="L155" s="210">
        <v>2</v>
      </c>
      <c r="M155" s="210"/>
      <c r="N155" s="210" t="s">
        <v>189</v>
      </c>
      <c r="O155" s="211">
        <v>92235044182</v>
      </c>
      <c r="P155" s="303"/>
      <c r="Q155" s="210" t="s">
        <v>475</v>
      </c>
    </row>
    <row r="156" spans="1:17" ht="15" customHeight="1">
      <c r="A156" s="302"/>
      <c r="B156" s="212">
        <v>46155</v>
      </c>
      <c r="C156" s="210" t="s">
        <v>430</v>
      </c>
      <c r="D156" s="210" t="s">
        <v>187</v>
      </c>
      <c r="E156" s="211">
        <v>8809990970018</v>
      </c>
      <c r="F156" s="210" t="s">
        <v>281</v>
      </c>
      <c r="G156" s="210" t="s">
        <v>188</v>
      </c>
      <c r="H156" s="210"/>
      <c r="I156" s="210"/>
      <c r="J156" s="210">
        <v>0</v>
      </c>
      <c r="K156" s="210"/>
      <c r="L156" s="210">
        <v>1</v>
      </c>
      <c r="M156" s="210"/>
      <c r="N156" s="210" t="s">
        <v>189</v>
      </c>
      <c r="O156" s="211">
        <v>92235044182</v>
      </c>
      <c r="P156" s="303"/>
      <c r="Q156" s="210" t="s">
        <v>475</v>
      </c>
    </row>
    <row r="157" spans="1:17" ht="15" customHeight="1">
      <c r="A157" s="302">
        <v>113</v>
      </c>
      <c r="B157" s="212">
        <v>46155</v>
      </c>
      <c r="C157" s="210" t="s">
        <v>431</v>
      </c>
      <c r="D157" s="210" t="s">
        <v>187</v>
      </c>
      <c r="E157" s="211">
        <v>8809990970018</v>
      </c>
      <c r="F157" s="210" t="s">
        <v>281</v>
      </c>
      <c r="G157" s="210" t="s">
        <v>188</v>
      </c>
      <c r="H157" s="210"/>
      <c r="I157" s="210"/>
      <c r="J157" s="210">
        <v>0</v>
      </c>
      <c r="K157" s="210"/>
      <c r="L157" s="210">
        <v>1</v>
      </c>
      <c r="M157" s="210"/>
      <c r="N157" s="210" t="s">
        <v>189</v>
      </c>
      <c r="O157" s="211">
        <v>92235044230</v>
      </c>
      <c r="P157" s="303"/>
      <c r="Q157" s="210" t="s">
        <v>475</v>
      </c>
    </row>
    <row r="158" spans="1:17" ht="15" customHeight="1">
      <c r="A158" s="302">
        <v>114</v>
      </c>
      <c r="B158" s="212">
        <v>46155</v>
      </c>
      <c r="C158" s="210" t="s">
        <v>432</v>
      </c>
      <c r="D158" s="210" t="s">
        <v>187</v>
      </c>
      <c r="E158" s="211">
        <v>8809879544071</v>
      </c>
      <c r="F158" s="210" t="s">
        <v>288</v>
      </c>
      <c r="G158" s="210" t="s">
        <v>188</v>
      </c>
      <c r="H158" s="210"/>
      <c r="I158" s="210"/>
      <c r="J158" s="210">
        <v>0</v>
      </c>
      <c r="K158" s="210"/>
      <c r="L158" s="210">
        <v>1</v>
      </c>
      <c r="M158" s="210"/>
      <c r="N158" s="210" t="s">
        <v>189</v>
      </c>
      <c r="O158" s="211">
        <v>92235044252</v>
      </c>
      <c r="P158" s="303"/>
      <c r="Q158" s="210" t="s">
        <v>475</v>
      </c>
    </row>
    <row r="159" spans="1:17" ht="15" customHeight="1">
      <c r="A159" s="302">
        <v>115</v>
      </c>
      <c r="B159" s="212">
        <v>46155</v>
      </c>
      <c r="C159" s="210" t="s">
        <v>433</v>
      </c>
      <c r="D159" s="210" t="s">
        <v>187</v>
      </c>
      <c r="E159" s="211">
        <v>8809879544071</v>
      </c>
      <c r="F159" s="210" t="s">
        <v>288</v>
      </c>
      <c r="G159" s="210" t="s">
        <v>188</v>
      </c>
      <c r="H159" s="210"/>
      <c r="I159" s="210"/>
      <c r="J159" s="210">
        <v>0</v>
      </c>
      <c r="K159" s="210"/>
      <c r="L159" s="210">
        <v>1</v>
      </c>
      <c r="M159" s="210"/>
      <c r="N159" s="210" t="s">
        <v>189</v>
      </c>
      <c r="O159" s="211">
        <v>92235044241</v>
      </c>
      <c r="P159" s="303"/>
      <c r="Q159" s="210" t="s">
        <v>475</v>
      </c>
    </row>
    <row r="160" spans="1:17" ht="15" customHeight="1">
      <c r="A160" s="302">
        <v>116</v>
      </c>
      <c r="B160" s="212">
        <v>46155</v>
      </c>
      <c r="C160" s="210" t="s">
        <v>434</v>
      </c>
      <c r="D160" s="210" t="s">
        <v>187</v>
      </c>
      <c r="E160" s="211">
        <v>8809879544071</v>
      </c>
      <c r="F160" s="210" t="s">
        <v>288</v>
      </c>
      <c r="G160" s="210" t="s">
        <v>188</v>
      </c>
      <c r="H160" s="210"/>
      <c r="I160" s="210"/>
      <c r="J160" s="210">
        <v>0</v>
      </c>
      <c r="K160" s="210"/>
      <c r="L160" s="210">
        <v>2</v>
      </c>
      <c r="M160" s="210"/>
      <c r="N160" s="210" t="s">
        <v>189</v>
      </c>
      <c r="O160" s="211">
        <v>92235033796</v>
      </c>
      <c r="P160" s="303"/>
      <c r="Q160" s="210" t="s">
        <v>475</v>
      </c>
    </row>
    <row r="161" spans="1:17" ht="15" customHeight="1">
      <c r="A161" s="302"/>
      <c r="B161" s="212">
        <v>46155</v>
      </c>
      <c r="C161" s="210" t="s">
        <v>434</v>
      </c>
      <c r="D161" s="210" t="s">
        <v>187</v>
      </c>
      <c r="E161" s="211">
        <v>8809990970018</v>
      </c>
      <c r="F161" s="210" t="s">
        <v>281</v>
      </c>
      <c r="G161" s="210" t="s">
        <v>188</v>
      </c>
      <c r="H161" s="210"/>
      <c r="I161" s="210"/>
      <c r="J161" s="210">
        <v>0</v>
      </c>
      <c r="K161" s="210"/>
      <c r="L161" s="210">
        <v>1</v>
      </c>
      <c r="M161" s="210"/>
      <c r="N161" s="210" t="s">
        <v>189</v>
      </c>
      <c r="O161" s="211">
        <v>92235033796</v>
      </c>
      <c r="P161" s="303"/>
      <c r="Q161" s="210" t="s">
        <v>475</v>
      </c>
    </row>
    <row r="162" spans="1:17" ht="15" customHeight="1">
      <c r="A162" s="302">
        <v>117</v>
      </c>
      <c r="B162" s="212">
        <v>46155</v>
      </c>
      <c r="C162" s="210" t="s">
        <v>435</v>
      </c>
      <c r="D162" s="210" t="s">
        <v>187</v>
      </c>
      <c r="E162" s="211">
        <v>8809990970018</v>
      </c>
      <c r="F162" s="210" t="s">
        <v>281</v>
      </c>
      <c r="G162" s="210" t="s">
        <v>188</v>
      </c>
      <c r="H162" s="210"/>
      <c r="I162" s="210"/>
      <c r="J162" s="210">
        <v>0</v>
      </c>
      <c r="K162" s="210"/>
      <c r="L162" s="210">
        <v>1</v>
      </c>
      <c r="M162" s="210"/>
      <c r="N162" s="210" t="s">
        <v>189</v>
      </c>
      <c r="O162" s="211">
        <v>92235033855</v>
      </c>
      <c r="P162" s="303"/>
      <c r="Q162" s="210" t="s">
        <v>475</v>
      </c>
    </row>
    <row r="163" spans="1:17" ht="15" customHeight="1">
      <c r="A163" s="302">
        <v>118</v>
      </c>
      <c r="B163" s="212">
        <v>46155</v>
      </c>
      <c r="C163" s="210" t="s">
        <v>436</v>
      </c>
      <c r="D163" s="210" t="s">
        <v>187</v>
      </c>
      <c r="E163" s="211">
        <v>8809990970018</v>
      </c>
      <c r="F163" s="210" t="s">
        <v>281</v>
      </c>
      <c r="G163" s="210" t="s">
        <v>188</v>
      </c>
      <c r="H163" s="210"/>
      <c r="I163" s="210"/>
      <c r="J163" s="210">
        <v>0</v>
      </c>
      <c r="K163" s="210"/>
      <c r="L163" s="210">
        <v>1</v>
      </c>
      <c r="M163" s="210"/>
      <c r="N163" s="210" t="s">
        <v>189</v>
      </c>
      <c r="O163" s="211">
        <v>92235033866</v>
      </c>
      <c r="P163" s="303"/>
      <c r="Q163" s="210" t="s">
        <v>475</v>
      </c>
    </row>
    <row r="164" spans="1:17" ht="15" customHeight="1">
      <c r="A164" s="302">
        <v>119</v>
      </c>
      <c r="B164" s="212">
        <v>46155</v>
      </c>
      <c r="C164" s="210" t="s">
        <v>437</v>
      </c>
      <c r="D164" s="210" t="s">
        <v>187</v>
      </c>
      <c r="E164" s="211">
        <v>8809879544071</v>
      </c>
      <c r="F164" s="210" t="s">
        <v>288</v>
      </c>
      <c r="G164" s="210" t="s">
        <v>188</v>
      </c>
      <c r="H164" s="210"/>
      <c r="I164" s="210"/>
      <c r="J164" s="210">
        <v>0</v>
      </c>
      <c r="K164" s="210"/>
      <c r="L164" s="210">
        <v>1</v>
      </c>
      <c r="M164" s="210"/>
      <c r="N164" s="210" t="s">
        <v>189</v>
      </c>
      <c r="O164" s="211">
        <v>92235033844</v>
      </c>
      <c r="P164" s="303"/>
      <c r="Q164" s="210" t="s">
        <v>475</v>
      </c>
    </row>
    <row r="165" spans="1:17" ht="15" customHeight="1">
      <c r="A165" s="302">
        <v>120</v>
      </c>
      <c r="B165" s="212">
        <v>46155</v>
      </c>
      <c r="C165" s="210" t="s">
        <v>438</v>
      </c>
      <c r="D165" s="210" t="s">
        <v>187</v>
      </c>
      <c r="E165" s="211">
        <v>8809879544071</v>
      </c>
      <c r="F165" s="210" t="s">
        <v>288</v>
      </c>
      <c r="G165" s="210" t="s">
        <v>188</v>
      </c>
      <c r="H165" s="210"/>
      <c r="I165" s="210"/>
      <c r="J165" s="210">
        <v>0</v>
      </c>
      <c r="K165" s="210"/>
      <c r="L165" s="210">
        <v>1</v>
      </c>
      <c r="M165" s="210"/>
      <c r="N165" s="210" t="s">
        <v>189</v>
      </c>
      <c r="O165" s="211">
        <v>92235033833</v>
      </c>
      <c r="P165" s="303"/>
      <c r="Q165" s="210" t="s">
        <v>475</v>
      </c>
    </row>
    <row r="166" spans="1:17" ht="15" customHeight="1">
      <c r="A166" s="302">
        <v>121</v>
      </c>
      <c r="B166" s="212">
        <v>46155</v>
      </c>
      <c r="C166" s="210" t="s">
        <v>439</v>
      </c>
      <c r="D166" s="210" t="s">
        <v>187</v>
      </c>
      <c r="E166" s="211">
        <v>8809879544071</v>
      </c>
      <c r="F166" s="210" t="s">
        <v>288</v>
      </c>
      <c r="G166" s="210" t="s">
        <v>188</v>
      </c>
      <c r="H166" s="210"/>
      <c r="I166" s="210"/>
      <c r="J166" s="210">
        <v>0</v>
      </c>
      <c r="K166" s="210"/>
      <c r="L166" s="210">
        <v>1</v>
      </c>
      <c r="M166" s="210"/>
      <c r="N166" s="210" t="s">
        <v>189</v>
      </c>
      <c r="O166" s="211">
        <v>92235033822</v>
      </c>
      <c r="P166" s="303"/>
      <c r="Q166" s="210" t="s">
        <v>475</v>
      </c>
    </row>
    <row r="167" spans="1:17" ht="15" customHeight="1">
      <c r="A167" s="302">
        <v>122</v>
      </c>
      <c r="B167" s="212">
        <v>46155</v>
      </c>
      <c r="C167" s="210" t="s">
        <v>440</v>
      </c>
      <c r="D167" s="210" t="s">
        <v>187</v>
      </c>
      <c r="E167" s="211">
        <v>8809879544071</v>
      </c>
      <c r="F167" s="210" t="s">
        <v>288</v>
      </c>
      <c r="G167" s="210" t="s">
        <v>188</v>
      </c>
      <c r="H167" s="210"/>
      <c r="I167" s="210"/>
      <c r="J167" s="210">
        <v>0</v>
      </c>
      <c r="K167" s="210"/>
      <c r="L167" s="210">
        <v>1</v>
      </c>
      <c r="M167" s="210"/>
      <c r="N167" s="210" t="s">
        <v>189</v>
      </c>
      <c r="O167" s="211">
        <v>92235033811</v>
      </c>
      <c r="P167" s="303"/>
      <c r="Q167" s="210" t="s">
        <v>475</v>
      </c>
    </row>
    <row r="168" spans="1:17" ht="15" customHeight="1">
      <c r="A168" s="302">
        <v>123</v>
      </c>
      <c r="B168" s="212">
        <v>46155</v>
      </c>
      <c r="C168" s="210" t="s">
        <v>441</v>
      </c>
      <c r="D168" s="210" t="s">
        <v>187</v>
      </c>
      <c r="E168" s="211">
        <v>8809879544071</v>
      </c>
      <c r="F168" s="210" t="s">
        <v>288</v>
      </c>
      <c r="G168" s="210" t="s">
        <v>188</v>
      </c>
      <c r="H168" s="210"/>
      <c r="I168" s="210"/>
      <c r="J168" s="210">
        <v>0</v>
      </c>
      <c r="K168" s="210"/>
      <c r="L168" s="210">
        <v>10</v>
      </c>
      <c r="M168" s="210"/>
      <c r="N168" s="210" t="s">
        <v>189</v>
      </c>
      <c r="O168" s="211">
        <v>92235030182</v>
      </c>
      <c r="P168" s="303"/>
      <c r="Q168" s="210" t="s">
        <v>475</v>
      </c>
    </row>
    <row r="169" spans="1:17" ht="15" customHeight="1">
      <c r="A169" s="302">
        <v>124</v>
      </c>
      <c r="B169" s="212">
        <v>46154</v>
      </c>
      <c r="C169" s="210" t="s">
        <v>442</v>
      </c>
      <c r="D169" s="210" t="s">
        <v>187</v>
      </c>
      <c r="E169" s="211">
        <v>8809879544071</v>
      </c>
      <c r="F169" s="210" t="s">
        <v>288</v>
      </c>
      <c r="G169" s="210" t="s">
        <v>188</v>
      </c>
      <c r="H169" s="210"/>
      <c r="I169" s="210"/>
      <c r="J169" s="210">
        <v>0</v>
      </c>
      <c r="K169" s="210"/>
      <c r="L169" s="210">
        <v>1</v>
      </c>
      <c r="M169" s="210"/>
      <c r="N169" s="210" t="s">
        <v>189</v>
      </c>
      <c r="O169" s="211">
        <v>92234975700</v>
      </c>
      <c r="P169" s="303"/>
      <c r="Q169" s="210" t="s">
        <v>475</v>
      </c>
    </row>
    <row r="170" spans="1:17" ht="15" customHeight="1">
      <c r="A170" s="302">
        <v>125</v>
      </c>
      <c r="B170" s="212">
        <v>46153</v>
      </c>
      <c r="C170" s="210" t="s">
        <v>443</v>
      </c>
      <c r="D170" s="210" t="s">
        <v>187</v>
      </c>
      <c r="E170" s="211">
        <v>8809879544071</v>
      </c>
      <c r="F170" s="210" t="s">
        <v>288</v>
      </c>
      <c r="G170" s="210" t="s">
        <v>188</v>
      </c>
      <c r="H170" s="210"/>
      <c r="I170" s="210"/>
      <c r="J170" s="210">
        <v>0</v>
      </c>
      <c r="K170" s="210"/>
      <c r="L170" s="210">
        <v>5</v>
      </c>
      <c r="M170" s="210"/>
      <c r="N170" s="210" t="s">
        <v>189</v>
      </c>
      <c r="O170" s="211">
        <v>92234949601</v>
      </c>
      <c r="P170" s="303"/>
      <c r="Q170" s="210" t="s">
        <v>475</v>
      </c>
    </row>
    <row r="171" spans="1:17" ht="15" customHeight="1">
      <c r="A171" s="302">
        <v>126</v>
      </c>
      <c r="B171" s="212">
        <v>46153</v>
      </c>
      <c r="C171" s="210" t="s">
        <v>444</v>
      </c>
      <c r="D171" s="210" t="s">
        <v>187</v>
      </c>
      <c r="E171" s="211">
        <v>8809879544071</v>
      </c>
      <c r="F171" s="210" t="s">
        <v>288</v>
      </c>
      <c r="G171" s="210" t="s">
        <v>188</v>
      </c>
      <c r="H171" s="210"/>
      <c r="I171" s="210"/>
      <c r="J171" s="210">
        <v>0</v>
      </c>
      <c r="K171" s="210"/>
      <c r="L171" s="210">
        <v>6</v>
      </c>
      <c r="M171" s="210"/>
      <c r="N171" s="210" t="s">
        <v>189</v>
      </c>
      <c r="O171" s="211">
        <v>92234949623</v>
      </c>
      <c r="P171" s="303"/>
      <c r="Q171" s="210" t="s">
        <v>475</v>
      </c>
    </row>
    <row r="172" spans="1:17" ht="15" customHeight="1">
      <c r="A172" s="302">
        <v>127</v>
      </c>
      <c r="B172" s="212">
        <v>46153</v>
      </c>
      <c r="C172" s="210" t="s">
        <v>445</v>
      </c>
      <c r="D172" s="210" t="s">
        <v>187</v>
      </c>
      <c r="E172" s="211">
        <v>8809879544071</v>
      </c>
      <c r="F172" s="210" t="s">
        <v>288</v>
      </c>
      <c r="G172" s="210" t="s">
        <v>188</v>
      </c>
      <c r="H172" s="210"/>
      <c r="I172" s="210"/>
      <c r="J172" s="210">
        <v>0</v>
      </c>
      <c r="K172" s="210"/>
      <c r="L172" s="210">
        <v>7</v>
      </c>
      <c r="M172" s="210"/>
      <c r="N172" s="210" t="s">
        <v>189</v>
      </c>
      <c r="O172" s="211">
        <v>92234949575</v>
      </c>
      <c r="P172" s="303"/>
      <c r="Q172" s="210" t="s">
        <v>475</v>
      </c>
    </row>
    <row r="173" spans="1:17" ht="15" customHeight="1">
      <c r="A173" s="302">
        <v>128</v>
      </c>
      <c r="B173" s="212">
        <v>46153</v>
      </c>
      <c r="C173" s="210" t="s">
        <v>446</v>
      </c>
      <c r="D173" s="210" t="s">
        <v>187</v>
      </c>
      <c r="E173" s="211">
        <v>8809879544071</v>
      </c>
      <c r="F173" s="210" t="s">
        <v>288</v>
      </c>
      <c r="G173" s="210" t="s">
        <v>188</v>
      </c>
      <c r="H173" s="210"/>
      <c r="I173" s="210"/>
      <c r="J173" s="210">
        <v>0</v>
      </c>
      <c r="K173" s="210"/>
      <c r="L173" s="210">
        <v>1</v>
      </c>
      <c r="M173" s="210"/>
      <c r="N173" s="210" t="s">
        <v>189</v>
      </c>
      <c r="O173" s="211">
        <v>92234907531</v>
      </c>
      <c r="P173" s="303"/>
      <c r="Q173" s="210" t="s">
        <v>475</v>
      </c>
    </row>
    <row r="174" spans="1:17" ht="15" customHeight="1">
      <c r="A174" s="302"/>
      <c r="B174" s="212">
        <v>46153</v>
      </c>
      <c r="C174" s="210" t="s">
        <v>446</v>
      </c>
      <c r="D174" s="210" t="s">
        <v>187</v>
      </c>
      <c r="E174" s="211">
        <v>8809879544071</v>
      </c>
      <c r="F174" s="210" t="s">
        <v>288</v>
      </c>
      <c r="G174" s="210" t="s">
        <v>188</v>
      </c>
      <c r="H174" s="210"/>
      <c r="I174" s="210"/>
      <c r="J174" s="210">
        <v>0</v>
      </c>
      <c r="K174" s="210"/>
      <c r="L174" s="210">
        <v>3</v>
      </c>
      <c r="M174" s="210"/>
      <c r="N174" s="210" t="s">
        <v>189</v>
      </c>
      <c r="O174" s="211">
        <v>92234907531</v>
      </c>
      <c r="P174" s="303"/>
      <c r="Q174" s="210" t="s">
        <v>475</v>
      </c>
    </row>
    <row r="175" spans="1:17" ht="15" customHeight="1">
      <c r="A175" s="302">
        <v>129</v>
      </c>
      <c r="B175" s="212">
        <v>46153</v>
      </c>
      <c r="C175" s="210" t="s">
        <v>447</v>
      </c>
      <c r="D175" s="210" t="s">
        <v>187</v>
      </c>
      <c r="E175" s="211">
        <v>8809879544071</v>
      </c>
      <c r="F175" s="210" t="s">
        <v>288</v>
      </c>
      <c r="G175" s="210" t="s">
        <v>188</v>
      </c>
      <c r="H175" s="210"/>
      <c r="I175" s="210"/>
      <c r="J175" s="210">
        <v>0</v>
      </c>
      <c r="K175" s="210"/>
      <c r="L175" s="210">
        <v>3</v>
      </c>
      <c r="M175" s="210"/>
      <c r="N175" s="210" t="s">
        <v>189</v>
      </c>
      <c r="O175" s="211">
        <v>92234907542</v>
      </c>
      <c r="P175" s="303"/>
      <c r="Q175" s="210" t="s">
        <v>475</v>
      </c>
    </row>
    <row r="176" spans="1:17" ht="15" customHeight="1">
      <c r="A176" s="302">
        <v>130</v>
      </c>
      <c r="B176" s="212">
        <v>46150</v>
      </c>
      <c r="C176" s="210" t="s">
        <v>448</v>
      </c>
      <c r="D176" s="210" t="s">
        <v>187</v>
      </c>
      <c r="E176" s="211">
        <v>8809879544071</v>
      </c>
      <c r="F176" s="210" t="s">
        <v>288</v>
      </c>
      <c r="G176" s="210" t="s">
        <v>188</v>
      </c>
      <c r="H176" s="210"/>
      <c r="I176" s="210"/>
      <c r="J176" s="210">
        <v>0</v>
      </c>
      <c r="K176" s="210"/>
      <c r="L176" s="210">
        <v>1</v>
      </c>
      <c r="M176" s="210"/>
      <c r="N176" s="210" t="s">
        <v>189</v>
      </c>
      <c r="O176" s="211">
        <v>92234875563</v>
      </c>
      <c r="P176" s="303"/>
      <c r="Q176" s="210" t="s">
        <v>475</v>
      </c>
    </row>
    <row r="177" spans="1:17" ht="15" customHeight="1">
      <c r="A177" s="302"/>
      <c r="B177" s="212">
        <v>46150</v>
      </c>
      <c r="C177" s="210" t="s">
        <v>448</v>
      </c>
      <c r="D177" s="210" t="s">
        <v>187</v>
      </c>
      <c r="E177" s="211">
        <v>8809879544071</v>
      </c>
      <c r="F177" s="210" t="s">
        <v>288</v>
      </c>
      <c r="G177" s="210" t="s">
        <v>188</v>
      </c>
      <c r="H177" s="210"/>
      <c r="I177" s="210"/>
      <c r="J177" s="210">
        <v>0</v>
      </c>
      <c r="K177" s="210"/>
      <c r="L177" s="210">
        <v>3</v>
      </c>
      <c r="M177" s="210"/>
      <c r="N177" s="210" t="s">
        <v>189</v>
      </c>
      <c r="O177" s="211">
        <v>92234875563</v>
      </c>
      <c r="P177" s="303"/>
      <c r="Q177" s="210" t="s">
        <v>475</v>
      </c>
    </row>
    <row r="178" spans="1:17" ht="15" customHeight="1">
      <c r="A178" s="302">
        <v>131</v>
      </c>
      <c r="B178" s="212">
        <v>46149</v>
      </c>
      <c r="C178" s="210" t="s">
        <v>449</v>
      </c>
      <c r="D178" s="210" t="s">
        <v>187</v>
      </c>
      <c r="E178" s="211">
        <v>8809879544071</v>
      </c>
      <c r="F178" s="210" t="s">
        <v>288</v>
      </c>
      <c r="G178" s="210" t="s">
        <v>188</v>
      </c>
      <c r="H178" s="210"/>
      <c r="I178" s="210"/>
      <c r="J178" s="210">
        <v>0</v>
      </c>
      <c r="K178" s="210"/>
      <c r="L178" s="210">
        <v>9</v>
      </c>
      <c r="M178" s="210"/>
      <c r="N178" s="210" t="s">
        <v>189</v>
      </c>
      <c r="O178" s="211">
        <v>92234826482</v>
      </c>
      <c r="P178" s="303"/>
      <c r="Q178" s="210" t="s">
        <v>475</v>
      </c>
    </row>
    <row r="179" spans="1:17" ht="15" customHeight="1">
      <c r="A179" s="302">
        <v>132</v>
      </c>
      <c r="B179" s="212">
        <v>46149</v>
      </c>
      <c r="C179" s="210" t="s">
        <v>450</v>
      </c>
      <c r="D179" s="210" t="s">
        <v>187</v>
      </c>
      <c r="E179" s="211">
        <v>8809879544071</v>
      </c>
      <c r="F179" s="210" t="s">
        <v>288</v>
      </c>
      <c r="G179" s="210" t="s">
        <v>188</v>
      </c>
      <c r="H179" s="210"/>
      <c r="I179" s="210"/>
      <c r="J179" s="210">
        <v>0</v>
      </c>
      <c r="K179" s="210"/>
      <c r="L179" s="210">
        <v>6</v>
      </c>
      <c r="M179" s="210"/>
      <c r="N179" s="210" t="s">
        <v>189</v>
      </c>
      <c r="O179" s="211">
        <v>92234826493</v>
      </c>
      <c r="P179" s="303"/>
      <c r="Q179" s="210" t="s">
        <v>475</v>
      </c>
    </row>
    <row r="180" spans="1:17" ht="15" customHeight="1">
      <c r="A180" s="302">
        <v>133</v>
      </c>
      <c r="B180" s="212">
        <v>46149</v>
      </c>
      <c r="C180" s="210" t="s">
        <v>451</v>
      </c>
      <c r="D180" s="210" t="s">
        <v>187</v>
      </c>
      <c r="E180" s="211">
        <v>8809879544071</v>
      </c>
      <c r="F180" s="210" t="s">
        <v>288</v>
      </c>
      <c r="G180" s="210" t="s">
        <v>188</v>
      </c>
      <c r="H180" s="210"/>
      <c r="I180" s="210"/>
      <c r="J180" s="210">
        <v>0</v>
      </c>
      <c r="K180" s="210"/>
      <c r="L180" s="210">
        <v>1</v>
      </c>
      <c r="M180" s="210"/>
      <c r="N180" s="210" t="s">
        <v>189</v>
      </c>
      <c r="O180" s="211">
        <v>92234805751</v>
      </c>
      <c r="P180" s="303"/>
      <c r="Q180" s="210" t="s">
        <v>475</v>
      </c>
    </row>
    <row r="181" spans="1:17" ht="15" customHeight="1">
      <c r="A181" s="302"/>
      <c r="B181" s="212">
        <v>46149</v>
      </c>
      <c r="C181" s="210" t="s">
        <v>451</v>
      </c>
      <c r="D181" s="210" t="s">
        <v>187</v>
      </c>
      <c r="E181" s="211">
        <v>8809879544071</v>
      </c>
      <c r="F181" s="210" t="s">
        <v>288</v>
      </c>
      <c r="G181" s="210" t="s">
        <v>188</v>
      </c>
      <c r="H181" s="210"/>
      <c r="I181" s="210"/>
      <c r="J181" s="210">
        <v>0</v>
      </c>
      <c r="K181" s="210"/>
      <c r="L181" s="210">
        <v>1</v>
      </c>
      <c r="M181" s="210"/>
      <c r="N181" s="210" t="s">
        <v>189</v>
      </c>
      <c r="O181" s="211">
        <v>92234805751</v>
      </c>
      <c r="P181" s="303"/>
      <c r="Q181" s="210" t="s">
        <v>475</v>
      </c>
    </row>
    <row r="182" spans="1:17" ht="15" customHeight="1">
      <c r="A182" s="302">
        <v>134</v>
      </c>
      <c r="B182" s="212">
        <v>46148</v>
      </c>
      <c r="C182" s="210" t="s">
        <v>452</v>
      </c>
      <c r="D182" s="210" t="s">
        <v>187</v>
      </c>
      <c r="E182" s="211">
        <v>8809879544071</v>
      </c>
      <c r="F182" s="210" t="s">
        <v>288</v>
      </c>
      <c r="G182" s="210" t="s">
        <v>188</v>
      </c>
      <c r="H182" s="210"/>
      <c r="I182" s="210"/>
      <c r="J182" s="210">
        <v>0</v>
      </c>
      <c r="K182" s="210"/>
      <c r="L182" s="210">
        <v>2</v>
      </c>
      <c r="M182" s="210"/>
      <c r="N182" s="210" t="s">
        <v>189</v>
      </c>
      <c r="O182" s="211">
        <v>92234762793</v>
      </c>
      <c r="P182" s="303"/>
      <c r="Q182" s="210" t="s">
        <v>475</v>
      </c>
    </row>
    <row r="183" spans="1:17" ht="15" customHeight="1">
      <c r="A183" s="302">
        <v>135</v>
      </c>
      <c r="B183" s="212">
        <v>46148</v>
      </c>
      <c r="C183" s="210" t="s">
        <v>453</v>
      </c>
      <c r="D183" s="210" t="s">
        <v>187</v>
      </c>
      <c r="E183" s="211">
        <v>8809879544071</v>
      </c>
      <c r="F183" s="210" t="s">
        <v>288</v>
      </c>
      <c r="G183" s="210" t="s">
        <v>188</v>
      </c>
      <c r="H183" s="210"/>
      <c r="I183" s="210"/>
      <c r="J183" s="210">
        <v>0</v>
      </c>
      <c r="K183" s="210"/>
      <c r="L183" s="210">
        <v>2</v>
      </c>
      <c r="M183" s="210"/>
      <c r="N183" s="210" t="s">
        <v>189</v>
      </c>
      <c r="O183" s="211">
        <v>92234762852</v>
      </c>
      <c r="P183" s="303"/>
      <c r="Q183" s="210" t="s">
        <v>475</v>
      </c>
    </row>
    <row r="184" spans="1:17" ht="15" customHeight="1">
      <c r="A184" s="302">
        <v>136</v>
      </c>
      <c r="B184" s="212">
        <v>46148</v>
      </c>
      <c r="C184" s="210" t="s">
        <v>454</v>
      </c>
      <c r="D184" s="210" t="s">
        <v>187</v>
      </c>
      <c r="E184" s="211">
        <v>8809879544071</v>
      </c>
      <c r="F184" s="210" t="s">
        <v>288</v>
      </c>
      <c r="G184" s="210" t="s">
        <v>188</v>
      </c>
      <c r="H184" s="210"/>
      <c r="I184" s="210"/>
      <c r="J184" s="210">
        <v>0</v>
      </c>
      <c r="K184" s="210"/>
      <c r="L184" s="210">
        <v>2</v>
      </c>
      <c r="M184" s="210"/>
      <c r="N184" s="210" t="s">
        <v>189</v>
      </c>
      <c r="O184" s="211">
        <v>92234762863</v>
      </c>
      <c r="P184" s="303"/>
      <c r="Q184" s="210" t="s">
        <v>475</v>
      </c>
    </row>
    <row r="185" spans="1:17" ht="15" customHeight="1">
      <c r="A185" s="302">
        <v>137</v>
      </c>
      <c r="B185" s="212">
        <v>46148</v>
      </c>
      <c r="C185" s="210" t="s">
        <v>455</v>
      </c>
      <c r="D185" s="210" t="s">
        <v>187</v>
      </c>
      <c r="E185" s="211">
        <v>8809879544071</v>
      </c>
      <c r="F185" s="210" t="s">
        <v>288</v>
      </c>
      <c r="G185" s="210" t="s">
        <v>188</v>
      </c>
      <c r="H185" s="210"/>
      <c r="I185" s="210"/>
      <c r="J185" s="210">
        <v>0</v>
      </c>
      <c r="K185" s="210"/>
      <c r="L185" s="210">
        <v>2</v>
      </c>
      <c r="M185" s="210"/>
      <c r="N185" s="210" t="s">
        <v>189</v>
      </c>
      <c r="O185" s="211">
        <v>92234762841</v>
      </c>
      <c r="P185" s="303"/>
      <c r="Q185" s="210" t="s">
        <v>475</v>
      </c>
    </row>
    <row r="186" spans="1:17" ht="15" customHeight="1">
      <c r="A186" s="302">
        <v>138</v>
      </c>
      <c r="B186" s="212">
        <v>46148</v>
      </c>
      <c r="C186" s="210" t="s">
        <v>456</v>
      </c>
      <c r="D186" s="210" t="s">
        <v>187</v>
      </c>
      <c r="E186" s="211">
        <v>8809879544071</v>
      </c>
      <c r="F186" s="210" t="s">
        <v>288</v>
      </c>
      <c r="G186" s="210" t="s">
        <v>188</v>
      </c>
      <c r="H186" s="210"/>
      <c r="I186" s="210"/>
      <c r="J186" s="210">
        <v>0</v>
      </c>
      <c r="K186" s="210"/>
      <c r="L186" s="210">
        <v>2</v>
      </c>
      <c r="M186" s="210"/>
      <c r="N186" s="210" t="s">
        <v>189</v>
      </c>
      <c r="O186" s="211">
        <v>92234762830</v>
      </c>
      <c r="P186" s="303"/>
      <c r="Q186" s="210" t="s">
        <v>475</v>
      </c>
    </row>
    <row r="187" spans="1:17" ht="15" customHeight="1">
      <c r="A187" s="302">
        <v>139</v>
      </c>
      <c r="B187" s="212">
        <v>46148</v>
      </c>
      <c r="C187" s="210" t="s">
        <v>457</v>
      </c>
      <c r="D187" s="210" t="s">
        <v>187</v>
      </c>
      <c r="E187" s="211">
        <v>8809879544071</v>
      </c>
      <c r="F187" s="210" t="s">
        <v>288</v>
      </c>
      <c r="G187" s="210" t="s">
        <v>188</v>
      </c>
      <c r="H187" s="210"/>
      <c r="I187" s="210"/>
      <c r="J187" s="210">
        <v>0</v>
      </c>
      <c r="K187" s="210"/>
      <c r="L187" s="210">
        <v>2</v>
      </c>
      <c r="M187" s="210"/>
      <c r="N187" s="210" t="s">
        <v>189</v>
      </c>
      <c r="O187" s="211">
        <v>92234762826</v>
      </c>
      <c r="P187" s="303"/>
      <c r="Q187" s="210" t="s">
        <v>475</v>
      </c>
    </row>
    <row r="188" spans="1:17" ht="15" customHeight="1">
      <c r="A188" s="302">
        <v>140</v>
      </c>
      <c r="B188" s="212">
        <v>46148</v>
      </c>
      <c r="C188" s="210" t="s">
        <v>458</v>
      </c>
      <c r="D188" s="210" t="s">
        <v>187</v>
      </c>
      <c r="E188" s="211">
        <v>8809879544071</v>
      </c>
      <c r="F188" s="210" t="s">
        <v>288</v>
      </c>
      <c r="G188" s="210" t="s">
        <v>188</v>
      </c>
      <c r="H188" s="210"/>
      <c r="I188" s="210"/>
      <c r="J188" s="210">
        <v>0</v>
      </c>
      <c r="K188" s="210"/>
      <c r="L188" s="210">
        <v>2</v>
      </c>
      <c r="M188" s="210"/>
      <c r="N188" s="210" t="s">
        <v>189</v>
      </c>
      <c r="O188" s="211">
        <v>92234762815</v>
      </c>
      <c r="P188" s="303"/>
      <c r="Q188" s="210" t="s">
        <v>475</v>
      </c>
    </row>
    <row r="189" spans="1:17" ht="15" customHeight="1">
      <c r="A189" s="302">
        <v>141</v>
      </c>
      <c r="B189" s="212">
        <v>46148</v>
      </c>
      <c r="C189" s="210" t="s">
        <v>459</v>
      </c>
      <c r="D189" s="210" t="s">
        <v>187</v>
      </c>
      <c r="E189" s="211">
        <v>8809879544071</v>
      </c>
      <c r="F189" s="210" t="s">
        <v>288</v>
      </c>
      <c r="G189" s="210" t="s">
        <v>188</v>
      </c>
      <c r="H189" s="210"/>
      <c r="I189" s="210"/>
      <c r="J189" s="210">
        <v>0</v>
      </c>
      <c r="K189" s="210"/>
      <c r="L189" s="210">
        <v>2</v>
      </c>
      <c r="M189" s="210"/>
      <c r="N189" s="210" t="s">
        <v>189</v>
      </c>
      <c r="O189" s="211">
        <v>92234762804</v>
      </c>
      <c r="P189" s="303"/>
      <c r="Q189" s="210" t="s">
        <v>475</v>
      </c>
    </row>
    <row r="190" spans="1:17" ht="15" customHeight="1">
      <c r="A190" s="302">
        <v>142</v>
      </c>
      <c r="B190" s="212">
        <v>46148</v>
      </c>
      <c r="C190" s="210" t="s">
        <v>460</v>
      </c>
      <c r="D190" s="210" t="s">
        <v>187</v>
      </c>
      <c r="E190" s="211">
        <v>8809879544071</v>
      </c>
      <c r="F190" s="210" t="s">
        <v>288</v>
      </c>
      <c r="G190" s="210" t="s">
        <v>188</v>
      </c>
      <c r="H190" s="210"/>
      <c r="I190" s="210"/>
      <c r="J190" s="210">
        <v>0</v>
      </c>
      <c r="K190" s="210"/>
      <c r="L190" s="210">
        <v>2</v>
      </c>
      <c r="M190" s="210"/>
      <c r="N190" s="210" t="s">
        <v>189</v>
      </c>
      <c r="O190" s="211">
        <v>92234762782</v>
      </c>
      <c r="P190" s="303"/>
      <c r="Q190" s="210" t="s">
        <v>475</v>
      </c>
    </row>
    <row r="191" spans="1:17" ht="15" customHeight="1">
      <c r="A191" s="302">
        <v>143</v>
      </c>
      <c r="B191" s="212">
        <v>46148</v>
      </c>
      <c r="C191" s="210" t="s">
        <v>461</v>
      </c>
      <c r="D191" s="210" t="s">
        <v>187</v>
      </c>
      <c r="E191" s="211">
        <v>8809879544071</v>
      </c>
      <c r="F191" s="210" t="s">
        <v>288</v>
      </c>
      <c r="G191" s="210" t="s">
        <v>188</v>
      </c>
      <c r="H191" s="210"/>
      <c r="I191" s="210"/>
      <c r="J191" s="210">
        <v>0</v>
      </c>
      <c r="K191" s="210"/>
      <c r="L191" s="210">
        <v>2</v>
      </c>
      <c r="M191" s="210"/>
      <c r="N191" s="210" t="s">
        <v>189</v>
      </c>
      <c r="O191" s="211">
        <v>92234762771</v>
      </c>
      <c r="P191" s="303"/>
      <c r="Q191" s="210" t="s">
        <v>475</v>
      </c>
    </row>
    <row r="192" spans="1:17" ht="15" customHeight="1">
      <c r="A192" s="302">
        <v>144</v>
      </c>
      <c r="B192" s="212">
        <v>46148</v>
      </c>
      <c r="C192" s="210" t="s">
        <v>462</v>
      </c>
      <c r="D192" s="210" t="s">
        <v>187</v>
      </c>
      <c r="E192" s="211">
        <v>8809879544071</v>
      </c>
      <c r="F192" s="210" t="s">
        <v>288</v>
      </c>
      <c r="G192" s="210" t="s">
        <v>188</v>
      </c>
      <c r="H192" s="210"/>
      <c r="I192" s="210"/>
      <c r="J192" s="210">
        <v>0</v>
      </c>
      <c r="K192" s="210"/>
      <c r="L192" s="210">
        <v>2</v>
      </c>
      <c r="M192" s="210"/>
      <c r="N192" s="210" t="s">
        <v>189</v>
      </c>
      <c r="O192" s="211">
        <v>92234762760</v>
      </c>
      <c r="P192" s="303"/>
      <c r="Q192" s="210" t="s">
        <v>475</v>
      </c>
    </row>
    <row r="193" spans="1:17" ht="15" customHeight="1">
      <c r="A193" s="302">
        <v>145</v>
      </c>
      <c r="B193" s="212">
        <v>46148</v>
      </c>
      <c r="C193" s="210" t="s">
        <v>463</v>
      </c>
      <c r="D193" s="210" t="s">
        <v>187</v>
      </c>
      <c r="E193" s="211">
        <v>8809879544071</v>
      </c>
      <c r="F193" s="210" t="s">
        <v>288</v>
      </c>
      <c r="G193" s="210" t="s">
        <v>188</v>
      </c>
      <c r="H193" s="210"/>
      <c r="I193" s="210"/>
      <c r="J193" s="210">
        <v>0</v>
      </c>
      <c r="K193" s="210"/>
      <c r="L193" s="210">
        <v>2</v>
      </c>
      <c r="M193" s="210"/>
      <c r="N193" s="210" t="s">
        <v>189</v>
      </c>
      <c r="O193" s="211">
        <v>92234762756</v>
      </c>
      <c r="P193" s="303"/>
      <c r="Q193" s="210" t="s">
        <v>475</v>
      </c>
    </row>
    <row r="194" spans="1:17" ht="15" customHeight="1">
      <c r="A194" s="302">
        <v>146</v>
      </c>
      <c r="B194" s="212">
        <v>46148</v>
      </c>
      <c r="C194" s="210" t="s">
        <v>464</v>
      </c>
      <c r="D194" s="210" t="s">
        <v>187</v>
      </c>
      <c r="E194" s="211">
        <v>8809879544071</v>
      </c>
      <c r="F194" s="210" t="s">
        <v>288</v>
      </c>
      <c r="G194" s="210" t="s">
        <v>188</v>
      </c>
      <c r="H194" s="210"/>
      <c r="I194" s="210"/>
      <c r="J194" s="210">
        <v>0</v>
      </c>
      <c r="K194" s="210"/>
      <c r="L194" s="210">
        <v>2</v>
      </c>
      <c r="M194" s="210"/>
      <c r="N194" s="210" t="s">
        <v>189</v>
      </c>
      <c r="O194" s="211">
        <v>92234762745</v>
      </c>
      <c r="P194" s="303"/>
      <c r="Q194" s="210" t="s">
        <v>475</v>
      </c>
    </row>
    <row r="195" spans="1:17" ht="15" customHeight="1">
      <c r="A195" s="302">
        <v>147</v>
      </c>
      <c r="B195" s="212">
        <v>46148</v>
      </c>
      <c r="C195" s="210" t="s">
        <v>465</v>
      </c>
      <c r="D195" s="210" t="s">
        <v>187</v>
      </c>
      <c r="E195" s="211">
        <v>8809879544071</v>
      </c>
      <c r="F195" s="210" t="s">
        <v>288</v>
      </c>
      <c r="G195" s="210" t="s">
        <v>188</v>
      </c>
      <c r="H195" s="210"/>
      <c r="I195" s="210"/>
      <c r="J195" s="210">
        <v>0</v>
      </c>
      <c r="K195" s="210"/>
      <c r="L195" s="210">
        <v>1</v>
      </c>
      <c r="M195" s="210"/>
      <c r="N195" s="210" t="s">
        <v>189</v>
      </c>
      <c r="O195" s="211">
        <v>92234762734</v>
      </c>
      <c r="P195" s="303"/>
      <c r="Q195" s="210" t="s">
        <v>475</v>
      </c>
    </row>
    <row r="196" spans="1:17" ht="15" customHeight="1">
      <c r="A196" s="302"/>
      <c r="B196" s="212">
        <v>46148</v>
      </c>
      <c r="C196" s="210" t="s">
        <v>465</v>
      </c>
      <c r="D196" s="210" t="s">
        <v>187</v>
      </c>
      <c r="E196" s="211">
        <v>8809879544071</v>
      </c>
      <c r="F196" s="210" t="s">
        <v>288</v>
      </c>
      <c r="G196" s="210" t="s">
        <v>188</v>
      </c>
      <c r="H196" s="210"/>
      <c r="I196" s="210"/>
      <c r="J196" s="210">
        <v>0</v>
      </c>
      <c r="K196" s="210"/>
      <c r="L196" s="210">
        <v>3</v>
      </c>
      <c r="M196" s="210"/>
      <c r="N196" s="210" t="s">
        <v>189</v>
      </c>
      <c r="O196" s="211">
        <v>92234762734</v>
      </c>
      <c r="P196" s="303"/>
      <c r="Q196" s="210" t="s">
        <v>475</v>
      </c>
    </row>
    <row r="197" spans="1:17" ht="15" customHeight="1">
      <c r="A197" s="302">
        <v>148</v>
      </c>
      <c r="B197" s="212">
        <v>46146</v>
      </c>
      <c r="C197" s="210" t="s">
        <v>466</v>
      </c>
      <c r="D197" s="210" t="s">
        <v>187</v>
      </c>
      <c r="E197" s="211">
        <v>8809879544071</v>
      </c>
      <c r="F197" s="210" t="s">
        <v>288</v>
      </c>
      <c r="G197" s="210" t="s">
        <v>188</v>
      </c>
      <c r="H197" s="210"/>
      <c r="I197" s="210"/>
      <c r="J197" s="210">
        <v>0</v>
      </c>
      <c r="K197" s="210"/>
      <c r="L197" s="210">
        <v>100</v>
      </c>
      <c r="M197" s="210"/>
      <c r="N197" s="210" t="s">
        <v>189</v>
      </c>
      <c r="O197" s="211">
        <v>92234714250</v>
      </c>
      <c r="P197" s="303"/>
      <c r="Q197" s="210" t="s">
        <v>476</v>
      </c>
    </row>
    <row r="198" spans="1:17" ht="15" customHeight="1">
      <c r="A198" s="302">
        <v>149</v>
      </c>
      <c r="B198" s="212">
        <v>46146</v>
      </c>
      <c r="C198" s="210" t="s">
        <v>467</v>
      </c>
      <c r="D198" s="210" t="s">
        <v>187</v>
      </c>
      <c r="E198" s="211">
        <v>8809990970018</v>
      </c>
      <c r="F198" s="210" t="s">
        <v>281</v>
      </c>
      <c r="G198" s="210" t="s">
        <v>188</v>
      </c>
      <c r="H198" s="210"/>
      <c r="I198" s="210"/>
      <c r="J198" s="210">
        <v>0</v>
      </c>
      <c r="K198" s="210"/>
      <c r="L198" s="210">
        <v>15</v>
      </c>
      <c r="M198" s="210"/>
      <c r="N198" s="210" t="s">
        <v>189</v>
      </c>
      <c r="O198" s="211">
        <v>92234714202</v>
      </c>
      <c r="P198" s="303"/>
      <c r="Q198" s="210" t="s">
        <v>475</v>
      </c>
    </row>
    <row r="199" spans="1:17" ht="15" customHeight="1">
      <c r="A199" s="302"/>
      <c r="B199" s="212">
        <v>46146</v>
      </c>
      <c r="C199" s="210" t="s">
        <v>467</v>
      </c>
      <c r="D199" s="210" t="s">
        <v>187</v>
      </c>
      <c r="E199" s="211">
        <v>8809879544071</v>
      </c>
      <c r="F199" s="210" t="s">
        <v>288</v>
      </c>
      <c r="G199" s="210" t="s">
        <v>188</v>
      </c>
      <c r="H199" s="210"/>
      <c r="I199" s="210"/>
      <c r="J199" s="210">
        <v>0</v>
      </c>
      <c r="K199" s="210"/>
      <c r="L199" s="210">
        <v>20</v>
      </c>
      <c r="M199" s="210"/>
      <c r="N199" s="210" t="s">
        <v>189</v>
      </c>
      <c r="O199" s="211">
        <v>92234714202</v>
      </c>
      <c r="P199" s="303"/>
      <c r="Q199" s="210" t="s">
        <v>475</v>
      </c>
    </row>
    <row r="200" spans="1:17" ht="15" customHeight="1">
      <c r="A200" s="302">
        <v>150</v>
      </c>
      <c r="B200" s="212">
        <v>46146</v>
      </c>
      <c r="C200" s="210" t="s">
        <v>468</v>
      </c>
      <c r="D200" s="210" t="s">
        <v>187</v>
      </c>
      <c r="E200" s="211">
        <v>8809879544255</v>
      </c>
      <c r="F200" s="210" t="s">
        <v>290</v>
      </c>
      <c r="G200" s="210" t="s">
        <v>188</v>
      </c>
      <c r="H200" s="210"/>
      <c r="I200" s="210"/>
      <c r="J200" s="210">
        <v>0</v>
      </c>
      <c r="K200" s="210"/>
      <c r="L200" s="210">
        <v>1</v>
      </c>
      <c r="M200" s="210"/>
      <c r="N200" s="210" t="s">
        <v>189</v>
      </c>
      <c r="O200" s="211">
        <v>92234714342</v>
      </c>
      <c r="P200" s="303"/>
      <c r="Q200" s="210" t="s">
        <v>475</v>
      </c>
    </row>
    <row r="201" spans="1:17" ht="15" customHeight="1">
      <c r="A201" s="302">
        <v>151</v>
      </c>
      <c r="B201" s="212">
        <v>46146</v>
      </c>
      <c r="C201" s="210" t="s">
        <v>469</v>
      </c>
      <c r="D201" s="210" t="s">
        <v>187</v>
      </c>
      <c r="E201" s="211">
        <v>8809879544071</v>
      </c>
      <c r="F201" s="210" t="s">
        <v>288</v>
      </c>
      <c r="G201" s="210" t="s">
        <v>188</v>
      </c>
      <c r="H201" s="210"/>
      <c r="I201" s="210"/>
      <c r="J201" s="210">
        <v>0</v>
      </c>
      <c r="K201" s="210"/>
      <c r="L201" s="210">
        <v>6</v>
      </c>
      <c r="M201" s="210"/>
      <c r="N201" s="210" t="s">
        <v>189</v>
      </c>
      <c r="O201" s="211">
        <v>92234714246</v>
      </c>
      <c r="P201" s="303"/>
      <c r="Q201" s="210" t="s">
        <v>475</v>
      </c>
    </row>
    <row r="202" spans="1:17" ht="15" customHeight="1">
      <c r="A202" s="302">
        <v>152</v>
      </c>
      <c r="B202" s="212">
        <v>46146</v>
      </c>
      <c r="C202" s="210" t="s">
        <v>470</v>
      </c>
      <c r="D202" s="210" t="s">
        <v>187</v>
      </c>
      <c r="E202" s="211">
        <v>8809879544071</v>
      </c>
      <c r="F202" s="210" t="s">
        <v>288</v>
      </c>
      <c r="G202" s="210" t="s">
        <v>188</v>
      </c>
      <c r="H202" s="210"/>
      <c r="I202" s="210"/>
      <c r="J202" s="210">
        <v>0</v>
      </c>
      <c r="K202" s="210"/>
      <c r="L202" s="210">
        <v>1</v>
      </c>
      <c r="M202" s="210"/>
      <c r="N202" s="210" t="s">
        <v>189</v>
      </c>
      <c r="O202" s="211">
        <v>92234714110</v>
      </c>
      <c r="P202" s="303"/>
      <c r="Q202" s="210" t="s">
        <v>475</v>
      </c>
    </row>
    <row r="203" spans="1:17" ht="15" customHeight="1">
      <c r="A203" s="302"/>
      <c r="B203" s="212">
        <v>46146</v>
      </c>
      <c r="C203" s="210" t="s">
        <v>470</v>
      </c>
      <c r="D203" s="210" t="s">
        <v>187</v>
      </c>
      <c r="E203" s="211">
        <v>8809879544071</v>
      </c>
      <c r="F203" s="210" t="s">
        <v>288</v>
      </c>
      <c r="G203" s="210" t="s">
        <v>188</v>
      </c>
      <c r="H203" s="210"/>
      <c r="I203" s="210"/>
      <c r="J203" s="210">
        <v>0</v>
      </c>
      <c r="K203" s="210"/>
      <c r="L203" s="210">
        <v>1</v>
      </c>
      <c r="M203" s="210"/>
      <c r="N203" s="210" t="s">
        <v>189</v>
      </c>
      <c r="O203" s="211">
        <v>92234714110</v>
      </c>
      <c r="P203" s="303"/>
      <c r="Q203" s="210" t="s">
        <v>475</v>
      </c>
    </row>
    <row r="204" spans="1:17" ht="15" customHeight="1">
      <c r="A204" s="302">
        <v>153</v>
      </c>
      <c r="B204" s="212">
        <v>46146</v>
      </c>
      <c r="C204" s="210" t="s">
        <v>471</v>
      </c>
      <c r="D204" s="210" t="s">
        <v>187</v>
      </c>
      <c r="E204" s="211">
        <v>8809879544071</v>
      </c>
      <c r="F204" s="210" t="s">
        <v>288</v>
      </c>
      <c r="G204" s="210" t="s">
        <v>188</v>
      </c>
      <c r="H204" s="210"/>
      <c r="I204" s="210"/>
      <c r="J204" s="210">
        <v>0</v>
      </c>
      <c r="K204" s="210"/>
      <c r="L204" s="210">
        <v>1</v>
      </c>
      <c r="M204" s="210"/>
      <c r="N204" s="210" t="s">
        <v>189</v>
      </c>
      <c r="O204" s="211">
        <v>92234714106</v>
      </c>
      <c r="P204" s="303"/>
      <c r="Q204" s="210" t="s">
        <v>475</v>
      </c>
    </row>
    <row r="205" spans="1:17" ht="15" customHeight="1">
      <c r="A205" s="305"/>
      <c r="B205" s="306">
        <v>46146</v>
      </c>
      <c r="C205" s="307" t="s">
        <v>471</v>
      </c>
      <c r="D205" s="307" t="s">
        <v>187</v>
      </c>
      <c r="E205" s="308">
        <v>8809879544071</v>
      </c>
      <c r="F205" s="307" t="s">
        <v>288</v>
      </c>
      <c r="G205" s="307" t="s">
        <v>188</v>
      </c>
      <c r="H205" s="307"/>
      <c r="I205" s="307"/>
      <c r="J205" s="307">
        <v>0</v>
      </c>
      <c r="K205" s="307"/>
      <c r="L205" s="307">
        <v>5</v>
      </c>
      <c r="M205" s="307"/>
      <c r="N205" s="307" t="s">
        <v>189</v>
      </c>
      <c r="O205" s="308">
        <v>92234714106</v>
      </c>
      <c r="P205" s="309"/>
      <c r="Q205" s="307" t="s">
        <v>475</v>
      </c>
    </row>
    <row r="206" spans="1:17" ht="15" customHeight="1">
      <c r="A206" s="302"/>
      <c r="B206" s="210"/>
      <c r="C206" s="210"/>
      <c r="D206" s="210"/>
      <c r="E206" s="211"/>
      <c r="F206" s="210"/>
      <c r="G206" s="210"/>
      <c r="H206" s="210"/>
      <c r="I206" s="210"/>
      <c r="J206" s="210"/>
      <c r="K206" s="210"/>
      <c r="L206" s="210"/>
      <c r="M206" s="210"/>
      <c r="N206" s="210"/>
      <c r="O206" s="211"/>
      <c r="P206" s="303">
        <f>SUM(P2:P205)</f>
        <v>2</v>
      </c>
      <c r="Q206" s="210"/>
    </row>
    <row r="208" spans="1:17" ht="15" customHeight="1">
      <c r="K208" s="310" t="s">
        <v>479</v>
      </c>
      <c r="L208" s="311">
        <v>155</v>
      </c>
    </row>
    <row r="209" spans="11:12" ht="15" customHeight="1">
      <c r="K209" t="s">
        <v>477</v>
      </c>
      <c r="L209">
        <v>148</v>
      </c>
    </row>
    <row r="210" spans="11:12" ht="15" customHeight="1">
      <c r="K210" t="s">
        <v>478</v>
      </c>
      <c r="L210">
        <v>7</v>
      </c>
    </row>
  </sheetData>
  <autoFilter ref="A1:AA68" xr:uid="{00000000-0001-0000-0A00-000000000000}">
    <sortState xmlns:xlrd2="http://schemas.microsoft.com/office/spreadsheetml/2017/richdata2" ref="A2:AA68">
      <sortCondition ref="B1:B68"/>
    </sortState>
  </autoFilter>
  <phoneticPr fontId="31" type="noConversion"/>
  <conditionalFormatting sqref="O1:O206 P1:Q1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035A-3837-D64D-82E9-7D617B66B3E6}">
  <sheetPr>
    <tabColor theme="4" tint="0.79998168889431442"/>
  </sheetPr>
  <dimension ref="A2:J4"/>
  <sheetViews>
    <sheetView workbookViewId="0">
      <selection activeCell="X44" sqref="X44"/>
    </sheetView>
  </sheetViews>
  <sheetFormatPr baseColWidth="10" defaultRowHeight="15"/>
  <sheetData>
    <row r="2" spans="1:10">
      <c r="A2" s="260" t="s">
        <v>294</v>
      </c>
      <c r="B2" s="260" t="s">
        <v>295</v>
      </c>
      <c r="C2" s="260" t="s">
        <v>296</v>
      </c>
      <c r="D2" s="260" t="s">
        <v>297</v>
      </c>
      <c r="E2" s="260" t="s">
        <v>298</v>
      </c>
      <c r="F2" s="260" t="s">
        <v>133</v>
      </c>
      <c r="G2" s="260" t="s">
        <v>299</v>
      </c>
      <c r="H2" s="260" t="s">
        <v>300</v>
      </c>
      <c r="I2" s="266" t="s">
        <v>304</v>
      </c>
      <c r="J2" s="266" t="s">
        <v>229</v>
      </c>
    </row>
    <row r="3" spans="1:10">
      <c r="A3" s="256"/>
      <c r="B3" s="257"/>
      <c r="C3" s="257"/>
      <c r="D3" s="258"/>
      <c r="E3" s="257"/>
      <c r="F3" s="257"/>
      <c r="G3" s="257"/>
      <c r="H3" s="259"/>
      <c r="I3" s="259"/>
      <c r="J3" s="259"/>
    </row>
    <row r="4" spans="1:10">
      <c r="A4" s="261"/>
      <c r="B4" s="261"/>
      <c r="C4" s="261"/>
      <c r="D4" s="261"/>
      <c r="E4" s="261"/>
      <c r="F4" s="262" t="s">
        <v>59</v>
      </c>
      <c r="G4" s="263">
        <f>COUNTA(#REF!)</f>
        <v>1</v>
      </c>
      <c r="H4" s="264">
        <f>SUM(H3)</f>
        <v>0</v>
      </c>
      <c r="I4" s="264">
        <f>SUM(I3)</f>
        <v>0</v>
      </c>
      <c r="J4" s="264">
        <f>SUM(J3)</f>
        <v>0</v>
      </c>
    </row>
  </sheetData>
  <autoFilter ref="A2:H4" xr:uid="{139F035A-3837-D64D-82E9-7D617B66B3E6}"/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2631-45D5-FA43-A9AB-07932644025F}">
  <sheetPr>
    <tabColor theme="7" tint="0.79998168889431442"/>
  </sheetPr>
  <dimension ref="A1:Q15"/>
  <sheetViews>
    <sheetView topLeftCell="A3" workbookViewId="0">
      <selection activeCell="C25" sqref="C25"/>
    </sheetView>
  </sheetViews>
  <sheetFormatPr baseColWidth="10" defaultRowHeight="15"/>
  <cols>
    <col min="1" max="1" width="11.5" customWidth="1"/>
    <col min="2" max="2" width="18.6640625" bestFit="1" customWidth="1"/>
    <col min="3" max="4" width="17.83203125" bestFit="1" customWidth="1"/>
    <col min="5" max="5" width="15.5" customWidth="1"/>
    <col min="6" max="6" width="55.6640625" bestFit="1" customWidth="1"/>
    <col min="7" max="7" width="18.5" bestFit="1" customWidth="1"/>
    <col min="8" max="8" width="11.1640625" bestFit="1" customWidth="1"/>
    <col min="9" max="9" width="69.5" bestFit="1" customWidth="1"/>
    <col min="10" max="10" width="9.33203125" bestFit="1" customWidth="1"/>
  </cols>
  <sheetData>
    <row r="1" spans="1:17" ht="17">
      <c r="A1" s="214" t="s">
        <v>234</v>
      </c>
      <c r="B1" s="214" t="s">
        <v>235</v>
      </c>
      <c r="C1" s="214" t="s">
        <v>236</v>
      </c>
      <c r="D1" s="214" t="s">
        <v>237</v>
      </c>
      <c r="E1" s="214" t="s">
        <v>238</v>
      </c>
      <c r="F1" s="214" t="s">
        <v>239</v>
      </c>
      <c r="G1" s="214" t="s">
        <v>240</v>
      </c>
      <c r="H1" s="214" t="s">
        <v>167</v>
      </c>
      <c r="I1" s="214" t="s">
        <v>131</v>
      </c>
      <c r="J1" s="214" t="s">
        <v>241</v>
      </c>
    </row>
    <row r="5" spans="1:17">
      <c r="A5" t="s">
        <v>1589</v>
      </c>
    </row>
    <row r="6" spans="1:17" ht="17">
      <c r="A6" s="239" t="s">
        <v>167</v>
      </c>
      <c r="B6" s="240" t="s">
        <v>1563</v>
      </c>
      <c r="C6" s="240" t="s">
        <v>1564</v>
      </c>
      <c r="D6" s="240" t="s">
        <v>1565</v>
      </c>
      <c r="E6" s="240" t="s">
        <v>1566</v>
      </c>
      <c r="F6" s="240" t="s">
        <v>1567</v>
      </c>
      <c r="G6" s="240" t="s">
        <v>1568</v>
      </c>
      <c r="H6" s="240" t="s">
        <v>1569</v>
      </c>
      <c r="I6" s="240" t="s">
        <v>1570</v>
      </c>
      <c r="J6" s="240" t="s">
        <v>237</v>
      </c>
      <c r="K6" s="240" t="s">
        <v>238</v>
      </c>
      <c r="L6" s="240" t="s">
        <v>1571</v>
      </c>
      <c r="M6" s="240" t="s">
        <v>1572</v>
      </c>
      <c r="N6" s="240" t="s">
        <v>1573</v>
      </c>
      <c r="O6" s="240" t="s">
        <v>239</v>
      </c>
      <c r="P6" s="240" t="s">
        <v>548</v>
      </c>
      <c r="Q6" s="241" t="s">
        <v>131</v>
      </c>
    </row>
    <row r="7" spans="1:17" ht="17">
      <c r="A7" s="242" t="s">
        <v>1574</v>
      </c>
      <c r="B7" s="243" t="s">
        <v>168</v>
      </c>
      <c r="C7" s="243" t="s">
        <v>168</v>
      </c>
      <c r="D7" s="243" t="s">
        <v>168</v>
      </c>
      <c r="E7" s="243" t="s">
        <v>168</v>
      </c>
      <c r="F7" s="243" t="s">
        <v>168</v>
      </c>
      <c r="G7" s="243" t="s">
        <v>1575</v>
      </c>
      <c r="H7" s="243" t="s">
        <v>1576</v>
      </c>
      <c r="I7" s="243" t="s">
        <v>1576</v>
      </c>
      <c r="J7" s="243" t="s">
        <v>1577</v>
      </c>
      <c r="K7" s="243" t="s">
        <v>1578</v>
      </c>
      <c r="L7" s="243" t="s">
        <v>1579</v>
      </c>
      <c r="M7" s="243" t="s">
        <v>168</v>
      </c>
      <c r="N7" s="243">
        <v>1</v>
      </c>
      <c r="O7" s="243" t="s">
        <v>1580</v>
      </c>
      <c r="P7" s="243" t="s">
        <v>168</v>
      </c>
      <c r="Q7" s="244" t="s">
        <v>1581</v>
      </c>
    </row>
    <row r="8" spans="1:17" ht="17">
      <c r="A8" s="245" t="s">
        <v>1582</v>
      </c>
      <c r="B8" s="246" t="s">
        <v>168</v>
      </c>
      <c r="C8" s="246" t="s">
        <v>168</v>
      </c>
      <c r="D8" s="246" t="s">
        <v>168</v>
      </c>
      <c r="E8" s="246" t="s">
        <v>168</v>
      </c>
      <c r="F8" s="246" t="s">
        <v>168</v>
      </c>
      <c r="G8" s="246" t="s">
        <v>1583</v>
      </c>
      <c r="H8" s="246" t="s">
        <v>1584</v>
      </c>
      <c r="I8" s="246" t="s">
        <v>1584</v>
      </c>
      <c r="J8" s="246" t="s">
        <v>1585</v>
      </c>
      <c r="K8" s="246" t="s">
        <v>1586</v>
      </c>
      <c r="L8" s="246" t="s">
        <v>1587</v>
      </c>
      <c r="M8" s="246" t="s">
        <v>1588</v>
      </c>
      <c r="N8" s="246">
        <v>1</v>
      </c>
      <c r="O8" s="246" t="s">
        <v>1588</v>
      </c>
      <c r="P8" s="246" t="s">
        <v>168</v>
      </c>
      <c r="Q8" s="247" t="s">
        <v>1581</v>
      </c>
    </row>
    <row r="11" spans="1:17">
      <c r="A11" t="s">
        <v>273</v>
      </c>
      <c r="B11" s="215">
        <v>2</v>
      </c>
      <c r="C11" t="s">
        <v>275</v>
      </c>
    </row>
    <row r="12" spans="1:17">
      <c r="A12" t="s">
        <v>230</v>
      </c>
      <c r="B12" s="215">
        <v>3000</v>
      </c>
      <c r="C12" s="157">
        <f>B12+B12*10%</f>
        <v>3300</v>
      </c>
    </row>
    <row r="13" spans="1:17">
      <c r="A13" t="s">
        <v>274</v>
      </c>
      <c r="B13" s="215">
        <v>500</v>
      </c>
      <c r="C13" s="157">
        <f>B13+B13*10%</f>
        <v>550</v>
      </c>
    </row>
    <row r="14" spans="1:17">
      <c r="A14" t="s">
        <v>194</v>
      </c>
      <c r="B14" s="215">
        <f>(B12+B13)*B11</f>
        <v>7000</v>
      </c>
      <c r="C14" s="158">
        <f>B14+B14*10%</f>
        <v>7700</v>
      </c>
    </row>
    <row r="15" spans="1:17">
      <c r="B15" s="216"/>
      <c r="C15" s="157"/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정산서</vt:lpstr>
      <vt:lpstr>채널별 정산 합계</vt:lpstr>
      <vt:lpstr>채널별 판매데이터 정리</vt:lpstr>
      <vt:lpstr>DB)카페24-우프</vt:lpstr>
      <vt:lpstr>DB)자사(우프+스마트스토어)</vt:lpstr>
      <vt:lpstr>DB)자사(B2B)</vt:lpstr>
      <vt:lpstr>DB)테일릿(대리점)</vt:lpstr>
      <vt:lpstr>DB파마스퀘어(대리점)</vt:lpstr>
      <vt:lpstr>DB)쿠팡</vt:lpstr>
      <vt:lpstr>DB)스마트스토어</vt:lpstr>
      <vt:lpstr>DB)마켓컬리</vt:lpstr>
      <vt:lpstr>DB)스파크펫</vt:lpstr>
      <vt:lpstr>DB)몽슈슈</vt:lpstr>
      <vt:lpstr>DB)행사</vt:lpstr>
      <vt:lpstr>입출고_물류창고출고</vt:lpstr>
      <vt:lpstr>입출고_용달</vt:lpstr>
      <vt:lpstr>입출고_본사출고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2026-07-09T07:23:56Z</dcterms:modified>
</cp:coreProperties>
</file>