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Kyoyoung/Downloads/001.WORKS/006.DOTEON/판매정산서/"/>
    </mc:Choice>
  </mc:AlternateContent>
  <xr:revisionPtr revIDLastSave="0" documentId="13_ncr:1_{83D93C4F-1A0D-F04D-9D14-BDC342D92B93}" xr6:coauthVersionLast="47" xr6:coauthVersionMax="47" xr10:uidLastSave="{00000000-0000-0000-0000-000000000000}"/>
  <bookViews>
    <workbookView xWindow="660" yWindow="1200" windowWidth="49880" windowHeight="18760" xr2:uid="{00000000-000D-0000-FFFF-FFFF00000000}"/>
  </bookViews>
  <sheets>
    <sheet name="종합정산" sheetId="2" r:id="rId1"/>
    <sheet name="채널별 판매데이터 정리" sheetId="7" r:id="rId2"/>
    <sheet name="DB)입출고목록" sheetId="4" r:id="rId3"/>
    <sheet name="DB)입출고매칭용" sheetId="15" r:id="rId4"/>
    <sheet name="DB)카페24" sheetId="5" r:id="rId5"/>
    <sheet name="DB)카페24 (공구)" sheetId="16" r:id="rId6"/>
    <sheet name="DB)스마트스토어" sheetId="13" r:id="rId7"/>
    <sheet name="DB) 행사" sheetId="14" r:id="rId8"/>
    <sheet name="DB)사업자몰B2B" sheetId="12" r:id="rId9"/>
    <sheet name="DB)이마트몰리스" sheetId="10" r:id="rId10"/>
    <sheet name="DB) 컬리" sheetId="9" r:id="rId11"/>
    <sheet name="DB)쿠팡로켓" sheetId="11" r:id="rId12"/>
    <sheet name="DB)대리점(파마스퀘어)" sheetId="17" r:id="rId13"/>
    <sheet name="DB)철수마켓" sheetId="6" r:id="rId14"/>
    <sheet name="DB)몽슈슈" sheetId="8" r:id="rId15"/>
    <sheet name="DB)대리점(테일릿)" sheetId="19" r:id="rId16"/>
  </sheets>
  <definedNames>
    <definedName name="_xlnm._FilterDatabase" localSheetId="3" hidden="1">'DB)입출고매칭용'!$A$1:$S$50</definedName>
    <definedName name="_xlnm._FilterDatabase" localSheetId="2" hidden="1">'DB)입출고목록'!$A$7:$R$56</definedName>
    <definedName name="_xlnm._FilterDatabase" localSheetId="5" hidden="1">'DB)카페24 (공구)'!$A$13:$AC$42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10" i="2" l="1"/>
  <c r="O57" i="15"/>
  <c r="P57" i="15"/>
  <c r="Q57" i="15"/>
  <c r="Q56" i="15"/>
  <c r="Q55" i="15"/>
  <c r="Q50" i="15"/>
  <c r="L50" i="15"/>
  <c r="K50" i="15"/>
  <c r="Q49" i="15"/>
  <c r="L49" i="15"/>
  <c r="K49" i="15"/>
  <c r="Q48" i="15"/>
  <c r="L48" i="15"/>
  <c r="K48" i="15"/>
  <c r="Q47" i="15"/>
  <c r="L47" i="15"/>
  <c r="K47" i="15"/>
  <c r="Q46" i="15"/>
  <c r="L46" i="15"/>
  <c r="K46" i="15"/>
  <c r="Q45" i="15"/>
  <c r="L45" i="15"/>
  <c r="K45" i="15"/>
  <c r="Q44" i="15"/>
  <c r="L44" i="15"/>
  <c r="K44" i="15"/>
  <c r="Q43" i="15"/>
  <c r="L43" i="15"/>
  <c r="K43" i="15"/>
  <c r="Q42" i="15"/>
  <c r="L42" i="15"/>
  <c r="K42" i="15"/>
  <c r="Q41" i="15"/>
  <c r="L41" i="15"/>
  <c r="K41" i="15"/>
  <c r="Q40" i="15"/>
  <c r="L40" i="15"/>
  <c r="K40" i="15"/>
  <c r="Q39" i="15"/>
  <c r="L39" i="15"/>
  <c r="K39" i="15"/>
  <c r="Q38" i="15"/>
  <c r="L38" i="15"/>
  <c r="K38" i="15"/>
  <c r="Q37" i="15"/>
  <c r="L37" i="15"/>
  <c r="K37" i="15"/>
  <c r="Q36" i="15"/>
  <c r="L36" i="15"/>
  <c r="K36" i="15"/>
  <c r="Q35" i="15"/>
  <c r="L35" i="15"/>
  <c r="K35" i="15"/>
  <c r="Q34" i="15"/>
  <c r="L34" i="15"/>
  <c r="K34" i="15"/>
  <c r="Q33" i="15"/>
  <c r="L33" i="15"/>
  <c r="K33" i="15"/>
  <c r="Q32" i="15"/>
  <c r="L32" i="15"/>
  <c r="K32" i="15"/>
  <c r="Q31" i="15"/>
  <c r="L31" i="15"/>
  <c r="K31" i="15"/>
  <c r="Q30" i="15"/>
  <c r="L30" i="15"/>
  <c r="K30" i="15"/>
  <c r="Q29" i="15"/>
  <c r="L29" i="15"/>
  <c r="K29" i="15"/>
  <c r="Q28" i="15"/>
  <c r="L28" i="15"/>
  <c r="K28" i="15"/>
  <c r="Q27" i="15"/>
  <c r="L27" i="15"/>
  <c r="K27" i="15"/>
  <c r="Q26" i="15"/>
  <c r="L26" i="15"/>
  <c r="K26" i="15"/>
  <c r="Q25" i="15"/>
  <c r="L25" i="15"/>
  <c r="K25" i="15"/>
  <c r="Q24" i="15"/>
  <c r="L24" i="15"/>
  <c r="K24" i="15"/>
  <c r="Q23" i="15"/>
  <c r="L23" i="15"/>
  <c r="K23" i="15"/>
  <c r="Q22" i="15"/>
  <c r="L22" i="15"/>
  <c r="K22" i="15"/>
  <c r="Q21" i="15"/>
  <c r="L21" i="15"/>
  <c r="K21" i="15"/>
  <c r="Q20" i="15"/>
  <c r="L20" i="15"/>
  <c r="K20" i="15"/>
  <c r="Q19" i="15"/>
  <c r="L19" i="15"/>
  <c r="K19" i="15"/>
  <c r="Q18" i="15"/>
  <c r="L18" i="15"/>
  <c r="K18" i="15"/>
  <c r="Q17" i="15"/>
  <c r="L17" i="15"/>
  <c r="K17" i="15"/>
  <c r="Q16" i="15"/>
  <c r="L16" i="15"/>
  <c r="K16" i="15"/>
  <c r="Q15" i="15"/>
  <c r="L15" i="15"/>
  <c r="K15" i="15"/>
  <c r="Q14" i="15"/>
  <c r="L14" i="15"/>
  <c r="K14" i="15"/>
  <c r="Q13" i="15"/>
  <c r="L13" i="15"/>
  <c r="K13" i="15"/>
  <c r="Q12" i="15"/>
  <c r="L12" i="15"/>
  <c r="K12" i="15"/>
  <c r="Q11" i="15"/>
  <c r="L11" i="15"/>
  <c r="K11" i="15"/>
  <c r="Q10" i="15"/>
  <c r="L10" i="15"/>
  <c r="K10" i="15"/>
  <c r="Q9" i="15"/>
  <c r="L9" i="15"/>
  <c r="K9" i="15"/>
  <c r="Q8" i="15"/>
  <c r="L8" i="15"/>
  <c r="K8" i="15"/>
  <c r="Q7" i="15"/>
  <c r="L7" i="15"/>
  <c r="K7" i="15"/>
  <c r="Q6" i="15"/>
  <c r="L6" i="15"/>
  <c r="K6" i="15"/>
  <c r="Q5" i="15"/>
  <c r="L5" i="15"/>
  <c r="K5" i="15"/>
  <c r="Q4" i="15"/>
  <c r="L4" i="15"/>
  <c r="K4" i="15"/>
  <c r="Q3" i="15"/>
  <c r="L3" i="15"/>
  <c r="K3" i="15"/>
  <c r="Q2" i="15"/>
  <c r="L2" i="15"/>
  <c r="K2" i="15"/>
  <c r="K83" i="7"/>
  <c r="K86" i="7"/>
  <c r="J7" i="7"/>
  <c r="N89" i="7"/>
  <c r="K85" i="7" l="1"/>
  <c r="L20" i="7"/>
  <c r="L21" i="7"/>
  <c r="K21" i="7"/>
  <c r="J21" i="7"/>
  <c r="J20" i="7"/>
  <c r="I21" i="7"/>
  <c r="I20" i="7"/>
  <c r="H22" i="7"/>
  <c r="J8" i="7"/>
  <c r="I7" i="7"/>
  <c r="J80" i="7"/>
  <c r="J79" i="7"/>
  <c r="H81" i="7"/>
  <c r="L80" i="7"/>
  <c r="I80" i="7"/>
  <c r="L79" i="7"/>
  <c r="L81" i="7" s="1"/>
  <c r="I79" i="7"/>
  <c r="H55" i="7"/>
  <c r="H54" i="7"/>
  <c r="H53" i="7"/>
  <c r="H48" i="7"/>
  <c r="H47" i="7"/>
  <c r="H34" i="7"/>
  <c r="M6" i="19"/>
  <c r="M5" i="19"/>
  <c r="G13" i="7"/>
  <c r="G14" i="7"/>
  <c r="K7" i="7"/>
  <c r="K6" i="7"/>
  <c r="K8" i="7" s="1"/>
  <c r="H8" i="7"/>
  <c r="G6" i="7"/>
  <c r="E12" i="8"/>
  <c r="E11" i="8"/>
  <c r="J3" i="8"/>
  <c r="J4" i="8"/>
  <c r="I5" i="8"/>
  <c r="K80" i="7" l="1"/>
  <c r="J81" i="7"/>
  <c r="K79" i="7"/>
  <c r="K81" i="7" s="1"/>
  <c r="I81" i="7"/>
  <c r="G8" i="7"/>
  <c r="H8" i="11"/>
  <c r="H7" i="11"/>
  <c r="M8" i="9"/>
  <c r="L5" i="12"/>
  <c r="E14" i="14"/>
  <c r="E13" i="14"/>
  <c r="E11" i="14"/>
  <c r="E10" i="14"/>
  <c r="E12" i="14"/>
  <c r="B12" i="14"/>
  <c r="C11" i="14"/>
  <c r="C10" i="14"/>
  <c r="G5" i="14"/>
  <c r="F5" i="14"/>
  <c r="F3" i="14"/>
  <c r="F2" i="14"/>
  <c r="D3" i="14"/>
  <c r="D2" i="14"/>
  <c r="D5" i="14" s="1"/>
  <c r="S12" i="13"/>
  <c r="S11" i="13"/>
  <c r="I8" i="16"/>
  <c r="I5" i="16"/>
  <c r="I4" i="16"/>
  <c r="I3" i="16"/>
  <c r="G5" i="16"/>
  <c r="F5" i="16"/>
  <c r="F4" i="16"/>
  <c r="F3" i="16"/>
  <c r="D8" i="16"/>
  <c r="G4" i="16"/>
  <c r="G3" i="16"/>
  <c r="G8" i="16" s="1"/>
  <c r="F4" i="5"/>
  <c r="F3" i="5"/>
  <c r="L54" i="7"/>
  <c r="E54" i="7"/>
  <c r="I54" i="7" s="1"/>
  <c r="J54" i="7" s="1"/>
  <c r="K54" i="7" s="1"/>
  <c r="H56" i="7"/>
  <c r="L55" i="7"/>
  <c r="E55" i="7"/>
  <c r="I55" i="7" s="1"/>
  <c r="L53" i="7"/>
  <c r="E53" i="7"/>
  <c r="I53" i="7" s="1"/>
  <c r="E14" i="7"/>
  <c r="E13" i="7"/>
  <c r="L7" i="7"/>
  <c r="L6" i="7"/>
  <c r="I6" i="7"/>
  <c r="I8" i="7" s="1"/>
  <c r="Q9" i="2"/>
  <c r="N10" i="2"/>
  <c r="Q10" i="2"/>
  <c r="N9" i="2"/>
  <c r="I4" i="4"/>
  <c r="H4" i="4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7" i="15"/>
  <c r="R36" i="15"/>
  <c r="R35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11" i="15"/>
  <c r="R10" i="15"/>
  <c r="R9" i="15"/>
  <c r="R8" i="15"/>
  <c r="R7" i="15"/>
  <c r="R6" i="15"/>
  <c r="R5" i="15"/>
  <c r="R4" i="15"/>
  <c r="R3" i="15"/>
  <c r="R2" i="15"/>
  <c r="P11" i="10"/>
  <c r="O12" i="10"/>
  <c r="P12" i="10" s="1"/>
  <c r="O11" i="10"/>
  <c r="M13" i="10"/>
  <c r="N8" i="9"/>
  <c r="E13" i="8"/>
  <c r="F13" i="8"/>
  <c r="H12" i="8"/>
  <c r="G13" i="8"/>
  <c r="F12" i="8"/>
  <c r="F11" i="8"/>
  <c r="I56" i="7" l="1"/>
  <c r="C12" i="14"/>
  <c r="G2" i="14"/>
  <c r="L56" i="7"/>
  <c r="J55" i="7"/>
  <c r="K55" i="7" s="1"/>
  <c r="J53" i="7"/>
  <c r="K53" i="7" s="1"/>
  <c r="P13" i="10"/>
  <c r="H11" i="8"/>
  <c r="H13" i="8" s="1"/>
  <c r="J56" i="7" l="1"/>
  <c r="K56" i="7"/>
  <c r="P13" i="13" l="1"/>
  <c r="Q12" i="13"/>
  <c r="Q11" i="13"/>
  <c r="Q13" i="13" s="1"/>
  <c r="H4" i="5"/>
  <c r="H3" i="5"/>
  <c r="G4" i="5"/>
  <c r="G3" i="5"/>
  <c r="D8" i="5"/>
  <c r="T10" i="2"/>
  <c r="C26" i="2"/>
  <c r="F25" i="2"/>
  <c r="L7" i="12"/>
  <c r="H49" i="7"/>
  <c r="L48" i="7"/>
  <c r="E48" i="7"/>
  <c r="I48" i="7" s="1"/>
  <c r="L47" i="7"/>
  <c r="E47" i="7"/>
  <c r="I47" i="7" s="1"/>
  <c r="I73" i="7"/>
  <c r="J73" i="7" s="1"/>
  <c r="I74" i="7"/>
  <c r="J74" i="7" s="1"/>
  <c r="G74" i="7"/>
  <c r="G73" i="7"/>
  <c r="L61" i="7"/>
  <c r="L60" i="7"/>
  <c r="H75" i="7"/>
  <c r="L74" i="7"/>
  <c r="L73" i="7"/>
  <c r="L68" i="7"/>
  <c r="L42" i="7"/>
  <c r="L34" i="7"/>
  <c r="L33" i="7"/>
  <c r="L49" i="7" l="1"/>
  <c r="S13" i="13"/>
  <c r="H8" i="5"/>
  <c r="I75" i="7"/>
  <c r="L75" i="7"/>
  <c r="G8" i="5"/>
  <c r="L8" i="12"/>
  <c r="J47" i="7"/>
  <c r="K47" i="7" s="1"/>
  <c r="I49" i="7"/>
  <c r="J48" i="7"/>
  <c r="K48" i="7" s="1"/>
  <c r="K74" i="7"/>
  <c r="L35" i="7"/>
  <c r="K49" i="7" l="1"/>
  <c r="J49" i="7"/>
  <c r="J75" i="7"/>
  <c r="K73" i="7"/>
  <c r="K75" i="7" s="1"/>
  <c r="H5" i="6"/>
  <c r="H6" i="6" s="1"/>
  <c r="K4" i="8" l="1"/>
  <c r="K3" i="8"/>
  <c r="K5" i="8" l="1"/>
  <c r="J34" i="7"/>
  <c r="J33" i="7"/>
  <c r="I34" i="7"/>
  <c r="I33" i="7"/>
  <c r="H35" i="7"/>
  <c r="L27" i="7"/>
  <c r="L67" i="7"/>
  <c r="L69" i="7" s="1"/>
  <c r="H69" i="7"/>
  <c r="F27" i="7"/>
  <c r="I27" i="7"/>
  <c r="K34" i="7" l="1"/>
  <c r="J35" i="7"/>
  <c r="K33" i="7"/>
  <c r="I35" i="7"/>
  <c r="D19" i="2"/>
  <c r="F24" i="2"/>
  <c r="F26" i="2" s="1"/>
  <c r="I4" i="2" s="1"/>
  <c r="S12" i="2" l="1"/>
  <c r="R12" i="2"/>
  <c r="P12" i="2"/>
  <c r="N12" i="2"/>
  <c r="Y12" i="2"/>
  <c r="V12" i="2"/>
  <c r="H13" i="7"/>
  <c r="J13" i="7" s="1"/>
  <c r="J27" i="7"/>
  <c r="K27" i="7" s="1"/>
  <c r="I28" i="7"/>
  <c r="L28" i="7"/>
  <c r="H28" i="7"/>
  <c r="U12" i="2"/>
  <c r="W10" i="2"/>
  <c r="T9" i="2"/>
  <c r="W9" i="2" s="1"/>
  <c r="X9" i="2" s="1"/>
  <c r="L14" i="7"/>
  <c r="L13" i="7"/>
  <c r="E68" i="7"/>
  <c r="E67" i="7"/>
  <c r="E61" i="7"/>
  <c r="E60" i="7"/>
  <c r="I60" i="7" s="1"/>
  <c r="J60" i="7" s="1"/>
  <c r="E41" i="7"/>
  <c r="E40" i="7"/>
  <c r="K42" i="7"/>
  <c r="G42" i="7"/>
  <c r="K35" i="7"/>
  <c r="K20" i="7"/>
  <c r="I22" i="7"/>
  <c r="G15" i="7"/>
  <c r="H14" i="7"/>
  <c r="X12" i="2" l="1"/>
  <c r="L22" i="7"/>
  <c r="I61" i="7"/>
  <c r="J61" i="7" s="1"/>
  <c r="J62" i="7" s="1"/>
  <c r="J68" i="7"/>
  <c r="I68" i="7"/>
  <c r="I67" i="7"/>
  <c r="J67" i="7"/>
  <c r="L62" i="7"/>
  <c r="H62" i="7"/>
  <c r="L15" i="7"/>
  <c r="L8" i="7"/>
  <c r="T12" i="2"/>
  <c r="Q12" i="2"/>
  <c r="J22" i="7"/>
  <c r="K22" i="7"/>
  <c r="K87" i="7" s="1"/>
  <c r="H15" i="7"/>
  <c r="K13" i="7"/>
  <c r="J14" i="7"/>
  <c r="K84" i="7" l="1"/>
  <c r="J69" i="7"/>
  <c r="K61" i="7"/>
  <c r="C4" i="2"/>
  <c r="K68" i="7"/>
  <c r="I69" i="7"/>
  <c r="K67" i="7"/>
  <c r="K60" i="7"/>
  <c r="K62" i="7" s="1"/>
  <c r="I62" i="7"/>
  <c r="W12" i="2"/>
  <c r="K14" i="7"/>
  <c r="J15" i="7"/>
  <c r="Q6" i="2"/>
  <c r="F4" i="2" l="1"/>
  <c r="K69" i="7"/>
  <c r="O12" i="2"/>
  <c r="K15" i="7"/>
  <c r="D4" i="2" l="1"/>
  <c r="E4" i="2" s="1"/>
  <c r="K28" i="7"/>
  <c r="J28" i="7"/>
  <c r="G4" i="2" l="1"/>
  <c r="H4" i="2" s="1"/>
  <c r="J4" i="2" s="1"/>
  <c r="E18" i="2" s="1"/>
  <c r="E16" i="2" l="1"/>
  <c r="E17" i="2"/>
  <c r="F33" i="7"/>
  <c r="F34" i="7"/>
  <c r="E19" i="2" l="1"/>
</calcChain>
</file>

<file path=xl/sharedStrings.xml><?xml version="1.0" encoding="utf-8"?>
<sst xmlns="http://schemas.openxmlformats.org/spreadsheetml/2006/main" count="2150" uniqueCount="702">
  <si>
    <t>수수료율</t>
    <phoneticPr fontId="19" type="noConversion"/>
  </si>
  <si>
    <t>[정산 방식/ VAT포함]</t>
    <phoneticPr fontId="22" type="noConversion"/>
  </si>
  <si>
    <t>항목</t>
    <phoneticPr fontId="22" type="noConversion"/>
  </si>
  <si>
    <t>비고</t>
    <phoneticPr fontId="22" type="noConversion"/>
  </si>
  <si>
    <t>[판매내역 종합]</t>
    <phoneticPr fontId="19" type="noConversion"/>
  </si>
  <si>
    <t>총계</t>
    <phoneticPr fontId="22" type="noConversion"/>
  </si>
  <si>
    <t>수량</t>
  </si>
  <si>
    <t>할인율</t>
  </si>
  <si>
    <t>vat포함</t>
    <phoneticPr fontId="19" type="noConversion"/>
  </si>
  <si>
    <t>주문번호</t>
  </si>
  <si>
    <t>[재고현황]</t>
    <phoneticPr fontId="19" type="noConversion"/>
  </si>
  <si>
    <t>품목관리코드</t>
    <phoneticPr fontId="19" type="noConversion"/>
  </si>
  <si>
    <t>품목명</t>
    <phoneticPr fontId="19" type="noConversion"/>
  </si>
  <si>
    <t>기초재고</t>
    <phoneticPr fontId="19" type="noConversion"/>
  </si>
  <si>
    <t>입고</t>
    <phoneticPr fontId="19" type="noConversion"/>
  </si>
  <si>
    <t>출고</t>
    <phoneticPr fontId="19" type="noConversion"/>
  </si>
  <si>
    <t>기말재고</t>
    <phoneticPr fontId="19" type="noConversion"/>
  </si>
  <si>
    <t>전체</t>
  </si>
  <si>
    <t>불용</t>
    <phoneticPr fontId="19" type="noConversion"/>
  </si>
  <si>
    <t>반품</t>
    <phoneticPr fontId="19" type="noConversion"/>
  </si>
  <si>
    <t>정상</t>
    <phoneticPr fontId="19" type="noConversion"/>
  </si>
  <si>
    <t>판매</t>
    <phoneticPr fontId="19" type="noConversion"/>
  </si>
  <si>
    <t>비매출</t>
    <phoneticPr fontId="19" type="noConversion"/>
  </si>
  <si>
    <t>도톤 포레스트 워터리스 풋클리너 100ml</t>
  </si>
  <si>
    <t>도톤 포레스트 아웃도어 스프레이 150ml</t>
  </si>
  <si>
    <t>입출고일자</t>
  </si>
  <si>
    <t>입력일자</t>
  </si>
  <si>
    <t>공급처명</t>
  </si>
  <si>
    <t>바코드번호</t>
  </si>
  <si>
    <t>상품명</t>
  </si>
  <si>
    <t>옵션내용</t>
  </si>
  <si>
    <t>입고수량</t>
  </si>
  <si>
    <t>입고금액</t>
  </si>
  <si>
    <t>출고수량</t>
  </si>
  <si>
    <t>출고금액</t>
  </si>
  <si>
    <t>재고작업구분</t>
  </si>
  <si>
    <t>판매처명</t>
  </si>
  <si>
    <t>판매단가</t>
  </si>
  <si>
    <t>판매금액</t>
  </si>
  <si>
    <t>도톤</t>
  </si>
  <si>
    <t>단일상품</t>
  </si>
  <si>
    <t>발송및출고</t>
  </si>
  <si>
    <t>주문일시</t>
  </si>
  <si>
    <t>수령인</t>
  </si>
  <si>
    <t>도톤 포레스트 워터리스 풋클리너 강아지 발세정제 100ml</t>
  </si>
  <si>
    <t>상품옵션(기본)</t>
  </si>
  <si>
    <t>몽슈슈</t>
    <phoneticPr fontId="19" type="noConversion"/>
  </si>
  <si>
    <t>순번</t>
  </si>
  <si>
    <t xml:space="preserve">제품 </t>
  </si>
  <si>
    <t>DOTEON Foot Cleaner</t>
  </si>
  <si>
    <t>DOTEON Outdoor Spray</t>
  </si>
  <si>
    <t>정가</t>
  </si>
  <si>
    <t>정가</t>
    <phoneticPr fontId="19" type="noConversion"/>
  </si>
  <si>
    <t>주요채널: 오프라인 백화점 팝업스토어</t>
    <phoneticPr fontId="19" type="noConversion"/>
  </si>
  <si>
    <t>수수료</t>
    <phoneticPr fontId="19" type="noConversion"/>
  </si>
  <si>
    <t>수수료합계</t>
  </si>
  <si>
    <t>수수료합계</t>
    <phoneticPr fontId="19" type="noConversion"/>
  </si>
  <si>
    <t>매출합계</t>
    <phoneticPr fontId="19" type="noConversion"/>
  </si>
  <si>
    <t>프로모션가</t>
    <phoneticPr fontId="19" type="noConversion"/>
  </si>
  <si>
    <t>순번</t>
    <phoneticPr fontId="19" type="noConversion"/>
  </si>
  <si>
    <t>품목 구성</t>
    <phoneticPr fontId="19" type="noConversion"/>
  </si>
  <si>
    <t>합계</t>
    <phoneticPr fontId="19" type="noConversion"/>
  </si>
  <si>
    <t>테일릿</t>
    <phoneticPr fontId="19" type="noConversion"/>
  </si>
  <si>
    <t>위탁재고</t>
    <phoneticPr fontId="19" type="noConversion"/>
  </si>
  <si>
    <t>매입(판매)</t>
    <phoneticPr fontId="19" type="noConversion"/>
  </si>
  <si>
    <t>주요채널: 대리점(오프라인B2B전용 도매유통업) - 소매점 40% + 대리점마진 20%</t>
    <phoneticPr fontId="19" type="noConversion"/>
  </si>
  <si>
    <t>소매점가</t>
    <phoneticPr fontId="19" type="noConversion"/>
  </si>
  <si>
    <t>대리점가</t>
    <phoneticPr fontId="19" type="noConversion"/>
  </si>
  <si>
    <t>철수마켓</t>
    <phoneticPr fontId="19" type="noConversion"/>
  </si>
  <si>
    <t>오버더센스</t>
    <phoneticPr fontId="19" type="noConversion"/>
  </si>
  <si>
    <t>주요채널: 제주도 반려동물 동반시설</t>
    <phoneticPr fontId="19" type="noConversion"/>
  </si>
  <si>
    <t>우프자사몰</t>
    <phoneticPr fontId="19" type="noConversion"/>
  </si>
  <si>
    <t>할인가</t>
    <phoneticPr fontId="19" type="noConversion"/>
  </si>
  <si>
    <t xml:space="preserve">주요채널: 우프앱/자사몰/스마트스토어 </t>
    <phoneticPr fontId="19" type="noConversion"/>
  </si>
  <si>
    <t>컬리</t>
    <phoneticPr fontId="19" type="noConversion"/>
  </si>
  <si>
    <t>판매자위탁배송</t>
    <phoneticPr fontId="19" type="noConversion"/>
  </si>
  <si>
    <t>직매출</t>
    <phoneticPr fontId="19" type="noConversion"/>
  </si>
  <si>
    <t>공제합계</t>
    <phoneticPr fontId="19" type="noConversion"/>
  </si>
  <si>
    <t>정가합계</t>
  </si>
  <si>
    <t>정가합계</t>
    <phoneticPr fontId="19" type="noConversion"/>
  </si>
  <si>
    <t>총 판매수량</t>
    <phoneticPr fontId="19" type="noConversion"/>
  </si>
  <si>
    <t>실 수량(1EA단위)</t>
    <phoneticPr fontId="19" type="noConversion"/>
  </si>
  <si>
    <t>정가 22,000원 기준</t>
    <phoneticPr fontId="19" type="noConversion"/>
  </si>
  <si>
    <t>할인/프로모션 반영 판매계</t>
    <phoneticPr fontId="19" type="noConversion"/>
  </si>
  <si>
    <t>공제 수수료 계</t>
    <phoneticPr fontId="19" type="noConversion"/>
  </si>
  <si>
    <t>실 정산합계</t>
    <phoneticPr fontId="19" type="noConversion"/>
  </si>
  <si>
    <t>판매수량</t>
    <phoneticPr fontId="19" type="noConversion"/>
  </si>
  <si>
    <t>몰리스(이마트)</t>
    <phoneticPr fontId="19" type="noConversion"/>
  </si>
  <si>
    <t>상품주문번호</t>
  </si>
  <si>
    <t>구분</t>
  </si>
  <si>
    <t>구매자명</t>
  </si>
  <si>
    <t>결제금액</t>
  </si>
  <si>
    <t>판매정가계</t>
    <phoneticPr fontId="22" type="noConversion"/>
  </si>
  <si>
    <t>채널명</t>
    <phoneticPr fontId="19" type="noConversion"/>
  </si>
  <si>
    <t>BT25OS</t>
  </si>
  <si>
    <t>[메모/특이사항]</t>
    <phoneticPr fontId="19" type="noConversion"/>
  </si>
  <si>
    <t>재고이동(오프라인 위탁진열/ 판매시 정산)</t>
    <phoneticPr fontId="19" type="noConversion"/>
  </si>
  <si>
    <t>비매출: 협찬, 진열품, 샘플 등의 무상사용</t>
    <phoneticPr fontId="19" type="noConversion"/>
  </si>
  <si>
    <t>각 유통 채널별 공급마진 (위탁은 수수료/ 매입은 공급할인액) 기준</t>
    <phoneticPr fontId="19" type="noConversion"/>
  </si>
  <si>
    <t>정산 월</t>
  </si>
  <si>
    <t>[실비 : 운임/물류]</t>
    <phoneticPr fontId="19" type="noConversion"/>
  </si>
  <si>
    <t>항목</t>
    <phoneticPr fontId="19" type="noConversion"/>
  </si>
  <si>
    <t>견적(원)</t>
    <phoneticPr fontId="19" type="noConversion"/>
  </si>
  <si>
    <t>단위</t>
    <phoneticPr fontId="19" type="noConversion"/>
  </si>
  <si>
    <t>비고</t>
    <phoneticPr fontId="19" type="noConversion"/>
  </si>
  <si>
    <t>보관료</t>
    <phoneticPr fontId="19" type="noConversion"/>
  </si>
  <si>
    <t xml:space="preserve">월/평당 </t>
    <phoneticPr fontId="19" type="noConversion"/>
  </si>
  <si>
    <t>입고비용</t>
    <phoneticPr fontId="19" type="noConversion"/>
  </si>
  <si>
    <t>택배운임비</t>
    <phoneticPr fontId="19" type="noConversion"/>
  </si>
  <si>
    <t>건</t>
    <phoneticPr fontId="19" type="noConversion"/>
  </si>
  <si>
    <t>물류비</t>
    <phoneticPr fontId="19" type="noConversion"/>
  </si>
  <si>
    <t>로젠택배(소형)</t>
    <phoneticPr fontId="19" type="noConversion"/>
  </si>
  <si>
    <t>청구제외</t>
    <phoneticPr fontId="19" type="noConversion"/>
  </si>
  <si>
    <t>3PL 
단가표</t>
    <phoneticPr fontId="19" type="noConversion"/>
  </si>
  <si>
    <t>vat별도</t>
    <phoneticPr fontId="19" type="noConversion"/>
  </si>
  <si>
    <t>택배</t>
    <phoneticPr fontId="22" type="noConversion"/>
  </si>
  <si>
    <t>피킹/패킹/부자재</t>
    <phoneticPr fontId="22" type="noConversion"/>
  </si>
  <si>
    <t>물류 실비 산정</t>
    <phoneticPr fontId="22" type="noConversion"/>
  </si>
  <si>
    <t>부자재 /피킹/패킹</t>
    <phoneticPr fontId="19" type="noConversion"/>
  </si>
  <si>
    <t>*퀵/용달 등 별도 운송비 발생시에는 개별기재합니다.</t>
    <phoneticPr fontId="19" type="noConversion"/>
  </si>
  <si>
    <t>실비</t>
    <phoneticPr fontId="22" type="noConversion"/>
  </si>
  <si>
    <t>매출계</t>
    <phoneticPr fontId="22" type="noConversion"/>
  </si>
  <si>
    <t>공제 수수료 
(공급마진)</t>
    <phoneticPr fontId="22" type="noConversion"/>
  </si>
  <si>
    <t>운송료 실비, PG결제 수수료 등</t>
    <phoneticPr fontId="19" type="noConversion"/>
  </si>
  <si>
    <t>이익</t>
    <phoneticPr fontId="22" type="noConversion"/>
  </si>
  <si>
    <r>
      <t xml:space="preserve">월별 제품 최종판매금액
</t>
    </r>
    <r>
      <rPr>
        <sz val="9"/>
        <color theme="1"/>
        <rFont val="Malgun Gothic"/>
        <family val="2"/>
        <charset val="129"/>
      </rPr>
      <t>(정가 - 프로모션 등 할인이 반영된 최종 결제 금액)</t>
    </r>
    <phoneticPr fontId="22" type="noConversion"/>
  </si>
  <si>
    <t>A 수수료 (공급마진)</t>
    <phoneticPr fontId="22" type="noConversion"/>
  </si>
  <si>
    <t>B 매출계 (월별 최종 판매 금액)</t>
    <phoneticPr fontId="22" type="noConversion"/>
  </si>
  <si>
    <t>C 실비</t>
    <phoneticPr fontId="22" type="noConversion"/>
  </si>
  <si>
    <t>D 이익</t>
    <phoneticPr fontId="22" type="noConversion"/>
  </si>
  <si>
    <t xml:space="preserve">세금계산서는 정산 월 기준 익익월 10일에 발행 예정입니다. </t>
  </si>
  <si>
    <t>판매 매출 발생 시, “월별 제품 최종 판매 금액”을 기준으로, 인플루언서 공구 수수료를 포함한 각각의 입점 채널별 공급 수수료, 운송료 실비, PG사 결제 수수료를 제외한 금액</t>
    <phoneticPr fontId="19" type="noConversion"/>
  </si>
  <si>
    <t xml:space="preserve">정산금액은 정산 월 기준 익월 15일에 입금 예정이며 정산금액 활용안 협의에 따라 변경될 수 있습니다. </t>
    <phoneticPr fontId="19" type="noConversion"/>
  </si>
  <si>
    <t>이익분배</t>
    <phoneticPr fontId="19" type="noConversion"/>
  </si>
  <si>
    <t>구분</t>
    <phoneticPr fontId="19" type="noConversion"/>
  </si>
  <si>
    <t>유씨엘주식회사</t>
    <phoneticPr fontId="19" type="noConversion"/>
  </si>
  <si>
    <t>우프컴퍼니(주)</t>
    <phoneticPr fontId="19" type="noConversion"/>
  </si>
  <si>
    <t>비율</t>
    <phoneticPr fontId="19" type="noConversion"/>
  </si>
  <si>
    <t>금액</t>
    <phoneticPr fontId="19" type="noConversion"/>
  </si>
  <si>
    <t>매출계산서발행</t>
    <phoneticPr fontId="19" type="noConversion"/>
  </si>
  <si>
    <t>수량(출고건수)</t>
    <phoneticPr fontId="22" type="noConversion"/>
  </si>
  <si>
    <t>재고</t>
    <phoneticPr fontId="19" type="noConversion"/>
  </si>
  <si>
    <t>소비자가</t>
    <phoneticPr fontId="19" type="noConversion"/>
  </si>
  <si>
    <t>DOTEON Foot Cleaner</t>
    <phoneticPr fontId="19" type="noConversion"/>
  </si>
  <si>
    <t>판매가</t>
  </si>
  <si>
    <t>구매확정일</t>
  </si>
  <si>
    <t>정산합계</t>
    <phoneticPr fontId="19" type="noConversion"/>
  </si>
  <si>
    <t>공급가</t>
    <phoneticPr fontId="19" type="noConversion"/>
  </si>
  <si>
    <t>자사물류센터 입출고 기준</t>
    <phoneticPr fontId="19" type="noConversion"/>
  </si>
  <si>
    <t>실판매수량</t>
    <phoneticPr fontId="22" type="noConversion"/>
  </si>
  <si>
    <t>출고카운트</t>
    <phoneticPr fontId="19" type="noConversion"/>
  </si>
  <si>
    <t>불용이슈: 패키지 손상/파손</t>
    <phoneticPr fontId="19" type="noConversion"/>
  </si>
  <si>
    <t xml:space="preserve">제품 </t>
    <phoneticPr fontId="19" type="noConversion"/>
  </si>
  <si>
    <t>상품코드</t>
    <phoneticPr fontId="19" type="noConversion"/>
  </si>
  <si>
    <t>반송</t>
    <phoneticPr fontId="19" type="noConversion"/>
  </si>
  <si>
    <t>월말재고</t>
    <phoneticPr fontId="19" type="noConversion"/>
  </si>
  <si>
    <t>판매합계</t>
    <phoneticPr fontId="19" type="noConversion"/>
  </si>
  <si>
    <t>BT25DTFC</t>
    <phoneticPr fontId="19" type="noConversion"/>
  </si>
  <si>
    <t>배송시작일</t>
  </si>
  <si>
    <t>배송완료일</t>
  </si>
  <si>
    <t>업체코드</t>
  </si>
  <si>
    <t>업체명</t>
  </si>
  <si>
    <t>점포코드</t>
  </si>
  <si>
    <t>점포명</t>
  </si>
  <si>
    <t>상품코드</t>
  </si>
  <si>
    <t>매입구분</t>
  </si>
  <si>
    <t>우프컴퍼니</t>
  </si>
  <si>
    <t>몰리스STF하남점</t>
  </si>
  <si>
    <t>개별주문번호</t>
  </si>
  <si>
    <t>대표주문번호</t>
  </si>
  <si>
    <t>주문상태</t>
  </si>
  <si>
    <t>상품번호</t>
  </si>
  <si>
    <t>옵션명</t>
  </si>
  <si>
    <t>옵션번호</t>
  </si>
  <si>
    <t>딜코드</t>
  </si>
  <si>
    <t>판매자코드</t>
  </si>
  <si>
    <t>권장소비자가</t>
  </si>
  <si>
    <t>주문금액</t>
  </si>
  <si>
    <t>주문자명</t>
  </si>
  <si>
    <t>수취인명</t>
  </si>
  <si>
    <t>발주확인일</t>
  </si>
  <si>
    <t>발송처리일</t>
  </si>
  <si>
    <t>픽업시작일</t>
  </si>
  <si>
    <t>픽업종료일</t>
  </si>
  <si>
    <t>픽업매장</t>
  </si>
  <si>
    <t>미픽업반송대상</t>
  </si>
  <si>
    <t>개인통관고유번호</t>
  </si>
  <si>
    <t>상품ID</t>
  </si>
  <si>
    <t>주문ID</t>
  </si>
  <si>
    <t>판매수수료(25%)</t>
    <phoneticPr fontId="19" type="noConversion"/>
  </si>
  <si>
    <t>정산금액</t>
    <phoneticPr fontId="19" type="noConversion"/>
  </si>
  <si>
    <t>수량</t>
    <phoneticPr fontId="19" type="noConversion"/>
  </si>
  <si>
    <t>출고건수 
(송장기준/건)</t>
    <phoneticPr fontId="19" type="noConversion"/>
  </si>
  <si>
    <t>판매상세 (판매 수수료율)</t>
    <phoneticPr fontId="19" type="noConversion"/>
  </si>
  <si>
    <t>이마트</t>
  </si>
  <si>
    <t>실판매수량</t>
    <phoneticPr fontId="19" type="noConversion"/>
  </si>
  <si>
    <t>조율</t>
    <phoneticPr fontId="19" type="noConversion"/>
  </si>
  <si>
    <t>할인계</t>
    <phoneticPr fontId="22" type="noConversion"/>
  </si>
  <si>
    <t>실판매계</t>
    <phoneticPr fontId="22" type="noConversion"/>
  </si>
  <si>
    <t>5304</t>
  </si>
  <si>
    <t>1100</t>
  </si>
  <si>
    <t>1610931</t>
  </si>
  <si>
    <t>직납</t>
  </si>
  <si>
    <t>59</t>
  </si>
  <si>
    <t>정상</t>
  </si>
  <si>
    <t>특행/배달</t>
  </si>
  <si>
    <t>8809879544101</t>
  </si>
  <si>
    <t>업태코드</t>
  </si>
  <si>
    <t>업태명</t>
  </si>
  <si>
    <t>납품일자</t>
  </si>
  <si>
    <t>발주일자</t>
  </si>
  <si>
    <t>문서번호</t>
  </si>
  <si>
    <t>납품구분</t>
  </si>
  <si>
    <t>발주량</t>
  </si>
  <si>
    <t>납품량</t>
  </si>
  <si>
    <t>발주금액</t>
  </si>
  <si>
    <t>납품금액</t>
  </si>
  <si>
    <t>원가</t>
  </si>
  <si>
    <t>센터코드</t>
  </si>
  <si>
    <t>센터명</t>
  </si>
  <si>
    <t>LOT</t>
  </si>
  <si>
    <t>매입형태</t>
  </si>
  <si>
    <t>매입구분명</t>
  </si>
  <si>
    <t>원상품코드</t>
  </si>
  <si>
    <t>도톤 포레스트 아웃도어 스프레이 150ml 강아지 해충방지 진드기</t>
  </si>
  <si>
    <t>판매정가</t>
    <phoneticPr fontId="19" type="noConversion"/>
  </si>
  <si>
    <t>쿠팡</t>
    <phoneticPr fontId="19" type="noConversion"/>
  </si>
  <si>
    <t>번호</t>
  </si>
  <si>
    <t>SKU번호</t>
  </si>
  <si>
    <t>SKU명</t>
  </si>
  <si>
    <t>입고/반출시각</t>
  </si>
  <si>
    <t>물류센터</t>
  </si>
  <si>
    <t>세금타입</t>
  </si>
  <si>
    <t>단가</t>
  </si>
  <si>
    <t>공급가액</t>
  </si>
  <si>
    <t>세액</t>
  </si>
  <si>
    <t>총단가</t>
  </si>
  <si>
    <t>총공급가액</t>
  </si>
  <si>
    <t>총세액</t>
  </si>
  <si>
    <t>계산서번호</t>
  </si>
  <si>
    <t>지급일</t>
  </si>
  <si>
    <t>*신규</t>
    <phoneticPr fontId="19" type="noConversion"/>
  </si>
  <si>
    <t>행사가</t>
    <phoneticPr fontId="19" type="noConversion"/>
  </si>
  <si>
    <t>PG</t>
    <phoneticPr fontId="19" type="noConversion"/>
  </si>
  <si>
    <t>판매가</t>
    <phoneticPr fontId="19" type="noConversion"/>
  </si>
  <si>
    <t>공급가(고정)</t>
    <phoneticPr fontId="19" type="noConversion"/>
  </si>
  <si>
    <t>제외</t>
    <phoneticPr fontId="19" type="noConversion"/>
  </si>
  <si>
    <t>카페24_베럴즈</t>
  </si>
  <si>
    <t>카페24_베럴즈_b2b</t>
  </si>
  <si>
    <t>우프B2B사업자몰</t>
    <phoneticPr fontId="19" type="noConversion"/>
  </si>
  <si>
    <t>주요채널: 우프거래_오프라인사업자</t>
    <phoneticPr fontId="19" type="noConversion"/>
  </si>
  <si>
    <t>소매점공급가</t>
    <phoneticPr fontId="19" type="noConversion"/>
  </si>
  <si>
    <t>로젠택배(중대형)</t>
    <phoneticPr fontId="19" type="noConversion"/>
  </si>
  <si>
    <t>*입고비용 및 보관비용은 한시적 청구제외 하였으며, 운송실비(당사가 3PL 지불하는 택배운임비 +물류비) 청구기준만 기재되었습니다.</t>
    <phoneticPr fontId="19" type="noConversion"/>
  </si>
  <si>
    <t>택배(소형)</t>
    <phoneticPr fontId="19" type="noConversion"/>
  </si>
  <si>
    <t>택배(중대형)</t>
    <phoneticPr fontId="19" type="noConversion"/>
  </si>
  <si>
    <t>운송장번호</t>
  </si>
  <si>
    <t>주문 상태</t>
  </si>
  <si>
    <t>배송 완료</t>
  </si>
  <si>
    <t>[영이공구특가 이벤트 상품] 도톤 포레스트 아웃도어 해충방지 스프레이 150ml</t>
  </si>
  <si>
    <t>수량=공구특가 1개 (25%할인)</t>
  </si>
  <si>
    <t>수량=공구 2개세트 (32%할인)</t>
  </si>
  <si>
    <t>수량=공구 3개세트 (36%할인)</t>
  </si>
  <si>
    <t>한주연</t>
  </si>
  <si>
    <t>수량=공구 3개세트 (36%할인)</t>
    <phoneticPr fontId="19" type="noConversion"/>
  </si>
  <si>
    <t>판매가격</t>
    <phoneticPr fontId="19" type="noConversion"/>
  </si>
  <si>
    <t>판매가합</t>
    <phoneticPr fontId="19" type="noConversion"/>
  </si>
  <si>
    <t>정가기준</t>
    <phoneticPr fontId="19" type="noConversion"/>
  </si>
  <si>
    <t>혜택적용 (프로모션 및 공구할인)</t>
    <phoneticPr fontId="19" type="noConversion"/>
  </si>
  <si>
    <t>품목</t>
    <phoneticPr fontId="19" type="noConversion"/>
  </si>
  <si>
    <t>기준: 배송완료</t>
    <phoneticPr fontId="19" type="noConversion"/>
  </si>
  <si>
    <t>판매채널</t>
  </si>
  <si>
    <t>구매자ID</t>
  </si>
  <si>
    <t>배송방법</t>
  </si>
  <si>
    <t>택배사</t>
  </si>
  <si>
    <t>송장번호</t>
  </si>
  <si>
    <t>상품종류</t>
  </si>
  <si>
    <t>옵션정보</t>
  </si>
  <si>
    <t>상품가격</t>
  </si>
  <si>
    <t>옵션가격</t>
  </si>
  <si>
    <t>최종 상품별 할인액</t>
  </si>
  <si>
    <t>판매자 부담 할인액</t>
  </si>
  <si>
    <t>최종 상품별 총 주문금액</t>
  </si>
  <si>
    <t>판매자 상품코드</t>
  </si>
  <si>
    <t>판매자 내부코드1</t>
  </si>
  <si>
    <t>판매자 내부코드2</t>
  </si>
  <si>
    <t>배송비 묶음번호</t>
  </si>
  <si>
    <t>배송비 형태</t>
  </si>
  <si>
    <t>배송비 유형</t>
  </si>
  <si>
    <t>배송비 합계</t>
  </si>
  <si>
    <t>제주/도서 추가배송비</t>
  </si>
  <si>
    <t>배송비 할인액</t>
  </si>
  <si>
    <t>결제일</t>
  </si>
  <si>
    <t>결제수단</t>
  </si>
  <si>
    <t>결제위치</t>
  </si>
  <si>
    <t>네이버페이 주문관리 수수료</t>
  </si>
  <si>
    <t>매출연동 수수료</t>
  </si>
  <si>
    <t>정산예정금액</t>
  </si>
  <si>
    <t>스마트스토어</t>
  </si>
  <si>
    <t>구매확정</t>
  </si>
  <si>
    <t>택배,등기,소포</t>
  </si>
  <si>
    <t>로젠택배</t>
  </si>
  <si>
    <t>12423379709</t>
  </si>
  <si>
    <t>무료</t>
  </si>
  <si>
    <t>신용카드 간편결제</t>
  </si>
  <si>
    <t>MOBILE</t>
  </si>
  <si>
    <t xml:space="preserve">도톤 포레스트 아웃도어 스프레이 150ml </t>
    <phoneticPr fontId="19" type="noConversion"/>
  </si>
  <si>
    <t>합계수량</t>
    <phoneticPr fontId="19" type="noConversion"/>
  </si>
  <si>
    <t>정상가계</t>
    <phoneticPr fontId="19" type="noConversion"/>
  </si>
  <si>
    <t>혜택</t>
    <phoneticPr fontId="19" type="noConversion"/>
  </si>
  <si>
    <t>판매가계</t>
    <phoneticPr fontId="19" type="noConversion"/>
  </si>
  <si>
    <t>상품</t>
    <phoneticPr fontId="19" type="noConversion"/>
  </si>
  <si>
    <t>도톤 포레스트 워터리스 풋클리너 100ml</t>
    <phoneticPr fontId="19" type="noConversion"/>
  </si>
  <si>
    <t>total</t>
    <phoneticPr fontId="19" type="noConversion"/>
  </si>
  <si>
    <t>정상가</t>
    <phoneticPr fontId="19" type="noConversion"/>
  </si>
  <si>
    <t>판매계</t>
    <phoneticPr fontId="19" type="noConversion"/>
  </si>
  <si>
    <t>혜택공제</t>
    <phoneticPr fontId="19" type="noConversion"/>
  </si>
  <si>
    <t>정산계</t>
    <phoneticPr fontId="19" type="noConversion"/>
  </si>
  <si>
    <t>제품</t>
    <phoneticPr fontId="19" type="noConversion"/>
  </si>
  <si>
    <t>판매없음</t>
    <phoneticPr fontId="19" type="noConversion"/>
  </si>
  <si>
    <t>배송유형</t>
  </si>
  <si>
    <t>예약확정일</t>
  </si>
  <si>
    <t>예약일</t>
  </si>
  <si>
    <t>설치사용완료일</t>
  </si>
  <si>
    <t>P25102716000204</t>
  </si>
  <si>
    <t>[도톤] 포레스트 아웃도어 스프레이 150ml 강아지 해충방지 진드기 (도톤 포레스트 아웃도어 스프레이)</t>
  </si>
  <si>
    <t>도톤 포레스트 아웃도어 스프레이</t>
  </si>
  <si>
    <t>P251027160002040001</t>
  </si>
  <si>
    <t>1001772676</t>
  </si>
  <si>
    <t/>
  </si>
  <si>
    <t>택배</t>
  </si>
  <si>
    <t>1132897</t>
  </si>
  <si>
    <t>집계: 구매확정 기준</t>
    <phoneticPr fontId="19" type="noConversion"/>
  </si>
  <si>
    <t>도톤 포레스트 아웃도어 스프레이 150ml</t>
    <phoneticPr fontId="19" type="noConversion"/>
  </si>
  <si>
    <t>공급가(부가세포함)</t>
    <phoneticPr fontId="19" type="noConversion"/>
  </si>
  <si>
    <t>공급가합</t>
    <phoneticPr fontId="19" type="noConversion"/>
  </si>
  <si>
    <t>수량합계</t>
    <phoneticPr fontId="19" type="noConversion"/>
  </si>
  <si>
    <t>스마트 스토어 (BETTERS)</t>
  </si>
  <si>
    <t>마켓컬리</t>
  </si>
  <si>
    <t>주문일자</t>
  </si>
  <si>
    <t>판매처주문번호</t>
  </si>
  <si>
    <t>판매처상품명</t>
  </si>
  <si>
    <t>주문상품출고일시</t>
  </si>
  <si>
    <t>발송일자</t>
  </si>
  <si>
    <t>상품옵션</t>
  </si>
  <si>
    <t>주문수량</t>
  </si>
  <si>
    <t>주문자</t>
  </si>
  <si>
    <t>수령자</t>
  </si>
  <si>
    <t>재고매칭(1)바코드번호</t>
  </si>
  <si>
    <t>판매처상품코드</t>
  </si>
  <si>
    <t>재고매칭(1)상품명</t>
  </si>
  <si>
    <t>재고매칭(1)주문수량</t>
  </si>
  <si>
    <t>P000BMBG</t>
  </si>
  <si>
    <t>P000BLYX</t>
  </si>
  <si>
    <t>P000BLYY</t>
  </si>
  <si>
    <t>출고합</t>
    <phoneticPr fontId="19" type="noConversion"/>
  </si>
  <si>
    <t>입고합</t>
    <phoneticPr fontId="19" type="noConversion"/>
  </si>
  <si>
    <t>판매수량</t>
  </si>
  <si>
    <t>기본수수료</t>
    <phoneticPr fontId="19" type="noConversion"/>
  </si>
  <si>
    <t>프로모션차감</t>
    <phoneticPr fontId="19" type="noConversion"/>
  </si>
  <si>
    <t>스마트스토어</t>
    <phoneticPr fontId="19" type="noConversion"/>
  </si>
  <si>
    <t>DOTEON Outdoor Spray</t>
    <phoneticPr fontId="19" type="noConversion"/>
  </si>
  <si>
    <t>자사몰-공구</t>
    <phoneticPr fontId="19" type="noConversion"/>
  </si>
  <si>
    <t>DOTEON Outdoor Spray 2개구매시</t>
    <phoneticPr fontId="19" type="noConversion"/>
  </si>
  <si>
    <t>DOTEON Outdoor Spray 3개구매시</t>
    <phoneticPr fontId="19" type="noConversion"/>
  </si>
  <si>
    <t>공구수수료</t>
    <phoneticPr fontId="19" type="noConversion"/>
  </si>
  <si>
    <t>주요채널: 영이공구(인플루언서)</t>
    <phoneticPr fontId="19" type="noConversion"/>
  </si>
  <si>
    <t>공구+PG</t>
    <phoneticPr fontId="19" type="noConversion"/>
  </si>
  <si>
    <t>재계약중</t>
    <phoneticPr fontId="19" type="noConversion"/>
  </si>
  <si>
    <t>품목별 주문번호</t>
  </si>
  <si>
    <t>공급사</t>
  </si>
  <si>
    <t>공급사명</t>
  </si>
  <si>
    <t>결제일시(입금확인일)</t>
  </si>
  <si>
    <t>환불완료일</t>
  </si>
  <si>
    <t>주문상품명(기본)</t>
  </si>
  <si>
    <t>옵션추가 가격</t>
  </si>
  <si>
    <t>상품별 추가할인금액</t>
  </si>
  <si>
    <t>상품별 추가할인 상세</t>
  </si>
  <si>
    <t>공급사 기본 배송비</t>
  </si>
  <si>
    <t>개별배송비</t>
  </si>
  <si>
    <t>쿠폰 할인금액(최종)</t>
  </si>
  <si>
    <t>사용한 쿠폰명</t>
  </si>
  <si>
    <t>반품신청일</t>
  </si>
  <si>
    <t>교환상태</t>
  </si>
  <si>
    <t>쇼핑몰</t>
  </si>
  <si>
    <t>옵션+판매가</t>
  </si>
  <si>
    <t>지역별 배송비</t>
  </si>
  <si>
    <t>환불상태</t>
  </si>
  <si>
    <t>품목별 결제금액</t>
  </si>
  <si>
    <t>20260501-0000125</t>
  </si>
  <si>
    <t>20260501-0000125-05</t>
  </si>
  <si>
    <t>S00000QR</t>
  </si>
  <si>
    <t>베럴즈</t>
  </si>
  <si>
    <t xml:space="preserve">도톤 상시 </t>
  </si>
  <si>
    <t>신규가입 장바구니 3천원 할인 쿠폰</t>
  </si>
  <si>
    <t>위혜란</t>
  </si>
  <si>
    <t>우프(기본)</t>
  </si>
  <si>
    <t>20260501-0000125-06</t>
  </si>
  <si>
    <t>20260513-0000012</t>
  </si>
  <si>
    <t>20260513-0000012-01</t>
  </si>
  <si>
    <t>구범모</t>
  </si>
  <si>
    <t>20260517-0000075</t>
  </si>
  <si>
    <t>20260517-0000075-01</t>
  </si>
  <si>
    <t>박은영</t>
  </si>
  <si>
    <t>20260530-0000050</t>
  </si>
  <si>
    <t>20260530-0000050-02</t>
  </si>
  <si>
    <t>정현택</t>
  </si>
  <si>
    <t>상시할인 -10%</t>
    <phoneticPr fontId="19" type="noConversion"/>
  </si>
  <si>
    <t>집계기간: 26.5.1-5.31</t>
    <phoneticPr fontId="19" type="noConversion"/>
  </si>
  <si>
    <t>20260501-0000079</t>
  </si>
  <si>
    <t>20260501-0000079-01</t>
  </si>
  <si>
    <t>[영이공구특가 이벤트 상품] 도톤 포레스트 아웃도어 해충방지 스프레이 150ml</t>
    <phoneticPr fontId="19" type="noConversion"/>
  </si>
  <si>
    <t>영이공구 특가 도톤아웃도어스프레이 할인</t>
  </si>
  <si>
    <t>박혜은</t>
  </si>
  <si>
    <t>20260502-0000061</t>
  </si>
  <si>
    <t>20260502-0000061-01</t>
  </si>
  <si>
    <t>서은경</t>
  </si>
  <si>
    <t>20260503-0000075</t>
  </si>
  <si>
    <t>20260503-0000075-01</t>
  </si>
  <si>
    <t>한수정</t>
  </si>
  <si>
    <t>20260504-0000065</t>
  </si>
  <si>
    <t>20260504-0000065-01</t>
  </si>
  <si>
    <t>인나엽</t>
  </si>
  <si>
    <t>20260505-0000106</t>
  </si>
  <si>
    <t>20260505-0000106-01</t>
  </si>
  <si>
    <t>이보람</t>
  </si>
  <si>
    <t>20260506-0000014</t>
  </si>
  <si>
    <t>20260506-0000014-01</t>
  </si>
  <si>
    <t>김보람</t>
  </si>
  <si>
    <t>20260506-0000160</t>
  </si>
  <si>
    <t>20260506-0000160-01</t>
  </si>
  <si>
    <t>신지영</t>
  </si>
  <si>
    <t>20260507-0000266</t>
  </si>
  <si>
    <t>20260507-0000266-01</t>
  </si>
  <si>
    <t>유지나</t>
  </si>
  <si>
    <t>20260509-0000101</t>
  </si>
  <si>
    <t>20260509-0000101-01</t>
  </si>
  <si>
    <t>김보은</t>
  </si>
  <si>
    <t>20260513-0000049</t>
  </si>
  <si>
    <t>20260513-0000049-01</t>
  </si>
  <si>
    <t>고샛별</t>
  </si>
  <si>
    <t>20260513-0000086</t>
  </si>
  <si>
    <t>20260513-0000086-01</t>
  </si>
  <si>
    <t>임지현</t>
  </si>
  <si>
    <t>20260513-0000094</t>
  </si>
  <si>
    <t>20260513-0000094-01</t>
  </si>
  <si>
    <t>김찬미</t>
  </si>
  <si>
    <t>20260513-0000141</t>
  </si>
  <si>
    <t>20260513-0000141-01</t>
  </si>
  <si>
    <t>변예솜</t>
  </si>
  <si>
    <t>20260513-0000204</t>
  </si>
  <si>
    <t>20260513-0000204-01</t>
  </si>
  <si>
    <t>정다은</t>
  </si>
  <si>
    <t>20260513-0000276</t>
  </si>
  <si>
    <t>20260513-0000276-01</t>
  </si>
  <si>
    <t>박온누리</t>
  </si>
  <si>
    <t>20260514-0000010</t>
  </si>
  <si>
    <t>20260514-0000010-01</t>
  </si>
  <si>
    <t>유민혜</t>
  </si>
  <si>
    <t>20260514-0000024</t>
  </si>
  <si>
    <t>20260514-0000024-01</t>
  </si>
  <si>
    <t>윤혜령</t>
  </si>
  <si>
    <t>20260514-0000076</t>
  </si>
  <si>
    <t>20260514-0000076-01</t>
  </si>
  <si>
    <t>백선영</t>
  </si>
  <si>
    <t>20260514-0000167</t>
  </si>
  <si>
    <t>20260514-0000167-01</t>
  </si>
  <si>
    <t>박미연</t>
  </si>
  <si>
    <t>20260514-0000198</t>
  </si>
  <si>
    <t>20260514-0000198-01</t>
  </si>
  <si>
    <t>오수진</t>
  </si>
  <si>
    <t>20260514-0000204</t>
  </si>
  <si>
    <t>20260514-0000204-01</t>
  </si>
  <si>
    <t>김루비</t>
  </si>
  <si>
    <t>20260515-0000021</t>
  </si>
  <si>
    <t>20260515-0000021-01</t>
  </si>
  <si>
    <t>남기선</t>
  </si>
  <si>
    <t>20260515-0000047</t>
  </si>
  <si>
    <t>20260515-0000047-01</t>
  </si>
  <si>
    <t>유선용</t>
  </si>
  <si>
    <t>20260515-0000148</t>
  </si>
  <si>
    <t>20260515-0000148-01</t>
  </si>
  <si>
    <t>오수경</t>
  </si>
  <si>
    <t>20260516-0000015</t>
  </si>
  <si>
    <t>20260516-0000015-01</t>
  </si>
  <si>
    <t>홍보경</t>
  </si>
  <si>
    <t>20260517-0000086</t>
  </si>
  <si>
    <t>20260517-0000086-01</t>
  </si>
  <si>
    <t>김재민</t>
  </si>
  <si>
    <t>20260517-0000142</t>
  </si>
  <si>
    <t>20260517-0000142-01</t>
  </si>
  <si>
    <t>최민영</t>
  </si>
  <si>
    <t>20260517-0000159</t>
  </si>
  <si>
    <t>20260517-0000159-01</t>
  </si>
  <si>
    <t>마루</t>
  </si>
  <si>
    <t>20260524-0000035</t>
  </si>
  <si>
    <t>20260524-0000035-01</t>
  </si>
  <si>
    <t>수량=공구특가 1개 (25%할인)</t>
    <phoneticPr fontId="19" type="noConversion"/>
  </si>
  <si>
    <t>수량=공구 2개세트 (32%할인)</t>
    <phoneticPr fontId="19" type="noConversion"/>
  </si>
  <si>
    <t>수량(건)</t>
    <phoneticPr fontId="19" type="noConversion"/>
  </si>
  <si>
    <t>실출고수량(개)</t>
    <phoneticPr fontId="19" type="noConversion"/>
  </si>
  <si>
    <t>2026051964979581</t>
  </si>
  <si>
    <t>2026051982360941</t>
  </si>
  <si>
    <t>조윤정</t>
  </si>
  <si>
    <t>yunj******</t>
  </si>
  <si>
    <t>92235276604</t>
  </si>
  <si>
    <t>2026051981433239</t>
  </si>
  <si>
    <t>PC</t>
  </si>
  <si>
    <t>2026051059055961</t>
  </si>
  <si>
    <t>2026051018182881</t>
  </si>
  <si>
    <t>유은진</t>
  </si>
  <si>
    <t>zzdb****</t>
  </si>
  <si>
    <t>공주</t>
  </si>
  <si>
    <t>92234907520</t>
  </si>
  <si>
    <t>2026051058054732</t>
  </si>
  <si>
    <t>무통장입금</t>
  </si>
  <si>
    <t>2026051059055951</t>
  </si>
  <si>
    <t>12423395816</t>
  </si>
  <si>
    <t>2026051058054731</t>
  </si>
  <si>
    <t>2026043039610441</t>
  </si>
  <si>
    <t>2026043032327861</t>
  </si>
  <si>
    <t>장조은</t>
  </si>
  <si>
    <t>feve*****</t>
  </si>
  <si>
    <t>92234617171</t>
  </si>
  <si>
    <t>2026043033590504</t>
  </si>
  <si>
    <t>2026042883954521</t>
  </si>
  <si>
    <t>2026042891931141</t>
  </si>
  <si>
    <t>정선주</t>
  </si>
  <si>
    <t>fl****</t>
  </si>
  <si>
    <t>92234560261</t>
  </si>
  <si>
    <t>2026042830699266</t>
  </si>
  <si>
    <t>신용카드</t>
  </si>
  <si>
    <t>집계: 26.5.1-5.31 (구매확정 기준)</t>
    <phoneticPr fontId="19" type="noConversion"/>
  </si>
  <si>
    <t>상시할인(-10%)</t>
    <phoneticPr fontId="19" type="noConversion"/>
  </si>
  <si>
    <t>마켓 할인가</t>
    <phoneticPr fontId="19" type="noConversion"/>
  </si>
  <si>
    <t>추가할인</t>
    <phoneticPr fontId="19" type="noConversion"/>
  </si>
  <si>
    <t>합계(실매출)</t>
    <phoneticPr fontId="19" type="noConversion"/>
  </si>
  <si>
    <t>행사명</t>
    <phoneticPr fontId="19" type="noConversion"/>
  </si>
  <si>
    <t>도톤 풋</t>
    <phoneticPr fontId="19" type="noConversion"/>
  </si>
  <si>
    <t>5/3 플리마켓 태리마켓</t>
    <phoneticPr fontId="19" type="noConversion"/>
  </si>
  <si>
    <t>도톤 아웃도어</t>
    <phoneticPr fontId="19" type="noConversion"/>
  </si>
  <si>
    <t>총합계</t>
    <phoneticPr fontId="19" type="noConversion"/>
  </si>
  <si>
    <t>수수료(20%)</t>
    <phoneticPr fontId="19" type="noConversion"/>
  </si>
  <si>
    <t>마켓할인-7,000</t>
    <phoneticPr fontId="19" type="noConversion"/>
  </si>
  <si>
    <t>판매수수료</t>
    <phoneticPr fontId="19" type="noConversion"/>
  </si>
  <si>
    <t>20260504-0000051</t>
  </si>
  <si>
    <t>20260504-0000051-03</t>
  </si>
  <si>
    <t>첫주문 5% 할인쿠폰</t>
  </si>
  <si>
    <t>김송희</t>
  </si>
  <si>
    <t>우프(B2B)</t>
  </si>
  <si>
    <t>20260513-0000077</t>
  </si>
  <si>
    <t>20260513-0000077-06</t>
  </si>
  <si>
    <t>김종성</t>
  </si>
  <si>
    <t>20260630</t>
  </si>
  <si>
    <t>6095289621</t>
  </si>
  <si>
    <t>20260627</t>
  </si>
  <si>
    <t>6095109504</t>
  </si>
  <si>
    <t>20260607</t>
  </si>
  <si>
    <t>6093863018</t>
  </si>
  <si>
    <t>이마트(몰리스하남) 5월 판매집계</t>
    <phoneticPr fontId="19" type="noConversion"/>
  </si>
  <si>
    <t>1777927884002</t>
  </si>
  <si>
    <t>2414205510007</t>
  </si>
  <si>
    <t>2026-05-05T05:51:25</t>
  </si>
  <si>
    <t>92234777784</t>
  </si>
  <si>
    <t>최*정</t>
  </si>
  <si>
    <t>2026-05-06T14:15:47</t>
  </si>
  <si>
    <t>2026-05-06T15:29:12</t>
  </si>
  <si>
    <t>2026-05-07T13:59:07</t>
  </si>
  <si>
    <t>2026-05-14T04:00:48</t>
  </si>
  <si>
    <t>20957024</t>
  </si>
  <si>
    <t>1778101124001</t>
  </si>
  <si>
    <t>2414405580018</t>
  </si>
  <si>
    <t>2026-05-07T05:58:44</t>
  </si>
  <si>
    <t>92234826460</t>
  </si>
  <si>
    <t>이*진</t>
  </si>
  <si>
    <t>2026-05-07T13:59:40</t>
  </si>
  <si>
    <t>2026-05-07T16:14:34</t>
  </si>
  <si>
    <t>2026-05-08T11:12:15</t>
  </si>
  <si>
    <t>2026-05-15T04:01:54</t>
  </si>
  <si>
    <t>21037145</t>
  </si>
  <si>
    <t>1778840217004</t>
  </si>
  <si>
    <t>2415219160235</t>
  </si>
  <si>
    <t>2026-05-15T19:16:57</t>
  </si>
  <si>
    <t>92235225891</t>
  </si>
  <si>
    <t>김*연</t>
  </si>
  <si>
    <t>2026-05-18T16:10:19</t>
  </si>
  <si>
    <t>2026-05-18T16:10:30</t>
  </si>
  <si>
    <t>2026-05-19T12:58:58</t>
  </si>
  <si>
    <t>2026-05-26T04:00:55</t>
  </si>
  <si>
    <t>21307901</t>
  </si>
  <si>
    <t>1779428211001</t>
  </si>
  <si>
    <t>2415914360140</t>
  </si>
  <si>
    <t>2026-05-22T14:36:51</t>
  </si>
  <si>
    <t>92235453181</t>
  </si>
  <si>
    <t>오*영</t>
  </si>
  <si>
    <t>2026-05-22T18:26:37</t>
  </si>
  <si>
    <t>2026-05-26T14:00:31</t>
  </si>
  <si>
    <t>2026-05-27T14:17:05</t>
  </si>
  <si>
    <t>2026-06-03T04:01:28</t>
  </si>
  <si>
    <t>21565227</t>
  </si>
  <si>
    <t>컬리 5월</t>
    <phoneticPr fontId="19" type="noConversion"/>
  </si>
  <si>
    <t>발주</t>
  </si>
  <si>
    <t>130902115</t>
  </si>
  <si>
    <t>70945869</t>
  </si>
  <si>
    <t>도톤 포레스트 아웃도어 강아지 스프레이 150ml 1개 단일색상</t>
  </si>
  <si>
    <t>2026/05/09 15:27:01</t>
  </si>
  <si>
    <t>DAE3</t>
  </si>
  <si>
    <t>과세</t>
  </si>
  <si>
    <t>13,860</t>
  </si>
  <si>
    <t>12,600</t>
  </si>
  <si>
    <t>1,260</t>
  </si>
  <si>
    <t>25,200</t>
  </si>
  <si>
    <t>2,520</t>
  </si>
  <si>
    <t>29580323</t>
  </si>
  <si>
    <t>2026/07/08 00:00:00</t>
  </si>
  <si>
    <t>131154290</t>
  </si>
  <si>
    <t>2026/05/13 15:08:54</t>
  </si>
  <si>
    <t>INC30</t>
  </si>
  <si>
    <t>29623389</t>
  </si>
  <si>
    <t>2026/07/10 00:00:00</t>
  </si>
  <si>
    <t>131805352</t>
  </si>
  <si>
    <t>2026/05/24 03:22:56</t>
  </si>
  <si>
    <t>SAN3</t>
  </si>
  <si>
    <t>29752709</t>
  </si>
  <si>
    <t>2026/07/23 00:00:00</t>
  </si>
  <si>
    <t>수량계</t>
    <phoneticPr fontId="19" type="noConversion"/>
  </si>
  <si>
    <t>공급가계</t>
    <phoneticPr fontId="19" type="noConversion"/>
  </si>
  <si>
    <t>상품</t>
  </si>
  <si>
    <t>바코드</t>
  </si>
  <si>
    <t>재고 단위</t>
  </si>
  <si>
    <t>공급율(55%)</t>
  </si>
  <si>
    <t>수수료(45%)</t>
  </si>
  <si>
    <t>심매출액</t>
  </si>
  <si>
    <t>[도톤] 포레스트 아웃도어 스프레이 150ml 강아지 해중방지 진드기</t>
  </si>
  <si>
    <t>EA</t>
  </si>
  <si>
    <t xml:space="preserve">5월 판매내역 </t>
    <phoneticPr fontId="19" type="noConversion"/>
  </si>
  <si>
    <t>2026-05-29 오후 12:00:45</t>
  </si>
  <si>
    <t>2026-05-26 오전 10:21:03</t>
  </si>
  <si>
    <t>2026-05-22 오후 4:49:01</t>
  </si>
  <si>
    <t>2026-05-22 오후 4:49:02</t>
  </si>
  <si>
    <t>2026-05-19 오후 3:04:55</t>
  </si>
  <si>
    <t>2026-05-19 오후 3:05:01</t>
  </si>
  <si>
    <t>2026-05-19 오후 3:05:02</t>
  </si>
  <si>
    <t>2026-05-18 오전 9:32:07</t>
  </si>
  <si>
    <t>2026-05-18 오전 9:32:38</t>
  </si>
  <si>
    <t>2026-05-18 오전 9:32:34</t>
  </si>
  <si>
    <t>2026-05-18 오전 9:32:29</t>
  </si>
  <si>
    <t>2026-05-18 오후 2:54:48</t>
  </si>
  <si>
    <t>2026-05-18 오전 9:32:03</t>
  </si>
  <si>
    <t>2026-05-18 오전 9:32:43</t>
  </si>
  <si>
    <t>2026-05-15 오후 2:56:48</t>
  </si>
  <si>
    <t>2026-05-15 오전 9:15:57</t>
  </si>
  <si>
    <t>2026-05-15 오전 9:15:53</t>
  </si>
  <si>
    <t>2026-05-15 오전 9:15:50</t>
  </si>
  <si>
    <t>2026-05-15 오전 9:15:43</t>
  </si>
  <si>
    <t>2026-05-15 오후 3:15:11</t>
  </si>
  <si>
    <t>2026-05-14 오전 9:44:36</t>
  </si>
  <si>
    <t>2026-05-14 오후 1:46:14</t>
  </si>
  <si>
    <t>2026-05-14 오전 9:44:26</t>
  </si>
  <si>
    <t>2026-05-14 오전 9:44:22</t>
  </si>
  <si>
    <t>2026-05-14 오전 9:44:24</t>
  </si>
  <si>
    <t>2026-05-14 오전 9:44:31</t>
  </si>
  <si>
    <t>2026-05-14 오전 9:54:03</t>
  </si>
  <si>
    <t>2026-05-13 오후 4:17:35</t>
  </si>
  <si>
    <t>2026-05-13 오후 1:55:16</t>
  </si>
  <si>
    <t>2026-05-13 오후 12:36:38</t>
  </si>
  <si>
    <t>2026-05-13 오후 1:55:12</t>
  </si>
  <si>
    <t>2026-05-13 오후 1:55:13</t>
  </si>
  <si>
    <t>2026-05-11 오후 3:17:03</t>
  </si>
  <si>
    <t>2026-05-11 오전 9:10:42</t>
  </si>
  <si>
    <t>2026-05-11 오전 9:10:48</t>
  </si>
  <si>
    <t>2026-05-08 오후 3:39:40</t>
  </si>
  <si>
    <t>2026-05-08 오후 1:56:15</t>
  </si>
  <si>
    <t>2026-05-07 오후 2:34:15</t>
  </si>
  <si>
    <t>2026-05-07 오후 2:26:23</t>
  </si>
  <si>
    <t>2026-05-06 오후 1:12:38</t>
  </si>
  <si>
    <t>2026-05-07 오후 2:26:25</t>
  </si>
  <si>
    <t>2026-05-06 오후 1:12:34</t>
  </si>
  <si>
    <t>2026-05-06 오후 2:57:07</t>
  </si>
  <si>
    <t>2026-05-04 오후 4:49:33</t>
  </si>
  <si>
    <t>2026-05-04 오후 4:15:56</t>
  </si>
  <si>
    <t>2026-05-04 오후 4:49:03</t>
  </si>
  <si>
    <t>2026-05-04 오후 4:49:26</t>
  </si>
  <si>
    <t>2026-05-04 오후 4:49:22</t>
  </si>
  <si>
    <t>2026-05-04 오후 4:49:19</t>
  </si>
  <si>
    <t>판매</t>
  </si>
  <si>
    <t>재고이동</t>
  </si>
  <si>
    <t>미판매</t>
    <phoneticPr fontId="19" type="noConversion"/>
  </si>
  <si>
    <t>입출고구분</t>
  </si>
  <si>
    <t>출고</t>
  </si>
  <si>
    <t>주문일자 기준으로, 실제 입출고내역과 차이가 있을 수 있습니다.</t>
    <phoneticPr fontId="19" type="noConversion"/>
  </si>
  <si>
    <t>판매기간 2026 5/1 - 5/31</t>
    <phoneticPr fontId="19" type="noConversion"/>
  </si>
  <si>
    <t>20260513-0000179</t>
  </si>
  <si>
    <t>20260513-0000179-01</t>
  </si>
  <si>
    <t>우프(베럴즈)</t>
  </si>
  <si>
    <t>테일릿</t>
  </si>
  <si>
    <t>행사</t>
    <phoneticPr fontId="19" type="noConversion"/>
  </si>
  <si>
    <t>태리마켓(5월)</t>
    <phoneticPr fontId="19" type="noConversion"/>
  </si>
  <si>
    <t>할인(원)</t>
    <phoneticPr fontId="19" type="noConversion"/>
  </si>
  <si>
    <t>2026년 5월</t>
    <phoneticPr fontId="19" type="noConversion"/>
  </si>
  <si>
    <r>
      <rPr>
        <b/>
        <sz val="11"/>
        <color theme="1"/>
        <rFont val="Cambria"/>
        <family val="1"/>
      </rPr>
      <t>5</t>
    </r>
    <r>
      <rPr>
        <b/>
        <sz val="11"/>
        <color theme="1"/>
        <rFont val="Malgun Gothic"/>
        <family val="2"/>
        <charset val="129"/>
      </rPr>
      <t>월 1일</t>
    </r>
    <phoneticPr fontId="19" type="noConversion"/>
  </si>
  <si>
    <r>
      <t>5</t>
    </r>
    <r>
      <rPr>
        <b/>
        <sz val="11"/>
        <color theme="1"/>
        <rFont val="Malgun Gothic"/>
        <family val="2"/>
        <charset val="129"/>
      </rPr>
      <t>월</t>
    </r>
    <r>
      <rPr>
        <b/>
        <sz val="11"/>
        <color theme="1"/>
        <rFont val="Noto Sans KR"/>
        <charset val="129"/>
      </rPr>
      <t xml:space="preserve"> 31</t>
    </r>
    <r>
      <rPr>
        <b/>
        <sz val="11"/>
        <color theme="1"/>
        <rFont val="Malgun Gothic"/>
        <family val="2"/>
        <charset val="129"/>
      </rPr>
      <t>일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</si>
</sst>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₩&quot;* #,##0_);_(&quot;₩&quot;* \(#,##0\);_(&quot;₩&quot;* &quot;-&quot;_);_(@_)"/>
    <numFmt numFmtId="41" formatCode="_(* #,##0_);_(* \(#,##0\);_(* &quot;-&quot;_);_(@_)"/>
    <numFmt numFmtId="176" formatCode="_-* #,##0_-;\-* #,##0_-;_-* &quot;-&quot;_-;_-@_-"/>
    <numFmt numFmtId="177" formatCode="yyyy&quot;년&quot;\ m&quot;월&quot;;@"/>
    <numFmt numFmtId="178" formatCode="mm&quot;월&quot;\ dd&quot;일&quot;"/>
    <numFmt numFmtId="179" formatCode="m&quot;월&quot;\ d&quot;일&quot;;@"/>
    <numFmt numFmtId="180" formatCode="0_);[Red]\(0\)"/>
    <numFmt numFmtId="181" formatCode="_(* #,##0.0_);_(* \(#,##0.0\);_(* &quot;-&quot;?_);_(@_)"/>
    <numFmt numFmtId="183" formatCode="yyyy/mm/dd\ hh:mm"/>
    <numFmt numFmtId="184" formatCode="&quot;\&quot;#,##0"/>
  </numFmts>
  <fonts count="6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1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  <font>
      <i/>
      <sz val="10"/>
      <color theme="1"/>
      <name val="Noto Sans KR"/>
      <family val="3"/>
      <charset val="129"/>
    </font>
    <font>
      <b/>
      <sz val="11"/>
      <color theme="1"/>
      <name val="Noto Sans KR"/>
      <charset val="129"/>
    </font>
    <font>
      <sz val="9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Malgun Gothic"/>
      <family val="2"/>
      <charset val="129"/>
    </font>
    <font>
      <b/>
      <sz val="9"/>
      <color theme="1"/>
      <name val="맑은 고딕"/>
      <family val="2"/>
      <charset val="129"/>
      <scheme val="minor"/>
    </font>
    <font>
      <b/>
      <sz val="11"/>
      <color rgb="FF000000"/>
      <name val="Malgun Gothic"/>
      <family val="2"/>
      <charset val="129"/>
    </font>
    <font>
      <sz val="11"/>
      <color rgb="FF656565"/>
      <name val="Malgun Gothic"/>
      <family val="2"/>
      <charset val="129"/>
    </font>
    <font>
      <sz val="9"/>
      <color rgb="FFFF0000"/>
      <name val="맑은 고딕"/>
      <family val="2"/>
      <charset val="129"/>
      <scheme val="minor"/>
    </font>
    <font>
      <b/>
      <sz val="11"/>
      <color theme="1"/>
      <name val="Cambria"/>
      <family val="1"/>
    </font>
    <font>
      <b/>
      <sz val="11"/>
      <color theme="1"/>
      <name val="Malgun Gothic"/>
      <family val="2"/>
      <charset val="129"/>
    </font>
    <font>
      <b/>
      <sz val="11"/>
      <color theme="1"/>
      <name val="Noto Sans KR"/>
      <family val="1"/>
      <charset val="129"/>
    </font>
    <font>
      <b/>
      <sz val="11"/>
      <color rgb="FFFF0000"/>
      <name val="Noto Sans KR"/>
      <family val="3"/>
      <charset val="129"/>
    </font>
    <font>
      <sz val="12"/>
      <color indexed="8"/>
      <name val="나눔고딕"/>
      <family val="2"/>
      <charset val="129"/>
    </font>
    <font>
      <b/>
      <sz val="10"/>
      <color rgb="FF000000"/>
      <name val="맑은 고딕"/>
      <family val="2"/>
      <charset val="129"/>
      <scheme val="minor"/>
    </font>
    <font>
      <b/>
      <sz val="9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1"/>
      <color rgb="FFFF0000"/>
      <name val="Noto Sans KR"/>
      <family val="3"/>
      <charset val="129"/>
    </font>
    <font>
      <b/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2"/>
      <charset val="129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b/>
      <sz val="9"/>
      <color rgb="FFFF0000"/>
      <name val="맑은 고딕"/>
      <family val="2"/>
      <charset val="129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rgb="FFCCCC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DEDED"/>
      </patternFill>
    </fill>
    <fill>
      <patternFill patternType="solid">
        <fgColor indexed="22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9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E2E2E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E2E2E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thin">
        <color theme="0" tint="-0.499984740745262"/>
      </bottom>
      <diagonal/>
    </border>
    <border>
      <left/>
      <right style="medium">
        <color theme="1"/>
      </right>
      <top/>
      <bottom style="thin">
        <color theme="0" tint="-0.499984740745262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 style="medium">
        <color theme="0" tint="-0.499984740745262"/>
      </bottom>
      <diagonal/>
    </border>
    <border>
      <left/>
      <right style="medium">
        <color theme="1"/>
      </right>
      <top/>
      <bottom style="medium">
        <color theme="0" tint="-0.499984740745262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thin">
        <color theme="1"/>
      </bottom>
      <diagonal/>
    </border>
  </borders>
  <cellStyleXfs count="48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382">
    <xf numFmtId="0" fontId="0" fillId="0" borderId="0" xfId="0">
      <alignment vertical="center"/>
    </xf>
    <xf numFmtId="9" fontId="21" fillId="36" borderId="12" xfId="44" applyFont="1" applyFill="1" applyBorder="1" applyAlignment="1" applyProtection="1">
      <alignment horizontal="center" vertical="center" wrapText="1"/>
      <protection locked="0"/>
    </xf>
    <xf numFmtId="38" fontId="24" fillId="0" borderId="14" xfId="44" applyNumberFormat="1" applyFont="1" applyFill="1" applyBorder="1" applyAlignment="1" applyProtection="1">
      <alignment horizontal="center" vertical="center"/>
      <protection locked="0"/>
    </xf>
    <xf numFmtId="176" fontId="24" fillId="0" borderId="14" xfId="44" applyNumberFormat="1" applyFont="1" applyFill="1" applyBorder="1" applyAlignment="1" applyProtection="1">
      <alignment horizontal="center" vertical="center"/>
      <protection locked="0"/>
    </xf>
    <xf numFmtId="176" fontId="24" fillId="0" borderId="14" xfId="43" applyNumberFormat="1" applyFont="1" applyBorder="1" applyAlignment="1">
      <alignment horizontal="center" vertical="center"/>
    </xf>
    <xf numFmtId="0" fontId="20" fillId="0" borderId="0" xfId="43" applyFont="1" applyAlignment="1">
      <alignment horizontal="left" vertical="center"/>
    </xf>
    <xf numFmtId="0" fontId="25" fillId="0" borderId="0" xfId="43" applyFont="1" applyAlignment="1">
      <alignment horizontal="left" vertical="center"/>
    </xf>
    <xf numFmtId="0" fontId="20" fillId="0" borderId="0" xfId="0" applyFont="1">
      <alignment vertical="center"/>
    </xf>
    <xf numFmtId="0" fontId="27" fillId="0" borderId="0" xfId="0" applyFont="1" applyAlignment="1">
      <alignment horizontal="right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 applyAlignment="1">
      <alignment horizontal="right" vertical="center"/>
    </xf>
    <xf numFmtId="0" fontId="28" fillId="33" borderId="18" xfId="0" applyFont="1" applyFill="1" applyBorder="1" applyAlignment="1">
      <alignment horizontal="center" vertical="center"/>
    </xf>
    <xf numFmtId="0" fontId="28" fillId="33" borderId="19" xfId="0" applyFont="1" applyFill="1" applyBorder="1" applyAlignment="1">
      <alignment horizontal="center" vertical="center"/>
    </xf>
    <xf numFmtId="0" fontId="28" fillId="37" borderId="16" xfId="0" applyFont="1" applyFill="1" applyBorder="1" applyAlignment="1">
      <alignment horizontal="center" vertical="center"/>
    </xf>
    <xf numFmtId="0" fontId="28" fillId="37" borderId="12" xfId="0" applyFont="1" applyFill="1" applyBorder="1" applyAlignment="1">
      <alignment horizontal="center" vertical="center"/>
    </xf>
    <xf numFmtId="0" fontId="29" fillId="37" borderId="12" xfId="0" applyFont="1" applyFill="1" applyBorder="1" applyAlignment="1">
      <alignment horizontal="center" vertical="center"/>
    </xf>
    <xf numFmtId="0" fontId="29" fillId="37" borderId="17" xfId="0" applyFont="1" applyFill="1" applyBorder="1" applyAlignment="1">
      <alignment horizontal="center" vertical="center"/>
    </xf>
    <xf numFmtId="0" fontId="29" fillId="0" borderId="12" xfId="0" applyFont="1" applyBorder="1">
      <alignment vertical="center"/>
    </xf>
    <xf numFmtId="176" fontId="29" fillId="0" borderId="12" xfId="1" applyFont="1" applyBorder="1">
      <alignment vertical="center"/>
    </xf>
    <xf numFmtId="176" fontId="29" fillId="0" borderId="17" xfId="1" applyFont="1" applyBorder="1">
      <alignment vertical="center"/>
    </xf>
    <xf numFmtId="0" fontId="28" fillId="33" borderId="16" xfId="0" applyFont="1" applyFill="1" applyBorder="1" applyAlignment="1">
      <alignment horizontal="center" vertical="center"/>
    </xf>
    <xf numFmtId="0" fontId="28" fillId="33" borderId="12" xfId="0" applyFont="1" applyFill="1" applyBorder="1" applyAlignment="1">
      <alignment horizontal="center" vertical="center"/>
    </xf>
    <xf numFmtId="176" fontId="28" fillId="0" borderId="12" xfId="1" applyFont="1" applyBorder="1">
      <alignment vertical="center"/>
    </xf>
    <xf numFmtId="180" fontId="29" fillId="0" borderId="16" xfId="0" applyNumberFormat="1" applyFont="1" applyBorder="1">
      <alignment vertical="center"/>
    </xf>
    <xf numFmtId="0" fontId="32" fillId="0" borderId="0" xfId="0" applyFont="1">
      <alignment vertical="center"/>
    </xf>
    <xf numFmtId="180" fontId="32" fillId="0" borderId="0" xfId="0" applyNumberFormat="1" applyFont="1">
      <alignment vertical="center"/>
    </xf>
    <xf numFmtId="14" fontId="32" fillId="0" borderId="0" xfId="0" applyNumberFormat="1" applyFont="1">
      <alignment vertical="center"/>
    </xf>
    <xf numFmtId="14" fontId="0" fillId="0" borderId="0" xfId="0" applyNumberFormat="1">
      <alignment vertical="center"/>
    </xf>
    <xf numFmtId="180" fontId="0" fillId="0" borderId="0" xfId="0" applyNumberFormat="1" applyAlignment="1">
      <alignment horizontal="center" vertical="center"/>
    </xf>
    <xf numFmtId="176" fontId="0" fillId="0" borderId="0" xfId="1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22" fontId="32" fillId="0" borderId="0" xfId="0" applyNumberFormat="1" applyFont="1">
      <alignment vertical="center"/>
    </xf>
    <xf numFmtId="0" fontId="33" fillId="0" borderId="0" xfId="0" applyFont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176" fontId="33" fillId="0" borderId="31" xfId="1" applyFont="1" applyBorder="1" applyAlignment="1">
      <alignment horizontal="center" vertical="center"/>
    </xf>
    <xf numFmtId="9" fontId="33" fillId="0" borderId="31" xfId="0" applyNumberFormat="1" applyFont="1" applyBorder="1" applyAlignment="1">
      <alignment horizontal="center" vertical="center"/>
    </xf>
    <xf numFmtId="0" fontId="34" fillId="0" borderId="12" xfId="0" applyFont="1" applyBorder="1">
      <alignment vertical="center"/>
    </xf>
    <xf numFmtId="41" fontId="34" fillId="0" borderId="12" xfId="0" applyNumberFormat="1" applyFont="1" applyBorder="1">
      <alignment vertical="center"/>
    </xf>
    <xf numFmtId="0" fontId="33" fillId="0" borderId="12" xfId="0" applyFont="1" applyBorder="1" applyAlignment="1">
      <alignment horizontal="center" vertical="center"/>
    </xf>
    <xf numFmtId="41" fontId="33" fillId="0" borderId="12" xfId="0" applyNumberFormat="1" applyFont="1" applyBorder="1" applyAlignment="1">
      <alignment horizontal="center" vertical="center"/>
    </xf>
    <xf numFmtId="41" fontId="33" fillId="38" borderId="12" xfId="0" applyNumberFormat="1" applyFont="1" applyFill="1" applyBorder="1" applyAlignment="1">
      <alignment horizontal="center" vertical="center"/>
    </xf>
    <xf numFmtId="9" fontId="33" fillId="0" borderId="12" xfId="0" applyNumberFormat="1" applyFont="1" applyBorder="1" applyAlignment="1">
      <alignment horizontal="center" vertical="center"/>
    </xf>
    <xf numFmtId="176" fontId="33" fillId="0" borderId="12" xfId="1" applyFont="1" applyBorder="1" applyAlignment="1">
      <alignment horizontal="center" vertical="center"/>
    </xf>
    <xf numFmtId="176" fontId="34" fillId="0" borderId="12" xfId="1" applyFont="1" applyBorder="1">
      <alignment vertical="center"/>
    </xf>
    <xf numFmtId="0" fontId="34" fillId="0" borderId="0" xfId="0" applyFont="1" applyAlignment="1">
      <alignment horizontal="center" vertical="center"/>
    </xf>
    <xf numFmtId="41" fontId="34" fillId="0" borderId="0" xfId="0" applyNumberFormat="1" applyFont="1">
      <alignment vertical="center"/>
    </xf>
    <xf numFmtId="0" fontId="34" fillId="39" borderId="0" xfId="0" applyFont="1" applyFill="1">
      <alignment vertical="center"/>
    </xf>
    <xf numFmtId="0" fontId="33" fillId="39" borderId="0" xfId="0" applyFont="1" applyFill="1">
      <alignment vertical="center"/>
    </xf>
    <xf numFmtId="41" fontId="33" fillId="39" borderId="31" xfId="0" applyNumberFormat="1" applyFont="1" applyFill="1" applyBorder="1" applyAlignment="1">
      <alignment horizontal="center" vertical="center"/>
    </xf>
    <xf numFmtId="41" fontId="34" fillId="39" borderId="12" xfId="0" applyNumberFormat="1" applyFont="1" applyFill="1" applyBorder="1">
      <alignment vertical="center"/>
    </xf>
    <xf numFmtId="41" fontId="33" fillId="39" borderId="12" xfId="0" applyNumberFormat="1" applyFont="1" applyFill="1" applyBorder="1" applyAlignment="1">
      <alignment horizontal="center" vertical="center"/>
    </xf>
    <xf numFmtId="176" fontId="29" fillId="0" borderId="32" xfId="1" applyFont="1" applyFill="1" applyBorder="1">
      <alignment vertical="center"/>
    </xf>
    <xf numFmtId="176" fontId="0" fillId="0" borderId="0" xfId="0" applyNumberFormat="1">
      <alignment vertical="center"/>
    </xf>
    <xf numFmtId="180" fontId="29" fillId="39" borderId="13" xfId="0" applyNumberFormat="1" applyFont="1" applyFill="1" applyBorder="1">
      <alignment vertical="center"/>
    </xf>
    <xf numFmtId="0" fontId="29" fillId="39" borderId="14" xfId="0" applyFont="1" applyFill="1" applyBorder="1">
      <alignment vertical="center"/>
    </xf>
    <xf numFmtId="176" fontId="29" fillId="39" borderId="14" xfId="1" applyFont="1" applyFill="1" applyBorder="1">
      <alignment vertical="center"/>
    </xf>
    <xf numFmtId="176" fontId="31" fillId="39" borderId="14" xfId="1" applyFont="1" applyFill="1" applyBorder="1">
      <alignment vertical="center"/>
    </xf>
    <xf numFmtId="176" fontId="29" fillId="39" borderId="15" xfId="1" applyFont="1" applyFill="1" applyBorder="1">
      <alignment vertical="center"/>
    </xf>
    <xf numFmtId="176" fontId="34" fillId="39" borderId="12" xfId="0" applyNumberFormat="1" applyFont="1" applyFill="1" applyBorder="1">
      <alignment vertical="center"/>
    </xf>
    <xf numFmtId="0" fontId="35" fillId="0" borderId="12" xfId="0" applyFont="1" applyBorder="1">
      <alignment vertical="center"/>
    </xf>
    <xf numFmtId="41" fontId="35" fillId="39" borderId="12" xfId="0" applyNumberFormat="1" applyFont="1" applyFill="1" applyBorder="1">
      <alignment vertical="center"/>
    </xf>
    <xf numFmtId="0" fontId="33" fillId="0" borderId="19" xfId="0" applyFont="1" applyBorder="1" applyAlignment="1">
      <alignment horizontal="center" vertical="center"/>
    </xf>
    <xf numFmtId="0" fontId="33" fillId="38" borderId="19" xfId="0" applyFont="1" applyFill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41" fontId="34" fillId="0" borderId="17" xfId="0" applyNumberFormat="1" applyFont="1" applyBorder="1">
      <alignment vertical="center"/>
    </xf>
    <xf numFmtId="0" fontId="33" fillId="0" borderId="14" xfId="0" applyFont="1" applyBorder="1" applyAlignment="1">
      <alignment horizontal="center" vertical="center"/>
    </xf>
    <xf numFmtId="41" fontId="33" fillId="0" borderId="14" xfId="0" applyNumberFormat="1" applyFont="1" applyBorder="1" applyAlignment="1">
      <alignment horizontal="center" vertical="center"/>
    </xf>
    <xf numFmtId="41" fontId="33" fillId="38" borderId="14" xfId="0" applyNumberFormat="1" applyFont="1" applyFill="1" applyBorder="1" applyAlignment="1">
      <alignment horizontal="center" vertical="center"/>
    </xf>
    <xf numFmtId="9" fontId="33" fillId="0" borderId="14" xfId="0" applyNumberFormat="1" applyFont="1" applyBorder="1" applyAlignment="1">
      <alignment horizontal="center" vertical="center"/>
    </xf>
    <xf numFmtId="176" fontId="33" fillId="0" borderId="15" xfId="1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41" fontId="33" fillId="38" borderId="19" xfId="0" applyNumberFormat="1" applyFont="1" applyFill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176" fontId="33" fillId="0" borderId="34" xfId="1" applyFont="1" applyBorder="1" applyAlignment="1">
      <alignment horizontal="center" vertical="center"/>
    </xf>
    <xf numFmtId="9" fontId="33" fillId="0" borderId="34" xfId="0" applyNumberFormat="1" applyFont="1" applyBorder="1" applyAlignment="1">
      <alignment horizontal="center" vertical="center"/>
    </xf>
    <xf numFmtId="41" fontId="36" fillId="39" borderId="34" xfId="0" applyNumberFormat="1" applyFont="1" applyFill="1" applyBorder="1" applyAlignment="1">
      <alignment horizontal="center" vertical="center"/>
    </xf>
    <xf numFmtId="0" fontId="33" fillId="39" borderId="19" xfId="0" applyFont="1" applyFill="1" applyBorder="1" applyAlignment="1">
      <alignment horizontal="center" vertical="center"/>
    </xf>
    <xf numFmtId="0" fontId="34" fillId="0" borderId="20" xfId="0" applyFont="1" applyBorder="1">
      <alignment vertical="center"/>
    </xf>
    <xf numFmtId="176" fontId="33" fillId="0" borderId="14" xfId="1" applyFont="1" applyBorder="1" applyAlignment="1">
      <alignment horizontal="center" vertical="center"/>
    </xf>
    <xf numFmtId="176" fontId="36" fillId="39" borderId="14" xfId="1" applyFont="1" applyFill="1" applyBorder="1" applyAlignment="1">
      <alignment horizontal="center" vertical="center"/>
    </xf>
    <xf numFmtId="176" fontId="34" fillId="0" borderId="15" xfId="1" applyFont="1" applyFill="1" applyBorder="1">
      <alignment vertical="center"/>
    </xf>
    <xf numFmtId="176" fontId="34" fillId="0" borderId="17" xfId="1" applyFont="1" applyBorder="1">
      <alignment vertical="center"/>
    </xf>
    <xf numFmtId="176" fontId="36" fillId="39" borderId="14" xfId="1" applyFont="1" applyFill="1" applyBorder="1">
      <alignment vertical="center"/>
    </xf>
    <xf numFmtId="0" fontId="33" fillId="0" borderId="30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4" fillId="0" borderId="14" xfId="0" applyFont="1" applyBorder="1">
      <alignment vertical="center"/>
    </xf>
    <xf numFmtId="41" fontId="36" fillId="39" borderId="14" xfId="0" applyNumberFormat="1" applyFont="1" applyFill="1" applyBorder="1" applyAlignment="1">
      <alignment horizontal="center" vertical="center"/>
    </xf>
    <xf numFmtId="9" fontId="34" fillId="0" borderId="16" xfId="0" applyNumberFormat="1" applyFont="1" applyBorder="1">
      <alignment vertical="center"/>
    </xf>
    <xf numFmtId="176" fontId="34" fillId="0" borderId="13" xfId="1" applyFont="1" applyBorder="1">
      <alignment vertical="center"/>
    </xf>
    <xf numFmtId="0" fontId="37" fillId="41" borderId="0" xfId="0" applyFont="1" applyFill="1" applyAlignment="1">
      <alignment horizontal="center"/>
    </xf>
    <xf numFmtId="176" fontId="37" fillId="41" borderId="0" xfId="1" applyFont="1" applyFill="1" applyAlignment="1">
      <alignment horizontal="center"/>
    </xf>
    <xf numFmtId="0" fontId="0" fillId="0" borderId="0" xfId="0" applyAlignment="1"/>
    <xf numFmtId="176" fontId="0" fillId="0" borderId="0" xfId="1" applyFont="1" applyAlignment="1"/>
    <xf numFmtId="176" fontId="33" fillId="0" borderId="1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40" borderId="19" xfId="0" applyFont="1" applyFill="1" applyBorder="1" applyAlignment="1">
      <alignment horizontal="center" vertical="center"/>
    </xf>
    <xf numFmtId="176" fontId="33" fillId="0" borderId="17" xfId="0" applyNumberFormat="1" applyFont="1" applyBorder="1" applyAlignment="1">
      <alignment horizontal="center" vertical="center"/>
    </xf>
    <xf numFmtId="176" fontId="33" fillId="0" borderId="15" xfId="0" applyNumberFormat="1" applyFont="1" applyBorder="1" applyAlignment="1">
      <alignment horizontal="center" vertical="center"/>
    </xf>
    <xf numFmtId="177" fontId="18" fillId="0" borderId="13" xfId="43" applyNumberFormat="1" applyFont="1" applyBorder="1" applyAlignment="1">
      <alignment horizontal="center" vertical="center"/>
    </xf>
    <xf numFmtId="0" fontId="0" fillId="43" borderId="12" xfId="0" applyFill="1" applyBorder="1">
      <alignment vertical="center"/>
    </xf>
    <xf numFmtId="176" fontId="0" fillId="43" borderId="12" xfId="1" applyFont="1" applyFill="1" applyBorder="1">
      <alignment vertical="center"/>
    </xf>
    <xf numFmtId="176" fontId="0" fillId="43" borderId="12" xfId="1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176" fontId="0" fillId="0" borderId="12" xfId="1" applyFont="1" applyFill="1" applyBorder="1">
      <alignment vertical="center"/>
    </xf>
    <xf numFmtId="176" fontId="0" fillId="0" borderId="12" xfId="1" applyFont="1" applyFill="1" applyBorder="1" applyAlignment="1">
      <alignment horizontal="center" vertical="center"/>
    </xf>
    <xf numFmtId="9" fontId="21" fillId="36" borderId="17" xfId="44" applyFont="1" applyFill="1" applyBorder="1" applyAlignment="1" applyProtection="1">
      <alignment horizontal="center" vertical="center" wrapText="1"/>
      <protection locked="0"/>
    </xf>
    <xf numFmtId="176" fontId="24" fillId="0" borderId="15" xfId="44" applyNumberFormat="1" applyFont="1" applyFill="1" applyBorder="1" applyAlignment="1" applyProtection="1">
      <alignment horizontal="center" vertical="center"/>
      <protection locked="0"/>
    </xf>
    <xf numFmtId="176" fontId="39" fillId="0" borderId="15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40" fillId="0" borderId="14" xfId="44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76" fontId="0" fillId="0" borderId="0" xfId="1" applyFont="1" applyFill="1" applyBorder="1">
      <alignment vertical="center"/>
    </xf>
    <xf numFmtId="176" fontId="0" fillId="0" borderId="0" xfId="1" applyFont="1" applyFill="1" applyBorder="1" applyAlignment="1">
      <alignment horizontal="center" vertical="center"/>
    </xf>
    <xf numFmtId="9" fontId="0" fillId="0" borderId="12" xfId="46" applyFont="1" applyFill="1" applyBorder="1" applyAlignment="1">
      <alignment horizontal="center" vertical="center"/>
    </xf>
    <xf numFmtId="0" fontId="38" fillId="37" borderId="18" xfId="0" applyFont="1" applyFill="1" applyBorder="1" applyAlignment="1">
      <alignment horizontal="center" vertical="center"/>
    </xf>
    <xf numFmtId="0" fontId="38" fillId="37" borderId="19" xfId="0" applyFont="1" applyFill="1" applyBorder="1" applyAlignment="1">
      <alignment horizontal="center" vertical="center"/>
    </xf>
    <xf numFmtId="0" fontId="38" fillId="37" borderId="20" xfId="0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4" xfId="0" applyBorder="1">
      <alignment vertical="center"/>
    </xf>
    <xf numFmtId="9" fontId="0" fillId="0" borderId="14" xfId="46" applyFont="1" applyFill="1" applyBorder="1" applyAlignment="1">
      <alignment horizontal="center" vertical="center"/>
    </xf>
    <xf numFmtId="176" fontId="0" fillId="0" borderId="14" xfId="1" applyFont="1" applyFill="1" applyBorder="1" applyAlignment="1">
      <alignment horizontal="center" vertical="center"/>
    </xf>
    <xf numFmtId="0" fontId="0" fillId="0" borderId="15" xfId="0" applyBorder="1">
      <alignment vertical="center"/>
    </xf>
    <xf numFmtId="0" fontId="38" fillId="42" borderId="18" xfId="0" applyFont="1" applyFill="1" applyBorder="1" applyAlignment="1">
      <alignment horizontal="center" vertical="center"/>
    </xf>
    <xf numFmtId="0" fontId="38" fillId="42" borderId="19" xfId="0" applyFont="1" applyFill="1" applyBorder="1" applyAlignment="1">
      <alignment horizontal="center" vertical="center"/>
    </xf>
    <xf numFmtId="0" fontId="38" fillId="42" borderId="20" xfId="0" applyFont="1" applyFill="1" applyBorder="1" applyAlignment="1">
      <alignment horizontal="center" vertical="center"/>
    </xf>
    <xf numFmtId="0" fontId="0" fillId="43" borderId="17" xfId="0" applyFill="1" applyBorder="1">
      <alignment vertical="center"/>
    </xf>
    <xf numFmtId="176" fontId="0" fillId="0" borderId="14" xfId="1" applyFont="1" applyFill="1" applyBorder="1">
      <alignment vertical="center"/>
    </xf>
    <xf numFmtId="0" fontId="16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3" fillId="39" borderId="0" xfId="0" applyFont="1" applyFill="1" applyAlignment="1">
      <alignment horizontal="center" vertical="center"/>
    </xf>
    <xf numFmtId="0" fontId="34" fillId="39" borderId="0" xfId="0" applyFont="1" applyFill="1" applyAlignment="1">
      <alignment horizontal="center" vertical="center"/>
    </xf>
    <xf numFmtId="180" fontId="0" fillId="0" borderId="0" xfId="0" applyNumberFormat="1">
      <alignment vertical="center"/>
    </xf>
    <xf numFmtId="176" fontId="16" fillId="0" borderId="0" xfId="1" applyFont="1">
      <alignment vertical="center"/>
    </xf>
    <xf numFmtId="41" fontId="33" fillId="0" borderId="15" xfId="0" applyNumberFormat="1" applyFont="1" applyBorder="1" applyAlignment="1">
      <alignment horizontal="center" vertical="center"/>
    </xf>
    <xf numFmtId="176" fontId="34" fillId="0" borderId="14" xfId="1" applyFont="1" applyBorder="1">
      <alignment vertical="center"/>
    </xf>
    <xf numFmtId="0" fontId="34" fillId="0" borderId="19" xfId="0" applyFont="1" applyBorder="1" applyAlignment="1">
      <alignment horizontal="center" vertical="center"/>
    </xf>
    <xf numFmtId="176" fontId="34" fillId="0" borderId="12" xfId="0" applyNumberFormat="1" applyFont="1" applyBorder="1">
      <alignment vertical="center"/>
    </xf>
    <xf numFmtId="0" fontId="32" fillId="0" borderId="12" xfId="0" applyFont="1" applyBorder="1">
      <alignment vertical="center"/>
    </xf>
    <xf numFmtId="180" fontId="32" fillId="0" borderId="12" xfId="0" applyNumberFormat="1" applyFont="1" applyBorder="1" applyAlignment="1">
      <alignment horizontal="center" vertical="center"/>
    </xf>
    <xf numFmtId="0" fontId="21" fillId="0" borderId="18" xfId="43" applyFont="1" applyBorder="1" applyAlignment="1">
      <alignment horizontal="center" vertical="center" wrapText="1"/>
    </xf>
    <xf numFmtId="9" fontId="21" fillId="36" borderId="19" xfId="44" applyFont="1" applyFill="1" applyBorder="1" applyAlignment="1" applyProtection="1">
      <alignment horizontal="center" vertical="center" wrapText="1"/>
      <protection locked="0"/>
    </xf>
    <xf numFmtId="176" fontId="21" fillId="34" borderId="19" xfId="45" applyFont="1" applyFill="1" applyBorder="1" applyAlignment="1" applyProtection="1">
      <alignment horizontal="center" vertical="center" wrapText="1"/>
      <protection locked="0"/>
    </xf>
    <xf numFmtId="176" fontId="23" fillId="35" borderId="19" xfId="45" applyFont="1" applyFill="1" applyBorder="1" applyAlignment="1" applyProtection="1">
      <alignment horizontal="center" vertical="center" wrapText="1"/>
      <protection locked="0"/>
    </xf>
    <xf numFmtId="176" fontId="23" fillId="42" borderId="19" xfId="45" applyFont="1" applyFill="1" applyBorder="1" applyAlignment="1" applyProtection="1">
      <alignment horizontal="center" vertical="center" wrapText="1"/>
      <protection locked="0"/>
    </xf>
    <xf numFmtId="176" fontId="23" fillId="35" borderId="20" xfId="45" applyFont="1" applyFill="1" applyBorder="1" applyAlignment="1" applyProtection="1">
      <alignment horizontal="center" vertical="center" wrapText="1"/>
      <protection locked="0"/>
    </xf>
    <xf numFmtId="176" fontId="24" fillId="0" borderId="14" xfId="0" applyNumberFormat="1" applyFont="1" applyBorder="1" applyAlignment="1">
      <alignment horizontal="center" vertical="center"/>
    </xf>
    <xf numFmtId="0" fontId="32" fillId="0" borderId="0" xfId="0" quotePrefix="1" applyFont="1">
      <alignment vertical="center"/>
    </xf>
    <xf numFmtId="0" fontId="0" fillId="44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1" fontId="0" fillId="0" borderId="12" xfId="47" applyNumberFormat="1" applyFont="1" applyBorder="1" applyAlignment="1">
      <alignment horizontal="center" vertical="center"/>
    </xf>
    <xf numFmtId="0" fontId="44" fillId="0" borderId="43" xfId="0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6" fillId="0" borderId="0" xfId="1" applyFont="1" applyAlignment="1"/>
    <xf numFmtId="0" fontId="32" fillId="35" borderId="12" xfId="0" applyFont="1" applyFill="1" applyBorder="1">
      <alignment vertical="center"/>
    </xf>
    <xf numFmtId="0" fontId="34" fillId="0" borderId="0" xfId="0" applyFont="1" applyAlignment="1">
      <alignment horizontal="right" vertical="center"/>
    </xf>
    <xf numFmtId="181" fontId="0" fillId="0" borderId="0" xfId="0" applyNumberFormat="1">
      <alignment vertical="center"/>
    </xf>
    <xf numFmtId="0" fontId="45" fillId="0" borderId="0" xfId="0" applyFont="1">
      <alignment vertical="center"/>
    </xf>
    <xf numFmtId="0" fontId="35" fillId="43" borderId="0" xfId="0" applyFont="1" applyFill="1">
      <alignment vertical="center"/>
    </xf>
    <xf numFmtId="176" fontId="35" fillId="0" borderId="0" xfId="1" applyFont="1" applyAlignment="1">
      <alignment horizontal="center" vertical="center"/>
    </xf>
    <xf numFmtId="176" fontId="49" fillId="0" borderId="12" xfId="1" applyFont="1" applyBorder="1">
      <alignment vertical="center"/>
    </xf>
    <xf numFmtId="0" fontId="44" fillId="0" borderId="45" xfId="0" applyFont="1" applyBorder="1" applyAlignment="1">
      <alignment horizontal="center" vertical="center" wrapText="1"/>
    </xf>
    <xf numFmtId="3" fontId="44" fillId="0" borderId="43" xfId="0" applyNumberFormat="1" applyFont="1" applyBorder="1" applyAlignment="1">
      <alignment horizontal="center" vertical="center" wrapText="1"/>
    </xf>
    <xf numFmtId="0" fontId="43" fillId="45" borderId="41" xfId="0" applyFont="1" applyFill="1" applyBorder="1" applyAlignment="1">
      <alignment horizontal="center" vertical="center" wrapText="1"/>
    </xf>
    <xf numFmtId="0" fontId="43" fillId="45" borderId="42" xfId="0" applyFont="1" applyFill="1" applyBorder="1" applyAlignment="1">
      <alignment horizontal="center" vertical="center" wrapText="1"/>
    </xf>
    <xf numFmtId="176" fontId="35" fillId="0" borderId="0" xfId="0" applyNumberFormat="1" applyFont="1" applyAlignment="1">
      <alignment horizontal="center" vertical="center"/>
    </xf>
    <xf numFmtId="176" fontId="35" fillId="0" borderId="0" xfId="0" applyNumberFormat="1" applyFont="1">
      <alignment vertical="center"/>
    </xf>
    <xf numFmtId="176" fontId="33" fillId="0" borderId="0" xfId="1" applyFont="1" applyBorder="1" applyAlignment="1">
      <alignment horizontal="center" vertical="center"/>
    </xf>
    <xf numFmtId="176" fontId="34" fillId="0" borderId="0" xfId="1" applyFont="1" applyBorder="1">
      <alignment vertical="center"/>
    </xf>
    <xf numFmtId="41" fontId="33" fillId="0" borderId="0" xfId="0" applyNumberFormat="1" applyFont="1" applyAlignment="1">
      <alignment horizontal="center" vertical="center"/>
    </xf>
    <xf numFmtId="41" fontId="36" fillId="39" borderId="0" xfId="0" applyNumberFormat="1" applyFont="1" applyFill="1" applyAlignment="1">
      <alignment horizontal="center" vertical="center"/>
    </xf>
    <xf numFmtId="0" fontId="50" fillId="46" borderId="18" xfId="0" applyFont="1" applyFill="1" applyBorder="1" applyAlignment="1">
      <alignment horizontal="center" vertical="center" wrapText="1"/>
    </xf>
    <xf numFmtId="0" fontId="50" fillId="46" borderId="19" xfId="0" applyFont="1" applyFill="1" applyBorder="1" applyAlignment="1">
      <alignment horizontal="center" vertical="center" wrapText="1"/>
    </xf>
    <xf numFmtId="0" fontId="50" fillId="46" borderId="20" xfId="0" applyFont="1" applyFill="1" applyBorder="1" applyAlignment="1">
      <alignment horizontal="center" vertical="center" wrapText="1"/>
    </xf>
    <xf numFmtId="0" fontId="50" fillId="0" borderId="16" xfId="0" applyFont="1" applyBorder="1" applyAlignment="1">
      <alignment horizontal="center" vertical="center" wrapText="1"/>
    </xf>
    <xf numFmtId="0" fontId="50" fillId="0" borderId="12" xfId="0" applyFont="1" applyBorder="1" applyAlignment="1">
      <alignment horizontal="center" vertical="center" wrapText="1"/>
    </xf>
    <xf numFmtId="3" fontId="50" fillId="0" borderId="12" xfId="0" applyNumberFormat="1" applyFont="1" applyBorder="1" applyAlignment="1">
      <alignment horizontal="right" vertical="center" wrapText="1"/>
    </xf>
    <xf numFmtId="0" fontId="50" fillId="0" borderId="17" xfId="0" applyFont="1" applyBorder="1" applyAlignment="1">
      <alignment horizontal="center" vertical="center" wrapText="1"/>
    </xf>
    <xf numFmtId="3" fontId="50" fillId="0" borderId="0" xfId="0" applyNumberFormat="1" applyFont="1" applyAlignment="1">
      <alignment horizontal="right" vertical="center" wrapText="1"/>
    </xf>
    <xf numFmtId="9" fontId="16" fillId="0" borderId="0" xfId="0" applyNumberFormat="1" applyFont="1">
      <alignment vertical="center"/>
    </xf>
    <xf numFmtId="9" fontId="33" fillId="0" borderId="14" xfId="46" applyFont="1" applyBorder="1" applyAlignment="1">
      <alignment horizontal="center" vertical="center"/>
    </xf>
    <xf numFmtId="176" fontId="35" fillId="39" borderId="12" xfId="0" applyNumberFormat="1" applyFont="1" applyFill="1" applyBorder="1">
      <alignment vertical="center"/>
    </xf>
    <xf numFmtId="41" fontId="35" fillId="0" borderId="12" xfId="0" applyNumberFormat="1" applyFont="1" applyBorder="1">
      <alignment vertical="center"/>
    </xf>
    <xf numFmtId="176" fontId="0" fillId="0" borderId="44" xfId="1" applyFont="1" applyFill="1" applyBorder="1">
      <alignment vertical="center"/>
    </xf>
    <xf numFmtId="38" fontId="24" fillId="0" borderId="12" xfId="44" applyNumberFormat="1" applyFont="1" applyFill="1" applyBorder="1" applyAlignment="1" applyProtection="1">
      <alignment horizontal="center" vertical="center"/>
      <protection locked="0"/>
    </xf>
    <xf numFmtId="176" fontId="24" fillId="0" borderId="12" xfId="44" applyNumberFormat="1" applyFont="1" applyFill="1" applyBorder="1" applyAlignment="1" applyProtection="1">
      <alignment horizontal="center" vertical="center"/>
      <protection locked="0"/>
    </xf>
    <xf numFmtId="177" fontId="18" fillId="0" borderId="16" xfId="43" applyNumberFormat="1" applyFont="1" applyBorder="1" applyAlignment="1">
      <alignment horizontal="center" vertical="center"/>
    </xf>
    <xf numFmtId="176" fontId="24" fillId="0" borderId="17" xfId="44" applyNumberFormat="1" applyFont="1" applyFill="1" applyBorder="1" applyAlignment="1" applyProtection="1">
      <alignment horizontal="center" vertical="center"/>
      <protection locked="0"/>
    </xf>
    <xf numFmtId="177" fontId="33" fillId="0" borderId="16" xfId="0" applyNumberFormat="1" applyFont="1" applyBorder="1" applyAlignment="1">
      <alignment horizontal="center" vertical="center"/>
    </xf>
    <xf numFmtId="177" fontId="51" fillId="0" borderId="13" xfId="0" applyNumberFormat="1" applyFont="1" applyBorder="1" applyAlignment="1">
      <alignment horizontal="center" vertical="center"/>
    </xf>
    <xf numFmtId="176" fontId="16" fillId="0" borderId="14" xfId="1" applyFont="1" applyFill="1" applyBorder="1" applyAlignment="1">
      <alignment horizontal="center" vertical="center"/>
    </xf>
    <xf numFmtId="176" fontId="35" fillId="0" borderId="0" xfId="1" applyFont="1" applyBorder="1" applyAlignment="1">
      <alignment horizontal="center" vertical="center"/>
    </xf>
    <xf numFmtId="176" fontId="34" fillId="0" borderId="0" xfId="0" applyNumberFormat="1" applyFont="1">
      <alignment vertical="center"/>
    </xf>
    <xf numFmtId="176" fontId="35" fillId="0" borderId="54" xfId="1" applyFont="1" applyBorder="1" applyAlignment="1">
      <alignment horizontal="center" vertical="center"/>
    </xf>
    <xf numFmtId="0" fontId="34" fillId="0" borderId="54" xfId="0" applyFont="1" applyBorder="1">
      <alignment vertical="center"/>
    </xf>
    <xf numFmtId="176" fontId="34" fillId="0" borderId="54" xfId="1" applyFont="1" applyBorder="1">
      <alignment vertical="center"/>
    </xf>
    <xf numFmtId="176" fontId="34" fillId="0" borderId="54" xfId="0" applyNumberFormat="1" applyFont="1" applyBorder="1">
      <alignment vertical="center"/>
    </xf>
    <xf numFmtId="0" fontId="32" fillId="0" borderId="0" xfId="0" applyFont="1" applyAlignment="1"/>
    <xf numFmtId="176" fontId="16" fillId="0" borderId="0" xfId="0" applyNumberFormat="1" applyFont="1">
      <alignment vertical="center"/>
    </xf>
    <xf numFmtId="0" fontId="52" fillId="41" borderId="46" xfId="0" applyFont="1" applyFill="1" applyBorder="1" applyAlignment="1">
      <alignment horizontal="center"/>
    </xf>
    <xf numFmtId="0" fontId="52" fillId="41" borderId="47" xfId="0" applyFont="1" applyFill="1" applyBorder="1" applyAlignment="1">
      <alignment horizontal="center"/>
    </xf>
    <xf numFmtId="0" fontId="52" fillId="41" borderId="48" xfId="0" applyFont="1" applyFill="1" applyBorder="1" applyAlignment="1">
      <alignment horizontal="center"/>
    </xf>
    <xf numFmtId="0" fontId="32" fillId="0" borderId="49" xfId="0" applyFont="1" applyBorder="1" applyAlignment="1"/>
    <xf numFmtId="176" fontId="0" fillId="0" borderId="0" xfId="1" applyFont="1" applyBorder="1">
      <alignment vertical="center"/>
    </xf>
    <xf numFmtId="176" fontId="0" fillId="0" borderId="50" xfId="1" applyFont="1" applyBorder="1">
      <alignment vertical="center"/>
    </xf>
    <xf numFmtId="0" fontId="16" fillId="0" borderId="51" xfId="0" applyFont="1" applyBorder="1">
      <alignment vertical="center"/>
    </xf>
    <xf numFmtId="0" fontId="16" fillId="0" borderId="52" xfId="0" applyFont="1" applyBorder="1">
      <alignment vertical="center"/>
    </xf>
    <xf numFmtId="176" fontId="16" fillId="0" borderId="52" xfId="0" applyNumberFormat="1" applyFont="1" applyBorder="1">
      <alignment vertical="center"/>
    </xf>
    <xf numFmtId="0" fontId="0" fillId="0" borderId="52" xfId="0" applyBorder="1">
      <alignment vertical="center"/>
    </xf>
    <xf numFmtId="176" fontId="16" fillId="0" borderId="53" xfId="0" applyNumberFormat="1" applyFont="1" applyBorder="1">
      <alignment vertical="center"/>
    </xf>
    <xf numFmtId="41" fontId="16" fillId="0" borderId="0" xfId="0" applyNumberFormat="1" applyFont="1">
      <alignment vertical="center"/>
    </xf>
    <xf numFmtId="0" fontId="16" fillId="0" borderId="0" xfId="0" applyFont="1" applyAlignment="1">
      <alignment horizontal="center" vertical="center"/>
    </xf>
    <xf numFmtId="176" fontId="0" fillId="0" borderId="55" xfId="1" applyFont="1" applyBorder="1">
      <alignment vertical="center"/>
    </xf>
    <xf numFmtId="0" fontId="0" fillId="0" borderId="55" xfId="0" applyBorder="1">
      <alignment vertical="center"/>
    </xf>
    <xf numFmtId="0" fontId="0" fillId="44" borderId="56" xfId="0" applyFill="1" applyBorder="1" applyAlignment="1">
      <alignment horizontal="center" vertical="center"/>
    </xf>
    <xf numFmtId="0" fontId="0" fillId="44" borderId="57" xfId="0" applyFill="1" applyBorder="1" applyAlignment="1">
      <alignment horizontal="center" vertical="center"/>
    </xf>
    <xf numFmtId="0" fontId="0" fillId="44" borderId="58" xfId="0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76" fontId="0" fillId="0" borderId="60" xfId="1" applyFont="1" applyBorder="1">
      <alignment vertical="center"/>
    </xf>
    <xf numFmtId="0" fontId="0" fillId="0" borderId="61" xfId="0" applyBorder="1">
      <alignment vertical="center"/>
    </xf>
    <xf numFmtId="176" fontId="0" fillId="0" borderId="62" xfId="1" applyFont="1" applyBorder="1">
      <alignment vertical="center"/>
    </xf>
    <xf numFmtId="176" fontId="16" fillId="0" borderId="62" xfId="1" applyFont="1" applyBorder="1">
      <alignment vertical="center"/>
    </xf>
    <xf numFmtId="176" fontId="16" fillId="0" borderId="63" xfId="1" applyFont="1" applyBorder="1">
      <alignment vertical="center"/>
    </xf>
    <xf numFmtId="176" fontId="53" fillId="0" borderId="62" xfId="1" applyFont="1" applyBorder="1">
      <alignment vertical="center"/>
    </xf>
    <xf numFmtId="176" fontId="53" fillId="0" borderId="63" xfId="1" applyFont="1" applyBorder="1">
      <alignment vertical="center"/>
    </xf>
    <xf numFmtId="0" fontId="42" fillId="0" borderId="0" xfId="0" applyFont="1">
      <alignment vertical="center"/>
    </xf>
    <xf numFmtId="180" fontId="16" fillId="0" borderId="0" xfId="0" applyNumberFormat="1" applyFont="1">
      <alignment vertical="center"/>
    </xf>
    <xf numFmtId="176" fontId="42" fillId="0" borderId="0" xfId="1" applyFont="1">
      <alignment vertical="center"/>
    </xf>
    <xf numFmtId="176" fontId="1" fillId="0" borderId="55" xfId="1" applyFont="1" applyBorder="1">
      <alignment vertical="center"/>
    </xf>
    <xf numFmtId="0" fontId="0" fillId="0" borderId="57" xfId="0" applyBorder="1">
      <alignment vertical="center"/>
    </xf>
    <xf numFmtId="0" fontId="0" fillId="0" borderId="59" xfId="0" applyBorder="1">
      <alignment vertical="center"/>
    </xf>
    <xf numFmtId="0" fontId="0" fillId="36" borderId="56" xfId="0" applyFill="1" applyBorder="1">
      <alignment vertical="center"/>
    </xf>
    <xf numFmtId="0" fontId="0" fillId="36" borderId="57" xfId="0" applyFill="1" applyBorder="1">
      <alignment vertical="center"/>
    </xf>
    <xf numFmtId="0" fontId="0" fillId="36" borderId="58" xfId="0" applyFill="1" applyBorder="1">
      <alignment vertical="center"/>
    </xf>
    <xf numFmtId="0" fontId="32" fillId="0" borderId="55" xfId="0" applyFont="1" applyBorder="1">
      <alignment vertical="center"/>
    </xf>
    <xf numFmtId="180" fontId="0" fillId="0" borderId="55" xfId="0" applyNumberFormat="1" applyBorder="1" applyAlignment="1">
      <alignment horizontal="center" vertical="center"/>
    </xf>
    <xf numFmtId="176" fontId="42" fillId="0" borderId="56" xfId="1" applyFont="1" applyBorder="1" applyAlignment="1">
      <alignment vertical="center" wrapText="1"/>
    </xf>
    <xf numFmtId="180" fontId="0" fillId="0" borderId="57" xfId="0" applyNumberFormat="1" applyBorder="1" applyAlignment="1">
      <alignment horizontal="center" vertical="center"/>
    </xf>
    <xf numFmtId="176" fontId="42" fillId="0" borderId="57" xfId="1" applyFont="1" applyBorder="1" applyAlignment="1">
      <alignment vertical="center" wrapText="1"/>
    </xf>
    <xf numFmtId="176" fontId="42" fillId="0" borderId="58" xfId="1" applyFont="1" applyBorder="1" applyAlignment="1">
      <alignment vertical="center" wrapText="1"/>
    </xf>
    <xf numFmtId="176" fontId="1" fillId="0" borderId="60" xfId="1" applyFont="1" applyBorder="1" applyAlignment="1">
      <alignment vertical="center" wrapText="1"/>
    </xf>
    <xf numFmtId="0" fontId="0" fillId="0" borderId="62" xfId="0" applyBorder="1">
      <alignment vertical="center"/>
    </xf>
    <xf numFmtId="180" fontId="0" fillId="0" borderId="62" xfId="0" applyNumberFormat="1" applyBorder="1" applyAlignment="1">
      <alignment horizontal="center" vertical="center"/>
    </xf>
    <xf numFmtId="0" fontId="32" fillId="0" borderId="62" xfId="0" applyFont="1" applyBorder="1">
      <alignment vertical="center"/>
    </xf>
    <xf numFmtId="176" fontId="1" fillId="0" borderId="62" xfId="1" applyFont="1" applyBorder="1">
      <alignment vertical="center"/>
    </xf>
    <xf numFmtId="176" fontId="1" fillId="0" borderId="63" xfId="1" applyFont="1" applyBorder="1">
      <alignment vertical="center"/>
    </xf>
    <xf numFmtId="176" fontId="54" fillId="0" borderId="12" xfId="1" applyFont="1" applyBorder="1">
      <alignment vertical="center"/>
    </xf>
    <xf numFmtId="176" fontId="33" fillId="0" borderId="29" xfId="1" applyFont="1" applyBorder="1" applyAlignment="1">
      <alignment horizontal="center" vertical="center"/>
    </xf>
    <xf numFmtId="176" fontId="33" fillId="39" borderId="12" xfId="0" applyNumberFormat="1" applyFont="1" applyFill="1" applyBorder="1" applyAlignment="1">
      <alignment horizontal="center" vertical="center"/>
    </xf>
    <xf numFmtId="176" fontId="36" fillId="39" borderId="14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5" fillId="42" borderId="16" xfId="43" applyFont="1" applyFill="1" applyBorder="1" applyAlignment="1">
      <alignment horizontal="left" vertical="center"/>
    </xf>
    <xf numFmtId="0" fontId="25" fillId="42" borderId="12" xfId="43" applyFont="1" applyFill="1" applyBorder="1" applyAlignment="1">
      <alignment horizontal="left" vertical="center"/>
    </xf>
    <xf numFmtId="0" fontId="25" fillId="0" borderId="12" xfId="43" applyFont="1" applyBorder="1" applyAlignment="1">
      <alignment horizontal="left" vertical="center"/>
    </xf>
    <xf numFmtId="0" fontId="25" fillId="0" borderId="17" xfId="43" applyFont="1" applyBorder="1" applyAlignment="1">
      <alignment horizontal="left" vertical="center"/>
    </xf>
    <xf numFmtId="0" fontId="25" fillId="35" borderId="13" xfId="43" applyFont="1" applyFill="1" applyBorder="1" applyAlignment="1">
      <alignment horizontal="left" vertical="center"/>
    </xf>
    <xf numFmtId="0" fontId="25" fillId="35" borderId="14" xfId="43" applyFont="1" applyFill="1" applyBorder="1" applyAlignment="1">
      <alignment horizontal="left" vertical="center"/>
    </xf>
    <xf numFmtId="0" fontId="25" fillId="0" borderId="14" xfId="43" applyFont="1" applyBorder="1" applyAlignment="1">
      <alignment horizontal="left" vertical="center" wrapText="1"/>
    </xf>
    <xf numFmtId="0" fontId="25" fillId="0" borderId="14" xfId="43" applyFont="1" applyBorder="1" applyAlignment="1">
      <alignment horizontal="left" vertical="center"/>
    </xf>
    <xf numFmtId="0" fontId="25" fillId="0" borderId="15" xfId="43" applyFont="1" applyBorder="1" applyAlignment="1">
      <alignment horizontal="left" vertical="center"/>
    </xf>
    <xf numFmtId="0" fontId="21" fillId="0" borderId="10" xfId="43" applyFont="1" applyBorder="1" applyAlignment="1">
      <alignment horizontal="center" vertical="center" wrapText="1"/>
    </xf>
    <xf numFmtId="0" fontId="21" fillId="0" borderId="11" xfId="43" applyFont="1" applyBorder="1" applyAlignment="1">
      <alignment horizontal="center" vertical="center" wrapText="1"/>
    </xf>
    <xf numFmtId="9" fontId="21" fillId="0" borderId="21" xfId="44" applyFont="1" applyBorder="1" applyAlignment="1" applyProtection="1">
      <alignment horizontal="center" vertical="center" wrapText="1"/>
      <protection locked="0"/>
    </xf>
    <xf numFmtId="9" fontId="21" fillId="0" borderId="22" xfId="44" applyFont="1" applyBorder="1" applyAlignment="1" applyProtection="1">
      <alignment horizontal="center" vertical="center" wrapText="1"/>
      <protection locked="0"/>
    </xf>
    <xf numFmtId="9" fontId="21" fillId="0" borderId="24" xfId="44" applyFont="1" applyBorder="1" applyAlignment="1" applyProtection="1">
      <alignment horizontal="center" vertical="center" wrapText="1"/>
      <protection locked="0"/>
    </xf>
    <xf numFmtId="0" fontId="26" fillId="0" borderId="37" xfId="43" applyFont="1" applyBorder="1" applyAlignment="1">
      <alignment horizontal="center" vertical="center"/>
    </xf>
    <xf numFmtId="0" fontId="26" fillId="0" borderId="22" xfId="43" applyFont="1" applyBorder="1" applyAlignment="1">
      <alignment horizontal="center" vertical="center"/>
    </xf>
    <xf numFmtId="0" fontId="26" fillId="0" borderId="23" xfId="43" applyFont="1" applyBorder="1" applyAlignment="1">
      <alignment horizontal="center" vertical="center"/>
    </xf>
    <xf numFmtId="0" fontId="26" fillId="0" borderId="21" xfId="43" applyFont="1" applyBorder="1" applyAlignment="1">
      <alignment horizontal="center" vertical="center"/>
    </xf>
    <xf numFmtId="0" fontId="26" fillId="0" borderId="24" xfId="43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25" fillId="35" borderId="16" xfId="43" applyFont="1" applyFill="1" applyBorder="1" applyAlignment="1">
      <alignment horizontal="left" vertical="center"/>
    </xf>
    <xf numFmtId="0" fontId="25" fillId="35" borderId="12" xfId="43" applyFont="1" applyFill="1" applyBorder="1" applyAlignment="1">
      <alignment horizontal="left" vertical="center"/>
    </xf>
    <xf numFmtId="0" fontId="25" fillId="0" borderId="12" xfId="43" applyFont="1" applyBorder="1" applyAlignment="1">
      <alignment horizontal="left" vertical="center" wrapText="1"/>
    </xf>
    <xf numFmtId="0" fontId="25" fillId="34" borderId="16" xfId="43" applyFont="1" applyFill="1" applyBorder="1" applyAlignment="1">
      <alignment horizontal="left" vertical="center"/>
    </xf>
    <xf numFmtId="0" fontId="25" fillId="34" borderId="12" xfId="43" applyFont="1" applyFill="1" applyBorder="1" applyAlignment="1">
      <alignment horizontal="left" vertical="center"/>
    </xf>
    <xf numFmtId="179" fontId="28" fillId="33" borderId="21" xfId="0" applyNumberFormat="1" applyFont="1" applyFill="1" applyBorder="1" applyAlignment="1">
      <alignment horizontal="center" vertical="center"/>
    </xf>
    <xf numFmtId="0" fontId="28" fillId="33" borderId="22" xfId="0" applyFont="1" applyFill="1" applyBorder="1" applyAlignment="1">
      <alignment horizontal="center" vertical="center"/>
    </xf>
    <xf numFmtId="0" fontId="31" fillId="33" borderId="21" xfId="0" applyFont="1" applyFill="1" applyBorder="1" applyAlignment="1">
      <alignment horizontal="center" vertical="center"/>
    </xf>
    <xf numFmtId="0" fontId="31" fillId="33" borderId="22" xfId="0" applyFont="1" applyFill="1" applyBorder="1" applyAlignment="1">
      <alignment horizontal="center" vertical="center"/>
    </xf>
    <xf numFmtId="0" fontId="31" fillId="33" borderId="24" xfId="0" applyFont="1" applyFill="1" applyBorder="1" applyAlignment="1">
      <alignment horizontal="center" vertical="center"/>
    </xf>
    <xf numFmtId="178" fontId="28" fillId="33" borderId="25" xfId="0" applyNumberFormat="1" applyFont="1" applyFill="1" applyBorder="1" applyAlignment="1">
      <alignment horizontal="center" vertical="center"/>
    </xf>
    <xf numFmtId="178" fontId="28" fillId="33" borderId="26" xfId="0" applyNumberFormat="1" applyFont="1" applyFill="1" applyBorder="1" applyAlignment="1">
      <alignment horizontal="center" vertical="center"/>
    </xf>
    <xf numFmtId="178" fontId="28" fillId="33" borderId="27" xfId="0" applyNumberFormat="1" applyFont="1" applyFill="1" applyBorder="1" applyAlignment="1">
      <alignment horizontal="center" vertical="center"/>
    </xf>
    <xf numFmtId="178" fontId="28" fillId="33" borderId="28" xfId="0" applyNumberFormat="1" applyFont="1" applyFill="1" applyBorder="1" applyAlignment="1">
      <alignment horizontal="center" vertical="center"/>
    </xf>
    <xf numFmtId="178" fontId="28" fillId="33" borderId="29" xfId="0" applyNumberFormat="1" applyFont="1" applyFill="1" applyBorder="1" applyAlignment="1">
      <alignment horizontal="center" vertical="center"/>
    </xf>
    <xf numFmtId="178" fontId="28" fillId="33" borderId="30" xfId="0" applyNumberFormat="1" applyFont="1" applyFill="1" applyBorder="1" applyAlignment="1">
      <alignment horizontal="center" vertical="center"/>
    </xf>
    <xf numFmtId="0" fontId="48" fillId="33" borderId="21" xfId="0" applyFont="1" applyFill="1" applyBorder="1" applyAlignment="1">
      <alignment horizontal="center" vertical="center"/>
    </xf>
    <xf numFmtId="0" fontId="28" fillId="33" borderId="23" xfId="0" applyFont="1" applyFill="1" applyBorder="1" applyAlignment="1">
      <alignment horizontal="center" vertical="center"/>
    </xf>
    <xf numFmtId="0" fontId="35" fillId="43" borderId="64" xfId="0" applyFont="1" applyFill="1" applyBorder="1">
      <alignment vertical="center"/>
    </xf>
    <xf numFmtId="0" fontId="35" fillId="43" borderId="65" xfId="0" applyFont="1" applyFill="1" applyBorder="1">
      <alignment vertical="center"/>
    </xf>
    <xf numFmtId="0" fontId="35" fillId="43" borderId="66" xfId="0" applyFont="1" applyFill="1" applyBorder="1">
      <alignment vertical="center"/>
    </xf>
    <xf numFmtId="0" fontId="32" fillId="0" borderId="67" xfId="0" applyFont="1" applyBorder="1">
      <alignment vertical="center"/>
    </xf>
    <xf numFmtId="0" fontId="34" fillId="0" borderId="0" xfId="0" applyFont="1" applyBorder="1">
      <alignment vertical="center"/>
    </xf>
    <xf numFmtId="176" fontId="34" fillId="0" borderId="0" xfId="0" applyNumberFormat="1" applyFont="1" applyBorder="1">
      <alignment vertical="center"/>
    </xf>
    <xf numFmtId="176" fontId="34" fillId="0" borderId="68" xfId="0" applyNumberFormat="1" applyFont="1" applyBorder="1">
      <alignment vertical="center"/>
    </xf>
    <xf numFmtId="0" fontId="34" fillId="0" borderId="67" xfId="0" applyFont="1" applyBorder="1">
      <alignment vertical="center"/>
    </xf>
    <xf numFmtId="0" fontId="34" fillId="0" borderId="69" xfId="0" applyFont="1" applyBorder="1">
      <alignment vertical="center"/>
    </xf>
    <xf numFmtId="176" fontId="34" fillId="0" borderId="70" xfId="0" applyNumberFormat="1" applyFont="1" applyBorder="1">
      <alignment vertical="center"/>
    </xf>
    <xf numFmtId="0" fontId="34" fillId="0" borderId="71" xfId="0" applyFont="1" applyBorder="1">
      <alignment vertical="center"/>
    </xf>
    <xf numFmtId="176" fontId="35" fillId="0" borderId="72" xfId="1" applyFont="1" applyBorder="1">
      <alignment vertical="center"/>
    </xf>
    <xf numFmtId="0" fontId="34" fillId="0" borderId="72" xfId="0" applyFont="1" applyBorder="1">
      <alignment vertical="center"/>
    </xf>
    <xf numFmtId="176" fontId="35" fillId="0" borderId="73" xfId="1" applyFont="1" applyBorder="1">
      <alignment vertical="center"/>
    </xf>
    <xf numFmtId="176" fontId="34" fillId="0" borderId="74" xfId="0" applyNumberFormat="1" applyFont="1" applyBorder="1">
      <alignment vertical="center"/>
    </xf>
    <xf numFmtId="0" fontId="34" fillId="0" borderId="74" xfId="0" applyFont="1" applyBorder="1">
      <alignment vertical="center"/>
    </xf>
    <xf numFmtId="0" fontId="55" fillId="41" borderId="0" xfId="0" applyFont="1" applyFill="1" applyAlignment="1">
      <alignment horizontal="center"/>
    </xf>
    <xf numFmtId="0" fontId="56" fillId="0" borderId="0" xfId="0" applyFont="1" applyAlignment="1"/>
    <xf numFmtId="183" fontId="56" fillId="0" borderId="0" xfId="0" applyNumberFormat="1" applyFont="1" applyAlignment="1">
      <alignment horizontal="right" wrapText="1"/>
    </xf>
    <xf numFmtId="184" fontId="56" fillId="0" borderId="0" xfId="0" applyNumberFormat="1" applyFont="1" applyAlignment="1">
      <alignment wrapText="1"/>
    </xf>
    <xf numFmtId="0" fontId="57" fillId="47" borderId="75" xfId="0" applyFont="1" applyFill="1" applyBorder="1">
      <alignment vertical="center"/>
    </xf>
    <xf numFmtId="0" fontId="57" fillId="47" borderId="76" xfId="0" applyFont="1" applyFill="1" applyBorder="1">
      <alignment vertical="center"/>
    </xf>
    <xf numFmtId="0" fontId="57" fillId="47" borderId="76" xfId="0" applyFont="1" applyFill="1" applyBorder="1" applyAlignment="1">
      <alignment horizontal="center" vertical="center"/>
    </xf>
    <xf numFmtId="0" fontId="57" fillId="47" borderId="77" xfId="0" applyFont="1" applyFill="1" applyBorder="1" applyAlignment="1">
      <alignment horizontal="center" vertical="center"/>
    </xf>
    <xf numFmtId="0" fontId="0" fillId="0" borderId="78" xfId="0" applyBorder="1">
      <alignment vertical="center"/>
    </xf>
    <xf numFmtId="0" fontId="0" fillId="0" borderId="79" xfId="0" applyBorder="1">
      <alignment vertical="center"/>
    </xf>
    <xf numFmtId="176" fontId="0" fillId="0" borderId="79" xfId="1" applyFont="1" applyBorder="1">
      <alignment vertical="center"/>
    </xf>
    <xf numFmtId="41" fontId="0" fillId="0" borderId="80" xfId="0" applyNumberFormat="1" applyBorder="1" applyAlignment="1">
      <alignment horizontal="center" vertical="center"/>
    </xf>
    <xf numFmtId="0" fontId="0" fillId="0" borderId="81" xfId="0" applyBorder="1">
      <alignment vertical="center"/>
    </xf>
    <xf numFmtId="0" fontId="0" fillId="0" borderId="29" xfId="0" applyBorder="1">
      <alignment vertical="center"/>
    </xf>
    <xf numFmtId="176" fontId="0" fillId="0" borderId="29" xfId="1" applyFont="1" applyBorder="1">
      <alignment vertical="center"/>
    </xf>
    <xf numFmtId="41" fontId="0" fillId="0" borderId="30" xfId="0" applyNumberFormat="1" applyBorder="1" applyAlignment="1">
      <alignment horizontal="center" vertical="center"/>
    </xf>
    <xf numFmtId="0" fontId="0" fillId="0" borderId="82" xfId="0" applyBorder="1">
      <alignment vertical="center"/>
    </xf>
    <xf numFmtId="0" fontId="0" fillId="0" borderId="83" xfId="0" applyBorder="1">
      <alignment vertical="center"/>
    </xf>
    <xf numFmtId="0" fontId="0" fillId="0" borderId="40" xfId="0" applyBorder="1">
      <alignment vertical="center"/>
    </xf>
    <xf numFmtId="0" fontId="0" fillId="0" borderId="35" xfId="0" applyBorder="1">
      <alignment vertical="center"/>
    </xf>
    <xf numFmtId="41" fontId="57" fillId="0" borderId="35" xfId="0" applyNumberFormat="1" applyFont="1" applyBorder="1">
      <alignment vertical="center"/>
    </xf>
    <xf numFmtId="41" fontId="58" fillId="0" borderId="36" xfId="0" applyNumberFormat="1" applyFont="1" applyBorder="1">
      <alignment vertical="center"/>
    </xf>
    <xf numFmtId="176" fontId="0" fillId="0" borderId="79" xfId="0" applyNumberFormat="1" applyBorder="1">
      <alignment vertical="center"/>
    </xf>
    <xf numFmtId="176" fontId="0" fillId="0" borderId="29" xfId="0" applyNumberFormat="1" applyBorder="1">
      <alignment vertical="center"/>
    </xf>
    <xf numFmtId="0" fontId="52" fillId="41" borderId="64" xfId="0" applyFont="1" applyFill="1" applyBorder="1" applyAlignment="1">
      <alignment horizontal="center"/>
    </xf>
    <xf numFmtId="0" fontId="52" fillId="41" borderId="65" xfId="0" applyFont="1" applyFill="1" applyBorder="1" applyAlignment="1">
      <alignment horizontal="center"/>
    </xf>
    <xf numFmtId="0" fontId="52" fillId="41" borderId="66" xfId="0" applyFont="1" applyFill="1" applyBorder="1" applyAlignment="1">
      <alignment horizontal="center"/>
    </xf>
    <xf numFmtId="0" fontId="32" fillId="0" borderId="67" xfId="0" applyFont="1" applyBorder="1" applyAlignment="1"/>
    <xf numFmtId="0" fontId="0" fillId="0" borderId="0" xfId="0" applyBorder="1">
      <alignment vertical="center"/>
    </xf>
    <xf numFmtId="176" fontId="0" fillId="0" borderId="68" xfId="1" applyFont="1" applyBorder="1">
      <alignment vertical="center"/>
    </xf>
    <xf numFmtId="0" fontId="16" fillId="0" borderId="84" xfId="0" applyFont="1" applyBorder="1">
      <alignment vertical="center"/>
    </xf>
    <xf numFmtId="176" fontId="16" fillId="0" borderId="85" xfId="0" applyNumberFormat="1" applyFont="1" applyBorder="1">
      <alignment vertical="center"/>
    </xf>
    <xf numFmtId="0" fontId="0" fillId="0" borderId="67" xfId="0" applyBorder="1">
      <alignment vertical="center"/>
    </xf>
    <xf numFmtId="176" fontId="0" fillId="0" borderId="68" xfId="0" applyNumberFormat="1" applyBorder="1">
      <alignment vertical="center"/>
    </xf>
    <xf numFmtId="0" fontId="0" fillId="0" borderId="71" xfId="0" applyBorder="1">
      <alignment vertical="center"/>
    </xf>
    <xf numFmtId="0" fontId="0" fillId="0" borderId="72" xfId="0" applyBorder="1">
      <alignment vertical="center"/>
    </xf>
    <xf numFmtId="176" fontId="0" fillId="0" borderId="73" xfId="0" applyNumberFormat="1" applyBorder="1">
      <alignment vertical="center"/>
    </xf>
    <xf numFmtId="22" fontId="34" fillId="0" borderId="0" xfId="0" applyNumberFormat="1" applyFont="1">
      <alignment vertical="center"/>
    </xf>
    <xf numFmtId="0" fontId="32" fillId="39" borderId="0" xfId="0" applyFont="1" applyFill="1">
      <alignment vertical="center"/>
    </xf>
    <xf numFmtId="0" fontId="34" fillId="0" borderId="0" xfId="0" applyNumberFormat="1" applyFont="1">
      <alignment vertical="center"/>
    </xf>
    <xf numFmtId="0" fontId="50" fillId="0" borderId="0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0" fontId="50" fillId="0" borderId="12" xfId="0" applyNumberFormat="1" applyFont="1" applyBorder="1" applyAlignment="1">
      <alignment horizontal="right" vertical="center" wrapText="1"/>
    </xf>
    <xf numFmtId="0" fontId="59" fillId="0" borderId="0" xfId="0" applyFont="1">
      <alignment vertical="center"/>
    </xf>
    <xf numFmtId="3" fontId="59" fillId="0" borderId="0" xfId="0" applyNumberFormat="1" applyFont="1">
      <alignment vertical="center"/>
    </xf>
    <xf numFmtId="3" fontId="60" fillId="0" borderId="0" xfId="0" applyNumberFormat="1" applyFont="1">
      <alignment vertical="center"/>
    </xf>
    <xf numFmtId="0" fontId="34" fillId="0" borderId="86" xfId="0" applyFont="1" applyBorder="1">
      <alignment vertical="center"/>
    </xf>
    <xf numFmtId="176" fontId="35" fillId="0" borderId="87" xfId="1" applyFont="1" applyBorder="1">
      <alignment vertical="center"/>
    </xf>
    <xf numFmtId="0" fontId="34" fillId="0" borderId="87" xfId="0" applyFont="1" applyBorder="1">
      <alignment vertical="center"/>
    </xf>
    <xf numFmtId="176" fontId="35" fillId="0" borderId="88" xfId="1" applyFont="1" applyBorder="1">
      <alignment vertical="center"/>
    </xf>
    <xf numFmtId="11" fontId="0" fillId="0" borderId="0" xfId="0" applyNumberFormat="1">
      <alignment vertical="center"/>
    </xf>
    <xf numFmtId="0" fontId="32" fillId="48" borderId="55" xfId="0" applyFont="1" applyFill="1" applyBorder="1">
      <alignment vertical="center"/>
    </xf>
    <xf numFmtId="0" fontId="0" fillId="48" borderId="0" xfId="0" applyFill="1">
      <alignment vertical="center"/>
    </xf>
    <xf numFmtId="9" fontId="35" fillId="0" borderId="12" xfId="0" applyNumberFormat="1" applyFont="1" applyBorder="1">
      <alignment vertical="center"/>
    </xf>
    <xf numFmtId="0" fontId="16" fillId="0" borderId="89" xfId="0" applyFont="1" applyBorder="1" applyAlignment="1">
      <alignment horizontal="center" vertical="center"/>
    </xf>
    <xf numFmtId="0" fontId="16" fillId="0" borderId="90" xfId="0" applyFont="1" applyBorder="1" applyAlignment="1">
      <alignment horizontal="center" vertical="center"/>
    </xf>
    <xf numFmtId="0" fontId="32" fillId="0" borderId="91" xfId="0" applyFont="1" applyBorder="1">
      <alignment vertical="center"/>
    </xf>
    <xf numFmtId="0" fontId="16" fillId="0" borderId="91" xfId="0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0" fillId="47" borderId="12" xfId="0" applyFill="1" applyBorder="1">
      <alignment vertical="center"/>
    </xf>
    <xf numFmtId="9" fontId="0" fillId="47" borderId="12" xfId="46" applyFont="1" applyFill="1" applyBorder="1" applyAlignment="1">
      <alignment horizontal="center" vertical="center"/>
    </xf>
    <xf numFmtId="176" fontId="0" fillId="47" borderId="12" xfId="1" applyFont="1" applyFill="1" applyBorder="1" applyAlignment="1">
      <alignment horizontal="center" vertical="center"/>
    </xf>
    <xf numFmtId="0" fontId="0" fillId="47" borderId="17" xfId="0" applyFill="1" applyBorder="1">
      <alignment vertical="center"/>
    </xf>
  </cellXfs>
  <cellStyles count="48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백분율" xfId="46" builtinId="5"/>
    <cellStyle name="백분율 2" xfId="44" xr:uid="{00000000-0005-0000-0000-00001C000000}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5" xr:uid="{00000000-0005-0000-0000-000021000000}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" xfId="47" builtinId="7"/>
    <cellStyle name="표준" xfId="0" builtinId="0"/>
    <cellStyle name="표준 3" xfId="43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55C4F6-B8BF-3541-B1F1-372AF0161C5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3a8dda4-21e3-4139-bb8e-4540f605962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43"/>
  <sheetViews>
    <sheetView tabSelected="1" zoomScaleNormal="100" workbookViewId="0">
      <selection activeCell="H20" sqref="H20"/>
    </sheetView>
  </sheetViews>
  <sheetFormatPr baseColWidth="10" defaultColWidth="8.83203125" defaultRowHeight="17"/>
  <cols>
    <col min="1" max="1" width="5.1640625" customWidth="1"/>
    <col min="2" max="2" width="11.33203125" customWidth="1"/>
    <col min="3" max="3" width="16.6640625" customWidth="1"/>
    <col min="4" max="4" width="13.33203125" bestFit="1" customWidth="1"/>
    <col min="5" max="6" width="16.33203125" customWidth="1"/>
    <col min="7" max="8" width="12.33203125" customWidth="1"/>
    <col min="9" max="9" width="10.5" bestFit="1" customWidth="1"/>
    <col min="10" max="10" width="12.33203125" bestFit="1" customWidth="1"/>
    <col min="11" max="11" width="6.83203125" customWidth="1"/>
    <col min="12" max="12" width="16.1640625" customWidth="1"/>
    <col min="13" max="13" width="38.33203125" customWidth="1"/>
    <col min="14" max="25" width="9.5" customWidth="1"/>
  </cols>
  <sheetData>
    <row r="2" spans="2:26" ht="18" thickBot="1">
      <c r="B2" s="7" t="s">
        <v>4</v>
      </c>
      <c r="H2" s="8"/>
      <c r="J2" s="115" t="s">
        <v>8</v>
      </c>
    </row>
    <row r="3" spans="2:26" ht="38" customHeight="1">
      <c r="B3" s="150" t="s">
        <v>99</v>
      </c>
      <c r="C3" s="151" t="s">
        <v>149</v>
      </c>
      <c r="D3" s="151" t="s">
        <v>92</v>
      </c>
      <c r="E3" s="151" t="s">
        <v>197</v>
      </c>
      <c r="F3" s="151" t="s">
        <v>198</v>
      </c>
      <c r="G3" s="152" t="s">
        <v>122</v>
      </c>
      <c r="H3" s="153" t="s">
        <v>121</v>
      </c>
      <c r="I3" s="154" t="s">
        <v>120</v>
      </c>
      <c r="J3" s="155" t="s">
        <v>124</v>
      </c>
    </row>
    <row r="4" spans="2:26" ht="19" thickBot="1">
      <c r="B4" s="105">
        <v>46143</v>
      </c>
      <c r="C4" s="2">
        <f>'채널별 판매데이터 정리'!K83</f>
        <v>117</v>
      </c>
      <c r="D4" s="116">
        <f>'채널별 판매데이터 정리'!K84</f>
        <v>2574000</v>
      </c>
      <c r="E4" s="3">
        <f>D4-F4</f>
        <v>524280</v>
      </c>
      <c r="F4" s="3">
        <f>'채널별 판매데이터 정리'!K85</f>
        <v>2049720</v>
      </c>
      <c r="G4" s="4">
        <f>'채널별 판매데이터 정리'!K86</f>
        <v>576330</v>
      </c>
      <c r="H4" s="156">
        <f>F4-G4</f>
        <v>1473390</v>
      </c>
      <c r="I4" s="156">
        <f>F26</f>
        <v>204000</v>
      </c>
      <c r="J4" s="114">
        <f>H4-I4</f>
        <v>1269390</v>
      </c>
    </row>
    <row r="5" spans="2:26" ht="18" thickBot="1">
      <c r="L5" s="9" t="s">
        <v>10</v>
      </c>
      <c r="M5" s="10" t="s">
        <v>148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1"/>
    </row>
    <row r="6" spans="2:26" ht="16.5" customHeight="1" thickBot="1">
      <c r="B6" s="5" t="s">
        <v>1</v>
      </c>
      <c r="C6" s="6"/>
      <c r="L6" s="12"/>
      <c r="M6" s="13"/>
      <c r="N6" s="301" t="s">
        <v>700</v>
      </c>
      <c r="O6" s="291"/>
      <c r="P6" s="302"/>
      <c r="Q6" s="290" t="str">
        <f>N6&amp;" ~ "&amp;W6</f>
        <v>5월 1일 ~ 5월 31일</v>
      </c>
      <c r="R6" s="291"/>
      <c r="S6" s="291"/>
      <c r="T6" s="291"/>
      <c r="U6" s="291"/>
      <c r="V6" s="291"/>
      <c r="W6" s="292" t="s">
        <v>701</v>
      </c>
      <c r="X6" s="293"/>
      <c r="Y6" s="294"/>
    </row>
    <row r="7" spans="2:26">
      <c r="B7" s="279" t="s">
        <v>2</v>
      </c>
      <c r="C7" s="280"/>
      <c r="D7" s="280"/>
      <c r="E7" s="281"/>
      <c r="F7" s="282" t="s">
        <v>3</v>
      </c>
      <c r="G7" s="280"/>
      <c r="H7" s="280"/>
      <c r="I7" s="280"/>
      <c r="J7" s="283"/>
      <c r="L7" s="21"/>
      <c r="M7" s="22"/>
      <c r="N7" s="295" t="s">
        <v>13</v>
      </c>
      <c r="O7" s="296"/>
      <c r="P7" s="297"/>
      <c r="Q7" s="295" t="s">
        <v>14</v>
      </c>
      <c r="R7" s="296"/>
      <c r="S7" s="297"/>
      <c r="T7" s="295" t="s">
        <v>15</v>
      </c>
      <c r="U7" s="296"/>
      <c r="V7" s="296"/>
      <c r="W7" s="298" t="s">
        <v>16</v>
      </c>
      <c r="X7" s="299"/>
      <c r="Y7" s="300"/>
    </row>
    <row r="8" spans="2:26" ht="33" customHeight="1">
      <c r="B8" s="288" t="s">
        <v>126</v>
      </c>
      <c r="C8" s="289"/>
      <c r="D8" s="289"/>
      <c r="E8" s="289"/>
      <c r="F8" s="267" t="s">
        <v>98</v>
      </c>
      <c r="G8" s="267"/>
      <c r="H8" s="267"/>
      <c r="I8" s="267"/>
      <c r="J8" s="268"/>
      <c r="L8" s="14" t="s">
        <v>11</v>
      </c>
      <c r="M8" s="15" t="s">
        <v>12</v>
      </c>
      <c r="N8" s="15" t="s">
        <v>17</v>
      </c>
      <c r="O8" s="16" t="s">
        <v>20</v>
      </c>
      <c r="P8" s="16" t="s">
        <v>18</v>
      </c>
      <c r="Q8" s="15" t="s">
        <v>17</v>
      </c>
      <c r="R8" s="16" t="s">
        <v>14</v>
      </c>
      <c r="S8" s="16" t="s">
        <v>19</v>
      </c>
      <c r="T8" s="15" t="s">
        <v>17</v>
      </c>
      <c r="U8" s="16" t="s">
        <v>21</v>
      </c>
      <c r="V8" s="16" t="s">
        <v>22</v>
      </c>
      <c r="W8" s="15" t="s">
        <v>17</v>
      </c>
      <c r="X8" s="16" t="s">
        <v>20</v>
      </c>
      <c r="Y8" s="17" t="s">
        <v>18</v>
      </c>
    </row>
    <row r="9" spans="2:26" ht="33" customHeight="1">
      <c r="B9" s="285" t="s">
        <v>127</v>
      </c>
      <c r="C9" s="286"/>
      <c r="D9" s="286"/>
      <c r="E9" s="286"/>
      <c r="F9" s="287" t="s">
        <v>125</v>
      </c>
      <c r="G9" s="267"/>
      <c r="H9" s="267"/>
      <c r="I9" s="267"/>
      <c r="J9" s="268"/>
      <c r="L9" s="24">
        <v>8809879544118</v>
      </c>
      <c r="M9" s="18" t="s">
        <v>23</v>
      </c>
      <c r="N9" s="23">
        <f>O9+P9</f>
        <v>121</v>
      </c>
      <c r="O9" s="19">
        <v>121</v>
      </c>
      <c r="P9" s="19">
        <v>0</v>
      </c>
      <c r="Q9" s="19">
        <f>R9+S9</f>
        <v>0</v>
      </c>
      <c r="R9" s="19">
        <v>0</v>
      </c>
      <c r="S9" s="19"/>
      <c r="T9" s="23">
        <f>U9+V9</f>
        <v>6</v>
      </c>
      <c r="U9" s="19">
        <v>5</v>
      </c>
      <c r="V9" s="19">
        <v>1</v>
      </c>
      <c r="W9" s="170">
        <f>N9+Q9-T9</f>
        <v>115</v>
      </c>
      <c r="X9" s="19">
        <f>W9-Y9</f>
        <v>115</v>
      </c>
      <c r="Y9" s="20"/>
      <c r="Z9" s="53"/>
    </row>
    <row r="10" spans="2:26" ht="33" customHeight="1">
      <c r="B10" s="265" t="s">
        <v>128</v>
      </c>
      <c r="C10" s="266"/>
      <c r="D10" s="266"/>
      <c r="E10" s="266"/>
      <c r="F10" s="267" t="s">
        <v>123</v>
      </c>
      <c r="G10" s="267"/>
      <c r="H10" s="267"/>
      <c r="I10" s="267"/>
      <c r="J10" s="268"/>
      <c r="L10" s="24">
        <v>8809879544101</v>
      </c>
      <c r="M10" s="18" t="s">
        <v>24</v>
      </c>
      <c r="N10" s="23">
        <f>O10+P10</f>
        <v>259</v>
      </c>
      <c r="O10" s="19">
        <v>259</v>
      </c>
      <c r="P10" s="19">
        <v>0</v>
      </c>
      <c r="Q10" s="19">
        <f>R10+S10</f>
        <v>0</v>
      </c>
      <c r="R10" s="19">
        <v>0</v>
      </c>
      <c r="S10" s="256">
        <v>0</v>
      </c>
      <c r="T10" s="23">
        <f>U10+V10</f>
        <v>89</v>
      </c>
      <c r="U10" s="19">
        <v>87</v>
      </c>
      <c r="V10" s="19">
        <v>2</v>
      </c>
      <c r="W10" s="170">
        <f>N10+Q10-T10</f>
        <v>170</v>
      </c>
      <c r="X10" s="19">
        <f>W10-Y10</f>
        <v>170</v>
      </c>
      <c r="Y10" s="20"/>
      <c r="Z10" s="53"/>
    </row>
    <row r="11" spans="2:26" ht="33" customHeight="1" thickBot="1">
      <c r="B11" s="269" t="s">
        <v>129</v>
      </c>
      <c r="C11" s="270"/>
      <c r="D11" s="270"/>
      <c r="E11" s="270"/>
      <c r="F11" s="271" t="s">
        <v>131</v>
      </c>
      <c r="G11" s="272"/>
      <c r="H11" s="272"/>
      <c r="I11" s="272"/>
      <c r="J11" s="273"/>
      <c r="L11" s="24"/>
      <c r="M11" s="18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20"/>
    </row>
    <row r="12" spans="2:26" ht="18" thickBot="1">
      <c r="L12" s="55"/>
      <c r="M12" s="56" t="s">
        <v>61</v>
      </c>
      <c r="N12" s="58">
        <f t="shared" ref="N12:Y12" si="0">SUM(N9:N11)</f>
        <v>380</v>
      </c>
      <c r="O12" s="57">
        <f t="shared" si="0"/>
        <v>380</v>
      </c>
      <c r="P12" s="57">
        <f t="shared" si="0"/>
        <v>0</v>
      </c>
      <c r="Q12" s="57">
        <f t="shared" si="0"/>
        <v>0</v>
      </c>
      <c r="R12" s="57">
        <f t="shared" si="0"/>
        <v>0</v>
      </c>
      <c r="S12" s="57">
        <f t="shared" si="0"/>
        <v>0</v>
      </c>
      <c r="T12" s="57">
        <f t="shared" si="0"/>
        <v>95</v>
      </c>
      <c r="U12" s="58">
        <f t="shared" si="0"/>
        <v>92</v>
      </c>
      <c r="V12" s="57">
        <f t="shared" si="0"/>
        <v>3</v>
      </c>
      <c r="W12" s="58">
        <f t="shared" si="0"/>
        <v>285</v>
      </c>
      <c r="X12" s="57">
        <f t="shared" si="0"/>
        <v>285</v>
      </c>
      <c r="Y12" s="59">
        <f t="shared" si="0"/>
        <v>0</v>
      </c>
    </row>
    <row r="13" spans="2:26" ht="17" customHeight="1"/>
    <row r="14" spans="2:26" ht="18" customHeight="1" thickBot="1">
      <c r="B14" s="134" t="s">
        <v>139</v>
      </c>
      <c r="F14" s="115" t="s">
        <v>8</v>
      </c>
    </row>
    <row r="15" spans="2:26" ht="20" customHeight="1">
      <c r="B15" s="121" t="s">
        <v>101</v>
      </c>
      <c r="C15" s="122" t="s">
        <v>134</v>
      </c>
      <c r="D15" s="122" t="s">
        <v>137</v>
      </c>
      <c r="E15" s="122" t="s">
        <v>138</v>
      </c>
      <c r="F15" s="123" t="s">
        <v>104</v>
      </c>
    </row>
    <row r="16" spans="2:26" ht="17" customHeight="1">
      <c r="B16" s="284" t="s">
        <v>133</v>
      </c>
      <c r="C16" s="109" t="s">
        <v>135</v>
      </c>
      <c r="D16" s="120">
        <v>0.55000000000000004</v>
      </c>
      <c r="E16" s="111">
        <f>J4*D16</f>
        <v>698164.5</v>
      </c>
      <c r="F16" s="124"/>
    </row>
    <row r="17" spans="2:6" ht="18" customHeight="1">
      <c r="B17" s="284"/>
      <c r="C17" s="109" t="s">
        <v>136</v>
      </c>
      <c r="D17" s="120">
        <v>0.45</v>
      </c>
      <c r="E17" s="111">
        <f>J4*D17</f>
        <v>571225.5</v>
      </c>
      <c r="F17" s="124"/>
    </row>
    <row r="18" spans="2:6">
      <c r="B18" s="284"/>
      <c r="C18" s="378" t="s">
        <v>368</v>
      </c>
      <c r="D18" s="379">
        <v>0</v>
      </c>
      <c r="E18" s="380">
        <f>J4*D18</f>
        <v>0</v>
      </c>
      <c r="F18" s="381" t="s">
        <v>246</v>
      </c>
    </row>
    <row r="19" spans="2:6" ht="18" customHeight="1" thickBot="1">
      <c r="B19" s="260" t="s">
        <v>61</v>
      </c>
      <c r="C19" s="261"/>
      <c r="D19" s="126">
        <f>SUM(D16:D18)</f>
        <v>1</v>
      </c>
      <c r="E19" s="200">
        <f>SUM(E16:E18)</f>
        <v>1269390</v>
      </c>
      <c r="F19" s="128"/>
    </row>
    <row r="20" spans="2:6" ht="18" customHeight="1">
      <c r="B20" s="117"/>
      <c r="D20" s="118"/>
      <c r="E20" s="119"/>
    </row>
    <row r="21" spans="2:6" ht="18" thickBot="1">
      <c r="B21" s="7" t="s">
        <v>100</v>
      </c>
      <c r="F21" s="115" t="s">
        <v>8</v>
      </c>
    </row>
    <row r="22" spans="2:6">
      <c r="B22" s="274" t="s">
        <v>699</v>
      </c>
      <c r="C22" s="276" t="s">
        <v>117</v>
      </c>
      <c r="D22" s="277"/>
      <c r="E22" s="277"/>
      <c r="F22" s="278"/>
    </row>
    <row r="23" spans="2:6">
      <c r="B23" s="275"/>
      <c r="C23" s="1" t="s">
        <v>140</v>
      </c>
      <c r="D23" s="1" t="s">
        <v>115</v>
      </c>
      <c r="E23" s="1" t="s">
        <v>116</v>
      </c>
      <c r="F23" s="112" t="s">
        <v>5</v>
      </c>
    </row>
    <row r="24" spans="2:6">
      <c r="B24" s="196" t="s">
        <v>254</v>
      </c>
      <c r="C24" s="194">
        <v>50</v>
      </c>
      <c r="D24" s="195">
        <v>2650</v>
      </c>
      <c r="E24" s="195">
        <v>1430</v>
      </c>
      <c r="F24" s="197">
        <f>C24*(D24+E24)</f>
        <v>204000</v>
      </c>
    </row>
    <row r="25" spans="2:6">
      <c r="B25" s="198" t="s">
        <v>255</v>
      </c>
      <c r="C25" s="194"/>
      <c r="D25" s="195">
        <v>4400</v>
      </c>
      <c r="E25" s="195">
        <v>1430</v>
      </c>
      <c r="F25" s="197">
        <f>C25*(D25+E25)</f>
        <v>0</v>
      </c>
    </row>
    <row r="26" spans="2:6" ht="18" thickBot="1">
      <c r="B26" s="199" t="s">
        <v>61</v>
      </c>
      <c r="C26" s="2">
        <f>SUM(C24:C25)</f>
        <v>50</v>
      </c>
      <c r="D26" s="3"/>
      <c r="E26" s="3"/>
      <c r="F26" s="113">
        <f>SUM(F24:F25)</f>
        <v>204000</v>
      </c>
    </row>
    <row r="27" spans="2:6">
      <c r="B27" s="25" t="s">
        <v>253</v>
      </c>
    </row>
    <row r="28" spans="2:6">
      <c r="B28" s="25" t="s">
        <v>119</v>
      </c>
    </row>
    <row r="29" spans="2:6" ht="18" thickBot="1">
      <c r="F29" s="115" t="s">
        <v>114</v>
      </c>
    </row>
    <row r="30" spans="2:6">
      <c r="B30" s="129" t="s">
        <v>101</v>
      </c>
      <c r="C30" s="130" t="s">
        <v>101</v>
      </c>
      <c r="D30" s="130" t="s">
        <v>102</v>
      </c>
      <c r="E30" s="130" t="s">
        <v>103</v>
      </c>
      <c r="F30" s="131" t="s">
        <v>104</v>
      </c>
    </row>
    <row r="31" spans="2:6">
      <c r="B31" s="262" t="s">
        <v>113</v>
      </c>
      <c r="C31" s="106" t="s">
        <v>105</v>
      </c>
      <c r="D31" s="107"/>
      <c r="E31" s="108" t="s">
        <v>106</v>
      </c>
      <c r="F31" s="132" t="s">
        <v>112</v>
      </c>
    </row>
    <row r="32" spans="2:6">
      <c r="B32" s="263"/>
      <c r="C32" s="106" t="s">
        <v>107</v>
      </c>
      <c r="D32" s="107">
        <v>0</v>
      </c>
      <c r="E32" s="108" t="s">
        <v>109</v>
      </c>
      <c r="F32" s="132" t="s">
        <v>112</v>
      </c>
    </row>
    <row r="33" spans="2:23">
      <c r="B33" s="263"/>
      <c r="C33" s="109" t="s">
        <v>108</v>
      </c>
      <c r="D33" s="110">
        <v>2500</v>
      </c>
      <c r="E33" s="111" t="s">
        <v>109</v>
      </c>
      <c r="F33" s="124" t="s">
        <v>111</v>
      </c>
    </row>
    <row r="34" spans="2:23">
      <c r="B34" s="263"/>
      <c r="C34" s="109" t="s">
        <v>108</v>
      </c>
      <c r="D34" s="193">
        <v>4000</v>
      </c>
      <c r="E34" s="111" t="s">
        <v>109</v>
      </c>
      <c r="F34" s="124" t="s">
        <v>252</v>
      </c>
    </row>
    <row r="35" spans="2:23" ht="18" thickBot="1">
      <c r="B35" s="264"/>
      <c r="C35" s="125" t="s">
        <v>110</v>
      </c>
      <c r="D35" s="133">
        <v>1300</v>
      </c>
      <c r="E35" s="127" t="s">
        <v>109</v>
      </c>
      <c r="F35" s="128" t="s">
        <v>118</v>
      </c>
    </row>
    <row r="38" spans="2:23">
      <c r="B38" s="7" t="s">
        <v>95</v>
      </c>
      <c r="W38" s="54"/>
    </row>
    <row r="39" spans="2:23">
      <c r="B39" s="157" t="s">
        <v>96</v>
      </c>
    </row>
    <row r="40" spans="2:23">
      <c r="B40" s="157" t="s">
        <v>97</v>
      </c>
    </row>
    <row r="41" spans="2:23">
      <c r="B41" s="25" t="s">
        <v>130</v>
      </c>
    </row>
    <row r="42" spans="2:23">
      <c r="B42" s="25" t="s">
        <v>132</v>
      </c>
    </row>
    <row r="43" spans="2:23">
      <c r="B43" s="25" t="s">
        <v>151</v>
      </c>
    </row>
  </sheetData>
  <mergeCells count="22">
    <mergeCell ref="Q6:V6"/>
    <mergeCell ref="W6:Y6"/>
    <mergeCell ref="N7:P7"/>
    <mergeCell ref="Q7:S7"/>
    <mergeCell ref="T7:V7"/>
    <mergeCell ref="W7:Y7"/>
    <mergeCell ref="N6:P6"/>
    <mergeCell ref="B7:E7"/>
    <mergeCell ref="F7:J7"/>
    <mergeCell ref="B16:B18"/>
    <mergeCell ref="B9:E9"/>
    <mergeCell ref="F9:J9"/>
    <mergeCell ref="B8:E8"/>
    <mergeCell ref="F8:J8"/>
    <mergeCell ref="B19:C19"/>
    <mergeCell ref="B31:B35"/>
    <mergeCell ref="B10:E10"/>
    <mergeCell ref="F10:J10"/>
    <mergeCell ref="B11:E11"/>
    <mergeCell ref="F11:J11"/>
    <mergeCell ref="B22:B23"/>
    <mergeCell ref="C22:F22"/>
  </mergeCells>
  <phoneticPr fontId="19" type="noConversion"/>
  <pageMargins left="0.7" right="0.7" top="0.75" bottom="0.75" header="0.3" footer="0.3"/>
  <pageSetup paperSize="256" orientation="portrait" horizontalDpi="203" verticalDpi="203" r:id="rId1"/>
  <ignoredErrors>
    <ignoredError sqref="C4 D4 F24 F4:H4 F2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64A1-7837-5F4E-A543-C3DE55D5108D}">
  <dimension ref="B1:N89"/>
  <sheetViews>
    <sheetView topLeftCell="A49" workbookViewId="0">
      <selection activeCell="K84" sqref="K84"/>
    </sheetView>
  </sheetViews>
  <sheetFormatPr baseColWidth="10" defaultRowHeight="15"/>
  <cols>
    <col min="1" max="1" width="4.6640625" style="32" customWidth="1"/>
    <col min="2" max="2" width="12.6640625" style="46" customWidth="1"/>
    <col min="3" max="3" width="42.1640625" style="32" customWidth="1"/>
    <col min="4" max="6" width="10.83203125" style="32"/>
    <col min="7" max="7" width="10.83203125" style="46"/>
    <col min="8" max="8" width="10.83203125" style="32"/>
    <col min="9" max="9" width="11.33203125" style="32" bestFit="1" customWidth="1"/>
    <col min="10" max="10" width="10.83203125" style="32"/>
    <col min="11" max="11" width="11.33203125" style="48" bestFit="1" customWidth="1"/>
    <col min="12" max="12" width="15" style="32" customWidth="1"/>
    <col min="13" max="16384" width="10.83203125" style="32"/>
  </cols>
  <sheetData>
    <row r="1" spans="2:12" ht="35" customHeight="1">
      <c r="B1" s="139" t="s">
        <v>691</v>
      </c>
    </row>
    <row r="3" spans="2:12">
      <c r="B3" s="34"/>
      <c r="C3" s="31"/>
      <c r="D3" s="31"/>
      <c r="E3" s="31"/>
      <c r="F3" s="31"/>
      <c r="G3" s="34"/>
      <c r="H3" s="31"/>
      <c r="I3" s="31"/>
      <c r="J3" s="31"/>
      <c r="K3" s="49"/>
      <c r="L3" s="31"/>
    </row>
    <row r="4" spans="2:12" ht="16" thickBot="1">
      <c r="B4" s="135" t="s">
        <v>46</v>
      </c>
      <c r="C4" s="31"/>
      <c r="D4" s="31" t="s">
        <v>53</v>
      </c>
      <c r="E4" s="31"/>
      <c r="F4" s="31"/>
      <c r="G4" s="34"/>
      <c r="H4" s="31"/>
      <c r="I4" s="31"/>
      <c r="J4" s="31"/>
      <c r="K4" s="140" t="s">
        <v>63</v>
      </c>
      <c r="L4" s="31"/>
    </row>
    <row r="5" spans="2:12">
      <c r="B5" s="72" t="s">
        <v>47</v>
      </c>
      <c r="C5" s="73" t="s">
        <v>48</v>
      </c>
      <c r="D5" s="73" t="s">
        <v>52</v>
      </c>
      <c r="E5" s="74" t="s">
        <v>147</v>
      </c>
      <c r="F5" s="73" t="s">
        <v>358</v>
      </c>
      <c r="G5" s="63" t="s">
        <v>357</v>
      </c>
      <c r="H5" s="101" t="s">
        <v>359</v>
      </c>
      <c r="I5" s="146" t="s">
        <v>57</v>
      </c>
      <c r="J5" s="63" t="s">
        <v>56</v>
      </c>
      <c r="K5" s="102" t="s">
        <v>146</v>
      </c>
      <c r="L5" s="65" t="s">
        <v>79</v>
      </c>
    </row>
    <row r="6" spans="2:12">
      <c r="B6" s="75">
        <v>1</v>
      </c>
      <c r="C6" s="35" t="s">
        <v>49</v>
      </c>
      <c r="D6" s="36">
        <v>22000</v>
      </c>
      <c r="E6" s="42">
        <v>13200</v>
      </c>
      <c r="F6" s="37">
        <v>0.4</v>
      </c>
      <c r="G6" s="35">
        <f>'DB)몽슈슈'!E11</f>
        <v>0</v>
      </c>
      <c r="H6" s="257"/>
      <c r="I6" s="100">
        <f>E6*G6</f>
        <v>0</v>
      </c>
      <c r="J6" s="100"/>
      <c r="K6" s="258">
        <f>'DB)몽슈슈'!H11</f>
        <v>0</v>
      </c>
      <c r="L6" s="103">
        <f>D6*G6</f>
        <v>0</v>
      </c>
    </row>
    <row r="7" spans="2:12">
      <c r="B7" s="75">
        <v>2</v>
      </c>
      <c r="C7" s="35" t="s">
        <v>50</v>
      </c>
      <c r="D7" s="36">
        <v>22000</v>
      </c>
      <c r="E7" s="42">
        <v>13200</v>
      </c>
      <c r="F7" s="37">
        <v>0.4</v>
      </c>
      <c r="G7" s="35">
        <v>2</v>
      </c>
      <c r="H7" s="257"/>
      <c r="I7" s="100">
        <f>D7*G7</f>
        <v>44000</v>
      </c>
      <c r="J7" s="100">
        <f>I7*F7</f>
        <v>17600</v>
      </c>
      <c r="K7" s="258">
        <f>'DB)몽슈슈'!H12</f>
        <v>26400</v>
      </c>
      <c r="L7" s="103">
        <f>D7*G7</f>
        <v>44000</v>
      </c>
    </row>
    <row r="8" spans="2:12" ht="16" thickBot="1">
      <c r="B8" s="76"/>
      <c r="C8" s="77" t="s">
        <v>61</v>
      </c>
      <c r="D8" s="78"/>
      <c r="E8" s="69"/>
      <c r="F8" s="77"/>
      <c r="G8" s="78">
        <f>SUM(G6:G7)</f>
        <v>2</v>
      </c>
      <c r="H8" s="78">
        <f>SUM(H6:H7)</f>
        <v>0</v>
      </c>
      <c r="I8" s="78">
        <f>SUM(I6:I7)</f>
        <v>44000</v>
      </c>
      <c r="J8" s="78">
        <f>SUM(J7)</f>
        <v>17600</v>
      </c>
      <c r="K8" s="259">
        <f>SUM(K6:K7)</f>
        <v>26400</v>
      </c>
      <c r="L8" s="104">
        <f>SUM(L6:L7)</f>
        <v>44000</v>
      </c>
    </row>
    <row r="11" spans="2:12" ht="16" thickBot="1">
      <c r="B11" s="135" t="s">
        <v>360</v>
      </c>
      <c r="K11" s="141"/>
    </row>
    <row r="12" spans="2:12">
      <c r="B12" s="136" t="s">
        <v>59</v>
      </c>
      <c r="C12" s="63" t="s">
        <v>60</v>
      </c>
      <c r="D12" s="63" t="s">
        <v>51</v>
      </c>
      <c r="E12" s="64" t="s">
        <v>58</v>
      </c>
      <c r="F12" s="63" t="s">
        <v>7</v>
      </c>
      <c r="G12" s="63" t="s">
        <v>86</v>
      </c>
      <c r="H12" s="65" t="s">
        <v>57</v>
      </c>
      <c r="I12" s="72" t="s">
        <v>54</v>
      </c>
      <c r="J12" s="63" t="s">
        <v>56</v>
      </c>
      <c r="K12" s="81" t="s">
        <v>146</v>
      </c>
      <c r="L12" s="82" t="s">
        <v>79</v>
      </c>
    </row>
    <row r="13" spans="2:12">
      <c r="B13" s="137">
        <v>1</v>
      </c>
      <c r="C13" s="35" t="s">
        <v>49</v>
      </c>
      <c r="D13" s="41">
        <v>22000</v>
      </c>
      <c r="E13" s="42">
        <f>D13-(D13*F13)</f>
        <v>19800</v>
      </c>
      <c r="F13" s="43">
        <v>0.1</v>
      </c>
      <c r="G13" s="40">
        <f>'DB)스마트스토어'!P12</f>
        <v>1</v>
      </c>
      <c r="H13" s="66">
        <f>E13*G13</f>
        <v>19800</v>
      </c>
      <c r="I13" s="94">
        <v>0.05</v>
      </c>
      <c r="J13" s="39">
        <f>H13*I13</f>
        <v>990</v>
      </c>
      <c r="K13" s="51">
        <f>H13-J13</f>
        <v>18810</v>
      </c>
      <c r="L13" s="66">
        <f>D13*G13</f>
        <v>22000</v>
      </c>
    </row>
    <row r="14" spans="2:12">
      <c r="B14" s="137">
        <v>2</v>
      </c>
      <c r="C14" s="35" t="s">
        <v>50</v>
      </c>
      <c r="D14" s="41">
        <v>22000</v>
      </c>
      <c r="E14" s="42">
        <f>D14-(D14*F14)</f>
        <v>19800</v>
      </c>
      <c r="F14" s="43">
        <v>0.1</v>
      </c>
      <c r="G14" s="40">
        <f>'DB)스마트스토어'!P11</f>
        <v>4</v>
      </c>
      <c r="H14" s="66">
        <f>E14*G14</f>
        <v>79200</v>
      </c>
      <c r="I14" s="94">
        <v>0.05</v>
      </c>
      <c r="J14" s="39">
        <f t="shared" ref="J14" si="0">H14*I14</f>
        <v>3960</v>
      </c>
      <c r="K14" s="51">
        <f t="shared" ref="K14" si="1">H14-J14</f>
        <v>75240</v>
      </c>
      <c r="L14" s="66">
        <f t="shared" ref="L14" si="2">D14*G14</f>
        <v>88000</v>
      </c>
    </row>
    <row r="15" spans="2:12" ht="16" thickBot="1">
      <c r="B15" s="138"/>
      <c r="C15" s="67" t="s">
        <v>61</v>
      </c>
      <c r="D15" s="68"/>
      <c r="E15" s="69"/>
      <c r="F15" s="70"/>
      <c r="G15" s="67">
        <f>SUM(G13:G14)</f>
        <v>5</v>
      </c>
      <c r="H15" s="71">
        <f>SUM(H13:H14)</f>
        <v>99000</v>
      </c>
      <c r="I15" s="95"/>
      <c r="J15" s="83">
        <f>SUM(J13:J14)</f>
        <v>4950</v>
      </c>
      <c r="K15" s="87">
        <f t="shared" ref="K15" si="3">H15-J15</f>
        <v>94050</v>
      </c>
      <c r="L15" s="85">
        <f>SUM(L13:L14)</f>
        <v>110000</v>
      </c>
    </row>
    <row r="18" spans="2:12" ht="16" thickBot="1">
      <c r="B18" s="135" t="s">
        <v>62</v>
      </c>
      <c r="D18" s="32" t="s">
        <v>65</v>
      </c>
      <c r="K18" s="141" t="s">
        <v>64</v>
      </c>
    </row>
    <row r="19" spans="2:12">
      <c r="B19" s="136" t="s">
        <v>59</v>
      </c>
      <c r="C19" s="63" t="s">
        <v>60</v>
      </c>
      <c r="D19" s="63" t="s">
        <v>51</v>
      </c>
      <c r="E19" s="64" t="s">
        <v>67</v>
      </c>
      <c r="F19" s="63" t="s">
        <v>358</v>
      </c>
      <c r="G19" s="63" t="s">
        <v>86</v>
      </c>
      <c r="H19" s="101" t="s">
        <v>359</v>
      </c>
      <c r="I19" s="146" t="s">
        <v>57</v>
      </c>
      <c r="J19" s="63" t="s">
        <v>56</v>
      </c>
      <c r="K19" s="102" t="s">
        <v>146</v>
      </c>
      <c r="L19" s="82" t="s">
        <v>79</v>
      </c>
    </row>
    <row r="20" spans="2:12">
      <c r="B20" s="137">
        <v>1</v>
      </c>
      <c r="C20" s="35" t="s">
        <v>49</v>
      </c>
      <c r="D20" s="41">
        <v>22000</v>
      </c>
      <c r="E20" s="42">
        <v>10560</v>
      </c>
      <c r="F20" s="43">
        <v>0.52</v>
      </c>
      <c r="G20" s="40">
        <v>0</v>
      </c>
      <c r="H20" s="257"/>
      <c r="I20" s="41">
        <f>D20*G20</f>
        <v>0</v>
      </c>
      <c r="J20" s="39">
        <f>I20*F20</f>
        <v>0</v>
      </c>
      <c r="K20" s="52">
        <f>G20*I20</f>
        <v>0</v>
      </c>
      <c r="L20" s="66">
        <f>D20*G20</f>
        <v>0</v>
      </c>
    </row>
    <row r="21" spans="2:12">
      <c r="B21" s="137">
        <v>2</v>
      </c>
      <c r="C21" s="35" t="s">
        <v>50</v>
      </c>
      <c r="D21" s="41">
        <v>22000</v>
      </c>
      <c r="E21" s="42">
        <v>10560</v>
      </c>
      <c r="F21" s="43">
        <v>0.52</v>
      </c>
      <c r="G21" s="40">
        <v>20</v>
      </c>
      <c r="H21" s="257"/>
      <c r="I21" s="41">
        <f>D21*G21</f>
        <v>440000</v>
      </c>
      <c r="J21" s="39">
        <f>I21*F21</f>
        <v>228800</v>
      </c>
      <c r="K21" s="52">
        <f>I21-J21</f>
        <v>211200</v>
      </c>
      <c r="L21" s="66">
        <f>D21*G21</f>
        <v>440000</v>
      </c>
    </row>
    <row r="22" spans="2:12" ht="16" thickBot="1">
      <c r="B22" s="138"/>
      <c r="C22" s="67" t="s">
        <v>61</v>
      </c>
      <c r="D22" s="68"/>
      <c r="E22" s="69"/>
      <c r="F22" s="68"/>
      <c r="G22" s="67">
        <v>20</v>
      </c>
      <c r="H22" s="78">
        <f>SUM(H20:H21)</f>
        <v>0</v>
      </c>
      <c r="I22" s="67">
        <f>SUM(I20:I21)</f>
        <v>440000</v>
      </c>
      <c r="J22" s="83">
        <f>SUM(J20:J21)</f>
        <v>228800</v>
      </c>
      <c r="K22" s="84">
        <f>SUM(K20:K21)</f>
        <v>211200</v>
      </c>
      <c r="L22" s="85">
        <f>SUM(L17:L21)</f>
        <v>440000</v>
      </c>
    </row>
    <row r="24" spans="2:12">
      <c r="H24" s="47"/>
    </row>
    <row r="25" spans="2:12" ht="16" thickBot="1">
      <c r="B25" s="135" t="s">
        <v>68</v>
      </c>
      <c r="K25" s="48" t="s">
        <v>75</v>
      </c>
    </row>
    <row r="26" spans="2:12">
      <c r="B26" s="136" t="s">
        <v>59</v>
      </c>
      <c r="C26" s="63" t="s">
        <v>60</v>
      </c>
      <c r="D26" s="63" t="s">
        <v>51</v>
      </c>
      <c r="E26" s="63" t="s">
        <v>58</v>
      </c>
      <c r="F26" s="74" t="s">
        <v>147</v>
      </c>
      <c r="G26" s="63" t="s">
        <v>0</v>
      </c>
      <c r="H26" s="63" t="s">
        <v>86</v>
      </c>
      <c r="I26" s="146" t="s">
        <v>57</v>
      </c>
      <c r="J26" s="63" t="s">
        <v>56</v>
      </c>
      <c r="K26" s="102" t="s">
        <v>146</v>
      </c>
      <c r="L26" s="65" t="s">
        <v>79</v>
      </c>
    </row>
    <row r="27" spans="2:12">
      <c r="B27" s="137">
        <v>1</v>
      </c>
      <c r="C27" s="35" t="s">
        <v>143</v>
      </c>
      <c r="D27" s="41">
        <v>22000</v>
      </c>
      <c r="E27" s="41">
        <v>22000</v>
      </c>
      <c r="F27" s="42">
        <f>E27-E27*G27</f>
        <v>16500</v>
      </c>
      <c r="G27" s="43">
        <v>0.25</v>
      </c>
      <c r="H27" s="40">
        <v>0</v>
      </c>
      <c r="I27" s="45">
        <f>E27*H27</f>
        <v>0</v>
      </c>
      <c r="J27" s="39">
        <f>E27*G27*H27</f>
        <v>0</v>
      </c>
      <c r="K27" s="51">
        <f>I27-J27</f>
        <v>0</v>
      </c>
      <c r="L27" s="86">
        <f>H27*D27</f>
        <v>0</v>
      </c>
    </row>
    <row r="28" spans="2:12" ht="16" thickBot="1">
      <c r="B28" s="138"/>
      <c r="C28" s="67" t="s">
        <v>61</v>
      </c>
      <c r="D28" s="68"/>
      <c r="E28" s="68"/>
      <c r="F28" s="69"/>
      <c r="G28" s="70"/>
      <c r="H28" s="67">
        <f>SUM(H27:H27)</f>
        <v>0</v>
      </c>
      <c r="I28" s="83">
        <f>SUM(I27)</f>
        <v>0</v>
      </c>
      <c r="J28" s="83">
        <f>SUM(J27)</f>
        <v>0</v>
      </c>
      <c r="K28" s="87">
        <f>SUM(K27)</f>
        <v>0</v>
      </c>
      <c r="L28" s="71">
        <f>SUM(L27)</f>
        <v>0</v>
      </c>
    </row>
    <row r="31" spans="2:12" ht="16" thickBot="1">
      <c r="B31" s="135" t="s">
        <v>87</v>
      </c>
      <c r="K31" s="49" t="s">
        <v>63</v>
      </c>
    </row>
    <row r="32" spans="2:12">
      <c r="B32" s="136" t="s">
        <v>59</v>
      </c>
      <c r="C32" s="63" t="s">
        <v>60</v>
      </c>
      <c r="D32" s="63" t="s">
        <v>51</v>
      </c>
      <c r="E32" s="63" t="s">
        <v>58</v>
      </c>
      <c r="F32" s="74" t="s">
        <v>147</v>
      </c>
      <c r="G32" s="63" t="s">
        <v>0</v>
      </c>
      <c r="H32" s="63" t="s">
        <v>86</v>
      </c>
      <c r="I32" s="146" t="s">
        <v>57</v>
      </c>
      <c r="J32" s="63" t="s">
        <v>56</v>
      </c>
      <c r="K32" s="102" t="s">
        <v>146</v>
      </c>
      <c r="L32" s="65" t="s">
        <v>79</v>
      </c>
    </row>
    <row r="33" spans="2:12">
      <c r="B33" s="90">
        <v>1</v>
      </c>
      <c r="C33" s="40" t="s">
        <v>143</v>
      </c>
      <c r="D33" s="44">
        <v>22000</v>
      </c>
      <c r="E33" s="44">
        <v>22000</v>
      </c>
      <c r="F33" s="42">
        <f>E33-E33*G33</f>
        <v>15400</v>
      </c>
      <c r="G33" s="43">
        <v>0.3</v>
      </c>
      <c r="H33" s="40"/>
      <c r="I33" s="147">
        <f>E33*H33</f>
        <v>0</v>
      </c>
      <c r="J33" s="100">
        <f>E33*G33*H33</f>
        <v>0</v>
      </c>
      <c r="K33" s="52">
        <f>I33-J33</f>
        <v>0</v>
      </c>
      <c r="L33" s="103">
        <f>D33*H33</f>
        <v>0</v>
      </c>
    </row>
    <row r="34" spans="2:12">
      <c r="B34" s="90">
        <v>2</v>
      </c>
      <c r="C34" s="40" t="s">
        <v>50</v>
      </c>
      <c r="D34" s="44">
        <v>22000</v>
      </c>
      <c r="E34" s="44">
        <v>22000</v>
      </c>
      <c r="F34" s="42">
        <f>E34-E34*G34</f>
        <v>15400</v>
      </c>
      <c r="G34" s="43">
        <v>0.3</v>
      </c>
      <c r="H34" s="40">
        <f>'DB)이마트몰리스'!M11</f>
        <v>4</v>
      </c>
      <c r="I34" s="147">
        <f>E34*H34</f>
        <v>88000</v>
      </c>
      <c r="J34" s="100">
        <f>E34*G34*H34</f>
        <v>26400</v>
      </c>
      <c r="K34" s="52">
        <f>I34-J34</f>
        <v>61600</v>
      </c>
      <c r="L34" s="103">
        <f>D34*H34</f>
        <v>88000</v>
      </c>
    </row>
    <row r="35" spans="2:12" ht="16" thickBot="1">
      <c r="B35" s="91"/>
      <c r="C35" s="67" t="s">
        <v>61</v>
      </c>
      <c r="D35" s="83"/>
      <c r="E35" s="83"/>
      <c r="F35" s="69"/>
      <c r="G35" s="70"/>
      <c r="H35" s="67">
        <f>SUM(H33:H34)</f>
        <v>4</v>
      </c>
      <c r="I35" s="83">
        <f>SUM(I33:I34)</f>
        <v>88000</v>
      </c>
      <c r="J35" s="83">
        <f>SUM(J33:J34)</f>
        <v>26400</v>
      </c>
      <c r="K35" s="93">
        <f>SUM(K33:K34)</f>
        <v>61600</v>
      </c>
      <c r="L35" s="104">
        <f>SUM(L33:L34)</f>
        <v>88000</v>
      </c>
    </row>
    <row r="38" spans="2:12" ht="16" thickBot="1">
      <c r="B38" s="135" t="s">
        <v>69</v>
      </c>
      <c r="D38" s="32" t="s">
        <v>70</v>
      </c>
      <c r="K38" s="49" t="s">
        <v>63</v>
      </c>
    </row>
    <row r="39" spans="2:12">
      <c r="B39" s="136" t="s">
        <v>59</v>
      </c>
      <c r="C39" s="63" t="s">
        <v>60</v>
      </c>
      <c r="D39" s="63" t="s">
        <v>51</v>
      </c>
      <c r="E39" s="74" t="s">
        <v>147</v>
      </c>
      <c r="F39" s="63" t="s">
        <v>0</v>
      </c>
      <c r="G39" s="63" t="s">
        <v>86</v>
      </c>
      <c r="H39" s="63"/>
      <c r="I39" s="146" t="s">
        <v>57</v>
      </c>
      <c r="J39" s="73" t="s">
        <v>55</v>
      </c>
      <c r="K39" s="102" t="s">
        <v>146</v>
      </c>
      <c r="L39" s="65" t="s">
        <v>78</v>
      </c>
    </row>
    <row r="40" spans="2:12">
      <c r="B40" s="75">
        <v>1</v>
      </c>
      <c r="C40" s="35" t="s">
        <v>49</v>
      </c>
      <c r="D40" s="36">
        <v>22000</v>
      </c>
      <c r="E40" s="42">
        <f>D40-D40*F40</f>
        <v>14740</v>
      </c>
      <c r="F40" s="37">
        <v>0.33</v>
      </c>
      <c r="G40" s="35">
        <v>0</v>
      </c>
      <c r="H40" s="35"/>
      <c r="I40" s="38"/>
      <c r="J40" s="35"/>
      <c r="K40" s="50"/>
      <c r="L40" s="88"/>
    </row>
    <row r="41" spans="2:12">
      <c r="B41" s="75">
        <v>2</v>
      </c>
      <c r="C41" s="35" t="s">
        <v>50</v>
      </c>
      <c r="D41" s="36">
        <v>22000</v>
      </c>
      <c r="E41" s="42">
        <f>D41-D41*F41</f>
        <v>14740</v>
      </c>
      <c r="F41" s="37">
        <v>0.33</v>
      </c>
      <c r="G41" s="35">
        <v>0</v>
      </c>
      <c r="H41" s="35"/>
      <c r="I41" s="38"/>
      <c r="J41" s="35"/>
      <c r="K41" s="50"/>
      <c r="L41" s="88"/>
    </row>
    <row r="42" spans="2:12" ht="16" thickBot="1">
      <c r="B42" s="76"/>
      <c r="C42" s="77" t="s">
        <v>61</v>
      </c>
      <c r="D42" s="78"/>
      <c r="E42" s="69"/>
      <c r="F42" s="79"/>
      <c r="G42" s="77">
        <f>SUM(G40:G41)</f>
        <v>0</v>
      </c>
      <c r="H42" s="77"/>
      <c r="I42" s="92"/>
      <c r="J42" s="77"/>
      <c r="K42" s="80">
        <f>SUM(K40:K41)</f>
        <v>0</v>
      </c>
      <c r="L42" s="89">
        <f>SUM(L40:L41)</f>
        <v>0</v>
      </c>
    </row>
    <row r="45" spans="2:12" ht="16" thickBot="1">
      <c r="B45" s="135" t="s">
        <v>71</v>
      </c>
      <c r="D45" s="32" t="s">
        <v>73</v>
      </c>
      <c r="G45" s="46" t="s">
        <v>243</v>
      </c>
      <c r="K45" s="48" t="s">
        <v>76</v>
      </c>
    </row>
    <row r="46" spans="2:12">
      <c r="B46" s="136" t="s">
        <v>59</v>
      </c>
      <c r="C46" s="63" t="s">
        <v>60</v>
      </c>
      <c r="D46" s="63" t="s">
        <v>51</v>
      </c>
      <c r="E46" s="64" t="s">
        <v>242</v>
      </c>
      <c r="F46" s="63" t="s">
        <v>7</v>
      </c>
      <c r="G46" s="63" t="s">
        <v>0</v>
      </c>
      <c r="H46" s="63" t="s">
        <v>86</v>
      </c>
      <c r="I46" s="146" t="s">
        <v>57</v>
      </c>
      <c r="J46" s="63" t="s">
        <v>55</v>
      </c>
      <c r="K46" s="102" t="s">
        <v>146</v>
      </c>
      <c r="L46" s="65" t="s">
        <v>78</v>
      </c>
    </row>
    <row r="47" spans="2:12">
      <c r="B47" s="90">
        <v>1</v>
      </c>
      <c r="C47" s="40" t="s">
        <v>49</v>
      </c>
      <c r="D47" s="44">
        <v>22000</v>
      </c>
      <c r="E47" s="42">
        <f>D47-D47*F47</f>
        <v>19800</v>
      </c>
      <c r="F47" s="43">
        <v>0.1</v>
      </c>
      <c r="G47" s="43">
        <v>0.05</v>
      </c>
      <c r="H47" s="45">
        <f>'DB)카페24'!D3</f>
        <v>4</v>
      </c>
      <c r="I47" s="39">
        <f>E47*H47</f>
        <v>79200</v>
      </c>
      <c r="J47" s="39">
        <f>I47*G47</f>
        <v>3960</v>
      </c>
      <c r="K47" s="52">
        <f>I47-J47</f>
        <v>75240</v>
      </c>
      <c r="L47" s="86">
        <f>D47*H47</f>
        <v>88000</v>
      </c>
    </row>
    <row r="48" spans="2:12">
      <c r="B48" s="90">
        <v>2</v>
      </c>
      <c r="C48" s="40" t="s">
        <v>50</v>
      </c>
      <c r="D48" s="44">
        <v>22000</v>
      </c>
      <c r="E48" s="42">
        <f>D48-D48*F48</f>
        <v>19800</v>
      </c>
      <c r="F48" s="43">
        <v>0.1</v>
      </c>
      <c r="G48" s="43">
        <v>0.05</v>
      </c>
      <c r="H48" s="45">
        <f>'DB)카페24'!D4</f>
        <v>2</v>
      </c>
      <c r="I48" s="39">
        <f>E48*H48</f>
        <v>39600</v>
      </c>
      <c r="J48" s="39">
        <f>I48*G48</f>
        <v>1980</v>
      </c>
      <c r="K48" s="52">
        <f>I48-J48</f>
        <v>37620</v>
      </c>
      <c r="L48" s="86">
        <f>D48*H48</f>
        <v>44000</v>
      </c>
    </row>
    <row r="49" spans="2:12" ht="16" thickBot="1">
      <c r="B49" s="91"/>
      <c r="C49" s="67" t="s">
        <v>61</v>
      </c>
      <c r="D49" s="83"/>
      <c r="E49" s="69"/>
      <c r="F49" s="67"/>
      <c r="G49" s="190"/>
      <c r="H49" s="83">
        <f>SUM(H47:H48)</f>
        <v>6</v>
      </c>
      <c r="I49" s="83">
        <f>SUM(I47:I48)</f>
        <v>118800</v>
      </c>
      <c r="J49" s="68">
        <f>SUM(J47:J48)</f>
        <v>5940</v>
      </c>
      <c r="K49" s="93">
        <f>SUM(K47:K48)</f>
        <v>112860</v>
      </c>
      <c r="L49" s="71">
        <f>SUM(L47:L48)</f>
        <v>132000</v>
      </c>
    </row>
    <row r="51" spans="2:12" ht="16" thickBot="1">
      <c r="B51" s="135" t="s">
        <v>362</v>
      </c>
      <c r="D51" s="32" t="s">
        <v>366</v>
      </c>
      <c r="G51" s="46" t="s">
        <v>367</v>
      </c>
      <c r="K51" s="48" t="s">
        <v>76</v>
      </c>
    </row>
    <row r="52" spans="2:12">
      <c r="B52" s="136" t="s">
        <v>59</v>
      </c>
      <c r="C52" s="63" t="s">
        <v>60</v>
      </c>
      <c r="D52" s="63" t="s">
        <v>51</v>
      </c>
      <c r="E52" s="64" t="s">
        <v>242</v>
      </c>
      <c r="F52" s="63" t="s">
        <v>7</v>
      </c>
      <c r="G52" s="63" t="s">
        <v>365</v>
      </c>
      <c r="H52" s="63" t="s">
        <v>86</v>
      </c>
      <c r="I52" s="146" t="s">
        <v>57</v>
      </c>
      <c r="J52" s="63" t="s">
        <v>55</v>
      </c>
      <c r="K52" s="102" t="s">
        <v>146</v>
      </c>
      <c r="L52" s="65" t="s">
        <v>78</v>
      </c>
    </row>
    <row r="53" spans="2:12">
      <c r="B53" s="90">
        <v>1</v>
      </c>
      <c r="C53" s="40" t="s">
        <v>361</v>
      </c>
      <c r="D53" s="44">
        <v>22000</v>
      </c>
      <c r="E53" s="42">
        <f>D53-D53*F53</f>
        <v>16500</v>
      </c>
      <c r="F53" s="43">
        <v>0.25</v>
      </c>
      <c r="G53" s="43">
        <v>0.25</v>
      </c>
      <c r="H53" s="45">
        <f>'DB)카페24 (공구)'!D3</f>
        <v>16</v>
      </c>
      <c r="I53" s="39">
        <f>E53*H53</f>
        <v>264000</v>
      </c>
      <c r="J53" s="39">
        <f>I53*G53</f>
        <v>66000</v>
      </c>
      <c r="K53" s="52">
        <f>I53-J53</f>
        <v>198000</v>
      </c>
      <c r="L53" s="86">
        <f>D53*H53</f>
        <v>352000</v>
      </c>
    </row>
    <row r="54" spans="2:12">
      <c r="B54" s="90">
        <v>2</v>
      </c>
      <c r="C54" s="40" t="s">
        <v>363</v>
      </c>
      <c r="D54" s="44">
        <v>22000</v>
      </c>
      <c r="E54" s="42">
        <f>D54-D54*F54</f>
        <v>14960</v>
      </c>
      <c r="F54" s="43">
        <v>0.32</v>
      </c>
      <c r="G54" s="43">
        <v>0.25</v>
      </c>
      <c r="H54" s="45">
        <f>'DB)카페24 (공구)'!I4</f>
        <v>20</v>
      </c>
      <c r="I54" s="39">
        <f>E54*H54</f>
        <v>299200</v>
      </c>
      <c r="J54" s="39">
        <f>I54*G54</f>
        <v>74800</v>
      </c>
      <c r="K54" s="52">
        <f>I54-J54</f>
        <v>224400</v>
      </c>
      <c r="L54" s="86">
        <f>D54*H54</f>
        <v>440000</v>
      </c>
    </row>
    <row r="55" spans="2:12">
      <c r="B55" s="90">
        <v>3</v>
      </c>
      <c r="C55" s="40" t="s">
        <v>364</v>
      </c>
      <c r="D55" s="44">
        <v>22000</v>
      </c>
      <c r="E55" s="42">
        <f>D55-D55*F55</f>
        <v>14080</v>
      </c>
      <c r="F55" s="43">
        <v>0.36</v>
      </c>
      <c r="G55" s="43">
        <v>0.25</v>
      </c>
      <c r="H55" s="45">
        <f>'DB)카페24 (공구)'!I5</f>
        <v>9</v>
      </c>
      <c r="I55" s="39">
        <f>E55*H55</f>
        <v>126720</v>
      </c>
      <c r="J55" s="39">
        <f>I55*G55</f>
        <v>31680</v>
      </c>
      <c r="K55" s="52">
        <f>I55-J55</f>
        <v>95040</v>
      </c>
      <c r="L55" s="86">
        <f>D55*H55</f>
        <v>198000</v>
      </c>
    </row>
    <row r="56" spans="2:12" ht="16" thickBot="1">
      <c r="B56" s="91"/>
      <c r="C56" s="67" t="s">
        <v>61</v>
      </c>
      <c r="D56" s="83"/>
      <c r="E56" s="69"/>
      <c r="F56" s="67"/>
      <c r="G56" s="190"/>
      <c r="H56" s="83">
        <f>SUM(H53:H55)</f>
        <v>45</v>
      </c>
      <c r="I56" s="83">
        <f>SUM(I53:I55)</f>
        <v>689920</v>
      </c>
      <c r="J56" s="68">
        <f>SUM(J53:J55)</f>
        <v>172480</v>
      </c>
      <c r="K56" s="93">
        <f>SUM(K53:K55)</f>
        <v>517440</v>
      </c>
      <c r="L56" s="71">
        <f>SUM(L53:L55)</f>
        <v>990000</v>
      </c>
    </row>
    <row r="58" spans="2:12" ht="16" thickBot="1">
      <c r="B58" s="135" t="s">
        <v>249</v>
      </c>
      <c r="D58" s="32" t="s">
        <v>250</v>
      </c>
      <c r="G58" s="46" t="s">
        <v>243</v>
      </c>
      <c r="K58" s="48" t="s">
        <v>76</v>
      </c>
    </row>
    <row r="59" spans="2:12">
      <c r="B59" s="136" t="s">
        <v>59</v>
      </c>
      <c r="C59" s="63" t="s">
        <v>60</v>
      </c>
      <c r="D59" s="63" t="s">
        <v>51</v>
      </c>
      <c r="E59" s="64" t="s">
        <v>66</v>
      </c>
      <c r="F59" s="63" t="s">
        <v>7</v>
      </c>
      <c r="G59" s="63" t="s">
        <v>0</v>
      </c>
      <c r="H59" s="63" t="s">
        <v>86</v>
      </c>
      <c r="I59" s="146" t="s">
        <v>57</v>
      </c>
      <c r="J59" s="63" t="s">
        <v>55</v>
      </c>
      <c r="K59" s="102" t="s">
        <v>146</v>
      </c>
      <c r="L59" s="65" t="s">
        <v>78</v>
      </c>
    </row>
    <row r="60" spans="2:12">
      <c r="B60" s="90">
        <v>1</v>
      </c>
      <c r="C60" s="40" t="s">
        <v>49</v>
      </c>
      <c r="D60" s="44">
        <v>22000</v>
      </c>
      <c r="E60" s="42">
        <f>D60-D60*F60</f>
        <v>13200</v>
      </c>
      <c r="F60" s="43">
        <v>0.4</v>
      </c>
      <c r="G60" s="43">
        <v>0.05</v>
      </c>
      <c r="H60" s="45"/>
      <c r="I60" s="39">
        <f>E60*H60</f>
        <v>0</v>
      </c>
      <c r="J60" s="39">
        <f>I60*G60</f>
        <v>0</v>
      </c>
      <c r="K60" s="52">
        <f>I60-J60</f>
        <v>0</v>
      </c>
      <c r="L60" s="86">
        <f>D60*H60</f>
        <v>0</v>
      </c>
    </row>
    <row r="61" spans="2:12">
      <c r="B61" s="90">
        <v>2</v>
      </c>
      <c r="C61" s="40" t="s">
        <v>50</v>
      </c>
      <c r="D61" s="44">
        <v>22000</v>
      </c>
      <c r="E61" s="42">
        <f>D61-D61*F61</f>
        <v>13200</v>
      </c>
      <c r="F61" s="43">
        <v>0.4</v>
      </c>
      <c r="G61" s="43">
        <v>0.05</v>
      </c>
      <c r="H61" s="45">
        <v>10</v>
      </c>
      <c r="I61" s="39">
        <f>E61*H61</f>
        <v>132000</v>
      </c>
      <c r="J61" s="39">
        <f>I61*G61</f>
        <v>6600</v>
      </c>
      <c r="K61" s="52">
        <f>I61-J61</f>
        <v>125400</v>
      </c>
      <c r="L61" s="86">
        <f>D61*H61</f>
        <v>220000</v>
      </c>
    </row>
    <row r="62" spans="2:12" ht="16" thickBot="1">
      <c r="B62" s="91"/>
      <c r="C62" s="67" t="s">
        <v>61</v>
      </c>
      <c r="D62" s="83"/>
      <c r="E62" s="69"/>
      <c r="F62" s="67"/>
      <c r="G62" s="190"/>
      <c r="H62" s="83">
        <f>SUM(H60:H61)</f>
        <v>10</v>
      </c>
      <c r="I62" s="83">
        <f>SUM(I60:I61)</f>
        <v>132000</v>
      </c>
      <c r="J62" s="68">
        <f>SUM(J60:J61)</f>
        <v>6600</v>
      </c>
      <c r="K62" s="93">
        <f>SUM(K60:K61)</f>
        <v>125400</v>
      </c>
      <c r="L62" s="71">
        <f>SUM(L60:L61)</f>
        <v>220000</v>
      </c>
    </row>
    <row r="65" spans="2:12" ht="16" thickBot="1">
      <c r="B65" s="135" t="s">
        <v>74</v>
      </c>
      <c r="G65" s="46" t="s">
        <v>196</v>
      </c>
    </row>
    <row r="66" spans="2:12">
      <c r="B66" s="136" t="s">
        <v>59</v>
      </c>
      <c r="C66" s="63" t="s">
        <v>60</v>
      </c>
      <c r="D66" s="63" t="s">
        <v>51</v>
      </c>
      <c r="E66" s="64" t="s">
        <v>72</v>
      </c>
      <c r="F66" s="63" t="s">
        <v>7</v>
      </c>
      <c r="G66" s="63" t="s">
        <v>0</v>
      </c>
      <c r="H66" s="63" t="s">
        <v>86</v>
      </c>
      <c r="I66" s="146" t="s">
        <v>57</v>
      </c>
      <c r="J66" s="63" t="s">
        <v>55</v>
      </c>
      <c r="K66" s="102" t="s">
        <v>146</v>
      </c>
      <c r="L66" s="65" t="s">
        <v>78</v>
      </c>
    </row>
    <row r="67" spans="2:12">
      <c r="B67" s="90">
        <v>1</v>
      </c>
      <c r="C67" s="40" t="s">
        <v>49</v>
      </c>
      <c r="D67" s="44">
        <v>22000</v>
      </c>
      <c r="E67" s="42">
        <f>D67-D67*F67</f>
        <v>22000</v>
      </c>
      <c r="F67" s="43"/>
      <c r="G67" s="43">
        <v>0.3</v>
      </c>
      <c r="H67" s="40"/>
      <c r="I67" s="45">
        <f>E67*H67</f>
        <v>0</v>
      </c>
      <c r="J67" s="39">
        <f>E67*G67*H67</f>
        <v>0</v>
      </c>
      <c r="K67" s="52">
        <f>I67-J67</f>
        <v>0</v>
      </c>
      <c r="L67" s="86">
        <f>H67*D67</f>
        <v>0</v>
      </c>
    </row>
    <row r="68" spans="2:12">
      <c r="B68" s="90">
        <v>2</v>
      </c>
      <c r="C68" s="40" t="s">
        <v>50</v>
      </c>
      <c r="D68" s="44">
        <v>22000</v>
      </c>
      <c r="E68" s="42">
        <f>D68-D68*F68</f>
        <v>22000</v>
      </c>
      <c r="F68" s="43"/>
      <c r="G68" s="43">
        <v>0.3</v>
      </c>
      <c r="H68" s="40">
        <v>5</v>
      </c>
      <c r="I68" s="45">
        <f>E68*H68</f>
        <v>110000</v>
      </c>
      <c r="J68" s="39">
        <f>E68*G68*H68</f>
        <v>33000</v>
      </c>
      <c r="K68" s="52">
        <f>I68-J68</f>
        <v>77000</v>
      </c>
      <c r="L68" s="86">
        <f>H68*D68</f>
        <v>110000</v>
      </c>
    </row>
    <row r="69" spans="2:12" ht="16" thickBot="1">
      <c r="B69" s="91"/>
      <c r="C69" s="67" t="s">
        <v>61</v>
      </c>
      <c r="D69" s="83"/>
      <c r="E69" s="69"/>
      <c r="F69" s="67"/>
      <c r="G69" s="67"/>
      <c r="H69" s="67">
        <f>SUM(H67:H68)</f>
        <v>5</v>
      </c>
      <c r="I69" s="145">
        <f>SUM(I67:I68)</f>
        <v>110000</v>
      </c>
      <c r="J69" s="68">
        <f>SUM(J67:J68)</f>
        <v>33000</v>
      </c>
      <c r="K69" s="93">
        <f>SUM(K67:K68)</f>
        <v>77000</v>
      </c>
      <c r="L69" s="144">
        <f>SUM(L67:L68)</f>
        <v>110000</v>
      </c>
    </row>
    <row r="70" spans="2:12">
      <c r="B70" s="34"/>
      <c r="C70" s="34"/>
      <c r="D70" s="177"/>
      <c r="F70" s="34"/>
      <c r="G70" s="34"/>
      <c r="H70" s="34"/>
      <c r="I70" s="178"/>
      <c r="J70" s="179"/>
      <c r="K70" s="180"/>
      <c r="L70" s="179"/>
    </row>
    <row r="71" spans="2:12" ht="16" thickBot="1">
      <c r="B71" s="135" t="s">
        <v>226</v>
      </c>
      <c r="C71" s="32" t="s">
        <v>241</v>
      </c>
    </row>
    <row r="72" spans="2:12">
      <c r="B72" s="136" t="s">
        <v>59</v>
      </c>
      <c r="C72" s="63" t="s">
        <v>60</v>
      </c>
      <c r="D72" s="63" t="s">
        <v>51</v>
      </c>
      <c r="E72" s="64" t="s">
        <v>244</v>
      </c>
      <c r="F72" s="63" t="s">
        <v>0</v>
      </c>
      <c r="G72" s="63" t="s">
        <v>245</v>
      </c>
      <c r="H72" s="63" t="s">
        <v>86</v>
      </c>
      <c r="I72" s="146" t="s">
        <v>57</v>
      </c>
      <c r="J72" s="63" t="s">
        <v>55</v>
      </c>
      <c r="K72" s="102" t="s">
        <v>146</v>
      </c>
      <c r="L72" s="65" t="s">
        <v>78</v>
      </c>
    </row>
    <row r="73" spans="2:12">
      <c r="B73" s="90">
        <v>1</v>
      </c>
      <c r="C73" s="40" t="s">
        <v>49</v>
      </c>
      <c r="D73" s="44">
        <v>22000</v>
      </c>
      <c r="E73" s="42">
        <v>22000</v>
      </c>
      <c r="F73" s="43">
        <v>0.37</v>
      </c>
      <c r="G73" s="192">
        <f>E73*(63%)</f>
        <v>13860</v>
      </c>
      <c r="H73" s="40"/>
      <c r="I73" s="45">
        <f>E73*H73</f>
        <v>0</v>
      </c>
      <c r="J73" s="39">
        <f>I73*F73</f>
        <v>0</v>
      </c>
      <c r="K73" s="52">
        <f>I73-J73</f>
        <v>0</v>
      </c>
      <c r="L73" s="86">
        <f>H73*D73</f>
        <v>0</v>
      </c>
    </row>
    <row r="74" spans="2:12">
      <c r="B74" s="90">
        <v>2</v>
      </c>
      <c r="C74" s="40" t="s">
        <v>50</v>
      </c>
      <c r="D74" s="44">
        <v>22000</v>
      </c>
      <c r="E74" s="42">
        <v>22000</v>
      </c>
      <c r="F74" s="43">
        <v>0.37</v>
      </c>
      <c r="G74" s="192">
        <f>E74*(63%)</f>
        <v>13860</v>
      </c>
      <c r="H74" s="40">
        <v>4</v>
      </c>
      <c r="I74" s="45">
        <f>E74*H74</f>
        <v>88000</v>
      </c>
      <c r="J74" s="39">
        <f>I74*F74</f>
        <v>32560</v>
      </c>
      <c r="K74" s="52">
        <f>I74-J74</f>
        <v>55440</v>
      </c>
      <c r="L74" s="86">
        <f>H74*D74</f>
        <v>88000</v>
      </c>
    </row>
    <row r="75" spans="2:12" ht="16" thickBot="1">
      <c r="B75" s="91"/>
      <c r="C75" s="67" t="s">
        <v>61</v>
      </c>
      <c r="D75" s="83"/>
      <c r="E75" s="69"/>
      <c r="F75" s="67"/>
      <c r="G75" s="68"/>
      <c r="H75" s="67">
        <f>SUM(H73:H74)</f>
        <v>4</v>
      </c>
      <c r="I75" s="145">
        <f>SUM(I73:I74)</f>
        <v>88000</v>
      </c>
      <c r="J75" s="68">
        <f>SUM(J73:J74)</f>
        <v>32560</v>
      </c>
      <c r="K75" s="93">
        <f>SUM(K73:K74)</f>
        <v>55440</v>
      </c>
      <c r="L75" s="144">
        <f>SUM(L73:L74)</f>
        <v>88000</v>
      </c>
    </row>
    <row r="77" spans="2:12" ht="16" thickBot="1">
      <c r="B77" s="135" t="s">
        <v>696</v>
      </c>
      <c r="C77" s="32" t="s">
        <v>697</v>
      </c>
    </row>
    <row r="78" spans="2:12">
      <c r="B78" s="136" t="s">
        <v>59</v>
      </c>
      <c r="C78" s="63" t="s">
        <v>60</v>
      </c>
      <c r="D78" s="63" t="s">
        <v>51</v>
      </c>
      <c r="E78" s="64" t="s">
        <v>244</v>
      </c>
      <c r="F78" s="63" t="s">
        <v>698</v>
      </c>
      <c r="G78" s="63" t="s">
        <v>0</v>
      </c>
      <c r="H78" s="63" t="s">
        <v>86</v>
      </c>
      <c r="I78" s="146" t="s">
        <v>57</v>
      </c>
      <c r="J78" s="63" t="s">
        <v>55</v>
      </c>
      <c r="K78" s="102" t="s">
        <v>146</v>
      </c>
      <c r="L78" s="65" t="s">
        <v>78</v>
      </c>
    </row>
    <row r="79" spans="2:12">
      <c r="B79" s="90">
        <v>1</v>
      </c>
      <c r="C79" s="40" t="s">
        <v>49</v>
      </c>
      <c r="D79" s="44">
        <v>22000</v>
      </c>
      <c r="E79" s="42">
        <v>15000</v>
      </c>
      <c r="F79" s="44">
        <v>7000</v>
      </c>
      <c r="G79" s="372">
        <v>0.2</v>
      </c>
      <c r="H79" s="40">
        <v>14</v>
      </c>
      <c r="I79" s="45">
        <f>E79*H79</f>
        <v>210000</v>
      </c>
      <c r="J79" s="39">
        <f>I79*G79</f>
        <v>42000</v>
      </c>
      <c r="K79" s="52">
        <f>I79-J79</f>
        <v>168000</v>
      </c>
      <c r="L79" s="86">
        <f>H79*D79</f>
        <v>308000</v>
      </c>
    </row>
    <row r="80" spans="2:12">
      <c r="B80" s="90">
        <v>2</v>
      </c>
      <c r="C80" s="40" t="s">
        <v>50</v>
      </c>
      <c r="D80" s="44">
        <v>22000</v>
      </c>
      <c r="E80" s="42">
        <v>15000</v>
      </c>
      <c r="F80" s="44">
        <v>7000</v>
      </c>
      <c r="G80" s="372">
        <v>0.2</v>
      </c>
      <c r="H80" s="40">
        <v>2</v>
      </c>
      <c r="I80" s="45">
        <f>E80*H80</f>
        <v>30000</v>
      </c>
      <c r="J80" s="39">
        <f>I80*G80</f>
        <v>6000</v>
      </c>
      <c r="K80" s="52">
        <f>I80-J80</f>
        <v>24000</v>
      </c>
      <c r="L80" s="86">
        <f>H80*D80</f>
        <v>44000</v>
      </c>
    </row>
    <row r="81" spans="2:14" ht="16" thickBot="1">
      <c r="B81" s="91"/>
      <c r="C81" s="67" t="s">
        <v>61</v>
      </c>
      <c r="D81" s="83"/>
      <c r="E81" s="69"/>
      <c r="F81" s="67"/>
      <c r="G81" s="68"/>
      <c r="H81" s="67">
        <f>SUM(H79:H80)</f>
        <v>16</v>
      </c>
      <c r="I81" s="145">
        <f>SUM(I79:I80)</f>
        <v>240000</v>
      </c>
      <c r="J81" s="68">
        <f>SUM(J79:J80)</f>
        <v>48000</v>
      </c>
      <c r="K81" s="93">
        <f>SUM(K79:K80)</f>
        <v>192000</v>
      </c>
      <c r="L81" s="144">
        <f>SUM(L79:L80)</f>
        <v>352000</v>
      </c>
    </row>
    <row r="83" spans="2:14">
      <c r="J83" s="38" t="s">
        <v>80</v>
      </c>
      <c r="K83" s="191">
        <f>G8+M15+H49+G22+H28+H35+G42+H62+H69+H75+H56+G15+H81</f>
        <v>117</v>
      </c>
      <c r="L83" s="38" t="s">
        <v>81</v>
      </c>
    </row>
    <row r="84" spans="2:14">
      <c r="J84" s="38" t="s">
        <v>79</v>
      </c>
      <c r="K84" s="60">
        <f>L8+L15+L49+L22+L28+L35+L42+L62+L69+L75+L56+L81</f>
        <v>2574000</v>
      </c>
      <c r="L84" s="38" t="s">
        <v>82</v>
      </c>
    </row>
    <row r="85" spans="2:14">
      <c r="J85" s="38" t="s">
        <v>57</v>
      </c>
      <c r="K85" s="60">
        <f>I8+I28+I49+H15+I35+I42+I62+I69+I75+I56+I81+I22</f>
        <v>2049720</v>
      </c>
      <c r="L85" s="38" t="s">
        <v>83</v>
      </c>
    </row>
    <row r="86" spans="2:14">
      <c r="J86" s="38" t="s">
        <v>77</v>
      </c>
      <c r="K86" s="60">
        <f>J8+J22+J49+J15+J28+J35+J42+J62+J69+J75+J56+J81</f>
        <v>576330</v>
      </c>
      <c r="L86" s="38" t="s">
        <v>84</v>
      </c>
    </row>
    <row r="87" spans="2:14">
      <c r="J87" s="61" t="s">
        <v>146</v>
      </c>
      <c r="K87" s="62">
        <f>K8+K15+K49+K22+K28+K35+K42+K62+K69+K75+K56+K81</f>
        <v>1473390</v>
      </c>
      <c r="L87" s="38" t="s">
        <v>85</v>
      </c>
    </row>
    <row r="89" spans="2:14">
      <c r="N89" s="202">
        <f>K85-K86-K87</f>
        <v>0</v>
      </c>
    </row>
  </sheetData>
  <phoneticPr fontId="19" type="noConversion"/>
  <pageMargins left="0.7" right="0.7" top="0.75" bottom="0.75" header="0.3" footer="0.3"/>
  <ignoredErrors>
    <ignoredError sqref="J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AD6F-5738-1947-9B50-3A1AE5675CA0}">
  <dimension ref="A1:R56"/>
  <sheetViews>
    <sheetView workbookViewId="0">
      <selection activeCell="I4" sqref="I4"/>
    </sheetView>
  </sheetViews>
  <sheetFormatPr baseColWidth="10" defaultRowHeight="17"/>
  <cols>
    <col min="2" max="2" width="9.5" bestFit="1" customWidth="1"/>
    <col min="3" max="3" width="20.33203125" customWidth="1"/>
    <col min="4" max="4" width="6.83203125" customWidth="1"/>
    <col min="5" max="5" width="15.83203125" style="29" customWidth="1"/>
    <col min="6" max="6" width="43.1640625" customWidth="1"/>
    <col min="8" max="8" width="10.1640625" style="30" customWidth="1"/>
    <col min="9" max="9" width="10.83203125" customWidth="1"/>
    <col min="10" max="10" width="10.83203125" style="30"/>
    <col min="11" max="11" width="10.83203125" customWidth="1"/>
    <col min="13" max="13" width="15.33203125" bestFit="1" customWidth="1"/>
    <col min="14" max="15" width="0" style="30" hidden="1" customWidth="1"/>
    <col min="16" max="16" width="0" hidden="1" customWidth="1"/>
    <col min="17" max="17" width="10.83203125" style="25"/>
    <col min="18" max="18" width="28.1640625" style="25" bestFit="1" customWidth="1"/>
  </cols>
  <sheetData>
    <row r="1" spans="1:18" ht="30">
      <c r="C1" s="246" t="s">
        <v>192</v>
      </c>
      <c r="D1" s="239"/>
      <c r="E1" s="247"/>
      <c r="F1" s="239" t="s">
        <v>269</v>
      </c>
      <c r="G1" s="239"/>
      <c r="H1" s="248" t="s">
        <v>356</v>
      </c>
      <c r="I1" s="249" t="s">
        <v>355</v>
      </c>
    </row>
    <row r="2" spans="1:18">
      <c r="C2" s="373">
        <v>50</v>
      </c>
      <c r="D2" s="223"/>
      <c r="E2" s="245"/>
      <c r="F2" s="244" t="s">
        <v>312</v>
      </c>
      <c r="G2" s="223"/>
      <c r="H2" s="238">
        <v>0</v>
      </c>
      <c r="I2" s="250">
        <v>6</v>
      </c>
      <c r="J2" s="134"/>
    </row>
    <row r="3" spans="1:18" ht="18" thickBot="1">
      <c r="C3" s="374"/>
      <c r="D3" s="251"/>
      <c r="E3" s="252"/>
      <c r="F3" s="253" t="s">
        <v>333</v>
      </c>
      <c r="G3" s="251"/>
      <c r="H3" s="254">
        <v>0</v>
      </c>
      <c r="I3" s="255">
        <v>89</v>
      </c>
    </row>
    <row r="4" spans="1:18">
      <c r="H4" s="143">
        <f>SUBTOTAL(9,H2:H3)</f>
        <v>0</v>
      </c>
      <c r="I4" s="143">
        <f>SUBTOTAL(9,I2:I3)</f>
        <v>95</v>
      </c>
    </row>
    <row r="7" spans="1:18">
      <c r="A7" s="149" t="s">
        <v>150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164</v>
      </c>
      <c r="I7" t="s">
        <v>217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688</v>
      </c>
    </row>
    <row r="8" spans="1:18">
      <c r="A8" s="149">
        <v>1</v>
      </c>
      <c r="B8" s="28">
        <v>46171</v>
      </c>
      <c r="C8" t="s">
        <v>636</v>
      </c>
      <c r="D8" t="s">
        <v>39</v>
      </c>
      <c r="E8">
        <v>8809879544118</v>
      </c>
      <c r="F8" t="s">
        <v>23</v>
      </c>
      <c r="G8" t="s">
        <v>40</v>
      </c>
      <c r="H8" s="369">
        <v>8810000000000</v>
      </c>
      <c r="I8">
        <v>0</v>
      </c>
      <c r="J8">
        <v>0</v>
      </c>
      <c r="K8">
        <v>0</v>
      </c>
      <c r="L8">
        <v>1</v>
      </c>
      <c r="M8">
        <v>0</v>
      </c>
      <c r="N8" t="s">
        <v>41</v>
      </c>
      <c r="O8" t="s">
        <v>337</v>
      </c>
      <c r="P8">
        <v>22000</v>
      </c>
      <c r="Q8">
        <v>22000</v>
      </c>
      <c r="R8" t="s">
        <v>689</v>
      </c>
    </row>
    <row r="9" spans="1:18">
      <c r="A9" s="149">
        <v>3</v>
      </c>
      <c r="B9" s="28">
        <v>46168</v>
      </c>
      <c r="C9" t="s">
        <v>637</v>
      </c>
      <c r="D9" t="s">
        <v>39</v>
      </c>
      <c r="E9">
        <v>8809879544101</v>
      </c>
      <c r="F9" t="s">
        <v>24</v>
      </c>
      <c r="G9" t="s">
        <v>40</v>
      </c>
      <c r="H9" s="369">
        <v>8809880000000</v>
      </c>
      <c r="I9">
        <v>0</v>
      </c>
      <c r="J9">
        <v>0</v>
      </c>
      <c r="K9">
        <v>0</v>
      </c>
      <c r="L9">
        <v>3</v>
      </c>
      <c r="M9">
        <v>0</v>
      </c>
      <c r="N9" t="s">
        <v>41</v>
      </c>
      <c r="O9" t="s">
        <v>247</v>
      </c>
      <c r="P9">
        <v>22000</v>
      </c>
      <c r="Q9">
        <v>66000</v>
      </c>
      <c r="R9" t="s">
        <v>689</v>
      </c>
    </row>
    <row r="10" spans="1:18">
      <c r="A10" s="149">
        <v>4</v>
      </c>
      <c r="B10" s="28">
        <v>46164</v>
      </c>
      <c r="C10" t="s">
        <v>638</v>
      </c>
      <c r="D10" t="s">
        <v>39</v>
      </c>
      <c r="E10">
        <v>8809879544101</v>
      </c>
      <c r="F10" t="s">
        <v>24</v>
      </c>
      <c r="G10" t="s">
        <v>40</v>
      </c>
      <c r="H10" s="369">
        <v>8809880000000</v>
      </c>
      <c r="I10">
        <v>0</v>
      </c>
      <c r="J10">
        <v>0</v>
      </c>
      <c r="K10">
        <v>0</v>
      </c>
      <c r="L10">
        <v>1</v>
      </c>
      <c r="M10">
        <v>0</v>
      </c>
      <c r="N10" t="s">
        <v>41</v>
      </c>
      <c r="O10" t="s">
        <v>248</v>
      </c>
      <c r="P10">
        <v>22000</v>
      </c>
      <c r="Q10">
        <v>22000</v>
      </c>
      <c r="R10" t="s">
        <v>689</v>
      </c>
    </row>
    <row r="11" spans="1:18">
      <c r="A11" s="149">
        <v>5</v>
      </c>
      <c r="B11" s="28">
        <v>46164</v>
      </c>
      <c r="C11" t="s">
        <v>638</v>
      </c>
      <c r="D11" t="s">
        <v>39</v>
      </c>
      <c r="E11">
        <v>8809879544118</v>
      </c>
      <c r="F11" t="s">
        <v>23</v>
      </c>
      <c r="G11" t="s">
        <v>40</v>
      </c>
      <c r="H11" s="369">
        <v>8810000000000</v>
      </c>
      <c r="I11">
        <v>0</v>
      </c>
      <c r="J11">
        <v>0</v>
      </c>
      <c r="K11">
        <v>0</v>
      </c>
      <c r="L11">
        <v>1</v>
      </c>
      <c r="M11">
        <v>0</v>
      </c>
      <c r="N11" t="s">
        <v>41</v>
      </c>
      <c r="O11" t="s">
        <v>248</v>
      </c>
      <c r="P11">
        <v>22000</v>
      </c>
      <c r="Q11">
        <v>22000</v>
      </c>
      <c r="R11" t="s">
        <v>689</v>
      </c>
    </row>
    <row r="12" spans="1:18">
      <c r="A12" s="149">
        <v>6</v>
      </c>
      <c r="B12" s="28">
        <v>46161</v>
      </c>
      <c r="C12" t="s">
        <v>641</v>
      </c>
      <c r="D12" t="s">
        <v>39</v>
      </c>
      <c r="E12">
        <v>8809879544101</v>
      </c>
      <c r="F12" t="s">
        <v>24</v>
      </c>
      <c r="G12" t="s">
        <v>40</v>
      </c>
      <c r="H12" s="369">
        <v>8809880000000</v>
      </c>
      <c r="I12">
        <v>0</v>
      </c>
      <c r="J12">
        <v>0</v>
      </c>
      <c r="K12">
        <v>0</v>
      </c>
      <c r="L12">
        <v>1</v>
      </c>
      <c r="M12">
        <v>0</v>
      </c>
      <c r="N12" t="s">
        <v>41</v>
      </c>
      <c r="O12" t="s">
        <v>337</v>
      </c>
      <c r="P12">
        <v>22000</v>
      </c>
      <c r="Q12">
        <v>22000</v>
      </c>
      <c r="R12" t="s">
        <v>689</v>
      </c>
    </row>
    <row r="13" spans="1:18">
      <c r="A13" s="149">
        <v>7</v>
      </c>
      <c r="B13" s="28">
        <v>46161</v>
      </c>
      <c r="C13" t="s">
        <v>640</v>
      </c>
      <c r="D13" t="s">
        <v>39</v>
      </c>
      <c r="E13">
        <v>8809879544101</v>
      </c>
      <c r="F13" t="s">
        <v>24</v>
      </c>
      <c r="G13" t="s">
        <v>40</v>
      </c>
      <c r="H13" s="369">
        <v>8809880000000</v>
      </c>
      <c r="I13">
        <v>0</v>
      </c>
      <c r="J13">
        <v>0</v>
      </c>
      <c r="K13">
        <v>0</v>
      </c>
      <c r="L13">
        <v>1</v>
      </c>
      <c r="M13">
        <v>0</v>
      </c>
      <c r="N13" t="s">
        <v>41</v>
      </c>
      <c r="O13" t="s">
        <v>248</v>
      </c>
      <c r="P13">
        <v>22000</v>
      </c>
      <c r="Q13">
        <v>22000</v>
      </c>
      <c r="R13" t="s">
        <v>689</v>
      </c>
    </row>
    <row r="14" spans="1:18">
      <c r="A14" s="149">
        <v>8</v>
      </c>
      <c r="B14" s="28">
        <v>46160</v>
      </c>
      <c r="C14" t="s">
        <v>647</v>
      </c>
      <c r="D14" t="s">
        <v>39</v>
      </c>
      <c r="E14">
        <v>8809879544101</v>
      </c>
      <c r="F14" t="s">
        <v>24</v>
      </c>
      <c r="G14" t="s">
        <v>40</v>
      </c>
      <c r="H14" s="369">
        <v>8809880000000</v>
      </c>
      <c r="I14">
        <v>0</v>
      </c>
      <c r="J14">
        <v>0</v>
      </c>
      <c r="K14">
        <v>0</v>
      </c>
      <c r="L14">
        <v>1</v>
      </c>
      <c r="M14">
        <v>0</v>
      </c>
      <c r="N14" t="s">
        <v>41</v>
      </c>
      <c r="O14" t="s">
        <v>338</v>
      </c>
      <c r="P14">
        <v>22000</v>
      </c>
      <c r="Q14">
        <v>22000</v>
      </c>
      <c r="R14" t="s">
        <v>689</v>
      </c>
    </row>
    <row r="15" spans="1:18">
      <c r="A15" s="149">
        <v>9</v>
      </c>
      <c r="B15" s="28">
        <v>46160</v>
      </c>
      <c r="C15" t="s">
        <v>649</v>
      </c>
      <c r="D15" t="s">
        <v>39</v>
      </c>
      <c r="E15">
        <v>8809879544101</v>
      </c>
      <c r="F15" t="s">
        <v>24</v>
      </c>
      <c r="G15" t="s">
        <v>40</v>
      </c>
      <c r="H15" s="369">
        <v>8809880000000</v>
      </c>
      <c r="I15">
        <v>0</v>
      </c>
      <c r="J15">
        <v>0</v>
      </c>
      <c r="K15">
        <v>0</v>
      </c>
      <c r="L15">
        <v>1</v>
      </c>
      <c r="M15">
        <v>0</v>
      </c>
      <c r="N15" t="s">
        <v>41</v>
      </c>
      <c r="O15" t="s">
        <v>247</v>
      </c>
      <c r="P15">
        <v>22000</v>
      </c>
      <c r="Q15">
        <v>22000</v>
      </c>
      <c r="R15" t="s">
        <v>689</v>
      </c>
    </row>
    <row r="16" spans="1:18">
      <c r="A16" s="149">
        <v>10</v>
      </c>
      <c r="B16" s="28">
        <v>46160</v>
      </c>
      <c r="C16" t="s">
        <v>644</v>
      </c>
      <c r="D16" t="s">
        <v>39</v>
      </c>
      <c r="E16">
        <v>8809879544101</v>
      </c>
      <c r="F16" t="s">
        <v>24</v>
      </c>
      <c r="G16" t="s">
        <v>40</v>
      </c>
      <c r="H16" s="369">
        <v>8809880000000</v>
      </c>
      <c r="I16">
        <v>0</v>
      </c>
      <c r="J16">
        <v>0</v>
      </c>
      <c r="K16">
        <v>0</v>
      </c>
      <c r="L16">
        <v>1</v>
      </c>
      <c r="M16">
        <v>0</v>
      </c>
      <c r="N16" t="s">
        <v>41</v>
      </c>
      <c r="O16" t="s">
        <v>247</v>
      </c>
      <c r="P16">
        <v>22000</v>
      </c>
      <c r="Q16">
        <v>22000</v>
      </c>
      <c r="R16" t="s">
        <v>689</v>
      </c>
    </row>
    <row r="17" spans="1:18">
      <c r="A17" s="149">
        <v>11</v>
      </c>
      <c r="B17" s="28">
        <v>46160</v>
      </c>
      <c r="C17" t="s">
        <v>645</v>
      </c>
      <c r="D17" t="s">
        <v>39</v>
      </c>
      <c r="E17">
        <v>8809879544101</v>
      </c>
      <c r="F17" t="s">
        <v>24</v>
      </c>
      <c r="G17" t="s">
        <v>40</v>
      </c>
      <c r="H17" s="369">
        <v>8809880000000</v>
      </c>
      <c r="I17">
        <v>0</v>
      </c>
      <c r="J17">
        <v>0</v>
      </c>
      <c r="K17">
        <v>0</v>
      </c>
      <c r="L17">
        <v>1</v>
      </c>
      <c r="M17">
        <v>0</v>
      </c>
      <c r="N17" t="s">
        <v>41</v>
      </c>
      <c r="O17" t="s">
        <v>247</v>
      </c>
      <c r="P17">
        <v>22000</v>
      </c>
      <c r="Q17">
        <v>22000</v>
      </c>
      <c r="R17" t="s">
        <v>689</v>
      </c>
    </row>
    <row r="18" spans="1:18">
      <c r="A18" s="149">
        <v>12</v>
      </c>
      <c r="B18" s="28">
        <v>46160</v>
      </c>
      <c r="C18" t="s">
        <v>646</v>
      </c>
      <c r="D18" t="s">
        <v>39</v>
      </c>
      <c r="E18">
        <v>8809879544101</v>
      </c>
      <c r="F18" t="s">
        <v>24</v>
      </c>
      <c r="G18" t="s">
        <v>40</v>
      </c>
      <c r="H18" s="369">
        <v>8809880000000</v>
      </c>
      <c r="I18">
        <v>0</v>
      </c>
      <c r="J18">
        <v>0</v>
      </c>
      <c r="K18">
        <v>0</v>
      </c>
      <c r="L18">
        <v>1</v>
      </c>
      <c r="M18">
        <v>0</v>
      </c>
      <c r="N18" t="s">
        <v>41</v>
      </c>
      <c r="O18" t="s">
        <v>247</v>
      </c>
      <c r="P18">
        <v>22000</v>
      </c>
      <c r="Q18">
        <v>22000</v>
      </c>
      <c r="R18" t="s">
        <v>689</v>
      </c>
    </row>
    <row r="19" spans="1:18">
      <c r="A19" s="149">
        <v>13</v>
      </c>
      <c r="B19" s="28">
        <v>46160</v>
      </c>
      <c r="C19" t="s">
        <v>643</v>
      </c>
      <c r="D19" t="s">
        <v>39</v>
      </c>
      <c r="E19">
        <v>8809879544101</v>
      </c>
      <c r="F19" t="s">
        <v>24</v>
      </c>
      <c r="G19" t="s">
        <v>40</v>
      </c>
      <c r="H19" s="369">
        <v>8809880000000</v>
      </c>
      <c r="I19">
        <v>0</v>
      </c>
      <c r="J19">
        <v>0</v>
      </c>
      <c r="K19">
        <v>0</v>
      </c>
      <c r="L19">
        <v>2</v>
      </c>
      <c r="M19">
        <v>0</v>
      </c>
      <c r="N19" t="s">
        <v>41</v>
      </c>
      <c r="O19" t="s">
        <v>247</v>
      </c>
      <c r="P19">
        <v>22000</v>
      </c>
      <c r="Q19">
        <v>44000</v>
      </c>
      <c r="R19" t="s">
        <v>689</v>
      </c>
    </row>
    <row r="20" spans="1:18">
      <c r="A20" s="149">
        <v>14</v>
      </c>
      <c r="B20" s="28">
        <v>46160</v>
      </c>
      <c r="C20" t="s">
        <v>648</v>
      </c>
      <c r="D20" t="s">
        <v>39</v>
      </c>
      <c r="E20">
        <v>8809879544101</v>
      </c>
      <c r="F20" t="s">
        <v>24</v>
      </c>
      <c r="G20" t="s">
        <v>40</v>
      </c>
      <c r="H20" s="369">
        <v>8809880000000</v>
      </c>
      <c r="I20">
        <v>0</v>
      </c>
      <c r="J20">
        <v>0</v>
      </c>
      <c r="K20">
        <v>0</v>
      </c>
      <c r="L20">
        <v>2</v>
      </c>
      <c r="M20">
        <v>0</v>
      </c>
      <c r="N20" t="s">
        <v>41</v>
      </c>
      <c r="O20" t="s">
        <v>247</v>
      </c>
      <c r="P20">
        <v>22000</v>
      </c>
      <c r="Q20">
        <v>44000</v>
      </c>
      <c r="R20" t="s">
        <v>689</v>
      </c>
    </row>
    <row r="21" spans="1:18">
      <c r="A21" s="149">
        <v>15</v>
      </c>
      <c r="B21" s="28">
        <v>46157</v>
      </c>
      <c r="C21" t="s">
        <v>655</v>
      </c>
      <c r="D21" t="s">
        <v>39</v>
      </c>
      <c r="E21">
        <v>8809879544101</v>
      </c>
      <c r="F21" t="s">
        <v>24</v>
      </c>
      <c r="G21" t="s">
        <v>40</v>
      </c>
      <c r="H21" s="369">
        <v>8809880000000</v>
      </c>
      <c r="I21">
        <v>0</v>
      </c>
      <c r="J21">
        <v>0</v>
      </c>
      <c r="K21">
        <v>0</v>
      </c>
      <c r="L21">
        <v>9</v>
      </c>
      <c r="M21">
        <v>0</v>
      </c>
      <c r="N21" t="s">
        <v>41</v>
      </c>
      <c r="O21" t="s">
        <v>248</v>
      </c>
      <c r="P21">
        <v>22000</v>
      </c>
      <c r="Q21">
        <v>198000</v>
      </c>
      <c r="R21" t="s">
        <v>689</v>
      </c>
    </row>
    <row r="22" spans="1:18">
      <c r="A22" s="149">
        <v>16</v>
      </c>
      <c r="B22" s="28">
        <v>46157</v>
      </c>
      <c r="C22" t="s">
        <v>650</v>
      </c>
      <c r="D22" t="s">
        <v>39</v>
      </c>
      <c r="E22">
        <v>8809879544101</v>
      </c>
      <c r="F22" t="s">
        <v>24</v>
      </c>
      <c r="G22" t="s">
        <v>40</v>
      </c>
      <c r="H22" s="369">
        <v>8809880000000</v>
      </c>
      <c r="I22">
        <v>0</v>
      </c>
      <c r="J22">
        <v>0</v>
      </c>
      <c r="K22">
        <v>0</v>
      </c>
      <c r="L22">
        <v>2</v>
      </c>
      <c r="M22">
        <v>0</v>
      </c>
      <c r="N22" t="s">
        <v>41</v>
      </c>
      <c r="O22" t="s">
        <v>247</v>
      </c>
      <c r="P22">
        <v>22000</v>
      </c>
      <c r="Q22">
        <v>44000</v>
      </c>
      <c r="R22" t="s">
        <v>689</v>
      </c>
    </row>
    <row r="23" spans="1:18">
      <c r="A23" s="149">
        <v>17</v>
      </c>
      <c r="B23" s="28">
        <v>46157</v>
      </c>
      <c r="C23" t="s">
        <v>651</v>
      </c>
      <c r="D23" t="s">
        <v>39</v>
      </c>
      <c r="E23">
        <v>8809879544101</v>
      </c>
      <c r="F23" t="s">
        <v>24</v>
      </c>
      <c r="G23" t="s">
        <v>40</v>
      </c>
      <c r="H23" s="369">
        <v>8809880000000</v>
      </c>
      <c r="I23">
        <v>0</v>
      </c>
      <c r="J23">
        <v>0</v>
      </c>
      <c r="K23">
        <v>0</v>
      </c>
      <c r="L23">
        <v>2</v>
      </c>
      <c r="M23">
        <v>0</v>
      </c>
      <c r="N23" t="s">
        <v>41</v>
      </c>
      <c r="O23" t="s">
        <v>247</v>
      </c>
      <c r="P23">
        <v>22000</v>
      </c>
      <c r="Q23">
        <v>44000</v>
      </c>
      <c r="R23" t="s">
        <v>689</v>
      </c>
    </row>
    <row r="24" spans="1:18">
      <c r="A24" s="149">
        <v>18</v>
      </c>
      <c r="B24" s="28">
        <v>46157</v>
      </c>
      <c r="C24" t="s">
        <v>652</v>
      </c>
      <c r="D24" t="s">
        <v>39</v>
      </c>
      <c r="E24">
        <v>8809879544101</v>
      </c>
      <c r="F24" t="s">
        <v>24</v>
      </c>
      <c r="G24" t="s">
        <v>40</v>
      </c>
      <c r="H24" s="369">
        <v>8809880000000</v>
      </c>
      <c r="I24">
        <v>0</v>
      </c>
      <c r="J24">
        <v>0</v>
      </c>
      <c r="K24">
        <v>0</v>
      </c>
      <c r="L24">
        <v>2</v>
      </c>
      <c r="M24">
        <v>0</v>
      </c>
      <c r="N24" t="s">
        <v>41</v>
      </c>
      <c r="O24" t="s">
        <v>247</v>
      </c>
      <c r="P24">
        <v>22000</v>
      </c>
      <c r="Q24">
        <v>44000</v>
      </c>
      <c r="R24" t="s">
        <v>689</v>
      </c>
    </row>
    <row r="25" spans="1:18">
      <c r="A25" s="149">
        <v>19</v>
      </c>
      <c r="B25" s="28">
        <v>46157</v>
      </c>
      <c r="C25" t="s">
        <v>653</v>
      </c>
      <c r="D25" t="s">
        <v>39</v>
      </c>
      <c r="E25">
        <v>8809879544101</v>
      </c>
      <c r="F25" t="s">
        <v>24</v>
      </c>
      <c r="G25" t="s">
        <v>40</v>
      </c>
      <c r="H25" s="369">
        <v>8809880000000</v>
      </c>
      <c r="I25">
        <v>0</v>
      </c>
      <c r="J25">
        <v>0</v>
      </c>
      <c r="K25">
        <v>0</v>
      </c>
      <c r="L25">
        <v>2</v>
      </c>
      <c r="M25">
        <v>0</v>
      </c>
      <c r="N25" t="s">
        <v>41</v>
      </c>
      <c r="O25" t="s">
        <v>247</v>
      </c>
      <c r="P25">
        <v>22000</v>
      </c>
      <c r="Q25">
        <v>44000</v>
      </c>
      <c r="R25" t="s">
        <v>689</v>
      </c>
    </row>
    <row r="26" spans="1:18">
      <c r="A26" s="149">
        <v>20</v>
      </c>
      <c r="B26" s="28">
        <v>46157</v>
      </c>
      <c r="C26" t="s">
        <v>654</v>
      </c>
      <c r="D26" t="s">
        <v>39</v>
      </c>
      <c r="E26">
        <v>8809879544101</v>
      </c>
      <c r="F26" t="s">
        <v>24</v>
      </c>
      <c r="G26" t="s">
        <v>40</v>
      </c>
      <c r="H26" s="369">
        <v>8809880000000</v>
      </c>
      <c r="I26">
        <v>0</v>
      </c>
      <c r="J26">
        <v>0</v>
      </c>
      <c r="K26">
        <v>0</v>
      </c>
      <c r="L26">
        <v>1</v>
      </c>
      <c r="M26">
        <v>0</v>
      </c>
      <c r="N26" t="s">
        <v>41</v>
      </c>
      <c r="O26" t="s">
        <v>247</v>
      </c>
      <c r="P26">
        <v>22000</v>
      </c>
      <c r="Q26">
        <v>22000</v>
      </c>
      <c r="R26" t="s">
        <v>689</v>
      </c>
    </row>
    <row r="27" spans="1:18">
      <c r="A27" s="149">
        <v>21</v>
      </c>
      <c r="B27" s="28">
        <v>46156</v>
      </c>
      <c r="C27" t="s">
        <v>657</v>
      </c>
      <c r="D27" t="s">
        <v>39</v>
      </c>
      <c r="E27">
        <v>8809879544101</v>
      </c>
      <c r="F27" t="s">
        <v>24</v>
      </c>
      <c r="G27" t="s">
        <v>40</v>
      </c>
      <c r="H27" s="369">
        <v>8809880000000</v>
      </c>
      <c r="I27">
        <v>0</v>
      </c>
      <c r="J27">
        <v>0</v>
      </c>
      <c r="K27">
        <v>0</v>
      </c>
      <c r="L27">
        <v>1</v>
      </c>
      <c r="M27">
        <v>0</v>
      </c>
      <c r="N27" t="s">
        <v>41</v>
      </c>
      <c r="O27" t="s">
        <v>247</v>
      </c>
      <c r="P27">
        <v>22000</v>
      </c>
      <c r="Q27">
        <v>22000</v>
      </c>
      <c r="R27" t="s">
        <v>689</v>
      </c>
    </row>
    <row r="28" spans="1:18">
      <c r="A28" s="149">
        <v>22</v>
      </c>
      <c r="B28" s="28">
        <v>46156</v>
      </c>
      <c r="C28" t="s">
        <v>662</v>
      </c>
      <c r="D28" t="s">
        <v>39</v>
      </c>
      <c r="E28">
        <v>8809879544101</v>
      </c>
      <c r="F28" t="s">
        <v>24</v>
      </c>
      <c r="G28" t="s">
        <v>40</v>
      </c>
      <c r="H28" s="369">
        <v>8809880000000</v>
      </c>
      <c r="I28">
        <v>0</v>
      </c>
      <c r="J28">
        <v>0</v>
      </c>
      <c r="K28">
        <v>0</v>
      </c>
      <c r="L28">
        <v>20</v>
      </c>
      <c r="M28">
        <v>0</v>
      </c>
      <c r="N28" t="s">
        <v>41</v>
      </c>
      <c r="O28" t="s">
        <v>248</v>
      </c>
      <c r="P28">
        <v>22000</v>
      </c>
      <c r="Q28">
        <v>440000</v>
      </c>
      <c r="R28" t="s">
        <v>689</v>
      </c>
    </row>
    <row r="29" spans="1:18">
      <c r="A29" s="149">
        <v>23</v>
      </c>
      <c r="B29" s="28">
        <v>46156</v>
      </c>
      <c r="C29" t="s">
        <v>656</v>
      </c>
      <c r="D29" t="s">
        <v>39</v>
      </c>
      <c r="E29">
        <v>8809879544101</v>
      </c>
      <c r="F29" t="s">
        <v>24</v>
      </c>
      <c r="G29" t="s">
        <v>40</v>
      </c>
      <c r="H29" s="369">
        <v>8809880000000</v>
      </c>
      <c r="I29">
        <v>0</v>
      </c>
      <c r="J29">
        <v>0</v>
      </c>
      <c r="K29">
        <v>0</v>
      </c>
      <c r="L29">
        <v>3</v>
      </c>
      <c r="M29">
        <v>0</v>
      </c>
      <c r="N29" t="s">
        <v>41</v>
      </c>
      <c r="O29" t="s">
        <v>247</v>
      </c>
      <c r="P29">
        <v>22000</v>
      </c>
      <c r="Q29">
        <v>66000</v>
      </c>
      <c r="R29" t="s">
        <v>689</v>
      </c>
    </row>
    <row r="30" spans="1:18">
      <c r="A30" s="149">
        <v>24</v>
      </c>
      <c r="B30" s="28">
        <v>46156</v>
      </c>
      <c r="C30" t="s">
        <v>661</v>
      </c>
      <c r="D30" t="s">
        <v>39</v>
      </c>
      <c r="E30">
        <v>8809879544101</v>
      </c>
      <c r="F30" t="s">
        <v>24</v>
      </c>
      <c r="G30" t="s">
        <v>40</v>
      </c>
      <c r="H30" s="369">
        <v>8809880000000</v>
      </c>
      <c r="I30">
        <v>0</v>
      </c>
      <c r="J30">
        <v>0</v>
      </c>
      <c r="K30">
        <v>0</v>
      </c>
      <c r="L30">
        <v>2</v>
      </c>
      <c r="M30">
        <v>0</v>
      </c>
      <c r="N30" t="s">
        <v>41</v>
      </c>
      <c r="O30" t="s">
        <v>247</v>
      </c>
      <c r="P30">
        <v>22000</v>
      </c>
      <c r="Q30">
        <v>44000</v>
      </c>
      <c r="R30" t="s">
        <v>689</v>
      </c>
    </row>
    <row r="31" spans="1:18">
      <c r="A31" s="149">
        <v>25</v>
      </c>
      <c r="B31" s="28">
        <v>46156</v>
      </c>
      <c r="C31" t="s">
        <v>658</v>
      </c>
      <c r="D31" t="s">
        <v>39</v>
      </c>
      <c r="E31">
        <v>8809879544101</v>
      </c>
      <c r="F31" t="s">
        <v>24</v>
      </c>
      <c r="G31" t="s">
        <v>40</v>
      </c>
      <c r="H31" s="369">
        <v>8809880000000</v>
      </c>
      <c r="I31">
        <v>0</v>
      </c>
      <c r="J31">
        <v>0</v>
      </c>
      <c r="K31">
        <v>0</v>
      </c>
      <c r="L31">
        <v>1</v>
      </c>
      <c r="M31">
        <v>0</v>
      </c>
      <c r="N31" t="s">
        <v>41</v>
      </c>
      <c r="O31" t="s">
        <v>247</v>
      </c>
      <c r="P31">
        <v>22000</v>
      </c>
      <c r="Q31">
        <v>22000</v>
      </c>
      <c r="R31" t="s">
        <v>689</v>
      </c>
    </row>
    <row r="32" spans="1:18">
      <c r="A32" s="149">
        <v>26</v>
      </c>
      <c r="B32" s="28">
        <v>46156</v>
      </c>
      <c r="C32" t="s">
        <v>660</v>
      </c>
      <c r="D32" t="s">
        <v>39</v>
      </c>
      <c r="E32">
        <v>8809879544101</v>
      </c>
      <c r="F32" t="s">
        <v>24</v>
      </c>
      <c r="G32" t="s">
        <v>40</v>
      </c>
      <c r="H32" s="369">
        <v>8809880000000</v>
      </c>
      <c r="I32">
        <v>0</v>
      </c>
      <c r="J32">
        <v>0</v>
      </c>
      <c r="K32">
        <v>0</v>
      </c>
      <c r="L32">
        <v>1</v>
      </c>
      <c r="M32">
        <v>0</v>
      </c>
      <c r="N32" t="s">
        <v>41</v>
      </c>
      <c r="O32" t="s">
        <v>247</v>
      </c>
      <c r="P32">
        <v>22000</v>
      </c>
      <c r="Q32">
        <v>22000</v>
      </c>
      <c r="R32" t="s">
        <v>689</v>
      </c>
    </row>
    <row r="33" spans="1:18">
      <c r="A33" s="149">
        <v>27</v>
      </c>
      <c r="B33" s="28">
        <v>46156</v>
      </c>
      <c r="C33" t="s">
        <v>659</v>
      </c>
      <c r="D33" t="s">
        <v>39</v>
      </c>
      <c r="E33">
        <v>8809879544101</v>
      </c>
      <c r="F33" t="s">
        <v>24</v>
      </c>
      <c r="G33" t="s">
        <v>40</v>
      </c>
      <c r="H33" s="369">
        <v>8809880000000</v>
      </c>
      <c r="I33">
        <v>0</v>
      </c>
      <c r="J33">
        <v>0</v>
      </c>
      <c r="K33">
        <v>0</v>
      </c>
      <c r="L33">
        <v>1</v>
      </c>
      <c r="M33">
        <v>0</v>
      </c>
      <c r="N33" t="s">
        <v>41</v>
      </c>
      <c r="O33" t="s">
        <v>247</v>
      </c>
      <c r="P33">
        <v>22000</v>
      </c>
      <c r="Q33">
        <v>22000</v>
      </c>
      <c r="R33" t="s">
        <v>689</v>
      </c>
    </row>
    <row r="34" spans="1:18">
      <c r="A34" s="149">
        <v>28</v>
      </c>
      <c r="B34" s="28">
        <v>46155</v>
      </c>
      <c r="C34" t="s">
        <v>663</v>
      </c>
      <c r="D34" t="s">
        <v>39</v>
      </c>
      <c r="E34">
        <v>8809879544101</v>
      </c>
      <c r="F34" t="s">
        <v>24</v>
      </c>
      <c r="G34" t="s">
        <v>40</v>
      </c>
      <c r="H34" s="369">
        <v>8809880000000</v>
      </c>
      <c r="I34">
        <v>0</v>
      </c>
      <c r="J34">
        <v>0</v>
      </c>
      <c r="K34">
        <v>0</v>
      </c>
      <c r="L34">
        <v>3</v>
      </c>
      <c r="M34">
        <v>0</v>
      </c>
      <c r="N34" t="s">
        <v>41</v>
      </c>
      <c r="O34" t="s">
        <v>247</v>
      </c>
      <c r="P34">
        <v>22000</v>
      </c>
      <c r="Q34">
        <v>66000</v>
      </c>
      <c r="R34" t="s">
        <v>689</v>
      </c>
    </row>
    <row r="35" spans="1:18">
      <c r="A35" s="149">
        <v>29</v>
      </c>
      <c r="B35" s="28">
        <v>46155</v>
      </c>
      <c r="C35" t="s">
        <v>664</v>
      </c>
      <c r="D35" t="s">
        <v>39</v>
      </c>
      <c r="E35">
        <v>8809879544101</v>
      </c>
      <c r="F35" t="s">
        <v>24</v>
      </c>
      <c r="G35" t="s">
        <v>40</v>
      </c>
      <c r="H35" s="369">
        <v>8809880000000</v>
      </c>
      <c r="I35">
        <v>0</v>
      </c>
      <c r="J35">
        <v>0</v>
      </c>
      <c r="K35">
        <v>0</v>
      </c>
      <c r="L35">
        <v>2</v>
      </c>
      <c r="M35">
        <v>0</v>
      </c>
      <c r="N35" t="s">
        <v>41</v>
      </c>
      <c r="O35" t="s">
        <v>247</v>
      </c>
      <c r="P35">
        <v>22000</v>
      </c>
      <c r="Q35">
        <v>44000</v>
      </c>
      <c r="R35" t="s">
        <v>689</v>
      </c>
    </row>
    <row r="36" spans="1:18">
      <c r="A36" s="149">
        <v>30</v>
      </c>
      <c r="B36" s="28">
        <v>46155</v>
      </c>
      <c r="C36" t="s">
        <v>666</v>
      </c>
      <c r="D36" t="s">
        <v>39</v>
      </c>
      <c r="E36">
        <v>8809879544101</v>
      </c>
      <c r="F36" t="s">
        <v>24</v>
      </c>
      <c r="G36" t="s">
        <v>40</v>
      </c>
      <c r="H36" s="369">
        <v>8809880000000</v>
      </c>
      <c r="I36">
        <v>0</v>
      </c>
      <c r="J36">
        <v>0</v>
      </c>
      <c r="K36">
        <v>0</v>
      </c>
      <c r="L36">
        <v>1</v>
      </c>
      <c r="M36">
        <v>0</v>
      </c>
      <c r="N36" t="s">
        <v>41</v>
      </c>
      <c r="O36" t="s">
        <v>247</v>
      </c>
      <c r="P36">
        <v>22000</v>
      </c>
      <c r="Q36">
        <v>22000</v>
      </c>
      <c r="R36" t="s">
        <v>689</v>
      </c>
    </row>
    <row r="37" spans="1:18">
      <c r="A37" s="149">
        <v>31</v>
      </c>
      <c r="B37" s="28">
        <v>46155</v>
      </c>
      <c r="C37" t="s">
        <v>665</v>
      </c>
      <c r="D37" t="s">
        <v>39</v>
      </c>
      <c r="E37">
        <v>8809879544118</v>
      </c>
      <c r="F37" t="s">
        <v>23</v>
      </c>
      <c r="G37" t="s">
        <v>40</v>
      </c>
      <c r="H37" s="369">
        <v>8810000000000</v>
      </c>
      <c r="I37">
        <v>0</v>
      </c>
      <c r="J37">
        <v>0</v>
      </c>
      <c r="K37">
        <v>0</v>
      </c>
      <c r="L37">
        <v>2</v>
      </c>
      <c r="M37">
        <v>0</v>
      </c>
      <c r="N37" t="s">
        <v>41</v>
      </c>
      <c r="O37" t="s">
        <v>247</v>
      </c>
      <c r="P37">
        <v>22000</v>
      </c>
      <c r="Q37">
        <v>44000</v>
      </c>
      <c r="R37" t="s">
        <v>689</v>
      </c>
    </row>
    <row r="38" spans="1:18">
      <c r="A38" s="149">
        <v>32</v>
      </c>
      <c r="B38" s="28">
        <v>46153</v>
      </c>
      <c r="C38" t="s">
        <v>668</v>
      </c>
      <c r="D38" t="s">
        <v>39</v>
      </c>
      <c r="E38">
        <v>8809879544101</v>
      </c>
      <c r="F38" t="s">
        <v>24</v>
      </c>
      <c r="G38" t="s">
        <v>40</v>
      </c>
      <c r="H38" s="369">
        <v>8809880000000</v>
      </c>
      <c r="I38">
        <v>0</v>
      </c>
      <c r="J38">
        <v>0</v>
      </c>
      <c r="K38">
        <v>0</v>
      </c>
      <c r="L38">
        <v>1</v>
      </c>
      <c r="M38">
        <v>0</v>
      </c>
      <c r="N38" t="s">
        <v>41</v>
      </c>
      <c r="O38" t="s">
        <v>248</v>
      </c>
      <c r="P38">
        <v>22000</v>
      </c>
      <c r="Q38">
        <v>22000</v>
      </c>
      <c r="R38" t="s">
        <v>689</v>
      </c>
    </row>
    <row r="39" spans="1:18">
      <c r="A39" s="149">
        <v>33</v>
      </c>
      <c r="B39" s="28">
        <v>46153</v>
      </c>
      <c r="C39" t="s">
        <v>670</v>
      </c>
      <c r="D39" t="s">
        <v>39</v>
      </c>
      <c r="E39">
        <v>8809879544101</v>
      </c>
      <c r="F39" t="s">
        <v>24</v>
      </c>
      <c r="G39" t="s">
        <v>40</v>
      </c>
      <c r="H39" s="369">
        <v>8809880000000</v>
      </c>
      <c r="I39">
        <v>0</v>
      </c>
      <c r="J39">
        <v>0</v>
      </c>
      <c r="K39">
        <v>0</v>
      </c>
      <c r="L39">
        <v>1</v>
      </c>
      <c r="M39">
        <v>0</v>
      </c>
      <c r="N39" t="s">
        <v>41</v>
      </c>
      <c r="O39" t="s">
        <v>247</v>
      </c>
      <c r="P39">
        <v>22000</v>
      </c>
      <c r="Q39">
        <v>22000</v>
      </c>
      <c r="R39" t="s">
        <v>689</v>
      </c>
    </row>
    <row r="40" spans="1:18">
      <c r="A40" s="149">
        <v>34</v>
      </c>
      <c r="B40" s="28">
        <v>46153</v>
      </c>
      <c r="C40" t="s">
        <v>669</v>
      </c>
      <c r="D40" t="s">
        <v>39</v>
      </c>
      <c r="E40">
        <v>8809879544101</v>
      </c>
      <c r="F40" t="s">
        <v>24</v>
      </c>
      <c r="G40" t="s">
        <v>40</v>
      </c>
      <c r="H40" s="369">
        <v>8809880000000</v>
      </c>
      <c r="I40">
        <v>0</v>
      </c>
      <c r="J40">
        <v>0</v>
      </c>
      <c r="K40">
        <v>0</v>
      </c>
      <c r="L40">
        <v>1</v>
      </c>
      <c r="M40">
        <v>0</v>
      </c>
      <c r="N40" t="s">
        <v>41</v>
      </c>
      <c r="O40" t="s">
        <v>337</v>
      </c>
      <c r="P40">
        <v>22000</v>
      </c>
      <c r="Q40">
        <v>22000</v>
      </c>
      <c r="R40" t="s">
        <v>689</v>
      </c>
    </row>
    <row r="41" spans="1:18">
      <c r="A41" s="149">
        <v>35</v>
      </c>
      <c r="B41" s="28">
        <v>46153</v>
      </c>
      <c r="C41" t="s">
        <v>669</v>
      </c>
      <c r="D41" t="s">
        <v>39</v>
      </c>
      <c r="E41">
        <v>8809879544118</v>
      </c>
      <c r="F41" t="s">
        <v>23</v>
      </c>
      <c r="G41" t="s">
        <v>40</v>
      </c>
      <c r="H41" s="369">
        <v>8810000000000</v>
      </c>
      <c r="I41">
        <v>0</v>
      </c>
      <c r="J41">
        <v>0</v>
      </c>
      <c r="K41">
        <v>0</v>
      </c>
      <c r="L41">
        <v>1</v>
      </c>
      <c r="M41">
        <v>0</v>
      </c>
      <c r="N41" t="s">
        <v>41</v>
      </c>
      <c r="O41" t="s">
        <v>337</v>
      </c>
      <c r="P41">
        <v>22000</v>
      </c>
      <c r="Q41">
        <v>22000</v>
      </c>
      <c r="R41" t="s">
        <v>689</v>
      </c>
    </row>
    <row r="42" spans="1:18">
      <c r="A42" s="149">
        <v>36</v>
      </c>
      <c r="B42" s="28">
        <v>46150</v>
      </c>
      <c r="C42" t="s">
        <v>671</v>
      </c>
      <c r="D42" t="s">
        <v>39</v>
      </c>
      <c r="E42">
        <v>8809879544101</v>
      </c>
      <c r="F42" t="s">
        <v>24</v>
      </c>
      <c r="G42" t="s">
        <v>40</v>
      </c>
      <c r="H42" s="369">
        <v>8809880000000</v>
      </c>
      <c r="I42">
        <v>0</v>
      </c>
      <c r="J42">
        <v>0</v>
      </c>
      <c r="K42">
        <v>0</v>
      </c>
      <c r="L42">
        <v>1</v>
      </c>
      <c r="M42">
        <v>0</v>
      </c>
      <c r="N42" t="s">
        <v>41</v>
      </c>
      <c r="O42" t="s">
        <v>248</v>
      </c>
      <c r="P42">
        <v>22000</v>
      </c>
      <c r="Q42">
        <v>22000</v>
      </c>
      <c r="R42" t="s">
        <v>689</v>
      </c>
    </row>
    <row r="43" spans="1:18">
      <c r="A43" s="149">
        <v>37</v>
      </c>
      <c r="B43" s="28">
        <v>46150</v>
      </c>
      <c r="C43" t="s">
        <v>672</v>
      </c>
      <c r="D43" t="s">
        <v>39</v>
      </c>
      <c r="E43">
        <v>8809879544101</v>
      </c>
      <c r="F43" t="s">
        <v>24</v>
      </c>
      <c r="G43" t="s">
        <v>40</v>
      </c>
      <c r="H43" s="369">
        <v>8809880000000</v>
      </c>
      <c r="I43">
        <v>0</v>
      </c>
      <c r="J43">
        <v>0</v>
      </c>
      <c r="K43">
        <v>0</v>
      </c>
      <c r="L43">
        <v>1</v>
      </c>
      <c r="M43">
        <v>0</v>
      </c>
      <c r="N43" t="s">
        <v>41</v>
      </c>
      <c r="O43" t="s">
        <v>247</v>
      </c>
      <c r="P43">
        <v>22000</v>
      </c>
      <c r="Q43">
        <v>22000</v>
      </c>
      <c r="R43" t="s">
        <v>689</v>
      </c>
    </row>
    <row r="44" spans="1:18">
      <c r="A44" s="149">
        <v>38</v>
      </c>
      <c r="B44" s="28">
        <v>46149</v>
      </c>
      <c r="C44" t="s">
        <v>673</v>
      </c>
      <c r="D44" t="s">
        <v>39</v>
      </c>
      <c r="E44">
        <v>8809879544101</v>
      </c>
      <c r="F44" t="s">
        <v>24</v>
      </c>
      <c r="G44" t="s">
        <v>40</v>
      </c>
      <c r="H44" s="369">
        <v>8809880000000</v>
      </c>
      <c r="I44">
        <v>0</v>
      </c>
      <c r="J44">
        <v>0</v>
      </c>
      <c r="K44">
        <v>0</v>
      </c>
      <c r="L44">
        <v>2</v>
      </c>
      <c r="M44">
        <v>0</v>
      </c>
      <c r="N44" t="s">
        <v>41</v>
      </c>
      <c r="O44" t="s">
        <v>248</v>
      </c>
      <c r="P44">
        <v>22000</v>
      </c>
      <c r="Q44">
        <v>44000</v>
      </c>
      <c r="R44" t="s">
        <v>689</v>
      </c>
    </row>
    <row r="45" spans="1:18">
      <c r="A45" s="149">
        <v>39</v>
      </c>
      <c r="B45" s="28">
        <v>46149</v>
      </c>
      <c r="C45" t="s">
        <v>676</v>
      </c>
      <c r="D45" t="s">
        <v>39</v>
      </c>
      <c r="E45">
        <v>8809879544101</v>
      </c>
      <c r="F45" t="s">
        <v>24</v>
      </c>
      <c r="G45" t="s">
        <v>40</v>
      </c>
      <c r="H45" s="369">
        <v>8809880000000</v>
      </c>
      <c r="I45">
        <v>0</v>
      </c>
      <c r="J45">
        <v>0</v>
      </c>
      <c r="K45">
        <v>0</v>
      </c>
      <c r="L45">
        <v>1</v>
      </c>
      <c r="M45">
        <v>0</v>
      </c>
      <c r="N45" t="s">
        <v>41</v>
      </c>
      <c r="O45" t="s">
        <v>247</v>
      </c>
      <c r="P45">
        <v>22000</v>
      </c>
      <c r="Q45">
        <v>22000</v>
      </c>
      <c r="R45" t="s">
        <v>689</v>
      </c>
    </row>
    <row r="46" spans="1:18">
      <c r="A46" s="149">
        <v>40</v>
      </c>
      <c r="B46" s="28">
        <v>46149</v>
      </c>
      <c r="C46" t="s">
        <v>674</v>
      </c>
      <c r="D46" t="s">
        <v>39</v>
      </c>
      <c r="E46">
        <v>8809879544101</v>
      </c>
      <c r="F46" t="s">
        <v>24</v>
      </c>
      <c r="G46" t="s">
        <v>40</v>
      </c>
      <c r="H46" s="369">
        <v>8809880000000</v>
      </c>
      <c r="I46">
        <v>0</v>
      </c>
      <c r="J46">
        <v>0</v>
      </c>
      <c r="K46">
        <v>0</v>
      </c>
      <c r="L46">
        <v>2</v>
      </c>
      <c r="M46">
        <v>0</v>
      </c>
      <c r="N46" t="s">
        <v>41</v>
      </c>
      <c r="O46" t="s">
        <v>338</v>
      </c>
      <c r="P46">
        <v>22000</v>
      </c>
      <c r="Q46">
        <v>44000</v>
      </c>
      <c r="R46" t="s">
        <v>689</v>
      </c>
    </row>
    <row r="47" spans="1:18">
      <c r="A47" s="149">
        <v>41</v>
      </c>
      <c r="B47" s="28">
        <v>46148</v>
      </c>
      <c r="C47" t="s">
        <v>678</v>
      </c>
      <c r="D47" t="s">
        <v>39</v>
      </c>
      <c r="E47">
        <v>8809879544101</v>
      </c>
      <c r="F47" t="s">
        <v>24</v>
      </c>
      <c r="G47" t="s">
        <v>40</v>
      </c>
      <c r="H47" s="369">
        <v>8809880000000</v>
      </c>
      <c r="I47">
        <v>0</v>
      </c>
      <c r="J47">
        <v>0</v>
      </c>
      <c r="K47">
        <v>0</v>
      </c>
      <c r="L47">
        <v>1</v>
      </c>
      <c r="M47">
        <v>0</v>
      </c>
      <c r="N47" t="s">
        <v>41</v>
      </c>
      <c r="O47" t="s">
        <v>338</v>
      </c>
      <c r="P47">
        <v>22000</v>
      </c>
      <c r="Q47">
        <v>22000</v>
      </c>
      <c r="R47" t="s">
        <v>689</v>
      </c>
    </row>
    <row r="48" spans="1:18">
      <c r="A48" s="149">
        <v>42</v>
      </c>
      <c r="B48" s="28">
        <v>46148</v>
      </c>
      <c r="C48" t="s">
        <v>675</v>
      </c>
      <c r="D48" t="s">
        <v>39</v>
      </c>
      <c r="E48">
        <v>8809879544101</v>
      </c>
      <c r="F48" t="s">
        <v>24</v>
      </c>
      <c r="G48" t="s">
        <v>40</v>
      </c>
      <c r="H48" s="369">
        <v>8809880000000</v>
      </c>
      <c r="I48">
        <v>0</v>
      </c>
      <c r="J48">
        <v>0</v>
      </c>
      <c r="K48">
        <v>0</v>
      </c>
      <c r="L48">
        <v>2</v>
      </c>
      <c r="M48">
        <v>0</v>
      </c>
      <c r="N48" t="s">
        <v>41</v>
      </c>
      <c r="O48" t="s">
        <v>247</v>
      </c>
      <c r="P48">
        <v>22000</v>
      </c>
      <c r="Q48">
        <v>44000</v>
      </c>
      <c r="R48" t="s">
        <v>689</v>
      </c>
    </row>
    <row r="49" spans="1:18">
      <c r="A49" s="149">
        <v>43</v>
      </c>
      <c r="B49" s="28">
        <v>46148</v>
      </c>
      <c r="C49" t="s">
        <v>677</v>
      </c>
      <c r="D49" t="s">
        <v>39</v>
      </c>
      <c r="E49">
        <v>8809879544101</v>
      </c>
      <c r="F49" t="s">
        <v>24</v>
      </c>
      <c r="G49" t="s">
        <v>40</v>
      </c>
      <c r="H49" s="369">
        <v>8809880000000</v>
      </c>
      <c r="I49">
        <v>0</v>
      </c>
      <c r="J49">
        <v>0</v>
      </c>
      <c r="K49">
        <v>0</v>
      </c>
      <c r="L49">
        <v>1</v>
      </c>
      <c r="M49">
        <v>0</v>
      </c>
      <c r="N49" t="s">
        <v>41</v>
      </c>
      <c r="O49" t="s">
        <v>247</v>
      </c>
      <c r="P49">
        <v>22000</v>
      </c>
      <c r="Q49">
        <v>22000</v>
      </c>
      <c r="R49" t="s">
        <v>689</v>
      </c>
    </row>
    <row r="50" spans="1:18">
      <c r="A50" s="149">
        <v>44</v>
      </c>
      <c r="B50" s="28">
        <v>46146</v>
      </c>
      <c r="C50" t="s">
        <v>679</v>
      </c>
      <c r="D50" t="s">
        <v>39</v>
      </c>
      <c r="E50">
        <v>8809879544101</v>
      </c>
      <c r="F50" t="s">
        <v>24</v>
      </c>
      <c r="G50" t="s">
        <v>40</v>
      </c>
      <c r="H50" s="369">
        <v>8809880000000</v>
      </c>
      <c r="I50">
        <v>0</v>
      </c>
      <c r="J50">
        <v>0</v>
      </c>
      <c r="K50">
        <v>0</v>
      </c>
      <c r="L50">
        <v>2</v>
      </c>
      <c r="M50">
        <v>0</v>
      </c>
      <c r="N50" t="s">
        <v>41</v>
      </c>
      <c r="O50" t="s">
        <v>247</v>
      </c>
      <c r="P50">
        <v>22000</v>
      </c>
      <c r="Q50">
        <v>44000</v>
      </c>
      <c r="R50" t="s">
        <v>689</v>
      </c>
    </row>
    <row r="51" spans="1:18">
      <c r="A51" s="149">
        <v>45</v>
      </c>
      <c r="B51" s="28">
        <v>46146</v>
      </c>
      <c r="C51" t="s">
        <v>682</v>
      </c>
      <c r="D51" t="s">
        <v>39</v>
      </c>
      <c r="E51">
        <v>8809879544101</v>
      </c>
      <c r="F51" t="s">
        <v>24</v>
      </c>
      <c r="G51" t="s">
        <v>40</v>
      </c>
      <c r="H51" s="369">
        <v>8809880000000</v>
      </c>
      <c r="I51">
        <v>0</v>
      </c>
      <c r="J51">
        <v>0</v>
      </c>
      <c r="K51">
        <v>0</v>
      </c>
      <c r="L51">
        <v>1</v>
      </c>
      <c r="M51">
        <v>0</v>
      </c>
      <c r="N51" t="s">
        <v>41</v>
      </c>
      <c r="O51" t="s">
        <v>247</v>
      </c>
      <c r="P51">
        <v>22000</v>
      </c>
      <c r="Q51">
        <v>22000</v>
      </c>
      <c r="R51" t="s">
        <v>689</v>
      </c>
    </row>
    <row r="52" spans="1:18">
      <c r="A52" s="149">
        <v>46</v>
      </c>
      <c r="B52" s="28">
        <v>46146</v>
      </c>
      <c r="C52" t="s">
        <v>683</v>
      </c>
      <c r="D52" t="s">
        <v>39</v>
      </c>
      <c r="E52">
        <v>8809879544101</v>
      </c>
      <c r="F52" t="s">
        <v>24</v>
      </c>
      <c r="G52" t="s">
        <v>40</v>
      </c>
      <c r="H52" s="369">
        <v>8809880000000</v>
      </c>
      <c r="I52">
        <v>0</v>
      </c>
      <c r="J52">
        <v>0</v>
      </c>
      <c r="K52">
        <v>0</v>
      </c>
      <c r="L52">
        <v>1</v>
      </c>
      <c r="M52">
        <v>0</v>
      </c>
      <c r="N52" t="s">
        <v>41</v>
      </c>
      <c r="O52" t="s">
        <v>247</v>
      </c>
      <c r="P52">
        <v>22000</v>
      </c>
      <c r="Q52">
        <v>22000</v>
      </c>
      <c r="R52" t="s">
        <v>689</v>
      </c>
    </row>
    <row r="53" spans="1:18">
      <c r="A53" s="149">
        <v>47</v>
      </c>
      <c r="B53" s="28">
        <v>46146</v>
      </c>
      <c r="C53" t="s">
        <v>684</v>
      </c>
      <c r="D53" t="s">
        <v>39</v>
      </c>
      <c r="E53">
        <v>8809879544101</v>
      </c>
      <c r="F53" t="s">
        <v>24</v>
      </c>
      <c r="G53" t="s">
        <v>40</v>
      </c>
      <c r="H53" s="369">
        <v>8809880000000</v>
      </c>
      <c r="I53">
        <v>0</v>
      </c>
      <c r="J53">
        <v>0</v>
      </c>
      <c r="K53">
        <v>0</v>
      </c>
      <c r="L53">
        <v>1</v>
      </c>
      <c r="M53">
        <v>0</v>
      </c>
      <c r="N53" t="s">
        <v>41</v>
      </c>
      <c r="O53" t="s">
        <v>247</v>
      </c>
      <c r="P53">
        <v>22000</v>
      </c>
      <c r="Q53">
        <v>22000</v>
      </c>
      <c r="R53" t="s">
        <v>689</v>
      </c>
    </row>
    <row r="54" spans="1:18">
      <c r="A54" s="149">
        <v>48</v>
      </c>
      <c r="B54" s="28">
        <v>46146</v>
      </c>
      <c r="C54" t="s">
        <v>681</v>
      </c>
      <c r="D54" t="s">
        <v>39</v>
      </c>
      <c r="E54">
        <v>8809879544101</v>
      </c>
      <c r="F54" t="s">
        <v>24</v>
      </c>
      <c r="G54" t="s">
        <v>40</v>
      </c>
      <c r="H54" s="369">
        <v>8809880000000</v>
      </c>
      <c r="I54">
        <v>0</v>
      </c>
      <c r="J54">
        <v>0</v>
      </c>
      <c r="K54">
        <v>0</v>
      </c>
      <c r="L54">
        <v>1</v>
      </c>
      <c r="M54">
        <v>0</v>
      </c>
      <c r="N54" t="s">
        <v>41</v>
      </c>
      <c r="O54" t="s">
        <v>247</v>
      </c>
      <c r="P54">
        <v>22000</v>
      </c>
      <c r="Q54">
        <v>22000</v>
      </c>
      <c r="R54" t="s">
        <v>689</v>
      </c>
    </row>
    <row r="55" spans="1:18">
      <c r="A55" s="149">
        <v>49</v>
      </c>
      <c r="B55" s="28">
        <v>46146</v>
      </c>
      <c r="C55" t="s">
        <v>681</v>
      </c>
      <c r="D55" t="s">
        <v>39</v>
      </c>
      <c r="E55">
        <v>8809879544118</v>
      </c>
      <c r="F55" t="s">
        <v>23</v>
      </c>
      <c r="G55" t="s">
        <v>40</v>
      </c>
      <c r="H55" s="369">
        <v>8810000000000</v>
      </c>
      <c r="I55">
        <v>0</v>
      </c>
      <c r="J55">
        <v>0</v>
      </c>
      <c r="K55">
        <v>0</v>
      </c>
      <c r="L55">
        <v>1</v>
      </c>
      <c r="M55">
        <v>0</v>
      </c>
      <c r="N55" t="s">
        <v>41</v>
      </c>
      <c r="O55" t="s">
        <v>247</v>
      </c>
      <c r="P55">
        <v>22000</v>
      </c>
      <c r="Q55">
        <v>22000</v>
      </c>
      <c r="R55" t="s">
        <v>689</v>
      </c>
    </row>
    <row r="56" spans="1:18">
      <c r="A56" s="149">
        <v>50</v>
      </c>
      <c r="B56" s="28">
        <v>46146</v>
      </c>
      <c r="C56" t="s">
        <v>680</v>
      </c>
      <c r="D56" t="s">
        <v>39</v>
      </c>
      <c r="E56">
        <v>8809879544101</v>
      </c>
      <c r="F56" t="s">
        <v>24</v>
      </c>
      <c r="G56" t="s">
        <v>40</v>
      </c>
      <c r="H56" s="369">
        <v>8809880000000</v>
      </c>
      <c r="I56">
        <v>0</v>
      </c>
      <c r="J56">
        <v>0</v>
      </c>
      <c r="K56">
        <v>0</v>
      </c>
      <c r="L56">
        <v>1</v>
      </c>
      <c r="M56">
        <v>0</v>
      </c>
      <c r="N56" t="s">
        <v>41</v>
      </c>
      <c r="O56" t="s">
        <v>248</v>
      </c>
      <c r="P56">
        <v>22000</v>
      </c>
      <c r="Q56">
        <v>22000</v>
      </c>
      <c r="R56" t="s">
        <v>689</v>
      </c>
    </row>
  </sheetData>
  <autoFilter ref="A7:R56" xr:uid="{E9A5AD6F-5738-1947-9B50-3A1AE5675CA0}"/>
  <mergeCells count="1">
    <mergeCell ref="C2:C3"/>
  </mergeCells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CD3E-0FBE-2A41-9A65-47D7710C1CBB}">
  <dimension ref="A1:S59"/>
  <sheetViews>
    <sheetView topLeftCell="A47" workbookViewId="0">
      <selection activeCell="R65" sqref="R65"/>
    </sheetView>
  </sheetViews>
  <sheetFormatPr baseColWidth="10" defaultRowHeight="17"/>
  <cols>
    <col min="1" max="1" width="8" style="117" bestFit="1" customWidth="1"/>
    <col min="3" max="3" width="15.5" customWidth="1"/>
    <col min="4" max="4" width="58" customWidth="1"/>
    <col min="5" max="5" width="20.33203125" bestFit="1" customWidth="1"/>
    <col min="6" max="6" width="11.1640625" style="117" bestFit="1" customWidth="1"/>
    <col min="7" max="8" width="20.33203125" bestFit="1" customWidth="1"/>
    <col min="9" max="9" width="25.83203125" bestFit="1" customWidth="1"/>
    <col min="10" max="10" width="7.83203125" customWidth="1"/>
    <col min="11" max="11" width="17.6640625" bestFit="1" customWidth="1"/>
    <col min="13" max="13" width="17.6640625" style="142" bestFit="1" customWidth="1"/>
    <col min="14" max="14" width="31.33203125" bestFit="1" customWidth="1"/>
    <col min="15" max="15" width="10.1640625" style="221" customWidth="1"/>
    <col min="16" max="16" width="13.6640625" customWidth="1"/>
    <col min="17" max="17" width="10.6640625" style="25" customWidth="1"/>
    <col min="18" max="18" width="15.6640625" bestFit="1" customWidth="1"/>
  </cols>
  <sheetData>
    <row r="1" spans="1:19">
      <c r="A1" s="25" t="s">
        <v>27</v>
      </c>
      <c r="B1" s="25" t="s">
        <v>339</v>
      </c>
      <c r="C1" s="25" t="s">
        <v>349</v>
      </c>
      <c r="D1" s="25" t="s">
        <v>341</v>
      </c>
      <c r="E1" s="25" t="s">
        <v>36</v>
      </c>
      <c r="F1" s="25" t="s">
        <v>275</v>
      </c>
      <c r="G1" s="25" t="s">
        <v>342</v>
      </c>
      <c r="H1" s="25" t="s">
        <v>343</v>
      </c>
      <c r="I1" s="25" t="s">
        <v>344</v>
      </c>
      <c r="J1" s="25" t="s">
        <v>345</v>
      </c>
      <c r="K1" s="25" t="s">
        <v>346</v>
      </c>
      <c r="L1" s="25" t="s">
        <v>347</v>
      </c>
      <c r="M1" s="26" t="s">
        <v>348</v>
      </c>
      <c r="N1" s="25" t="s">
        <v>350</v>
      </c>
      <c r="O1" s="25" t="s">
        <v>351</v>
      </c>
      <c r="Q1" s="25" t="s">
        <v>340</v>
      </c>
      <c r="R1" s="244" t="s">
        <v>340</v>
      </c>
      <c r="S1" s="148" t="s">
        <v>193</v>
      </c>
    </row>
    <row r="2" spans="1:19" s="371" customFormat="1">
      <c r="A2" s="25" t="s">
        <v>39</v>
      </c>
      <c r="B2" s="27">
        <v>46170</v>
      </c>
      <c r="C2" s="25">
        <v>12423395816</v>
      </c>
      <c r="D2" s="25" t="s">
        <v>44</v>
      </c>
      <c r="E2" s="25" t="s">
        <v>337</v>
      </c>
      <c r="F2" s="25">
        <v>92235591383</v>
      </c>
      <c r="G2" s="25" t="s">
        <v>636</v>
      </c>
      <c r="H2" s="25" t="s">
        <v>636</v>
      </c>
      <c r="I2" s="25"/>
      <c r="J2" s="25">
        <v>1</v>
      </c>
      <c r="K2" s="25" t="str">
        <f>"유*애"</f>
        <v>유*애</v>
      </c>
      <c r="L2" s="25" t="str">
        <f>"유*애"</f>
        <v>유*애</v>
      </c>
      <c r="M2" s="26">
        <v>8809879544118</v>
      </c>
      <c r="N2" s="25" t="s">
        <v>23</v>
      </c>
      <c r="O2" s="25">
        <v>1</v>
      </c>
      <c r="P2" s="164" t="s">
        <v>685</v>
      </c>
      <c r="Q2" s="25" t="str">
        <f>"2026052860134141"</f>
        <v>2026052860134141</v>
      </c>
      <c r="R2" s="370" t="str">
        <f>"20260429-0000187"</f>
        <v>20260429-0000187</v>
      </c>
    </row>
    <row r="3" spans="1:19">
      <c r="A3" s="25" t="s">
        <v>39</v>
      </c>
      <c r="B3" s="27">
        <v>46166</v>
      </c>
      <c r="C3" s="25" t="s">
        <v>352</v>
      </c>
      <c r="D3" s="25" t="s">
        <v>259</v>
      </c>
      <c r="E3" s="25" t="s">
        <v>247</v>
      </c>
      <c r="F3" s="25">
        <v>92235430313</v>
      </c>
      <c r="G3" s="25" t="s">
        <v>637</v>
      </c>
      <c r="H3" s="25" t="s">
        <v>637</v>
      </c>
      <c r="I3" s="25" t="s">
        <v>262</v>
      </c>
      <c r="J3" s="25">
        <v>1</v>
      </c>
      <c r="K3" s="25" t="str">
        <f>"한*연"</f>
        <v>한*연</v>
      </c>
      <c r="L3" s="25" t="str">
        <f>"한*연"</f>
        <v>한*연</v>
      </c>
      <c r="M3" s="26">
        <v>8809879544101</v>
      </c>
      <c r="N3" s="25" t="s">
        <v>24</v>
      </c>
      <c r="O3" s="25">
        <v>3</v>
      </c>
      <c r="P3" s="164" t="s">
        <v>685</v>
      </c>
      <c r="Q3" s="25" t="str">
        <f>"20260524-0000035"</f>
        <v>20260524-0000035</v>
      </c>
      <c r="R3" s="244" t="str">
        <f>"20260428-0000100"</f>
        <v>20260428-0000100</v>
      </c>
    </row>
    <row r="4" spans="1:19">
      <c r="A4" s="25" t="s">
        <v>39</v>
      </c>
      <c r="B4" s="27">
        <v>46164</v>
      </c>
      <c r="C4" s="25" t="s">
        <v>354</v>
      </c>
      <c r="D4" s="25" t="s">
        <v>224</v>
      </c>
      <c r="E4" s="25" t="s">
        <v>248</v>
      </c>
      <c r="F4" s="25">
        <v>92235390472</v>
      </c>
      <c r="G4" s="25" t="s">
        <v>638</v>
      </c>
      <c r="H4" s="25" t="s">
        <v>639</v>
      </c>
      <c r="I4" s="25"/>
      <c r="J4" s="25">
        <v>1</v>
      </c>
      <c r="K4" s="25" t="str">
        <f>"B*********B"</f>
        <v>B*********B</v>
      </c>
      <c r="L4" s="25" t="str">
        <f>"몰*******점"</f>
        <v>몰*******점</v>
      </c>
      <c r="M4" s="26">
        <v>8809879544101</v>
      </c>
      <c r="N4" s="25" t="s">
        <v>24</v>
      </c>
      <c r="O4" s="25">
        <v>1</v>
      </c>
      <c r="P4" s="164" t="s">
        <v>686</v>
      </c>
      <c r="Q4" s="25" t="str">
        <f>"20260522-0000109"</f>
        <v>20260522-0000109</v>
      </c>
      <c r="R4" s="244" t="str">
        <f>"2026042891931141"</f>
        <v>2026042891931141</v>
      </c>
    </row>
    <row r="5" spans="1:19">
      <c r="A5" s="25" t="s">
        <v>39</v>
      </c>
      <c r="B5" s="27">
        <v>46164</v>
      </c>
      <c r="C5" s="25" t="s">
        <v>353</v>
      </c>
      <c r="D5" s="25" t="s">
        <v>44</v>
      </c>
      <c r="E5" s="25" t="s">
        <v>248</v>
      </c>
      <c r="F5" s="25">
        <v>92235390472</v>
      </c>
      <c r="G5" s="25" t="s">
        <v>638</v>
      </c>
      <c r="H5" s="25" t="s">
        <v>639</v>
      </c>
      <c r="I5" s="25"/>
      <c r="J5" s="25">
        <v>1</v>
      </c>
      <c r="K5" s="25" t="str">
        <f>"B*********B"</f>
        <v>B*********B</v>
      </c>
      <c r="L5" s="25" t="str">
        <f>"몰*******점"</f>
        <v>몰*******점</v>
      </c>
      <c r="M5" s="26">
        <v>8809879544118</v>
      </c>
      <c r="N5" s="25" t="s">
        <v>23</v>
      </c>
      <c r="O5" s="25">
        <v>1</v>
      </c>
      <c r="P5" s="164" t="s">
        <v>686</v>
      </c>
      <c r="Q5" s="25" t="str">
        <f>"20260522-0000109"</f>
        <v>20260522-0000109</v>
      </c>
      <c r="R5" s="244" t="str">
        <f>"20260429-0000099"</f>
        <v>20260429-0000099</v>
      </c>
    </row>
    <row r="6" spans="1:19">
      <c r="A6" s="25" t="s">
        <v>39</v>
      </c>
      <c r="B6" s="27">
        <v>46161</v>
      </c>
      <c r="C6" s="25" t="s">
        <v>354</v>
      </c>
      <c r="D6" s="25" t="s">
        <v>224</v>
      </c>
      <c r="E6" s="25" t="s">
        <v>248</v>
      </c>
      <c r="F6" s="25">
        <v>92235276490</v>
      </c>
      <c r="G6" s="25" t="s">
        <v>640</v>
      </c>
      <c r="H6" s="25" t="s">
        <v>640</v>
      </c>
      <c r="I6" s="25"/>
      <c r="J6" s="25">
        <v>1</v>
      </c>
      <c r="K6" s="25" t="str">
        <f>"B*********B"</f>
        <v>B*********B</v>
      </c>
      <c r="L6" s="25" t="str">
        <f>"안****팡"</f>
        <v>안****팡</v>
      </c>
      <c r="M6" s="26">
        <v>8809879544101</v>
      </c>
      <c r="N6" s="25" t="s">
        <v>24</v>
      </c>
      <c r="O6" s="25">
        <v>1</v>
      </c>
      <c r="P6" s="164" t="s">
        <v>685</v>
      </c>
      <c r="Q6" s="25" t="str">
        <f>"20260519-0000199"</f>
        <v>20260519-0000199</v>
      </c>
      <c r="R6" s="244" t="str">
        <f>"20260429-0000122"</f>
        <v>20260429-0000122</v>
      </c>
    </row>
    <row r="7" spans="1:19">
      <c r="A7" s="25" t="s">
        <v>39</v>
      </c>
      <c r="B7" s="27">
        <v>46161</v>
      </c>
      <c r="C7" s="25">
        <v>12423379709</v>
      </c>
      <c r="D7" s="25" t="s">
        <v>224</v>
      </c>
      <c r="E7" s="25" t="s">
        <v>337</v>
      </c>
      <c r="F7" s="25">
        <v>92235276604</v>
      </c>
      <c r="G7" s="25" t="s">
        <v>641</v>
      </c>
      <c r="H7" s="25" t="s">
        <v>642</v>
      </c>
      <c r="I7" s="25"/>
      <c r="J7" s="25">
        <v>1</v>
      </c>
      <c r="K7" s="25" t="str">
        <f>"조*정"</f>
        <v>조*정</v>
      </c>
      <c r="L7" s="25" t="str">
        <f>"조*정"</f>
        <v>조*정</v>
      </c>
      <c r="M7" s="26">
        <v>8809879544101</v>
      </c>
      <c r="N7" s="25" t="s">
        <v>24</v>
      </c>
      <c r="O7" s="25">
        <v>1</v>
      </c>
      <c r="P7" s="164" t="s">
        <v>685</v>
      </c>
      <c r="Q7" s="25" t="str">
        <f>"2026051982360941"</f>
        <v>2026051982360941</v>
      </c>
      <c r="R7" s="244" t="str">
        <f>"20260425-0000045"</f>
        <v>20260425-0000045</v>
      </c>
    </row>
    <row r="8" spans="1:19">
      <c r="A8" s="25" t="s">
        <v>39</v>
      </c>
      <c r="B8" s="27">
        <v>46160</v>
      </c>
      <c r="C8" s="25" t="s">
        <v>352</v>
      </c>
      <c r="D8" s="25" t="s">
        <v>259</v>
      </c>
      <c r="E8" s="25" t="s">
        <v>247</v>
      </c>
      <c r="F8" s="25">
        <v>92235147384</v>
      </c>
      <c r="G8" s="25" t="s">
        <v>643</v>
      </c>
      <c r="H8" s="25" t="s">
        <v>643</v>
      </c>
      <c r="I8" s="25" t="s">
        <v>261</v>
      </c>
      <c r="J8" s="25">
        <v>1</v>
      </c>
      <c r="K8" s="25" t="str">
        <f>"김*민"</f>
        <v>김*민</v>
      </c>
      <c r="L8" s="25" t="str">
        <f>"김*민"</f>
        <v>김*민</v>
      </c>
      <c r="M8" s="26">
        <v>8809879544101</v>
      </c>
      <c r="N8" s="25" t="s">
        <v>24</v>
      </c>
      <c r="O8" s="25">
        <v>2</v>
      </c>
      <c r="P8" s="164" t="s">
        <v>685</v>
      </c>
      <c r="Q8" s="25" t="str">
        <f>"20260517-0000086"</f>
        <v>20260517-0000086</v>
      </c>
      <c r="R8" s="244" t="str">
        <f>"20260426-0000011"</f>
        <v>20260426-0000011</v>
      </c>
    </row>
    <row r="9" spans="1:19">
      <c r="A9" s="25" t="s">
        <v>39</v>
      </c>
      <c r="B9" s="27">
        <v>46160</v>
      </c>
      <c r="C9" s="25" t="s">
        <v>354</v>
      </c>
      <c r="D9" s="25" t="s">
        <v>224</v>
      </c>
      <c r="E9" s="25" t="s">
        <v>247</v>
      </c>
      <c r="F9" s="25">
        <v>92235147631</v>
      </c>
      <c r="G9" s="25" t="s">
        <v>644</v>
      </c>
      <c r="H9" s="25" t="s">
        <v>644</v>
      </c>
      <c r="I9" s="25"/>
      <c r="J9" s="25">
        <v>1</v>
      </c>
      <c r="K9" s="25" t="str">
        <f>"박*영"</f>
        <v>박*영</v>
      </c>
      <c r="L9" s="25" t="str">
        <f>"박*영"</f>
        <v>박*영</v>
      </c>
      <c r="M9" s="26">
        <v>8809879544101</v>
      </c>
      <c r="N9" s="25" t="s">
        <v>24</v>
      </c>
      <c r="O9" s="25">
        <v>1</v>
      </c>
      <c r="P9" s="164" t="s">
        <v>685</v>
      </c>
      <c r="Q9" s="25" t="str">
        <f>"20260517-0000075"</f>
        <v>20260517-0000075</v>
      </c>
      <c r="R9" s="244" t="str">
        <f>"20260426-0000062"</f>
        <v>20260426-0000062</v>
      </c>
    </row>
    <row r="10" spans="1:19">
      <c r="A10" s="25" t="s">
        <v>39</v>
      </c>
      <c r="B10" s="27">
        <v>46160</v>
      </c>
      <c r="C10" s="25" t="s">
        <v>352</v>
      </c>
      <c r="D10" s="25" t="s">
        <v>259</v>
      </c>
      <c r="E10" s="25" t="s">
        <v>247</v>
      </c>
      <c r="F10" s="25">
        <v>92235147594</v>
      </c>
      <c r="G10" s="25" t="s">
        <v>645</v>
      </c>
      <c r="H10" s="25" t="s">
        <v>645</v>
      </c>
      <c r="I10" s="25" t="s">
        <v>260</v>
      </c>
      <c r="J10" s="25">
        <v>1</v>
      </c>
      <c r="K10" s="25" t="str">
        <f>"최*영"</f>
        <v>최*영</v>
      </c>
      <c r="L10" s="25" t="str">
        <f>"최*영"</f>
        <v>최*영</v>
      </c>
      <c r="M10" s="26">
        <v>8809879544101</v>
      </c>
      <c r="N10" s="25" t="s">
        <v>24</v>
      </c>
      <c r="O10" s="25">
        <v>1</v>
      </c>
      <c r="P10" s="164" t="s">
        <v>685</v>
      </c>
      <c r="Q10" s="25" t="str">
        <f>"20260517-0000142"</f>
        <v>20260517-0000142</v>
      </c>
      <c r="R10" s="244" t="str">
        <f>"20260426-0000221"</f>
        <v>20260426-0000221</v>
      </c>
    </row>
    <row r="11" spans="1:19">
      <c r="A11" s="25" t="s">
        <v>39</v>
      </c>
      <c r="B11" s="27">
        <v>46160</v>
      </c>
      <c r="C11" s="25" t="s">
        <v>352</v>
      </c>
      <c r="D11" s="25" t="s">
        <v>259</v>
      </c>
      <c r="E11" s="25" t="s">
        <v>247</v>
      </c>
      <c r="F11" s="25">
        <v>92235147583</v>
      </c>
      <c r="G11" s="25" t="s">
        <v>646</v>
      </c>
      <c r="H11" s="25" t="s">
        <v>646</v>
      </c>
      <c r="I11" s="25" t="s">
        <v>260</v>
      </c>
      <c r="J11" s="25">
        <v>1</v>
      </c>
      <c r="K11" s="25" t="str">
        <f>"마*"</f>
        <v>마*</v>
      </c>
      <c r="L11" s="25" t="str">
        <f>"마*"</f>
        <v>마*</v>
      </c>
      <c r="M11" s="26">
        <v>8809879544101</v>
      </c>
      <c r="N11" s="25" t="s">
        <v>24</v>
      </c>
      <c r="O11" s="25">
        <v>1</v>
      </c>
      <c r="P11" s="164" t="s">
        <v>685</v>
      </c>
      <c r="Q11" s="25" t="str">
        <f>"20260517-0000159"</f>
        <v>20260517-0000159</v>
      </c>
      <c r="R11" s="244" t="str">
        <f>"20260427-0000031"</f>
        <v>20260427-0000031</v>
      </c>
    </row>
    <row r="12" spans="1:19">
      <c r="A12" s="25" t="s">
        <v>39</v>
      </c>
      <c r="B12" s="27">
        <v>46160</v>
      </c>
      <c r="C12" s="25" t="s">
        <v>324</v>
      </c>
      <c r="D12" s="25" t="s">
        <v>325</v>
      </c>
      <c r="E12" s="25" t="s">
        <v>338</v>
      </c>
      <c r="F12" s="25">
        <v>92235225891</v>
      </c>
      <c r="G12" s="25" t="s">
        <v>647</v>
      </c>
      <c r="H12" s="25" t="s">
        <v>647</v>
      </c>
      <c r="I12" s="25" t="s">
        <v>326</v>
      </c>
      <c r="J12" s="25">
        <v>1</v>
      </c>
      <c r="K12" s="25" t="str">
        <f>"김*연"</f>
        <v>김*연</v>
      </c>
      <c r="L12" s="25" t="str">
        <f>"김*연"</f>
        <v>김*연</v>
      </c>
      <c r="M12" s="26">
        <v>8809879544101</v>
      </c>
      <c r="N12" s="25" t="s">
        <v>24</v>
      </c>
      <c r="O12" s="25">
        <v>1</v>
      </c>
      <c r="P12" s="164" t="s">
        <v>685</v>
      </c>
      <c r="Q12" s="25" t="str">
        <f>"2415219160235"</f>
        <v>2415219160235</v>
      </c>
      <c r="R12" s="244" t="str">
        <f>"20260427-0000052"</f>
        <v>20260427-0000052</v>
      </c>
    </row>
    <row r="13" spans="1:19">
      <c r="A13" s="25" t="s">
        <v>39</v>
      </c>
      <c r="B13" s="27">
        <v>46158</v>
      </c>
      <c r="C13" s="25" t="s">
        <v>352</v>
      </c>
      <c r="D13" s="25" t="s">
        <v>259</v>
      </c>
      <c r="E13" s="25" t="s">
        <v>247</v>
      </c>
      <c r="F13" s="25">
        <v>92235147141</v>
      </c>
      <c r="G13" s="25" t="s">
        <v>648</v>
      </c>
      <c r="H13" s="25" t="s">
        <v>648</v>
      </c>
      <c r="I13" s="25" t="s">
        <v>261</v>
      </c>
      <c r="J13" s="25">
        <v>1</v>
      </c>
      <c r="K13" s="25" t="str">
        <f>"오*경"</f>
        <v>오*경</v>
      </c>
      <c r="L13" s="25" t="str">
        <f>"오*경"</f>
        <v>오*경</v>
      </c>
      <c r="M13" s="26">
        <v>8809879544101</v>
      </c>
      <c r="N13" s="25" t="s">
        <v>24</v>
      </c>
      <c r="O13" s="25">
        <v>2</v>
      </c>
      <c r="P13" s="164" t="s">
        <v>685</v>
      </c>
      <c r="Q13" s="25" t="str">
        <f>"20260515-0000148"</f>
        <v>20260515-0000148</v>
      </c>
      <c r="R13" s="244" t="str">
        <f>"2026042577184211"</f>
        <v>2026042577184211</v>
      </c>
    </row>
    <row r="14" spans="1:19">
      <c r="A14" s="25" t="s">
        <v>39</v>
      </c>
      <c r="B14" s="27">
        <v>46158</v>
      </c>
      <c r="C14" s="25" t="s">
        <v>352</v>
      </c>
      <c r="D14" s="25" t="s">
        <v>259</v>
      </c>
      <c r="E14" s="25" t="s">
        <v>247</v>
      </c>
      <c r="F14" s="25">
        <v>92235147771</v>
      </c>
      <c r="G14" s="25" t="s">
        <v>649</v>
      </c>
      <c r="H14" s="25" t="s">
        <v>649</v>
      </c>
      <c r="I14" s="25" t="s">
        <v>260</v>
      </c>
      <c r="J14" s="25">
        <v>1</v>
      </c>
      <c r="K14" s="25" t="str">
        <f>"홍*경"</f>
        <v>홍*경</v>
      </c>
      <c r="L14" s="25" t="str">
        <f>"홍*경"</f>
        <v>홍*경</v>
      </c>
      <c r="M14" s="26">
        <v>8809879544101</v>
      </c>
      <c r="N14" s="25" t="s">
        <v>24</v>
      </c>
      <c r="O14" s="25">
        <v>1</v>
      </c>
      <c r="P14" s="164" t="s">
        <v>685</v>
      </c>
      <c r="Q14" s="25" t="str">
        <f>"20260516-0000015"</f>
        <v>20260516-0000015</v>
      </c>
      <c r="R14" s="244" t="str">
        <f>"20260425-0000019"</f>
        <v>20260425-0000019</v>
      </c>
    </row>
    <row r="15" spans="1:19">
      <c r="A15" s="25" t="s">
        <v>39</v>
      </c>
      <c r="B15" s="27">
        <v>46157</v>
      </c>
      <c r="C15" s="25" t="s">
        <v>352</v>
      </c>
      <c r="D15" s="25" t="s">
        <v>259</v>
      </c>
      <c r="E15" s="25" t="s">
        <v>247</v>
      </c>
      <c r="F15" s="25">
        <v>92235116142</v>
      </c>
      <c r="G15" s="25" t="s">
        <v>650</v>
      </c>
      <c r="H15" s="25" t="s">
        <v>650</v>
      </c>
      <c r="I15" s="25" t="s">
        <v>261</v>
      </c>
      <c r="J15" s="25">
        <v>1</v>
      </c>
      <c r="K15" s="25" t="str">
        <f>"유*용"</f>
        <v>유*용</v>
      </c>
      <c r="L15" s="25" t="str">
        <f>"유*용"</f>
        <v>유*용</v>
      </c>
      <c r="M15" s="26">
        <v>8809879544101</v>
      </c>
      <c r="N15" s="25" t="s">
        <v>24</v>
      </c>
      <c r="O15" s="25">
        <v>2</v>
      </c>
      <c r="P15" s="164" t="s">
        <v>685</v>
      </c>
      <c r="Q15" s="25" t="str">
        <f>"20260515-0000047"</f>
        <v>20260515-0000047</v>
      </c>
      <c r="R15" s="244" t="str">
        <f>"20260425-0000031"</f>
        <v>20260425-0000031</v>
      </c>
    </row>
    <row r="16" spans="1:19">
      <c r="A16" s="25" t="s">
        <v>39</v>
      </c>
      <c r="B16" s="27">
        <v>46157</v>
      </c>
      <c r="C16" s="25" t="s">
        <v>352</v>
      </c>
      <c r="D16" s="25" t="s">
        <v>259</v>
      </c>
      <c r="E16" s="25" t="s">
        <v>247</v>
      </c>
      <c r="F16" s="25">
        <v>92235090065</v>
      </c>
      <c r="G16" s="25" t="s">
        <v>651</v>
      </c>
      <c r="H16" s="25" t="s">
        <v>651</v>
      </c>
      <c r="I16" s="25" t="s">
        <v>261</v>
      </c>
      <c r="J16" s="25">
        <v>1</v>
      </c>
      <c r="K16" s="25" t="str">
        <f>"박*연"</f>
        <v>박*연</v>
      </c>
      <c r="L16" s="25" t="str">
        <f>"박*연"</f>
        <v>박*연</v>
      </c>
      <c r="M16" s="26">
        <v>8809879544101</v>
      </c>
      <c r="N16" s="25" t="s">
        <v>24</v>
      </c>
      <c r="O16" s="25">
        <v>2</v>
      </c>
      <c r="P16" s="164" t="s">
        <v>685</v>
      </c>
      <c r="Q16" s="25" t="str">
        <f>"20260514-0000167"</f>
        <v>20260514-0000167</v>
      </c>
      <c r="R16" s="244" t="str">
        <f>"20260426-0000091"</f>
        <v>20260426-0000091</v>
      </c>
    </row>
    <row r="17" spans="1:18">
      <c r="A17" s="25" t="s">
        <v>39</v>
      </c>
      <c r="B17" s="27">
        <v>46157</v>
      </c>
      <c r="C17" s="25" t="s">
        <v>352</v>
      </c>
      <c r="D17" s="25" t="s">
        <v>259</v>
      </c>
      <c r="E17" s="25" t="s">
        <v>247</v>
      </c>
      <c r="F17" s="25">
        <v>92235090054</v>
      </c>
      <c r="G17" s="25" t="s">
        <v>652</v>
      </c>
      <c r="H17" s="25" t="s">
        <v>652</v>
      </c>
      <c r="I17" s="25" t="s">
        <v>261</v>
      </c>
      <c r="J17" s="25">
        <v>1</v>
      </c>
      <c r="K17" s="25" t="str">
        <f>"오*진"</f>
        <v>오*진</v>
      </c>
      <c r="L17" s="25" t="str">
        <f>"오*진"</f>
        <v>오*진</v>
      </c>
      <c r="M17" s="26">
        <v>8809879544101</v>
      </c>
      <c r="N17" s="25" t="s">
        <v>24</v>
      </c>
      <c r="O17" s="25">
        <v>2</v>
      </c>
      <c r="P17" s="164" t="s">
        <v>685</v>
      </c>
      <c r="Q17" s="25" t="str">
        <f>"20260514-0000198"</f>
        <v>20260514-0000198</v>
      </c>
      <c r="R17" s="244" t="str">
        <f>"20260426-0000115"</f>
        <v>20260426-0000115</v>
      </c>
    </row>
    <row r="18" spans="1:18">
      <c r="A18" s="25" t="s">
        <v>39</v>
      </c>
      <c r="B18" s="27">
        <v>46157</v>
      </c>
      <c r="C18" s="25" t="s">
        <v>352</v>
      </c>
      <c r="D18" s="25" t="s">
        <v>259</v>
      </c>
      <c r="E18" s="25" t="s">
        <v>247</v>
      </c>
      <c r="F18" s="25">
        <v>92235090043</v>
      </c>
      <c r="G18" s="25" t="s">
        <v>653</v>
      </c>
      <c r="H18" s="25" t="s">
        <v>653</v>
      </c>
      <c r="I18" s="25" t="s">
        <v>261</v>
      </c>
      <c r="J18" s="25">
        <v>1</v>
      </c>
      <c r="K18" s="25" t="str">
        <f>"김*비"</f>
        <v>김*비</v>
      </c>
      <c r="L18" s="25" t="str">
        <f>"시*떡"</f>
        <v>시*떡</v>
      </c>
      <c r="M18" s="26">
        <v>8809879544101</v>
      </c>
      <c r="N18" s="25" t="s">
        <v>24</v>
      </c>
      <c r="O18" s="25">
        <v>2</v>
      </c>
      <c r="P18" s="164" t="s">
        <v>685</v>
      </c>
      <c r="Q18" s="25" t="str">
        <f>"20260514-0000204"</f>
        <v>20260514-0000204</v>
      </c>
      <c r="R18" s="244" t="str">
        <f>"20260424-0000051"</f>
        <v>20260424-0000051</v>
      </c>
    </row>
    <row r="19" spans="1:18">
      <c r="A19" s="25" t="s">
        <v>39</v>
      </c>
      <c r="B19" s="27">
        <v>46157</v>
      </c>
      <c r="C19" s="25" t="s">
        <v>352</v>
      </c>
      <c r="D19" s="25" t="s">
        <v>259</v>
      </c>
      <c r="E19" s="25" t="s">
        <v>247</v>
      </c>
      <c r="F19" s="25">
        <v>92235090076</v>
      </c>
      <c r="G19" s="25" t="s">
        <v>654</v>
      </c>
      <c r="H19" s="25" t="s">
        <v>654</v>
      </c>
      <c r="I19" s="25" t="s">
        <v>260</v>
      </c>
      <c r="J19" s="25">
        <v>1</v>
      </c>
      <c r="K19" s="25" t="str">
        <f>"남*선"</f>
        <v>남*선</v>
      </c>
      <c r="L19" s="25" t="str">
        <f>"남*선"</f>
        <v>남*선</v>
      </c>
      <c r="M19" s="26">
        <v>8809879544101</v>
      </c>
      <c r="N19" s="25" t="s">
        <v>24</v>
      </c>
      <c r="O19" s="25">
        <v>1</v>
      </c>
      <c r="P19" s="164" t="s">
        <v>685</v>
      </c>
      <c r="Q19" s="25" t="str">
        <f>"20260515-0000021"</f>
        <v>20260515-0000021</v>
      </c>
      <c r="R19" s="244" t="str">
        <f>"20260424-0000065"</f>
        <v>20260424-0000065</v>
      </c>
    </row>
    <row r="20" spans="1:18">
      <c r="A20" s="25" t="s">
        <v>39</v>
      </c>
      <c r="B20" s="27">
        <v>46156</v>
      </c>
      <c r="C20" s="25" t="s">
        <v>354</v>
      </c>
      <c r="D20" s="25" t="s">
        <v>224</v>
      </c>
      <c r="E20" s="25" t="s">
        <v>248</v>
      </c>
      <c r="F20" s="25">
        <v>92235116105</v>
      </c>
      <c r="G20" s="25" t="s">
        <v>655</v>
      </c>
      <c r="H20" s="25" t="s">
        <v>655</v>
      </c>
      <c r="I20" s="25"/>
      <c r="J20" s="25">
        <v>9</v>
      </c>
      <c r="K20" s="25" t="str">
        <f>"김*성"</f>
        <v>김*성</v>
      </c>
      <c r="L20" s="25" t="str">
        <f>"김*성"</f>
        <v>김*성</v>
      </c>
      <c r="M20" s="26">
        <v>8809879544101</v>
      </c>
      <c r="N20" s="25" t="s">
        <v>24</v>
      </c>
      <c r="O20" s="25">
        <v>9</v>
      </c>
      <c r="P20" s="164" t="s">
        <v>685</v>
      </c>
      <c r="Q20" s="25" t="str">
        <f>"20260513-0000077"</f>
        <v>20260513-0000077</v>
      </c>
      <c r="R20" s="244" t="str">
        <f>"20260423-0000261"</f>
        <v>20260423-0000261</v>
      </c>
    </row>
    <row r="21" spans="1:18">
      <c r="A21" s="25" t="s">
        <v>39</v>
      </c>
      <c r="B21" s="27">
        <v>46156</v>
      </c>
      <c r="C21" s="25" t="s">
        <v>352</v>
      </c>
      <c r="D21" s="25" t="s">
        <v>259</v>
      </c>
      <c r="E21" s="25" t="s">
        <v>247</v>
      </c>
      <c r="F21" s="25">
        <v>92235055920</v>
      </c>
      <c r="G21" s="25" t="s">
        <v>656</v>
      </c>
      <c r="H21" s="25" t="s">
        <v>656</v>
      </c>
      <c r="I21" s="25" t="s">
        <v>262</v>
      </c>
      <c r="J21" s="25">
        <v>1</v>
      </c>
      <c r="K21" s="25" t="str">
        <f>"박**리"</f>
        <v>박**리</v>
      </c>
      <c r="L21" s="25" t="str">
        <f>"박**리"</f>
        <v>박**리</v>
      </c>
      <c r="M21" s="26">
        <v>8809879544101</v>
      </c>
      <c r="N21" s="25" t="s">
        <v>24</v>
      </c>
      <c r="O21" s="25">
        <v>3</v>
      </c>
      <c r="P21" s="164" t="s">
        <v>685</v>
      </c>
      <c r="Q21" s="25" t="str">
        <f>"20260513-0000276"</f>
        <v>20260513-0000276</v>
      </c>
      <c r="R21" s="244" t="str">
        <f>"20260424-0000043"</f>
        <v>20260424-0000043</v>
      </c>
    </row>
    <row r="22" spans="1:18">
      <c r="A22" s="25" t="s">
        <v>39</v>
      </c>
      <c r="B22" s="27">
        <v>46156</v>
      </c>
      <c r="C22" s="25" t="s">
        <v>352</v>
      </c>
      <c r="D22" s="25" t="s">
        <v>259</v>
      </c>
      <c r="E22" s="25" t="s">
        <v>247</v>
      </c>
      <c r="F22" s="25">
        <v>92235071714</v>
      </c>
      <c r="G22" s="25" t="s">
        <v>657</v>
      </c>
      <c r="H22" s="25" t="s">
        <v>657</v>
      </c>
      <c r="I22" s="25" t="s">
        <v>260</v>
      </c>
      <c r="J22" s="25">
        <v>1</v>
      </c>
      <c r="K22" s="25" t="str">
        <f>"백*영"</f>
        <v>백*영</v>
      </c>
      <c r="L22" s="25" t="str">
        <f>"백*영"</f>
        <v>백*영</v>
      </c>
      <c r="M22" s="26">
        <v>8809879544101</v>
      </c>
      <c r="N22" s="25" t="s">
        <v>24</v>
      </c>
      <c r="O22" s="25">
        <v>1</v>
      </c>
      <c r="P22" s="164" t="s">
        <v>685</v>
      </c>
      <c r="Q22" s="25" t="str">
        <f>"20260514-0000076"</f>
        <v>20260514-0000076</v>
      </c>
      <c r="R22" s="244" t="str">
        <f>"20260424-0000043"</f>
        <v>20260424-0000043</v>
      </c>
    </row>
    <row r="23" spans="1:18">
      <c r="A23" s="25" t="s">
        <v>39</v>
      </c>
      <c r="B23" s="27">
        <v>46156</v>
      </c>
      <c r="C23" s="25" t="s">
        <v>352</v>
      </c>
      <c r="D23" s="25" t="s">
        <v>259</v>
      </c>
      <c r="E23" s="25" t="s">
        <v>247</v>
      </c>
      <c r="F23" s="25">
        <v>92235056082</v>
      </c>
      <c r="G23" s="25" t="s">
        <v>658</v>
      </c>
      <c r="H23" s="25" t="s">
        <v>658</v>
      </c>
      <c r="I23" s="25" t="s">
        <v>260</v>
      </c>
      <c r="J23" s="25">
        <v>1</v>
      </c>
      <c r="K23" s="25" t="str">
        <f>"정*은"</f>
        <v>정*은</v>
      </c>
      <c r="L23" s="25" t="str">
        <f>"정*은"</f>
        <v>정*은</v>
      </c>
      <c r="M23" s="26">
        <v>8809879544101</v>
      </c>
      <c r="N23" s="25" t="s">
        <v>24</v>
      </c>
      <c r="O23" s="25">
        <v>1</v>
      </c>
      <c r="P23" s="164" t="s">
        <v>685</v>
      </c>
      <c r="Q23" s="25" t="str">
        <f>"20260513-0000204"</f>
        <v>20260513-0000204</v>
      </c>
      <c r="R23" s="244" t="str">
        <f>"20260423-0000201"</f>
        <v>20260423-0000201</v>
      </c>
    </row>
    <row r="24" spans="1:18">
      <c r="A24" s="25" t="s">
        <v>39</v>
      </c>
      <c r="B24" s="27">
        <v>46156</v>
      </c>
      <c r="C24" s="25" t="s">
        <v>352</v>
      </c>
      <c r="D24" s="25" t="s">
        <v>259</v>
      </c>
      <c r="E24" s="25" t="s">
        <v>247</v>
      </c>
      <c r="F24" s="25">
        <v>92235055990</v>
      </c>
      <c r="G24" s="25" t="s">
        <v>659</v>
      </c>
      <c r="H24" s="25" t="s">
        <v>659</v>
      </c>
      <c r="I24" s="25" t="s">
        <v>260</v>
      </c>
      <c r="J24" s="25">
        <v>1</v>
      </c>
      <c r="K24" s="25" t="str">
        <f>"유*혜"</f>
        <v>유*혜</v>
      </c>
      <c r="L24" s="25" t="str">
        <f>"유*혜"</f>
        <v>유*혜</v>
      </c>
      <c r="M24" s="26">
        <v>8809879544101</v>
      </c>
      <c r="N24" s="25" t="s">
        <v>24</v>
      </c>
      <c r="O24" s="25">
        <v>1</v>
      </c>
      <c r="P24" s="164" t="s">
        <v>685</v>
      </c>
      <c r="Q24" s="25" t="str">
        <f>"20260514-0000010"</f>
        <v>20260514-0000010</v>
      </c>
      <c r="R24" s="244" t="str">
        <f>"20260423-0000164"</f>
        <v>20260423-0000164</v>
      </c>
    </row>
    <row r="25" spans="1:18">
      <c r="A25" s="25" t="s">
        <v>39</v>
      </c>
      <c r="B25" s="27">
        <v>46156</v>
      </c>
      <c r="C25" s="25" t="s">
        <v>352</v>
      </c>
      <c r="D25" s="25" t="s">
        <v>259</v>
      </c>
      <c r="E25" s="25" t="s">
        <v>247</v>
      </c>
      <c r="F25" s="25">
        <v>92235055986</v>
      </c>
      <c r="G25" s="25" t="s">
        <v>660</v>
      </c>
      <c r="H25" s="25" t="s">
        <v>660</v>
      </c>
      <c r="I25" s="25" t="s">
        <v>260</v>
      </c>
      <c r="J25" s="25">
        <v>1</v>
      </c>
      <c r="K25" s="25" t="str">
        <f>"윤*령"</f>
        <v>윤*령</v>
      </c>
      <c r="L25" s="25" t="str">
        <f>"윤*령"</f>
        <v>윤*령</v>
      </c>
      <c r="M25" s="26">
        <v>8809879544101</v>
      </c>
      <c r="N25" s="25" t="s">
        <v>24</v>
      </c>
      <c r="O25" s="25">
        <v>1</v>
      </c>
      <c r="P25" s="164" t="s">
        <v>685</v>
      </c>
      <c r="Q25" s="25" t="str">
        <f>"20260514-0000024"</f>
        <v>20260514-0000024</v>
      </c>
      <c r="R25" s="244" t="str">
        <f>"20260422-0000144"</f>
        <v>20260422-0000144</v>
      </c>
    </row>
    <row r="26" spans="1:18">
      <c r="A26" s="25" t="s">
        <v>39</v>
      </c>
      <c r="B26" s="27">
        <v>46155</v>
      </c>
      <c r="C26" s="25" t="s">
        <v>352</v>
      </c>
      <c r="D26" s="25" t="s">
        <v>259</v>
      </c>
      <c r="E26" s="25" t="s">
        <v>247</v>
      </c>
      <c r="F26" s="25">
        <v>92235055533</v>
      </c>
      <c r="G26" s="25" t="s">
        <v>661</v>
      </c>
      <c r="H26" s="25" t="s">
        <v>661</v>
      </c>
      <c r="I26" s="25" t="s">
        <v>261</v>
      </c>
      <c r="J26" s="25">
        <v>1</v>
      </c>
      <c r="K26" s="25" t="str">
        <f>"변*솜"</f>
        <v>변*솜</v>
      </c>
      <c r="L26" s="25" t="str">
        <f>"김*옥"</f>
        <v>김*옥</v>
      </c>
      <c r="M26" s="26">
        <v>8809879544101</v>
      </c>
      <c r="N26" s="25" t="s">
        <v>24</v>
      </c>
      <c r="O26" s="25">
        <v>2</v>
      </c>
      <c r="P26" s="164" t="s">
        <v>685</v>
      </c>
      <c r="Q26" s="25" t="str">
        <f>"20260513-0000141"</f>
        <v>20260513-0000141</v>
      </c>
      <c r="R26" s="244" t="str">
        <f>"20260423-0000102"</f>
        <v>20260423-0000102</v>
      </c>
    </row>
    <row r="27" spans="1:18">
      <c r="A27" s="25" t="s">
        <v>39</v>
      </c>
      <c r="B27" s="27">
        <v>46155</v>
      </c>
      <c r="C27" s="25" t="s">
        <v>354</v>
      </c>
      <c r="D27" s="25" t="s">
        <v>224</v>
      </c>
      <c r="E27" s="25" t="s">
        <v>248</v>
      </c>
      <c r="F27" s="25">
        <v>92235055500</v>
      </c>
      <c r="G27" s="25" t="s">
        <v>662</v>
      </c>
      <c r="H27" s="25" t="s">
        <v>662</v>
      </c>
      <c r="I27" s="25"/>
      <c r="J27" s="25">
        <v>20</v>
      </c>
      <c r="K27" s="25" t="str">
        <f>"우*(베*즈)"</f>
        <v>우*(베*즈)</v>
      </c>
      <c r="L27" s="25" t="str">
        <f>"테*릿"</f>
        <v>테*릿</v>
      </c>
      <c r="M27" s="26">
        <v>8809879544101</v>
      </c>
      <c r="N27" s="25" t="s">
        <v>24</v>
      </c>
      <c r="O27" s="25">
        <v>20</v>
      </c>
      <c r="P27" s="164" t="s">
        <v>685</v>
      </c>
      <c r="Q27" s="25" t="str">
        <f>"20260513-0000179"</f>
        <v>20260513-0000179</v>
      </c>
      <c r="R27" s="244" t="str">
        <f>"20260423-0000014"</f>
        <v>20260423-0000014</v>
      </c>
    </row>
    <row r="28" spans="1:18">
      <c r="A28" s="25" t="s">
        <v>39</v>
      </c>
      <c r="B28" s="27">
        <v>46155</v>
      </c>
      <c r="C28" s="25" t="s">
        <v>352</v>
      </c>
      <c r="D28" s="25" t="s">
        <v>259</v>
      </c>
      <c r="E28" s="25" t="s">
        <v>247</v>
      </c>
      <c r="F28" s="25">
        <v>92235044171</v>
      </c>
      <c r="G28" s="25" t="s">
        <v>663</v>
      </c>
      <c r="H28" s="25" t="s">
        <v>663</v>
      </c>
      <c r="I28" s="25" t="s">
        <v>262</v>
      </c>
      <c r="J28" s="25">
        <v>1</v>
      </c>
      <c r="K28" s="25" t="str">
        <f>"김*미"</f>
        <v>김*미</v>
      </c>
      <c r="L28" s="25" t="str">
        <f>"r*******g"</f>
        <v>r*******g</v>
      </c>
      <c r="M28" s="26">
        <v>8809879544101</v>
      </c>
      <c r="N28" s="25" t="s">
        <v>24</v>
      </c>
      <c r="O28" s="25">
        <v>3</v>
      </c>
      <c r="P28" s="164" t="s">
        <v>685</v>
      </c>
      <c r="Q28" s="25" t="str">
        <f>"20260513-0000094"</f>
        <v>20260513-0000094</v>
      </c>
      <c r="R28" s="244" t="str">
        <f>"20260422-0000082"</f>
        <v>20260422-0000082</v>
      </c>
    </row>
    <row r="29" spans="1:18">
      <c r="A29" s="25" t="s">
        <v>39</v>
      </c>
      <c r="B29" s="27">
        <v>46155</v>
      </c>
      <c r="C29" s="25" t="s">
        <v>352</v>
      </c>
      <c r="D29" s="25" t="s">
        <v>259</v>
      </c>
      <c r="E29" s="25" t="s">
        <v>247</v>
      </c>
      <c r="F29" s="25">
        <v>92235033800</v>
      </c>
      <c r="G29" s="25" t="s">
        <v>664</v>
      </c>
      <c r="H29" s="25" t="s">
        <v>664</v>
      </c>
      <c r="I29" s="25" t="s">
        <v>261</v>
      </c>
      <c r="J29" s="25">
        <v>1</v>
      </c>
      <c r="K29" s="25" t="str">
        <f>"고*별"</f>
        <v>고*별</v>
      </c>
      <c r="L29" s="25" t="str">
        <f>"고*별"</f>
        <v>고*별</v>
      </c>
      <c r="M29" s="26">
        <v>8809879544101</v>
      </c>
      <c r="N29" s="25" t="s">
        <v>24</v>
      </c>
      <c r="O29" s="25">
        <v>2</v>
      </c>
      <c r="P29" s="164" t="s">
        <v>685</v>
      </c>
      <c r="Q29" s="25" t="str">
        <f>"20260513-0000049"</f>
        <v>20260513-0000049</v>
      </c>
      <c r="R29" s="244" t="str">
        <f>"20260421-0000231"</f>
        <v>20260421-0000231</v>
      </c>
    </row>
    <row r="30" spans="1:18">
      <c r="A30" s="25" t="s">
        <v>39</v>
      </c>
      <c r="B30" s="27">
        <v>46155</v>
      </c>
      <c r="C30" s="25" t="s">
        <v>353</v>
      </c>
      <c r="D30" s="25" t="s">
        <v>44</v>
      </c>
      <c r="E30" s="25" t="s">
        <v>247</v>
      </c>
      <c r="F30" s="25">
        <v>92235030193</v>
      </c>
      <c r="G30" s="25" t="s">
        <v>665</v>
      </c>
      <c r="H30" s="25" t="s">
        <v>665</v>
      </c>
      <c r="I30" s="25"/>
      <c r="J30" s="25">
        <v>2</v>
      </c>
      <c r="K30" s="25" t="str">
        <f>"구*모"</f>
        <v>구*모</v>
      </c>
      <c r="L30" s="25" t="str">
        <f>"구*모"</f>
        <v>구*모</v>
      </c>
      <c r="M30" s="26">
        <v>8809879544118</v>
      </c>
      <c r="N30" s="25" t="s">
        <v>23</v>
      </c>
      <c r="O30" s="25">
        <v>2</v>
      </c>
      <c r="P30" s="164" t="s">
        <v>685</v>
      </c>
      <c r="Q30" s="25" t="str">
        <f>"20260513-0000012"</f>
        <v>20260513-0000012</v>
      </c>
      <c r="R30" s="244" t="str">
        <f>"20260422-0000024"</f>
        <v>20260422-0000024</v>
      </c>
    </row>
    <row r="31" spans="1:18">
      <c r="A31" s="25" t="s">
        <v>39</v>
      </c>
      <c r="B31" s="27">
        <v>46155</v>
      </c>
      <c r="C31" s="25" t="s">
        <v>352</v>
      </c>
      <c r="D31" s="25" t="s">
        <v>259</v>
      </c>
      <c r="E31" s="25" t="s">
        <v>247</v>
      </c>
      <c r="F31" s="25">
        <v>92235033870</v>
      </c>
      <c r="G31" s="25" t="s">
        <v>666</v>
      </c>
      <c r="H31" s="25" t="s">
        <v>667</v>
      </c>
      <c r="I31" s="25" t="s">
        <v>260</v>
      </c>
      <c r="J31" s="25">
        <v>1</v>
      </c>
      <c r="K31" s="25" t="str">
        <f>"임*현"</f>
        <v>임*현</v>
      </c>
      <c r="L31" s="25" t="str">
        <f>"홍*민"</f>
        <v>홍*민</v>
      </c>
      <c r="M31" s="26">
        <v>8809879544101</v>
      </c>
      <c r="N31" s="25" t="s">
        <v>24</v>
      </c>
      <c r="O31" s="25">
        <v>1</v>
      </c>
      <c r="P31" s="164" t="s">
        <v>685</v>
      </c>
      <c r="Q31" s="25" t="str">
        <f>"20260513-0000086"</f>
        <v>20260513-0000086</v>
      </c>
      <c r="R31" s="244" t="str">
        <f>"20260422-0000092"</f>
        <v>20260422-0000092</v>
      </c>
    </row>
    <row r="32" spans="1:18">
      <c r="A32" s="25" t="s">
        <v>39</v>
      </c>
      <c r="B32" s="27">
        <v>46153</v>
      </c>
      <c r="C32" s="25" t="s">
        <v>354</v>
      </c>
      <c r="D32" s="25" t="s">
        <v>224</v>
      </c>
      <c r="E32" s="25" t="s">
        <v>248</v>
      </c>
      <c r="F32" s="25">
        <v>92234949590</v>
      </c>
      <c r="G32" s="25" t="s">
        <v>668</v>
      </c>
      <c r="H32" s="25" t="s">
        <v>668</v>
      </c>
      <c r="I32" s="25"/>
      <c r="J32" s="25">
        <v>1</v>
      </c>
      <c r="K32" s="25" t="str">
        <f>"B*********B"</f>
        <v>B*********B</v>
      </c>
      <c r="L32" s="25" t="str">
        <f>"인*****팡"</f>
        <v>인*****팡</v>
      </c>
      <c r="M32" s="26">
        <v>8809879544101</v>
      </c>
      <c r="N32" s="25" t="s">
        <v>24</v>
      </c>
      <c r="O32" s="25">
        <v>1</v>
      </c>
      <c r="P32" s="164" t="s">
        <v>685</v>
      </c>
      <c r="Q32" s="25" t="str">
        <f>"20260511-0000065"</f>
        <v>20260511-0000065</v>
      </c>
      <c r="R32" s="244" t="str">
        <f>"20260421-0000244"</f>
        <v>20260421-0000244</v>
      </c>
    </row>
    <row r="33" spans="1:18">
      <c r="A33" s="25" t="s">
        <v>39</v>
      </c>
      <c r="B33" s="27">
        <v>46152</v>
      </c>
      <c r="C33" s="25">
        <v>12423379709</v>
      </c>
      <c r="D33" s="25" t="s">
        <v>224</v>
      </c>
      <c r="E33" s="25" t="s">
        <v>337</v>
      </c>
      <c r="F33" s="25">
        <v>92234907520</v>
      </c>
      <c r="G33" s="25" t="s">
        <v>669</v>
      </c>
      <c r="H33" s="25" t="s">
        <v>669</v>
      </c>
      <c r="I33" s="25"/>
      <c r="J33" s="25">
        <v>1</v>
      </c>
      <c r="K33" s="25" t="str">
        <f>"유*진"</f>
        <v>유*진</v>
      </c>
      <c r="L33" s="25" t="str">
        <f>"공*"</f>
        <v>공*</v>
      </c>
      <c r="M33" s="26">
        <v>8809879544101</v>
      </c>
      <c r="N33" s="25" t="s">
        <v>24</v>
      </c>
      <c r="O33" s="25">
        <v>1</v>
      </c>
      <c r="P33" s="164" t="s">
        <v>685</v>
      </c>
      <c r="Q33" s="25" t="str">
        <f>"2026051018182881"</f>
        <v>2026051018182881</v>
      </c>
      <c r="R33" s="244" t="str">
        <f>"20260422-0000037"</f>
        <v>20260422-0000037</v>
      </c>
    </row>
    <row r="34" spans="1:18">
      <c r="A34" s="25" t="s">
        <v>39</v>
      </c>
      <c r="B34" s="27">
        <v>46152</v>
      </c>
      <c r="C34" s="25">
        <v>12423395816</v>
      </c>
      <c r="D34" s="25" t="s">
        <v>44</v>
      </c>
      <c r="E34" s="25" t="s">
        <v>337</v>
      </c>
      <c r="F34" s="25">
        <v>92234907520</v>
      </c>
      <c r="G34" s="25" t="s">
        <v>669</v>
      </c>
      <c r="H34" s="25" t="s">
        <v>669</v>
      </c>
      <c r="I34" s="25"/>
      <c r="J34" s="25">
        <v>1</v>
      </c>
      <c r="K34" s="25" t="str">
        <f>"유*진"</f>
        <v>유*진</v>
      </c>
      <c r="L34" s="25" t="str">
        <f>"공*"</f>
        <v>공*</v>
      </c>
      <c r="M34" s="26">
        <v>8809879544118</v>
      </c>
      <c r="N34" s="25" t="s">
        <v>23</v>
      </c>
      <c r="O34" s="25">
        <v>1</v>
      </c>
      <c r="P34" s="164" t="s">
        <v>685</v>
      </c>
      <c r="Q34" s="25" t="str">
        <f>"2026051018182881"</f>
        <v>2026051018182881</v>
      </c>
      <c r="R34" s="244" t="str">
        <f>"20260422-0000068"</f>
        <v>20260422-0000068</v>
      </c>
    </row>
    <row r="35" spans="1:18">
      <c r="A35" s="25" t="s">
        <v>39</v>
      </c>
      <c r="B35" s="27">
        <v>46152</v>
      </c>
      <c r="C35" s="25" t="s">
        <v>352</v>
      </c>
      <c r="D35" s="25" t="s">
        <v>259</v>
      </c>
      <c r="E35" s="25" t="s">
        <v>247</v>
      </c>
      <c r="F35" s="25">
        <v>92234907660</v>
      </c>
      <c r="G35" s="25" t="s">
        <v>670</v>
      </c>
      <c r="H35" s="25" t="s">
        <v>670</v>
      </c>
      <c r="I35" s="25" t="s">
        <v>260</v>
      </c>
      <c r="J35" s="25">
        <v>1</v>
      </c>
      <c r="K35" s="25" t="str">
        <f>"김*은"</f>
        <v>김*은</v>
      </c>
      <c r="L35" s="25" t="str">
        <f>"김*은"</f>
        <v>김*은</v>
      </c>
      <c r="M35" s="26">
        <v>8809879544101</v>
      </c>
      <c r="N35" s="25" t="s">
        <v>24</v>
      </c>
      <c r="O35" s="25">
        <v>1</v>
      </c>
      <c r="P35" s="164" t="s">
        <v>685</v>
      </c>
      <c r="Q35" s="25" t="str">
        <f>"20260509-0000101"</f>
        <v>20260509-0000101</v>
      </c>
      <c r="R35" s="244" t="str">
        <f>"20260421-0000082"</f>
        <v>20260421-0000082</v>
      </c>
    </row>
    <row r="36" spans="1:18">
      <c r="A36" s="25" t="s">
        <v>39</v>
      </c>
      <c r="B36" s="27">
        <v>46150</v>
      </c>
      <c r="C36" s="25" t="s">
        <v>354</v>
      </c>
      <c r="D36" s="25" t="s">
        <v>224</v>
      </c>
      <c r="E36" s="25" t="s">
        <v>248</v>
      </c>
      <c r="F36" s="25">
        <v>92234875880</v>
      </c>
      <c r="G36" s="25" t="s">
        <v>671</v>
      </c>
      <c r="H36" s="25" t="s">
        <v>671</v>
      </c>
      <c r="I36" s="25"/>
      <c r="J36" s="25">
        <v>1</v>
      </c>
      <c r="K36" s="25" t="str">
        <f>"B*********B"</f>
        <v>B*********B</v>
      </c>
      <c r="L36" s="25" t="str">
        <f>"몰*******점"</f>
        <v>몰*******점</v>
      </c>
      <c r="M36" s="26">
        <v>8809879544101</v>
      </c>
      <c r="N36" s="25" t="s">
        <v>24</v>
      </c>
      <c r="O36" s="25">
        <v>1</v>
      </c>
      <c r="P36" s="164" t="s">
        <v>686</v>
      </c>
      <c r="Q36" s="25" t="str">
        <f>"20260508-0000117"</f>
        <v>20260508-0000117</v>
      </c>
      <c r="R36" s="244" t="str">
        <f>"20260421-0000101"</f>
        <v>20260421-0000101</v>
      </c>
    </row>
    <row r="37" spans="1:18">
      <c r="A37" s="25" t="s">
        <v>39</v>
      </c>
      <c r="B37" s="27">
        <v>46150</v>
      </c>
      <c r="C37" s="25" t="s">
        <v>352</v>
      </c>
      <c r="D37" s="25" t="s">
        <v>259</v>
      </c>
      <c r="E37" s="25" t="s">
        <v>247</v>
      </c>
      <c r="F37" s="25">
        <v>92234852356</v>
      </c>
      <c r="G37" s="25" t="s">
        <v>672</v>
      </c>
      <c r="H37" s="25" t="s">
        <v>672</v>
      </c>
      <c r="I37" s="25" t="s">
        <v>260</v>
      </c>
      <c r="J37" s="25">
        <v>1</v>
      </c>
      <c r="K37" s="25" t="str">
        <f>"유*나"</f>
        <v>유*나</v>
      </c>
      <c r="L37" s="25" t="str">
        <f>"유*나"</f>
        <v>유*나</v>
      </c>
      <c r="M37" s="26">
        <v>8809879544101</v>
      </c>
      <c r="N37" s="25" t="s">
        <v>24</v>
      </c>
      <c r="O37" s="25">
        <v>1</v>
      </c>
      <c r="P37" s="164" t="s">
        <v>685</v>
      </c>
      <c r="Q37" s="25" t="str">
        <f>"20260507-0000266"</f>
        <v>20260507-0000266</v>
      </c>
      <c r="R37" s="244" t="str">
        <f>"20260421-0000121"</f>
        <v>20260421-0000121</v>
      </c>
    </row>
    <row r="38" spans="1:18">
      <c r="A38" s="25" t="s">
        <v>39</v>
      </c>
      <c r="B38" s="27">
        <v>46149</v>
      </c>
      <c r="C38" s="25" t="s">
        <v>354</v>
      </c>
      <c r="D38" s="25" t="s">
        <v>224</v>
      </c>
      <c r="E38" s="25" t="s">
        <v>248</v>
      </c>
      <c r="F38" s="25">
        <v>92234826482</v>
      </c>
      <c r="G38" s="25" t="s">
        <v>673</v>
      </c>
      <c r="H38" s="25" t="s">
        <v>673</v>
      </c>
      <c r="I38" s="25"/>
      <c r="J38" s="25">
        <v>2</v>
      </c>
      <c r="K38" s="25" t="str">
        <f>"B*********B"</f>
        <v>B*********B</v>
      </c>
      <c r="L38" s="25" t="str">
        <f>"쿠******터"</f>
        <v>쿠******터</v>
      </c>
      <c r="M38" s="26">
        <v>8809879544101</v>
      </c>
      <c r="N38" s="25" t="s">
        <v>24</v>
      </c>
      <c r="O38" s="25">
        <v>2</v>
      </c>
      <c r="P38" s="164" t="s">
        <v>685</v>
      </c>
      <c r="Q38" s="25" t="str">
        <f>"20260507-0000105"</f>
        <v>20260507-0000105</v>
      </c>
      <c r="R38" s="244" t="str">
        <f>"20260421-0000164"</f>
        <v>20260421-0000164</v>
      </c>
    </row>
    <row r="39" spans="1:18">
      <c r="A39" s="25" t="s">
        <v>39</v>
      </c>
      <c r="B39" s="27">
        <v>46149</v>
      </c>
      <c r="C39" s="25" t="s">
        <v>324</v>
      </c>
      <c r="D39" s="25" t="s">
        <v>325</v>
      </c>
      <c r="E39" s="25" t="s">
        <v>338</v>
      </c>
      <c r="F39" s="25">
        <v>92234826460</v>
      </c>
      <c r="G39" s="25" t="s">
        <v>674</v>
      </c>
      <c r="H39" s="25" t="s">
        <v>674</v>
      </c>
      <c r="I39" s="25" t="s">
        <v>326</v>
      </c>
      <c r="J39" s="25">
        <v>2</v>
      </c>
      <c r="K39" s="25" t="str">
        <f>"이*진"</f>
        <v>이*진</v>
      </c>
      <c r="L39" s="25" t="str">
        <f>"이*진"</f>
        <v>이*진</v>
      </c>
      <c r="M39" s="26">
        <v>8809879544101</v>
      </c>
      <c r="N39" s="25" t="s">
        <v>24</v>
      </c>
      <c r="O39" s="25">
        <v>2</v>
      </c>
      <c r="P39" s="164" t="s">
        <v>685</v>
      </c>
      <c r="Q39" s="25" t="str">
        <f>"2414405580018"</f>
        <v>2414405580018</v>
      </c>
      <c r="R39" s="244" t="str">
        <f>"20260421-0000069"</f>
        <v>20260421-0000069</v>
      </c>
    </row>
    <row r="40" spans="1:18">
      <c r="A40" s="25" t="s">
        <v>39</v>
      </c>
      <c r="B40" s="27">
        <v>46148</v>
      </c>
      <c r="C40" s="25" t="s">
        <v>352</v>
      </c>
      <c r="D40" s="25" t="s">
        <v>259</v>
      </c>
      <c r="E40" s="25" t="s">
        <v>247</v>
      </c>
      <c r="F40" s="25">
        <v>92234762723</v>
      </c>
      <c r="G40" s="25" t="s">
        <v>675</v>
      </c>
      <c r="H40" s="25" t="s">
        <v>675</v>
      </c>
      <c r="I40" s="25" t="s">
        <v>261</v>
      </c>
      <c r="J40" s="25">
        <v>1</v>
      </c>
      <c r="K40" s="25" t="str">
        <f>"김*람"</f>
        <v>김*람</v>
      </c>
      <c r="L40" s="25" t="str">
        <f>"김*람"</f>
        <v>김*람</v>
      </c>
      <c r="M40" s="26">
        <v>8809879544101</v>
      </c>
      <c r="N40" s="25" t="s">
        <v>24</v>
      </c>
      <c r="O40" s="25">
        <v>2</v>
      </c>
      <c r="P40" s="164" t="s">
        <v>685</v>
      </c>
      <c r="Q40" s="25" t="str">
        <f>"20260506-0000014"</f>
        <v>20260506-0000014</v>
      </c>
      <c r="R40" s="244" t="str">
        <f>"20260421-0000142"</f>
        <v>20260421-0000142</v>
      </c>
    </row>
    <row r="41" spans="1:18">
      <c r="A41" s="25" t="s">
        <v>39</v>
      </c>
      <c r="B41" s="27">
        <v>46148</v>
      </c>
      <c r="C41" s="25" t="s">
        <v>352</v>
      </c>
      <c r="D41" s="25" t="s">
        <v>259</v>
      </c>
      <c r="E41" s="25" t="s">
        <v>247</v>
      </c>
      <c r="F41" s="25">
        <v>92234805924</v>
      </c>
      <c r="G41" s="25" t="s">
        <v>676</v>
      </c>
      <c r="H41" s="25" t="s">
        <v>676</v>
      </c>
      <c r="I41" s="25" t="s">
        <v>260</v>
      </c>
      <c r="J41" s="25">
        <v>1</v>
      </c>
      <c r="K41" s="25" t="str">
        <f>"신*영"</f>
        <v>신*영</v>
      </c>
      <c r="L41" s="25" t="str">
        <f>"신*영"</f>
        <v>신*영</v>
      </c>
      <c r="M41" s="26">
        <v>8809879544101</v>
      </c>
      <c r="N41" s="25" t="s">
        <v>24</v>
      </c>
      <c r="O41" s="25">
        <v>1</v>
      </c>
      <c r="P41" s="164" t="s">
        <v>685</v>
      </c>
      <c r="Q41" s="25" t="str">
        <f>"20260506-0000160"</f>
        <v>20260506-0000160</v>
      </c>
      <c r="R41" s="244" t="str">
        <f>"20260420-0000258"</f>
        <v>20260420-0000258</v>
      </c>
    </row>
    <row r="42" spans="1:18">
      <c r="A42" s="25" t="s">
        <v>39</v>
      </c>
      <c r="B42" s="27">
        <v>46148</v>
      </c>
      <c r="C42" s="25" t="s">
        <v>352</v>
      </c>
      <c r="D42" s="25" t="s">
        <v>259</v>
      </c>
      <c r="E42" s="25" t="s">
        <v>247</v>
      </c>
      <c r="F42" s="25">
        <v>92234763084</v>
      </c>
      <c r="G42" s="25" t="s">
        <v>677</v>
      </c>
      <c r="H42" s="25" t="s">
        <v>677</v>
      </c>
      <c r="I42" s="25" t="s">
        <v>260</v>
      </c>
      <c r="J42" s="25">
        <v>1</v>
      </c>
      <c r="K42" s="25" t="str">
        <f>"이*람"</f>
        <v>이*람</v>
      </c>
      <c r="L42" s="25" t="str">
        <f>"이*람"</f>
        <v>이*람</v>
      </c>
      <c r="M42" s="26">
        <v>8809879544101</v>
      </c>
      <c r="N42" s="25" t="s">
        <v>24</v>
      </c>
      <c r="O42" s="25">
        <v>1</v>
      </c>
      <c r="P42" s="164" t="s">
        <v>685</v>
      </c>
      <c r="Q42" s="25" t="str">
        <f>"20260505-0000106"</f>
        <v>20260505-0000106</v>
      </c>
      <c r="R42" s="244" t="str">
        <f>"20260420-0000305"</f>
        <v>20260420-0000305</v>
      </c>
    </row>
    <row r="43" spans="1:18">
      <c r="A43" s="25" t="s">
        <v>39</v>
      </c>
      <c r="B43" s="27">
        <v>46148</v>
      </c>
      <c r="C43" s="25" t="s">
        <v>324</v>
      </c>
      <c r="D43" s="25" t="s">
        <v>325</v>
      </c>
      <c r="E43" s="25" t="s">
        <v>338</v>
      </c>
      <c r="F43" s="25">
        <v>92234777784</v>
      </c>
      <c r="G43" s="25" t="s">
        <v>678</v>
      </c>
      <c r="H43" s="25" t="s">
        <v>678</v>
      </c>
      <c r="I43" s="25" t="s">
        <v>326</v>
      </c>
      <c r="J43" s="25">
        <v>1</v>
      </c>
      <c r="K43" s="25" t="str">
        <f>"최*정"</f>
        <v>최*정</v>
      </c>
      <c r="L43" s="25" t="str">
        <f>"최*정"</f>
        <v>최*정</v>
      </c>
      <c r="M43" s="26">
        <v>8809879544101</v>
      </c>
      <c r="N43" s="25" t="s">
        <v>24</v>
      </c>
      <c r="O43" s="25">
        <v>1</v>
      </c>
      <c r="P43" s="164" t="s">
        <v>685</v>
      </c>
      <c r="Q43" s="25" t="str">
        <f>"2414205510007"</f>
        <v>2414205510007</v>
      </c>
      <c r="R43" s="244" t="str">
        <f>"20260420-0000310"</f>
        <v>20260420-0000310</v>
      </c>
    </row>
    <row r="44" spans="1:18">
      <c r="A44" s="25" t="s">
        <v>39</v>
      </c>
      <c r="B44" s="27">
        <v>46146</v>
      </c>
      <c r="C44" s="25" t="s">
        <v>352</v>
      </c>
      <c r="D44" s="25" t="s">
        <v>259</v>
      </c>
      <c r="E44" s="25" t="s">
        <v>247</v>
      </c>
      <c r="F44" s="25">
        <v>92234714224</v>
      </c>
      <c r="G44" s="25" t="s">
        <v>679</v>
      </c>
      <c r="H44" s="25" t="s">
        <v>679</v>
      </c>
      <c r="I44" s="25" t="s">
        <v>261</v>
      </c>
      <c r="J44" s="25">
        <v>1</v>
      </c>
      <c r="K44" s="25" t="str">
        <f>"인*엽"</f>
        <v>인*엽</v>
      </c>
      <c r="L44" s="25" t="str">
        <f>"인*엽"</f>
        <v>인*엽</v>
      </c>
      <c r="M44" s="26">
        <v>8809879544101</v>
      </c>
      <c r="N44" s="25" t="s">
        <v>24</v>
      </c>
      <c r="O44" s="25">
        <v>2</v>
      </c>
      <c r="P44" s="164" t="s">
        <v>685</v>
      </c>
      <c r="Q44" s="25" t="str">
        <f>"20260504-0000065"</f>
        <v>20260504-0000065</v>
      </c>
      <c r="R44" s="244" t="str">
        <f>"20260420-0000330"</f>
        <v>20260420-0000330</v>
      </c>
    </row>
    <row r="45" spans="1:18">
      <c r="A45" s="25" t="s">
        <v>39</v>
      </c>
      <c r="B45" s="27">
        <v>46146</v>
      </c>
      <c r="C45" s="25" t="s">
        <v>354</v>
      </c>
      <c r="D45" s="25" t="s">
        <v>224</v>
      </c>
      <c r="E45" s="25" t="s">
        <v>248</v>
      </c>
      <c r="F45" s="25">
        <v>92234714191</v>
      </c>
      <c r="G45" s="25" t="s">
        <v>680</v>
      </c>
      <c r="H45" s="25" t="s">
        <v>680</v>
      </c>
      <c r="I45" s="25"/>
      <c r="J45" s="25">
        <v>1</v>
      </c>
      <c r="K45" s="25" t="str">
        <f>"김*희"</f>
        <v>김*희</v>
      </c>
      <c r="L45" s="25" t="str">
        <f>"김*희"</f>
        <v>김*희</v>
      </c>
      <c r="M45" s="26">
        <v>8809879544101</v>
      </c>
      <c r="N45" s="25" t="s">
        <v>24</v>
      </c>
      <c r="O45" s="25">
        <v>1</v>
      </c>
      <c r="P45" s="164" t="s">
        <v>685</v>
      </c>
      <c r="Q45" s="25" t="str">
        <f>"20260504-0000051"</f>
        <v>20260504-0000051</v>
      </c>
      <c r="R45" s="244" t="str">
        <f>"20260421-0000042"</f>
        <v>20260421-0000042</v>
      </c>
    </row>
    <row r="46" spans="1:18">
      <c r="A46" s="25" t="s">
        <v>39</v>
      </c>
      <c r="B46" s="27">
        <v>46146</v>
      </c>
      <c r="C46" s="25" t="s">
        <v>354</v>
      </c>
      <c r="D46" s="25" t="s">
        <v>224</v>
      </c>
      <c r="E46" s="25" t="s">
        <v>247</v>
      </c>
      <c r="F46" s="25">
        <v>92234714132</v>
      </c>
      <c r="G46" s="25" t="s">
        <v>681</v>
      </c>
      <c r="H46" s="25" t="s">
        <v>681</v>
      </c>
      <c r="I46" s="25"/>
      <c r="J46" s="25">
        <v>1</v>
      </c>
      <c r="K46" s="25" t="str">
        <f>"위*란"</f>
        <v>위*란</v>
      </c>
      <c r="L46" s="25" t="str">
        <f>"위*란"</f>
        <v>위*란</v>
      </c>
      <c r="M46" s="26">
        <v>8809879544101</v>
      </c>
      <c r="N46" s="25" t="s">
        <v>24</v>
      </c>
      <c r="O46" s="25">
        <v>1</v>
      </c>
      <c r="P46" s="164" t="s">
        <v>685</v>
      </c>
      <c r="Q46" s="25" t="str">
        <f>"20260501-0000125"</f>
        <v>20260501-0000125</v>
      </c>
      <c r="R46" s="244" t="str">
        <f>"20260420-0000182"</f>
        <v>20260420-0000182</v>
      </c>
    </row>
    <row r="47" spans="1:18">
      <c r="A47" s="25" t="s">
        <v>39</v>
      </c>
      <c r="B47" s="27">
        <v>46146</v>
      </c>
      <c r="C47" s="25" t="s">
        <v>353</v>
      </c>
      <c r="D47" s="25" t="s">
        <v>44</v>
      </c>
      <c r="E47" s="25" t="s">
        <v>247</v>
      </c>
      <c r="F47" s="25">
        <v>92234714132</v>
      </c>
      <c r="G47" s="25" t="s">
        <v>681</v>
      </c>
      <c r="H47" s="25" t="s">
        <v>681</v>
      </c>
      <c r="I47" s="25"/>
      <c r="J47" s="25">
        <v>1</v>
      </c>
      <c r="K47" s="25" t="str">
        <f>"위*란"</f>
        <v>위*란</v>
      </c>
      <c r="L47" s="25" t="str">
        <f>"위*란"</f>
        <v>위*란</v>
      </c>
      <c r="M47" s="26">
        <v>8809879544118</v>
      </c>
      <c r="N47" s="25" t="s">
        <v>23</v>
      </c>
      <c r="O47" s="25">
        <v>1</v>
      </c>
      <c r="P47" s="164" t="s">
        <v>685</v>
      </c>
      <c r="Q47" s="25" t="str">
        <f>"20260501-0000125"</f>
        <v>20260501-0000125</v>
      </c>
      <c r="R47" s="244" t="str">
        <f>"20260420-0000093"</f>
        <v>20260420-0000093</v>
      </c>
    </row>
    <row r="48" spans="1:18">
      <c r="A48" s="25" t="s">
        <v>39</v>
      </c>
      <c r="B48" s="27">
        <v>46146</v>
      </c>
      <c r="C48" s="25" t="s">
        <v>352</v>
      </c>
      <c r="D48" s="25" t="s">
        <v>259</v>
      </c>
      <c r="E48" s="25" t="s">
        <v>247</v>
      </c>
      <c r="F48" s="25">
        <v>92234714353</v>
      </c>
      <c r="G48" s="25" t="s">
        <v>682</v>
      </c>
      <c r="H48" s="25" t="s">
        <v>682</v>
      </c>
      <c r="I48" s="25" t="s">
        <v>260</v>
      </c>
      <c r="J48" s="25">
        <v>1</v>
      </c>
      <c r="K48" s="25" t="str">
        <f>"박*은"</f>
        <v>박*은</v>
      </c>
      <c r="L48" s="25" t="str">
        <f>"박*은"</f>
        <v>박*은</v>
      </c>
      <c r="M48" s="26">
        <v>8809879544101</v>
      </c>
      <c r="N48" s="25" t="s">
        <v>24</v>
      </c>
      <c r="O48" s="25">
        <v>1</v>
      </c>
      <c r="P48" s="164" t="s">
        <v>685</v>
      </c>
      <c r="Q48" s="25" t="str">
        <f>"20260501-0000079"</f>
        <v>20260501-0000079</v>
      </c>
      <c r="R48" s="244" t="str">
        <f>"20260418-0000195"</f>
        <v>20260418-0000195</v>
      </c>
    </row>
    <row r="49" spans="1:18">
      <c r="A49" s="25" t="s">
        <v>39</v>
      </c>
      <c r="B49" s="27">
        <v>46146</v>
      </c>
      <c r="C49" s="25" t="s">
        <v>352</v>
      </c>
      <c r="D49" s="25" t="s">
        <v>259</v>
      </c>
      <c r="E49" s="25" t="s">
        <v>247</v>
      </c>
      <c r="F49" s="25">
        <v>92234714316</v>
      </c>
      <c r="G49" s="25" t="s">
        <v>683</v>
      </c>
      <c r="H49" s="25" t="s">
        <v>683</v>
      </c>
      <c r="I49" s="25" t="s">
        <v>260</v>
      </c>
      <c r="J49" s="25">
        <v>1</v>
      </c>
      <c r="K49" s="25" t="str">
        <f>"서*경"</f>
        <v>서*경</v>
      </c>
      <c r="L49" s="25" t="str">
        <f>"서*경"</f>
        <v>서*경</v>
      </c>
      <c r="M49" s="26">
        <v>8809879544101</v>
      </c>
      <c r="N49" s="25" t="s">
        <v>24</v>
      </c>
      <c r="O49" s="25">
        <v>1</v>
      </c>
      <c r="P49" s="164" t="s">
        <v>685</v>
      </c>
      <c r="Q49" s="25" t="str">
        <f>"20260502-0000061"</f>
        <v>20260502-0000061</v>
      </c>
      <c r="R49" s="244" t="str">
        <f>"20260419-0000013"</f>
        <v>20260419-0000013</v>
      </c>
    </row>
    <row r="50" spans="1:18">
      <c r="A50" s="25" t="s">
        <v>39</v>
      </c>
      <c r="B50" s="27">
        <v>46146</v>
      </c>
      <c r="C50" s="25" t="s">
        <v>352</v>
      </c>
      <c r="D50" s="25" t="s">
        <v>259</v>
      </c>
      <c r="E50" s="25" t="s">
        <v>247</v>
      </c>
      <c r="F50" s="25">
        <v>92234714283</v>
      </c>
      <c r="G50" s="25" t="s">
        <v>684</v>
      </c>
      <c r="H50" s="25" t="s">
        <v>684</v>
      </c>
      <c r="I50" s="25" t="s">
        <v>260</v>
      </c>
      <c r="J50" s="25">
        <v>1</v>
      </c>
      <c r="K50" s="25" t="str">
        <f>"한*정"</f>
        <v>한*정</v>
      </c>
      <c r="L50" s="25" t="str">
        <f>"한*정"</f>
        <v>한*정</v>
      </c>
      <c r="M50" s="26">
        <v>8809879544101</v>
      </c>
      <c r="N50" s="25" t="s">
        <v>24</v>
      </c>
      <c r="O50" s="25">
        <v>1</v>
      </c>
      <c r="P50" s="164" t="s">
        <v>685</v>
      </c>
      <c r="Q50" s="25" t="str">
        <f>"20260503-0000075"</f>
        <v>20260503-0000075</v>
      </c>
      <c r="R50" s="244" t="str">
        <f>"20260419-0000147"</f>
        <v>20260419-0000147</v>
      </c>
    </row>
    <row r="54" spans="1:18">
      <c r="N54" s="164" t="s">
        <v>269</v>
      </c>
      <c r="O54" s="164" t="s">
        <v>21</v>
      </c>
      <c r="P54" s="164" t="s">
        <v>687</v>
      </c>
      <c r="Q54" s="164" t="s">
        <v>61</v>
      </c>
    </row>
    <row r="55" spans="1:18">
      <c r="N55" s="25" t="s">
        <v>24</v>
      </c>
      <c r="O55" s="221">
        <v>87</v>
      </c>
      <c r="P55" s="221">
        <v>2</v>
      </c>
      <c r="Q55" s="221">
        <f>O55+P55</f>
        <v>89</v>
      </c>
    </row>
    <row r="56" spans="1:18">
      <c r="N56" s="375" t="s">
        <v>23</v>
      </c>
      <c r="O56" s="376">
        <v>5</v>
      </c>
      <c r="P56" s="376">
        <v>1</v>
      </c>
      <c r="Q56" s="376">
        <f>O56+P56</f>
        <v>6</v>
      </c>
    </row>
    <row r="57" spans="1:18">
      <c r="N57" s="167" t="s">
        <v>61</v>
      </c>
      <c r="O57" s="377">
        <f>SUM(O55:O56)</f>
        <v>92</v>
      </c>
      <c r="P57" s="377">
        <f>SUM(P55:P56)</f>
        <v>3</v>
      </c>
      <c r="Q57" s="377">
        <f>SUM(Q55:Q56)</f>
        <v>95</v>
      </c>
    </row>
    <row r="59" spans="1:18">
      <c r="N59" s="25" t="s">
        <v>690</v>
      </c>
    </row>
  </sheetData>
  <autoFilter ref="A1:S50" xr:uid="{3144CD3E-0FBE-2A41-9A65-47D7710C1CBB}"/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EBA2-6E99-7843-A69C-CEB3F18A03E3}">
  <dimension ref="A1:AC18"/>
  <sheetViews>
    <sheetView workbookViewId="0">
      <selection activeCell="C21" sqref="C21"/>
    </sheetView>
  </sheetViews>
  <sheetFormatPr baseColWidth="10" defaultRowHeight="15"/>
  <cols>
    <col min="1" max="1" width="21" style="32" bestFit="1" customWidth="1"/>
    <col min="2" max="2" width="21.1640625" style="32" bestFit="1" customWidth="1"/>
    <col min="3" max="3" width="22.5" style="32" bestFit="1" customWidth="1"/>
    <col min="4" max="4" width="11" style="46" bestFit="1" customWidth="1"/>
    <col min="5" max="5" width="19.5" style="32" customWidth="1"/>
    <col min="6" max="6" width="23" style="32" customWidth="1"/>
    <col min="7" max="8" width="13.6640625" style="32" bestFit="1" customWidth="1"/>
    <col min="9" max="9" width="13.5" style="32" customWidth="1"/>
    <col min="10" max="10" width="26.6640625" style="32" customWidth="1"/>
    <col min="11" max="11" width="10.83203125" style="32"/>
    <col min="12" max="13" width="12.6640625" style="32" bestFit="1" customWidth="1"/>
    <col min="14" max="14" width="18.6640625" style="165" bestFit="1" customWidth="1"/>
    <col min="15" max="16384" width="10.83203125" style="32"/>
  </cols>
  <sheetData>
    <row r="1" spans="1:29" ht="16" thickBot="1"/>
    <row r="2" spans="1:29">
      <c r="A2" s="32" t="s">
        <v>408</v>
      </c>
      <c r="C2" s="303" t="s">
        <v>269</v>
      </c>
      <c r="D2" s="304" t="s">
        <v>191</v>
      </c>
      <c r="E2" s="304" t="s">
        <v>268</v>
      </c>
      <c r="F2" s="304" t="s">
        <v>265</v>
      </c>
      <c r="G2" s="304" t="s">
        <v>266</v>
      </c>
      <c r="H2" s="305" t="s">
        <v>267</v>
      </c>
    </row>
    <row r="3" spans="1:29">
      <c r="A3" s="32" t="s">
        <v>270</v>
      </c>
      <c r="C3" s="306" t="s">
        <v>44</v>
      </c>
      <c r="D3" s="201">
        <v>4</v>
      </c>
      <c r="E3" s="307" t="s">
        <v>407</v>
      </c>
      <c r="F3" s="178">
        <f>22000*90%</f>
        <v>19800</v>
      </c>
      <c r="G3" s="308">
        <f>D3*F3</f>
        <v>79200</v>
      </c>
      <c r="H3" s="309">
        <f>22000*D3</f>
        <v>88000</v>
      </c>
    </row>
    <row r="4" spans="1:29">
      <c r="C4" s="306" t="s">
        <v>224</v>
      </c>
      <c r="D4" s="201">
        <v>2</v>
      </c>
      <c r="E4" s="307" t="s">
        <v>407</v>
      </c>
      <c r="F4" s="178">
        <f>22000*90%</f>
        <v>19800</v>
      </c>
      <c r="G4" s="308">
        <f t="shared" ref="G4:G7" si="0">D4*F4</f>
        <v>39600</v>
      </c>
      <c r="H4" s="309">
        <f t="shared" ref="H4:H7" si="1">22000*D4</f>
        <v>44000</v>
      </c>
    </row>
    <row r="5" spans="1:29">
      <c r="C5" s="310"/>
      <c r="D5" s="201"/>
      <c r="E5" s="307"/>
      <c r="F5" s="178"/>
      <c r="G5" s="308"/>
      <c r="H5" s="309"/>
    </row>
    <row r="6" spans="1:29">
      <c r="C6" s="310"/>
      <c r="D6" s="201"/>
      <c r="E6" s="307"/>
      <c r="F6" s="178"/>
      <c r="G6" s="308"/>
      <c r="H6" s="309"/>
    </row>
    <row r="7" spans="1:29">
      <c r="C7" s="311"/>
      <c r="D7" s="203"/>
      <c r="E7" s="204"/>
      <c r="F7" s="205"/>
      <c r="G7" s="206"/>
      <c r="H7" s="312"/>
    </row>
    <row r="8" spans="1:29" ht="16" thickBot="1">
      <c r="C8" s="313" t="s">
        <v>61</v>
      </c>
      <c r="D8" s="314">
        <f>SUBTOTAL(9,D3:D7)</f>
        <v>6</v>
      </c>
      <c r="E8" s="315"/>
      <c r="F8" s="315"/>
      <c r="G8" s="314">
        <f>SUBTOTAL(9,G3:G7)</f>
        <v>118800</v>
      </c>
      <c r="H8" s="316">
        <f>SUBTOTAL(9,H3:H7)</f>
        <v>132000</v>
      </c>
    </row>
    <row r="11" spans="1:29">
      <c r="D11" s="175"/>
    </row>
    <row r="12" spans="1:29">
      <c r="D12" s="175"/>
    </row>
    <row r="13" spans="1:29">
      <c r="A13" s="25" t="s">
        <v>9</v>
      </c>
      <c r="B13" s="25" t="s">
        <v>369</v>
      </c>
      <c r="C13" s="25" t="s">
        <v>370</v>
      </c>
      <c r="D13" s="25" t="s">
        <v>371</v>
      </c>
      <c r="E13" s="25" t="s">
        <v>372</v>
      </c>
      <c r="F13" s="25" t="s">
        <v>158</v>
      </c>
      <c r="G13" s="25" t="s">
        <v>256</v>
      </c>
      <c r="H13" s="25" t="s">
        <v>159</v>
      </c>
      <c r="I13" s="25" t="s">
        <v>373</v>
      </c>
      <c r="J13" s="25" t="s">
        <v>374</v>
      </c>
      <c r="K13" s="25" t="s">
        <v>45</v>
      </c>
      <c r="L13" s="25" t="s">
        <v>6</v>
      </c>
      <c r="M13" s="25" t="s">
        <v>144</v>
      </c>
      <c r="N13" s="25" t="s">
        <v>375</v>
      </c>
      <c r="O13" s="25" t="s">
        <v>376</v>
      </c>
      <c r="P13" s="25" t="s">
        <v>377</v>
      </c>
      <c r="Q13" s="25" t="s">
        <v>378</v>
      </c>
      <c r="R13" s="25" t="s">
        <v>379</v>
      </c>
      <c r="S13" s="25" t="s">
        <v>380</v>
      </c>
      <c r="T13" s="25" t="s">
        <v>381</v>
      </c>
      <c r="U13" s="25" t="s">
        <v>178</v>
      </c>
      <c r="V13" s="25" t="s">
        <v>382</v>
      </c>
      <c r="W13" s="25" t="s">
        <v>383</v>
      </c>
      <c r="X13" s="25" t="s">
        <v>384</v>
      </c>
      <c r="Y13" s="25" t="s">
        <v>385</v>
      </c>
      <c r="Z13" s="25" t="s">
        <v>257</v>
      </c>
      <c r="AA13" s="25" t="s">
        <v>386</v>
      </c>
      <c r="AB13" s="25" t="s">
        <v>387</v>
      </c>
      <c r="AC13" s="25" t="s">
        <v>388</v>
      </c>
    </row>
    <row r="14" spans="1:29">
      <c r="A14" s="25" t="s">
        <v>389</v>
      </c>
      <c r="B14" s="25" t="s">
        <v>390</v>
      </c>
      <c r="C14" s="25" t="s">
        <v>391</v>
      </c>
      <c r="D14" s="25" t="s">
        <v>392</v>
      </c>
      <c r="E14" s="33">
        <v>46143.874814814815</v>
      </c>
      <c r="F14" s="33">
        <v>46146.701631944445</v>
      </c>
      <c r="G14" s="25">
        <v>92234714132</v>
      </c>
      <c r="H14" s="33">
        <v>46149.710127314815</v>
      </c>
      <c r="I14" s="25"/>
      <c r="J14" s="25" t="s">
        <v>44</v>
      </c>
      <c r="K14" s="25"/>
      <c r="L14" s="25">
        <v>1</v>
      </c>
      <c r="M14" s="25">
        <v>22000</v>
      </c>
      <c r="N14" s="25">
        <v>0</v>
      </c>
      <c r="O14" s="25">
        <v>2200</v>
      </c>
      <c r="P14" s="25" t="s">
        <v>393</v>
      </c>
      <c r="Q14" s="25">
        <v>0</v>
      </c>
      <c r="R14" s="25">
        <v>0</v>
      </c>
      <c r="S14" s="25">
        <v>3000</v>
      </c>
      <c r="T14" s="25" t="s">
        <v>394</v>
      </c>
      <c r="U14" s="25" t="s">
        <v>395</v>
      </c>
      <c r="V14" s="25"/>
      <c r="W14" s="25"/>
      <c r="X14" s="25" t="s">
        <v>396</v>
      </c>
      <c r="Y14" s="25">
        <v>22000</v>
      </c>
      <c r="Z14" s="25" t="s">
        <v>258</v>
      </c>
      <c r="AA14" s="25">
        <v>0</v>
      </c>
      <c r="AB14" s="25"/>
      <c r="AC14" s="25"/>
    </row>
    <row r="15" spans="1:29">
      <c r="A15" s="25" t="s">
        <v>389</v>
      </c>
      <c r="B15" s="25" t="s">
        <v>397</v>
      </c>
      <c r="C15" s="25" t="s">
        <v>391</v>
      </c>
      <c r="D15" s="25" t="s">
        <v>392</v>
      </c>
      <c r="E15" s="33">
        <v>46143.874814814815</v>
      </c>
      <c r="F15" s="33">
        <v>46146.701631944445</v>
      </c>
      <c r="G15" s="25">
        <v>92234714132</v>
      </c>
      <c r="H15" s="33">
        <v>46149.710127314815</v>
      </c>
      <c r="I15" s="25"/>
      <c r="J15" s="25" t="s">
        <v>224</v>
      </c>
      <c r="K15" s="25"/>
      <c r="L15" s="25">
        <v>1</v>
      </c>
      <c r="M15" s="25">
        <v>22000</v>
      </c>
      <c r="N15" s="25">
        <v>0</v>
      </c>
      <c r="O15" s="25">
        <v>2200</v>
      </c>
      <c r="P15" s="25" t="s">
        <v>393</v>
      </c>
      <c r="Q15" s="25">
        <v>0</v>
      </c>
      <c r="R15" s="25">
        <v>0</v>
      </c>
      <c r="S15" s="25">
        <v>3000</v>
      </c>
      <c r="T15" s="25" t="s">
        <v>394</v>
      </c>
      <c r="U15" s="25" t="s">
        <v>395</v>
      </c>
      <c r="V15" s="25"/>
      <c r="W15" s="25"/>
      <c r="X15" s="25" t="s">
        <v>396</v>
      </c>
      <c r="Y15" s="25">
        <v>22000</v>
      </c>
      <c r="Z15" s="25" t="s">
        <v>258</v>
      </c>
      <c r="AA15" s="25">
        <v>0</v>
      </c>
      <c r="AB15" s="25"/>
      <c r="AC15" s="25"/>
    </row>
    <row r="16" spans="1:29">
      <c r="A16" s="25" t="s">
        <v>398</v>
      </c>
      <c r="B16" s="25" t="s">
        <v>399</v>
      </c>
      <c r="C16" s="25" t="s">
        <v>391</v>
      </c>
      <c r="D16" s="25" t="s">
        <v>392</v>
      </c>
      <c r="E16" s="33">
        <v>46155.025520833333</v>
      </c>
      <c r="F16" s="33">
        <v>46155.528483796297</v>
      </c>
      <c r="G16" s="25">
        <v>92235030193</v>
      </c>
      <c r="H16" s="33">
        <v>46160.422673611109</v>
      </c>
      <c r="I16" s="25"/>
      <c r="J16" s="25" t="s">
        <v>44</v>
      </c>
      <c r="K16" s="25"/>
      <c r="L16" s="25">
        <v>2</v>
      </c>
      <c r="M16" s="25">
        <v>22000</v>
      </c>
      <c r="N16" s="25">
        <v>0</v>
      </c>
      <c r="O16" s="25">
        <v>4400</v>
      </c>
      <c r="P16" s="25" t="s">
        <v>393</v>
      </c>
      <c r="Q16" s="25">
        <v>0</v>
      </c>
      <c r="R16" s="25">
        <v>0</v>
      </c>
      <c r="S16" s="25">
        <v>0</v>
      </c>
      <c r="T16" s="25"/>
      <c r="U16" s="25" t="s">
        <v>400</v>
      </c>
      <c r="V16" s="25"/>
      <c r="W16" s="25"/>
      <c r="X16" s="25" t="s">
        <v>396</v>
      </c>
      <c r="Y16" s="25">
        <v>22000</v>
      </c>
      <c r="Z16" s="25" t="s">
        <v>258</v>
      </c>
      <c r="AA16" s="25">
        <v>0</v>
      </c>
      <c r="AB16" s="25"/>
      <c r="AC16" s="25"/>
    </row>
    <row r="17" spans="1:29">
      <c r="A17" s="25" t="s">
        <v>401</v>
      </c>
      <c r="B17" s="25" t="s">
        <v>402</v>
      </c>
      <c r="C17" s="25" t="s">
        <v>391</v>
      </c>
      <c r="D17" s="25" t="s">
        <v>392</v>
      </c>
      <c r="E17" s="33">
        <v>46159.771724537037</v>
      </c>
      <c r="F17" s="33">
        <v>46160.403148148151</v>
      </c>
      <c r="G17" s="25">
        <v>92235147631</v>
      </c>
      <c r="H17" s="33">
        <v>46161.598263888889</v>
      </c>
      <c r="I17" s="25"/>
      <c r="J17" s="25" t="s">
        <v>224</v>
      </c>
      <c r="K17" s="25"/>
      <c r="L17" s="25">
        <v>1</v>
      </c>
      <c r="M17" s="25">
        <v>22000</v>
      </c>
      <c r="N17" s="25">
        <v>0</v>
      </c>
      <c r="O17" s="25">
        <v>2200</v>
      </c>
      <c r="P17" s="25" t="s">
        <v>393</v>
      </c>
      <c r="Q17" s="25">
        <v>0</v>
      </c>
      <c r="R17" s="25">
        <v>0</v>
      </c>
      <c r="S17" s="25">
        <v>0</v>
      </c>
      <c r="T17" s="25"/>
      <c r="U17" s="25" t="s">
        <v>403</v>
      </c>
      <c r="V17" s="25"/>
      <c r="W17" s="25"/>
      <c r="X17" s="25" t="s">
        <v>396</v>
      </c>
      <c r="Y17" s="25">
        <v>22000</v>
      </c>
      <c r="Z17" s="25" t="s">
        <v>258</v>
      </c>
      <c r="AA17" s="25">
        <v>0</v>
      </c>
      <c r="AB17" s="25"/>
      <c r="AC17" s="25"/>
    </row>
    <row r="18" spans="1:29">
      <c r="A18" s="25" t="s">
        <v>404</v>
      </c>
      <c r="B18" s="25" t="s">
        <v>405</v>
      </c>
      <c r="C18" s="25" t="s">
        <v>391</v>
      </c>
      <c r="D18" s="25" t="s">
        <v>392</v>
      </c>
      <c r="E18" s="33">
        <v>46172.173020833332</v>
      </c>
      <c r="F18" s="33">
        <v>46174.645358796297</v>
      </c>
      <c r="G18" s="25">
        <v>92235668206</v>
      </c>
      <c r="H18" s="33">
        <v>46175.757187499999</v>
      </c>
      <c r="I18" s="25"/>
      <c r="J18" s="25" t="s">
        <v>44</v>
      </c>
      <c r="K18" s="25"/>
      <c r="L18" s="25">
        <v>1</v>
      </c>
      <c r="M18" s="25">
        <v>22000</v>
      </c>
      <c r="N18" s="25">
        <v>0</v>
      </c>
      <c r="O18" s="25">
        <v>2200</v>
      </c>
      <c r="P18" s="25" t="s">
        <v>393</v>
      </c>
      <c r="Q18" s="25">
        <v>0</v>
      </c>
      <c r="R18" s="25">
        <v>0</v>
      </c>
      <c r="S18" s="25">
        <v>0</v>
      </c>
      <c r="T18" s="25"/>
      <c r="U18" s="25" t="s">
        <v>406</v>
      </c>
      <c r="V18" s="25"/>
      <c r="W18" s="25"/>
      <c r="X18" s="25" t="s">
        <v>396</v>
      </c>
      <c r="Y18" s="25">
        <v>22000</v>
      </c>
      <c r="Z18" s="25" t="s">
        <v>258</v>
      </c>
      <c r="AA18" s="25">
        <v>0</v>
      </c>
      <c r="AB18" s="25"/>
      <c r="AC18" s="25"/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D702-DA3A-6C43-9DC7-B3945C09DC83}">
  <sheetPr filterMode="1"/>
  <dimension ref="A1:AC42"/>
  <sheetViews>
    <sheetView workbookViewId="0">
      <selection activeCell="E50" sqref="E50"/>
    </sheetView>
  </sheetViews>
  <sheetFormatPr baseColWidth="10" defaultRowHeight="15"/>
  <cols>
    <col min="1" max="1" width="21" style="32" bestFit="1" customWidth="1"/>
    <col min="2" max="2" width="21.1640625" style="32" bestFit="1" customWidth="1"/>
    <col min="3" max="3" width="22.5" style="32" bestFit="1" customWidth="1"/>
    <col min="4" max="4" width="11" style="46" bestFit="1" customWidth="1"/>
    <col min="5" max="5" width="25.83203125" style="32" customWidth="1"/>
    <col min="6" max="6" width="23" style="32" customWidth="1"/>
    <col min="7" max="8" width="13.6640625" style="32" bestFit="1" customWidth="1"/>
    <col min="9" max="9" width="13.5" style="32" customWidth="1"/>
    <col min="10" max="10" width="59.6640625" style="32" bestFit="1" customWidth="1"/>
    <col min="11" max="11" width="23.5" style="32" bestFit="1" customWidth="1"/>
    <col min="12" max="13" width="12.6640625" style="32" bestFit="1" customWidth="1"/>
    <col min="14" max="14" width="18.6640625" style="165" bestFit="1" customWidth="1"/>
    <col min="15" max="15" width="16.33203125" style="32" customWidth="1"/>
    <col min="16" max="16384" width="10.83203125" style="32"/>
  </cols>
  <sheetData>
    <row r="1" spans="1:29" ht="16" thickBot="1"/>
    <row r="2" spans="1:29">
      <c r="A2" s="32" t="s">
        <v>408</v>
      </c>
      <c r="C2" s="303" t="s">
        <v>269</v>
      </c>
      <c r="D2" s="304" t="s">
        <v>499</v>
      </c>
      <c r="E2" s="304" t="s">
        <v>268</v>
      </c>
      <c r="F2" s="304" t="s">
        <v>265</v>
      </c>
      <c r="G2" s="304" t="s">
        <v>266</v>
      </c>
      <c r="H2" s="305" t="s">
        <v>267</v>
      </c>
      <c r="I2" s="305" t="s">
        <v>500</v>
      </c>
    </row>
    <row r="3" spans="1:29">
      <c r="A3" s="32" t="s">
        <v>270</v>
      </c>
      <c r="C3" s="306" t="s">
        <v>224</v>
      </c>
      <c r="D3" s="201">
        <v>16</v>
      </c>
      <c r="E3" s="307" t="s">
        <v>497</v>
      </c>
      <c r="F3" s="178">
        <f>H3*0.75</f>
        <v>16500</v>
      </c>
      <c r="G3" s="308">
        <f>D3*F3</f>
        <v>264000</v>
      </c>
      <c r="H3" s="309">
        <v>22000</v>
      </c>
      <c r="I3" s="317">
        <f>D3*1</f>
        <v>16</v>
      </c>
    </row>
    <row r="4" spans="1:29">
      <c r="C4" s="306" t="s">
        <v>224</v>
      </c>
      <c r="D4" s="201">
        <v>10</v>
      </c>
      <c r="E4" s="307" t="s">
        <v>498</v>
      </c>
      <c r="F4" s="178">
        <f>H4*0.68</f>
        <v>29920.000000000004</v>
      </c>
      <c r="G4" s="308">
        <f t="shared" ref="G4:G7" si="0">D4*F4</f>
        <v>299200.00000000006</v>
      </c>
      <c r="H4" s="309">
        <v>44000</v>
      </c>
      <c r="I4" s="317">
        <f>D4*2</f>
        <v>20</v>
      </c>
    </row>
    <row r="5" spans="1:29">
      <c r="C5" s="306" t="s">
        <v>224</v>
      </c>
      <c r="D5" s="201">
        <v>3</v>
      </c>
      <c r="E5" s="307" t="s">
        <v>264</v>
      </c>
      <c r="F5" s="178">
        <f>H5*0.64</f>
        <v>42240</v>
      </c>
      <c r="G5" s="308">
        <f t="shared" si="0"/>
        <v>126720</v>
      </c>
      <c r="H5" s="309">
        <v>66000</v>
      </c>
      <c r="I5" s="317">
        <f>D5*3</f>
        <v>9</v>
      </c>
    </row>
    <row r="6" spans="1:29">
      <c r="C6" s="310"/>
      <c r="D6" s="201"/>
      <c r="E6" s="307"/>
      <c r="F6" s="178"/>
      <c r="G6" s="308"/>
      <c r="H6" s="309"/>
      <c r="I6" s="318"/>
    </row>
    <row r="7" spans="1:29">
      <c r="C7" s="310"/>
      <c r="D7" s="201"/>
      <c r="E7" s="307"/>
      <c r="F7" s="178"/>
      <c r="G7" s="308"/>
      <c r="H7" s="309"/>
      <c r="I7" s="318"/>
    </row>
    <row r="8" spans="1:29" ht="16" thickBot="1">
      <c r="C8" s="365" t="s">
        <v>61</v>
      </c>
      <c r="D8" s="366">
        <f>SUBTOTAL(9,D3:D7)</f>
        <v>29</v>
      </c>
      <c r="E8" s="367"/>
      <c r="F8" s="367"/>
      <c r="G8" s="366">
        <f>SUBTOTAL(9,G3:G7)</f>
        <v>689920</v>
      </c>
      <c r="H8" s="368"/>
      <c r="I8" s="368">
        <f>SUBTOTAL(9,I3:I7)</f>
        <v>45</v>
      </c>
    </row>
    <row r="11" spans="1:29">
      <c r="D11" s="175"/>
    </row>
    <row r="12" spans="1:29">
      <c r="D12" s="175"/>
    </row>
    <row r="13" spans="1:29">
      <c r="A13" s="25" t="s">
        <v>9</v>
      </c>
      <c r="B13" s="25" t="s">
        <v>369</v>
      </c>
      <c r="C13" s="25" t="s">
        <v>370</v>
      </c>
      <c r="D13" s="25" t="s">
        <v>371</v>
      </c>
      <c r="E13" s="25" t="s">
        <v>372</v>
      </c>
      <c r="F13" s="25" t="s">
        <v>158</v>
      </c>
      <c r="G13" s="25" t="s">
        <v>256</v>
      </c>
      <c r="H13" s="25" t="s">
        <v>159</v>
      </c>
      <c r="I13" s="25" t="s">
        <v>373</v>
      </c>
      <c r="J13" s="25" t="s">
        <v>374</v>
      </c>
      <c r="K13" s="25" t="s">
        <v>45</v>
      </c>
      <c r="L13" s="25" t="s">
        <v>6</v>
      </c>
      <c r="M13" s="25" t="s">
        <v>144</v>
      </c>
      <c r="N13" s="25" t="s">
        <v>375</v>
      </c>
      <c r="O13" s="25" t="s">
        <v>376</v>
      </c>
      <c r="P13" s="25" t="s">
        <v>377</v>
      </c>
      <c r="Q13" s="25" t="s">
        <v>378</v>
      </c>
      <c r="R13" s="25" t="s">
        <v>379</v>
      </c>
      <c r="S13" s="25" t="s">
        <v>380</v>
      </c>
      <c r="T13" s="25" t="s">
        <v>381</v>
      </c>
      <c r="U13" s="25" t="s">
        <v>178</v>
      </c>
      <c r="V13" s="25" t="s">
        <v>382</v>
      </c>
      <c r="W13" s="25" t="s">
        <v>383</v>
      </c>
      <c r="X13" s="25" t="s">
        <v>384</v>
      </c>
      <c r="Y13" s="25" t="s">
        <v>385</v>
      </c>
      <c r="Z13" s="25" t="s">
        <v>257</v>
      </c>
      <c r="AA13" s="25" t="s">
        <v>386</v>
      </c>
      <c r="AB13" s="25" t="s">
        <v>387</v>
      </c>
      <c r="AC13" s="25" t="s">
        <v>388</v>
      </c>
    </row>
    <row r="14" spans="1:29">
      <c r="A14" s="25" t="s">
        <v>409</v>
      </c>
      <c r="B14" s="25" t="s">
        <v>410</v>
      </c>
      <c r="C14" s="25" t="s">
        <v>391</v>
      </c>
      <c r="D14" s="25" t="s">
        <v>392</v>
      </c>
      <c r="E14" s="33">
        <v>46143.601898148147</v>
      </c>
      <c r="F14" s="33">
        <v>46146.702106481483</v>
      </c>
      <c r="G14" s="25">
        <v>92234714353</v>
      </c>
      <c r="H14" s="33">
        <v>46152.543206018519</v>
      </c>
      <c r="I14" s="25"/>
      <c r="J14" s="25" t="s">
        <v>411</v>
      </c>
      <c r="K14" s="25" t="s">
        <v>497</v>
      </c>
      <c r="L14" s="25">
        <v>1</v>
      </c>
      <c r="M14" s="25">
        <v>22000</v>
      </c>
      <c r="N14" s="25">
        <v>0</v>
      </c>
      <c r="O14" s="25">
        <v>5500</v>
      </c>
      <c r="P14" s="25" t="s">
        <v>412</v>
      </c>
      <c r="Q14" s="25">
        <v>0</v>
      </c>
      <c r="R14" s="25">
        <v>0</v>
      </c>
      <c r="S14" s="25">
        <v>0</v>
      </c>
      <c r="T14" s="25"/>
      <c r="U14" s="25" t="s">
        <v>413</v>
      </c>
      <c r="V14" s="25"/>
      <c r="W14" s="25"/>
      <c r="X14" s="25" t="s">
        <v>396</v>
      </c>
      <c r="Y14" s="25">
        <v>22000</v>
      </c>
      <c r="Z14" s="25" t="s">
        <v>258</v>
      </c>
      <c r="AA14" s="25">
        <v>0</v>
      </c>
      <c r="AB14" s="25"/>
      <c r="AC14" s="25"/>
    </row>
    <row r="15" spans="1:29">
      <c r="A15" s="25" t="s">
        <v>414</v>
      </c>
      <c r="B15" s="25" t="s">
        <v>415</v>
      </c>
      <c r="C15" s="25" t="s">
        <v>391</v>
      </c>
      <c r="D15" s="25" t="s">
        <v>392</v>
      </c>
      <c r="E15" s="33">
        <v>46144.922384259262</v>
      </c>
      <c r="F15" s="33">
        <v>46146.701631944445</v>
      </c>
      <c r="G15" s="25">
        <v>92234714316</v>
      </c>
      <c r="H15" s="33">
        <v>46149.543425925927</v>
      </c>
      <c r="I15" s="25"/>
      <c r="J15" s="25" t="s">
        <v>259</v>
      </c>
      <c r="K15" s="25" t="s">
        <v>260</v>
      </c>
      <c r="L15" s="25">
        <v>1</v>
      </c>
      <c r="M15" s="25">
        <v>22000</v>
      </c>
      <c r="N15" s="25">
        <v>0</v>
      </c>
      <c r="O15" s="25">
        <v>5500</v>
      </c>
      <c r="P15" s="25" t="s">
        <v>412</v>
      </c>
      <c r="Q15" s="25">
        <v>0</v>
      </c>
      <c r="R15" s="25">
        <v>0</v>
      </c>
      <c r="S15" s="25">
        <v>0</v>
      </c>
      <c r="T15" s="25"/>
      <c r="U15" s="25" t="s">
        <v>416</v>
      </c>
      <c r="V15" s="25"/>
      <c r="W15" s="25"/>
      <c r="X15" s="25" t="s">
        <v>396</v>
      </c>
      <c r="Y15" s="25">
        <v>22000</v>
      </c>
      <c r="Z15" s="25" t="s">
        <v>258</v>
      </c>
      <c r="AA15" s="25">
        <v>0</v>
      </c>
      <c r="AB15" s="25"/>
      <c r="AC15" s="25"/>
    </row>
    <row r="16" spans="1:29">
      <c r="A16" s="25" t="s">
        <v>417</v>
      </c>
      <c r="B16" s="25" t="s">
        <v>418</v>
      </c>
      <c r="C16" s="25" t="s">
        <v>391</v>
      </c>
      <c r="D16" s="25" t="s">
        <v>392</v>
      </c>
      <c r="E16" s="33">
        <v>46145.82335648148</v>
      </c>
      <c r="F16" s="33">
        <v>46146.702118055553</v>
      </c>
      <c r="G16" s="25">
        <v>92234714283</v>
      </c>
      <c r="H16" s="33">
        <v>46154.440567129626</v>
      </c>
      <c r="I16" s="25"/>
      <c r="J16" s="25" t="s">
        <v>259</v>
      </c>
      <c r="K16" s="25" t="s">
        <v>260</v>
      </c>
      <c r="L16" s="25">
        <v>1</v>
      </c>
      <c r="M16" s="25">
        <v>22000</v>
      </c>
      <c r="N16" s="25">
        <v>0</v>
      </c>
      <c r="O16" s="25">
        <v>5500</v>
      </c>
      <c r="P16" s="25" t="s">
        <v>412</v>
      </c>
      <c r="Q16" s="25">
        <v>0</v>
      </c>
      <c r="R16" s="25">
        <v>0</v>
      </c>
      <c r="S16" s="25">
        <v>0</v>
      </c>
      <c r="T16" s="25"/>
      <c r="U16" s="25" t="s">
        <v>419</v>
      </c>
      <c r="V16" s="25"/>
      <c r="W16" s="25"/>
      <c r="X16" s="25" t="s">
        <v>396</v>
      </c>
      <c r="Y16" s="25">
        <v>22000</v>
      </c>
      <c r="Z16" s="25" t="s">
        <v>258</v>
      </c>
      <c r="AA16" s="25">
        <v>0</v>
      </c>
      <c r="AB16" s="25"/>
      <c r="AC16" s="25"/>
    </row>
    <row r="17" spans="1:29" hidden="1">
      <c r="A17" s="25" t="s">
        <v>420</v>
      </c>
      <c r="B17" s="25" t="s">
        <v>421</v>
      </c>
      <c r="C17" s="25" t="s">
        <v>391</v>
      </c>
      <c r="D17" s="25" t="s">
        <v>392</v>
      </c>
      <c r="E17" s="33">
        <v>46146.536585648151</v>
      </c>
      <c r="F17" s="33">
        <v>46146.702118055553</v>
      </c>
      <c r="G17" s="25">
        <v>92234714224</v>
      </c>
      <c r="H17" s="33">
        <v>46152.482407407406</v>
      </c>
      <c r="I17" s="25"/>
      <c r="J17" s="25" t="s">
        <v>259</v>
      </c>
      <c r="K17" s="25" t="s">
        <v>261</v>
      </c>
      <c r="L17" s="25">
        <v>1</v>
      </c>
      <c r="M17" s="25">
        <v>22000</v>
      </c>
      <c r="N17" s="25">
        <v>13400</v>
      </c>
      <c r="O17" s="25">
        <v>5500</v>
      </c>
      <c r="P17" s="25" t="s">
        <v>412</v>
      </c>
      <c r="Q17" s="25">
        <v>0</v>
      </c>
      <c r="R17" s="25">
        <v>0</v>
      </c>
      <c r="S17" s="25">
        <v>0</v>
      </c>
      <c r="T17" s="25"/>
      <c r="U17" s="25" t="s">
        <v>422</v>
      </c>
      <c r="V17" s="25"/>
      <c r="W17" s="25"/>
      <c r="X17" s="25" t="s">
        <v>396</v>
      </c>
      <c r="Y17" s="25">
        <v>35400</v>
      </c>
      <c r="Z17" s="25" t="s">
        <v>258</v>
      </c>
      <c r="AA17" s="25">
        <v>0</v>
      </c>
      <c r="AB17" s="25"/>
      <c r="AC17" s="25"/>
    </row>
    <row r="18" spans="1:29">
      <c r="A18" s="25" t="s">
        <v>423</v>
      </c>
      <c r="B18" s="25" t="s">
        <v>424</v>
      </c>
      <c r="C18" s="25" t="s">
        <v>391</v>
      </c>
      <c r="D18" s="25" t="s">
        <v>392</v>
      </c>
      <c r="E18" s="33">
        <v>46147.889247685183</v>
      </c>
      <c r="F18" s="33">
        <v>46148.555798611109</v>
      </c>
      <c r="G18" s="25">
        <v>92234763084</v>
      </c>
      <c r="H18" s="33">
        <v>46149.598564814813</v>
      </c>
      <c r="I18" s="25"/>
      <c r="J18" s="25" t="s">
        <v>259</v>
      </c>
      <c r="K18" s="25" t="s">
        <v>260</v>
      </c>
      <c r="L18" s="25">
        <v>1</v>
      </c>
      <c r="M18" s="25">
        <v>22000</v>
      </c>
      <c r="N18" s="25">
        <v>0</v>
      </c>
      <c r="O18" s="25">
        <v>5500</v>
      </c>
      <c r="P18" s="25" t="s">
        <v>412</v>
      </c>
      <c r="Q18" s="25">
        <v>0</v>
      </c>
      <c r="R18" s="25">
        <v>0</v>
      </c>
      <c r="S18" s="25">
        <v>0</v>
      </c>
      <c r="T18" s="25"/>
      <c r="U18" s="25" t="s">
        <v>425</v>
      </c>
      <c r="V18" s="25"/>
      <c r="W18" s="25"/>
      <c r="X18" s="25" t="s">
        <v>396</v>
      </c>
      <c r="Y18" s="25">
        <v>22000</v>
      </c>
      <c r="Z18" s="25" t="s">
        <v>258</v>
      </c>
      <c r="AA18" s="25">
        <v>0</v>
      </c>
      <c r="AB18" s="25"/>
      <c r="AC18" s="25"/>
    </row>
    <row r="19" spans="1:29" hidden="1">
      <c r="A19" s="25" t="s">
        <v>426</v>
      </c>
      <c r="B19" s="25" t="s">
        <v>427</v>
      </c>
      <c r="C19" s="25" t="s">
        <v>391</v>
      </c>
      <c r="D19" s="25" t="s">
        <v>392</v>
      </c>
      <c r="E19" s="33">
        <v>46147.997442129628</v>
      </c>
      <c r="F19" s="33">
        <v>46148.556261574071</v>
      </c>
      <c r="G19" s="25">
        <v>92234762723</v>
      </c>
      <c r="H19" s="33">
        <v>46152.626111111109</v>
      </c>
      <c r="I19" s="25"/>
      <c r="J19" s="25" t="s">
        <v>259</v>
      </c>
      <c r="K19" s="25" t="s">
        <v>261</v>
      </c>
      <c r="L19" s="25">
        <v>1</v>
      </c>
      <c r="M19" s="25">
        <v>22000</v>
      </c>
      <c r="N19" s="25">
        <v>13400</v>
      </c>
      <c r="O19" s="25">
        <v>5500</v>
      </c>
      <c r="P19" s="25" t="s">
        <v>412</v>
      </c>
      <c r="Q19" s="25">
        <v>0</v>
      </c>
      <c r="R19" s="25">
        <v>0</v>
      </c>
      <c r="S19" s="25">
        <v>0</v>
      </c>
      <c r="T19" s="25"/>
      <c r="U19" s="25" t="s">
        <v>428</v>
      </c>
      <c r="V19" s="25"/>
      <c r="W19" s="25"/>
      <c r="X19" s="25" t="s">
        <v>396</v>
      </c>
      <c r="Y19" s="25">
        <v>35400</v>
      </c>
      <c r="Z19" s="25" t="s">
        <v>258</v>
      </c>
      <c r="AA19" s="25">
        <v>0</v>
      </c>
      <c r="AB19" s="25"/>
      <c r="AC19" s="25"/>
    </row>
    <row r="20" spans="1:29">
      <c r="A20" s="25" t="s">
        <v>429</v>
      </c>
      <c r="B20" s="25" t="s">
        <v>430</v>
      </c>
      <c r="C20" s="25" t="s">
        <v>391</v>
      </c>
      <c r="D20" s="25" t="s">
        <v>392</v>
      </c>
      <c r="E20" s="33">
        <v>46148.683368055557</v>
      </c>
      <c r="F20" s="33">
        <v>46149.604884259257</v>
      </c>
      <c r="G20" s="25">
        <v>92234805924</v>
      </c>
      <c r="H20" s="33">
        <v>46150.672696759262</v>
      </c>
      <c r="I20" s="25"/>
      <c r="J20" s="25" t="s">
        <v>259</v>
      </c>
      <c r="K20" s="25" t="s">
        <v>260</v>
      </c>
      <c r="L20" s="25">
        <v>1</v>
      </c>
      <c r="M20" s="25">
        <v>22000</v>
      </c>
      <c r="N20" s="25">
        <v>0</v>
      </c>
      <c r="O20" s="25">
        <v>5500</v>
      </c>
      <c r="P20" s="25" t="s">
        <v>412</v>
      </c>
      <c r="Q20" s="25">
        <v>0</v>
      </c>
      <c r="R20" s="25">
        <v>0</v>
      </c>
      <c r="S20" s="25">
        <v>0</v>
      </c>
      <c r="T20" s="25"/>
      <c r="U20" s="25" t="s">
        <v>431</v>
      </c>
      <c r="V20" s="25"/>
      <c r="W20" s="25"/>
      <c r="X20" s="25" t="s">
        <v>396</v>
      </c>
      <c r="Y20" s="25">
        <v>22000</v>
      </c>
      <c r="Z20" s="25" t="s">
        <v>258</v>
      </c>
      <c r="AA20" s="25">
        <v>0</v>
      </c>
      <c r="AB20" s="25"/>
      <c r="AC20" s="25"/>
    </row>
    <row r="21" spans="1:29">
      <c r="A21" s="25" t="s">
        <v>432</v>
      </c>
      <c r="B21" s="25" t="s">
        <v>433</v>
      </c>
      <c r="C21" s="25" t="s">
        <v>391</v>
      </c>
      <c r="D21" s="25" t="s">
        <v>392</v>
      </c>
      <c r="E21" s="33">
        <v>46149.969583333332</v>
      </c>
      <c r="F21" s="33">
        <v>46150.584039351852</v>
      </c>
      <c r="G21" s="25">
        <v>92234852356</v>
      </c>
      <c r="H21" s="33">
        <v>46161.031006944446</v>
      </c>
      <c r="I21" s="25"/>
      <c r="J21" s="25" t="s">
        <v>259</v>
      </c>
      <c r="K21" s="25" t="s">
        <v>260</v>
      </c>
      <c r="L21" s="25">
        <v>1</v>
      </c>
      <c r="M21" s="25">
        <v>22000</v>
      </c>
      <c r="N21" s="25">
        <v>0</v>
      </c>
      <c r="O21" s="25">
        <v>5500</v>
      </c>
      <c r="P21" s="25" t="s">
        <v>412</v>
      </c>
      <c r="Q21" s="25">
        <v>0</v>
      </c>
      <c r="R21" s="25">
        <v>0</v>
      </c>
      <c r="S21" s="25">
        <v>0</v>
      </c>
      <c r="T21" s="25"/>
      <c r="U21" s="25" t="s">
        <v>434</v>
      </c>
      <c r="V21" s="25"/>
      <c r="W21" s="25"/>
      <c r="X21" s="25" t="s">
        <v>396</v>
      </c>
      <c r="Y21" s="25">
        <v>22000</v>
      </c>
      <c r="Z21" s="25" t="s">
        <v>258</v>
      </c>
      <c r="AA21" s="25">
        <v>0</v>
      </c>
      <c r="AB21" s="25"/>
      <c r="AC21" s="25"/>
    </row>
    <row r="22" spans="1:29">
      <c r="A22" s="25" t="s">
        <v>435</v>
      </c>
      <c r="B22" s="25" t="s">
        <v>436</v>
      </c>
      <c r="C22" s="25" t="s">
        <v>391</v>
      </c>
      <c r="D22" s="25" t="s">
        <v>392</v>
      </c>
      <c r="E22" s="33">
        <v>46151.977824074071</v>
      </c>
      <c r="F22" s="33">
        <v>46153.389606481483</v>
      </c>
      <c r="G22" s="25">
        <v>92234907660</v>
      </c>
      <c r="H22" s="33">
        <v>46154.968425925923</v>
      </c>
      <c r="I22" s="25"/>
      <c r="J22" s="25" t="s">
        <v>259</v>
      </c>
      <c r="K22" s="25" t="s">
        <v>260</v>
      </c>
      <c r="L22" s="25">
        <v>1</v>
      </c>
      <c r="M22" s="25">
        <v>22000</v>
      </c>
      <c r="N22" s="25">
        <v>0</v>
      </c>
      <c r="O22" s="25">
        <v>5500</v>
      </c>
      <c r="P22" s="25" t="s">
        <v>412</v>
      </c>
      <c r="Q22" s="25">
        <v>0</v>
      </c>
      <c r="R22" s="25">
        <v>0</v>
      </c>
      <c r="S22" s="25">
        <v>0</v>
      </c>
      <c r="T22" s="25"/>
      <c r="U22" s="25" t="s">
        <v>437</v>
      </c>
      <c r="V22" s="25"/>
      <c r="W22" s="25"/>
      <c r="X22" s="25" t="s">
        <v>396</v>
      </c>
      <c r="Y22" s="25">
        <v>22000</v>
      </c>
      <c r="Z22" s="25" t="s">
        <v>258</v>
      </c>
      <c r="AA22" s="25">
        <v>0</v>
      </c>
      <c r="AB22" s="25"/>
      <c r="AC22" s="25"/>
    </row>
    <row r="23" spans="1:29" hidden="1">
      <c r="A23" s="25" t="s">
        <v>438</v>
      </c>
      <c r="B23" s="25" t="s">
        <v>439</v>
      </c>
      <c r="C23" s="25" t="s">
        <v>391</v>
      </c>
      <c r="D23" s="25" t="s">
        <v>392</v>
      </c>
      <c r="E23" s="33">
        <v>46155.507708333331</v>
      </c>
      <c r="F23" s="33">
        <v>46155.584050925929</v>
      </c>
      <c r="G23" s="25">
        <v>92235033800</v>
      </c>
      <c r="H23" s="33">
        <v>46159.953043981484</v>
      </c>
      <c r="I23" s="25"/>
      <c r="J23" s="25" t="s">
        <v>259</v>
      </c>
      <c r="K23" s="25" t="s">
        <v>261</v>
      </c>
      <c r="L23" s="25">
        <v>1</v>
      </c>
      <c r="M23" s="25">
        <v>22000</v>
      </c>
      <c r="N23" s="25">
        <v>13400</v>
      </c>
      <c r="O23" s="25">
        <v>5500</v>
      </c>
      <c r="P23" s="25" t="s">
        <v>412</v>
      </c>
      <c r="Q23" s="25">
        <v>0</v>
      </c>
      <c r="R23" s="25">
        <v>0</v>
      </c>
      <c r="S23" s="25">
        <v>0</v>
      </c>
      <c r="T23" s="25"/>
      <c r="U23" s="25" t="s">
        <v>440</v>
      </c>
      <c r="V23" s="25"/>
      <c r="W23" s="25"/>
      <c r="X23" s="25" t="s">
        <v>396</v>
      </c>
      <c r="Y23" s="25">
        <v>35400</v>
      </c>
      <c r="Z23" s="25" t="s">
        <v>258</v>
      </c>
      <c r="AA23" s="25">
        <v>3000</v>
      </c>
      <c r="AB23" s="25"/>
      <c r="AC23" s="25"/>
    </row>
    <row r="24" spans="1:29">
      <c r="A24" s="25" t="s">
        <v>441</v>
      </c>
      <c r="B24" s="25" t="s">
        <v>442</v>
      </c>
      <c r="C24" s="25" t="s">
        <v>391</v>
      </c>
      <c r="D24" s="25" t="s">
        <v>392</v>
      </c>
      <c r="E24" s="33">
        <v>46155.542303240742</v>
      </c>
      <c r="F24" s="33">
        <v>46155.584050925929</v>
      </c>
      <c r="G24" s="25">
        <v>92235033870</v>
      </c>
      <c r="H24" s="33">
        <v>46156.943495370368</v>
      </c>
      <c r="I24" s="25"/>
      <c r="J24" s="25" t="s">
        <v>259</v>
      </c>
      <c r="K24" s="25" t="s">
        <v>260</v>
      </c>
      <c r="L24" s="25">
        <v>1</v>
      </c>
      <c r="M24" s="25">
        <v>22000</v>
      </c>
      <c r="N24" s="25">
        <v>0</v>
      </c>
      <c r="O24" s="25">
        <v>5500</v>
      </c>
      <c r="P24" s="25" t="s">
        <v>412</v>
      </c>
      <c r="Q24" s="25">
        <v>0</v>
      </c>
      <c r="R24" s="25">
        <v>0</v>
      </c>
      <c r="S24" s="25">
        <v>0</v>
      </c>
      <c r="T24" s="25"/>
      <c r="U24" s="25" t="s">
        <v>443</v>
      </c>
      <c r="V24" s="25"/>
      <c r="W24" s="25"/>
      <c r="X24" s="25" t="s">
        <v>396</v>
      </c>
      <c r="Y24" s="25">
        <v>22000</v>
      </c>
      <c r="Z24" s="25" t="s">
        <v>258</v>
      </c>
      <c r="AA24" s="25">
        <v>0</v>
      </c>
      <c r="AB24" s="25"/>
      <c r="AC24" s="25"/>
    </row>
    <row r="25" spans="1:29" hidden="1">
      <c r="A25" s="25" t="s">
        <v>444</v>
      </c>
      <c r="B25" s="25" t="s">
        <v>445</v>
      </c>
      <c r="C25" s="25" t="s">
        <v>391</v>
      </c>
      <c r="D25" s="25" t="s">
        <v>392</v>
      </c>
      <c r="E25" s="33">
        <v>46155.584629629629</v>
      </c>
      <c r="F25" s="33">
        <v>46155.681261574071</v>
      </c>
      <c r="G25" s="25">
        <v>92235044171</v>
      </c>
      <c r="H25" s="33">
        <v>46157.427905092591</v>
      </c>
      <c r="I25" s="25"/>
      <c r="J25" s="25" t="s">
        <v>259</v>
      </c>
      <c r="K25" s="25" t="s">
        <v>262</v>
      </c>
      <c r="L25" s="25">
        <v>1</v>
      </c>
      <c r="M25" s="25">
        <v>22000</v>
      </c>
      <c r="N25" s="25">
        <v>25700</v>
      </c>
      <c r="O25" s="25">
        <v>5500</v>
      </c>
      <c r="P25" s="25" t="s">
        <v>412</v>
      </c>
      <c r="Q25" s="25">
        <v>0</v>
      </c>
      <c r="R25" s="25">
        <v>0</v>
      </c>
      <c r="S25" s="25">
        <v>0</v>
      </c>
      <c r="T25" s="25"/>
      <c r="U25" s="25" t="s">
        <v>446</v>
      </c>
      <c r="V25" s="25"/>
      <c r="W25" s="25"/>
      <c r="X25" s="25" t="s">
        <v>396</v>
      </c>
      <c r="Y25" s="25">
        <v>47700</v>
      </c>
      <c r="Z25" s="25" t="s">
        <v>258</v>
      </c>
      <c r="AA25" s="25">
        <v>0</v>
      </c>
      <c r="AB25" s="25"/>
      <c r="AC25" s="25"/>
    </row>
    <row r="26" spans="1:29" hidden="1">
      <c r="A26" s="25" t="s">
        <v>447</v>
      </c>
      <c r="B26" s="25" t="s">
        <v>448</v>
      </c>
      <c r="C26" s="25" t="s">
        <v>391</v>
      </c>
      <c r="D26" s="25" t="s">
        <v>392</v>
      </c>
      <c r="E26" s="33">
        <v>46155.690972222219</v>
      </c>
      <c r="F26" s="33">
        <v>46156.410439814812</v>
      </c>
      <c r="G26" s="25">
        <v>92235055533</v>
      </c>
      <c r="H26" s="33">
        <v>46165.047534722224</v>
      </c>
      <c r="I26" s="25"/>
      <c r="J26" s="25" t="s">
        <v>259</v>
      </c>
      <c r="K26" s="25" t="s">
        <v>261</v>
      </c>
      <c r="L26" s="25">
        <v>1</v>
      </c>
      <c r="M26" s="25">
        <v>22000</v>
      </c>
      <c r="N26" s="25">
        <v>13400</v>
      </c>
      <c r="O26" s="25">
        <v>5500</v>
      </c>
      <c r="P26" s="25" t="s">
        <v>412</v>
      </c>
      <c r="Q26" s="25">
        <v>0</v>
      </c>
      <c r="R26" s="25">
        <v>0</v>
      </c>
      <c r="S26" s="25">
        <v>0</v>
      </c>
      <c r="T26" s="25"/>
      <c r="U26" s="25" t="s">
        <v>449</v>
      </c>
      <c r="V26" s="25"/>
      <c r="W26" s="25"/>
      <c r="X26" s="25" t="s">
        <v>396</v>
      </c>
      <c r="Y26" s="25">
        <v>35400</v>
      </c>
      <c r="Z26" s="25" t="s">
        <v>258</v>
      </c>
      <c r="AA26" s="25">
        <v>0</v>
      </c>
      <c r="AB26" s="25"/>
      <c r="AC26" s="25"/>
    </row>
    <row r="27" spans="1:29">
      <c r="A27" s="25" t="s">
        <v>450</v>
      </c>
      <c r="B27" s="25" t="s">
        <v>451</v>
      </c>
      <c r="C27" s="25" t="s">
        <v>391</v>
      </c>
      <c r="D27" s="25" t="s">
        <v>392</v>
      </c>
      <c r="E27" s="33">
        <v>46155.826296296298</v>
      </c>
      <c r="F27" s="33">
        <v>46156.410439814812</v>
      </c>
      <c r="G27" s="25">
        <v>92235056082</v>
      </c>
      <c r="H27" s="33">
        <v>46157.817106481481</v>
      </c>
      <c r="I27" s="25"/>
      <c r="J27" s="25" t="s">
        <v>259</v>
      </c>
      <c r="K27" s="25" t="s">
        <v>260</v>
      </c>
      <c r="L27" s="25">
        <v>1</v>
      </c>
      <c r="M27" s="25">
        <v>22000</v>
      </c>
      <c r="N27" s="25">
        <v>0</v>
      </c>
      <c r="O27" s="25">
        <v>5500</v>
      </c>
      <c r="P27" s="25" t="s">
        <v>412</v>
      </c>
      <c r="Q27" s="25">
        <v>0</v>
      </c>
      <c r="R27" s="25">
        <v>0</v>
      </c>
      <c r="S27" s="25">
        <v>0</v>
      </c>
      <c r="T27" s="25"/>
      <c r="U27" s="25" t="s">
        <v>452</v>
      </c>
      <c r="V27" s="25"/>
      <c r="W27" s="25"/>
      <c r="X27" s="25" t="s">
        <v>396</v>
      </c>
      <c r="Y27" s="25">
        <v>22000</v>
      </c>
      <c r="Z27" s="25" t="s">
        <v>258</v>
      </c>
      <c r="AA27" s="25">
        <v>0</v>
      </c>
      <c r="AB27" s="25"/>
      <c r="AC27" s="25"/>
    </row>
    <row r="28" spans="1:29" hidden="1">
      <c r="A28" s="25" t="s">
        <v>453</v>
      </c>
      <c r="B28" s="25" t="s">
        <v>454</v>
      </c>
      <c r="C28" s="25" t="s">
        <v>391</v>
      </c>
      <c r="D28" s="25" t="s">
        <v>392</v>
      </c>
      <c r="E28" s="33">
        <v>46155.966840277775</v>
      </c>
      <c r="F28" s="33">
        <v>46156.410439814812</v>
      </c>
      <c r="G28" s="25">
        <v>92235055920</v>
      </c>
      <c r="H28" s="33">
        <v>46165.048344907409</v>
      </c>
      <c r="I28" s="25"/>
      <c r="J28" s="25" t="s">
        <v>259</v>
      </c>
      <c r="K28" s="25" t="s">
        <v>262</v>
      </c>
      <c r="L28" s="25">
        <v>1</v>
      </c>
      <c r="M28" s="25">
        <v>22000</v>
      </c>
      <c r="N28" s="25">
        <v>25700</v>
      </c>
      <c r="O28" s="25">
        <v>5500</v>
      </c>
      <c r="P28" s="25" t="s">
        <v>412</v>
      </c>
      <c r="Q28" s="25">
        <v>0</v>
      </c>
      <c r="R28" s="25">
        <v>0</v>
      </c>
      <c r="S28" s="25">
        <v>0</v>
      </c>
      <c r="T28" s="25"/>
      <c r="U28" s="25" t="s">
        <v>455</v>
      </c>
      <c r="V28" s="25"/>
      <c r="W28" s="25"/>
      <c r="X28" s="25" t="s">
        <v>396</v>
      </c>
      <c r="Y28" s="25">
        <v>47700</v>
      </c>
      <c r="Z28" s="25" t="s">
        <v>258</v>
      </c>
      <c r="AA28" s="25">
        <v>0</v>
      </c>
      <c r="AB28" s="25"/>
      <c r="AC28" s="25"/>
    </row>
    <row r="29" spans="1:29">
      <c r="A29" s="25" t="s">
        <v>456</v>
      </c>
      <c r="B29" s="25" t="s">
        <v>457</v>
      </c>
      <c r="C29" s="25" t="s">
        <v>391</v>
      </c>
      <c r="D29" s="25" t="s">
        <v>392</v>
      </c>
      <c r="E29" s="33">
        <v>46156.024270833332</v>
      </c>
      <c r="F29" s="33">
        <v>46156.410451388889</v>
      </c>
      <c r="G29" s="25">
        <v>92235055990</v>
      </c>
      <c r="H29" s="33">
        <v>46165.048310185186</v>
      </c>
      <c r="I29" s="25"/>
      <c r="J29" s="25" t="s">
        <v>259</v>
      </c>
      <c r="K29" s="25" t="s">
        <v>260</v>
      </c>
      <c r="L29" s="25">
        <v>1</v>
      </c>
      <c r="M29" s="25">
        <v>22000</v>
      </c>
      <c r="N29" s="25">
        <v>0</v>
      </c>
      <c r="O29" s="25">
        <v>5500</v>
      </c>
      <c r="P29" s="25" t="s">
        <v>412</v>
      </c>
      <c r="Q29" s="25">
        <v>0</v>
      </c>
      <c r="R29" s="25">
        <v>0</v>
      </c>
      <c r="S29" s="25">
        <v>0</v>
      </c>
      <c r="T29" s="25"/>
      <c r="U29" s="25" t="s">
        <v>458</v>
      </c>
      <c r="V29" s="25"/>
      <c r="W29" s="25"/>
      <c r="X29" s="25" t="s">
        <v>396</v>
      </c>
      <c r="Y29" s="25">
        <v>22000</v>
      </c>
      <c r="Z29" s="25" t="s">
        <v>258</v>
      </c>
      <c r="AA29" s="25">
        <v>0</v>
      </c>
      <c r="AB29" s="25"/>
      <c r="AC29" s="25"/>
    </row>
    <row r="30" spans="1:29">
      <c r="A30" s="25" t="s">
        <v>459</v>
      </c>
      <c r="B30" s="25" t="s">
        <v>460</v>
      </c>
      <c r="C30" s="25" t="s">
        <v>391</v>
      </c>
      <c r="D30" s="25" t="s">
        <v>392</v>
      </c>
      <c r="E30" s="33">
        <v>46156.207511574074</v>
      </c>
      <c r="F30" s="33">
        <v>46156.409953703704</v>
      </c>
      <c r="G30" s="25">
        <v>92235055986</v>
      </c>
      <c r="H30" s="33">
        <v>46157.514861111114</v>
      </c>
      <c r="I30" s="25"/>
      <c r="J30" s="25" t="s">
        <v>259</v>
      </c>
      <c r="K30" s="25" t="s">
        <v>260</v>
      </c>
      <c r="L30" s="25">
        <v>1</v>
      </c>
      <c r="M30" s="25">
        <v>22000</v>
      </c>
      <c r="N30" s="25">
        <v>0</v>
      </c>
      <c r="O30" s="25">
        <v>5500</v>
      </c>
      <c r="P30" s="25" t="s">
        <v>412</v>
      </c>
      <c r="Q30" s="25">
        <v>0</v>
      </c>
      <c r="R30" s="25">
        <v>0</v>
      </c>
      <c r="S30" s="25">
        <v>0</v>
      </c>
      <c r="T30" s="25"/>
      <c r="U30" s="25" t="s">
        <v>461</v>
      </c>
      <c r="V30" s="25"/>
      <c r="W30" s="25"/>
      <c r="X30" s="25" t="s">
        <v>396</v>
      </c>
      <c r="Y30" s="25">
        <v>22000</v>
      </c>
      <c r="Z30" s="25" t="s">
        <v>258</v>
      </c>
      <c r="AA30" s="25">
        <v>0</v>
      </c>
      <c r="AB30" s="25"/>
      <c r="AC30" s="25"/>
    </row>
    <row r="31" spans="1:29">
      <c r="A31" s="25" t="s">
        <v>462</v>
      </c>
      <c r="B31" s="25" t="s">
        <v>463</v>
      </c>
      <c r="C31" s="25" t="s">
        <v>391</v>
      </c>
      <c r="D31" s="25" t="s">
        <v>392</v>
      </c>
      <c r="E31" s="33">
        <v>46156.393043981479</v>
      </c>
      <c r="F31" s="33">
        <v>46156.576585648145</v>
      </c>
      <c r="G31" s="25">
        <v>92235071714</v>
      </c>
      <c r="H31" s="33">
        <v>46157.635613425926</v>
      </c>
      <c r="I31" s="25"/>
      <c r="J31" s="25" t="s">
        <v>259</v>
      </c>
      <c r="K31" s="25" t="s">
        <v>260</v>
      </c>
      <c r="L31" s="25">
        <v>1</v>
      </c>
      <c r="M31" s="25">
        <v>22000</v>
      </c>
      <c r="N31" s="25">
        <v>0</v>
      </c>
      <c r="O31" s="25">
        <v>5500</v>
      </c>
      <c r="P31" s="25" t="s">
        <v>412</v>
      </c>
      <c r="Q31" s="25">
        <v>0</v>
      </c>
      <c r="R31" s="25">
        <v>0</v>
      </c>
      <c r="S31" s="25">
        <v>0</v>
      </c>
      <c r="T31" s="25"/>
      <c r="U31" s="25" t="s">
        <v>464</v>
      </c>
      <c r="V31" s="25"/>
      <c r="W31" s="25"/>
      <c r="X31" s="25" t="s">
        <v>396</v>
      </c>
      <c r="Y31" s="25">
        <v>22000</v>
      </c>
      <c r="Z31" s="25" t="s">
        <v>258</v>
      </c>
      <c r="AA31" s="25">
        <v>0</v>
      </c>
      <c r="AB31" s="25"/>
      <c r="AC31" s="25"/>
    </row>
    <row r="32" spans="1:29" hidden="1">
      <c r="A32" s="25" t="s">
        <v>465</v>
      </c>
      <c r="B32" s="25" t="s">
        <v>466</v>
      </c>
      <c r="C32" s="25" t="s">
        <v>391</v>
      </c>
      <c r="D32" s="25" t="s">
        <v>392</v>
      </c>
      <c r="E32" s="33">
        <v>46156.630393518521</v>
      </c>
      <c r="F32" s="33">
        <v>46157.389189814814</v>
      </c>
      <c r="G32" s="25">
        <v>92235090065</v>
      </c>
      <c r="H32" s="33">
        <v>46158.777928240743</v>
      </c>
      <c r="I32" s="25"/>
      <c r="J32" s="25" t="s">
        <v>259</v>
      </c>
      <c r="K32" s="25" t="s">
        <v>261</v>
      </c>
      <c r="L32" s="25">
        <v>1</v>
      </c>
      <c r="M32" s="25">
        <v>22000</v>
      </c>
      <c r="N32" s="25">
        <v>13400</v>
      </c>
      <c r="O32" s="25">
        <v>5500</v>
      </c>
      <c r="P32" s="25" t="s">
        <v>412</v>
      </c>
      <c r="Q32" s="25">
        <v>0</v>
      </c>
      <c r="R32" s="25">
        <v>0</v>
      </c>
      <c r="S32" s="25">
        <v>0</v>
      </c>
      <c r="T32" s="25"/>
      <c r="U32" s="25" t="s">
        <v>467</v>
      </c>
      <c r="V32" s="25"/>
      <c r="W32" s="25"/>
      <c r="X32" s="25" t="s">
        <v>396</v>
      </c>
      <c r="Y32" s="25">
        <v>35400</v>
      </c>
      <c r="Z32" s="25" t="s">
        <v>258</v>
      </c>
      <c r="AA32" s="25">
        <v>0</v>
      </c>
      <c r="AB32" s="25"/>
      <c r="AC32" s="25"/>
    </row>
    <row r="33" spans="1:29" hidden="1">
      <c r="A33" s="25" t="s">
        <v>468</v>
      </c>
      <c r="B33" s="25" t="s">
        <v>469</v>
      </c>
      <c r="C33" s="25" t="s">
        <v>391</v>
      </c>
      <c r="D33" s="25" t="s">
        <v>392</v>
      </c>
      <c r="E33" s="33">
        <v>46156.67628472222</v>
      </c>
      <c r="F33" s="33">
        <v>46157.389606481483</v>
      </c>
      <c r="G33" s="25">
        <v>92235090054</v>
      </c>
      <c r="H33" s="33">
        <v>46162.191793981481</v>
      </c>
      <c r="I33" s="25"/>
      <c r="J33" s="25" t="s">
        <v>259</v>
      </c>
      <c r="K33" s="25" t="s">
        <v>261</v>
      </c>
      <c r="L33" s="25">
        <v>1</v>
      </c>
      <c r="M33" s="25">
        <v>22000</v>
      </c>
      <c r="N33" s="25">
        <v>13400</v>
      </c>
      <c r="O33" s="25">
        <v>5500</v>
      </c>
      <c r="P33" s="25" t="s">
        <v>412</v>
      </c>
      <c r="Q33" s="25">
        <v>0</v>
      </c>
      <c r="R33" s="25">
        <v>0</v>
      </c>
      <c r="S33" s="25">
        <v>0</v>
      </c>
      <c r="T33" s="25"/>
      <c r="U33" s="25" t="s">
        <v>470</v>
      </c>
      <c r="V33" s="25"/>
      <c r="W33" s="25"/>
      <c r="X33" s="25" t="s">
        <v>396</v>
      </c>
      <c r="Y33" s="25">
        <v>35400</v>
      </c>
      <c r="Z33" s="25" t="s">
        <v>258</v>
      </c>
      <c r="AA33" s="25">
        <v>0</v>
      </c>
      <c r="AB33" s="25"/>
      <c r="AC33" s="25"/>
    </row>
    <row r="34" spans="1:29" hidden="1">
      <c r="A34" s="25" t="s">
        <v>471</v>
      </c>
      <c r="B34" s="25" t="s">
        <v>472</v>
      </c>
      <c r="C34" s="25" t="s">
        <v>391</v>
      </c>
      <c r="D34" s="25" t="s">
        <v>392</v>
      </c>
      <c r="E34" s="33">
        <v>46156.788807870369</v>
      </c>
      <c r="F34" s="33">
        <v>46157.389189814814</v>
      </c>
      <c r="G34" s="25">
        <v>92235090043</v>
      </c>
      <c r="H34" s="33">
        <v>46158.432210648149</v>
      </c>
      <c r="I34" s="25"/>
      <c r="J34" s="25" t="s">
        <v>259</v>
      </c>
      <c r="K34" s="25" t="s">
        <v>261</v>
      </c>
      <c r="L34" s="25">
        <v>1</v>
      </c>
      <c r="M34" s="25">
        <v>22000</v>
      </c>
      <c r="N34" s="25">
        <v>13400</v>
      </c>
      <c r="O34" s="25">
        <v>5500</v>
      </c>
      <c r="P34" s="25" t="s">
        <v>412</v>
      </c>
      <c r="Q34" s="25">
        <v>0</v>
      </c>
      <c r="R34" s="25">
        <v>0</v>
      </c>
      <c r="S34" s="25">
        <v>0</v>
      </c>
      <c r="T34" s="25"/>
      <c r="U34" s="25" t="s">
        <v>473</v>
      </c>
      <c r="V34" s="25"/>
      <c r="W34" s="25"/>
      <c r="X34" s="25" t="s">
        <v>396</v>
      </c>
      <c r="Y34" s="25">
        <v>35400</v>
      </c>
      <c r="Z34" s="25" t="s">
        <v>258</v>
      </c>
      <c r="AA34" s="25">
        <v>0</v>
      </c>
      <c r="AB34" s="25"/>
      <c r="AC34" s="25"/>
    </row>
    <row r="35" spans="1:29">
      <c r="A35" s="25" t="s">
        <v>474</v>
      </c>
      <c r="B35" s="25" t="s">
        <v>475</v>
      </c>
      <c r="C35" s="25" t="s">
        <v>391</v>
      </c>
      <c r="D35" s="25" t="s">
        <v>392</v>
      </c>
      <c r="E35" s="33">
        <v>46157.117685185185</v>
      </c>
      <c r="F35" s="33">
        <v>46157.389606481483</v>
      </c>
      <c r="G35" s="25">
        <v>92235090076</v>
      </c>
      <c r="H35" s="33">
        <v>46158.767141203702</v>
      </c>
      <c r="I35" s="25"/>
      <c r="J35" s="25" t="s">
        <v>259</v>
      </c>
      <c r="K35" s="25" t="s">
        <v>260</v>
      </c>
      <c r="L35" s="25">
        <v>1</v>
      </c>
      <c r="M35" s="25">
        <v>22000</v>
      </c>
      <c r="N35" s="25">
        <v>0</v>
      </c>
      <c r="O35" s="25">
        <v>5500</v>
      </c>
      <c r="P35" s="25" t="s">
        <v>412</v>
      </c>
      <c r="Q35" s="25">
        <v>0</v>
      </c>
      <c r="R35" s="25">
        <v>0</v>
      </c>
      <c r="S35" s="25">
        <v>0</v>
      </c>
      <c r="T35" s="25"/>
      <c r="U35" s="25" t="s">
        <v>476</v>
      </c>
      <c r="V35" s="25"/>
      <c r="W35" s="25"/>
      <c r="X35" s="25" t="s">
        <v>396</v>
      </c>
      <c r="Y35" s="25">
        <v>22000</v>
      </c>
      <c r="Z35" s="25" t="s">
        <v>258</v>
      </c>
      <c r="AA35" s="25">
        <v>0</v>
      </c>
      <c r="AB35" s="25"/>
      <c r="AC35" s="25"/>
    </row>
    <row r="36" spans="1:29" hidden="1">
      <c r="A36" s="25" t="s">
        <v>477</v>
      </c>
      <c r="B36" s="25" t="s">
        <v>478</v>
      </c>
      <c r="C36" s="25" t="s">
        <v>391</v>
      </c>
      <c r="D36" s="25" t="s">
        <v>392</v>
      </c>
      <c r="E36" s="33">
        <v>46157.470706018517</v>
      </c>
      <c r="F36" s="33">
        <v>46157.625532407408</v>
      </c>
      <c r="G36" s="25">
        <v>92235116142</v>
      </c>
      <c r="H36" s="33">
        <v>46158.575057870374</v>
      </c>
      <c r="I36" s="25"/>
      <c r="J36" s="25" t="s">
        <v>259</v>
      </c>
      <c r="K36" s="25" t="s">
        <v>261</v>
      </c>
      <c r="L36" s="25">
        <v>1</v>
      </c>
      <c r="M36" s="25">
        <v>22000</v>
      </c>
      <c r="N36" s="25">
        <v>13400</v>
      </c>
      <c r="O36" s="25">
        <v>5500</v>
      </c>
      <c r="P36" s="25" t="s">
        <v>412</v>
      </c>
      <c r="Q36" s="25">
        <v>0</v>
      </c>
      <c r="R36" s="25">
        <v>0</v>
      </c>
      <c r="S36" s="25">
        <v>0</v>
      </c>
      <c r="T36" s="25"/>
      <c r="U36" s="25" t="s">
        <v>479</v>
      </c>
      <c r="V36" s="25"/>
      <c r="W36" s="25"/>
      <c r="X36" s="25" t="s">
        <v>396</v>
      </c>
      <c r="Y36" s="25">
        <v>35400</v>
      </c>
      <c r="Z36" s="25" t="s">
        <v>258</v>
      </c>
      <c r="AA36" s="25">
        <v>0</v>
      </c>
      <c r="AB36" s="25"/>
      <c r="AC36" s="25"/>
    </row>
    <row r="37" spans="1:29" hidden="1">
      <c r="A37" s="25" t="s">
        <v>480</v>
      </c>
      <c r="B37" s="25" t="s">
        <v>481</v>
      </c>
      <c r="C37" s="25" t="s">
        <v>391</v>
      </c>
      <c r="D37" s="25" t="s">
        <v>392</v>
      </c>
      <c r="E37" s="33">
        <v>46157.977175925924</v>
      </c>
      <c r="F37" s="33">
        <v>46160.403495370374</v>
      </c>
      <c r="G37" s="25">
        <v>92235147141</v>
      </c>
      <c r="H37" s="33">
        <v>46169.061365740738</v>
      </c>
      <c r="I37" s="25"/>
      <c r="J37" s="25" t="s">
        <v>259</v>
      </c>
      <c r="K37" s="25" t="s">
        <v>261</v>
      </c>
      <c r="L37" s="25">
        <v>1</v>
      </c>
      <c r="M37" s="25">
        <v>22000</v>
      </c>
      <c r="N37" s="25">
        <v>13400</v>
      </c>
      <c r="O37" s="25">
        <v>5500</v>
      </c>
      <c r="P37" s="25" t="s">
        <v>412</v>
      </c>
      <c r="Q37" s="25">
        <v>0</v>
      </c>
      <c r="R37" s="25">
        <v>0</v>
      </c>
      <c r="S37" s="25">
        <v>0</v>
      </c>
      <c r="T37" s="25"/>
      <c r="U37" s="25" t="s">
        <v>482</v>
      </c>
      <c r="V37" s="25"/>
      <c r="W37" s="25"/>
      <c r="X37" s="25" t="s">
        <v>396</v>
      </c>
      <c r="Y37" s="25">
        <v>35400</v>
      </c>
      <c r="Z37" s="25" t="s">
        <v>258</v>
      </c>
      <c r="AA37" s="25">
        <v>0</v>
      </c>
      <c r="AB37" s="25"/>
      <c r="AC37" s="25"/>
    </row>
    <row r="38" spans="1:29">
      <c r="A38" s="25" t="s">
        <v>483</v>
      </c>
      <c r="B38" s="25" t="s">
        <v>484</v>
      </c>
      <c r="C38" s="25" t="s">
        <v>391</v>
      </c>
      <c r="D38" s="25" t="s">
        <v>392</v>
      </c>
      <c r="E38" s="33">
        <v>46158.002893518518</v>
      </c>
      <c r="F38" s="33">
        <v>46160.403495370374</v>
      </c>
      <c r="G38" s="25">
        <v>92235147771</v>
      </c>
      <c r="H38" s="33">
        <v>46163.741967592592</v>
      </c>
      <c r="I38" s="25"/>
      <c r="J38" s="25" t="s">
        <v>259</v>
      </c>
      <c r="K38" s="25" t="s">
        <v>260</v>
      </c>
      <c r="L38" s="25">
        <v>1</v>
      </c>
      <c r="M38" s="25">
        <v>22000</v>
      </c>
      <c r="N38" s="25">
        <v>0</v>
      </c>
      <c r="O38" s="25">
        <v>5500</v>
      </c>
      <c r="P38" s="25" t="s">
        <v>412</v>
      </c>
      <c r="Q38" s="25">
        <v>0</v>
      </c>
      <c r="R38" s="25">
        <v>0</v>
      </c>
      <c r="S38" s="25">
        <v>0</v>
      </c>
      <c r="T38" s="25"/>
      <c r="U38" s="25" t="s">
        <v>485</v>
      </c>
      <c r="V38" s="25"/>
      <c r="W38" s="25"/>
      <c r="X38" s="25" t="s">
        <v>396</v>
      </c>
      <c r="Y38" s="25">
        <v>22000</v>
      </c>
      <c r="Z38" s="25" t="s">
        <v>258</v>
      </c>
      <c r="AA38" s="25">
        <v>0</v>
      </c>
      <c r="AB38" s="25"/>
      <c r="AC38" s="25"/>
    </row>
    <row r="39" spans="1:29" hidden="1">
      <c r="A39" s="25" t="s">
        <v>486</v>
      </c>
      <c r="B39" s="25" t="s">
        <v>487</v>
      </c>
      <c r="C39" s="25" t="s">
        <v>391</v>
      </c>
      <c r="D39" s="25" t="s">
        <v>392</v>
      </c>
      <c r="E39" s="33">
        <v>46159.854317129626</v>
      </c>
      <c r="F39" s="33">
        <v>46160.403148148151</v>
      </c>
      <c r="G39" s="25">
        <v>92235147384</v>
      </c>
      <c r="H39" s="33">
        <v>46161.705324074072</v>
      </c>
      <c r="I39" s="25"/>
      <c r="J39" s="25" t="s">
        <v>259</v>
      </c>
      <c r="K39" s="25" t="s">
        <v>261</v>
      </c>
      <c r="L39" s="25">
        <v>1</v>
      </c>
      <c r="M39" s="25">
        <v>22000</v>
      </c>
      <c r="N39" s="25">
        <v>13400</v>
      </c>
      <c r="O39" s="25">
        <v>5500</v>
      </c>
      <c r="P39" s="25" t="s">
        <v>412</v>
      </c>
      <c r="Q39" s="25">
        <v>0</v>
      </c>
      <c r="R39" s="25">
        <v>0</v>
      </c>
      <c r="S39" s="25">
        <v>0</v>
      </c>
      <c r="T39" s="25"/>
      <c r="U39" s="25" t="s">
        <v>488</v>
      </c>
      <c r="V39" s="25"/>
      <c r="W39" s="25"/>
      <c r="X39" s="25" t="s">
        <v>396</v>
      </c>
      <c r="Y39" s="25">
        <v>35400</v>
      </c>
      <c r="Z39" s="25" t="s">
        <v>258</v>
      </c>
      <c r="AA39" s="25">
        <v>0</v>
      </c>
      <c r="AB39" s="25"/>
      <c r="AC39" s="25"/>
    </row>
    <row r="40" spans="1:29">
      <c r="A40" s="25" t="s">
        <v>489</v>
      </c>
      <c r="B40" s="25" t="s">
        <v>490</v>
      </c>
      <c r="C40" s="25" t="s">
        <v>391</v>
      </c>
      <c r="D40" s="25" t="s">
        <v>392</v>
      </c>
      <c r="E40" s="33">
        <v>46159.91951388889</v>
      </c>
      <c r="F40" s="33">
        <v>46160.40351851852</v>
      </c>
      <c r="G40" s="25">
        <v>92235147594</v>
      </c>
      <c r="H40" s="33">
        <v>46169.062210648146</v>
      </c>
      <c r="I40" s="25"/>
      <c r="J40" s="25" t="s">
        <v>259</v>
      </c>
      <c r="K40" s="25" t="s">
        <v>260</v>
      </c>
      <c r="L40" s="25">
        <v>1</v>
      </c>
      <c r="M40" s="25">
        <v>22000</v>
      </c>
      <c r="N40" s="25">
        <v>0</v>
      </c>
      <c r="O40" s="25">
        <v>5500</v>
      </c>
      <c r="P40" s="25" t="s">
        <v>412</v>
      </c>
      <c r="Q40" s="25">
        <v>0</v>
      </c>
      <c r="R40" s="25">
        <v>0</v>
      </c>
      <c r="S40" s="25">
        <v>0</v>
      </c>
      <c r="T40" s="25"/>
      <c r="U40" s="25" t="s">
        <v>491</v>
      </c>
      <c r="V40" s="25"/>
      <c r="W40" s="25"/>
      <c r="X40" s="25" t="s">
        <v>396</v>
      </c>
      <c r="Y40" s="25">
        <v>22000</v>
      </c>
      <c r="Z40" s="25" t="s">
        <v>258</v>
      </c>
      <c r="AA40" s="25">
        <v>0</v>
      </c>
      <c r="AB40" s="25"/>
      <c r="AC40" s="25"/>
    </row>
    <row r="41" spans="1:29">
      <c r="A41" s="25" t="s">
        <v>492</v>
      </c>
      <c r="B41" s="25" t="s">
        <v>493</v>
      </c>
      <c r="C41" s="25" t="s">
        <v>391</v>
      </c>
      <c r="D41" s="25" t="s">
        <v>392</v>
      </c>
      <c r="E41" s="33">
        <v>46159.932442129626</v>
      </c>
      <c r="F41" s="33">
        <v>46160.403148148151</v>
      </c>
      <c r="G41" s="25">
        <v>92235147583</v>
      </c>
      <c r="H41" s="33">
        <v>46161.573564814818</v>
      </c>
      <c r="I41" s="25"/>
      <c r="J41" s="25" t="s">
        <v>259</v>
      </c>
      <c r="K41" s="25" t="s">
        <v>260</v>
      </c>
      <c r="L41" s="25">
        <v>1</v>
      </c>
      <c r="M41" s="25">
        <v>22000</v>
      </c>
      <c r="N41" s="25">
        <v>0</v>
      </c>
      <c r="O41" s="25">
        <v>5500</v>
      </c>
      <c r="P41" s="25" t="s">
        <v>412</v>
      </c>
      <c r="Q41" s="25">
        <v>0</v>
      </c>
      <c r="R41" s="25">
        <v>0</v>
      </c>
      <c r="S41" s="25">
        <v>0</v>
      </c>
      <c r="T41" s="25"/>
      <c r="U41" s="25" t="s">
        <v>494</v>
      </c>
      <c r="V41" s="25"/>
      <c r="W41" s="25"/>
      <c r="X41" s="25" t="s">
        <v>396</v>
      </c>
      <c r="Y41" s="25">
        <v>22000</v>
      </c>
      <c r="Z41" s="25" t="s">
        <v>258</v>
      </c>
      <c r="AA41" s="25">
        <v>0</v>
      </c>
      <c r="AB41" s="25"/>
      <c r="AC41" s="25"/>
    </row>
    <row r="42" spans="1:29" hidden="1">
      <c r="A42" s="25" t="s">
        <v>495</v>
      </c>
      <c r="B42" s="25" t="s">
        <v>496</v>
      </c>
      <c r="C42" s="25" t="s">
        <v>391</v>
      </c>
      <c r="D42" s="25" t="s">
        <v>392</v>
      </c>
      <c r="E42" s="33">
        <v>46166.671840277777</v>
      </c>
      <c r="F42" s="33">
        <v>46168.4377662037</v>
      </c>
      <c r="G42" s="25">
        <v>92235430313</v>
      </c>
      <c r="H42" s="33">
        <v>46169.810532407406</v>
      </c>
      <c r="I42" s="25"/>
      <c r="J42" s="25" t="s">
        <v>259</v>
      </c>
      <c r="K42" s="25" t="s">
        <v>262</v>
      </c>
      <c r="L42" s="25">
        <v>1</v>
      </c>
      <c r="M42" s="25">
        <v>22000</v>
      </c>
      <c r="N42" s="25">
        <v>25700</v>
      </c>
      <c r="O42" s="25">
        <v>5500</v>
      </c>
      <c r="P42" s="25" t="s">
        <v>412</v>
      </c>
      <c r="Q42" s="25">
        <v>0</v>
      </c>
      <c r="R42" s="25">
        <v>0</v>
      </c>
      <c r="S42" s="25">
        <v>0</v>
      </c>
      <c r="T42" s="25"/>
      <c r="U42" s="25" t="s">
        <v>263</v>
      </c>
      <c r="V42" s="25"/>
      <c r="W42" s="25"/>
      <c r="X42" s="25" t="s">
        <v>396</v>
      </c>
      <c r="Y42" s="25">
        <v>47700</v>
      </c>
      <c r="Z42" s="25" t="s">
        <v>258</v>
      </c>
      <c r="AA42" s="25">
        <v>0</v>
      </c>
      <c r="AB42" s="25"/>
      <c r="AC42" s="25"/>
    </row>
  </sheetData>
  <autoFilter ref="A13:AC42" xr:uid="{7163D702-DA3A-6C43-9DC7-B3945C09DC83}">
    <filterColumn colId="10">
      <filters>
        <filter val="수량=공구특가 1개 (25%할인)"/>
      </filters>
    </filterColumn>
  </autoFilter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A811-B920-0E46-BC36-6215FD4AD78A}">
  <dimension ref="A1:AL13"/>
  <sheetViews>
    <sheetView topLeftCell="L1" workbookViewId="0">
      <selection activeCell="O10" sqref="O10:S13"/>
    </sheetView>
  </sheetViews>
  <sheetFormatPr baseColWidth="10" defaultRowHeight="17"/>
  <cols>
    <col min="3" max="3" width="16" bestFit="1" customWidth="1"/>
    <col min="9" max="9" width="16" bestFit="1" customWidth="1"/>
    <col min="13" max="13" width="16" bestFit="1" customWidth="1"/>
    <col min="15" max="15" width="49.6640625" bestFit="1" customWidth="1"/>
    <col min="18" max="18" width="14.6640625" bestFit="1" customWidth="1"/>
    <col min="19" max="22" width="11" bestFit="1" customWidth="1"/>
    <col min="23" max="23" width="19.1640625" customWidth="1"/>
    <col min="30" max="32" width="11" bestFit="1" customWidth="1"/>
    <col min="33" max="33" width="16" bestFit="1" customWidth="1"/>
    <col min="36" max="38" width="11" bestFit="1" customWidth="1"/>
  </cols>
  <sheetData>
    <row r="1" spans="1:38" s="207" customFormat="1" ht="14">
      <c r="A1" s="319" t="s">
        <v>88</v>
      </c>
      <c r="B1" s="319" t="s">
        <v>9</v>
      </c>
      <c r="C1" s="319" t="s">
        <v>145</v>
      </c>
      <c r="D1" s="319" t="s">
        <v>271</v>
      </c>
      <c r="E1" s="319" t="s">
        <v>170</v>
      </c>
      <c r="F1" s="319" t="s">
        <v>90</v>
      </c>
      <c r="G1" s="319" t="s">
        <v>272</v>
      </c>
      <c r="H1" s="319" t="s">
        <v>179</v>
      </c>
      <c r="I1" s="319" t="s">
        <v>181</v>
      </c>
      <c r="J1" s="319" t="s">
        <v>273</v>
      </c>
      <c r="K1" s="319" t="s">
        <v>274</v>
      </c>
      <c r="L1" s="319" t="s">
        <v>275</v>
      </c>
      <c r="M1" s="319" t="s">
        <v>159</v>
      </c>
      <c r="N1" s="319" t="s">
        <v>171</v>
      </c>
      <c r="O1" s="319" t="s">
        <v>29</v>
      </c>
      <c r="P1" s="319" t="s">
        <v>276</v>
      </c>
      <c r="Q1" s="319" t="s">
        <v>277</v>
      </c>
      <c r="R1" s="319" t="s">
        <v>6</v>
      </c>
      <c r="S1" s="319" t="s">
        <v>278</v>
      </c>
      <c r="T1" s="319" t="s">
        <v>279</v>
      </c>
      <c r="U1" s="319" t="s">
        <v>280</v>
      </c>
      <c r="V1" s="319" t="s">
        <v>281</v>
      </c>
      <c r="W1" s="319" t="s">
        <v>282</v>
      </c>
      <c r="X1" s="319" t="s">
        <v>283</v>
      </c>
      <c r="Y1" s="319" t="s">
        <v>284</v>
      </c>
      <c r="Z1" s="319" t="s">
        <v>285</v>
      </c>
      <c r="AA1" s="319" t="s">
        <v>286</v>
      </c>
      <c r="AB1" s="319" t="s">
        <v>287</v>
      </c>
      <c r="AC1" s="319" t="s">
        <v>288</v>
      </c>
      <c r="AD1" s="319" t="s">
        <v>289</v>
      </c>
      <c r="AE1" s="319" t="s">
        <v>290</v>
      </c>
      <c r="AF1" s="319" t="s">
        <v>291</v>
      </c>
      <c r="AG1" s="319" t="s">
        <v>292</v>
      </c>
      <c r="AH1" s="319" t="s">
        <v>293</v>
      </c>
      <c r="AI1" s="319" t="s">
        <v>294</v>
      </c>
      <c r="AJ1" s="319" t="s">
        <v>295</v>
      </c>
      <c r="AK1" s="319" t="s">
        <v>296</v>
      </c>
      <c r="AL1" s="319" t="s">
        <v>297</v>
      </c>
    </row>
    <row r="2" spans="1:38" s="207" customFormat="1" ht="14">
      <c r="A2" s="320" t="s">
        <v>501</v>
      </c>
      <c r="B2" s="320" t="s">
        <v>502</v>
      </c>
      <c r="C2" s="321">
        <v>46170.097754629634</v>
      </c>
      <c r="D2" s="320" t="s">
        <v>298</v>
      </c>
      <c r="E2" s="320" t="s">
        <v>299</v>
      </c>
      <c r="F2" s="320" t="s">
        <v>503</v>
      </c>
      <c r="G2" s="320" t="s">
        <v>504</v>
      </c>
      <c r="H2" s="320" t="s">
        <v>503</v>
      </c>
      <c r="I2" s="321">
        <v>46161.63244212963</v>
      </c>
      <c r="J2" s="320" t="s">
        <v>300</v>
      </c>
      <c r="K2" s="320" t="s">
        <v>301</v>
      </c>
      <c r="L2" s="320" t="s">
        <v>505</v>
      </c>
      <c r="M2" s="321">
        <v>46162.678587962961</v>
      </c>
      <c r="N2" s="320" t="s">
        <v>302</v>
      </c>
      <c r="O2" s="320" t="s">
        <v>224</v>
      </c>
      <c r="P2" s="320" t="s">
        <v>40</v>
      </c>
      <c r="Q2" s="321"/>
      <c r="R2" s="320">
        <v>1</v>
      </c>
      <c r="S2" s="322">
        <v>22000</v>
      </c>
      <c r="T2" s="322">
        <v>0</v>
      </c>
      <c r="U2" s="322">
        <v>2200</v>
      </c>
      <c r="V2" s="322">
        <v>2200</v>
      </c>
      <c r="W2" s="322">
        <v>19800</v>
      </c>
      <c r="X2" s="322"/>
      <c r="Y2" s="322"/>
      <c r="Z2" s="322"/>
      <c r="AA2" s="320" t="s">
        <v>506</v>
      </c>
      <c r="AB2" s="320" t="s">
        <v>303</v>
      </c>
      <c r="AC2" s="320" t="s">
        <v>303</v>
      </c>
      <c r="AD2" s="322">
        <v>0</v>
      </c>
      <c r="AE2" s="322">
        <v>0</v>
      </c>
      <c r="AF2" s="322">
        <v>0</v>
      </c>
      <c r="AG2" s="321">
        <v>46161.443206018521</v>
      </c>
      <c r="AH2" s="320" t="s">
        <v>304</v>
      </c>
      <c r="AI2" s="320" t="s">
        <v>507</v>
      </c>
      <c r="AJ2" s="320">
        <v>-540</v>
      </c>
      <c r="AK2" s="320">
        <v>-198</v>
      </c>
      <c r="AL2" s="322">
        <v>19062</v>
      </c>
    </row>
    <row r="3" spans="1:38" s="207" customFormat="1" ht="14">
      <c r="A3" s="320" t="s">
        <v>508</v>
      </c>
      <c r="B3" s="320" t="s">
        <v>509</v>
      </c>
      <c r="C3" s="321">
        <v>46162.055995370371</v>
      </c>
      <c r="D3" s="320" t="s">
        <v>298</v>
      </c>
      <c r="E3" s="320" t="s">
        <v>299</v>
      </c>
      <c r="F3" s="320" t="s">
        <v>510</v>
      </c>
      <c r="G3" s="320" t="s">
        <v>511</v>
      </c>
      <c r="H3" s="320" t="s">
        <v>512</v>
      </c>
      <c r="I3" s="321">
        <v>46153.3825462963</v>
      </c>
      <c r="J3" s="320" t="s">
        <v>300</v>
      </c>
      <c r="K3" s="320" t="s">
        <v>301</v>
      </c>
      <c r="L3" s="320" t="s">
        <v>513</v>
      </c>
      <c r="M3" s="321">
        <v>46154.689560185187</v>
      </c>
      <c r="N3" s="320" t="s">
        <v>302</v>
      </c>
      <c r="O3" s="320" t="s">
        <v>224</v>
      </c>
      <c r="P3" s="320" t="s">
        <v>40</v>
      </c>
      <c r="Q3" s="321"/>
      <c r="R3" s="320">
        <v>1</v>
      </c>
      <c r="S3" s="322">
        <v>22000</v>
      </c>
      <c r="T3" s="322">
        <v>0</v>
      </c>
      <c r="U3" s="322">
        <v>2200</v>
      </c>
      <c r="V3" s="322">
        <v>2200</v>
      </c>
      <c r="W3" s="322">
        <v>19800</v>
      </c>
      <c r="X3" s="322"/>
      <c r="Y3" s="322"/>
      <c r="Z3" s="322"/>
      <c r="AA3" s="320" t="s">
        <v>514</v>
      </c>
      <c r="AB3" s="320" t="s">
        <v>303</v>
      </c>
      <c r="AC3" s="320" t="s">
        <v>303</v>
      </c>
      <c r="AD3" s="322">
        <v>0</v>
      </c>
      <c r="AE3" s="322">
        <v>0</v>
      </c>
      <c r="AF3" s="322">
        <v>0</v>
      </c>
      <c r="AG3" s="321">
        <v>46152.429895833338</v>
      </c>
      <c r="AH3" s="320" t="s">
        <v>515</v>
      </c>
      <c r="AI3" s="320" t="s">
        <v>305</v>
      </c>
      <c r="AJ3" s="320">
        <v>-540</v>
      </c>
      <c r="AK3" s="320">
        <v>-594</v>
      </c>
      <c r="AL3" s="322">
        <v>18666</v>
      </c>
    </row>
    <row r="4" spans="1:38">
      <c r="A4" s="320" t="s">
        <v>516</v>
      </c>
      <c r="B4" s="320" t="s">
        <v>509</v>
      </c>
      <c r="C4" s="321">
        <v>46162.055983796294</v>
      </c>
      <c r="D4" s="320" t="s">
        <v>298</v>
      </c>
      <c r="E4" s="320" t="s">
        <v>299</v>
      </c>
      <c r="F4" s="320" t="s">
        <v>510</v>
      </c>
      <c r="G4" s="320" t="s">
        <v>511</v>
      </c>
      <c r="H4" s="320" t="s">
        <v>512</v>
      </c>
      <c r="I4" s="321">
        <v>46153.3825462963</v>
      </c>
      <c r="J4" s="320" t="s">
        <v>300</v>
      </c>
      <c r="K4" s="320" t="s">
        <v>301</v>
      </c>
      <c r="L4" s="320" t="s">
        <v>513</v>
      </c>
      <c r="M4" s="321">
        <v>46154.689560185187</v>
      </c>
      <c r="N4" s="320" t="s">
        <v>517</v>
      </c>
      <c r="O4" s="320" t="s">
        <v>44</v>
      </c>
      <c r="P4" s="320" t="s">
        <v>40</v>
      </c>
      <c r="Q4" s="321"/>
      <c r="R4" s="320">
        <v>1</v>
      </c>
      <c r="S4" s="322">
        <v>22000</v>
      </c>
      <c r="T4" s="322">
        <v>0</v>
      </c>
      <c r="U4" s="322">
        <v>2200</v>
      </c>
      <c r="V4" s="322">
        <v>2200</v>
      </c>
      <c r="W4" s="322">
        <v>19800</v>
      </c>
      <c r="X4" s="322"/>
      <c r="Y4" s="322"/>
      <c r="Z4" s="322"/>
      <c r="AA4" s="320" t="s">
        <v>518</v>
      </c>
      <c r="AB4" s="320" t="s">
        <v>303</v>
      </c>
      <c r="AC4" s="320" t="s">
        <v>303</v>
      </c>
      <c r="AD4" s="322">
        <v>0</v>
      </c>
      <c r="AE4" s="322">
        <v>0</v>
      </c>
      <c r="AF4" s="322">
        <v>0</v>
      </c>
      <c r="AG4" s="321">
        <v>46152.429895833338</v>
      </c>
      <c r="AH4" s="320" t="s">
        <v>515</v>
      </c>
      <c r="AI4" s="320" t="s">
        <v>305</v>
      </c>
      <c r="AJ4" s="320">
        <v>-540</v>
      </c>
      <c r="AK4" s="320">
        <v>-594</v>
      </c>
      <c r="AL4" s="322">
        <v>18666</v>
      </c>
    </row>
    <row r="5" spans="1:38">
      <c r="A5" s="320" t="s">
        <v>519</v>
      </c>
      <c r="B5" s="320" t="s">
        <v>520</v>
      </c>
      <c r="C5" s="321">
        <v>46151.064780092594</v>
      </c>
      <c r="D5" s="320" t="s">
        <v>298</v>
      </c>
      <c r="E5" s="320" t="s">
        <v>299</v>
      </c>
      <c r="F5" s="320" t="s">
        <v>521</v>
      </c>
      <c r="G5" s="320" t="s">
        <v>522</v>
      </c>
      <c r="H5" s="320" t="s">
        <v>521</v>
      </c>
      <c r="I5" s="321">
        <v>46142.703287037039</v>
      </c>
      <c r="J5" s="320" t="s">
        <v>300</v>
      </c>
      <c r="K5" s="320" t="s">
        <v>301</v>
      </c>
      <c r="L5" s="320" t="s">
        <v>523</v>
      </c>
      <c r="M5" s="321">
        <v>46143.466087962966</v>
      </c>
      <c r="N5" s="320" t="s">
        <v>302</v>
      </c>
      <c r="O5" s="320" t="s">
        <v>224</v>
      </c>
      <c r="P5" s="320" t="s">
        <v>40</v>
      </c>
      <c r="Q5" s="321"/>
      <c r="R5" s="320">
        <v>1</v>
      </c>
      <c r="S5" s="322">
        <v>22000</v>
      </c>
      <c r="T5" s="322">
        <v>0</v>
      </c>
      <c r="U5" s="322">
        <v>2200</v>
      </c>
      <c r="V5" s="322">
        <v>2200</v>
      </c>
      <c r="W5" s="322">
        <v>19800</v>
      </c>
      <c r="X5" s="322"/>
      <c r="Y5" s="322"/>
      <c r="Z5" s="322"/>
      <c r="AA5" s="320" t="s">
        <v>524</v>
      </c>
      <c r="AB5" s="320" t="s">
        <v>303</v>
      </c>
      <c r="AC5" s="320" t="s">
        <v>303</v>
      </c>
      <c r="AD5" s="322">
        <v>0</v>
      </c>
      <c r="AE5" s="322">
        <v>0</v>
      </c>
      <c r="AF5" s="322">
        <v>0</v>
      </c>
      <c r="AG5" s="321">
        <v>46142.225115740745</v>
      </c>
      <c r="AH5" s="320" t="s">
        <v>304</v>
      </c>
      <c r="AI5" s="320" t="s">
        <v>305</v>
      </c>
      <c r="AJ5" s="320">
        <v>-540</v>
      </c>
      <c r="AK5" s="320">
        <v>-198</v>
      </c>
      <c r="AL5" s="322">
        <v>19062</v>
      </c>
    </row>
    <row r="6" spans="1:38">
      <c r="A6" s="320" t="s">
        <v>525</v>
      </c>
      <c r="B6" s="320" t="s">
        <v>526</v>
      </c>
      <c r="C6" s="321">
        <v>46150.109699074077</v>
      </c>
      <c r="D6" s="320" t="s">
        <v>298</v>
      </c>
      <c r="E6" s="320" t="s">
        <v>299</v>
      </c>
      <c r="F6" s="320" t="s">
        <v>527</v>
      </c>
      <c r="G6" s="320" t="s">
        <v>528</v>
      </c>
      <c r="H6" s="320" t="s">
        <v>527</v>
      </c>
      <c r="I6" s="321">
        <v>46141.688611111109</v>
      </c>
      <c r="J6" s="320" t="s">
        <v>300</v>
      </c>
      <c r="K6" s="320" t="s">
        <v>301</v>
      </c>
      <c r="L6" s="320" t="s">
        <v>529</v>
      </c>
      <c r="M6" s="321">
        <v>46142.962500000001</v>
      </c>
      <c r="N6" s="320" t="s">
        <v>302</v>
      </c>
      <c r="O6" s="320" t="s">
        <v>224</v>
      </c>
      <c r="P6" s="320" t="s">
        <v>40</v>
      </c>
      <c r="Q6" s="321"/>
      <c r="R6" s="320">
        <v>1</v>
      </c>
      <c r="S6" s="322">
        <v>22000</v>
      </c>
      <c r="T6" s="322">
        <v>0</v>
      </c>
      <c r="U6" s="322">
        <v>2300</v>
      </c>
      <c r="V6" s="322">
        <v>2300</v>
      </c>
      <c r="W6" s="322">
        <v>19700</v>
      </c>
      <c r="X6" s="322"/>
      <c r="Y6" s="322"/>
      <c r="Z6" s="322"/>
      <c r="AA6" s="320" t="s">
        <v>530</v>
      </c>
      <c r="AB6" s="320" t="s">
        <v>303</v>
      </c>
      <c r="AC6" s="320" t="s">
        <v>303</v>
      </c>
      <c r="AD6" s="322">
        <v>0</v>
      </c>
      <c r="AE6" s="322">
        <v>0</v>
      </c>
      <c r="AF6" s="322">
        <v>0</v>
      </c>
      <c r="AG6" s="321">
        <v>46140.977824074071</v>
      </c>
      <c r="AH6" s="320" t="s">
        <v>531</v>
      </c>
      <c r="AI6" s="320" t="s">
        <v>305</v>
      </c>
      <c r="AJ6" s="320">
        <v>-536</v>
      </c>
      <c r="AK6" s="320">
        <v>-197</v>
      </c>
      <c r="AL6" s="322">
        <v>18967</v>
      </c>
    </row>
    <row r="7" spans="1:38">
      <c r="A7" s="320"/>
      <c r="B7" s="320"/>
      <c r="C7" s="321"/>
      <c r="D7" s="320"/>
      <c r="E7" s="320"/>
      <c r="F7" s="320"/>
      <c r="G7" s="320"/>
      <c r="H7" s="320"/>
      <c r="I7" s="321"/>
      <c r="J7" s="320"/>
      <c r="K7" s="320"/>
      <c r="L7" s="320"/>
      <c r="M7" s="321"/>
      <c r="N7" s="320"/>
      <c r="O7" s="320"/>
      <c r="P7" s="320"/>
      <c r="Q7" s="321"/>
      <c r="R7" s="320"/>
      <c r="S7" s="322"/>
      <c r="T7" s="322"/>
      <c r="U7" s="322"/>
      <c r="V7" s="322"/>
      <c r="W7" s="322"/>
      <c r="X7" s="322"/>
      <c r="Y7" s="322"/>
      <c r="Z7" s="322"/>
      <c r="AA7" s="320"/>
      <c r="AB7" s="320"/>
      <c r="AC7" s="320"/>
      <c r="AD7" s="322"/>
      <c r="AE7" s="322"/>
      <c r="AF7" s="322"/>
      <c r="AG7" s="321"/>
      <c r="AH7" s="320"/>
      <c r="AI7" s="320"/>
      <c r="AJ7" s="320"/>
      <c r="AK7" s="320"/>
      <c r="AL7" s="322"/>
    </row>
    <row r="8" spans="1:38">
      <c r="O8" s="25" t="s">
        <v>532</v>
      </c>
    </row>
    <row r="9" spans="1:38" ht="18" thickBot="1"/>
    <row r="10" spans="1:38">
      <c r="O10" s="209" t="s">
        <v>311</v>
      </c>
      <c r="P10" s="210" t="s">
        <v>307</v>
      </c>
      <c r="Q10" s="210" t="s">
        <v>308</v>
      </c>
      <c r="R10" s="210" t="s">
        <v>309</v>
      </c>
      <c r="S10" s="211" t="s">
        <v>310</v>
      </c>
    </row>
    <row r="11" spans="1:38">
      <c r="O11" s="212" t="s">
        <v>306</v>
      </c>
      <c r="P11">
        <v>4</v>
      </c>
      <c r="Q11" s="213">
        <f>22000*P11</f>
        <v>88000</v>
      </c>
      <c r="R11" s="32" t="s">
        <v>533</v>
      </c>
      <c r="S11" s="214">
        <f>22000*90%*P11</f>
        <v>79200</v>
      </c>
    </row>
    <row r="12" spans="1:38">
      <c r="O12" s="212" t="s">
        <v>312</v>
      </c>
      <c r="P12">
        <v>1</v>
      </c>
      <c r="Q12" s="213">
        <f>22000*P12</f>
        <v>22000</v>
      </c>
      <c r="R12" s="32" t="s">
        <v>533</v>
      </c>
      <c r="S12" s="214">
        <f>22000*90%*P12</f>
        <v>19800</v>
      </c>
    </row>
    <row r="13" spans="1:38" ht="18" thickBot="1">
      <c r="O13" s="215" t="s">
        <v>313</v>
      </c>
      <c r="P13" s="216">
        <f>SUM(P11:P12)</f>
        <v>5</v>
      </c>
      <c r="Q13" s="217">
        <f>SUM(Q11:Q12)</f>
        <v>110000</v>
      </c>
      <c r="R13" s="218"/>
      <c r="S13" s="219">
        <f>SUM(S11:S12)</f>
        <v>99000</v>
      </c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F10C-36FC-E547-94A7-1C88166A44D9}">
  <dimension ref="A1:H14"/>
  <sheetViews>
    <sheetView workbookViewId="0">
      <selection activeCell="J30" sqref="J30"/>
    </sheetView>
  </sheetViews>
  <sheetFormatPr baseColWidth="10" defaultRowHeight="17"/>
  <cols>
    <col min="1" max="1" width="25.5" customWidth="1"/>
    <col min="6" max="6" width="13.83203125" customWidth="1"/>
    <col min="7" max="7" width="15" customWidth="1"/>
    <col min="8" max="8" width="16" customWidth="1"/>
  </cols>
  <sheetData>
    <row r="1" spans="1:8" ht="18">
      <c r="A1" s="323" t="s">
        <v>269</v>
      </c>
      <c r="B1" s="324" t="s">
        <v>86</v>
      </c>
      <c r="C1" s="325" t="s">
        <v>534</v>
      </c>
      <c r="D1" s="325" t="s">
        <v>61</v>
      </c>
      <c r="E1" s="325" t="s">
        <v>535</v>
      </c>
      <c r="F1" s="325" t="s">
        <v>542</v>
      </c>
      <c r="G1" s="326" t="s">
        <v>536</v>
      </c>
      <c r="H1" s="326" t="s">
        <v>537</v>
      </c>
    </row>
    <row r="2" spans="1:8">
      <c r="A2" s="327" t="s">
        <v>538</v>
      </c>
      <c r="B2" s="328">
        <v>14</v>
      </c>
      <c r="C2" s="329">
        <v>15000</v>
      </c>
      <c r="D2" s="329">
        <f t="shared" ref="D2:D3" si="0">B2*C2</f>
        <v>210000</v>
      </c>
      <c r="E2" s="328"/>
      <c r="F2" s="341">
        <f>D2*20%</f>
        <v>42000</v>
      </c>
      <c r="G2" s="330">
        <f>SUM(D2+D3)</f>
        <v>240000</v>
      </c>
      <c r="H2" t="s">
        <v>539</v>
      </c>
    </row>
    <row r="3" spans="1:8">
      <c r="A3" s="331" t="s">
        <v>540</v>
      </c>
      <c r="B3" s="332">
        <v>2</v>
      </c>
      <c r="C3" s="333">
        <v>15000</v>
      </c>
      <c r="D3" s="333">
        <f t="shared" si="0"/>
        <v>30000</v>
      </c>
      <c r="E3" s="332"/>
      <c r="F3" s="342">
        <f>D3*20%</f>
        <v>6000</v>
      </c>
      <c r="G3" s="334"/>
      <c r="H3" t="s">
        <v>539</v>
      </c>
    </row>
    <row r="4" spans="1:8">
      <c r="A4" s="335"/>
      <c r="G4" s="336"/>
    </row>
    <row r="5" spans="1:8" ht="19" thickBot="1">
      <c r="A5" s="337" t="s">
        <v>541</v>
      </c>
      <c r="B5" s="338"/>
      <c r="C5" s="338"/>
      <c r="D5" s="339">
        <f>SUM(D2:D4)</f>
        <v>240000</v>
      </c>
      <c r="E5" s="338"/>
      <c r="F5" s="339">
        <f>SUM(F2:F4)</f>
        <v>48000</v>
      </c>
      <c r="G5" s="340">
        <f>D5-F5</f>
        <v>192000</v>
      </c>
    </row>
    <row r="8" spans="1:8" ht="18" thickBot="1"/>
    <row r="9" spans="1:8">
      <c r="A9" s="343" t="s">
        <v>311</v>
      </c>
      <c r="B9" s="344" t="s">
        <v>307</v>
      </c>
      <c r="C9" s="344" t="s">
        <v>308</v>
      </c>
      <c r="D9" s="344" t="s">
        <v>309</v>
      </c>
      <c r="E9" s="345" t="s">
        <v>310</v>
      </c>
    </row>
    <row r="10" spans="1:8">
      <c r="A10" s="346" t="s">
        <v>306</v>
      </c>
      <c r="B10" s="347">
        <v>2</v>
      </c>
      <c r="C10" s="213">
        <f>22000*B10</f>
        <v>44000</v>
      </c>
      <c r="D10" s="307" t="s">
        <v>543</v>
      </c>
      <c r="E10" s="348">
        <f>(22000-7000)*B10</f>
        <v>30000</v>
      </c>
    </row>
    <row r="11" spans="1:8">
      <c r="A11" s="346" t="s">
        <v>312</v>
      </c>
      <c r="B11" s="347">
        <v>14</v>
      </c>
      <c r="C11" s="213">
        <f>22000*B11</f>
        <v>308000</v>
      </c>
      <c r="D11" s="307" t="s">
        <v>543</v>
      </c>
      <c r="E11" s="348">
        <f>(22000-7000)*B11</f>
        <v>210000</v>
      </c>
    </row>
    <row r="12" spans="1:8" ht="18" thickBot="1">
      <c r="A12" s="349" t="s">
        <v>313</v>
      </c>
      <c r="B12" s="216">
        <f>SUM(B10:B11)</f>
        <v>16</v>
      </c>
      <c r="C12" s="217">
        <f>SUM(C10:C11)</f>
        <v>352000</v>
      </c>
      <c r="D12" s="218"/>
      <c r="E12" s="350">
        <f>SUM(E10:E11)</f>
        <v>240000</v>
      </c>
    </row>
    <row r="13" spans="1:8">
      <c r="A13" s="351" t="s">
        <v>544</v>
      </c>
      <c r="B13" s="347"/>
      <c r="C13" s="347"/>
      <c r="D13" s="347"/>
      <c r="E13" s="352">
        <f>E12*20%</f>
        <v>48000</v>
      </c>
    </row>
    <row r="14" spans="1:8" ht="18" thickBot="1">
      <c r="A14" s="353" t="s">
        <v>317</v>
      </c>
      <c r="B14" s="354"/>
      <c r="C14" s="354"/>
      <c r="D14" s="354"/>
      <c r="E14" s="355">
        <f>E12-E13</f>
        <v>192000</v>
      </c>
    </row>
  </sheetData>
  <mergeCells count="1">
    <mergeCell ref="G2:G3"/>
  </mergeCells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7B02-B60E-0B40-9874-17AC5E47B694}">
  <dimension ref="A1:AC8"/>
  <sheetViews>
    <sheetView workbookViewId="0">
      <selection activeCell="J24" sqref="J24"/>
    </sheetView>
  </sheetViews>
  <sheetFormatPr baseColWidth="10" defaultRowHeight="15"/>
  <cols>
    <col min="1" max="1" width="19" style="32" bestFit="1" customWidth="1"/>
    <col min="2" max="2" width="21.1640625" style="32" bestFit="1" customWidth="1"/>
    <col min="3" max="3" width="17.6640625" style="32" bestFit="1" customWidth="1"/>
    <col min="4" max="4" width="11" style="46" bestFit="1" customWidth="1"/>
    <col min="5" max="5" width="66.33203125" style="32" hidden="1" customWidth="1"/>
    <col min="6" max="6" width="42.5" style="32" hidden="1" customWidth="1"/>
    <col min="7" max="8" width="13.6640625" style="32" bestFit="1" customWidth="1"/>
    <col min="9" max="9" width="13.5" style="32" customWidth="1"/>
    <col min="10" max="10" width="15.33203125" style="32" bestFit="1" customWidth="1"/>
    <col min="11" max="11" width="10.83203125" style="32"/>
    <col min="12" max="13" width="12.6640625" style="32" bestFit="1" customWidth="1"/>
    <col min="14" max="14" width="18.6640625" style="165" bestFit="1" customWidth="1"/>
    <col min="15" max="16384" width="10.83203125" style="32"/>
  </cols>
  <sheetData>
    <row r="1" spans="1:29" s="168" customFormat="1">
      <c r="A1" s="32" t="s">
        <v>9</v>
      </c>
      <c r="B1" s="32" t="s">
        <v>369</v>
      </c>
      <c r="C1" s="32" t="s">
        <v>370</v>
      </c>
      <c r="D1" s="32" t="s">
        <v>371</v>
      </c>
      <c r="E1" s="32" t="s">
        <v>372</v>
      </c>
      <c r="F1" s="32" t="s">
        <v>158</v>
      </c>
      <c r="G1" s="32" t="s">
        <v>256</v>
      </c>
      <c r="H1" s="32" t="s">
        <v>159</v>
      </c>
      <c r="I1" s="32" t="s">
        <v>373</v>
      </c>
      <c r="J1" s="32" t="s">
        <v>374</v>
      </c>
      <c r="K1" s="32" t="s">
        <v>45</v>
      </c>
      <c r="L1" s="32" t="s">
        <v>6</v>
      </c>
      <c r="M1" s="32" t="s">
        <v>144</v>
      </c>
      <c r="N1" s="32" t="s">
        <v>375</v>
      </c>
      <c r="O1" s="32" t="s">
        <v>376</v>
      </c>
      <c r="P1" s="32" t="s">
        <v>377</v>
      </c>
      <c r="Q1" s="32" t="s">
        <v>378</v>
      </c>
      <c r="R1" s="32" t="s">
        <v>379</v>
      </c>
      <c r="S1" s="32" t="s">
        <v>380</v>
      </c>
      <c r="T1" s="32" t="s">
        <v>381</v>
      </c>
      <c r="U1" s="32" t="s">
        <v>178</v>
      </c>
      <c r="V1" s="32" t="s">
        <v>382</v>
      </c>
      <c r="W1" s="32" t="s">
        <v>383</v>
      </c>
      <c r="X1" s="32" t="s">
        <v>384</v>
      </c>
      <c r="Y1" s="32" t="s">
        <v>385</v>
      </c>
      <c r="Z1" s="32" t="s">
        <v>257</v>
      </c>
      <c r="AA1" s="32" t="s">
        <v>386</v>
      </c>
      <c r="AB1" s="32" t="s">
        <v>387</v>
      </c>
      <c r="AC1" s="32" t="s">
        <v>43</v>
      </c>
    </row>
    <row r="2" spans="1:29">
      <c r="A2" s="32" t="s">
        <v>545</v>
      </c>
      <c r="B2" s="32" t="s">
        <v>546</v>
      </c>
      <c r="C2" s="32" t="s">
        <v>391</v>
      </c>
      <c r="D2" s="32" t="s">
        <v>392</v>
      </c>
      <c r="E2" s="356">
        <v>46146.492430555554</v>
      </c>
      <c r="F2" s="356">
        <v>46146.680810185186</v>
      </c>
      <c r="G2" s="32">
        <v>92234714191</v>
      </c>
      <c r="H2" s="356">
        <v>46148.737199074072</v>
      </c>
      <c r="J2" s="32" t="s">
        <v>224</v>
      </c>
      <c r="L2" s="32">
        <v>1</v>
      </c>
      <c r="M2" s="32">
        <v>13200</v>
      </c>
      <c r="N2" s="32">
        <v>0</v>
      </c>
      <c r="O2" s="32">
        <v>0</v>
      </c>
      <c r="Q2" s="32">
        <v>0</v>
      </c>
      <c r="R2" s="32">
        <v>0</v>
      </c>
      <c r="S2" s="32">
        <v>5850</v>
      </c>
      <c r="T2" s="32" t="s">
        <v>547</v>
      </c>
      <c r="U2" s="32" t="s">
        <v>548</v>
      </c>
      <c r="X2" s="32" t="s">
        <v>549</v>
      </c>
      <c r="Y2" s="32">
        <v>13200</v>
      </c>
      <c r="Z2" s="32" t="s">
        <v>258</v>
      </c>
      <c r="AA2" s="32">
        <v>0</v>
      </c>
      <c r="AC2" s="32" t="s">
        <v>548</v>
      </c>
    </row>
    <row r="3" spans="1:29">
      <c r="A3" s="32" t="s">
        <v>550</v>
      </c>
      <c r="B3" s="32" t="s">
        <v>551</v>
      </c>
      <c r="C3" s="32" t="s">
        <v>391</v>
      </c>
      <c r="D3" s="32" t="s">
        <v>392</v>
      </c>
      <c r="E3" s="356">
        <v>46155.563009259262</v>
      </c>
      <c r="F3" s="356">
        <v>46157.639131944445</v>
      </c>
      <c r="G3" s="32">
        <v>92235116105</v>
      </c>
      <c r="H3" s="356">
        <v>46158.778009259258</v>
      </c>
      <c r="J3" s="32" t="s">
        <v>224</v>
      </c>
      <c r="L3" s="32">
        <v>9</v>
      </c>
      <c r="M3" s="32">
        <v>13200</v>
      </c>
      <c r="N3" s="32">
        <v>0</v>
      </c>
      <c r="O3" s="32">
        <v>0</v>
      </c>
      <c r="Q3" s="32">
        <v>0</v>
      </c>
      <c r="R3" s="32">
        <v>0</v>
      </c>
      <c r="S3" s="32">
        <v>0</v>
      </c>
      <c r="U3" s="32" t="s">
        <v>552</v>
      </c>
      <c r="X3" s="32" t="s">
        <v>549</v>
      </c>
      <c r="Y3" s="32">
        <v>13200</v>
      </c>
      <c r="Z3" s="32" t="s">
        <v>258</v>
      </c>
      <c r="AA3" s="32">
        <v>0</v>
      </c>
      <c r="AC3" s="32" t="s">
        <v>552</v>
      </c>
    </row>
    <row r="5" spans="1:29">
      <c r="K5" s="32" t="s">
        <v>195</v>
      </c>
      <c r="L5" s="46">
        <f>SUM(L2:L4)</f>
        <v>10</v>
      </c>
    </row>
    <row r="6" spans="1:29">
      <c r="K6" s="32" t="s">
        <v>225</v>
      </c>
      <c r="L6" s="169">
        <v>22000</v>
      </c>
    </row>
    <row r="7" spans="1:29">
      <c r="K7" s="32" t="s">
        <v>251</v>
      </c>
      <c r="L7" s="175">
        <f>L6*60%</f>
        <v>13200</v>
      </c>
    </row>
    <row r="8" spans="1:29">
      <c r="K8" s="32" t="s">
        <v>61</v>
      </c>
      <c r="L8" s="176">
        <f>L5*L7</f>
        <v>132000</v>
      </c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63F2-AD04-EF45-A0B7-CBEC1CA6BE6C}">
  <dimension ref="A1:X14"/>
  <sheetViews>
    <sheetView workbookViewId="0">
      <selection activeCell="L25" sqref="L25"/>
    </sheetView>
  </sheetViews>
  <sheetFormatPr baseColWidth="10" defaultRowHeight="17"/>
  <cols>
    <col min="6" max="6" width="16" bestFit="1" customWidth="1"/>
    <col min="8" max="8" width="38" bestFit="1" customWidth="1"/>
    <col min="12" max="12" width="38" bestFit="1" customWidth="1"/>
    <col min="14" max="14" width="12" bestFit="1" customWidth="1"/>
    <col min="15" max="15" width="18.5" bestFit="1" customWidth="1"/>
  </cols>
  <sheetData>
    <row r="1" spans="1:24">
      <c r="A1" t="s">
        <v>559</v>
      </c>
    </row>
    <row r="2" spans="1:24" ht="18">
      <c r="A2" s="173" t="s">
        <v>162</v>
      </c>
      <c r="B2" s="174" t="s">
        <v>207</v>
      </c>
      <c r="C2" s="174" t="s">
        <v>208</v>
      </c>
      <c r="D2" s="174" t="s">
        <v>163</v>
      </c>
      <c r="E2" s="174" t="s">
        <v>160</v>
      </c>
      <c r="F2" s="174" t="s">
        <v>161</v>
      </c>
      <c r="G2" s="174" t="s">
        <v>164</v>
      </c>
      <c r="H2" s="174" t="s">
        <v>29</v>
      </c>
      <c r="I2" s="174" t="s">
        <v>209</v>
      </c>
      <c r="J2" s="174" t="s">
        <v>210</v>
      </c>
      <c r="K2" s="174" t="s">
        <v>211</v>
      </c>
      <c r="L2" s="174" t="s">
        <v>212</v>
      </c>
      <c r="M2" s="174" t="s">
        <v>213</v>
      </c>
      <c r="N2" s="174" t="s">
        <v>214</v>
      </c>
      <c r="O2" s="174" t="s">
        <v>215</v>
      </c>
      <c r="P2" s="174" t="s">
        <v>216</v>
      </c>
      <c r="Q2" s="174" t="s">
        <v>217</v>
      </c>
      <c r="R2" s="174" t="s">
        <v>165</v>
      </c>
      <c r="S2" s="174" t="s">
        <v>218</v>
      </c>
      <c r="T2" s="174" t="s">
        <v>219</v>
      </c>
      <c r="U2" s="174" t="s">
        <v>220</v>
      </c>
      <c r="V2" s="174" t="s">
        <v>221</v>
      </c>
      <c r="W2" s="174" t="s">
        <v>222</v>
      </c>
      <c r="X2" s="174" t="s">
        <v>223</v>
      </c>
    </row>
    <row r="3" spans="1:24" ht="36">
      <c r="A3" s="171" t="s">
        <v>199</v>
      </c>
      <c r="B3" s="161" t="s">
        <v>200</v>
      </c>
      <c r="C3" s="161" t="s">
        <v>194</v>
      </c>
      <c r="D3" s="161" t="s">
        <v>167</v>
      </c>
      <c r="E3" s="161" t="s">
        <v>201</v>
      </c>
      <c r="F3" s="161" t="s">
        <v>166</v>
      </c>
      <c r="G3" s="161" t="s">
        <v>206</v>
      </c>
      <c r="H3" s="161" t="s">
        <v>24</v>
      </c>
      <c r="I3" s="161" t="s">
        <v>553</v>
      </c>
      <c r="J3" s="161" t="s">
        <v>553</v>
      </c>
      <c r="K3" s="161" t="s">
        <v>554</v>
      </c>
      <c r="L3" s="161" t="s">
        <v>202</v>
      </c>
      <c r="M3" s="172">
        <v>1</v>
      </c>
      <c r="N3" s="172">
        <v>1</v>
      </c>
      <c r="O3" s="172">
        <v>14000</v>
      </c>
      <c r="P3" s="172">
        <v>14000</v>
      </c>
      <c r="Q3" s="172">
        <v>14000</v>
      </c>
      <c r="R3" s="161" t="s">
        <v>203</v>
      </c>
      <c r="S3" s="161" t="s">
        <v>199</v>
      </c>
      <c r="T3" s="161" t="s">
        <v>167</v>
      </c>
      <c r="U3" s="172">
        <v>1</v>
      </c>
      <c r="V3" s="161" t="s">
        <v>204</v>
      </c>
      <c r="W3" s="161" t="s">
        <v>205</v>
      </c>
      <c r="X3" s="161"/>
    </row>
    <row r="4" spans="1:24" ht="36">
      <c r="A4" s="171" t="s">
        <v>199</v>
      </c>
      <c r="B4" s="161" t="s">
        <v>200</v>
      </c>
      <c r="C4" s="161" t="s">
        <v>194</v>
      </c>
      <c r="D4" s="161" t="s">
        <v>167</v>
      </c>
      <c r="E4" s="161" t="s">
        <v>201</v>
      </c>
      <c r="F4" s="161" t="s">
        <v>166</v>
      </c>
      <c r="G4" s="161" t="s">
        <v>206</v>
      </c>
      <c r="H4" s="161" t="s">
        <v>24</v>
      </c>
      <c r="I4" s="161" t="s">
        <v>555</v>
      </c>
      <c r="J4" s="161" t="s">
        <v>555</v>
      </c>
      <c r="K4" s="161" t="s">
        <v>556</v>
      </c>
      <c r="L4" s="161" t="s">
        <v>202</v>
      </c>
      <c r="M4" s="172">
        <v>1</v>
      </c>
      <c r="N4" s="172">
        <v>1</v>
      </c>
      <c r="O4" s="172">
        <v>14000</v>
      </c>
      <c r="P4" s="172">
        <v>14000</v>
      </c>
      <c r="Q4" s="172">
        <v>14000</v>
      </c>
      <c r="R4" s="161" t="s">
        <v>203</v>
      </c>
      <c r="S4" s="161" t="s">
        <v>199</v>
      </c>
      <c r="T4" s="161" t="s">
        <v>167</v>
      </c>
      <c r="U4" s="172">
        <v>1</v>
      </c>
      <c r="V4" s="161" t="s">
        <v>204</v>
      </c>
      <c r="W4" s="161" t="s">
        <v>205</v>
      </c>
      <c r="X4" s="161"/>
    </row>
    <row r="5" spans="1:24" ht="36">
      <c r="A5" s="171" t="s">
        <v>199</v>
      </c>
      <c r="B5" s="161" t="s">
        <v>200</v>
      </c>
      <c r="C5" s="161" t="s">
        <v>194</v>
      </c>
      <c r="D5" s="161" t="s">
        <v>167</v>
      </c>
      <c r="E5" s="161" t="s">
        <v>201</v>
      </c>
      <c r="F5" s="161" t="s">
        <v>166</v>
      </c>
      <c r="G5" s="161" t="s">
        <v>206</v>
      </c>
      <c r="H5" s="161" t="s">
        <v>24</v>
      </c>
      <c r="I5" s="161" t="s">
        <v>557</v>
      </c>
      <c r="J5" s="161" t="s">
        <v>557</v>
      </c>
      <c r="K5" s="161" t="s">
        <v>558</v>
      </c>
      <c r="L5" s="161" t="s">
        <v>202</v>
      </c>
      <c r="M5" s="172">
        <v>2</v>
      </c>
      <c r="N5" s="172">
        <v>2</v>
      </c>
      <c r="O5" s="172">
        <v>28000</v>
      </c>
      <c r="P5" s="172">
        <v>28000</v>
      </c>
      <c r="Q5" s="172">
        <v>14000</v>
      </c>
      <c r="R5" s="161" t="s">
        <v>203</v>
      </c>
      <c r="S5" s="161" t="s">
        <v>199</v>
      </c>
      <c r="T5" s="161" t="s">
        <v>167</v>
      </c>
      <c r="U5" s="172">
        <v>2</v>
      </c>
      <c r="V5" s="161" t="s">
        <v>204</v>
      </c>
      <c r="W5" s="161" t="s">
        <v>205</v>
      </c>
      <c r="X5" s="161"/>
    </row>
    <row r="9" spans="1:24" ht="18" thickBot="1">
      <c r="A9" s="32"/>
      <c r="N9" s="166"/>
    </row>
    <row r="10" spans="1:24">
      <c r="L10" s="241" t="s">
        <v>269</v>
      </c>
      <c r="M10" s="242" t="s">
        <v>336</v>
      </c>
      <c r="N10" s="242" t="s">
        <v>52</v>
      </c>
      <c r="O10" s="242" t="s">
        <v>334</v>
      </c>
      <c r="P10" s="243" t="s">
        <v>335</v>
      </c>
    </row>
    <row r="11" spans="1:24">
      <c r="L11" s="240" t="s">
        <v>333</v>
      </c>
      <c r="M11" s="222">
        <v>4</v>
      </c>
      <c r="N11" s="222">
        <v>22000</v>
      </c>
      <c r="O11" s="222">
        <f>14000+1400</f>
        <v>15400</v>
      </c>
      <c r="P11" s="228">
        <f>M11*O11</f>
        <v>61600</v>
      </c>
      <c r="Q11" s="30"/>
    </row>
    <row r="12" spans="1:24">
      <c r="L12" s="240" t="s">
        <v>312</v>
      </c>
      <c r="M12" s="222"/>
      <c r="N12" s="238">
        <v>22000</v>
      </c>
      <c r="O12" s="222">
        <f>14000+1400</f>
        <v>15400</v>
      </c>
      <c r="P12" s="228">
        <f>M12*O12</f>
        <v>0</v>
      </c>
      <c r="Q12" s="30"/>
    </row>
    <row r="13" spans="1:24" ht="18" thickBot="1">
      <c r="L13" s="229" t="s">
        <v>61</v>
      </c>
      <c r="M13" s="231">
        <f>SUM(M11:M12)</f>
        <v>4</v>
      </c>
      <c r="N13" s="231"/>
      <c r="O13" s="230"/>
      <c r="P13" s="232">
        <f>SUM(P11:P12)</f>
        <v>61600</v>
      </c>
      <c r="Q13" s="30"/>
    </row>
    <row r="14" spans="1:24">
      <c r="M14" s="30"/>
      <c r="N14" s="30"/>
      <c r="O14" s="30"/>
      <c r="P14" s="30"/>
      <c r="Q14" s="30"/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FB9FD-C895-A648-9D1E-135D38104E6E}">
  <dimension ref="A1:AG8"/>
  <sheetViews>
    <sheetView workbookViewId="0">
      <selection activeCell="O20" sqref="O20"/>
    </sheetView>
  </sheetViews>
  <sheetFormatPr baseColWidth="10" defaultRowHeight="17"/>
  <cols>
    <col min="1" max="2" width="12.83203125" bestFit="1" customWidth="1"/>
    <col min="3" max="3" width="13.6640625" bestFit="1" customWidth="1"/>
    <col min="4" max="4" width="17" bestFit="1" customWidth="1"/>
    <col min="5" max="5" width="14.6640625" bestFit="1" customWidth="1"/>
    <col min="6" max="6" width="77.6640625" bestFit="1" customWidth="1"/>
    <col min="7" max="7" width="25.83203125" bestFit="1" customWidth="1"/>
    <col min="8" max="8" width="18.5" bestFit="1" customWidth="1"/>
    <col min="9" max="9" width="10.33203125" bestFit="1" customWidth="1"/>
    <col min="10" max="10" width="9.5" bestFit="1" customWidth="1"/>
    <col min="11" max="11" width="11.1640625" bestFit="1" customWidth="1"/>
    <col min="12" max="12" width="7.83203125" bestFit="1" customWidth="1"/>
    <col min="13" max="13" width="9.6640625" style="142" bestFit="1" customWidth="1"/>
    <col min="14" max="14" width="25" bestFit="1" customWidth="1"/>
    <col min="15" max="15" width="8" bestFit="1" customWidth="1"/>
    <col min="16" max="16" width="11.1640625" bestFit="1" customWidth="1"/>
    <col min="17" max="19" width="8" bestFit="1" customWidth="1"/>
    <col min="20" max="22" width="17" bestFit="1" customWidth="1"/>
    <col min="23" max="24" width="9.5" bestFit="1" customWidth="1"/>
    <col min="25" max="25" width="12.5" bestFit="1" customWidth="1"/>
    <col min="26" max="26" width="17" bestFit="1" customWidth="1"/>
    <col min="27" max="27" width="9.5" bestFit="1" customWidth="1"/>
    <col min="28" max="28" width="12.5" bestFit="1" customWidth="1"/>
    <col min="29" max="29" width="14.1640625" bestFit="1" customWidth="1"/>
    <col min="30" max="30" width="12.5" bestFit="1" customWidth="1"/>
    <col min="31" max="31" width="14.1640625" bestFit="1" customWidth="1"/>
    <col min="32" max="32" width="7.83203125" bestFit="1" customWidth="1"/>
    <col min="33" max="33" width="8.6640625" bestFit="1" customWidth="1"/>
  </cols>
  <sheetData>
    <row r="1" spans="1:33">
      <c r="A1" s="235" t="s">
        <v>600</v>
      </c>
      <c r="O1" s="162"/>
    </row>
    <row r="2" spans="1:33">
      <c r="A2" s="235" t="s">
        <v>332</v>
      </c>
    </row>
    <row r="3" spans="1:33" s="357" customFormat="1" ht="15">
      <c r="A3" s="48" t="s">
        <v>168</v>
      </c>
      <c r="B3" s="48" t="s">
        <v>169</v>
      </c>
      <c r="C3" s="48" t="s">
        <v>170</v>
      </c>
      <c r="D3" s="48" t="s">
        <v>42</v>
      </c>
      <c r="E3" s="48" t="s">
        <v>171</v>
      </c>
      <c r="F3" s="48" t="s">
        <v>29</v>
      </c>
      <c r="G3" s="48" t="s">
        <v>172</v>
      </c>
      <c r="H3" s="48" t="s">
        <v>173</v>
      </c>
      <c r="I3" s="48" t="s">
        <v>174</v>
      </c>
      <c r="J3" s="48" t="s">
        <v>175</v>
      </c>
      <c r="K3" s="48" t="s">
        <v>176</v>
      </c>
      <c r="L3" s="48" t="s">
        <v>144</v>
      </c>
      <c r="M3" s="48" t="s">
        <v>6</v>
      </c>
      <c r="N3" s="48" t="s">
        <v>177</v>
      </c>
      <c r="O3" s="48" t="s">
        <v>274</v>
      </c>
      <c r="P3" s="48" t="s">
        <v>256</v>
      </c>
      <c r="Q3" s="48" t="s">
        <v>178</v>
      </c>
      <c r="R3" s="48" t="s">
        <v>179</v>
      </c>
      <c r="S3" s="48" t="s">
        <v>320</v>
      </c>
      <c r="T3" s="48" t="s">
        <v>180</v>
      </c>
      <c r="U3" s="48" t="s">
        <v>181</v>
      </c>
      <c r="V3" s="48" t="s">
        <v>159</v>
      </c>
      <c r="W3" s="48" t="s">
        <v>321</v>
      </c>
      <c r="X3" s="48" t="s">
        <v>322</v>
      </c>
      <c r="Y3" s="48" t="s">
        <v>323</v>
      </c>
      <c r="Z3" s="48" t="s">
        <v>145</v>
      </c>
      <c r="AA3" s="48" t="s">
        <v>182</v>
      </c>
      <c r="AB3" s="48" t="s">
        <v>183</v>
      </c>
      <c r="AC3" s="48" t="s">
        <v>184</v>
      </c>
      <c r="AD3" s="48" t="s">
        <v>185</v>
      </c>
      <c r="AE3" s="48" t="s">
        <v>186</v>
      </c>
      <c r="AF3" s="48" t="s">
        <v>187</v>
      </c>
      <c r="AG3" s="48" t="s">
        <v>188</v>
      </c>
    </row>
    <row r="4" spans="1:33" s="25" customFormat="1" ht="15">
      <c r="A4" s="32" t="s">
        <v>560</v>
      </c>
      <c r="B4" s="32" t="s">
        <v>561</v>
      </c>
      <c r="C4" s="32" t="s">
        <v>299</v>
      </c>
      <c r="D4" s="32" t="s">
        <v>562</v>
      </c>
      <c r="E4" s="32" t="s">
        <v>324</v>
      </c>
      <c r="F4" s="32" t="s">
        <v>325</v>
      </c>
      <c r="G4" s="32" t="s">
        <v>326</v>
      </c>
      <c r="H4" s="32" t="s">
        <v>327</v>
      </c>
      <c r="I4" s="32" t="s">
        <v>328</v>
      </c>
      <c r="J4" s="32" t="s">
        <v>329</v>
      </c>
      <c r="K4" s="358">
        <v>22000</v>
      </c>
      <c r="L4" s="358">
        <v>22000</v>
      </c>
      <c r="M4" s="358">
        <v>1</v>
      </c>
      <c r="N4" s="358">
        <v>22000</v>
      </c>
      <c r="O4" s="32" t="s">
        <v>301</v>
      </c>
      <c r="P4" s="32" t="s">
        <v>563</v>
      </c>
      <c r="Q4" s="32" t="s">
        <v>564</v>
      </c>
      <c r="R4" s="32" t="s">
        <v>564</v>
      </c>
      <c r="S4" s="32" t="s">
        <v>330</v>
      </c>
      <c r="T4" s="32" t="s">
        <v>565</v>
      </c>
      <c r="U4" s="32" t="s">
        <v>566</v>
      </c>
      <c r="V4" s="32" t="s">
        <v>567</v>
      </c>
      <c r="W4" s="32" t="s">
        <v>329</v>
      </c>
      <c r="X4" s="32" t="s">
        <v>329</v>
      </c>
      <c r="Y4" s="32" t="s">
        <v>329</v>
      </c>
      <c r="Z4" s="32" t="s">
        <v>568</v>
      </c>
      <c r="AA4" s="32" t="s">
        <v>329</v>
      </c>
      <c r="AB4" s="32" t="s">
        <v>329</v>
      </c>
      <c r="AC4" s="32" t="s">
        <v>329</v>
      </c>
      <c r="AD4" s="32" t="s">
        <v>329</v>
      </c>
      <c r="AE4" s="32" t="s">
        <v>329</v>
      </c>
      <c r="AF4" s="32" t="s">
        <v>331</v>
      </c>
      <c r="AG4" s="32" t="s">
        <v>569</v>
      </c>
    </row>
    <row r="5" spans="1:33" s="25" customFormat="1" ht="15">
      <c r="A5" s="32" t="s">
        <v>570</v>
      </c>
      <c r="B5" s="32" t="s">
        <v>571</v>
      </c>
      <c r="C5" s="32" t="s">
        <v>299</v>
      </c>
      <c r="D5" s="32" t="s">
        <v>572</v>
      </c>
      <c r="E5" s="32" t="s">
        <v>324</v>
      </c>
      <c r="F5" s="32" t="s">
        <v>325</v>
      </c>
      <c r="G5" s="32" t="s">
        <v>326</v>
      </c>
      <c r="H5" s="32" t="s">
        <v>327</v>
      </c>
      <c r="I5" s="32" t="s">
        <v>328</v>
      </c>
      <c r="J5" s="32" t="s">
        <v>329</v>
      </c>
      <c r="K5" s="358">
        <v>22000</v>
      </c>
      <c r="L5" s="358">
        <v>22000</v>
      </c>
      <c r="M5" s="358">
        <v>2</v>
      </c>
      <c r="N5" s="358">
        <v>44000</v>
      </c>
      <c r="O5" s="32" t="s">
        <v>301</v>
      </c>
      <c r="P5" s="32" t="s">
        <v>573</v>
      </c>
      <c r="Q5" s="32" t="s">
        <v>574</v>
      </c>
      <c r="R5" s="32" t="s">
        <v>574</v>
      </c>
      <c r="S5" s="32" t="s">
        <v>330</v>
      </c>
      <c r="T5" s="32" t="s">
        <v>575</v>
      </c>
      <c r="U5" s="32" t="s">
        <v>576</v>
      </c>
      <c r="V5" s="32" t="s">
        <v>577</v>
      </c>
      <c r="W5" s="32" t="s">
        <v>329</v>
      </c>
      <c r="X5" s="32" t="s">
        <v>329</v>
      </c>
      <c r="Y5" s="32" t="s">
        <v>329</v>
      </c>
      <c r="Z5" s="32" t="s">
        <v>578</v>
      </c>
      <c r="AA5" s="32" t="s">
        <v>329</v>
      </c>
      <c r="AB5" s="32" t="s">
        <v>329</v>
      </c>
      <c r="AC5" s="32" t="s">
        <v>329</v>
      </c>
      <c r="AD5" s="32" t="s">
        <v>329</v>
      </c>
      <c r="AE5" s="32" t="s">
        <v>329</v>
      </c>
      <c r="AF5" s="32" t="s">
        <v>331</v>
      </c>
      <c r="AG5" s="32" t="s">
        <v>579</v>
      </c>
    </row>
    <row r="6" spans="1:33" s="25" customFormat="1" ht="15">
      <c r="A6" s="32" t="s">
        <v>580</v>
      </c>
      <c r="B6" s="32" t="s">
        <v>581</v>
      </c>
      <c r="C6" s="32" t="s">
        <v>299</v>
      </c>
      <c r="D6" s="32" t="s">
        <v>582</v>
      </c>
      <c r="E6" s="32" t="s">
        <v>324</v>
      </c>
      <c r="F6" s="32" t="s">
        <v>325</v>
      </c>
      <c r="G6" s="32" t="s">
        <v>326</v>
      </c>
      <c r="H6" s="32" t="s">
        <v>327</v>
      </c>
      <c r="I6" s="32" t="s">
        <v>328</v>
      </c>
      <c r="J6" s="32" t="s">
        <v>329</v>
      </c>
      <c r="K6" s="358">
        <v>22000</v>
      </c>
      <c r="L6" s="358">
        <v>22000</v>
      </c>
      <c r="M6" s="358">
        <v>1</v>
      </c>
      <c r="N6" s="358">
        <v>22000</v>
      </c>
      <c r="O6" s="32" t="s">
        <v>301</v>
      </c>
      <c r="P6" s="32" t="s">
        <v>583</v>
      </c>
      <c r="Q6" s="32" t="s">
        <v>584</v>
      </c>
      <c r="R6" s="32" t="s">
        <v>584</v>
      </c>
      <c r="S6" s="32" t="s">
        <v>330</v>
      </c>
      <c r="T6" s="32" t="s">
        <v>585</v>
      </c>
      <c r="U6" s="32" t="s">
        <v>586</v>
      </c>
      <c r="V6" s="32" t="s">
        <v>587</v>
      </c>
      <c r="W6" s="32" t="s">
        <v>329</v>
      </c>
      <c r="X6" s="32" t="s">
        <v>329</v>
      </c>
      <c r="Y6" s="32" t="s">
        <v>329</v>
      </c>
      <c r="Z6" s="32" t="s">
        <v>588</v>
      </c>
      <c r="AA6" s="32" t="s">
        <v>329</v>
      </c>
      <c r="AB6" s="32" t="s">
        <v>329</v>
      </c>
      <c r="AC6" s="32" t="s">
        <v>329</v>
      </c>
      <c r="AD6" s="32" t="s">
        <v>329</v>
      </c>
      <c r="AE6" s="32" t="s">
        <v>329</v>
      </c>
      <c r="AF6" s="32" t="s">
        <v>331</v>
      </c>
      <c r="AG6" s="32" t="s">
        <v>589</v>
      </c>
    </row>
    <row r="7" spans="1:33">
      <c r="A7" s="32" t="s">
        <v>590</v>
      </c>
      <c r="B7" s="32" t="s">
        <v>591</v>
      </c>
      <c r="C7" s="32" t="s">
        <v>299</v>
      </c>
      <c r="D7" s="32" t="s">
        <v>592</v>
      </c>
      <c r="E7" s="32" t="s">
        <v>324</v>
      </c>
      <c r="F7" s="32" t="s">
        <v>325</v>
      </c>
      <c r="G7" s="32" t="s">
        <v>326</v>
      </c>
      <c r="H7" s="32" t="s">
        <v>327</v>
      </c>
      <c r="I7" s="32" t="s">
        <v>328</v>
      </c>
      <c r="J7" s="32" t="s">
        <v>329</v>
      </c>
      <c r="K7" s="358">
        <v>22000</v>
      </c>
      <c r="L7" s="358">
        <v>22000</v>
      </c>
      <c r="M7" s="358">
        <v>1</v>
      </c>
      <c r="N7" s="358">
        <v>22000</v>
      </c>
      <c r="O7" s="32" t="s">
        <v>301</v>
      </c>
      <c r="P7" s="32" t="s">
        <v>593</v>
      </c>
      <c r="Q7" s="32" t="s">
        <v>594</v>
      </c>
      <c r="R7" s="32" t="s">
        <v>594</v>
      </c>
      <c r="S7" s="32" t="s">
        <v>330</v>
      </c>
      <c r="T7" s="32" t="s">
        <v>595</v>
      </c>
      <c r="U7" s="32" t="s">
        <v>596</v>
      </c>
      <c r="V7" s="32" t="s">
        <v>597</v>
      </c>
      <c r="W7" s="32" t="s">
        <v>329</v>
      </c>
      <c r="X7" s="32" t="s">
        <v>329</v>
      </c>
      <c r="Y7" s="32" t="s">
        <v>329</v>
      </c>
      <c r="Z7" s="32" t="s">
        <v>598</v>
      </c>
      <c r="AA7" s="32" t="s">
        <v>329</v>
      </c>
      <c r="AB7" s="32" t="s">
        <v>329</v>
      </c>
      <c r="AC7" s="32" t="s">
        <v>329</v>
      </c>
      <c r="AD7" s="32" t="s">
        <v>329</v>
      </c>
      <c r="AE7" s="32" t="s">
        <v>329</v>
      </c>
      <c r="AF7" s="32" t="s">
        <v>331</v>
      </c>
      <c r="AG7" s="32" t="s">
        <v>599</v>
      </c>
    </row>
    <row r="8" spans="1:33">
      <c r="K8" s="134" t="s">
        <v>61</v>
      </c>
      <c r="L8" s="237">
        <v>22000</v>
      </c>
      <c r="M8" s="236">
        <f>SUM(M4:M7)</f>
        <v>5</v>
      </c>
      <c r="N8" s="208">
        <f>L8*M8</f>
        <v>110000</v>
      </c>
    </row>
  </sheetData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8372-C7AC-9245-8FD7-0156B62432D3}">
  <dimension ref="A1:P8"/>
  <sheetViews>
    <sheetView workbookViewId="0">
      <selection activeCell="R14" sqref="R14"/>
    </sheetView>
  </sheetViews>
  <sheetFormatPr baseColWidth="10" defaultRowHeight="17"/>
  <sheetData>
    <row r="1" spans="1:16" ht="34">
      <c r="A1" s="181" t="s">
        <v>89</v>
      </c>
      <c r="B1" s="182" t="s">
        <v>227</v>
      </c>
      <c r="C1" s="182" t="s">
        <v>228</v>
      </c>
      <c r="D1" s="182" t="s">
        <v>229</v>
      </c>
      <c r="E1" s="182" t="s">
        <v>230</v>
      </c>
      <c r="F1" s="182" t="s">
        <v>231</v>
      </c>
      <c r="G1" s="182" t="s">
        <v>232</v>
      </c>
      <c r="H1" s="182" t="s">
        <v>6</v>
      </c>
      <c r="I1" s="182" t="s">
        <v>233</v>
      </c>
      <c r="J1" s="182" t="s">
        <v>234</v>
      </c>
      <c r="K1" s="182" t="s">
        <v>235</v>
      </c>
      <c r="L1" s="182" t="s">
        <v>236</v>
      </c>
      <c r="M1" s="182" t="s">
        <v>237</v>
      </c>
      <c r="N1" s="182" t="s">
        <v>238</v>
      </c>
      <c r="O1" s="182" t="s">
        <v>239</v>
      </c>
      <c r="P1" s="183" t="s">
        <v>240</v>
      </c>
    </row>
    <row r="2" spans="1:16" ht="102">
      <c r="A2" s="184" t="s">
        <v>601</v>
      </c>
      <c r="B2" s="185" t="s">
        <v>602</v>
      </c>
      <c r="C2" s="185" t="s">
        <v>603</v>
      </c>
      <c r="D2" s="185" t="s">
        <v>604</v>
      </c>
      <c r="E2" s="185" t="s">
        <v>605</v>
      </c>
      <c r="F2" s="185" t="s">
        <v>606</v>
      </c>
      <c r="G2" s="185" t="s">
        <v>607</v>
      </c>
      <c r="H2" s="361">
        <v>2</v>
      </c>
      <c r="I2" s="186" t="s">
        <v>608</v>
      </c>
      <c r="J2" s="186" t="s">
        <v>609</v>
      </c>
      <c r="K2" s="186" t="s">
        <v>610</v>
      </c>
      <c r="L2" s="186">
        <v>27720</v>
      </c>
      <c r="M2" s="186" t="s">
        <v>611</v>
      </c>
      <c r="N2" s="186" t="s">
        <v>612</v>
      </c>
      <c r="O2" s="185" t="s">
        <v>613</v>
      </c>
      <c r="P2" s="187" t="s">
        <v>614</v>
      </c>
    </row>
    <row r="3" spans="1:16" ht="102">
      <c r="A3" s="184" t="s">
        <v>601</v>
      </c>
      <c r="B3" s="185" t="s">
        <v>615</v>
      </c>
      <c r="C3" s="185" t="s">
        <v>603</v>
      </c>
      <c r="D3" s="185" t="s">
        <v>604</v>
      </c>
      <c r="E3" s="185" t="s">
        <v>616</v>
      </c>
      <c r="F3" s="185" t="s">
        <v>617</v>
      </c>
      <c r="G3" s="185" t="s">
        <v>607</v>
      </c>
      <c r="H3" s="361">
        <v>1</v>
      </c>
      <c r="I3" s="186" t="s">
        <v>608</v>
      </c>
      <c r="J3" s="186" t="s">
        <v>609</v>
      </c>
      <c r="K3" s="186" t="s">
        <v>610</v>
      </c>
      <c r="L3" s="186">
        <v>13860</v>
      </c>
      <c r="M3" s="186" t="s">
        <v>609</v>
      </c>
      <c r="N3" s="186" t="s">
        <v>610</v>
      </c>
      <c r="O3" s="185" t="s">
        <v>618</v>
      </c>
      <c r="P3" s="187" t="s">
        <v>619</v>
      </c>
    </row>
    <row r="4" spans="1:16" ht="102">
      <c r="A4" s="184" t="s">
        <v>601</v>
      </c>
      <c r="B4" s="185" t="s">
        <v>620</v>
      </c>
      <c r="C4" s="185" t="s">
        <v>603</v>
      </c>
      <c r="D4" s="185" t="s">
        <v>604</v>
      </c>
      <c r="E4" s="185" t="s">
        <v>621</v>
      </c>
      <c r="F4" s="185" t="s">
        <v>622</v>
      </c>
      <c r="G4" s="185" t="s">
        <v>607</v>
      </c>
      <c r="H4" s="361">
        <v>1</v>
      </c>
      <c r="I4" s="186" t="s">
        <v>608</v>
      </c>
      <c r="J4" s="186" t="s">
        <v>609</v>
      </c>
      <c r="K4" s="186" t="s">
        <v>610</v>
      </c>
      <c r="L4" s="186">
        <v>13860</v>
      </c>
      <c r="M4" s="186" t="s">
        <v>609</v>
      </c>
      <c r="N4" s="186" t="s">
        <v>610</v>
      </c>
      <c r="O4" s="185" t="s">
        <v>623</v>
      </c>
      <c r="P4" s="187" t="s">
        <v>624</v>
      </c>
    </row>
    <row r="5" spans="1:16">
      <c r="A5" s="184"/>
      <c r="B5" s="185"/>
      <c r="C5" s="185"/>
      <c r="D5" s="185"/>
      <c r="E5" s="185"/>
      <c r="F5" s="185"/>
      <c r="G5" s="185"/>
      <c r="H5" s="186"/>
      <c r="I5" s="186"/>
      <c r="J5" s="186"/>
      <c r="K5" s="186"/>
      <c r="L5" s="186"/>
      <c r="M5" s="186"/>
      <c r="N5" s="186"/>
      <c r="O5" s="185"/>
      <c r="P5" s="187"/>
    </row>
    <row r="7" spans="1:16">
      <c r="G7" s="359" t="s">
        <v>625</v>
      </c>
      <c r="H7" s="360">
        <f>SUM(H2:H4)</f>
        <v>4</v>
      </c>
      <c r="I7" s="188" t="s">
        <v>0</v>
      </c>
      <c r="J7" s="189">
        <v>0.37</v>
      </c>
    </row>
    <row r="8" spans="1:16">
      <c r="G8" s="359" t="s">
        <v>626</v>
      </c>
      <c r="H8" s="143">
        <f>13860*H7</f>
        <v>55440</v>
      </c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7D12-9F83-1646-8592-E362F8DC40A9}">
  <dimension ref="A1:I3"/>
  <sheetViews>
    <sheetView workbookViewId="0">
      <selection activeCell="B16" sqref="B16"/>
    </sheetView>
  </sheetViews>
  <sheetFormatPr baseColWidth="10" defaultRowHeight="17"/>
  <cols>
    <col min="2" max="2" width="65.6640625" bestFit="1" customWidth="1"/>
    <col min="5" max="5" width="10" bestFit="1" customWidth="1"/>
    <col min="7" max="8" width="13.33203125" bestFit="1" customWidth="1"/>
  </cols>
  <sheetData>
    <row r="1" spans="1:9">
      <c r="A1" s="362" t="s">
        <v>227</v>
      </c>
      <c r="B1" s="362" t="s">
        <v>627</v>
      </c>
      <c r="C1" s="362" t="s">
        <v>628</v>
      </c>
      <c r="D1" s="362" t="s">
        <v>629</v>
      </c>
      <c r="E1" s="362" t="s">
        <v>357</v>
      </c>
      <c r="F1" s="362" t="s">
        <v>144</v>
      </c>
      <c r="G1" s="362" t="s">
        <v>630</v>
      </c>
      <c r="H1" s="362" t="s">
        <v>631</v>
      </c>
      <c r="I1" s="362" t="s">
        <v>632</v>
      </c>
    </row>
    <row r="2" spans="1:9">
      <c r="A2" s="362">
        <v>1</v>
      </c>
      <c r="B2" s="362" t="s">
        <v>633</v>
      </c>
      <c r="C2" s="362">
        <v>8809879544101</v>
      </c>
      <c r="D2" s="362" t="s">
        <v>634</v>
      </c>
      <c r="E2" s="362">
        <v>1</v>
      </c>
      <c r="F2" s="363">
        <v>22000</v>
      </c>
      <c r="G2" s="363">
        <v>12100</v>
      </c>
      <c r="H2" s="363">
        <v>9900</v>
      </c>
      <c r="I2" s="363">
        <v>12100</v>
      </c>
    </row>
    <row r="3" spans="1:9">
      <c r="A3" s="362"/>
      <c r="B3" s="362"/>
      <c r="C3" s="362"/>
      <c r="D3" s="362"/>
      <c r="E3" s="362">
        <v>1</v>
      </c>
      <c r="F3" s="362"/>
      <c r="G3" s="362"/>
      <c r="H3" s="362"/>
      <c r="I3" s="364">
        <v>12100</v>
      </c>
    </row>
  </sheetData>
  <phoneticPr fontId="1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A38B-86D2-984E-8D0C-E0B45D1A6298}">
  <dimension ref="A1:K38"/>
  <sheetViews>
    <sheetView workbookViewId="0">
      <selection activeCell="I25" sqref="I25"/>
    </sheetView>
  </sheetViews>
  <sheetFormatPr baseColWidth="10" defaultRowHeight="17"/>
  <cols>
    <col min="2" max="2" width="16.1640625" bestFit="1" customWidth="1"/>
    <col min="3" max="3" width="18.1640625" bestFit="1" customWidth="1"/>
    <col min="4" max="4" width="9.33203125" bestFit="1" customWidth="1"/>
    <col min="5" max="5" width="38" bestFit="1" customWidth="1"/>
    <col min="6" max="6" width="12.1640625" customWidth="1"/>
    <col min="7" max="7" width="14.33203125" customWidth="1"/>
    <col min="8" max="8" width="16.5" customWidth="1"/>
    <col min="9" max="9" width="68.5" style="28" bestFit="1" customWidth="1"/>
    <col min="10" max="10" width="16.1640625" bestFit="1" customWidth="1"/>
    <col min="11" max="11" width="16" bestFit="1" customWidth="1"/>
  </cols>
  <sheetData>
    <row r="1" spans="1:11">
      <c r="B1" s="25"/>
      <c r="C1" s="25"/>
      <c r="D1" s="25"/>
      <c r="E1" s="25"/>
      <c r="F1" s="25"/>
      <c r="G1" s="26"/>
      <c r="H1" s="25"/>
      <c r="I1" s="25"/>
      <c r="J1" s="25"/>
      <c r="K1" s="25"/>
    </row>
    <row r="2" spans="1:11">
      <c r="A2" s="96" t="s">
        <v>93</v>
      </c>
      <c r="B2" s="96" t="s">
        <v>9</v>
      </c>
      <c r="C2" s="96" t="s">
        <v>88</v>
      </c>
      <c r="D2" s="96" t="s">
        <v>89</v>
      </c>
      <c r="E2" s="96" t="s">
        <v>29</v>
      </c>
      <c r="F2" s="96" t="s">
        <v>191</v>
      </c>
      <c r="G2" s="96" t="s">
        <v>90</v>
      </c>
      <c r="H2" s="97" t="s">
        <v>91</v>
      </c>
      <c r="I2" s="25"/>
      <c r="J2" s="33"/>
      <c r="K2" s="33"/>
    </row>
    <row r="3" spans="1:11">
      <c r="E3" t="s">
        <v>319</v>
      </c>
      <c r="H3" s="30"/>
      <c r="I3" s="25"/>
      <c r="J3" s="33"/>
      <c r="K3" s="33"/>
    </row>
    <row r="4" spans="1:11">
      <c r="B4" s="98"/>
      <c r="C4" s="98"/>
      <c r="D4" s="98"/>
      <c r="E4" s="98"/>
      <c r="F4" s="98"/>
      <c r="G4" s="98"/>
      <c r="H4" s="99"/>
      <c r="I4" s="25"/>
      <c r="J4" s="33"/>
      <c r="K4" s="33"/>
    </row>
    <row r="5" spans="1:11">
      <c r="B5" s="98"/>
      <c r="C5" s="98"/>
      <c r="D5" s="98"/>
      <c r="E5" s="98"/>
      <c r="F5" s="98"/>
      <c r="G5" s="98" t="s">
        <v>189</v>
      </c>
      <c r="H5" s="99">
        <f>H3*25%</f>
        <v>0</v>
      </c>
      <c r="I5" s="25"/>
      <c r="J5" s="33"/>
      <c r="K5" s="33"/>
    </row>
    <row r="6" spans="1:11">
      <c r="B6" s="98"/>
      <c r="C6" s="98"/>
      <c r="D6" s="98"/>
      <c r="E6" s="98"/>
      <c r="F6" s="98"/>
      <c r="G6" s="98" t="s">
        <v>190</v>
      </c>
      <c r="H6" s="163">
        <f>H3-H5</f>
        <v>0</v>
      </c>
      <c r="I6" s="25"/>
      <c r="J6" s="33"/>
      <c r="K6" s="33"/>
    </row>
    <row r="7" spans="1:11">
      <c r="B7" s="33"/>
      <c r="C7" s="25"/>
      <c r="D7" s="25"/>
      <c r="E7" s="25"/>
      <c r="F7" s="25"/>
      <c r="G7" s="26"/>
      <c r="H7" s="25"/>
      <c r="I7" s="25"/>
      <c r="J7" s="33"/>
      <c r="K7" s="33"/>
    </row>
    <row r="8" spans="1:11">
      <c r="B8" s="33"/>
      <c r="C8" s="25"/>
      <c r="D8" s="25"/>
      <c r="E8" s="25"/>
      <c r="F8" s="25"/>
      <c r="G8" s="26"/>
      <c r="H8" s="25"/>
      <c r="I8" s="25"/>
      <c r="J8" s="33"/>
      <c r="K8" s="33"/>
    </row>
    <row r="9" spans="1:11">
      <c r="B9" s="33"/>
      <c r="C9" s="25"/>
      <c r="D9" s="25"/>
      <c r="E9" s="25"/>
      <c r="F9" s="25"/>
      <c r="G9" s="26"/>
      <c r="H9" s="25"/>
      <c r="I9" s="25"/>
      <c r="J9" s="33"/>
      <c r="K9" s="33"/>
    </row>
    <row r="10" spans="1:11">
      <c r="B10" s="33"/>
      <c r="C10" s="25"/>
      <c r="D10" s="25"/>
      <c r="E10" s="25"/>
      <c r="F10" s="25"/>
      <c r="G10" s="26"/>
      <c r="H10" s="25"/>
      <c r="I10" s="25"/>
      <c r="J10" s="33"/>
      <c r="K10" s="33"/>
    </row>
    <row r="11" spans="1:11">
      <c r="B11" s="33"/>
      <c r="C11" s="25"/>
      <c r="D11" s="25"/>
      <c r="E11" s="25"/>
      <c r="F11" s="25"/>
      <c r="G11" s="26"/>
      <c r="H11" s="25"/>
      <c r="I11" s="25"/>
      <c r="J11" s="33"/>
      <c r="K11" s="33"/>
    </row>
    <row r="12" spans="1:11">
      <c r="B12" s="33"/>
      <c r="C12" s="25"/>
      <c r="D12" s="25"/>
      <c r="E12" s="25"/>
      <c r="F12" s="25"/>
      <c r="G12" s="26"/>
      <c r="H12" s="25"/>
      <c r="I12" s="25"/>
      <c r="J12" s="33"/>
      <c r="K12" s="33"/>
    </row>
    <row r="13" spans="1:11">
      <c r="B13" s="33"/>
      <c r="C13" s="25"/>
      <c r="D13" s="25"/>
      <c r="E13" s="25"/>
      <c r="F13" s="25"/>
      <c r="G13" s="26"/>
      <c r="H13" s="25"/>
      <c r="I13" s="25"/>
      <c r="J13" s="33"/>
      <c r="K13" s="33"/>
    </row>
    <row r="14" spans="1:11">
      <c r="B14" s="33"/>
      <c r="C14" s="25"/>
      <c r="D14" s="25"/>
      <c r="E14" s="25"/>
      <c r="F14" s="25"/>
      <c r="G14" s="26"/>
      <c r="H14" s="25"/>
      <c r="I14" s="25"/>
      <c r="J14" s="33"/>
      <c r="K14" s="33"/>
    </row>
    <row r="15" spans="1:11">
      <c r="B15" s="33"/>
      <c r="C15" s="25"/>
      <c r="D15" s="25"/>
      <c r="E15" s="25"/>
      <c r="F15" s="25"/>
      <c r="G15" s="26"/>
      <c r="H15" s="25"/>
      <c r="I15" s="25"/>
      <c r="J15" s="33"/>
      <c r="K15" s="33"/>
    </row>
    <row r="16" spans="1:11">
      <c r="B16" s="33"/>
      <c r="C16" s="25"/>
      <c r="D16" s="25"/>
      <c r="E16" s="25"/>
      <c r="F16" s="25"/>
      <c r="G16" s="26"/>
      <c r="H16" s="25"/>
      <c r="I16" s="25"/>
      <c r="J16" s="33"/>
      <c r="K16" s="33"/>
    </row>
    <row r="17" spans="2:11">
      <c r="B17" s="33"/>
      <c r="C17" s="25"/>
      <c r="D17" s="25"/>
      <c r="E17" s="25"/>
      <c r="F17" s="25"/>
      <c r="G17" s="26"/>
      <c r="H17" s="25"/>
      <c r="I17" s="25"/>
      <c r="J17" s="33"/>
      <c r="K17" s="33"/>
    </row>
    <row r="18" spans="2:11">
      <c r="B18" s="33"/>
      <c r="C18" s="25"/>
      <c r="D18" s="25"/>
      <c r="E18" s="25"/>
      <c r="F18" s="25"/>
      <c r="G18" s="26"/>
      <c r="H18" s="25"/>
      <c r="I18" s="25"/>
      <c r="J18" s="33"/>
      <c r="K18" s="33"/>
    </row>
    <row r="19" spans="2:11">
      <c r="B19" s="33"/>
      <c r="C19" s="25"/>
      <c r="D19" s="25"/>
      <c r="E19" s="25"/>
      <c r="F19" s="25"/>
      <c r="G19" s="26"/>
      <c r="H19" s="25"/>
      <c r="I19" s="25"/>
      <c r="J19" s="33"/>
      <c r="K19" s="33"/>
    </row>
    <row r="20" spans="2:11">
      <c r="B20" s="33"/>
      <c r="C20" s="25"/>
      <c r="D20" s="25"/>
      <c r="E20" s="25"/>
      <c r="F20" s="25"/>
      <c r="G20" s="26"/>
      <c r="H20" s="25"/>
      <c r="I20" s="25"/>
      <c r="J20" s="33"/>
      <c r="K20" s="33"/>
    </row>
    <row r="21" spans="2:11">
      <c r="B21" s="33"/>
      <c r="C21" s="25"/>
      <c r="D21" s="25"/>
      <c r="E21" s="25"/>
      <c r="F21" s="25"/>
      <c r="G21" s="26"/>
      <c r="H21" s="25"/>
      <c r="I21" s="25"/>
      <c r="J21" s="33"/>
      <c r="K21" s="33"/>
    </row>
    <row r="22" spans="2:11">
      <c r="B22" s="33"/>
      <c r="C22" s="25"/>
      <c r="D22" s="25"/>
      <c r="E22" s="25"/>
      <c r="F22" s="25"/>
      <c r="G22" s="26"/>
      <c r="H22" s="25"/>
      <c r="I22" s="25"/>
      <c r="J22" s="33"/>
      <c r="K22" s="33"/>
    </row>
    <row r="23" spans="2:11">
      <c r="B23" s="33"/>
      <c r="C23" s="25"/>
      <c r="D23" s="25"/>
      <c r="E23" s="25"/>
      <c r="F23" s="25"/>
      <c r="G23" s="26"/>
      <c r="H23" s="25"/>
      <c r="I23" s="25"/>
      <c r="J23" s="33"/>
      <c r="K23" s="33"/>
    </row>
    <row r="24" spans="2:11">
      <c r="B24" s="33"/>
      <c r="C24" s="25"/>
      <c r="D24" s="25"/>
      <c r="E24" s="25"/>
      <c r="F24" s="25"/>
      <c r="G24" s="26"/>
      <c r="H24" s="25"/>
      <c r="I24" s="25"/>
      <c r="J24" s="33"/>
      <c r="K24" s="33"/>
    </row>
    <row r="25" spans="2:11">
      <c r="B25" s="33"/>
      <c r="C25" s="25"/>
      <c r="D25" s="25"/>
      <c r="E25" s="25"/>
      <c r="F25" s="25"/>
      <c r="G25" s="26"/>
      <c r="H25" s="25"/>
      <c r="I25" s="25"/>
      <c r="J25" s="33"/>
      <c r="K25" s="33"/>
    </row>
    <row r="26" spans="2:11">
      <c r="B26" s="33"/>
      <c r="C26" s="25"/>
      <c r="D26" s="25"/>
      <c r="E26" s="25"/>
      <c r="F26" s="25"/>
      <c r="G26" s="26"/>
      <c r="H26" s="25"/>
      <c r="I26" s="25"/>
      <c r="J26" s="33"/>
      <c r="K26" s="33"/>
    </row>
    <row r="27" spans="2:11">
      <c r="B27" s="33"/>
      <c r="C27" s="25"/>
      <c r="D27" s="25"/>
      <c r="E27" s="25"/>
      <c r="F27" s="25"/>
      <c r="G27" s="26"/>
      <c r="H27" s="25"/>
      <c r="I27" s="25"/>
      <c r="J27" s="33"/>
      <c r="K27" s="33"/>
    </row>
    <row r="28" spans="2:11">
      <c r="B28" s="33"/>
      <c r="C28" s="25"/>
      <c r="D28" s="25"/>
      <c r="E28" s="25"/>
      <c r="F28" s="25"/>
      <c r="G28" s="26"/>
      <c r="H28" s="25"/>
      <c r="I28" s="25"/>
      <c r="J28" s="33"/>
      <c r="K28" s="33"/>
    </row>
    <row r="29" spans="2:11">
      <c r="B29" s="33"/>
      <c r="C29" s="25"/>
      <c r="D29" s="25"/>
      <c r="E29" s="25"/>
      <c r="F29" s="25"/>
      <c r="G29" s="26"/>
      <c r="H29" s="25"/>
      <c r="I29" s="25"/>
      <c r="J29" s="33"/>
      <c r="K29" s="33"/>
    </row>
    <row r="30" spans="2:11">
      <c r="B30" s="33"/>
      <c r="C30" s="25"/>
      <c r="D30" s="25"/>
      <c r="E30" s="25"/>
      <c r="F30" s="25"/>
      <c r="G30" s="26"/>
      <c r="H30" s="25"/>
      <c r="I30" s="25"/>
      <c r="J30" s="33"/>
      <c r="K30" s="33"/>
    </row>
    <row r="31" spans="2:11">
      <c r="B31" s="33"/>
      <c r="C31" s="25"/>
      <c r="D31" s="25"/>
      <c r="E31" s="25"/>
      <c r="F31" s="25"/>
      <c r="G31" s="26"/>
      <c r="H31" s="25"/>
      <c r="I31" s="25"/>
      <c r="J31" s="33"/>
      <c r="K31" s="33"/>
    </row>
    <row r="32" spans="2:11">
      <c r="B32" s="33"/>
      <c r="C32" s="25"/>
      <c r="D32" s="25"/>
      <c r="E32" s="25"/>
      <c r="F32" s="25"/>
      <c r="G32" s="26"/>
      <c r="H32" s="25"/>
      <c r="I32" s="25"/>
      <c r="J32" s="33"/>
      <c r="K32" s="33"/>
    </row>
    <row r="33" spans="2:11">
      <c r="B33" s="33"/>
      <c r="C33" s="25"/>
      <c r="D33" s="25"/>
      <c r="E33" s="25"/>
      <c r="F33" s="25"/>
      <c r="G33" s="26"/>
      <c r="H33" s="25"/>
      <c r="I33" s="25"/>
      <c r="J33" s="33"/>
      <c r="K33" s="33"/>
    </row>
    <row r="34" spans="2:11">
      <c r="B34" s="33"/>
      <c r="C34" s="25"/>
      <c r="D34" s="25"/>
      <c r="E34" s="25"/>
      <c r="F34" s="25"/>
      <c r="G34" s="26"/>
      <c r="H34" s="25"/>
      <c r="I34" s="25"/>
      <c r="J34" s="33"/>
      <c r="K34" s="33"/>
    </row>
    <row r="35" spans="2:11">
      <c r="B35" s="33"/>
      <c r="C35" s="25"/>
      <c r="D35" s="25"/>
      <c r="E35" s="25"/>
      <c r="F35" s="25"/>
      <c r="G35" s="26"/>
      <c r="H35" s="25"/>
      <c r="I35" s="25"/>
      <c r="J35" s="33"/>
      <c r="K35" s="33"/>
    </row>
    <row r="36" spans="2:11">
      <c r="B36" s="33"/>
      <c r="C36" s="25"/>
      <c r="D36" s="25"/>
      <c r="E36" s="25"/>
      <c r="F36" s="25"/>
      <c r="G36" s="26"/>
      <c r="H36" s="25"/>
      <c r="I36" s="25"/>
      <c r="J36" s="33"/>
      <c r="K36" s="33"/>
    </row>
    <row r="37" spans="2:11">
      <c r="B37" s="33"/>
      <c r="C37" s="25"/>
      <c r="D37" s="25"/>
      <c r="E37" s="25"/>
      <c r="F37" s="25"/>
      <c r="G37" s="26"/>
      <c r="H37" s="25"/>
      <c r="I37" s="25"/>
      <c r="J37" s="33"/>
      <c r="K37" s="33"/>
    </row>
    <row r="38" spans="2:11">
      <c r="B38" s="33"/>
      <c r="C38" s="25"/>
      <c r="D38" s="25"/>
      <c r="E38" s="25"/>
      <c r="F38" s="25"/>
      <c r="G38" s="26"/>
      <c r="H38" s="25"/>
      <c r="I38" s="27"/>
      <c r="J38" s="33"/>
    </row>
  </sheetData>
  <phoneticPr fontId="1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741F-0720-CE44-A21C-97E4E32EF9D5}">
  <dimension ref="A1:K13"/>
  <sheetViews>
    <sheetView workbookViewId="0">
      <selection activeCell="B27" sqref="B27"/>
    </sheetView>
  </sheetViews>
  <sheetFormatPr baseColWidth="10" defaultRowHeight="17"/>
  <cols>
    <col min="2" max="2" width="37.1640625" bestFit="1" customWidth="1"/>
  </cols>
  <sheetData>
    <row r="1" spans="1:11">
      <c r="B1" t="s">
        <v>635</v>
      </c>
    </row>
    <row r="2" spans="1:11">
      <c r="A2" s="158" t="s">
        <v>59</v>
      </c>
      <c r="B2" s="158" t="s">
        <v>152</v>
      </c>
      <c r="C2" s="158" t="s">
        <v>153</v>
      </c>
      <c r="D2" s="158" t="s">
        <v>142</v>
      </c>
      <c r="E2" s="158" t="s">
        <v>147</v>
      </c>
      <c r="F2" s="158" t="s">
        <v>141</v>
      </c>
      <c r="G2" s="158" t="s">
        <v>14</v>
      </c>
      <c r="H2" s="158" t="s">
        <v>154</v>
      </c>
      <c r="I2" s="158" t="s">
        <v>21</v>
      </c>
      <c r="J2" s="158" t="s">
        <v>155</v>
      </c>
      <c r="K2" s="158" t="s">
        <v>156</v>
      </c>
    </row>
    <row r="3" spans="1:11">
      <c r="A3" s="159">
        <v>1</v>
      </c>
      <c r="B3" s="159" t="s">
        <v>143</v>
      </c>
      <c r="C3" s="159" t="s">
        <v>157</v>
      </c>
      <c r="D3" s="160">
        <v>22000</v>
      </c>
      <c r="E3" s="160">
        <v>13200</v>
      </c>
      <c r="F3" s="159">
        <v>6</v>
      </c>
      <c r="G3" s="159">
        <v>0</v>
      </c>
      <c r="H3" s="159"/>
      <c r="I3" s="159">
        <v>0</v>
      </c>
      <c r="J3" s="159">
        <f>F3+G3-H3-I3</f>
        <v>6</v>
      </c>
      <c r="K3" s="160">
        <f>E3*I3</f>
        <v>0</v>
      </c>
    </row>
    <row r="4" spans="1:11">
      <c r="A4" s="159">
        <v>2</v>
      </c>
      <c r="B4" s="159" t="s">
        <v>50</v>
      </c>
      <c r="C4" s="159" t="s">
        <v>94</v>
      </c>
      <c r="D4" s="160">
        <v>22000</v>
      </c>
      <c r="E4" s="160">
        <v>13200</v>
      </c>
      <c r="F4" s="159">
        <v>6</v>
      </c>
      <c r="G4" s="159">
        <v>0</v>
      </c>
      <c r="H4" s="159"/>
      <c r="I4" s="159">
        <v>2</v>
      </c>
      <c r="J4" s="159">
        <f>F4+G4-H4-I4</f>
        <v>4</v>
      </c>
      <c r="K4" s="160">
        <f>E4*I4</f>
        <v>26400</v>
      </c>
    </row>
    <row r="5" spans="1:11">
      <c r="I5" s="221">
        <f>SUM(I3:I4)</f>
        <v>2</v>
      </c>
      <c r="K5" s="220">
        <f>SUM(K3:K4)</f>
        <v>26400</v>
      </c>
    </row>
    <row r="8" spans="1:11">
      <c r="B8" s="134" t="s">
        <v>61</v>
      </c>
    </row>
    <row r="9" spans="1:11" ht="18" thickBot="1"/>
    <row r="10" spans="1:11">
      <c r="B10" s="224" t="s">
        <v>318</v>
      </c>
      <c r="C10" s="225" t="s">
        <v>314</v>
      </c>
      <c r="D10" s="225" t="s">
        <v>147</v>
      </c>
      <c r="E10" s="225" t="s">
        <v>191</v>
      </c>
      <c r="F10" s="225" t="s">
        <v>315</v>
      </c>
      <c r="G10" s="225" t="s">
        <v>316</v>
      </c>
      <c r="H10" s="226" t="s">
        <v>317</v>
      </c>
    </row>
    <row r="11" spans="1:11">
      <c r="B11" s="227" t="s">
        <v>143</v>
      </c>
      <c r="C11" s="222">
        <v>22000</v>
      </c>
      <c r="D11" s="222">
        <v>13200</v>
      </c>
      <c r="E11" s="222">
        <f>I3</f>
        <v>0</v>
      </c>
      <c r="F11" s="222">
        <f>D11*E11</f>
        <v>0</v>
      </c>
      <c r="G11" s="222"/>
      <c r="H11" s="228">
        <f>F11-G11</f>
        <v>0</v>
      </c>
    </row>
    <row r="12" spans="1:11">
      <c r="B12" s="227" t="s">
        <v>50</v>
      </c>
      <c r="C12" s="222">
        <v>22000</v>
      </c>
      <c r="D12" s="222">
        <v>13200</v>
      </c>
      <c r="E12" s="222">
        <f>I4</f>
        <v>2</v>
      </c>
      <c r="F12" s="222">
        <f>D12*E12</f>
        <v>26400</v>
      </c>
      <c r="G12" s="222"/>
      <c r="H12" s="228">
        <f>F12-G12</f>
        <v>26400</v>
      </c>
    </row>
    <row r="13" spans="1:11" ht="18" thickBot="1">
      <c r="B13" s="229"/>
      <c r="C13" s="230"/>
      <c r="D13" s="230"/>
      <c r="E13" s="233">
        <f>SUM(E11:E12)</f>
        <v>2</v>
      </c>
      <c r="F13" s="233">
        <f>SUM(F11:F12)</f>
        <v>26400</v>
      </c>
      <c r="G13" s="233">
        <f>SUM(G11:G12)</f>
        <v>0</v>
      </c>
      <c r="H13" s="234">
        <f>SUM(H11:H12)</f>
        <v>26400</v>
      </c>
    </row>
  </sheetData>
  <phoneticPr fontId="1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A6DB-7A72-3140-A169-F8079624A4EE}">
  <dimension ref="A1:AC6"/>
  <sheetViews>
    <sheetView workbookViewId="0">
      <selection activeCell="Q12" sqref="Q12"/>
    </sheetView>
  </sheetViews>
  <sheetFormatPr baseColWidth="10" defaultRowHeight="17"/>
  <sheetData>
    <row r="1" spans="1:29">
      <c r="A1" s="32" t="s">
        <v>9</v>
      </c>
      <c r="B1" s="32" t="s">
        <v>369</v>
      </c>
      <c r="C1" s="32" t="s">
        <v>370</v>
      </c>
      <c r="D1" s="32" t="s">
        <v>371</v>
      </c>
      <c r="E1" s="32" t="s">
        <v>372</v>
      </c>
      <c r="F1" s="32" t="s">
        <v>158</v>
      </c>
      <c r="G1" s="32" t="s">
        <v>256</v>
      </c>
      <c r="H1" s="32" t="s">
        <v>159</v>
      </c>
      <c r="I1" s="32" t="s">
        <v>373</v>
      </c>
      <c r="J1" s="32" t="s">
        <v>374</v>
      </c>
      <c r="K1" s="32" t="s">
        <v>45</v>
      </c>
      <c r="L1" s="32" t="s">
        <v>6</v>
      </c>
      <c r="M1" s="32" t="s">
        <v>144</v>
      </c>
      <c r="N1" s="32" t="s">
        <v>375</v>
      </c>
      <c r="O1" s="32" t="s">
        <v>376</v>
      </c>
      <c r="P1" s="32" t="s">
        <v>377</v>
      </c>
      <c r="Q1" s="32" t="s">
        <v>378</v>
      </c>
      <c r="R1" s="32" t="s">
        <v>379</v>
      </c>
      <c r="S1" s="32" t="s">
        <v>380</v>
      </c>
      <c r="T1" s="32" t="s">
        <v>381</v>
      </c>
      <c r="U1" s="32" t="s">
        <v>178</v>
      </c>
      <c r="V1" s="32" t="s">
        <v>382</v>
      </c>
      <c r="W1" s="32" t="s">
        <v>383</v>
      </c>
      <c r="X1" s="32" t="s">
        <v>384</v>
      </c>
      <c r="Y1" s="32" t="s">
        <v>385</v>
      </c>
      <c r="Z1" s="32" t="s">
        <v>257</v>
      </c>
      <c r="AA1" s="32" t="s">
        <v>386</v>
      </c>
      <c r="AB1" s="32" t="s">
        <v>387</v>
      </c>
      <c r="AC1" s="32" t="s">
        <v>43</v>
      </c>
    </row>
    <row r="2" spans="1:29">
      <c r="A2" s="32" t="s">
        <v>692</v>
      </c>
      <c r="B2" s="32" t="s">
        <v>693</v>
      </c>
      <c r="C2" s="32" t="s">
        <v>391</v>
      </c>
      <c r="D2" s="32" t="s">
        <v>392</v>
      </c>
      <c r="E2" s="356">
        <v>46155.706828703704</v>
      </c>
      <c r="F2" s="356">
        <v>46156.417210648149</v>
      </c>
      <c r="G2" s="32">
        <v>92235055500</v>
      </c>
      <c r="H2" s="356">
        <v>46157.445277777777</v>
      </c>
      <c r="I2" s="32"/>
      <c r="J2" s="32" t="s">
        <v>224</v>
      </c>
      <c r="K2" s="32"/>
      <c r="L2" s="32">
        <v>20</v>
      </c>
      <c r="M2" s="32">
        <v>10560</v>
      </c>
      <c r="N2" s="32">
        <v>0</v>
      </c>
      <c r="O2" s="32">
        <v>0</v>
      </c>
      <c r="P2" s="32"/>
      <c r="Q2" s="32">
        <v>0</v>
      </c>
      <c r="R2" s="32">
        <v>0</v>
      </c>
      <c r="S2" s="32">
        <v>0</v>
      </c>
      <c r="T2" s="32"/>
      <c r="U2" s="32" t="s">
        <v>694</v>
      </c>
      <c r="V2" s="32"/>
      <c r="W2" s="32"/>
      <c r="X2" s="32" t="s">
        <v>549</v>
      </c>
      <c r="Y2" s="32">
        <v>10560</v>
      </c>
      <c r="Z2" s="32" t="s">
        <v>258</v>
      </c>
      <c r="AA2" s="32">
        <v>0</v>
      </c>
      <c r="AB2" s="32"/>
      <c r="AC2" s="32" t="s">
        <v>695</v>
      </c>
    </row>
    <row r="4" spans="1:29">
      <c r="L4" t="s">
        <v>52</v>
      </c>
      <c r="M4">
        <v>22000</v>
      </c>
    </row>
    <row r="5" spans="1:29">
      <c r="L5" t="s">
        <v>67</v>
      </c>
      <c r="M5">
        <f>M4*48%</f>
        <v>10560</v>
      </c>
    </row>
    <row r="6" spans="1:29">
      <c r="L6" t="s">
        <v>315</v>
      </c>
      <c r="M6" s="143">
        <f>L2*M5</f>
        <v>211200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종합정산</vt:lpstr>
      <vt:lpstr>채널별 판매데이터 정리</vt:lpstr>
      <vt:lpstr>DB)입출고목록</vt:lpstr>
      <vt:lpstr>DB)입출고매칭용</vt:lpstr>
      <vt:lpstr>DB)카페24</vt:lpstr>
      <vt:lpstr>DB)카페24 (공구)</vt:lpstr>
      <vt:lpstr>DB)스마트스토어</vt:lpstr>
      <vt:lpstr>DB) 행사</vt:lpstr>
      <vt:lpstr>DB)사업자몰B2B</vt:lpstr>
      <vt:lpstr>DB)이마트몰리스</vt:lpstr>
      <vt:lpstr>DB) 컬리</vt:lpstr>
      <vt:lpstr>DB)쿠팡로켓</vt:lpstr>
      <vt:lpstr>DB)대리점(파마스퀘어)</vt:lpstr>
      <vt:lpstr>DB)철수마켓</vt:lpstr>
      <vt:lpstr>DB)몽슈슈</vt:lpstr>
      <vt:lpstr>DB)대리점(테일릿)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신규</dc:creator>
  <cp:lastModifiedBy>이 교영</cp:lastModifiedBy>
  <dcterms:created xsi:type="dcterms:W3CDTF">2024-03-06T10:18:21Z</dcterms:created>
  <dcterms:modified xsi:type="dcterms:W3CDTF">2026-07-08T09:19:29Z</dcterms:modified>
</cp:coreProperties>
</file>