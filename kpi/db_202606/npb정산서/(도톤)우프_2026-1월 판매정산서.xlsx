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0.디자인 작업_템플릿/1.제작물/외주 및 협업/2025 도톤/"/>
    </mc:Choice>
  </mc:AlternateContent>
  <xr:revisionPtr revIDLastSave="0" documentId="8_{5D5D7DF8-9945-5C4A-A872-0EF308E088E6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종합정산" sheetId="2" r:id="rId1"/>
    <sheet name="채널별 판매데이터 정리" sheetId="7" r:id="rId2"/>
    <sheet name="DB)입출고목록" sheetId="4" r:id="rId3"/>
    <sheet name="DB)카페24" sheetId="5" r:id="rId4"/>
    <sheet name="DB)이마트몰리스" sheetId="10" r:id="rId5"/>
    <sheet name="DB) 컬리" sheetId="9" r:id="rId6"/>
    <sheet name="DB)철수마켓" sheetId="6" r:id="rId7"/>
    <sheet name="DB)몽슈슈" sheetId="8" r:id="rId8"/>
  </sheets>
  <definedNames>
    <definedName name="_xlnm._FilterDatabase" localSheetId="2" hidden="1">'DB)입출고목록'!$B$1:$T$9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2" l="1"/>
  <c r="I38" i="7"/>
  <c r="J38" i="7"/>
  <c r="H50" i="7"/>
  <c r="K36" i="7"/>
  <c r="H5" i="6"/>
  <c r="H6" i="6" s="1"/>
  <c r="Q5" i="9" l="1"/>
  <c r="P5" i="9"/>
  <c r="O5" i="9"/>
  <c r="N5" i="9"/>
  <c r="N5" i="10"/>
  <c r="J2" i="10"/>
  <c r="N4" i="10"/>
  <c r="N7" i="5"/>
  <c r="N3" i="5"/>
  <c r="N10" i="2"/>
  <c r="N9" i="2"/>
  <c r="I6" i="7"/>
  <c r="G7" i="7"/>
  <c r="I7" i="7" s="1"/>
  <c r="G6" i="7"/>
  <c r="I5" i="8"/>
  <c r="K4" i="8"/>
  <c r="K5" i="8" s="1"/>
  <c r="K3" i="8"/>
  <c r="G8" i="7" l="1"/>
  <c r="W10" i="2"/>
  <c r="I57" i="7"/>
  <c r="I59" i="7" s="1"/>
  <c r="J58" i="7"/>
  <c r="J57" i="7"/>
  <c r="I51" i="7"/>
  <c r="K51" i="7" s="1"/>
  <c r="I50" i="7"/>
  <c r="K50" i="7" s="1"/>
  <c r="J37" i="7"/>
  <c r="J36" i="7"/>
  <c r="I37" i="7"/>
  <c r="I36" i="7"/>
  <c r="H38" i="7"/>
  <c r="L30" i="7"/>
  <c r="L57" i="7"/>
  <c r="H59" i="7"/>
  <c r="I5" i="9"/>
  <c r="U5" i="9"/>
  <c r="K5" i="9"/>
  <c r="M5" i="9"/>
  <c r="F30" i="7"/>
  <c r="I30" i="7"/>
  <c r="K57" i="7" l="1"/>
  <c r="I52" i="7"/>
  <c r="I8" i="7"/>
  <c r="D19" i="2"/>
  <c r="F24" i="2"/>
  <c r="I4" i="2" s="1"/>
  <c r="S12" i="2" l="1"/>
  <c r="R12" i="2"/>
  <c r="P12" i="2"/>
  <c r="N12" i="2"/>
  <c r="Y12" i="2"/>
  <c r="X12" i="2"/>
  <c r="V12" i="2"/>
  <c r="H13" i="7"/>
  <c r="J13" i="7" s="1"/>
  <c r="M17" i="7"/>
  <c r="M16" i="7"/>
  <c r="M15" i="7"/>
  <c r="M14" i="7"/>
  <c r="M13" i="7"/>
  <c r="J30" i="7"/>
  <c r="K30" i="7" s="1"/>
  <c r="I31" i="7"/>
  <c r="K64" i="7" s="1"/>
  <c r="F4" i="2" s="1"/>
  <c r="L31" i="7"/>
  <c r="H31" i="7"/>
  <c r="U12" i="2"/>
  <c r="T10" i="2"/>
  <c r="T9" i="2"/>
  <c r="L51" i="7"/>
  <c r="L50" i="7"/>
  <c r="L24" i="7"/>
  <c r="L23" i="7"/>
  <c r="L25" i="7" s="1"/>
  <c r="L17" i="7"/>
  <c r="L16" i="7"/>
  <c r="L15" i="7"/>
  <c r="L14" i="7"/>
  <c r="L13" i="7"/>
  <c r="L7" i="7"/>
  <c r="L6" i="7"/>
  <c r="J7" i="7"/>
  <c r="K7" i="7" s="1"/>
  <c r="J6" i="7"/>
  <c r="H51" i="7"/>
  <c r="J59" i="7"/>
  <c r="E58" i="7"/>
  <c r="E57" i="7"/>
  <c r="E51" i="7"/>
  <c r="E50" i="7"/>
  <c r="K52" i="7" s="1"/>
  <c r="G52" i="7"/>
  <c r="E44" i="7"/>
  <c r="E43" i="7"/>
  <c r="K45" i="7"/>
  <c r="G45" i="7"/>
  <c r="K38" i="7"/>
  <c r="J24" i="7"/>
  <c r="J23" i="7"/>
  <c r="E24" i="7"/>
  <c r="G24" i="7" s="1"/>
  <c r="K24" i="7" s="1"/>
  <c r="E23" i="7"/>
  <c r="G23" i="7" s="1"/>
  <c r="K23" i="7" s="1"/>
  <c r="I25" i="7"/>
  <c r="G18" i="7"/>
  <c r="H16" i="7"/>
  <c r="H17" i="7"/>
  <c r="J17" i="7" s="1"/>
  <c r="H15" i="7"/>
  <c r="J15" i="7" s="1"/>
  <c r="H14" i="7"/>
  <c r="M18" i="7" l="1"/>
  <c r="K62" i="7" s="1"/>
  <c r="C4" i="2" s="1"/>
  <c r="J8" i="7"/>
  <c r="K6" i="7"/>
  <c r="K8" i="7" s="1"/>
  <c r="L52" i="7"/>
  <c r="H52" i="7"/>
  <c r="L18" i="7"/>
  <c r="L8" i="7"/>
  <c r="T12" i="2"/>
  <c r="W9" i="2"/>
  <c r="Q12" i="2"/>
  <c r="K59" i="7"/>
  <c r="L59" i="7" s="1"/>
  <c r="J25" i="7"/>
  <c r="K25" i="7"/>
  <c r="H18" i="7"/>
  <c r="K17" i="7"/>
  <c r="J16" i="7"/>
  <c r="K16" i="7" s="1"/>
  <c r="K13" i="7"/>
  <c r="J14" i="7"/>
  <c r="K15" i="7"/>
  <c r="K63" i="7" l="1"/>
  <c r="D4" i="2" s="1"/>
  <c r="E4" i="2" s="1"/>
  <c r="W12" i="2"/>
  <c r="K14" i="7"/>
  <c r="J18" i="7"/>
  <c r="Q6" i="2"/>
  <c r="O12" i="2" l="1"/>
  <c r="K18" i="7"/>
  <c r="K31" i="7" l="1"/>
  <c r="K66" i="7" s="1"/>
  <c r="J31" i="7"/>
  <c r="K65" i="7" l="1"/>
  <c r="G4" i="2" s="1"/>
  <c r="H4" i="2" s="1"/>
  <c r="J4" i="2" s="1"/>
  <c r="E16" i="2" l="1"/>
  <c r="E17" i="2"/>
  <c r="E18" i="2"/>
  <c r="F36" i="7"/>
  <c r="F37" i="7"/>
  <c r="E19" i="2" l="1"/>
</calcChain>
</file>

<file path=xl/sharedStrings.xml><?xml version="1.0" encoding="utf-8"?>
<sst xmlns="http://schemas.openxmlformats.org/spreadsheetml/2006/main" count="493" uniqueCount="319">
  <si>
    <t>수수료율</t>
    <phoneticPr fontId="19" type="noConversion"/>
  </si>
  <si>
    <t>[정산 방식/ VAT포함]</t>
    <phoneticPr fontId="22" type="noConversion"/>
  </si>
  <si>
    <t>항목</t>
    <phoneticPr fontId="22" type="noConversion"/>
  </si>
  <si>
    <t>비고</t>
    <phoneticPr fontId="22" type="noConversion"/>
  </si>
  <si>
    <t>[판매내역 종합]</t>
    <phoneticPr fontId="19" type="noConversion"/>
  </si>
  <si>
    <t>총계</t>
    <phoneticPr fontId="22" type="noConversion"/>
  </si>
  <si>
    <t>수량</t>
  </si>
  <si>
    <t>할인율</t>
  </si>
  <si>
    <t>vat포함</t>
    <phoneticPr fontId="19" type="noConversion"/>
  </si>
  <si>
    <t>주문번호</t>
  </si>
  <si>
    <t>프로모션공제</t>
    <phoneticPr fontId="22" type="noConversion"/>
  </si>
  <si>
    <t>[재고현황]</t>
    <phoneticPr fontId="19" type="noConversion"/>
  </si>
  <si>
    <t>품목관리코드</t>
    <phoneticPr fontId="19" type="noConversion"/>
  </si>
  <si>
    <t>품목명</t>
    <phoneticPr fontId="19" type="noConversion"/>
  </si>
  <si>
    <t>기초재고</t>
    <phoneticPr fontId="19" type="noConversion"/>
  </si>
  <si>
    <t>입고</t>
    <phoneticPr fontId="19" type="noConversion"/>
  </si>
  <si>
    <t>출고</t>
    <phoneticPr fontId="19" type="noConversion"/>
  </si>
  <si>
    <t>기말재고</t>
    <phoneticPr fontId="19" type="noConversion"/>
  </si>
  <si>
    <t>전체</t>
  </si>
  <si>
    <t>불용</t>
    <phoneticPr fontId="19" type="noConversion"/>
  </si>
  <si>
    <t>반품</t>
    <phoneticPr fontId="19" type="noConversion"/>
  </si>
  <si>
    <t>정상</t>
    <phoneticPr fontId="19" type="noConversion"/>
  </si>
  <si>
    <t>판매</t>
    <phoneticPr fontId="19" type="noConversion"/>
  </si>
  <si>
    <t>비매출</t>
    <phoneticPr fontId="19" type="noConversion"/>
  </si>
  <si>
    <t>도톤 포레스트 워터리스 풋클리너 100ml</t>
  </si>
  <si>
    <t>도톤 포레스트 아웃도어 스프레이 150ml</t>
  </si>
  <si>
    <t>입출고일자</t>
  </si>
  <si>
    <t>입력일자</t>
  </si>
  <si>
    <t>공급처명</t>
  </si>
  <si>
    <t>바코드번호</t>
  </si>
  <si>
    <t>상품명</t>
  </si>
  <si>
    <t>옵션내용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</si>
  <si>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</si>
  <si>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</si>
  <si>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</si>
  <si>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</si>
  <si>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</si>
  <si>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</si>
  <si>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</si>
  <si>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</si>
  <si>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입출고구분</t>
  </si>
  <si>
    <t>도톤</t>
  </si>
  <si>
    <t>단일상품</t>
  </si>
  <si>
    <t>발송및출고</t>
  </si>
  <si>
    <t>출고</t>
  </si>
  <si>
    <t>판매구분</t>
    <phoneticPr fontId="19" type="noConversion"/>
  </si>
  <si>
    <t>주문일시</t>
  </si>
  <si>
    <t>수령인</t>
  </si>
  <si>
    <t>상품명(우프(기본))</t>
  </si>
  <si>
    <t>도톤 포레스트 워터리스 풋클리너 강아지 발세정제 100ml</t>
  </si>
  <si>
    <t>상품옵션(기본)</t>
  </si>
  <si>
    <t>판매상세 (주문번호)</t>
    <phoneticPr fontId="19" type="noConversion"/>
  </si>
  <si>
    <t>판매상세 (위탁판매 수수료율)</t>
    <phoneticPr fontId="19" type="noConversion"/>
  </si>
  <si>
    <t>내용</t>
    <phoneticPr fontId="19" type="noConversion"/>
  </si>
  <si>
    <t>몽슈슈</t>
    <phoneticPr fontId="19" type="noConversion"/>
  </si>
  <si>
    <t>순번</t>
  </si>
  <si>
    <t xml:space="preserve">제품 </t>
  </si>
  <si>
    <t>DOTEON Foot Cleaner</t>
  </si>
  <si>
    <t>DOTEON Outdoor Spray</t>
  </si>
  <si>
    <t>정가</t>
  </si>
  <si>
    <t>정가</t>
    <phoneticPr fontId="19" type="noConversion"/>
  </si>
  <si>
    <t>주요채널: 오프라인 백화점 팝업스토어</t>
    <phoneticPr fontId="19" type="noConversion"/>
  </si>
  <si>
    <t>단품1개</t>
  </si>
  <si>
    <t>단품2개</t>
  </si>
  <si>
    <t>단품3개</t>
  </si>
  <si>
    <t>혼합1+2</t>
  </si>
  <si>
    <t>혼합3+3</t>
  </si>
  <si>
    <t>판매가합계</t>
    <phoneticPr fontId="19" type="noConversion"/>
  </si>
  <si>
    <t>수수료</t>
    <phoneticPr fontId="19" type="noConversion"/>
  </si>
  <si>
    <t>수수료합계</t>
  </si>
  <si>
    <t>수수료합계</t>
    <phoneticPr fontId="19" type="noConversion"/>
  </si>
  <si>
    <t>매출합계</t>
    <phoneticPr fontId="19" type="noConversion"/>
  </si>
  <si>
    <t>프로모션가</t>
    <phoneticPr fontId="19" type="noConversion"/>
  </si>
  <si>
    <t>순번</t>
    <phoneticPr fontId="19" type="noConversion"/>
  </si>
  <si>
    <t>품목 구성</t>
    <phoneticPr fontId="19" type="noConversion"/>
  </si>
  <si>
    <t>합계</t>
    <phoneticPr fontId="19" type="noConversion"/>
  </si>
  <si>
    <t>테일릿</t>
    <phoneticPr fontId="19" type="noConversion"/>
  </si>
  <si>
    <t>위탁재고</t>
    <phoneticPr fontId="19" type="noConversion"/>
  </si>
  <si>
    <t>매입(판매)</t>
    <phoneticPr fontId="19" type="noConversion"/>
  </si>
  <si>
    <t>주요채널: 대리점(오프라인B2B전용 도매유통업) - 소매점 40% + 대리점마진 20%</t>
    <phoneticPr fontId="19" type="noConversion"/>
  </si>
  <si>
    <t>소매점가</t>
    <phoneticPr fontId="19" type="noConversion"/>
  </si>
  <si>
    <t>대리점가</t>
    <phoneticPr fontId="19" type="noConversion"/>
  </si>
  <si>
    <t>소매점수수료</t>
    <phoneticPr fontId="19" type="noConversion"/>
  </si>
  <si>
    <t>대리점수수료</t>
    <phoneticPr fontId="19" type="noConversion"/>
  </si>
  <si>
    <t>철수마켓</t>
    <phoneticPr fontId="19" type="noConversion"/>
  </si>
  <si>
    <t>오버더센스</t>
    <phoneticPr fontId="19" type="noConversion"/>
  </si>
  <si>
    <t>주요채널: 제주도 반려동물 동반시설</t>
    <phoneticPr fontId="19" type="noConversion"/>
  </si>
  <si>
    <t>우프자사몰</t>
    <phoneticPr fontId="19" type="noConversion"/>
  </si>
  <si>
    <t>할인가</t>
    <phoneticPr fontId="19" type="noConversion"/>
  </si>
  <si>
    <t xml:space="preserve">주요채널: 우프앱/자사몰/스마트스토어 </t>
    <phoneticPr fontId="19" type="noConversion"/>
  </si>
  <si>
    <t>컬리</t>
    <phoneticPr fontId="19" type="noConversion"/>
  </si>
  <si>
    <t>판매자위탁배송</t>
    <phoneticPr fontId="19" type="noConversion"/>
  </si>
  <si>
    <t>직매출</t>
    <phoneticPr fontId="19" type="noConversion"/>
  </si>
  <si>
    <t>공제합계</t>
    <phoneticPr fontId="19" type="noConversion"/>
  </si>
  <si>
    <t>정가합계</t>
  </si>
  <si>
    <t>정가합계</t>
    <phoneticPr fontId="19" type="noConversion"/>
  </si>
  <si>
    <t>총 판매수량</t>
    <phoneticPr fontId="19" type="noConversion"/>
  </si>
  <si>
    <t>총판매수량(낱)</t>
    <phoneticPr fontId="19" type="noConversion"/>
  </si>
  <si>
    <t>할인</t>
    <phoneticPr fontId="19" type="noConversion"/>
  </si>
  <si>
    <t>없음</t>
    <phoneticPr fontId="19" type="noConversion"/>
  </si>
  <si>
    <t>실 수량(1EA단위)</t>
    <phoneticPr fontId="19" type="noConversion"/>
  </si>
  <si>
    <t>정가 22,000원 기준</t>
    <phoneticPr fontId="19" type="noConversion"/>
  </si>
  <si>
    <t>할인/프로모션 반영 판매계</t>
    <phoneticPr fontId="19" type="noConversion"/>
  </si>
  <si>
    <t>공제 수수료 계</t>
    <phoneticPr fontId="19" type="noConversion"/>
  </si>
  <si>
    <t>실 정산합계</t>
    <phoneticPr fontId="19" type="noConversion"/>
  </si>
  <si>
    <t>판매수량</t>
    <phoneticPr fontId="19" type="noConversion"/>
  </si>
  <si>
    <t>몰리스(이마트)</t>
    <phoneticPr fontId="19" type="noConversion"/>
  </si>
  <si>
    <t>상품주문번호</t>
  </si>
  <si>
    <t>구분</t>
  </si>
  <si>
    <t>구매자명</t>
  </si>
  <si>
    <t>결제금액</t>
  </si>
  <si>
    <t>판매정가계</t>
    <phoneticPr fontId="22" type="noConversion"/>
  </si>
  <si>
    <t>채널명</t>
    <phoneticPr fontId="19" type="noConversion"/>
  </si>
  <si>
    <t>BT25OS</t>
  </si>
  <si>
    <t>[메모/특이사항]</t>
    <phoneticPr fontId="19" type="noConversion"/>
  </si>
  <si>
    <t>재고이동(오프라인 위탁진열/ 판매시 정산)</t>
    <phoneticPr fontId="19" type="noConversion"/>
  </si>
  <si>
    <t>비매출: 협찬, 진열품, 샘플 등의 무상사용</t>
    <phoneticPr fontId="19" type="noConversion"/>
  </si>
  <si>
    <t>각 유통 채널별 공급마진 (위탁은 수수료/ 매입은 공급할인액) 기준</t>
    <phoneticPr fontId="19" type="noConversion"/>
  </si>
  <si>
    <t>정산 월</t>
  </si>
  <si>
    <t>[실비 : 운임/물류]</t>
    <phoneticPr fontId="19" type="noConversion"/>
  </si>
  <si>
    <t>항목</t>
    <phoneticPr fontId="19" type="noConversion"/>
  </si>
  <si>
    <t>견적(원)</t>
    <phoneticPr fontId="19" type="noConversion"/>
  </si>
  <si>
    <t>단위</t>
    <phoneticPr fontId="19" type="noConversion"/>
  </si>
  <si>
    <t>비고</t>
    <phoneticPr fontId="19" type="noConversion"/>
  </si>
  <si>
    <t>보관료</t>
    <phoneticPr fontId="19" type="noConversion"/>
  </si>
  <si>
    <t xml:space="preserve">월/평당 </t>
    <phoneticPr fontId="19" type="noConversion"/>
  </si>
  <si>
    <t>입고비용</t>
    <phoneticPr fontId="19" type="noConversion"/>
  </si>
  <si>
    <t>택배운임비</t>
    <phoneticPr fontId="19" type="noConversion"/>
  </si>
  <si>
    <t>건</t>
    <phoneticPr fontId="19" type="noConversion"/>
  </si>
  <si>
    <t>물류비</t>
    <phoneticPr fontId="19" type="noConversion"/>
  </si>
  <si>
    <t>로젠택배(소형)</t>
    <phoneticPr fontId="19" type="noConversion"/>
  </si>
  <si>
    <t>*입고비용 및 보관비용은 청구제외 하였으며, 운송실비(당사가 3PL 지불하는 택배운임비 +물류비) 청구기준만 기재합니다. *소형물류기준</t>
    <phoneticPr fontId="19" type="noConversion"/>
  </si>
  <si>
    <t>청구제외</t>
    <phoneticPr fontId="19" type="noConversion"/>
  </si>
  <si>
    <t>3PL 
단가표</t>
    <phoneticPr fontId="19" type="noConversion"/>
  </si>
  <si>
    <t>vat별도</t>
    <phoneticPr fontId="19" type="noConversion"/>
  </si>
  <si>
    <t>택배</t>
    <phoneticPr fontId="22" type="noConversion"/>
  </si>
  <si>
    <t>피킹/패킹/부자재</t>
    <phoneticPr fontId="22" type="noConversion"/>
  </si>
  <si>
    <t>물류 실비 산정</t>
    <phoneticPr fontId="22" type="noConversion"/>
  </si>
  <si>
    <t>부자재 /피킹/패킹</t>
    <phoneticPr fontId="19" type="noConversion"/>
  </si>
  <si>
    <t>*퀵/용달 등 별도 운송비 발생시에는 개별기재합니다.</t>
    <phoneticPr fontId="19" type="noConversion"/>
  </si>
  <si>
    <t>실비</t>
    <phoneticPr fontId="22" type="noConversion"/>
  </si>
  <si>
    <t>매출계</t>
    <phoneticPr fontId="22" type="noConversion"/>
  </si>
  <si>
    <t>공제 수수료 
(공급마진)</t>
    <phoneticPr fontId="22" type="noConversion"/>
  </si>
  <si>
    <t>운송료 실비, PG결제 수수료 등</t>
    <phoneticPr fontId="19" type="noConversion"/>
  </si>
  <si>
    <t>이익</t>
    <phoneticPr fontId="22" type="noConversion"/>
  </si>
  <si>
    <r>
      <t xml:space="preserve">월별 제품 최종판매금액
</t>
    </r>
    <r>
      <rPr>
        <sz val="9"/>
        <color theme="1"/>
        <rFont val="Malgun Gothic"/>
        <family val="2"/>
        <charset val="129"/>
      </rPr>
      <t>(정가 - 프로모션 등 할인이 반영된 최종 결제 금액)</t>
    </r>
    <phoneticPr fontId="22" type="noConversion"/>
  </si>
  <si>
    <t>A 수수료 (공급마진)</t>
    <phoneticPr fontId="22" type="noConversion"/>
  </si>
  <si>
    <t>B 매출계 (월별 최종 판매 금액)</t>
    <phoneticPr fontId="22" type="noConversion"/>
  </si>
  <si>
    <t>C 실비</t>
    <phoneticPr fontId="22" type="noConversion"/>
  </si>
  <si>
    <t>D 이익</t>
    <phoneticPr fontId="22" type="noConversion"/>
  </si>
  <si>
    <t xml:space="preserve">세금계산서는 정산 월 기준 익익월 10일에 발행 예정입니다. </t>
  </si>
  <si>
    <t>판매 매출 발생 시, “월별 제품 최종 판매 금액”을 기준으로, 인플루언서 공구 수수료를 포함한 각각의 입점 채널별 공급 수수료, 운송료 실비, PG사 결제 수수료를 제외한 금액</t>
    <phoneticPr fontId="19" type="noConversion"/>
  </si>
  <si>
    <t xml:space="preserve">정산금액은 정산 월 기준 익월 15일에 입금 예정이며 정산금액 활용안 협의에 따라 변경될 수 있습니다. </t>
    <phoneticPr fontId="19" type="noConversion"/>
  </si>
  <si>
    <t>이익분배</t>
    <phoneticPr fontId="19" type="noConversion"/>
  </si>
  <si>
    <t>구분</t>
    <phoneticPr fontId="19" type="noConversion"/>
  </si>
  <si>
    <t>유씨엘주식회사</t>
    <phoneticPr fontId="19" type="noConversion"/>
  </si>
  <si>
    <t>우프컴퍼니(주)</t>
    <phoneticPr fontId="19" type="noConversion"/>
  </si>
  <si>
    <t>(주)메리고라운드</t>
    <phoneticPr fontId="19" type="noConversion"/>
  </si>
  <si>
    <t>비율</t>
    <phoneticPr fontId="19" type="noConversion"/>
  </si>
  <si>
    <t>금액</t>
    <phoneticPr fontId="19" type="noConversion"/>
  </si>
  <si>
    <t>매출계산서발행</t>
    <phoneticPr fontId="19" type="noConversion"/>
  </si>
  <si>
    <t>수량(출고건수)</t>
    <phoneticPr fontId="22" type="noConversion"/>
  </si>
  <si>
    <t>재고</t>
    <phoneticPr fontId="19" type="noConversion"/>
  </si>
  <si>
    <t>소비자가</t>
    <phoneticPr fontId="19" type="noConversion"/>
  </si>
  <si>
    <t>DOTEON Foot Cleaner</t>
    <phoneticPr fontId="19" type="noConversion"/>
  </si>
  <si>
    <t>공구 진행</t>
    <phoneticPr fontId="19" type="noConversion"/>
  </si>
  <si>
    <t>판매가</t>
  </si>
  <si>
    <t>구매확정일</t>
  </si>
  <si>
    <t>2398021500158</t>
  </si>
  <si>
    <t>대표 주문 번호</t>
  </si>
  <si>
    <t>주문채널</t>
  </si>
  <si>
    <t>마스터 상품 코드</t>
  </si>
  <si>
    <t>컬리</t>
  </si>
  <si>
    <t>M00000676604</t>
  </si>
  <si>
    <t>상품구매금액</t>
  </si>
  <si>
    <t>상품별 할인금액</t>
  </si>
  <si>
    <t>상품 쿠폰 할인금액</t>
  </si>
  <si>
    <t>할인합계</t>
  </si>
  <si>
    <t>할인합계</t>
    <phoneticPr fontId="19" type="noConversion"/>
  </si>
  <si>
    <t>정산합계</t>
    <phoneticPr fontId="19" type="noConversion"/>
  </si>
  <si>
    <t>공급가</t>
    <phoneticPr fontId="19" type="noConversion"/>
  </si>
  <si>
    <t>자사물류센터 입출고 기준</t>
    <phoneticPr fontId="19" type="noConversion"/>
  </si>
  <si>
    <t>실판매수량</t>
    <phoneticPr fontId="22" type="noConversion"/>
  </si>
  <si>
    <t>출고건수</t>
    <phoneticPr fontId="19" type="noConversion"/>
  </si>
  <si>
    <t>출고카운트</t>
    <phoneticPr fontId="19" type="noConversion"/>
  </si>
  <si>
    <t>불용이슈: 패키지 손상/파손</t>
    <phoneticPr fontId="19" type="noConversion"/>
  </si>
  <si>
    <t xml:space="preserve">제품 </t>
    <phoneticPr fontId="19" type="noConversion"/>
  </si>
  <si>
    <t>상품코드</t>
    <phoneticPr fontId="19" type="noConversion"/>
  </si>
  <si>
    <t xml:space="preserve">단가 </t>
    <phoneticPr fontId="19" type="noConversion"/>
  </si>
  <si>
    <t>반송</t>
    <phoneticPr fontId="19" type="noConversion"/>
  </si>
  <si>
    <t>월말재고</t>
    <phoneticPr fontId="19" type="noConversion"/>
  </si>
  <si>
    <t>판매합계</t>
    <phoneticPr fontId="19" type="noConversion"/>
  </si>
  <si>
    <t>BT25DTFC</t>
    <phoneticPr fontId="19" type="noConversion"/>
  </si>
  <si>
    <t>판매청구</t>
  </si>
  <si>
    <t>배송시작일</t>
  </si>
  <si>
    <t>배송완료일</t>
  </si>
  <si>
    <t>주문자 휴대전화 끝자리</t>
  </si>
  <si>
    <t>20260207-0000308</t>
  </si>
  <si>
    <t>이희정</t>
  </si>
  <si>
    <t>20260211-0000070</t>
  </si>
  <si>
    <t>고은아</t>
  </si>
  <si>
    <t>도톤 포레스트 강아지 발세정제 100ml - 체험단용</t>
  </si>
  <si>
    <t>배송완료 후 7일 이내 리뷰 작성 필수=네 확인했습니다.</t>
  </si>
  <si>
    <t>20260211-0000081</t>
  </si>
  <si>
    <t>홍현경</t>
  </si>
  <si>
    <t>20260211-0000099</t>
  </si>
  <si>
    <t>김민희</t>
  </si>
  <si>
    <t>20260211-0000101</t>
  </si>
  <si>
    <t>홍재이</t>
  </si>
  <si>
    <t>20260211-0000119</t>
  </si>
  <si>
    <t>최선영</t>
  </si>
  <si>
    <t>20260211-0000122</t>
  </si>
  <si>
    <t>서수지</t>
  </si>
  <si>
    <t>20260211-0000139</t>
  </si>
  <si>
    <t>조연진</t>
  </si>
  <si>
    <t>20260211-0000148</t>
  </si>
  <si>
    <t>김한별</t>
  </si>
  <si>
    <t>20260211-0000152</t>
  </si>
  <si>
    <t>김유미</t>
  </si>
  <si>
    <t>20260211-0000160</t>
  </si>
  <si>
    <t>이지수</t>
  </si>
  <si>
    <t>20260211-0000172</t>
  </si>
  <si>
    <t>장진아</t>
  </si>
  <si>
    <t>20260211-0000212</t>
  </si>
  <si>
    <t>박지영</t>
  </si>
  <si>
    <t>20260211-0000310</t>
  </si>
  <si>
    <t>김연정</t>
  </si>
  <si>
    <t>20260212-0000078</t>
  </si>
  <si>
    <t>김지현</t>
  </si>
  <si>
    <t>20260212-0000123</t>
  </si>
  <si>
    <t>이세진</t>
  </si>
  <si>
    <t>조회일자</t>
  </si>
  <si>
    <t>업체코드</t>
  </si>
  <si>
    <t>업체명</t>
  </si>
  <si>
    <t>점포코드</t>
  </si>
  <si>
    <t>점포명</t>
  </si>
  <si>
    <t>상품코드</t>
  </si>
  <si>
    <t>일매출수량</t>
  </si>
  <si>
    <t>일매출금액</t>
  </si>
  <si>
    <t>월누계수량</t>
  </si>
  <si>
    <t>월누계금액</t>
  </si>
  <si>
    <t>매출구분</t>
  </si>
  <si>
    <t>매입구분</t>
  </si>
  <si>
    <t>우프컴퍼니</t>
  </si>
  <si>
    <t>몰리스STF하남점</t>
  </si>
  <si>
    <t>오프라인</t>
  </si>
  <si>
    <t>특정행사</t>
  </si>
  <si>
    <t>정상가</t>
    <phoneticPr fontId="19" type="noConversion"/>
  </si>
  <si>
    <t>부가세제외</t>
    <phoneticPr fontId="19" type="noConversion"/>
  </si>
  <si>
    <t>부가세 제외</t>
    <phoneticPr fontId="19" type="noConversion"/>
  </si>
  <si>
    <t>부가세 포함</t>
    <phoneticPr fontId="19" type="noConversion"/>
  </si>
  <si>
    <t>개별주문번호</t>
  </si>
  <si>
    <t>대표주문번호</t>
  </si>
  <si>
    <t>주문상태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</si>
  <si>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</si>
  <si>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</si>
  <si>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</si>
  <si>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</si>
  <si>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</si>
  <si>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</si>
  <si>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</si>
  <si>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주문자명</t>
  </si>
  <si>
    <t>수취인명</t>
  </si>
  <si>
    <t>발주확인일</t>
  </si>
  <si>
    <t>발송처리일</t>
  </si>
  <si>
    <t>예약확정일</t>
  </si>
  <si>
    <t>예약일</t>
  </si>
  <si>
    <t>설치사용완료일</t>
  </si>
  <si>
    <t>취소완료일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</si>
  <si>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</si>
  <si>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</si>
  <si>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</si>
  <si>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</si>
  <si>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</si>
  <si>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</si>
  <si>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</si>
  <si>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1771160345007</t>
  </si>
  <si>
    <t>2406321590045</t>
  </si>
  <si>
    <t>구매확정</t>
  </si>
  <si>
    <t>2026-02-15T21:59:06</t>
  </si>
  <si>
    <t>P25102716000203</t>
  </si>
  <si>
    <t>[도톤] 포레스트 워터리스 풋클리너 강아지 발세정제 100ml (도톤 포레스트 워터리스 풋클리너)</t>
  </si>
  <si>
    <t>도톤 포레스트 워터리스 풋클리너</t>
  </si>
  <si>
    <t>P251027160002030001</t>
  </si>
  <si>
    <t>1001772679</t>
  </si>
  <si>
    <t/>
  </si>
  <si>
    <t>이*영</t>
  </si>
  <si>
    <t>2026-02-19T08:59:06</t>
  </si>
  <si>
    <t>2026-02-19T15:20:38</t>
  </si>
  <si>
    <t>2026-02-20T16:32:37</t>
  </si>
  <si>
    <t>2026-02-27T04:01:27</t>
  </si>
  <si>
    <t>1132896</t>
  </si>
  <si>
    <t>1771721715005</t>
  </si>
  <si>
    <t>2407009550037</t>
  </si>
  <si>
    <t>2026-02-22T09:55:16</t>
  </si>
  <si>
    <t>P25102716000204</t>
  </si>
  <si>
    <t>[도톤] 포레스트 아웃도어 스프레이 150ml 강아지 해충방지 진드기 (도톤 포레스트 아웃도어 스프레이)</t>
  </si>
  <si>
    <t>도톤 포레스트 아웃도어 스프레이</t>
  </si>
  <si>
    <t>P251027160002040001</t>
  </si>
  <si>
    <t>1001772676</t>
  </si>
  <si>
    <t>신*미</t>
  </si>
  <si>
    <t>2026-02-23T13:32:49</t>
  </si>
  <si>
    <t>2026-02-23T13:33:02</t>
  </si>
  <si>
    <t>2026-02-24T14:34:05</t>
  </si>
  <si>
    <t>2026-03-03T04:00:56</t>
  </si>
  <si>
    <t>1132897</t>
  </si>
  <si>
    <t>행사수수료 조율</t>
    <phoneticPr fontId="19" type="noConversion"/>
  </si>
  <si>
    <t>1월 판매내역</t>
    <phoneticPr fontId="19" type="noConversion"/>
  </si>
  <si>
    <t>조아라</t>
    <phoneticPr fontId="19" type="noConversion"/>
  </si>
  <si>
    <t>2026011576133371</t>
    <phoneticPr fontId="19" type="noConversion"/>
  </si>
  <si>
    <t>도톤 포레스트 워터리스 풋클리너 100ml</t>
    <phoneticPr fontId="19" type="noConversion"/>
  </si>
  <si>
    <t>판매수수료(25%)</t>
    <phoneticPr fontId="19" type="noConversion"/>
  </si>
  <si>
    <t>정산금액</t>
    <phoneticPr fontId="19" type="noConversion"/>
  </si>
  <si>
    <t>수량</t>
    <phoneticPr fontId="19" type="noConversion"/>
  </si>
  <si>
    <t>판매기간 2026 1/1 - 1/31</t>
    <phoneticPr fontId="19" type="noConversion"/>
  </si>
  <si>
    <t>2026-01-15 오후 3:03:26</t>
  </si>
  <si>
    <t>외부채널판매</t>
    <phoneticPr fontId="19" type="noConversion"/>
  </si>
  <si>
    <t>1월 1일</t>
    <phoneticPr fontId="19" type="noConversion"/>
  </si>
  <si>
    <r>
      <t>1</t>
    </r>
    <r>
      <rPr>
        <b/>
        <sz val="11"/>
        <color theme="1"/>
        <rFont val="Noto Sans KR"/>
        <family val="2"/>
      </rPr>
      <t>월</t>
    </r>
    <r>
      <rPr>
        <b/>
        <sz val="11"/>
        <color theme="1"/>
        <rFont val="Noto Sans KR"/>
        <charset val="129"/>
      </rPr>
      <t xml:space="preserve"> 31</t>
    </r>
    <r>
      <rPr>
        <b/>
        <sz val="11"/>
        <color theme="1"/>
        <rFont val="Noto Sans KR"/>
        <family val="2"/>
      </rPr>
      <t>일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</si>
</sst>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mm&quot;월&quot;\ dd&quot;일&quot;"/>
    <numFmt numFmtId="179" formatCode="m&quot;월&quot;\ d&quot;일&quot;;@"/>
    <numFmt numFmtId="180" formatCode="0_);[Red]\(0\)"/>
  </numFmts>
  <fonts count="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i/>
      <sz val="10"/>
      <color theme="1"/>
      <name val="Noto Sans KR"/>
      <family val="3"/>
      <charset val="129"/>
    </font>
    <font>
      <b/>
      <sz val="11"/>
      <color theme="1"/>
      <name val="Noto Sans KR"/>
      <family val="2"/>
    </font>
    <font>
      <b/>
      <sz val="11"/>
      <color theme="1"/>
      <name val="Noto Sans KR"/>
      <charset val="129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Noto Sans KR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rgb="FF000000"/>
      <name val="Malgun Gothic"/>
      <family val="2"/>
      <charset val="129"/>
    </font>
    <font>
      <sz val="11"/>
      <color rgb="FF656565"/>
      <name val="Malgun Gothic"/>
      <family val="2"/>
      <charset val="129"/>
    </font>
    <font>
      <b/>
      <sz val="11"/>
      <color rgb="FF656565"/>
      <name val="Malgun Gothic"/>
      <family val="2"/>
      <charset val="129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CC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4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9" fontId="21" fillId="36" borderId="12" xfId="44" applyFont="1" applyFill="1" applyBorder="1" applyAlignment="1" applyProtection="1">
      <alignment horizontal="center" vertical="center" wrapText="1"/>
      <protection locked="0"/>
    </xf>
    <xf numFmtId="38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3" applyNumberFormat="1" applyFont="1" applyBorder="1" applyAlignment="1">
      <alignment horizontal="center" vertical="center"/>
    </xf>
    <xf numFmtId="0" fontId="20" fillId="0" borderId="0" xfId="43" applyFont="1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19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  <xf numFmtId="176" fontId="29" fillId="0" borderId="12" xfId="1" applyFont="1" applyBorder="1">
      <alignment vertical="center"/>
    </xf>
    <xf numFmtId="176" fontId="29" fillId="0" borderId="17" xfId="1" applyFont="1" applyBorder="1">
      <alignment vertical="center"/>
    </xf>
    <xf numFmtId="0" fontId="28" fillId="33" borderId="16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176" fontId="28" fillId="0" borderId="12" xfId="1" applyFont="1" applyBorder="1">
      <alignment vertical="center"/>
    </xf>
    <xf numFmtId="180" fontId="29" fillId="0" borderId="16" xfId="0" applyNumberFormat="1" applyFont="1" applyBorder="1">
      <alignment vertical="center"/>
    </xf>
    <xf numFmtId="176" fontId="32" fillId="0" borderId="12" xfId="1" applyFont="1" applyBorder="1">
      <alignment vertical="center"/>
    </xf>
    <xf numFmtId="0" fontId="33" fillId="0" borderId="0" xfId="0" applyFont="1">
      <alignment vertical="center"/>
    </xf>
    <xf numFmtId="180" fontId="33" fillId="0" borderId="0" xfId="0" applyNumberFormat="1" applyFont="1">
      <alignment vertical="center"/>
    </xf>
    <xf numFmtId="14" fontId="33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76" fontId="33" fillId="0" borderId="0" xfId="1" applyFont="1">
      <alignment vertical="center"/>
    </xf>
    <xf numFmtId="176" fontId="0" fillId="0" borderId="0" xfId="1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22" fontId="33" fillId="0" borderId="0" xfId="0" applyNumberFormat="1" applyFont="1">
      <alignment vertical="center"/>
    </xf>
    <xf numFmtId="0" fontId="34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176" fontId="34" fillId="0" borderId="31" xfId="1" applyFont="1" applyBorder="1" applyAlignment="1">
      <alignment horizontal="center" vertical="center"/>
    </xf>
    <xf numFmtId="9" fontId="34" fillId="0" borderId="31" xfId="0" applyNumberFormat="1" applyFont="1" applyBorder="1" applyAlignment="1">
      <alignment horizontal="center" vertical="center"/>
    </xf>
    <xf numFmtId="0" fontId="35" fillId="0" borderId="12" xfId="0" applyFont="1" applyBorder="1">
      <alignment vertical="center"/>
    </xf>
    <xf numFmtId="41" fontId="35" fillId="0" borderId="12" xfId="0" applyNumberFormat="1" applyFont="1" applyBorder="1">
      <alignment vertical="center"/>
    </xf>
    <xf numFmtId="0" fontId="34" fillId="0" borderId="12" xfId="0" applyFont="1" applyBorder="1" applyAlignment="1">
      <alignment horizontal="center" vertical="center"/>
    </xf>
    <xf numFmtId="41" fontId="34" fillId="0" borderId="12" xfId="0" applyNumberFormat="1" applyFont="1" applyBorder="1" applyAlignment="1">
      <alignment horizontal="center" vertical="center"/>
    </xf>
    <xf numFmtId="41" fontId="34" fillId="38" borderId="12" xfId="0" applyNumberFormat="1" applyFont="1" applyFill="1" applyBorder="1" applyAlignment="1">
      <alignment horizontal="center" vertical="center"/>
    </xf>
    <xf numFmtId="9" fontId="34" fillId="0" borderId="12" xfId="0" applyNumberFormat="1" applyFont="1" applyBorder="1" applyAlignment="1">
      <alignment horizontal="center" vertical="center"/>
    </xf>
    <xf numFmtId="176" fontId="34" fillId="0" borderId="12" xfId="1" applyFont="1" applyBorder="1" applyAlignment="1">
      <alignment horizontal="center" vertical="center"/>
    </xf>
    <xf numFmtId="176" fontId="35" fillId="0" borderId="12" xfId="1" applyFont="1" applyBorder="1">
      <alignment vertical="center"/>
    </xf>
    <xf numFmtId="0" fontId="35" fillId="0" borderId="0" xfId="0" applyFont="1" applyAlignment="1">
      <alignment horizontal="center" vertical="center"/>
    </xf>
    <xf numFmtId="41" fontId="35" fillId="0" borderId="0" xfId="0" applyNumberFormat="1" applyFont="1">
      <alignment vertical="center"/>
    </xf>
    <xf numFmtId="0" fontId="35" fillId="39" borderId="0" xfId="0" applyFont="1" applyFill="1">
      <alignment vertical="center"/>
    </xf>
    <xf numFmtId="0" fontId="34" fillId="39" borderId="0" xfId="0" applyFont="1" applyFill="1">
      <alignment vertical="center"/>
    </xf>
    <xf numFmtId="41" fontId="34" fillId="39" borderId="31" xfId="0" applyNumberFormat="1" applyFont="1" applyFill="1" applyBorder="1" applyAlignment="1">
      <alignment horizontal="center" vertical="center"/>
    </xf>
    <xf numFmtId="41" fontId="35" fillId="39" borderId="12" xfId="0" applyNumberFormat="1" applyFont="1" applyFill="1" applyBorder="1">
      <alignment vertical="center"/>
    </xf>
    <xf numFmtId="41" fontId="34" fillId="39" borderId="12" xfId="0" applyNumberFormat="1" applyFont="1" applyFill="1" applyBorder="1" applyAlignment="1">
      <alignment horizontal="center" vertical="center"/>
    </xf>
    <xf numFmtId="176" fontId="29" fillId="0" borderId="32" xfId="1" applyFont="1" applyFill="1" applyBorder="1">
      <alignment vertical="center"/>
    </xf>
    <xf numFmtId="176" fontId="0" fillId="0" borderId="0" xfId="0" applyNumberFormat="1">
      <alignment vertical="center"/>
    </xf>
    <xf numFmtId="180" fontId="29" fillId="39" borderId="13" xfId="0" applyNumberFormat="1" applyFont="1" applyFill="1" applyBorder="1">
      <alignment vertical="center"/>
    </xf>
    <xf numFmtId="0" fontId="29" fillId="39" borderId="14" xfId="0" applyFont="1" applyFill="1" applyBorder="1">
      <alignment vertical="center"/>
    </xf>
    <xf numFmtId="176" fontId="29" fillId="39" borderId="14" xfId="1" applyFont="1" applyFill="1" applyBorder="1">
      <alignment vertical="center"/>
    </xf>
    <xf numFmtId="176" fontId="32" fillId="39" borderId="14" xfId="1" applyFont="1" applyFill="1" applyBorder="1">
      <alignment vertical="center"/>
    </xf>
    <xf numFmtId="176" fontId="29" fillId="39" borderId="15" xfId="1" applyFont="1" applyFill="1" applyBorder="1">
      <alignment vertical="center"/>
    </xf>
    <xf numFmtId="0" fontId="35" fillId="39" borderId="12" xfId="0" applyFont="1" applyFill="1" applyBorder="1">
      <alignment vertical="center"/>
    </xf>
    <xf numFmtId="176" fontId="35" fillId="39" borderId="12" xfId="0" applyNumberFormat="1" applyFont="1" applyFill="1" applyBorder="1">
      <alignment vertical="center"/>
    </xf>
    <xf numFmtId="0" fontId="36" fillId="0" borderId="12" xfId="0" applyFont="1" applyBorder="1">
      <alignment vertical="center"/>
    </xf>
    <xf numFmtId="41" fontId="36" fillId="39" borderId="12" xfId="0" applyNumberFormat="1" applyFont="1" applyFill="1" applyBorder="1">
      <alignment vertical="center"/>
    </xf>
    <xf numFmtId="0" fontId="34" fillId="0" borderId="19" xfId="0" applyFont="1" applyBorder="1" applyAlignment="1">
      <alignment horizontal="center" vertical="center"/>
    </xf>
    <xf numFmtId="0" fontId="34" fillId="38" borderId="19" xfId="0" applyFont="1" applyFill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41" fontId="35" fillId="0" borderId="17" xfId="0" applyNumberFormat="1" applyFont="1" applyBorder="1">
      <alignment vertical="center"/>
    </xf>
    <xf numFmtId="0" fontId="34" fillId="0" borderId="14" xfId="0" applyFont="1" applyBorder="1" applyAlignment="1">
      <alignment horizontal="center" vertical="center"/>
    </xf>
    <xf numFmtId="41" fontId="34" fillId="0" borderId="14" xfId="0" applyNumberFormat="1" applyFont="1" applyBorder="1" applyAlignment="1">
      <alignment horizontal="center" vertical="center"/>
    </xf>
    <xf numFmtId="41" fontId="34" fillId="38" borderId="14" xfId="0" applyNumberFormat="1" applyFont="1" applyFill="1" applyBorder="1" applyAlignment="1">
      <alignment horizontal="center" vertical="center"/>
    </xf>
    <xf numFmtId="9" fontId="34" fillId="0" borderId="14" xfId="0" applyNumberFormat="1" applyFont="1" applyBorder="1" applyAlignment="1">
      <alignment horizontal="center" vertical="center"/>
    </xf>
    <xf numFmtId="176" fontId="34" fillId="0" borderId="15" xfId="1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41" fontId="34" fillId="38" borderId="19" xfId="0" applyNumberFormat="1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76" fontId="34" fillId="0" borderId="34" xfId="1" applyFont="1" applyBorder="1" applyAlignment="1">
      <alignment horizontal="center" vertical="center"/>
    </xf>
    <xf numFmtId="9" fontId="34" fillId="0" borderId="34" xfId="0" applyNumberFormat="1" applyFont="1" applyBorder="1" applyAlignment="1">
      <alignment horizontal="center" vertical="center"/>
    </xf>
    <xf numFmtId="41" fontId="37" fillId="39" borderId="34" xfId="0" applyNumberFormat="1" applyFont="1" applyFill="1" applyBorder="1" applyAlignment="1">
      <alignment horizontal="center" vertical="center"/>
    </xf>
    <xf numFmtId="0" fontId="34" fillId="39" borderId="19" xfId="0" applyFont="1" applyFill="1" applyBorder="1" applyAlignment="1">
      <alignment horizontal="center" vertical="center"/>
    </xf>
    <xf numFmtId="0" fontId="35" fillId="0" borderId="20" xfId="0" applyFont="1" applyBorder="1">
      <alignment vertical="center"/>
    </xf>
    <xf numFmtId="176" fontId="34" fillId="0" borderId="14" xfId="1" applyFont="1" applyBorder="1" applyAlignment="1">
      <alignment horizontal="center" vertical="center"/>
    </xf>
    <xf numFmtId="176" fontId="37" fillId="39" borderId="14" xfId="1" applyFont="1" applyFill="1" applyBorder="1" applyAlignment="1">
      <alignment horizontal="center" vertical="center"/>
    </xf>
    <xf numFmtId="176" fontId="35" fillId="0" borderId="15" xfId="1" applyFont="1" applyFill="1" applyBorder="1">
      <alignment vertical="center"/>
    </xf>
    <xf numFmtId="176" fontId="35" fillId="0" borderId="17" xfId="1" applyFont="1" applyBorder="1">
      <alignment vertical="center"/>
    </xf>
    <xf numFmtId="176" fontId="37" fillId="39" borderId="14" xfId="1" applyFont="1" applyFill="1" applyBorder="1">
      <alignment vertical="center"/>
    </xf>
    <xf numFmtId="0" fontId="34" fillId="0" borderId="30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9" fontId="35" fillId="0" borderId="17" xfId="0" applyNumberFormat="1" applyFont="1" applyBorder="1">
      <alignment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5" fillId="0" borderId="14" xfId="0" applyFont="1" applyBorder="1">
      <alignment vertical="center"/>
    </xf>
    <xf numFmtId="41" fontId="37" fillId="39" borderId="14" xfId="0" applyNumberFormat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9" fontId="35" fillId="0" borderId="16" xfId="0" applyNumberFormat="1" applyFont="1" applyBorder="1">
      <alignment vertical="center"/>
    </xf>
    <xf numFmtId="176" fontId="35" fillId="0" borderId="13" xfId="1" applyFont="1" applyBorder="1">
      <alignment vertical="center"/>
    </xf>
    <xf numFmtId="0" fontId="38" fillId="41" borderId="0" xfId="0" applyFont="1" applyFill="1">
      <alignment vertical="center"/>
    </xf>
    <xf numFmtId="0" fontId="39" fillId="42" borderId="0" xfId="0" applyFont="1" applyFill="1" applyAlignment="1">
      <alignment horizontal="center"/>
    </xf>
    <xf numFmtId="176" fontId="39" fillId="42" borderId="0" xfId="1" applyFont="1" applyFill="1" applyAlignment="1">
      <alignment horizontal="center"/>
    </xf>
    <xf numFmtId="0" fontId="0" fillId="0" borderId="0" xfId="0" applyAlignment="1"/>
    <xf numFmtId="176" fontId="0" fillId="0" borderId="0" xfId="1" applyFont="1" applyAlignment="1"/>
    <xf numFmtId="176" fontId="34" fillId="0" borderId="1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40" borderId="19" xfId="0" applyFont="1" applyFill="1" applyBorder="1" applyAlignment="1">
      <alignment horizontal="center" vertical="center"/>
    </xf>
    <xf numFmtId="176" fontId="34" fillId="0" borderId="17" xfId="0" applyNumberFormat="1" applyFont="1" applyBorder="1" applyAlignment="1">
      <alignment horizontal="center" vertical="center"/>
    </xf>
    <xf numFmtId="176" fontId="34" fillId="0" borderId="14" xfId="0" applyNumberFormat="1" applyFont="1" applyBorder="1" applyAlignment="1">
      <alignment horizontal="center" vertical="center"/>
    </xf>
    <xf numFmtId="176" fontId="34" fillId="0" borderId="15" xfId="0" applyNumberFormat="1" applyFont="1" applyBorder="1" applyAlignment="1">
      <alignment horizontal="center" vertical="center"/>
    </xf>
    <xf numFmtId="176" fontId="40" fillId="0" borderId="12" xfId="1" applyFont="1" applyBorder="1">
      <alignment vertical="center"/>
    </xf>
    <xf numFmtId="177" fontId="18" fillId="0" borderId="13" xfId="43" applyNumberFormat="1" applyFont="1" applyBorder="1" applyAlignment="1">
      <alignment horizontal="center" vertical="center"/>
    </xf>
    <xf numFmtId="0" fontId="0" fillId="44" borderId="12" xfId="0" applyFill="1" applyBorder="1">
      <alignment vertical="center"/>
    </xf>
    <xf numFmtId="176" fontId="0" fillId="44" borderId="12" xfId="1" applyFont="1" applyFill="1" applyBorder="1">
      <alignment vertical="center"/>
    </xf>
    <xf numFmtId="176" fontId="0" fillId="44" borderId="12" xfId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76" fontId="0" fillId="0" borderId="12" xfId="1" applyFont="1" applyFill="1" applyBorder="1">
      <alignment vertical="center"/>
    </xf>
    <xf numFmtId="176" fontId="0" fillId="0" borderId="12" xfId="1" applyFont="1" applyFill="1" applyBorder="1" applyAlignment="1">
      <alignment horizontal="center" vertical="center"/>
    </xf>
    <xf numFmtId="9" fontId="21" fillId="36" borderId="17" xfId="44" applyFont="1" applyFill="1" applyBorder="1" applyAlignment="1" applyProtection="1">
      <alignment horizontal="center" vertical="center" wrapText="1"/>
      <protection locked="0"/>
    </xf>
    <xf numFmtId="176" fontId="24" fillId="0" borderId="15" xfId="44" applyNumberFormat="1" applyFont="1" applyFill="1" applyBorder="1" applyAlignment="1" applyProtection="1">
      <alignment horizontal="center" vertical="center"/>
      <protection locked="0"/>
    </xf>
    <xf numFmtId="176" fontId="42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43" fillId="0" borderId="14" xfId="4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9" fontId="0" fillId="0" borderId="12" xfId="46" applyFont="1" applyFill="1" applyBorder="1" applyAlignment="1">
      <alignment horizontal="center" vertical="center"/>
    </xf>
    <xf numFmtId="0" fontId="41" fillId="37" borderId="18" xfId="0" applyFont="1" applyFill="1" applyBorder="1" applyAlignment="1">
      <alignment horizontal="center" vertical="center"/>
    </xf>
    <xf numFmtId="0" fontId="41" fillId="37" borderId="19" xfId="0" applyFont="1" applyFill="1" applyBorder="1" applyAlignment="1">
      <alignment horizontal="center" vertical="center"/>
    </xf>
    <xf numFmtId="0" fontId="41" fillId="37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9" fontId="0" fillId="0" borderId="14" xfId="46" applyFont="1" applyFill="1" applyBorder="1" applyAlignment="1">
      <alignment horizontal="center" vertical="center"/>
    </xf>
    <xf numFmtId="176" fontId="0" fillId="0" borderId="14" xfId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41" fillId="43" borderId="18" xfId="0" applyFont="1" applyFill="1" applyBorder="1" applyAlignment="1">
      <alignment horizontal="center" vertical="center"/>
    </xf>
    <xf numFmtId="0" fontId="41" fillId="43" borderId="19" xfId="0" applyFont="1" applyFill="1" applyBorder="1" applyAlignment="1">
      <alignment horizontal="center" vertical="center"/>
    </xf>
    <xf numFmtId="0" fontId="41" fillId="43" borderId="20" xfId="0" applyFont="1" applyFill="1" applyBorder="1" applyAlignment="1">
      <alignment horizontal="center" vertical="center"/>
    </xf>
    <xf numFmtId="0" fontId="0" fillId="44" borderId="17" xfId="0" applyFill="1" applyBorder="1">
      <alignment vertical="center"/>
    </xf>
    <xf numFmtId="176" fontId="0" fillId="0" borderId="14" xfId="1" applyFont="1" applyFill="1" applyBorder="1">
      <alignment vertical="center"/>
    </xf>
    <xf numFmtId="0" fontId="1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4" fillId="39" borderId="0" xfId="0" applyFont="1" applyFill="1" applyAlignment="1">
      <alignment horizontal="center" vertical="center"/>
    </xf>
    <xf numFmtId="0" fontId="35" fillId="39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76" fontId="16" fillId="0" borderId="0" xfId="1" applyFont="1">
      <alignment vertical="center"/>
    </xf>
    <xf numFmtId="41" fontId="34" fillId="0" borderId="15" xfId="0" applyNumberFormat="1" applyFont="1" applyBorder="1" applyAlignment="1">
      <alignment horizontal="center" vertical="center"/>
    </xf>
    <xf numFmtId="176" fontId="35" fillId="0" borderId="14" xfId="1" applyFont="1" applyBorder="1">
      <alignment vertical="center"/>
    </xf>
    <xf numFmtId="0" fontId="35" fillId="0" borderId="19" xfId="0" applyFont="1" applyBorder="1" applyAlignment="1">
      <alignment horizontal="center" vertical="center"/>
    </xf>
    <xf numFmtId="176" fontId="35" fillId="0" borderId="12" xfId="0" applyNumberFormat="1" applyFont="1" applyBorder="1">
      <alignment vertical="center"/>
    </xf>
    <xf numFmtId="0" fontId="33" fillId="0" borderId="12" xfId="0" applyFont="1" applyBorder="1">
      <alignment vertical="center"/>
    </xf>
    <xf numFmtId="180" fontId="33" fillId="0" borderId="12" xfId="0" applyNumberFormat="1" applyFont="1" applyBorder="1" applyAlignment="1">
      <alignment horizontal="center" vertical="center"/>
    </xf>
    <xf numFmtId="176" fontId="33" fillId="0" borderId="12" xfId="1" applyFont="1" applyBorder="1">
      <alignment vertical="center"/>
    </xf>
    <xf numFmtId="14" fontId="33" fillId="0" borderId="12" xfId="0" applyNumberFormat="1" applyFont="1" applyBorder="1">
      <alignment vertical="center"/>
    </xf>
    <xf numFmtId="0" fontId="45" fillId="0" borderId="12" xfId="0" applyFont="1" applyBorder="1">
      <alignment vertical="center"/>
    </xf>
    <xf numFmtId="176" fontId="45" fillId="0" borderId="0" xfId="1" applyFont="1">
      <alignment vertical="center"/>
    </xf>
    <xf numFmtId="0" fontId="33" fillId="0" borderId="12" xfId="0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 wrapText="1"/>
    </xf>
    <xf numFmtId="9" fontId="21" fillId="36" borderId="19" xfId="44" applyFont="1" applyFill="1" applyBorder="1" applyAlignment="1" applyProtection="1">
      <alignment horizontal="center" vertical="center" wrapText="1"/>
      <protection locked="0"/>
    </xf>
    <xf numFmtId="176" fontId="21" fillId="34" borderId="19" xfId="45" applyFont="1" applyFill="1" applyBorder="1" applyAlignment="1" applyProtection="1">
      <alignment horizontal="center" vertical="center" wrapText="1"/>
      <protection locked="0"/>
    </xf>
    <xf numFmtId="176" fontId="23" fillId="35" borderId="19" xfId="45" applyFont="1" applyFill="1" applyBorder="1" applyAlignment="1" applyProtection="1">
      <alignment horizontal="center" vertical="center" wrapText="1"/>
      <protection locked="0"/>
    </xf>
    <xf numFmtId="176" fontId="23" fillId="43" borderId="19" xfId="45" applyFont="1" applyFill="1" applyBorder="1" applyAlignment="1" applyProtection="1">
      <alignment horizontal="center" vertical="center" wrapText="1"/>
      <protection locked="0"/>
    </xf>
    <xf numFmtId="176" fontId="23" fillId="35" borderId="20" xfId="45" applyFont="1" applyFill="1" applyBorder="1" applyAlignment="1" applyProtection="1">
      <alignment horizontal="center" vertical="center" wrapText="1"/>
      <protection locked="0"/>
    </xf>
    <xf numFmtId="176" fontId="24" fillId="0" borderId="14" xfId="0" applyNumberFormat="1" applyFont="1" applyBorder="1" applyAlignment="1">
      <alignment horizontal="center" vertical="center"/>
    </xf>
    <xf numFmtId="0" fontId="33" fillId="0" borderId="0" xfId="0" quotePrefix="1" applyFont="1">
      <alignment vertical="center"/>
    </xf>
    <xf numFmtId="0" fontId="0" fillId="45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2" xfId="47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33" fillId="0" borderId="12" xfId="1" applyNumberFormat="1" applyFont="1" applyBorder="1">
      <alignment vertical="center"/>
    </xf>
    <xf numFmtId="176" fontId="33" fillId="0" borderId="12" xfId="1" applyFont="1" applyFill="1" applyBorder="1">
      <alignment vertical="center"/>
    </xf>
    <xf numFmtId="0" fontId="33" fillId="0" borderId="12" xfId="0" applyFont="1" applyBorder="1" applyAlignment="1">
      <alignment vertical="center" wrapText="1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5" fillId="43" borderId="16" xfId="43" applyFont="1" applyFill="1" applyBorder="1" applyAlignment="1">
      <alignment horizontal="left" vertical="center"/>
    </xf>
    <xf numFmtId="0" fontId="25" fillId="43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/>
    </xf>
    <xf numFmtId="0" fontId="25" fillId="0" borderId="17" xfId="43" applyFont="1" applyBorder="1" applyAlignment="1">
      <alignment horizontal="left" vertical="center"/>
    </xf>
    <xf numFmtId="0" fontId="25" fillId="35" borderId="13" xfId="43" applyFont="1" applyFill="1" applyBorder="1" applyAlignment="1">
      <alignment horizontal="left" vertical="center"/>
    </xf>
    <xf numFmtId="0" fontId="25" fillId="35" borderId="14" xfId="43" applyFont="1" applyFill="1" applyBorder="1" applyAlignment="1">
      <alignment horizontal="left" vertical="center"/>
    </xf>
    <xf numFmtId="0" fontId="25" fillId="0" borderId="14" xfId="43" applyFont="1" applyBorder="1" applyAlignment="1">
      <alignment horizontal="left" vertical="center" wrapText="1"/>
    </xf>
    <xf numFmtId="0" fontId="25" fillId="0" borderId="14" xfId="43" applyFont="1" applyBorder="1" applyAlignment="1">
      <alignment horizontal="left" vertical="center"/>
    </xf>
    <xf numFmtId="0" fontId="25" fillId="0" borderId="15" xfId="43" applyFont="1" applyBorder="1" applyAlignment="1">
      <alignment horizontal="left" vertical="center"/>
    </xf>
    <xf numFmtId="0" fontId="21" fillId="0" borderId="10" xfId="43" applyFont="1" applyBorder="1" applyAlignment="1">
      <alignment horizontal="center" vertical="center" wrapText="1"/>
    </xf>
    <xf numFmtId="0" fontId="21" fillId="0" borderId="11" xfId="43" applyFont="1" applyBorder="1" applyAlignment="1">
      <alignment horizontal="center" vertical="center" wrapText="1"/>
    </xf>
    <xf numFmtId="9" fontId="21" fillId="0" borderId="21" xfId="44" applyFont="1" applyBorder="1" applyAlignment="1" applyProtection="1">
      <alignment horizontal="center" vertical="center" wrapText="1"/>
      <protection locked="0"/>
    </xf>
    <xf numFmtId="9" fontId="21" fillId="0" borderId="22" xfId="44" applyFont="1" applyBorder="1" applyAlignment="1" applyProtection="1">
      <alignment horizontal="center" vertical="center" wrapText="1"/>
      <protection locked="0"/>
    </xf>
    <xf numFmtId="9" fontId="21" fillId="0" borderId="24" xfId="44" applyFont="1" applyBorder="1" applyAlignment="1" applyProtection="1">
      <alignment horizontal="center" vertical="center" wrapText="1"/>
      <protection locked="0"/>
    </xf>
    <xf numFmtId="0" fontId="26" fillId="0" borderId="37" xfId="43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5" fillId="35" borderId="16" xfId="43" applyFont="1" applyFill="1" applyBorder="1" applyAlignment="1">
      <alignment horizontal="left" vertical="center"/>
    </xf>
    <xf numFmtId="0" fontId="25" fillId="35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 wrapText="1"/>
    </xf>
    <xf numFmtId="0" fontId="25" fillId="34" borderId="16" xfId="43" applyFont="1" applyFill="1" applyBorder="1" applyAlignment="1">
      <alignment horizontal="left" vertical="center"/>
    </xf>
    <xf numFmtId="0" fontId="25" fillId="34" borderId="12" xfId="43" applyFont="1" applyFill="1" applyBorder="1" applyAlignment="1">
      <alignment horizontal="left" vertical="center"/>
    </xf>
    <xf numFmtId="179" fontId="28" fillId="33" borderId="21" xfId="0" applyNumberFormat="1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32" fillId="33" borderId="21" xfId="0" applyFont="1" applyFill="1" applyBorder="1" applyAlignment="1">
      <alignment horizontal="center" vertical="center"/>
    </xf>
    <xf numFmtId="0" fontId="32" fillId="33" borderId="22" xfId="0" applyFont="1" applyFill="1" applyBorder="1" applyAlignment="1">
      <alignment horizontal="center" vertical="center"/>
    </xf>
    <xf numFmtId="0" fontId="32" fillId="33" borderId="24" xfId="0" applyFont="1" applyFill="1" applyBorder="1" applyAlignment="1">
      <alignment horizontal="center" vertical="center"/>
    </xf>
    <xf numFmtId="178" fontId="28" fillId="33" borderId="25" xfId="0" applyNumberFormat="1" applyFont="1" applyFill="1" applyBorder="1" applyAlignment="1">
      <alignment horizontal="center" vertical="center"/>
    </xf>
    <xf numFmtId="178" fontId="28" fillId="33" borderId="26" xfId="0" applyNumberFormat="1" applyFont="1" applyFill="1" applyBorder="1" applyAlignment="1">
      <alignment horizontal="center" vertical="center"/>
    </xf>
    <xf numFmtId="178" fontId="28" fillId="33" borderId="27" xfId="0" applyNumberFormat="1" applyFont="1" applyFill="1" applyBorder="1" applyAlignment="1">
      <alignment horizontal="center" vertical="center"/>
    </xf>
    <xf numFmtId="178" fontId="28" fillId="33" borderId="28" xfId="0" applyNumberFormat="1" applyFont="1" applyFill="1" applyBorder="1" applyAlignment="1">
      <alignment horizontal="center" vertical="center"/>
    </xf>
    <xf numFmtId="178" fontId="28" fillId="33" borderId="29" xfId="0" applyNumberFormat="1" applyFont="1" applyFill="1" applyBorder="1" applyAlignment="1">
      <alignment horizontal="center" vertical="center"/>
    </xf>
    <xf numFmtId="178" fontId="28" fillId="33" borderId="30" xfId="0" applyNumberFormat="1" applyFont="1" applyFill="1" applyBorder="1" applyAlignment="1">
      <alignment horizontal="center" vertical="center"/>
    </xf>
    <xf numFmtId="0" fontId="28" fillId="33" borderId="21" xfId="0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  <xf numFmtId="176" fontId="35" fillId="0" borderId="0" xfId="1" applyFont="1">
      <alignment vertical="center"/>
    </xf>
    <xf numFmtId="0" fontId="46" fillId="46" borderId="41" xfId="0" applyFont="1" applyFill="1" applyBorder="1" applyAlignment="1">
      <alignment horizontal="center" vertical="center" wrapText="1"/>
    </xf>
    <xf numFmtId="0" fontId="46" fillId="46" borderId="42" xfId="0" applyFont="1" applyFill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 wrapText="1"/>
    </xf>
    <xf numFmtId="0" fontId="47" fillId="0" borderId="44" xfId="0" applyFont="1" applyBorder="1" applyAlignment="1">
      <alignment horizontal="center" vertical="center" wrapText="1"/>
    </xf>
    <xf numFmtId="176" fontId="47" fillId="0" borderId="44" xfId="1" applyFont="1" applyBorder="1" applyAlignment="1">
      <alignment horizontal="center" vertical="center" wrapText="1"/>
    </xf>
    <xf numFmtId="180" fontId="47" fillId="0" borderId="44" xfId="0" applyNumberFormat="1" applyFont="1" applyBorder="1" applyAlignment="1">
      <alignment horizontal="center" vertical="center" wrapText="1"/>
    </xf>
    <xf numFmtId="3" fontId="0" fillId="0" borderId="0" xfId="0" applyNumberFormat="1" applyFont="1">
      <alignment vertical="center"/>
    </xf>
    <xf numFmtId="176" fontId="48" fillId="0" borderId="44" xfId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6" fillId="0" borderId="0" xfId="1" applyFont="1" applyAlignment="1"/>
    <xf numFmtId="9" fontId="33" fillId="0" borderId="12" xfId="0" applyNumberFormat="1" applyFont="1" applyBorder="1">
      <alignment vertical="center"/>
    </xf>
    <xf numFmtId="180" fontId="45" fillId="0" borderId="12" xfId="0" applyNumberFormat="1" applyFont="1" applyBorder="1">
      <alignment vertical="center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6" builtinId="5"/>
    <cellStyle name="백분율 2" xfId="44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5" xr:uid="{00000000-0005-0000-0000-000021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47" builtinId="7"/>
    <cellStyle name="표준" xfId="0" builtinId="0"/>
    <cellStyle name="표준 3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40"/>
  <sheetViews>
    <sheetView tabSelected="1" zoomScale="85" zoomScaleNormal="85" workbookViewId="0">
      <selection activeCell="L21" sqref="L21"/>
    </sheetView>
  </sheetViews>
  <sheetFormatPr baseColWidth="10" defaultColWidth="8.83203125" defaultRowHeight="17"/>
  <cols>
    <col min="1" max="1" width="5.1640625" customWidth="1"/>
    <col min="2" max="2" width="11.33203125" customWidth="1"/>
    <col min="3" max="3" width="16.6640625" customWidth="1"/>
    <col min="4" max="4" width="13.33203125" bestFit="1" customWidth="1"/>
    <col min="5" max="6" width="16.33203125" customWidth="1"/>
    <col min="7" max="8" width="12.33203125" customWidth="1"/>
    <col min="9" max="9" width="10.5" bestFit="1" customWidth="1"/>
    <col min="10" max="10" width="12.33203125" bestFit="1" customWidth="1"/>
    <col min="11" max="11" width="6.83203125" customWidth="1"/>
    <col min="12" max="12" width="16.1640625" customWidth="1"/>
    <col min="13" max="13" width="38.33203125" customWidth="1"/>
    <col min="14" max="25" width="9.5" customWidth="1"/>
  </cols>
  <sheetData>
    <row r="2" spans="2:26" ht="18" thickBot="1">
      <c r="B2" s="7" t="s">
        <v>4</v>
      </c>
      <c r="H2" s="8"/>
      <c r="J2" s="127" t="s">
        <v>8</v>
      </c>
    </row>
    <row r="3" spans="2:26" ht="38" customHeight="1">
      <c r="B3" s="167" t="s">
        <v>118</v>
      </c>
      <c r="C3" s="168" t="s">
        <v>182</v>
      </c>
      <c r="D3" s="168" t="s">
        <v>111</v>
      </c>
      <c r="E3" s="168" t="s">
        <v>10</v>
      </c>
      <c r="F3" s="168" t="s">
        <v>5</v>
      </c>
      <c r="G3" s="169" t="s">
        <v>142</v>
      </c>
      <c r="H3" s="170" t="s">
        <v>141</v>
      </c>
      <c r="I3" s="171" t="s">
        <v>140</v>
      </c>
      <c r="J3" s="172" t="s">
        <v>144</v>
      </c>
    </row>
    <row r="4" spans="2:26" ht="19" thickBot="1">
      <c r="B4" s="117">
        <v>46023</v>
      </c>
      <c r="C4" s="2">
        <f>'채널별 판매데이터 정리'!K62</f>
        <v>3</v>
      </c>
      <c r="D4" s="128">
        <f>'채널별 판매데이터 정리'!K63</f>
        <v>22000</v>
      </c>
      <c r="E4" s="3">
        <f>D4-F4</f>
        <v>-44000</v>
      </c>
      <c r="F4" s="3">
        <f>'채널별 판매데이터 정리'!K64</f>
        <v>66000</v>
      </c>
      <c r="G4" s="4">
        <f>'채널별 판매데이터 정리'!K65</f>
        <v>18700</v>
      </c>
      <c r="H4" s="173">
        <f>F4-G4</f>
        <v>47300</v>
      </c>
      <c r="I4" s="173">
        <f>F24</f>
        <v>4080</v>
      </c>
      <c r="J4" s="126">
        <f>H4-I4</f>
        <v>43220</v>
      </c>
    </row>
    <row r="5" spans="2:26" ht="18" thickBot="1">
      <c r="L5" s="9" t="s">
        <v>11</v>
      </c>
      <c r="M5" s="10" t="s">
        <v>181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2:26" ht="16.5" customHeight="1" thickBot="1">
      <c r="B6" s="5" t="s">
        <v>1</v>
      </c>
      <c r="C6" s="6"/>
      <c r="L6" s="12"/>
      <c r="M6" s="13"/>
      <c r="N6" s="223" t="s">
        <v>317</v>
      </c>
      <c r="O6" s="213"/>
      <c r="P6" s="224"/>
      <c r="Q6" s="212" t="str">
        <f>N6&amp;" ~ "&amp;W6</f>
        <v>1월 1일 ~ 1월 31일</v>
      </c>
      <c r="R6" s="213"/>
      <c r="S6" s="213"/>
      <c r="T6" s="213"/>
      <c r="U6" s="213"/>
      <c r="V6" s="213"/>
      <c r="W6" s="214" t="s">
        <v>318</v>
      </c>
      <c r="X6" s="215"/>
      <c r="Y6" s="216"/>
    </row>
    <row r="7" spans="2:26">
      <c r="B7" s="201" t="s">
        <v>2</v>
      </c>
      <c r="C7" s="202"/>
      <c r="D7" s="202"/>
      <c r="E7" s="203"/>
      <c r="F7" s="204" t="s">
        <v>3</v>
      </c>
      <c r="G7" s="202"/>
      <c r="H7" s="202"/>
      <c r="I7" s="202"/>
      <c r="J7" s="205"/>
      <c r="L7" s="21"/>
      <c r="M7" s="22"/>
      <c r="N7" s="217" t="s">
        <v>14</v>
      </c>
      <c r="O7" s="218"/>
      <c r="P7" s="219"/>
      <c r="Q7" s="217" t="s">
        <v>15</v>
      </c>
      <c r="R7" s="218"/>
      <c r="S7" s="219"/>
      <c r="T7" s="217" t="s">
        <v>16</v>
      </c>
      <c r="U7" s="218"/>
      <c r="V7" s="218"/>
      <c r="W7" s="220" t="s">
        <v>17</v>
      </c>
      <c r="X7" s="221"/>
      <c r="Y7" s="222"/>
    </row>
    <row r="8" spans="2:26" ht="33" customHeight="1">
      <c r="B8" s="210" t="s">
        <v>146</v>
      </c>
      <c r="C8" s="211"/>
      <c r="D8" s="211"/>
      <c r="E8" s="211"/>
      <c r="F8" s="189" t="s">
        <v>117</v>
      </c>
      <c r="G8" s="189"/>
      <c r="H8" s="189"/>
      <c r="I8" s="189"/>
      <c r="J8" s="190"/>
      <c r="L8" s="14" t="s">
        <v>12</v>
      </c>
      <c r="M8" s="15" t="s">
        <v>13</v>
      </c>
      <c r="N8" s="15" t="s">
        <v>18</v>
      </c>
      <c r="O8" s="16" t="s">
        <v>21</v>
      </c>
      <c r="P8" s="16" t="s">
        <v>19</v>
      </c>
      <c r="Q8" s="15" t="s">
        <v>18</v>
      </c>
      <c r="R8" s="16" t="s">
        <v>15</v>
      </c>
      <c r="S8" s="16" t="s">
        <v>20</v>
      </c>
      <c r="T8" s="15" t="s">
        <v>18</v>
      </c>
      <c r="U8" s="16" t="s">
        <v>22</v>
      </c>
      <c r="V8" s="16" t="s">
        <v>23</v>
      </c>
      <c r="W8" s="15" t="s">
        <v>18</v>
      </c>
      <c r="X8" s="16" t="s">
        <v>21</v>
      </c>
      <c r="Y8" s="17" t="s">
        <v>19</v>
      </c>
    </row>
    <row r="9" spans="2:26" ht="33" customHeight="1">
      <c r="B9" s="207" t="s">
        <v>147</v>
      </c>
      <c r="C9" s="208"/>
      <c r="D9" s="208"/>
      <c r="E9" s="208"/>
      <c r="F9" s="209" t="s">
        <v>145</v>
      </c>
      <c r="G9" s="189"/>
      <c r="H9" s="189"/>
      <c r="I9" s="189"/>
      <c r="J9" s="190"/>
      <c r="L9" s="24">
        <v>8809879544118</v>
      </c>
      <c r="M9" s="18" t="s">
        <v>24</v>
      </c>
      <c r="N9" s="23">
        <f>O9+P9</f>
        <v>299</v>
      </c>
      <c r="O9" s="19">
        <v>299</v>
      </c>
      <c r="P9" s="19">
        <v>0</v>
      </c>
      <c r="Q9" s="116"/>
      <c r="R9" s="19">
        <v>0</v>
      </c>
      <c r="S9" s="19"/>
      <c r="T9" s="23">
        <f>U9+V9</f>
        <v>1</v>
      </c>
      <c r="U9" s="19">
        <v>1</v>
      </c>
      <c r="V9" s="19">
        <v>0</v>
      </c>
      <c r="W9" s="23">
        <f>N9+Q9-T9</f>
        <v>298</v>
      </c>
      <c r="X9" s="19">
        <v>298</v>
      </c>
      <c r="Y9" s="20"/>
      <c r="Z9" s="55"/>
    </row>
    <row r="10" spans="2:26" ht="33" customHeight="1">
      <c r="B10" s="187" t="s">
        <v>148</v>
      </c>
      <c r="C10" s="188"/>
      <c r="D10" s="188"/>
      <c r="E10" s="188"/>
      <c r="F10" s="189" t="s">
        <v>143</v>
      </c>
      <c r="G10" s="189"/>
      <c r="H10" s="189"/>
      <c r="I10" s="189"/>
      <c r="J10" s="190"/>
      <c r="L10" s="24">
        <v>8809879544101</v>
      </c>
      <c r="M10" s="18" t="s">
        <v>25</v>
      </c>
      <c r="N10" s="25">
        <f>O10+P10</f>
        <v>489</v>
      </c>
      <c r="O10" s="19">
        <v>489</v>
      </c>
      <c r="P10" s="19">
        <v>0</v>
      </c>
      <c r="Q10" s="19"/>
      <c r="R10" s="19"/>
      <c r="S10" s="19"/>
      <c r="T10" s="23">
        <f>U10+V10</f>
        <v>0</v>
      </c>
      <c r="U10" s="19">
        <v>0</v>
      </c>
      <c r="V10" s="19">
        <v>0</v>
      </c>
      <c r="W10" s="23">
        <f>X10-Y10</f>
        <v>489</v>
      </c>
      <c r="X10" s="19">
        <v>489</v>
      </c>
      <c r="Y10" s="20"/>
      <c r="Z10" s="55"/>
    </row>
    <row r="11" spans="2:26" ht="33" customHeight="1" thickBot="1">
      <c r="B11" s="191" t="s">
        <v>149</v>
      </c>
      <c r="C11" s="192"/>
      <c r="D11" s="192"/>
      <c r="E11" s="192"/>
      <c r="F11" s="193" t="s">
        <v>151</v>
      </c>
      <c r="G11" s="194"/>
      <c r="H11" s="194"/>
      <c r="I11" s="194"/>
      <c r="J11" s="195"/>
      <c r="L11" s="24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2:26" ht="18" thickBot="1">
      <c r="L12" s="57"/>
      <c r="M12" s="58" t="s">
        <v>75</v>
      </c>
      <c r="N12" s="60">
        <f t="shared" ref="N12:Y12" si="0">SUM(N9:N11)</f>
        <v>788</v>
      </c>
      <c r="O12" s="59">
        <f t="shared" si="0"/>
        <v>788</v>
      </c>
      <c r="P12" s="59">
        <f t="shared" si="0"/>
        <v>0</v>
      </c>
      <c r="Q12" s="59">
        <f t="shared" si="0"/>
        <v>0</v>
      </c>
      <c r="R12" s="59">
        <f t="shared" si="0"/>
        <v>0</v>
      </c>
      <c r="S12" s="59">
        <f t="shared" si="0"/>
        <v>0</v>
      </c>
      <c r="T12" s="59">
        <f t="shared" si="0"/>
        <v>1</v>
      </c>
      <c r="U12" s="60">
        <f t="shared" si="0"/>
        <v>1</v>
      </c>
      <c r="V12" s="59">
        <f t="shared" si="0"/>
        <v>0</v>
      </c>
      <c r="W12" s="60">
        <f t="shared" si="0"/>
        <v>787</v>
      </c>
      <c r="X12" s="59">
        <f t="shared" si="0"/>
        <v>787</v>
      </c>
      <c r="Y12" s="61">
        <f t="shared" si="0"/>
        <v>0</v>
      </c>
    </row>
    <row r="13" spans="2:26" ht="17" customHeight="1"/>
    <row r="14" spans="2:26" ht="18" customHeight="1" thickBot="1">
      <c r="B14" s="146" t="s">
        <v>160</v>
      </c>
      <c r="F14" s="127" t="s">
        <v>8</v>
      </c>
    </row>
    <row r="15" spans="2:26" ht="20" customHeight="1">
      <c r="B15" s="133" t="s">
        <v>120</v>
      </c>
      <c r="C15" s="134" t="s">
        <v>154</v>
      </c>
      <c r="D15" s="134" t="s">
        <v>158</v>
      </c>
      <c r="E15" s="134" t="s">
        <v>159</v>
      </c>
      <c r="F15" s="135" t="s">
        <v>123</v>
      </c>
    </row>
    <row r="16" spans="2:26" ht="17" customHeight="1">
      <c r="B16" s="206" t="s">
        <v>153</v>
      </c>
      <c r="C16" s="121" t="s">
        <v>155</v>
      </c>
      <c r="D16" s="132">
        <v>0.4</v>
      </c>
      <c r="E16" s="123">
        <f>J4*40%</f>
        <v>17288</v>
      </c>
      <c r="F16" s="136"/>
    </row>
    <row r="17" spans="2:6" ht="18" customHeight="1">
      <c r="B17" s="206"/>
      <c r="C17" s="121" t="s">
        <v>156</v>
      </c>
      <c r="D17" s="132">
        <v>0.3</v>
      </c>
      <c r="E17" s="123">
        <f>J4*30%</f>
        <v>12966</v>
      </c>
      <c r="F17" s="136"/>
    </row>
    <row r="18" spans="2:6">
      <c r="B18" s="206"/>
      <c r="C18" s="121" t="s">
        <v>157</v>
      </c>
      <c r="D18" s="132">
        <v>0.3</v>
      </c>
      <c r="E18" s="123">
        <f>J4*D18</f>
        <v>12966</v>
      </c>
      <c r="F18" s="136"/>
    </row>
    <row r="19" spans="2:6" ht="18" customHeight="1" thickBot="1">
      <c r="B19" s="182" t="s">
        <v>75</v>
      </c>
      <c r="C19" s="183"/>
      <c r="D19" s="138">
        <f>SUM(D16:D18)</f>
        <v>1</v>
      </c>
      <c r="E19" s="139">
        <f>SUM(E16:E18)</f>
        <v>43220</v>
      </c>
      <c r="F19" s="140"/>
    </row>
    <row r="20" spans="2:6" ht="18" customHeight="1">
      <c r="B20" s="129"/>
      <c r="D20" s="130"/>
      <c r="E20" s="131"/>
    </row>
    <row r="21" spans="2:6" ht="18" thickBot="1">
      <c r="B21" s="7" t="s">
        <v>119</v>
      </c>
      <c r="F21" s="127" t="s">
        <v>8</v>
      </c>
    </row>
    <row r="22" spans="2:6">
      <c r="B22" s="196" t="s">
        <v>118</v>
      </c>
      <c r="C22" s="198" t="s">
        <v>137</v>
      </c>
      <c r="D22" s="199"/>
      <c r="E22" s="199"/>
      <c r="F22" s="200"/>
    </row>
    <row r="23" spans="2:6">
      <c r="B23" s="197"/>
      <c r="C23" s="1" t="s">
        <v>161</v>
      </c>
      <c r="D23" s="1" t="s">
        <v>135</v>
      </c>
      <c r="E23" s="1" t="s">
        <v>136</v>
      </c>
      <c r="F23" s="124" t="s">
        <v>5</v>
      </c>
    </row>
    <row r="24" spans="2:6" ht="18" thickBot="1">
      <c r="B24" s="117">
        <f>B4</f>
        <v>46023</v>
      </c>
      <c r="C24" s="2">
        <v>1</v>
      </c>
      <c r="D24" s="3">
        <v>2650</v>
      </c>
      <c r="E24" s="3">
        <v>1430</v>
      </c>
      <c r="F24" s="125">
        <f>C24*(D24+E24)</f>
        <v>4080</v>
      </c>
    </row>
    <row r="25" spans="2:6">
      <c r="B25" s="26" t="s">
        <v>131</v>
      </c>
    </row>
    <row r="26" spans="2:6">
      <c r="B26" s="26" t="s">
        <v>139</v>
      </c>
    </row>
    <row r="27" spans="2:6" ht="18" thickBot="1">
      <c r="F27" s="127" t="s">
        <v>134</v>
      </c>
    </row>
    <row r="28" spans="2:6">
      <c r="B28" s="141" t="s">
        <v>120</v>
      </c>
      <c r="C28" s="142" t="s">
        <v>120</v>
      </c>
      <c r="D28" s="142" t="s">
        <v>121</v>
      </c>
      <c r="E28" s="142" t="s">
        <v>122</v>
      </c>
      <c r="F28" s="143" t="s">
        <v>123</v>
      </c>
    </row>
    <row r="29" spans="2:6">
      <c r="B29" s="184" t="s">
        <v>133</v>
      </c>
      <c r="C29" s="118" t="s">
        <v>124</v>
      </c>
      <c r="D29" s="119"/>
      <c r="E29" s="120" t="s">
        <v>125</v>
      </c>
      <c r="F29" s="144" t="s">
        <v>132</v>
      </c>
    </row>
    <row r="30" spans="2:6">
      <c r="B30" s="185"/>
      <c r="C30" s="118" t="s">
        <v>126</v>
      </c>
      <c r="D30" s="119">
        <v>0</v>
      </c>
      <c r="E30" s="120" t="s">
        <v>128</v>
      </c>
      <c r="F30" s="144" t="s">
        <v>132</v>
      </c>
    </row>
    <row r="31" spans="2:6">
      <c r="B31" s="185"/>
      <c r="C31" s="121" t="s">
        <v>127</v>
      </c>
      <c r="D31" s="122">
        <v>2500</v>
      </c>
      <c r="E31" s="123" t="s">
        <v>128</v>
      </c>
      <c r="F31" s="136" t="s">
        <v>130</v>
      </c>
    </row>
    <row r="32" spans="2:6" ht="18" thickBot="1">
      <c r="B32" s="186"/>
      <c r="C32" s="137" t="s">
        <v>129</v>
      </c>
      <c r="D32" s="145">
        <v>1300</v>
      </c>
      <c r="E32" s="139" t="s">
        <v>128</v>
      </c>
      <c r="F32" s="140" t="s">
        <v>138</v>
      </c>
    </row>
    <row r="35" spans="2:23">
      <c r="B35" s="7" t="s">
        <v>114</v>
      </c>
      <c r="W35" s="56"/>
    </row>
    <row r="36" spans="2:23">
      <c r="B36" s="174" t="s">
        <v>115</v>
      </c>
    </row>
    <row r="37" spans="2:23">
      <c r="B37" s="174" t="s">
        <v>116</v>
      </c>
    </row>
    <row r="38" spans="2:23">
      <c r="B38" s="26" t="s">
        <v>150</v>
      </c>
    </row>
    <row r="39" spans="2:23">
      <c r="B39" s="26" t="s">
        <v>152</v>
      </c>
    </row>
    <row r="40" spans="2:23">
      <c r="B40" s="26" t="s">
        <v>185</v>
      </c>
    </row>
  </sheetData>
  <mergeCells count="22">
    <mergeCell ref="Q6:V6"/>
    <mergeCell ref="W6:Y6"/>
    <mergeCell ref="N7:P7"/>
    <mergeCell ref="Q7:S7"/>
    <mergeCell ref="T7:V7"/>
    <mergeCell ref="W7:Y7"/>
    <mergeCell ref="N6:P6"/>
    <mergeCell ref="B7:E7"/>
    <mergeCell ref="F7:J7"/>
    <mergeCell ref="B16:B18"/>
    <mergeCell ref="B9:E9"/>
    <mergeCell ref="F9:J9"/>
    <mergeCell ref="B8:E8"/>
    <mergeCell ref="F8:J8"/>
    <mergeCell ref="B19:C19"/>
    <mergeCell ref="B29:B32"/>
    <mergeCell ref="B10:E10"/>
    <mergeCell ref="F10:J10"/>
    <mergeCell ref="B11:E11"/>
    <mergeCell ref="F11:J11"/>
    <mergeCell ref="B22:B23"/>
    <mergeCell ref="C22:F22"/>
  </mergeCells>
  <phoneticPr fontId="19" type="noConversion"/>
  <pageMargins left="0.7" right="0.7" top="0.75" bottom="0.75" header="0.3" footer="0.3"/>
  <pageSetup paperSize="256" orientation="portrait" horizontalDpi="203" verticalDpi="203" r:id="rId1"/>
  <ignoredErrors>
    <ignoredError sqref="C4 D4:H4 J4 F24" unlockedFormula="1"/>
    <ignoredError sqref="I4" formula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64A1-7837-5F4E-A543-C3DE55D5108D}">
  <dimension ref="B1:M66"/>
  <sheetViews>
    <sheetView topLeftCell="A9" workbookViewId="0">
      <selection activeCell="F66" sqref="F66"/>
    </sheetView>
  </sheetViews>
  <sheetFormatPr baseColWidth="10" defaultRowHeight="15"/>
  <cols>
    <col min="1" max="1" width="4.6640625" style="34" customWidth="1"/>
    <col min="2" max="2" width="12.6640625" style="48" customWidth="1"/>
    <col min="3" max="3" width="42.1640625" style="34" customWidth="1"/>
    <col min="4" max="6" width="10.83203125" style="34"/>
    <col min="7" max="7" width="10.83203125" style="48"/>
    <col min="8" max="8" width="10.83203125" style="34"/>
    <col min="9" max="9" width="11.33203125" style="34" bestFit="1" customWidth="1"/>
    <col min="10" max="10" width="10.83203125" style="34"/>
    <col min="11" max="11" width="10.83203125" style="50"/>
    <col min="12" max="12" width="15" style="34" customWidth="1"/>
    <col min="13" max="16384" width="10.83203125" style="34"/>
  </cols>
  <sheetData>
    <row r="1" spans="2:13" ht="35" customHeight="1">
      <c r="B1" s="151" t="s">
        <v>314</v>
      </c>
    </row>
    <row r="3" spans="2:13">
      <c r="B3" s="36"/>
      <c r="C3" s="33"/>
      <c r="D3" s="33"/>
      <c r="E3" s="33"/>
      <c r="F3" s="33"/>
      <c r="G3" s="36"/>
      <c r="H3" s="33"/>
      <c r="I3" s="33"/>
      <c r="J3" s="33"/>
      <c r="K3" s="51"/>
      <c r="L3" s="33"/>
    </row>
    <row r="4" spans="2:13" ht="16" thickBot="1">
      <c r="B4" s="147" t="s">
        <v>54</v>
      </c>
      <c r="C4" s="33"/>
      <c r="D4" s="33" t="s">
        <v>61</v>
      </c>
      <c r="E4" s="33"/>
      <c r="F4" s="33"/>
      <c r="G4" s="36"/>
      <c r="H4" s="33"/>
      <c r="I4" s="33"/>
      <c r="J4" s="33"/>
      <c r="K4" s="152" t="s">
        <v>77</v>
      </c>
      <c r="L4" s="33"/>
    </row>
    <row r="5" spans="2:13">
      <c r="B5" s="75" t="s">
        <v>55</v>
      </c>
      <c r="C5" s="76" t="s">
        <v>56</v>
      </c>
      <c r="D5" s="76" t="s">
        <v>60</v>
      </c>
      <c r="E5" s="77" t="s">
        <v>180</v>
      </c>
      <c r="F5" s="76" t="s">
        <v>0</v>
      </c>
      <c r="G5" s="66" t="s">
        <v>105</v>
      </c>
      <c r="H5" s="109" t="s">
        <v>98</v>
      </c>
      <c r="I5" s="158" t="s">
        <v>71</v>
      </c>
      <c r="J5" s="66" t="s">
        <v>70</v>
      </c>
      <c r="K5" s="112" t="s">
        <v>179</v>
      </c>
      <c r="L5" s="68" t="s">
        <v>95</v>
      </c>
    </row>
    <row r="6" spans="2:13">
      <c r="B6" s="78">
        <v>1</v>
      </c>
      <c r="C6" s="37" t="s">
        <v>57</v>
      </c>
      <c r="D6" s="38">
        <v>22000</v>
      </c>
      <c r="E6" s="44">
        <v>13200</v>
      </c>
      <c r="F6" s="39">
        <v>0.4</v>
      </c>
      <c r="G6" s="37">
        <f>'DB)몽슈슈'!I3</f>
        <v>0</v>
      </c>
      <c r="H6" s="110" t="s">
        <v>99</v>
      </c>
      <c r="I6" s="108">
        <f>D6*G6</f>
        <v>0</v>
      </c>
      <c r="J6" s="108">
        <f>D6*F6*G6</f>
        <v>0</v>
      </c>
      <c r="K6" s="54">
        <f>I6-J6</f>
        <v>0</v>
      </c>
      <c r="L6" s="113">
        <f>D6*G6</f>
        <v>0</v>
      </c>
    </row>
    <row r="7" spans="2:13">
      <c r="B7" s="78">
        <v>2</v>
      </c>
      <c r="C7" s="37" t="s">
        <v>58</v>
      </c>
      <c r="D7" s="38">
        <v>22000</v>
      </c>
      <c r="E7" s="44">
        <v>13200</v>
      </c>
      <c r="F7" s="39">
        <v>0.4</v>
      </c>
      <c r="G7" s="37">
        <f>'DB)몽슈슈'!I4</f>
        <v>0</v>
      </c>
      <c r="H7" s="110" t="s">
        <v>99</v>
      </c>
      <c r="I7" s="108">
        <f>D7*G7</f>
        <v>0</v>
      </c>
      <c r="J7" s="108">
        <f>D7*F7*G7</f>
        <v>0</v>
      </c>
      <c r="K7" s="54">
        <f>I7-J7</f>
        <v>0</v>
      </c>
      <c r="L7" s="113">
        <f>D7*G7</f>
        <v>0</v>
      </c>
    </row>
    <row r="8" spans="2:13" ht="16" thickBot="1">
      <c r="B8" s="79"/>
      <c r="C8" s="80" t="s">
        <v>75</v>
      </c>
      <c r="D8" s="81"/>
      <c r="E8" s="72"/>
      <c r="F8" s="82"/>
      <c r="G8" s="80">
        <f>SUM(G6:G7)</f>
        <v>0</v>
      </c>
      <c r="H8" s="111"/>
      <c r="I8" s="114">
        <f>SUM(I6:I7)</f>
        <v>0</v>
      </c>
      <c r="J8" s="114">
        <f>SUM(J6:J7)</f>
        <v>0</v>
      </c>
      <c r="K8" s="98">
        <f>SUM(K6:K7)</f>
        <v>0</v>
      </c>
      <c r="L8" s="115">
        <f>SUM(L6:L7)</f>
        <v>0</v>
      </c>
    </row>
    <row r="10" spans="2:13" hidden="1"/>
    <row r="11" spans="2:13" ht="16" hidden="1" thickBot="1">
      <c r="B11" s="147" t="s">
        <v>165</v>
      </c>
      <c r="K11" s="153" t="s">
        <v>78</v>
      </c>
    </row>
    <row r="12" spans="2:13" hidden="1">
      <c r="B12" s="148" t="s">
        <v>73</v>
      </c>
      <c r="C12" s="66" t="s">
        <v>74</v>
      </c>
      <c r="D12" s="66" t="s">
        <v>59</v>
      </c>
      <c r="E12" s="67" t="s">
        <v>72</v>
      </c>
      <c r="F12" s="66" t="s">
        <v>7</v>
      </c>
      <c r="G12" s="66" t="s">
        <v>105</v>
      </c>
      <c r="H12" s="68" t="s">
        <v>67</v>
      </c>
      <c r="I12" s="75" t="s">
        <v>68</v>
      </c>
      <c r="J12" s="66" t="s">
        <v>70</v>
      </c>
      <c r="K12" s="84" t="s">
        <v>71</v>
      </c>
      <c r="L12" s="85" t="s">
        <v>95</v>
      </c>
      <c r="M12" s="100" t="s">
        <v>97</v>
      </c>
    </row>
    <row r="13" spans="2:13" hidden="1">
      <c r="B13" s="149">
        <v>1</v>
      </c>
      <c r="C13" s="42" t="s">
        <v>62</v>
      </c>
      <c r="D13" s="43">
        <v>22000</v>
      </c>
      <c r="E13" s="44">
        <v>16500</v>
      </c>
      <c r="F13" s="45">
        <v>0.25</v>
      </c>
      <c r="G13" s="42"/>
      <c r="H13" s="69">
        <f>E13*G13</f>
        <v>0</v>
      </c>
      <c r="I13" s="101">
        <v>0.2</v>
      </c>
      <c r="J13" s="41">
        <f>H13*I13</f>
        <v>0</v>
      </c>
      <c r="K13" s="53">
        <f>H13-J13</f>
        <v>0</v>
      </c>
      <c r="L13" s="69">
        <f>D13*G13</f>
        <v>0</v>
      </c>
      <c r="M13" s="100">
        <f>G13</f>
        <v>0</v>
      </c>
    </row>
    <row r="14" spans="2:13" hidden="1">
      <c r="B14" s="149">
        <v>2</v>
      </c>
      <c r="C14" s="42" t="s">
        <v>63</v>
      </c>
      <c r="D14" s="43">
        <v>44000</v>
      </c>
      <c r="E14" s="44">
        <v>29900</v>
      </c>
      <c r="F14" s="45">
        <v>0.32</v>
      </c>
      <c r="G14" s="42"/>
      <c r="H14" s="69">
        <f>E14*G14</f>
        <v>0</v>
      </c>
      <c r="I14" s="101">
        <v>0.2</v>
      </c>
      <c r="J14" s="41">
        <f t="shared" ref="J14:J17" si="0">H14*I14</f>
        <v>0</v>
      </c>
      <c r="K14" s="53">
        <f t="shared" ref="K14:K17" si="1">H14-J14</f>
        <v>0</v>
      </c>
      <c r="L14" s="69">
        <f t="shared" ref="L14:L17" si="2">D14*G14</f>
        <v>0</v>
      </c>
      <c r="M14" s="100">
        <f>2*G14</f>
        <v>0</v>
      </c>
    </row>
    <row r="15" spans="2:13" hidden="1">
      <c r="B15" s="149">
        <v>3</v>
      </c>
      <c r="C15" s="42" t="s">
        <v>64</v>
      </c>
      <c r="D15" s="43">
        <v>66000</v>
      </c>
      <c r="E15" s="44">
        <v>42200</v>
      </c>
      <c r="F15" s="45">
        <v>0.36</v>
      </c>
      <c r="G15" s="42"/>
      <c r="H15" s="69">
        <f>E15*G15</f>
        <v>0</v>
      </c>
      <c r="I15" s="101">
        <v>0.2</v>
      </c>
      <c r="J15" s="41">
        <f t="shared" si="0"/>
        <v>0</v>
      </c>
      <c r="K15" s="53">
        <f t="shared" si="1"/>
        <v>0</v>
      </c>
      <c r="L15" s="69">
        <f t="shared" si="2"/>
        <v>0</v>
      </c>
      <c r="M15" s="100">
        <f>3*G15</f>
        <v>0</v>
      </c>
    </row>
    <row r="16" spans="2:13" hidden="1">
      <c r="B16" s="149">
        <v>4</v>
      </c>
      <c r="C16" s="42" t="s">
        <v>65</v>
      </c>
      <c r="D16" s="43">
        <v>66000</v>
      </c>
      <c r="E16" s="44">
        <v>42900</v>
      </c>
      <c r="F16" s="45">
        <v>0.35</v>
      </c>
      <c r="G16" s="42"/>
      <c r="H16" s="69">
        <f>E16*G16</f>
        <v>0</v>
      </c>
      <c r="I16" s="101">
        <v>0.2</v>
      </c>
      <c r="J16" s="41">
        <f t="shared" si="0"/>
        <v>0</v>
      </c>
      <c r="K16" s="53">
        <f t="shared" si="1"/>
        <v>0</v>
      </c>
      <c r="L16" s="69">
        <f t="shared" si="2"/>
        <v>0</v>
      </c>
      <c r="M16" s="100">
        <f>3*G16</f>
        <v>0</v>
      </c>
    </row>
    <row r="17" spans="2:13" hidden="1">
      <c r="B17" s="149">
        <v>5</v>
      </c>
      <c r="C17" s="42" t="s">
        <v>66</v>
      </c>
      <c r="D17" s="43">
        <v>132000</v>
      </c>
      <c r="E17" s="44">
        <v>79200</v>
      </c>
      <c r="F17" s="45">
        <v>0.4</v>
      </c>
      <c r="G17" s="42"/>
      <c r="H17" s="69">
        <f>E17*G17</f>
        <v>0</v>
      </c>
      <c r="I17" s="101">
        <v>0.2</v>
      </c>
      <c r="J17" s="41">
        <f t="shared" si="0"/>
        <v>0</v>
      </c>
      <c r="K17" s="53">
        <f t="shared" si="1"/>
        <v>0</v>
      </c>
      <c r="L17" s="69">
        <f t="shared" si="2"/>
        <v>0</v>
      </c>
      <c r="M17" s="100">
        <f>6*G17</f>
        <v>0</v>
      </c>
    </row>
    <row r="18" spans="2:13" ht="16" hidden="1" thickBot="1">
      <c r="B18" s="150"/>
      <c r="C18" s="70" t="s">
        <v>75</v>
      </c>
      <c r="D18" s="71"/>
      <c r="E18" s="72"/>
      <c r="F18" s="73"/>
      <c r="G18" s="70">
        <f>SUM(G13:G17)</f>
        <v>0</v>
      </c>
      <c r="H18" s="74">
        <f>SUM(H13:H17)</f>
        <v>0</v>
      </c>
      <c r="I18" s="102"/>
      <c r="J18" s="86">
        <f>SUM(J13:J17)</f>
        <v>0</v>
      </c>
      <c r="K18" s="90">
        <f t="shared" ref="K18" si="3">H18-J18</f>
        <v>0</v>
      </c>
      <c r="L18" s="88">
        <f>SUM(L13:L17)</f>
        <v>0</v>
      </c>
      <c r="M18" s="100">
        <f>SUM(M13:M17)</f>
        <v>0</v>
      </c>
    </row>
    <row r="19" spans="2:13" hidden="1"/>
    <row r="21" spans="2:13" ht="16" thickBot="1">
      <c r="B21" s="147" t="s">
        <v>76</v>
      </c>
      <c r="D21" s="34" t="s">
        <v>79</v>
      </c>
      <c r="K21" s="153" t="s">
        <v>78</v>
      </c>
    </row>
    <row r="22" spans="2:13">
      <c r="B22" s="148" t="s">
        <v>73</v>
      </c>
      <c r="C22" s="66" t="s">
        <v>74</v>
      </c>
      <c r="D22" s="66" t="s">
        <v>59</v>
      </c>
      <c r="E22" s="66" t="s">
        <v>80</v>
      </c>
      <c r="F22" s="66" t="s">
        <v>82</v>
      </c>
      <c r="G22" s="67" t="s">
        <v>81</v>
      </c>
      <c r="H22" s="66" t="s">
        <v>83</v>
      </c>
      <c r="I22" s="66" t="s">
        <v>105</v>
      </c>
      <c r="J22" s="66" t="s">
        <v>70</v>
      </c>
      <c r="K22" s="112" t="s">
        <v>179</v>
      </c>
      <c r="L22" s="85" t="s">
        <v>95</v>
      </c>
    </row>
    <row r="23" spans="2:13">
      <c r="B23" s="149">
        <v>1</v>
      </c>
      <c r="C23" s="37" t="s">
        <v>57</v>
      </c>
      <c r="D23" s="43">
        <v>22000</v>
      </c>
      <c r="E23" s="43">
        <f>D23-D23*F23</f>
        <v>13200</v>
      </c>
      <c r="F23" s="45">
        <v>0.4</v>
      </c>
      <c r="G23" s="44">
        <f>E23-E23*H23</f>
        <v>10560</v>
      </c>
      <c r="H23" s="45">
        <v>0.2</v>
      </c>
      <c r="I23" s="42">
        <v>0</v>
      </c>
      <c r="J23" s="41">
        <f>D23*0.52*I23</f>
        <v>0</v>
      </c>
      <c r="K23" s="54">
        <f>G23*I23</f>
        <v>0</v>
      </c>
      <c r="L23" s="69">
        <f>D23*I23</f>
        <v>0</v>
      </c>
    </row>
    <row r="24" spans="2:13">
      <c r="B24" s="149">
        <v>2</v>
      </c>
      <c r="C24" s="37" t="s">
        <v>58</v>
      </c>
      <c r="D24" s="43">
        <v>22000</v>
      </c>
      <c r="E24" s="43">
        <f>D24-D24*F24</f>
        <v>13200</v>
      </c>
      <c r="F24" s="45">
        <v>0.4</v>
      </c>
      <c r="G24" s="44">
        <f>E24-E24*H24</f>
        <v>10560</v>
      </c>
      <c r="H24" s="45">
        <v>0.2</v>
      </c>
      <c r="I24" s="42">
        <v>0</v>
      </c>
      <c r="J24" s="41">
        <f>D24*0.52*I24</f>
        <v>0</v>
      </c>
      <c r="K24" s="54">
        <f>G24*I24</f>
        <v>0</v>
      </c>
      <c r="L24" s="69">
        <f>D24*I24</f>
        <v>0</v>
      </c>
    </row>
    <row r="25" spans="2:13" ht="16" thickBot="1">
      <c r="B25" s="150"/>
      <c r="C25" s="70" t="s">
        <v>75</v>
      </c>
      <c r="D25" s="71"/>
      <c r="E25" s="71"/>
      <c r="F25" s="71"/>
      <c r="G25" s="72"/>
      <c r="H25" s="73"/>
      <c r="I25" s="70">
        <f>SUM(I23:I24)</f>
        <v>0</v>
      </c>
      <c r="J25" s="86">
        <f>SUM(J23:J24)</f>
        <v>0</v>
      </c>
      <c r="K25" s="87">
        <f>SUM(K23:K24)</f>
        <v>0</v>
      </c>
      <c r="L25" s="88">
        <f>SUM(L20:L24)</f>
        <v>0</v>
      </c>
    </row>
    <row r="27" spans="2:13">
      <c r="H27" s="49"/>
    </row>
    <row r="28" spans="2:13" ht="16" thickBot="1">
      <c r="B28" s="147" t="s">
        <v>84</v>
      </c>
      <c r="K28" s="50" t="s">
        <v>91</v>
      </c>
    </row>
    <row r="29" spans="2:13">
      <c r="B29" s="148" t="s">
        <v>73</v>
      </c>
      <c r="C29" s="66" t="s">
        <v>74</v>
      </c>
      <c r="D29" s="66" t="s">
        <v>59</v>
      </c>
      <c r="E29" s="66" t="s">
        <v>72</v>
      </c>
      <c r="F29" s="77" t="s">
        <v>180</v>
      </c>
      <c r="G29" s="66" t="s">
        <v>0</v>
      </c>
      <c r="H29" s="66" t="s">
        <v>105</v>
      </c>
      <c r="I29" s="158" t="s">
        <v>71</v>
      </c>
      <c r="J29" s="66" t="s">
        <v>70</v>
      </c>
      <c r="K29" s="112" t="s">
        <v>179</v>
      </c>
      <c r="L29" s="68" t="s">
        <v>95</v>
      </c>
    </row>
    <row r="30" spans="2:13">
      <c r="B30" s="149">
        <v>1</v>
      </c>
      <c r="C30" s="37" t="s">
        <v>164</v>
      </c>
      <c r="D30" s="43">
        <v>22000</v>
      </c>
      <c r="E30" s="43">
        <v>22000</v>
      </c>
      <c r="F30" s="44">
        <f>E30-E30*G30</f>
        <v>16500</v>
      </c>
      <c r="G30" s="45">
        <v>0.25</v>
      </c>
      <c r="H30" s="42">
        <v>1</v>
      </c>
      <c r="I30" s="47">
        <f>E30*H30</f>
        <v>22000</v>
      </c>
      <c r="J30" s="41">
        <f>E30*G30*H30</f>
        <v>5500</v>
      </c>
      <c r="K30" s="53">
        <f>I30-J30</f>
        <v>16500</v>
      </c>
      <c r="L30" s="89">
        <f>H30*D30</f>
        <v>22000</v>
      </c>
    </row>
    <row r="31" spans="2:13" ht="16" thickBot="1">
      <c r="B31" s="150"/>
      <c r="C31" s="70" t="s">
        <v>75</v>
      </c>
      <c r="D31" s="71"/>
      <c r="E31" s="71"/>
      <c r="F31" s="72"/>
      <c r="G31" s="73"/>
      <c r="H31" s="70">
        <f>SUM(H30:H30)</f>
        <v>1</v>
      </c>
      <c r="I31" s="86">
        <f>SUM(I30)</f>
        <v>22000</v>
      </c>
      <c r="J31" s="86">
        <f>SUM(J30)</f>
        <v>5500</v>
      </c>
      <c r="K31" s="90">
        <f>SUM(K30)</f>
        <v>16500</v>
      </c>
      <c r="L31" s="74">
        <f>SUM(L30)</f>
        <v>22000</v>
      </c>
    </row>
    <row r="34" spans="2:12" ht="16" thickBot="1">
      <c r="B34" s="147" t="s">
        <v>106</v>
      </c>
      <c r="K34" s="51" t="s">
        <v>77</v>
      </c>
    </row>
    <row r="35" spans="2:12">
      <c r="B35" s="148" t="s">
        <v>73</v>
      </c>
      <c r="C35" s="66" t="s">
        <v>74</v>
      </c>
      <c r="D35" s="66" t="s">
        <v>59</v>
      </c>
      <c r="E35" s="66" t="s">
        <v>72</v>
      </c>
      <c r="F35" s="77" t="s">
        <v>180</v>
      </c>
      <c r="G35" s="66" t="s">
        <v>0</v>
      </c>
      <c r="H35" s="66" t="s">
        <v>105</v>
      </c>
      <c r="I35" s="158" t="s">
        <v>71</v>
      </c>
      <c r="J35" s="66" t="s">
        <v>70</v>
      </c>
      <c r="K35" s="112" t="s">
        <v>179</v>
      </c>
      <c r="L35" s="68" t="s">
        <v>95</v>
      </c>
    </row>
    <row r="36" spans="2:12">
      <c r="B36" s="94">
        <v>1</v>
      </c>
      <c r="C36" s="42" t="s">
        <v>164</v>
      </c>
      <c r="D36" s="46">
        <v>22000</v>
      </c>
      <c r="E36" s="46">
        <v>22000</v>
      </c>
      <c r="F36" s="44">
        <f>E36-E36*G36</f>
        <v>15400</v>
      </c>
      <c r="G36" s="45">
        <v>0.3</v>
      </c>
      <c r="H36" s="42">
        <v>2</v>
      </c>
      <c r="I36" s="159">
        <f>E36*H36</f>
        <v>44000</v>
      </c>
      <c r="J36" s="108">
        <f>E36*G36*H36</f>
        <v>13200</v>
      </c>
      <c r="K36" s="54">
        <f>I36-J36</f>
        <v>30800</v>
      </c>
      <c r="L36" s="95"/>
    </row>
    <row r="37" spans="2:12">
      <c r="B37" s="94">
        <v>2</v>
      </c>
      <c r="C37" s="42" t="s">
        <v>58</v>
      </c>
      <c r="D37" s="46">
        <v>22000</v>
      </c>
      <c r="E37" s="46">
        <v>22000</v>
      </c>
      <c r="F37" s="44">
        <f>E37-E37*G37</f>
        <v>15400</v>
      </c>
      <c r="G37" s="45">
        <v>0.3</v>
      </c>
      <c r="H37" s="42">
        <v>0</v>
      </c>
      <c r="I37" s="159">
        <f>E37*H37</f>
        <v>0</v>
      </c>
      <c r="J37" s="108">
        <f>E37*G37*H37</f>
        <v>0</v>
      </c>
      <c r="K37" s="54"/>
      <c r="L37" s="95"/>
    </row>
    <row r="38" spans="2:12" ht="16" thickBot="1">
      <c r="B38" s="96"/>
      <c r="C38" s="70" t="s">
        <v>75</v>
      </c>
      <c r="D38" s="86"/>
      <c r="E38" s="86"/>
      <c r="F38" s="72"/>
      <c r="G38" s="73"/>
      <c r="H38" s="70">
        <f>SUM(H36:H37)</f>
        <v>2</v>
      </c>
      <c r="I38" s="86">
        <f>SUM(I36:I37)</f>
        <v>44000</v>
      </c>
      <c r="J38" s="86">
        <f>SUM(J36:J37)</f>
        <v>13200</v>
      </c>
      <c r="K38" s="98">
        <f>SUM(K36:K37)</f>
        <v>30800</v>
      </c>
      <c r="L38" s="99"/>
    </row>
    <row r="41" spans="2:12" ht="16" thickBot="1">
      <c r="B41" s="147" t="s">
        <v>85</v>
      </c>
      <c r="D41" s="34" t="s">
        <v>86</v>
      </c>
      <c r="K41" s="51" t="s">
        <v>77</v>
      </c>
    </row>
    <row r="42" spans="2:12">
      <c r="B42" s="148" t="s">
        <v>73</v>
      </c>
      <c r="C42" s="66" t="s">
        <v>74</v>
      </c>
      <c r="D42" s="66" t="s">
        <v>59</v>
      </c>
      <c r="E42" s="77" t="s">
        <v>180</v>
      </c>
      <c r="F42" s="66" t="s">
        <v>0</v>
      </c>
      <c r="G42" s="66" t="s">
        <v>105</v>
      </c>
      <c r="H42" s="66"/>
      <c r="I42" s="158" t="s">
        <v>71</v>
      </c>
      <c r="J42" s="76" t="s">
        <v>69</v>
      </c>
      <c r="K42" s="112" t="s">
        <v>179</v>
      </c>
      <c r="L42" s="68" t="s">
        <v>94</v>
      </c>
    </row>
    <row r="43" spans="2:12">
      <c r="B43" s="78">
        <v>1</v>
      </c>
      <c r="C43" s="37" t="s">
        <v>57</v>
      </c>
      <c r="D43" s="38">
        <v>22000</v>
      </c>
      <c r="E43" s="44">
        <f>D43-D43*F43</f>
        <v>14740</v>
      </c>
      <c r="F43" s="39">
        <v>0.33</v>
      </c>
      <c r="G43" s="37">
        <v>0</v>
      </c>
      <c r="H43" s="37"/>
      <c r="I43" s="40"/>
      <c r="J43" s="37"/>
      <c r="K43" s="52"/>
      <c r="L43" s="91"/>
    </row>
    <row r="44" spans="2:12">
      <c r="B44" s="78">
        <v>2</v>
      </c>
      <c r="C44" s="37" t="s">
        <v>58</v>
      </c>
      <c r="D44" s="38">
        <v>22000</v>
      </c>
      <c r="E44" s="44">
        <f>D44-D44*F44</f>
        <v>14740</v>
      </c>
      <c r="F44" s="39">
        <v>0.33</v>
      </c>
      <c r="G44" s="37">
        <v>0</v>
      </c>
      <c r="H44" s="37"/>
      <c r="I44" s="40"/>
      <c r="J44" s="37"/>
      <c r="K44" s="52"/>
      <c r="L44" s="91"/>
    </row>
    <row r="45" spans="2:12" ht="16" thickBot="1">
      <c r="B45" s="79"/>
      <c r="C45" s="80" t="s">
        <v>75</v>
      </c>
      <c r="D45" s="81"/>
      <c r="E45" s="72"/>
      <c r="F45" s="82"/>
      <c r="G45" s="80">
        <f>SUM(G43:G44)</f>
        <v>0</v>
      </c>
      <c r="H45" s="80"/>
      <c r="I45" s="97"/>
      <c r="J45" s="80"/>
      <c r="K45" s="83">
        <f>SUM(K43:K44)</f>
        <v>0</v>
      </c>
      <c r="L45" s="92"/>
    </row>
    <row r="48" spans="2:12" ht="16" thickBot="1">
      <c r="B48" s="147" t="s">
        <v>87</v>
      </c>
      <c r="D48" s="34" t="s">
        <v>89</v>
      </c>
      <c r="K48" s="50" t="s">
        <v>92</v>
      </c>
    </row>
    <row r="49" spans="2:12">
      <c r="B49" s="148" t="s">
        <v>73</v>
      </c>
      <c r="C49" s="66" t="s">
        <v>74</v>
      </c>
      <c r="D49" s="66" t="s">
        <v>59</v>
      </c>
      <c r="E49" s="67" t="s">
        <v>72</v>
      </c>
      <c r="F49" s="66" t="s">
        <v>7</v>
      </c>
      <c r="G49" s="66" t="s">
        <v>105</v>
      </c>
      <c r="H49" s="66" t="s">
        <v>178</v>
      </c>
      <c r="I49" s="158" t="s">
        <v>71</v>
      </c>
      <c r="J49" s="66" t="s">
        <v>69</v>
      </c>
      <c r="K49" s="112" t="s">
        <v>179</v>
      </c>
      <c r="L49" s="68" t="s">
        <v>94</v>
      </c>
    </row>
    <row r="50" spans="2:12">
      <c r="B50" s="94">
        <v>1</v>
      </c>
      <c r="C50" s="42" t="s">
        <v>57</v>
      </c>
      <c r="D50" s="46">
        <v>22000</v>
      </c>
      <c r="E50" s="44">
        <f>D50-D50*F50</f>
        <v>16500</v>
      </c>
      <c r="F50" s="45">
        <v>0.25</v>
      </c>
      <c r="G50" s="42"/>
      <c r="H50" s="47">
        <f>D50*F50*G50</f>
        <v>0</v>
      </c>
      <c r="I50" s="41">
        <f>E50*G50</f>
        <v>0</v>
      </c>
      <c r="J50" s="41">
        <v>0</v>
      </c>
      <c r="K50" s="54">
        <f>I50-J50</f>
        <v>0</v>
      </c>
      <c r="L50" s="89">
        <f>D50*G50</f>
        <v>0</v>
      </c>
    </row>
    <row r="51" spans="2:12">
      <c r="B51" s="94">
        <v>2</v>
      </c>
      <c r="C51" s="42" t="s">
        <v>58</v>
      </c>
      <c r="D51" s="46">
        <v>22000</v>
      </c>
      <c r="E51" s="44">
        <f>D51-D51*F51</f>
        <v>16500</v>
      </c>
      <c r="F51" s="45">
        <v>0.25</v>
      </c>
      <c r="G51" s="42"/>
      <c r="H51" s="47">
        <f>D51*F51*G51</f>
        <v>0</v>
      </c>
      <c r="I51" s="41">
        <f>E51*G51</f>
        <v>0</v>
      </c>
      <c r="J51" s="41">
        <v>0</v>
      </c>
      <c r="K51" s="54">
        <f>I51-J51</f>
        <v>0</v>
      </c>
      <c r="L51" s="89">
        <f>D51*G51</f>
        <v>0</v>
      </c>
    </row>
    <row r="52" spans="2:12" ht="16" thickBot="1">
      <c r="B52" s="96"/>
      <c r="C52" s="70" t="s">
        <v>75</v>
      </c>
      <c r="D52" s="86"/>
      <c r="E52" s="72"/>
      <c r="F52" s="70"/>
      <c r="G52" s="70">
        <f>SUM(G50:G51)</f>
        <v>0</v>
      </c>
      <c r="H52" s="86">
        <f>SUM(H50:H51)</f>
        <v>0</v>
      </c>
      <c r="I52" s="86">
        <f>SUM(I50:I51)</f>
        <v>0</v>
      </c>
      <c r="J52" s="70">
        <v>0</v>
      </c>
      <c r="K52" s="98">
        <f>SUM(K50:K51)</f>
        <v>0</v>
      </c>
      <c r="L52" s="74">
        <f>SUM(L50:L51)</f>
        <v>0</v>
      </c>
    </row>
    <row r="55" spans="2:12" ht="16" thickBot="1">
      <c r="B55" s="147" t="s">
        <v>90</v>
      </c>
    </row>
    <row r="56" spans="2:12">
      <c r="B56" s="148" t="s">
        <v>73</v>
      </c>
      <c r="C56" s="66" t="s">
        <v>74</v>
      </c>
      <c r="D56" s="66" t="s">
        <v>59</v>
      </c>
      <c r="E56" s="67" t="s">
        <v>88</v>
      </c>
      <c r="F56" s="66" t="s">
        <v>7</v>
      </c>
      <c r="G56" s="66" t="s">
        <v>0</v>
      </c>
      <c r="H56" s="66" t="s">
        <v>105</v>
      </c>
      <c r="I56" s="158" t="s">
        <v>71</v>
      </c>
      <c r="J56" s="66" t="s">
        <v>69</v>
      </c>
      <c r="K56" s="112" t="s">
        <v>179</v>
      </c>
      <c r="L56" s="68" t="s">
        <v>94</v>
      </c>
    </row>
    <row r="57" spans="2:12">
      <c r="B57" s="94">
        <v>1</v>
      </c>
      <c r="C57" s="42" t="s">
        <v>57</v>
      </c>
      <c r="D57" s="46">
        <v>22000</v>
      </c>
      <c r="E57" s="44">
        <f>D57-D57*F57</f>
        <v>22000</v>
      </c>
      <c r="F57" s="45"/>
      <c r="G57" s="45">
        <v>0.22</v>
      </c>
      <c r="H57" s="42"/>
      <c r="I57" s="47">
        <f>E57*H57</f>
        <v>0</v>
      </c>
      <c r="J57" s="41">
        <f>E57*G57*H57</f>
        <v>0</v>
      </c>
      <c r="K57" s="54">
        <f>I57-J57</f>
        <v>0</v>
      </c>
      <c r="L57" s="89">
        <f>H57*D57</f>
        <v>0</v>
      </c>
    </row>
    <row r="58" spans="2:12">
      <c r="B58" s="94">
        <v>2</v>
      </c>
      <c r="C58" s="42" t="s">
        <v>58</v>
      </c>
      <c r="D58" s="46">
        <v>22000</v>
      </c>
      <c r="E58" s="44">
        <f>D58-D58*F58</f>
        <v>22000</v>
      </c>
      <c r="F58" s="45"/>
      <c r="G58" s="45">
        <v>0.22</v>
      </c>
      <c r="H58" s="42"/>
      <c r="I58" s="47"/>
      <c r="J58" s="41">
        <f>E58*G58*H58</f>
        <v>0</v>
      </c>
      <c r="K58" s="54"/>
      <c r="L58" s="93"/>
    </row>
    <row r="59" spans="2:12" ht="16" thickBot="1">
      <c r="B59" s="96"/>
      <c r="C59" s="70" t="s">
        <v>75</v>
      </c>
      <c r="D59" s="86"/>
      <c r="E59" s="72"/>
      <c r="F59" s="70"/>
      <c r="G59" s="70"/>
      <c r="H59" s="70">
        <f>SUM(H57:H58)</f>
        <v>0</v>
      </c>
      <c r="I59" s="157">
        <f>SUM(I57:I58)</f>
        <v>0</v>
      </c>
      <c r="J59" s="71">
        <f>SUM(J57:J58)</f>
        <v>0</v>
      </c>
      <c r="K59" s="98">
        <f>SUM(K57:K58)</f>
        <v>0</v>
      </c>
      <c r="L59" s="156">
        <f>SUM(J59:K59)</f>
        <v>0</v>
      </c>
    </row>
    <row r="62" spans="2:12">
      <c r="J62" s="40" t="s">
        <v>96</v>
      </c>
      <c r="K62" s="62">
        <f>G8+M18+I25+H31+H38+G45+G52+H59</f>
        <v>3</v>
      </c>
      <c r="L62" s="40" t="s">
        <v>100</v>
      </c>
    </row>
    <row r="63" spans="2:12">
      <c r="J63" s="40" t="s">
        <v>95</v>
      </c>
      <c r="K63" s="63">
        <f>L8+L18+L25+L31+L38+L45+L52+L59</f>
        <v>22000</v>
      </c>
      <c r="L63" s="40" t="s">
        <v>101</v>
      </c>
    </row>
    <row r="64" spans="2:12">
      <c r="J64" s="40" t="s">
        <v>71</v>
      </c>
      <c r="K64" s="63">
        <f>I8+I31+I38+I45+I52+I59</f>
        <v>66000</v>
      </c>
      <c r="L64" s="40" t="s">
        <v>102</v>
      </c>
    </row>
    <row r="65" spans="10:12">
      <c r="J65" s="40" t="s">
        <v>93</v>
      </c>
      <c r="K65" s="63">
        <f>J8+J25+J31+J38+J45+J52+J59</f>
        <v>18700</v>
      </c>
      <c r="L65" s="40" t="s">
        <v>103</v>
      </c>
    </row>
    <row r="66" spans="10:12">
      <c r="J66" s="64" t="s">
        <v>179</v>
      </c>
      <c r="K66" s="65">
        <f>K8+K18+K25+K31+K38+K45+K52+K59</f>
        <v>47300</v>
      </c>
      <c r="L66" s="40" t="s">
        <v>104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D6F-5738-1947-9B50-3A1AE5675CA0}">
  <dimension ref="A1:T11"/>
  <sheetViews>
    <sheetView workbookViewId="0">
      <selection activeCell="G36" sqref="G36"/>
    </sheetView>
  </sheetViews>
  <sheetFormatPr baseColWidth="10" defaultRowHeight="17"/>
  <cols>
    <col min="2" max="2" width="9.5" bestFit="1" customWidth="1"/>
    <col min="3" max="3" width="20.33203125" customWidth="1"/>
    <col min="4" max="4" width="6.83203125" customWidth="1"/>
    <col min="5" max="5" width="15.83203125" style="30" customWidth="1"/>
    <col min="6" max="6" width="31.33203125" bestFit="1" customWidth="1"/>
    <col min="8" max="8" width="8.6640625" style="32" customWidth="1"/>
    <col min="9" max="9" width="10.83203125" customWidth="1"/>
    <col min="10" max="10" width="10.83203125" style="32"/>
    <col min="11" max="11" width="10.83203125" customWidth="1"/>
    <col min="13" max="13" width="15.33203125" bestFit="1" customWidth="1"/>
    <col min="14" max="15" width="10.83203125" style="32"/>
    <col min="17" max="17" width="10.83203125" style="26"/>
    <col min="18" max="18" width="20" style="26" bestFit="1" customWidth="1"/>
    <col min="19" max="19" width="17.33203125" style="26" customWidth="1"/>
    <col min="20" max="20" width="23.1640625" bestFit="1" customWidth="1"/>
  </cols>
  <sheetData>
    <row r="1" spans="1:20">
      <c r="A1" s="161" t="s">
        <v>184</v>
      </c>
      <c r="B1" s="160" t="s">
        <v>26</v>
      </c>
      <c r="C1" s="160" t="s">
        <v>27</v>
      </c>
      <c r="D1" s="160" t="s">
        <v>28</v>
      </c>
      <c r="E1" s="161" t="s">
        <v>29</v>
      </c>
      <c r="F1" s="160" t="s">
        <v>30</v>
      </c>
      <c r="G1" s="160" t="s">
        <v>31</v>
      </c>
      <c r="H1" s="162" t="s">
        <v>32</v>
      </c>
      <c r="I1" s="160" t="s">
        <v>33</v>
      </c>
      <c r="J1" s="162" t="s">
        <v>34</v>
      </c>
      <c r="K1" s="160" t="s">
        <v>35</v>
      </c>
      <c r="L1" s="160" t="s">
        <v>36</v>
      </c>
      <c r="M1" s="160" t="s">
        <v>37</v>
      </c>
      <c r="N1" s="162" t="s">
        <v>38</v>
      </c>
      <c r="O1" s="162" t="s">
        <v>39</v>
      </c>
      <c r="P1" s="160" t="s">
        <v>40</v>
      </c>
      <c r="Q1" s="160" t="s">
        <v>45</v>
      </c>
      <c r="R1" s="160" t="s">
        <v>53</v>
      </c>
      <c r="S1" s="160" t="s">
        <v>51</v>
      </c>
      <c r="T1" s="160" t="s">
        <v>52</v>
      </c>
    </row>
    <row r="2" spans="1:20">
      <c r="A2" s="161">
        <v>1</v>
      </c>
      <c r="B2" s="163">
        <v>46037</v>
      </c>
      <c r="C2" s="160" t="s">
        <v>315</v>
      </c>
      <c r="D2" s="166" t="s">
        <v>41</v>
      </c>
      <c r="E2" s="161">
        <v>8809879544118</v>
      </c>
      <c r="F2" s="160" t="s">
        <v>24</v>
      </c>
      <c r="G2" s="160" t="s">
        <v>42</v>
      </c>
      <c r="H2" s="179">
        <v>0</v>
      </c>
      <c r="I2" s="160">
        <v>0</v>
      </c>
      <c r="J2" s="179">
        <v>1</v>
      </c>
      <c r="K2" s="160">
        <v>0</v>
      </c>
      <c r="L2" s="160" t="s">
        <v>43</v>
      </c>
      <c r="M2" s="160" t="s">
        <v>84</v>
      </c>
      <c r="N2" s="162">
        <v>22000</v>
      </c>
      <c r="O2" s="162">
        <v>22000</v>
      </c>
      <c r="P2" s="160" t="s">
        <v>44</v>
      </c>
      <c r="Q2" s="160" t="s">
        <v>193</v>
      </c>
      <c r="R2" s="160" t="s">
        <v>316</v>
      </c>
      <c r="S2" s="237">
        <v>2026011584200310</v>
      </c>
      <c r="T2" s="236">
        <v>0.25</v>
      </c>
    </row>
    <row r="3" spans="1:20">
      <c r="A3" s="161">
        <v>2</v>
      </c>
      <c r="B3" s="163"/>
      <c r="C3" s="160"/>
      <c r="D3" s="166"/>
      <c r="E3" s="161"/>
      <c r="F3" s="160"/>
      <c r="G3" s="160"/>
      <c r="H3" s="180"/>
      <c r="I3" s="160"/>
      <c r="J3" s="180"/>
      <c r="K3" s="160"/>
      <c r="L3" s="160"/>
      <c r="M3" s="160"/>
      <c r="N3" s="180"/>
      <c r="O3" s="180"/>
      <c r="P3" s="160"/>
      <c r="Q3" s="160"/>
      <c r="R3" s="160"/>
      <c r="S3" s="160"/>
      <c r="T3" s="163"/>
    </row>
    <row r="4" spans="1:20">
      <c r="A4" s="161">
        <v>3</v>
      </c>
      <c r="B4" s="163"/>
      <c r="C4" s="160"/>
      <c r="D4" s="166"/>
      <c r="E4" s="161"/>
      <c r="F4" s="160"/>
      <c r="G4" s="160"/>
      <c r="H4" s="180"/>
      <c r="I4" s="160"/>
      <c r="J4" s="180"/>
      <c r="K4" s="160"/>
      <c r="L4" s="160"/>
      <c r="M4" s="160"/>
      <c r="N4" s="180"/>
      <c r="O4" s="180"/>
      <c r="P4" s="160"/>
      <c r="Q4" s="160"/>
      <c r="R4" s="160"/>
      <c r="S4" s="160"/>
      <c r="T4" s="163"/>
    </row>
    <row r="5" spans="1:20">
      <c r="A5" s="161">
        <v>4</v>
      </c>
      <c r="B5" s="163"/>
      <c r="C5" s="160"/>
      <c r="D5" s="166"/>
      <c r="E5" s="161"/>
      <c r="F5" s="160"/>
      <c r="G5" s="160"/>
      <c r="H5" s="180"/>
      <c r="I5" s="160"/>
      <c r="J5" s="180"/>
      <c r="K5" s="160"/>
      <c r="L5" s="160"/>
      <c r="M5" s="160"/>
      <c r="N5" s="180"/>
      <c r="O5" s="180"/>
      <c r="P5" s="160"/>
      <c r="Q5" s="160"/>
      <c r="R5" s="160"/>
      <c r="S5" s="160"/>
      <c r="T5" s="163"/>
    </row>
    <row r="6" spans="1:20">
      <c r="A6" s="161">
        <v>5</v>
      </c>
      <c r="B6" s="163"/>
      <c r="C6" s="160"/>
      <c r="D6" s="166"/>
      <c r="E6" s="161"/>
      <c r="F6" s="160"/>
      <c r="G6" s="160"/>
      <c r="H6" s="180"/>
      <c r="I6" s="160"/>
      <c r="J6" s="180"/>
      <c r="K6" s="160"/>
      <c r="L6" s="160"/>
      <c r="M6" s="160"/>
      <c r="N6" s="180"/>
      <c r="O6" s="180"/>
      <c r="P6" s="160"/>
      <c r="Q6" s="160"/>
      <c r="R6" s="160"/>
      <c r="S6" s="164"/>
      <c r="T6" s="163"/>
    </row>
    <row r="7" spans="1:20">
      <c r="A7" s="161">
        <v>6</v>
      </c>
      <c r="B7" s="163"/>
      <c r="C7" s="160"/>
      <c r="D7" s="166"/>
      <c r="E7" s="161"/>
      <c r="F7" s="160"/>
      <c r="G7" s="160"/>
      <c r="H7" s="180"/>
      <c r="I7" s="160"/>
      <c r="J7" s="180"/>
      <c r="K7" s="160"/>
      <c r="L7" s="160"/>
      <c r="M7" s="160"/>
      <c r="N7" s="180"/>
      <c r="O7" s="180"/>
      <c r="P7" s="160"/>
      <c r="Q7" s="160"/>
      <c r="R7" s="160"/>
      <c r="S7" s="160"/>
      <c r="T7" s="163"/>
    </row>
    <row r="8" spans="1:20">
      <c r="A8" s="161">
        <v>7</v>
      </c>
      <c r="B8" s="163"/>
      <c r="C8" s="160"/>
      <c r="D8" s="166"/>
      <c r="E8" s="161"/>
      <c r="F8" s="160"/>
      <c r="G8" s="160"/>
      <c r="H8" s="180"/>
      <c r="I8" s="160"/>
      <c r="J8" s="180"/>
      <c r="K8" s="160"/>
      <c r="L8" s="160"/>
      <c r="M8" s="160"/>
      <c r="N8" s="180"/>
      <c r="O8" s="180"/>
      <c r="P8" s="160"/>
      <c r="Q8" s="160"/>
      <c r="R8" s="160"/>
      <c r="S8" s="160"/>
      <c r="T8" s="163"/>
    </row>
    <row r="9" spans="1:20">
      <c r="A9" s="161">
        <v>8</v>
      </c>
      <c r="B9" s="163"/>
      <c r="C9" s="160"/>
      <c r="D9" s="166"/>
      <c r="E9" s="161"/>
      <c r="F9" s="160"/>
      <c r="G9" s="160"/>
      <c r="H9" s="180"/>
      <c r="I9" s="160"/>
      <c r="J9" s="180"/>
      <c r="K9" s="160"/>
      <c r="L9" s="160"/>
      <c r="M9" s="160"/>
      <c r="N9" s="180"/>
      <c r="O9" s="180"/>
      <c r="P9" s="160"/>
      <c r="Q9" s="160"/>
      <c r="R9" s="181"/>
      <c r="S9" s="160"/>
      <c r="T9" s="163"/>
    </row>
    <row r="11" spans="1:20">
      <c r="A11" s="165" t="s">
        <v>183</v>
      </c>
      <c r="B11" s="146">
        <v>1</v>
      </c>
      <c r="C11" s="32"/>
    </row>
  </sheetData>
  <autoFilter ref="B1:T9" xr:uid="{E9A5AD6F-5738-1947-9B50-3A1AE5675CA0}"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BA2-6E99-7843-A69C-CEB3F18A03E3}">
  <dimension ref="A1:N17"/>
  <sheetViews>
    <sheetView workbookViewId="0">
      <selection activeCell="E20" sqref="E20"/>
    </sheetView>
  </sheetViews>
  <sheetFormatPr baseColWidth="10" defaultRowHeight="15"/>
  <cols>
    <col min="1" max="1" width="19" style="34" bestFit="1" customWidth="1"/>
    <col min="2" max="2" width="21.1640625" style="34" bestFit="1" customWidth="1"/>
    <col min="3" max="3" width="17.6640625" style="34" bestFit="1" customWidth="1"/>
    <col min="4" max="4" width="11" style="48" bestFit="1" customWidth="1"/>
    <col min="5" max="5" width="55.1640625" style="34" bestFit="1" customWidth="1"/>
    <col min="6" max="6" width="42.5" style="34" bestFit="1" customWidth="1"/>
    <col min="7" max="8" width="13.6640625" style="34" bestFit="1" customWidth="1"/>
    <col min="9" max="9" width="13.5" style="34" customWidth="1"/>
    <col min="10" max="10" width="15.33203125" style="34" bestFit="1" customWidth="1"/>
    <col min="11" max="11" width="10.83203125" style="34"/>
    <col min="12" max="13" width="12.6640625" style="34" bestFit="1" customWidth="1"/>
    <col min="14" max="14" width="18.6640625" style="34" bestFit="1" customWidth="1"/>
    <col min="15" max="16384" width="10.83203125" style="34"/>
  </cols>
  <sheetData>
    <row r="1" spans="1:14">
      <c r="A1" s="103" t="s">
        <v>46</v>
      </c>
      <c r="B1" s="103" t="s">
        <v>9</v>
      </c>
      <c r="C1" s="103" t="s">
        <v>47</v>
      </c>
      <c r="D1" s="103" t="s">
        <v>6</v>
      </c>
      <c r="E1" s="103" t="s">
        <v>48</v>
      </c>
      <c r="F1" s="103" t="s">
        <v>50</v>
      </c>
      <c r="G1" s="103" t="s">
        <v>166</v>
      </c>
      <c r="H1" s="103" t="s">
        <v>174</v>
      </c>
      <c r="I1" s="103" t="s">
        <v>175</v>
      </c>
      <c r="J1" s="103" t="s">
        <v>176</v>
      </c>
      <c r="K1" s="103" t="s">
        <v>177</v>
      </c>
      <c r="L1" s="103" t="s">
        <v>194</v>
      </c>
      <c r="M1" s="103" t="s">
        <v>195</v>
      </c>
      <c r="N1" s="103" t="s">
        <v>196</v>
      </c>
    </row>
    <row r="2" spans="1:14">
      <c r="A2" s="35">
        <v>46060.416168981479</v>
      </c>
      <c r="B2" s="26" t="s">
        <v>197</v>
      </c>
      <c r="C2" s="26" t="s">
        <v>198</v>
      </c>
      <c r="D2" s="26">
        <v>1</v>
      </c>
      <c r="E2" s="26" t="s">
        <v>49</v>
      </c>
      <c r="F2" s="26"/>
      <c r="G2" s="225">
        <v>22000</v>
      </c>
      <c r="H2" s="225">
        <v>22000</v>
      </c>
      <c r="I2" s="34">
        <v>0</v>
      </c>
      <c r="J2" s="34">
        <v>0</v>
      </c>
      <c r="K2" s="34">
        <v>0</v>
      </c>
      <c r="L2" s="35">
        <v>46062.676412037035</v>
      </c>
      <c r="M2" s="35">
        <v>46064.397696759261</v>
      </c>
      <c r="N2" s="26">
        <v>9916</v>
      </c>
    </row>
    <row r="3" spans="1:14">
      <c r="A3" s="35">
        <v>46064.409143518518</v>
      </c>
      <c r="B3" s="26" t="s">
        <v>199</v>
      </c>
      <c r="C3" s="26" t="s">
        <v>200</v>
      </c>
      <c r="D3" s="26">
        <v>1</v>
      </c>
      <c r="E3" s="26" t="s">
        <v>201</v>
      </c>
      <c r="F3" s="26" t="s">
        <v>202</v>
      </c>
      <c r="G3" s="225">
        <v>22000</v>
      </c>
      <c r="H3" s="225">
        <v>0</v>
      </c>
      <c r="L3" s="35">
        <v>46064.712592592594</v>
      </c>
      <c r="M3" s="35">
        <v>46065.740173611113</v>
      </c>
      <c r="N3" s="26" t="str">
        <f>"0188"</f>
        <v>0188</v>
      </c>
    </row>
    <row r="4" spans="1:14">
      <c r="A4" s="35">
        <v>46064.409351851849</v>
      </c>
      <c r="B4" s="26" t="s">
        <v>203</v>
      </c>
      <c r="C4" s="26" t="s">
        <v>204</v>
      </c>
      <c r="D4" s="26">
        <v>1</v>
      </c>
      <c r="E4" s="26" t="s">
        <v>201</v>
      </c>
      <c r="F4" s="26" t="s">
        <v>202</v>
      </c>
      <c r="G4" s="225">
        <v>22000</v>
      </c>
      <c r="H4" s="225">
        <v>0</v>
      </c>
      <c r="L4" s="35">
        <v>46064.712592592594</v>
      </c>
      <c r="M4" s="35">
        <v>46065.598124999997</v>
      </c>
      <c r="N4" s="26">
        <v>2898</v>
      </c>
    </row>
    <row r="5" spans="1:14">
      <c r="A5" s="35">
        <v>46064.415625000001</v>
      </c>
      <c r="B5" s="26" t="s">
        <v>205</v>
      </c>
      <c r="C5" s="26" t="s">
        <v>206</v>
      </c>
      <c r="D5" s="26">
        <v>1</v>
      </c>
      <c r="E5" s="26" t="s">
        <v>201</v>
      </c>
      <c r="F5" s="26" t="s">
        <v>202</v>
      </c>
      <c r="G5" s="225">
        <v>22000</v>
      </c>
      <c r="H5" s="225">
        <v>0</v>
      </c>
      <c r="L5" s="35">
        <v>46064.712592592594</v>
      </c>
      <c r="M5" s="35">
        <v>46065.903506944444</v>
      </c>
      <c r="N5" s="26">
        <v>9544</v>
      </c>
    </row>
    <row r="6" spans="1:14">
      <c r="A6" s="35">
        <v>46064.415902777779</v>
      </c>
      <c r="B6" s="26" t="s">
        <v>207</v>
      </c>
      <c r="C6" s="26" t="s">
        <v>208</v>
      </c>
      <c r="D6" s="26">
        <v>1</v>
      </c>
      <c r="E6" s="26" t="s">
        <v>201</v>
      </c>
      <c r="F6" s="26" t="s">
        <v>202</v>
      </c>
      <c r="G6" s="225">
        <v>22000</v>
      </c>
      <c r="H6" s="225">
        <v>0</v>
      </c>
      <c r="L6" s="35">
        <v>46064.712592592594</v>
      </c>
      <c r="M6" s="35">
        <v>46066.376296296294</v>
      </c>
      <c r="N6" s="26">
        <v>4623</v>
      </c>
    </row>
    <row r="7" spans="1:14">
      <c r="A7" s="35">
        <v>46064.416226851848</v>
      </c>
      <c r="B7" s="26" t="s">
        <v>209</v>
      </c>
      <c r="C7" s="26" t="s">
        <v>210</v>
      </c>
      <c r="D7" s="26">
        <v>1</v>
      </c>
      <c r="E7" s="26" t="s">
        <v>201</v>
      </c>
      <c r="F7" s="26" t="s">
        <v>202</v>
      </c>
      <c r="G7" s="225">
        <v>22000</v>
      </c>
      <c r="H7" s="225">
        <v>0</v>
      </c>
      <c r="L7" s="35">
        <v>46064.712592592594</v>
      </c>
      <c r="M7" s="35">
        <v>46065.74255787037</v>
      </c>
      <c r="N7" s="26" t="str">
        <f>"0048"</f>
        <v>0048</v>
      </c>
    </row>
    <row r="8" spans="1:14">
      <c r="A8" s="35">
        <v>46064.419189814813</v>
      </c>
      <c r="B8" s="26" t="s">
        <v>211</v>
      </c>
      <c r="C8" s="26" t="s">
        <v>212</v>
      </c>
      <c r="D8" s="26">
        <v>1</v>
      </c>
      <c r="E8" s="26" t="s">
        <v>201</v>
      </c>
      <c r="F8" s="26" t="s">
        <v>202</v>
      </c>
      <c r="G8" s="225">
        <v>22000</v>
      </c>
      <c r="H8" s="225">
        <v>0</v>
      </c>
      <c r="L8" s="35">
        <v>46064.712592592594</v>
      </c>
      <c r="M8" s="35">
        <v>46065.764594907407</v>
      </c>
      <c r="N8" s="26">
        <v>6287</v>
      </c>
    </row>
    <row r="9" spans="1:14">
      <c r="A9" s="35">
        <v>46064.422314814816</v>
      </c>
      <c r="B9" s="26" t="s">
        <v>213</v>
      </c>
      <c r="C9" s="26" t="s">
        <v>214</v>
      </c>
      <c r="D9" s="26">
        <v>1</v>
      </c>
      <c r="E9" s="26" t="s">
        <v>201</v>
      </c>
      <c r="F9" s="26" t="s">
        <v>202</v>
      </c>
      <c r="G9" s="225">
        <v>22000</v>
      </c>
      <c r="H9" s="225">
        <v>0</v>
      </c>
      <c r="L9" s="35">
        <v>46064.712592592594</v>
      </c>
      <c r="M9" s="35">
        <v>46065.515115740738</v>
      </c>
      <c r="N9" s="26">
        <v>7346</v>
      </c>
    </row>
    <row r="10" spans="1:14">
      <c r="A10" s="35">
        <v>46064.42800925926</v>
      </c>
      <c r="B10" s="26" t="s">
        <v>215</v>
      </c>
      <c r="C10" s="26" t="s">
        <v>216</v>
      </c>
      <c r="D10" s="26">
        <v>1</v>
      </c>
      <c r="E10" s="26" t="s">
        <v>201</v>
      </c>
      <c r="F10" s="26" t="s">
        <v>202</v>
      </c>
      <c r="G10" s="225">
        <v>22000</v>
      </c>
      <c r="H10" s="225">
        <v>0</v>
      </c>
      <c r="L10" s="35">
        <v>46064.712592592594</v>
      </c>
      <c r="M10" s="35">
        <v>46065.619803240741</v>
      </c>
      <c r="N10" s="26">
        <v>4323</v>
      </c>
    </row>
    <row r="11" spans="1:14">
      <c r="A11" s="35">
        <v>46064.438842592594</v>
      </c>
      <c r="B11" s="26" t="s">
        <v>217</v>
      </c>
      <c r="C11" s="26" t="s">
        <v>218</v>
      </c>
      <c r="D11" s="26">
        <v>1</v>
      </c>
      <c r="E11" s="26" t="s">
        <v>201</v>
      </c>
      <c r="F11" s="26" t="s">
        <v>202</v>
      </c>
      <c r="G11" s="225">
        <v>22000</v>
      </c>
      <c r="H11" s="225">
        <v>0</v>
      </c>
      <c r="L11" s="35">
        <v>46064.712592592594</v>
      </c>
      <c r="M11" s="35">
        <v>46065.68644675926</v>
      </c>
      <c r="N11" s="26">
        <v>8182</v>
      </c>
    </row>
    <row r="12" spans="1:14">
      <c r="A12" s="35">
        <v>46064.442141203705</v>
      </c>
      <c r="B12" s="26" t="s">
        <v>219</v>
      </c>
      <c r="C12" s="26" t="s">
        <v>220</v>
      </c>
      <c r="D12" s="26">
        <v>1</v>
      </c>
      <c r="E12" s="26" t="s">
        <v>201</v>
      </c>
      <c r="F12" s="26" t="s">
        <v>202</v>
      </c>
      <c r="G12" s="225">
        <v>22000</v>
      </c>
      <c r="H12" s="225">
        <v>0</v>
      </c>
      <c r="L12" s="35">
        <v>46064.712592592594</v>
      </c>
      <c r="M12" s="35">
        <v>46065.560416666667</v>
      </c>
      <c r="N12" s="26">
        <v>7485</v>
      </c>
    </row>
    <row r="13" spans="1:14">
      <c r="A13" s="35">
        <v>46064.442627314813</v>
      </c>
      <c r="B13" s="26" t="s">
        <v>221</v>
      </c>
      <c r="C13" s="26" t="s">
        <v>222</v>
      </c>
      <c r="D13" s="26">
        <v>1</v>
      </c>
      <c r="E13" s="26" t="s">
        <v>201</v>
      </c>
      <c r="F13" s="26" t="s">
        <v>202</v>
      </c>
      <c r="G13" s="225">
        <v>22000</v>
      </c>
      <c r="H13" s="225">
        <v>0</v>
      </c>
      <c r="L13" s="35">
        <v>46064.712592592594</v>
      </c>
      <c r="M13" s="35">
        <v>46065.560543981483</v>
      </c>
      <c r="N13" s="26">
        <v>9334</v>
      </c>
    </row>
    <row r="14" spans="1:14">
      <c r="A14" s="35">
        <v>46064.559756944444</v>
      </c>
      <c r="B14" s="26" t="s">
        <v>223</v>
      </c>
      <c r="C14" s="26" t="s">
        <v>224</v>
      </c>
      <c r="D14" s="26">
        <v>1</v>
      </c>
      <c r="E14" s="26" t="s">
        <v>201</v>
      </c>
      <c r="F14" s="26" t="s">
        <v>202</v>
      </c>
      <c r="G14" s="225">
        <v>22000</v>
      </c>
      <c r="H14" s="225">
        <v>0</v>
      </c>
      <c r="L14" s="35">
        <v>46064.712592592594</v>
      </c>
      <c r="M14" s="35">
        <v>46065.56040509259</v>
      </c>
      <c r="N14" s="26">
        <v>6151</v>
      </c>
    </row>
    <row r="15" spans="1:14">
      <c r="A15" s="35">
        <v>46064.764641203707</v>
      </c>
      <c r="B15" s="26" t="s">
        <v>225</v>
      </c>
      <c r="C15" s="26" t="s">
        <v>226</v>
      </c>
      <c r="D15" s="26">
        <v>1</v>
      </c>
      <c r="E15" s="26" t="s">
        <v>201</v>
      </c>
      <c r="F15" s="26" t="s">
        <v>202</v>
      </c>
      <c r="G15" s="225">
        <v>22000</v>
      </c>
      <c r="H15" s="225">
        <v>0</v>
      </c>
      <c r="L15" s="35">
        <v>46065.557037037041</v>
      </c>
      <c r="M15" s="35">
        <v>46066.562256944446</v>
      </c>
      <c r="N15" s="26">
        <v>2900</v>
      </c>
    </row>
    <row r="16" spans="1:14">
      <c r="A16" s="35">
        <v>46065.555821759262</v>
      </c>
      <c r="B16" s="26" t="s">
        <v>227</v>
      </c>
      <c r="C16" s="26" t="s">
        <v>228</v>
      </c>
      <c r="D16" s="26">
        <v>1</v>
      </c>
      <c r="E16" s="26" t="s">
        <v>201</v>
      </c>
      <c r="F16" s="26" t="s">
        <v>202</v>
      </c>
      <c r="G16" s="225">
        <v>22000</v>
      </c>
      <c r="H16" s="225">
        <v>0</v>
      </c>
      <c r="L16" s="35">
        <v>46072.606122685182</v>
      </c>
      <c r="M16" s="35">
        <v>46073.769548611112</v>
      </c>
      <c r="N16" s="26">
        <v>9437</v>
      </c>
    </row>
    <row r="17" spans="1:14">
      <c r="A17" s="35">
        <v>46065.850393518522</v>
      </c>
      <c r="B17" s="26" t="s">
        <v>229</v>
      </c>
      <c r="C17" s="26" t="s">
        <v>230</v>
      </c>
      <c r="D17" s="26">
        <v>1</v>
      </c>
      <c r="E17" s="26" t="s">
        <v>201</v>
      </c>
      <c r="F17" s="26" t="s">
        <v>202</v>
      </c>
      <c r="G17" s="225">
        <v>22000</v>
      </c>
      <c r="H17" s="225">
        <v>0</v>
      </c>
      <c r="L17" s="35">
        <v>46072.606122685182</v>
      </c>
      <c r="M17" s="35">
        <v>46073.712581018517</v>
      </c>
      <c r="N17" s="26">
        <v>6255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3F2-AD04-EF45-A0B7-CBEC1CA6BE6C}">
  <dimension ref="A1:P5"/>
  <sheetViews>
    <sheetView workbookViewId="0">
      <selection activeCell="L30" sqref="L30"/>
    </sheetView>
  </sheetViews>
  <sheetFormatPr baseColWidth="10" defaultRowHeight="17"/>
  <cols>
    <col min="6" max="6" width="16" bestFit="1" customWidth="1"/>
  </cols>
  <sheetData>
    <row r="1" spans="1:16" ht="18">
      <c r="A1" s="226" t="s">
        <v>231</v>
      </c>
      <c r="B1" s="227" t="s">
        <v>232</v>
      </c>
      <c r="C1" s="227" t="s">
        <v>233</v>
      </c>
      <c r="D1" s="227" t="s">
        <v>234</v>
      </c>
      <c r="E1" s="227" t="s">
        <v>235</v>
      </c>
      <c r="F1" s="227" t="s">
        <v>236</v>
      </c>
      <c r="G1" s="227" t="s">
        <v>30</v>
      </c>
      <c r="H1" s="227" t="s">
        <v>247</v>
      </c>
      <c r="I1" s="227" t="s">
        <v>248</v>
      </c>
      <c r="J1" s="227" t="s">
        <v>180</v>
      </c>
      <c r="K1" s="227" t="s">
        <v>237</v>
      </c>
      <c r="L1" s="227" t="s">
        <v>238</v>
      </c>
      <c r="M1" s="227" t="s">
        <v>239</v>
      </c>
      <c r="N1" s="227" t="s">
        <v>240</v>
      </c>
      <c r="O1" s="227" t="s">
        <v>241</v>
      </c>
      <c r="P1" s="227" t="s">
        <v>242</v>
      </c>
    </row>
    <row r="2" spans="1:16" ht="72">
      <c r="A2" s="228">
        <v>20260226</v>
      </c>
      <c r="B2" s="229">
        <v>1610931</v>
      </c>
      <c r="C2" s="229" t="s">
        <v>243</v>
      </c>
      <c r="D2" s="229">
        <v>5304</v>
      </c>
      <c r="E2" s="229" t="s">
        <v>244</v>
      </c>
      <c r="F2" s="231">
        <v>8809879544118</v>
      </c>
      <c r="G2" s="229" t="s">
        <v>24</v>
      </c>
      <c r="H2" s="230">
        <v>22000</v>
      </c>
      <c r="I2" s="230">
        <v>20000</v>
      </c>
      <c r="J2" s="230">
        <f>I2*70%</f>
        <v>14000</v>
      </c>
      <c r="K2" s="230">
        <v>0</v>
      </c>
      <c r="L2" s="230">
        <v>0</v>
      </c>
      <c r="M2" s="233">
        <v>2</v>
      </c>
      <c r="N2" s="230">
        <v>28000</v>
      </c>
      <c r="O2" s="229" t="s">
        <v>245</v>
      </c>
      <c r="P2" s="229" t="s">
        <v>246</v>
      </c>
    </row>
    <row r="3" spans="1:16">
      <c r="H3" s="56"/>
    </row>
    <row r="4" spans="1:16">
      <c r="N4" s="232">
        <f>SUM(N2:N3)</f>
        <v>28000</v>
      </c>
      <c r="O4" t="s">
        <v>249</v>
      </c>
    </row>
    <row r="5" spans="1:16">
      <c r="N5" s="155">
        <f>N4*1.1</f>
        <v>30800.000000000004</v>
      </c>
      <c r="O5" t="s">
        <v>250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9FD-C895-A648-9D1E-135D38104E6E}">
  <dimension ref="A1:AH6"/>
  <sheetViews>
    <sheetView workbookViewId="0">
      <selection activeCell="J35" sqref="J35:J36"/>
    </sheetView>
  </sheetViews>
  <sheetFormatPr baseColWidth="10" defaultRowHeight="17"/>
  <cols>
    <col min="4" max="4" width="12.83203125" bestFit="1" customWidth="1"/>
    <col min="6" max="6" width="9.83203125" customWidth="1"/>
    <col min="12" max="12" width="22.83203125" customWidth="1"/>
    <col min="13" max="13" width="17.1640625" style="154" bestFit="1" customWidth="1"/>
    <col min="14" max="14" width="17.1640625" bestFit="1" customWidth="1"/>
    <col min="15" max="15" width="13.1640625" bestFit="1" customWidth="1"/>
  </cols>
  <sheetData>
    <row r="1" spans="1:34">
      <c r="A1" s="26" t="s">
        <v>169</v>
      </c>
      <c r="B1" s="26" t="s">
        <v>170</v>
      </c>
      <c r="C1" s="26" t="s">
        <v>171</v>
      </c>
      <c r="D1" s="26" t="s">
        <v>251</v>
      </c>
      <c r="E1" s="26" t="s">
        <v>252</v>
      </c>
      <c r="F1" s="26" t="s">
        <v>253</v>
      </c>
      <c r="G1" s="26" t="s">
        <v>46</v>
      </c>
      <c r="H1" s="26" t="s">
        <v>254</v>
      </c>
      <c r="I1" s="26" t="s">
        <v>30</v>
      </c>
      <c r="J1" s="26" t="s">
        <v>255</v>
      </c>
      <c r="K1" s="26" t="s">
        <v>256</v>
      </c>
      <c r="L1" s="26" t="s">
        <v>257</v>
      </c>
      <c r="M1" s="26" t="s">
        <v>258</v>
      </c>
      <c r="N1" s="26" t="s">
        <v>259</v>
      </c>
      <c r="O1" s="26" t="s">
        <v>166</v>
      </c>
      <c r="P1" s="26" t="s">
        <v>6</v>
      </c>
      <c r="Q1" s="26" t="s">
        <v>260</v>
      </c>
      <c r="R1" s="26" t="s">
        <v>261</v>
      </c>
      <c r="S1" s="26" t="s">
        <v>262</v>
      </c>
      <c r="T1" s="26" t="s">
        <v>263</v>
      </c>
      <c r="U1" s="26" t="s">
        <v>264</v>
      </c>
      <c r="V1" s="26" t="s">
        <v>195</v>
      </c>
      <c r="W1" s="26" t="s">
        <v>265</v>
      </c>
      <c r="X1" s="26" t="s">
        <v>266</v>
      </c>
      <c r="Y1" s="26" t="s">
        <v>267</v>
      </c>
      <c r="Z1" s="26" t="s">
        <v>167</v>
      </c>
      <c r="AA1" s="26" t="s">
        <v>268</v>
      </c>
      <c r="AB1" s="26" t="s">
        <v>269</v>
      </c>
      <c r="AC1" s="26" t="s">
        <v>270</v>
      </c>
      <c r="AD1" s="26" t="s">
        <v>271</v>
      </c>
      <c r="AE1" s="26" t="s">
        <v>272</v>
      </c>
      <c r="AF1" s="26" t="s">
        <v>273</v>
      </c>
      <c r="AG1" s="26" t="s">
        <v>274</v>
      </c>
      <c r="AH1" s="26" t="s">
        <v>275</v>
      </c>
    </row>
    <row r="2" spans="1:34">
      <c r="A2" s="26" t="s">
        <v>168</v>
      </c>
      <c r="B2" s="26" t="s">
        <v>172</v>
      </c>
      <c r="C2" s="26" t="s">
        <v>173</v>
      </c>
      <c r="D2" s="26" t="s">
        <v>276</v>
      </c>
      <c r="E2" s="26" t="s">
        <v>277</v>
      </c>
      <c r="F2" s="26" t="s">
        <v>278</v>
      </c>
      <c r="G2" s="26" t="s">
        <v>279</v>
      </c>
      <c r="H2" s="26" t="s">
        <v>280</v>
      </c>
      <c r="I2" s="26" t="s">
        <v>281</v>
      </c>
      <c r="J2" s="26" t="s">
        <v>282</v>
      </c>
      <c r="K2" s="26" t="s">
        <v>283</v>
      </c>
      <c r="L2" s="26" t="s">
        <v>284</v>
      </c>
      <c r="M2" s="26" t="s">
        <v>285</v>
      </c>
      <c r="N2" s="31">
        <v>22000</v>
      </c>
      <c r="O2" s="31">
        <v>11000</v>
      </c>
      <c r="P2" s="31">
        <v>1</v>
      </c>
      <c r="Q2" s="31">
        <v>11000</v>
      </c>
      <c r="R2" s="26" t="s">
        <v>286</v>
      </c>
      <c r="S2" s="26" t="s">
        <v>286</v>
      </c>
      <c r="T2" s="26" t="s">
        <v>287</v>
      </c>
      <c r="U2" s="26" t="s">
        <v>288</v>
      </c>
      <c r="V2" s="26" t="s">
        <v>289</v>
      </c>
      <c r="W2" s="26" t="s">
        <v>285</v>
      </c>
      <c r="X2" s="26" t="s">
        <v>285</v>
      </c>
      <c r="Y2" s="26" t="s">
        <v>285</v>
      </c>
      <c r="Z2" s="26" t="s">
        <v>290</v>
      </c>
      <c r="AA2" s="26" t="s">
        <v>285</v>
      </c>
      <c r="AB2" s="26" t="s">
        <v>285</v>
      </c>
      <c r="AC2" s="26" t="s">
        <v>285</v>
      </c>
      <c r="AD2" s="26" t="s">
        <v>285</v>
      </c>
      <c r="AE2" s="26" t="s">
        <v>285</v>
      </c>
      <c r="AF2" s="26" t="s">
        <v>285</v>
      </c>
      <c r="AG2" s="26" t="s">
        <v>291</v>
      </c>
      <c r="AH2" s="26" t="s">
        <v>285</v>
      </c>
    </row>
    <row r="3" spans="1:34">
      <c r="D3" s="26" t="s">
        <v>292</v>
      </c>
      <c r="E3" s="26" t="s">
        <v>293</v>
      </c>
      <c r="F3" s="26" t="s">
        <v>278</v>
      </c>
      <c r="G3" s="26" t="s">
        <v>294</v>
      </c>
      <c r="H3" s="26" t="s">
        <v>295</v>
      </c>
      <c r="I3" s="26" t="s">
        <v>296</v>
      </c>
      <c r="J3" s="26" t="s">
        <v>297</v>
      </c>
      <c r="K3" s="26" t="s">
        <v>298</v>
      </c>
      <c r="L3" s="26" t="s">
        <v>299</v>
      </c>
      <c r="M3" s="26" t="s">
        <v>285</v>
      </c>
      <c r="N3" s="31">
        <v>22000</v>
      </c>
      <c r="O3" s="31">
        <v>11000</v>
      </c>
      <c r="P3" s="31">
        <v>1</v>
      </c>
      <c r="Q3" s="31">
        <v>11000</v>
      </c>
      <c r="R3" s="26" t="s">
        <v>300</v>
      </c>
      <c r="S3" s="26" t="s">
        <v>300</v>
      </c>
      <c r="T3" s="26" t="s">
        <v>301</v>
      </c>
      <c r="U3" s="26" t="s">
        <v>302</v>
      </c>
      <c r="V3" s="26" t="s">
        <v>303</v>
      </c>
      <c r="W3" s="26" t="s">
        <v>285</v>
      </c>
      <c r="X3" s="26" t="s">
        <v>285</v>
      </c>
      <c r="Y3" s="26" t="s">
        <v>285</v>
      </c>
      <c r="Z3" s="26" t="s">
        <v>304</v>
      </c>
      <c r="AA3" s="26" t="s">
        <v>285</v>
      </c>
      <c r="AB3" s="26" t="s">
        <v>285</v>
      </c>
      <c r="AC3" s="26" t="s">
        <v>285</v>
      </c>
      <c r="AD3" s="26" t="s">
        <v>285</v>
      </c>
      <c r="AE3" s="26" t="s">
        <v>285</v>
      </c>
      <c r="AF3" s="26" t="s">
        <v>285</v>
      </c>
      <c r="AG3" s="26" t="s">
        <v>305</v>
      </c>
      <c r="AH3" s="26" t="s">
        <v>285</v>
      </c>
    </row>
    <row r="5" spans="1:34">
      <c r="G5" s="155" t="s">
        <v>75</v>
      </c>
      <c r="I5" s="155">
        <f>SUM(I1:I2)</f>
        <v>0</v>
      </c>
      <c r="J5" s="155"/>
      <c r="K5" s="155">
        <f>SUM(K1:K2)</f>
        <v>0</v>
      </c>
      <c r="L5" s="155"/>
      <c r="M5" s="155">
        <f>SUM(M1:M2)</f>
        <v>0</v>
      </c>
      <c r="N5" s="155">
        <f>SUM(N2:N4)</f>
        <v>44000</v>
      </c>
      <c r="O5" s="155">
        <f>SUM(O2:O3)</f>
        <v>22000</v>
      </c>
      <c r="P5" s="155">
        <f>SUM(P2:P3)</f>
        <v>2</v>
      </c>
      <c r="Q5" s="155">
        <f>SUM(Q2:Q3)</f>
        <v>22000</v>
      </c>
      <c r="U5" s="155">
        <f>SUM(U1:U2)</f>
        <v>0</v>
      </c>
    </row>
    <row r="6" spans="1:34">
      <c r="N6" t="s">
        <v>306</v>
      </c>
      <c r="O6" s="234">
        <v>0.15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38B-86D2-984E-8D0C-E0B45D1A6298}">
  <dimension ref="A1:K38"/>
  <sheetViews>
    <sheetView workbookViewId="0">
      <selection activeCell="E28" sqref="E28"/>
    </sheetView>
  </sheetViews>
  <sheetFormatPr baseColWidth="10" defaultRowHeight="17"/>
  <cols>
    <col min="2" max="2" width="16.1640625" bestFit="1" customWidth="1"/>
    <col min="3" max="3" width="18.1640625" bestFit="1" customWidth="1"/>
    <col min="4" max="4" width="9.33203125" bestFit="1" customWidth="1"/>
    <col min="5" max="5" width="38" bestFit="1" customWidth="1"/>
    <col min="6" max="6" width="12.1640625" customWidth="1"/>
    <col min="7" max="7" width="14.33203125" customWidth="1"/>
    <col min="8" max="8" width="16.5" customWidth="1"/>
    <col min="9" max="9" width="68.5" style="29" bestFit="1" customWidth="1"/>
    <col min="10" max="10" width="16.1640625" bestFit="1" customWidth="1"/>
    <col min="11" max="11" width="16" bestFit="1" customWidth="1"/>
  </cols>
  <sheetData>
    <row r="1" spans="1:11">
      <c r="B1" s="26"/>
      <c r="C1" s="26"/>
      <c r="D1" s="26"/>
      <c r="E1" s="26"/>
      <c r="F1" s="26"/>
      <c r="G1" s="27"/>
      <c r="H1" s="26"/>
      <c r="I1" s="26"/>
      <c r="J1" s="26"/>
      <c r="K1" s="26"/>
    </row>
    <row r="2" spans="1:11">
      <c r="A2" s="104" t="s">
        <v>112</v>
      </c>
      <c r="B2" s="104" t="s">
        <v>9</v>
      </c>
      <c r="C2" s="104" t="s">
        <v>107</v>
      </c>
      <c r="D2" s="104" t="s">
        <v>108</v>
      </c>
      <c r="E2" s="104" t="s">
        <v>30</v>
      </c>
      <c r="F2" s="104" t="s">
        <v>313</v>
      </c>
      <c r="G2" s="104" t="s">
        <v>109</v>
      </c>
      <c r="H2" s="105" t="s">
        <v>110</v>
      </c>
      <c r="I2" s="26"/>
      <c r="J2" s="35"/>
      <c r="K2" s="35"/>
    </row>
    <row r="3" spans="1:11">
      <c r="A3" t="s">
        <v>84</v>
      </c>
      <c r="B3">
        <v>2026011584200310</v>
      </c>
      <c r="C3" t="s">
        <v>309</v>
      </c>
      <c r="E3" t="s">
        <v>310</v>
      </c>
      <c r="F3">
        <v>1</v>
      </c>
      <c r="G3" t="s">
        <v>308</v>
      </c>
      <c r="H3" s="32">
        <v>22000</v>
      </c>
      <c r="I3" s="26"/>
      <c r="J3" s="35"/>
      <c r="K3" s="35"/>
    </row>
    <row r="4" spans="1:11">
      <c r="B4" s="106"/>
      <c r="C4" s="106"/>
      <c r="D4" s="106"/>
      <c r="E4" s="106"/>
      <c r="F4" s="106"/>
      <c r="G4" s="106"/>
      <c r="H4" s="107"/>
      <c r="I4" s="26"/>
      <c r="J4" s="35"/>
      <c r="K4" s="35"/>
    </row>
    <row r="5" spans="1:11">
      <c r="B5" s="106"/>
      <c r="C5" s="106"/>
      <c r="D5" s="106"/>
      <c r="E5" s="106"/>
      <c r="F5" s="106"/>
      <c r="G5" s="106" t="s">
        <v>311</v>
      </c>
      <c r="H5" s="107">
        <f>H3*25%</f>
        <v>5500</v>
      </c>
      <c r="I5" s="26"/>
      <c r="J5" s="35"/>
      <c r="K5" s="35"/>
    </row>
    <row r="6" spans="1:11">
      <c r="B6" s="106"/>
      <c r="C6" s="106"/>
      <c r="D6" s="106"/>
      <c r="E6" s="106"/>
      <c r="F6" s="106"/>
      <c r="G6" s="106" t="s">
        <v>312</v>
      </c>
      <c r="H6" s="235">
        <f>H3-H5</f>
        <v>16500</v>
      </c>
      <c r="I6" s="26"/>
      <c r="J6" s="35"/>
      <c r="K6" s="35"/>
    </row>
    <row r="7" spans="1:11">
      <c r="B7" s="35"/>
      <c r="C7" s="26"/>
      <c r="D7" s="26"/>
      <c r="E7" s="26"/>
      <c r="F7" s="26"/>
      <c r="G7" s="27"/>
      <c r="H7" s="26"/>
      <c r="I7" s="26"/>
      <c r="J7" s="35"/>
      <c r="K7" s="35"/>
    </row>
    <row r="8" spans="1:11">
      <c r="B8" s="35"/>
      <c r="C8" s="26"/>
      <c r="D8" s="26"/>
      <c r="E8" s="26"/>
      <c r="F8" s="26"/>
      <c r="G8" s="27"/>
      <c r="H8" s="26"/>
      <c r="I8" s="26"/>
      <c r="J8" s="35"/>
      <c r="K8" s="35"/>
    </row>
    <row r="9" spans="1:11">
      <c r="B9" s="35"/>
      <c r="C9" s="26"/>
      <c r="D9" s="26"/>
      <c r="E9" s="26"/>
      <c r="F9" s="26"/>
      <c r="G9" s="27"/>
      <c r="H9" s="26"/>
      <c r="I9" s="26"/>
      <c r="J9" s="35"/>
      <c r="K9" s="35"/>
    </row>
    <row r="10" spans="1:11">
      <c r="B10" s="35"/>
      <c r="C10" s="26"/>
      <c r="D10" s="26"/>
      <c r="E10" s="26"/>
      <c r="F10" s="26"/>
      <c r="G10" s="27"/>
      <c r="H10" s="26"/>
      <c r="I10" s="26"/>
      <c r="J10" s="35"/>
      <c r="K10" s="35"/>
    </row>
    <row r="11" spans="1:11">
      <c r="B11" s="35"/>
      <c r="C11" s="26"/>
      <c r="D11" s="26"/>
      <c r="E11" s="26"/>
      <c r="F11" s="26"/>
      <c r="G11" s="27"/>
      <c r="H11" s="26"/>
      <c r="I11" s="26"/>
      <c r="J11" s="35"/>
      <c r="K11" s="35"/>
    </row>
    <row r="12" spans="1:11">
      <c r="B12" s="35"/>
      <c r="C12" s="26"/>
      <c r="D12" s="26"/>
      <c r="E12" s="26"/>
      <c r="F12" s="26"/>
      <c r="G12" s="27"/>
      <c r="H12" s="26"/>
      <c r="I12" s="26"/>
      <c r="J12" s="35"/>
      <c r="K12" s="35"/>
    </row>
    <row r="13" spans="1:11">
      <c r="B13" s="35"/>
      <c r="C13" s="26"/>
      <c r="D13" s="26"/>
      <c r="E13" s="26"/>
      <c r="F13" s="26"/>
      <c r="G13" s="27"/>
      <c r="H13" s="26"/>
      <c r="I13" s="26"/>
      <c r="J13" s="35"/>
      <c r="K13" s="35"/>
    </row>
    <row r="14" spans="1:11">
      <c r="B14" s="35"/>
      <c r="C14" s="26"/>
      <c r="D14" s="26"/>
      <c r="E14" s="26"/>
      <c r="F14" s="26"/>
      <c r="G14" s="27"/>
      <c r="H14" s="26"/>
      <c r="I14" s="26"/>
      <c r="J14" s="35"/>
      <c r="K14" s="35"/>
    </row>
    <row r="15" spans="1:11">
      <c r="B15" s="35"/>
      <c r="C15" s="26"/>
      <c r="D15" s="26"/>
      <c r="E15" s="26"/>
      <c r="F15" s="26"/>
      <c r="G15" s="27"/>
      <c r="H15" s="26"/>
      <c r="I15" s="26"/>
      <c r="J15" s="35"/>
      <c r="K15" s="35"/>
    </row>
    <row r="16" spans="1:11">
      <c r="B16" s="35"/>
      <c r="C16" s="26"/>
      <c r="D16" s="26"/>
      <c r="E16" s="26"/>
      <c r="F16" s="26"/>
      <c r="G16" s="27"/>
      <c r="H16" s="26"/>
      <c r="I16" s="26"/>
      <c r="J16" s="35"/>
      <c r="K16" s="35"/>
    </row>
    <row r="17" spans="2:11">
      <c r="B17" s="35"/>
      <c r="C17" s="26"/>
      <c r="D17" s="26"/>
      <c r="E17" s="26"/>
      <c r="F17" s="26"/>
      <c r="G17" s="27"/>
      <c r="H17" s="26"/>
      <c r="I17" s="26"/>
      <c r="J17" s="35"/>
      <c r="K17" s="35"/>
    </row>
    <row r="18" spans="2:11">
      <c r="B18" s="35"/>
      <c r="C18" s="26"/>
      <c r="D18" s="26"/>
      <c r="E18" s="26"/>
      <c r="F18" s="26"/>
      <c r="G18" s="27"/>
      <c r="H18" s="26"/>
      <c r="I18" s="26"/>
      <c r="J18" s="35"/>
      <c r="K18" s="35"/>
    </row>
    <row r="19" spans="2:11">
      <c r="B19" s="35"/>
      <c r="C19" s="26"/>
      <c r="D19" s="26"/>
      <c r="E19" s="26"/>
      <c r="F19" s="26"/>
      <c r="G19" s="27"/>
      <c r="H19" s="26"/>
      <c r="I19" s="26"/>
      <c r="J19" s="35"/>
      <c r="K19" s="35"/>
    </row>
    <row r="20" spans="2:11">
      <c r="B20" s="35"/>
      <c r="C20" s="26"/>
      <c r="D20" s="26"/>
      <c r="E20" s="26"/>
      <c r="F20" s="26"/>
      <c r="G20" s="27"/>
      <c r="H20" s="26"/>
      <c r="I20" s="26"/>
      <c r="J20" s="35"/>
      <c r="K20" s="35"/>
    </row>
    <row r="21" spans="2:11">
      <c r="B21" s="35"/>
      <c r="C21" s="26"/>
      <c r="D21" s="26"/>
      <c r="E21" s="26"/>
      <c r="F21" s="26"/>
      <c r="G21" s="27"/>
      <c r="H21" s="26"/>
      <c r="I21" s="26"/>
      <c r="J21" s="35"/>
      <c r="K21" s="35"/>
    </row>
    <row r="22" spans="2:11">
      <c r="B22" s="35"/>
      <c r="C22" s="26"/>
      <c r="D22" s="26"/>
      <c r="E22" s="26"/>
      <c r="F22" s="26"/>
      <c r="G22" s="27"/>
      <c r="H22" s="26"/>
      <c r="I22" s="26"/>
      <c r="J22" s="35"/>
      <c r="K22" s="35"/>
    </row>
    <row r="23" spans="2:11">
      <c r="B23" s="35"/>
      <c r="C23" s="26"/>
      <c r="D23" s="26"/>
      <c r="E23" s="26"/>
      <c r="F23" s="26"/>
      <c r="G23" s="27"/>
      <c r="H23" s="26"/>
      <c r="I23" s="26"/>
      <c r="J23" s="35"/>
      <c r="K23" s="35"/>
    </row>
    <row r="24" spans="2:11">
      <c r="B24" s="35"/>
      <c r="C24" s="26"/>
      <c r="D24" s="26"/>
      <c r="E24" s="26"/>
      <c r="F24" s="26"/>
      <c r="G24" s="27"/>
      <c r="H24" s="26"/>
      <c r="I24" s="26"/>
      <c r="J24" s="35"/>
      <c r="K24" s="35"/>
    </row>
    <row r="25" spans="2:11">
      <c r="B25" s="35"/>
      <c r="C25" s="26"/>
      <c r="D25" s="26"/>
      <c r="E25" s="26"/>
      <c r="F25" s="26"/>
      <c r="G25" s="27"/>
      <c r="H25" s="26"/>
      <c r="I25" s="26"/>
      <c r="J25" s="35"/>
      <c r="K25" s="35"/>
    </row>
    <row r="26" spans="2:11">
      <c r="B26" s="35"/>
      <c r="C26" s="26"/>
      <c r="D26" s="26"/>
      <c r="E26" s="26"/>
      <c r="F26" s="26"/>
      <c r="G26" s="27"/>
      <c r="H26" s="26"/>
      <c r="I26" s="26"/>
      <c r="J26" s="35"/>
      <c r="K26" s="35"/>
    </row>
    <row r="27" spans="2:11">
      <c r="B27" s="35"/>
      <c r="C27" s="26"/>
      <c r="D27" s="26"/>
      <c r="E27" s="26"/>
      <c r="F27" s="26"/>
      <c r="G27" s="27"/>
      <c r="H27" s="26"/>
      <c r="I27" s="26"/>
      <c r="J27" s="35"/>
      <c r="K27" s="35"/>
    </row>
    <row r="28" spans="2:11">
      <c r="B28" s="35"/>
      <c r="C28" s="26"/>
      <c r="D28" s="26"/>
      <c r="E28" s="26"/>
      <c r="F28" s="26"/>
      <c r="G28" s="27"/>
      <c r="H28" s="26"/>
      <c r="I28" s="26"/>
      <c r="J28" s="35"/>
      <c r="K28" s="35"/>
    </row>
    <row r="29" spans="2:11">
      <c r="B29" s="35"/>
      <c r="C29" s="26"/>
      <c r="D29" s="26"/>
      <c r="E29" s="26"/>
      <c r="F29" s="26"/>
      <c r="G29" s="27"/>
      <c r="H29" s="26"/>
      <c r="I29" s="26"/>
      <c r="J29" s="35"/>
      <c r="K29" s="35"/>
    </row>
    <row r="30" spans="2:11">
      <c r="B30" s="35"/>
      <c r="C30" s="26"/>
      <c r="D30" s="26"/>
      <c r="E30" s="26"/>
      <c r="F30" s="26"/>
      <c r="G30" s="27"/>
      <c r="H30" s="26"/>
      <c r="I30" s="26"/>
      <c r="J30" s="35"/>
      <c r="K30" s="35"/>
    </row>
    <row r="31" spans="2:11">
      <c r="B31" s="35"/>
      <c r="C31" s="26"/>
      <c r="D31" s="26"/>
      <c r="E31" s="26"/>
      <c r="F31" s="26"/>
      <c r="G31" s="27"/>
      <c r="H31" s="26"/>
      <c r="I31" s="26"/>
      <c r="J31" s="35"/>
      <c r="K31" s="35"/>
    </row>
    <row r="32" spans="2:11">
      <c r="B32" s="35"/>
      <c r="C32" s="26"/>
      <c r="D32" s="26"/>
      <c r="E32" s="26"/>
      <c r="F32" s="26"/>
      <c r="G32" s="27"/>
      <c r="H32" s="26"/>
      <c r="I32" s="26"/>
      <c r="J32" s="35"/>
      <c r="K32" s="35"/>
    </row>
    <row r="33" spans="2:11">
      <c r="B33" s="35"/>
      <c r="C33" s="26"/>
      <c r="D33" s="26"/>
      <c r="E33" s="26"/>
      <c r="F33" s="26"/>
      <c r="G33" s="27"/>
      <c r="H33" s="26"/>
      <c r="I33" s="26"/>
      <c r="J33" s="35"/>
      <c r="K33" s="35"/>
    </row>
    <row r="34" spans="2:11">
      <c r="B34" s="35"/>
      <c r="C34" s="26"/>
      <c r="D34" s="26"/>
      <c r="E34" s="26"/>
      <c r="F34" s="26"/>
      <c r="G34" s="27"/>
      <c r="H34" s="26"/>
      <c r="I34" s="26"/>
      <c r="J34" s="35"/>
      <c r="K34" s="35"/>
    </row>
    <row r="35" spans="2:11">
      <c r="B35" s="35"/>
      <c r="C35" s="26"/>
      <c r="D35" s="26"/>
      <c r="E35" s="26"/>
      <c r="F35" s="26"/>
      <c r="G35" s="27"/>
      <c r="H35" s="26"/>
      <c r="I35" s="26"/>
      <c r="J35" s="35"/>
      <c r="K35" s="35"/>
    </row>
    <row r="36" spans="2:11">
      <c r="B36" s="35"/>
      <c r="C36" s="26"/>
      <c r="D36" s="26"/>
      <c r="E36" s="26"/>
      <c r="F36" s="26"/>
      <c r="G36" s="27"/>
      <c r="H36" s="26"/>
      <c r="I36" s="26"/>
      <c r="J36" s="35"/>
      <c r="K36" s="35"/>
    </row>
    <row r="37" spans="2:11">
      <c r="B37" s="35"/>
      <c r="C37" s="26"/>
      <c r="D37" s="26"/>
      <c r="E37" s="26"/>
      <c r="F37" s="26"/>
      <c r="G37" s="27"/>
      <c r="H37" s="26"/>
      <c r="I37" s="26"/>
      <c r="J37" s="35"/>
      <c r="K37" s="35"/>
    </row>
    <row r="38" spans="2:11">
      <c r="B38" s="35"/>
      <c r="C38" s="26"/>
      <c r="D38" s="26"/>
      <c r="E38" s="26"/>
      <c r="F38" s="26"/>
      <c r="G38" s="27"/>
      <c r="H38" s="26"/>
      <c r="I38" s="28"/>
      <c r="J38" s="35"/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41F-0720-CE44-A21C-97E4E32EF9D5}">
  <dimension ref="A1:K5"/>
  <sheetViews>
    <sheetView workbookViewId="0">
      <selection activeCell="G13" sqref="G13"/>
    </sheetView>
  </sheetViews>
  <sheetFormatPr baseColWidth="10" defaultRowHeight="17"/>
  <cols>
    <col min="2" max="2" width="25.1640625" bestFit="1" customWidth="1"/>
  </cols>
  <sheetData>
    <row r="1" spans="1:11">
      <c r="B1" t="s">
        <v>307</v>
      </c>
    </row>
    <row r="2" spans="1:11">
      <c r="A2" s="175" t="s">
        <v>73</v>
      </c>
      <c r="B2" s="175" t="s">
        <v>186</v>
      </c>
      <c r="C2" s="175" t="s">
        <v>187</v>
      </c>
      <c r="D2" s="175" t="s">
        <v>163</v>
      </c>
      <c r="E2" s="175" t="s">
        <v>188</v>
      </c>
      <c r="F2" s="175" t="s">
        <v>162</v>
      </c>
      <c r="G2" s="175" t="s">
        <v>15</v>
      </c>
      <c r="H2" s="175" t="s">
        <v>189</v>
      </c>
      <c r="I2" s="175" t="s">
        <v>22</v>
      </c>
      <c r="J2" s="175" t="s">
        <v>190</v>
      </c>
      <c r="K2" s="175" t="s">
        <v>191</v>
      </c>
    </row>
    <row r="3" spans="1:11">
      <c r="A3" s="176">
        <v>1</v>
      </c>
      <c r="B3" s="176" t="s">
        <v>164</v>
      </c>
      <c r="C3" s="176" t="s">
        <v>192</v>
      </c>
      <c r="D3" s="177">
        <v>22000</v>
      </c>
      <c r="E3" s="177">
        <v>13200</v>
      </c>
      <c r="F3" s="176">
        <v>19</v>
      </c>
      <c r="G3" s="176">
        <v>0</v>
      </c>
      <c r="H3" s="176"/>
      <c r="I3" s="176">
        <v>0</v>
      </c>
      <c r="J3" s="176">
        <v>19</v>
      </c>
      <c r="K3" s="177">
        <f>E3*I3</f>
        <v>0</v>
      </c>
    </row>
    <row r="4" spans="1:11">
      <c r="A4" s="176">
        <v>2</v>
      </c>
      <c r="B4" s="176" t="s">
        <v>58</v>
      </c>
      <c r="C4" s="176" t="s">
        <v>113</v>
      </c>
      <c r="D4" s="177">
        <v>22000</v>
      </c>
      <c r="E4" s="177">
        <v>13200</v>
      </c>
      <c r="F4" s="176">
        <v>15</v>
      </c>
      <c r="G4" s="176">
        <v>0</v>
      </c>
      <c r="H4" s="176"/>
      <c r="I4" s="176">
        <v>0</v>
      </c>
      <c r="J4" s="176">
        <v>15</v>
      </c>
      <c r="K4" s="177">
        <f>E4*I4</f>
        <v>0</v>
      </c>
    </row>
    <row r="5" spans="1:11">
      <c r="I5" s="129">
        <f>SUM(I3:I4)</f>
        <v>0</v>
      </c>
      <c r="K5" s="178">
        <f>SUM(K3:K4)</f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종합정산</vt:lpstr>
      <vt:lpstr>채널별 판매데이터 정리</vt:lpstr>
      <vt:lpstr>DB)입출고목록</vt:lpstr>
      <vt:lpstr>DB)카페24</vt:lpstr>
      <vt:lpstr>DB)이마트몰리스</vt:lpstr>
      <vt:lpstr>DB) 컬리</vt:lpstr>
      <vt:lpstr>DB)철수마켓</vt:lpstr>
      <vt:lpstr>DB)몽슈슈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2026-03-06T07:34:29Z</dcterms:modified>
</cp:coreProperties>
</file>