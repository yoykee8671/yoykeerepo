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6.DOTEON/판매정산서/"/>
    </mc:Choice>
  </mc:AlternateContent>
  <xr:revisionPtr revIDLastSave="0" documentId="13_ncr:1_{9B00D626-0B56-2545-8FE3-5A3189B026A5}" xr6:coauthVersionLast="47" xr6:coauthVersionMax="47" xr10:uidLastSave="{00000000-0000-0000-0000-000000000000}"/>
  <bookViews>
    <workbookView xWindow="3600" yWindow="1660" windowWidth="28800" windowHeight="17500" xr2:uid="{00000000-000D-0000-FFFF-FFFF00000000}"/>
  </bookViews>
  <sheets>
    <sheet name="종합정산" sheetId="2" r:id="rId1"/>
    <sheet name="채널별 판매데이터 정리" sheetId="7" r:id="rId2"/>
    <sheet name="DB)입출고목록" sheetId="4" r:id="rId3"/>
    <sheet name="DB)입출고매칭용" sheetId="15" r:id="rId4"/>
    <sheet name="DB)카페24" sheetId="5" r:id="rId5"/>
    <sheet name="DB)스마트스토어" sheetId="13" r:id="rId6"/>
    <sheet name="DB) 행사" sheetId="14" r:id="rId7"/>
    <sheet name="DB)사업자몰B2B" sheetId="12" r:id="rId8"/>
    <sheet name="DB)이마트몰리스" sheetId="10" r:id="rId9"/>
    <sheet name="DB) 컬리" sheetId="9" r:id="rId10"/>
    <sheet name="DB)쿠팡로켓" sheetId="11" r:id="rId11"/>
    <sheet name="DB)철수마켓" sheetId="6" r:id="rId12"/>
    <sheet name="DB)몽슈슈" sheetId="8" r:id="rId13"/>
  </sheets>
  <definedNames>
    <definedName name="_xlnm._FilterDatabase" localSheetId="3" hidden="1">'DB)입출고매칭용'!$A$1:$S$181</definedName>
    <definedName name="_xlnm._FilterDatabase" localSheetId="2" hidden="1">'DB)입출고목록'!$A$7:$T$190</definedName>
    <definedName name="_xlnm._FilterDatabase" localSheetId="4" hidden="1">'DB)카페24'!$A$12:$J$189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2" l="1"/>
  <c r="E18" i="2" s="1"/>
  <c r="K81" i="7"/>
  <c r="K80" i="7"/>
  <c r="K79" i="7"/>
  <c r="K78" i="7"/>
  <c r="L54" i="7"/>
  <c r="J54" i="7"/>
  <c r="K54" i="7" s="1"/>
  <c r="I54" i="7"/>
  <c r="E54" i="7"/>
  <c r="H56" i="7"/>
  <c r="L55" i="7"/>
  <c r="E55" i="7"/>
  <c r="I55" i="7" s="1"/>
  <c r="L53" i="7"/>
  <c r="E53" i="7"/>
  <c r="I53" i="7" s="1"/>
  <c r="I56" i="7" s="1"/>
  <c r="E14" i="7"/>
  <c r="E13" i="7"/>
  <c r="L7" i="7"/>
  <c r="L6" i="7"/>
  <c r="I7" i="7"/>
  <c r="I6" i="7"/>
  <c r="X9" i="2"/>
  <c r="Q9" i="2"/>
  <c r="N10" i="2"/>
  <c r="Q10" i="2"/>
  <c r="N9" i="2"/>
  <c r="I4" i="4"/>
  <c r="H4" i="4"/>
  <c r="S190" i="4" a="1"/>
  <c r="S190" i="4" s="1"/>
  <c r="R190" i="4" a="1"/>
  <c r="R190" i="4" s="1"/>
  <c r="Q190" i="4" a="1"/>
  <c r="Q190" i="4" s="1"/>
  <c r="S189" i="4" a="1"/>
  <c r="S189" i="4" s="1"/>
  <c r="R189" i="4" a="1"/>
  <c r="R189" i="4" s="1"/>
  <c r="Q189" i="4" a="1"/>
  <c r="Q189" i="4" s="1"/>
  <c r="S188" i="4" a="1"/>
  <c r="S188" i="4" s="1"/>
  <c r="R188" i="4" a="1"/>
  <c r="R188" i="4" s="1"/>
  <c r="Q188" i="4" a="1"/>
  <c r="Q188" i="4" s="1"/>
  <c r="S187" i="4" a="1"/>
  <c r="S187" i="4" s="1"/>
  <c r="R187" i="4" a="1"/>
  <c r="R187" i="4" s="1"/>
  <c r="Q187" i="4" a="1"/>
  <c r="Q187" i="4" s="1"/>
  <c r="S186" i="4" a="1"/>
  <c r="S186" i="4" s="1"/>
  <c r="R186" i="4" a="1"/>
  <c r="R186" i="4" s="1"/>
  <c r="Q186" i="4" a="1"/>
  <c r="Q186" i="4" s="1"/>
  <c r="S185" i="4" a="1"/>
  <c r="S185" i="4" s="1"/>
  <c r="R185" i="4" a="1"/>
  <c r="R185" i="4" s="1"/>
  <c r="Q185" i="4" a="1"/>
  <c r="Q185" i="4" s="1"/>
  <c r="S184" i="4" a="1"/>
  <c r="S184" i="4" s="1"/>
  <c r="R184" i="4" a="1"/>
  <c r="R184" i="4" s="1"/>
  <c r="Q184" i="4" a="1"/>
  <c r="Q184" i="4" s="1"/>
  <c r="S183" i="4" a="1"/>
  <c r="S183" i="4" s="1"/>
  <c r="R183" i="4" a="1"/>
  <c r="R183" i="4" s="1"/>
  <c r="Q183" i="4" a="1"/>
  <c r="Q183" i="4" s="1"/>
  <c r="S182" i="4" a="1"/>
  <c r="S182" i="4" s="1"/>
  <c r="R182" i="4" a="1"/>
  <c r="R182" i="4" s="1"/>
  <c r="Q182" i="4" a="1"/>
  <c r="Q182" i="4" s="1"/>
  <c r="S181" i="4" a="1"/>
  <c r="S181" i="4" s="1"/>
  <c r="R181" i="4" a="1"/>
  <c r="R181" i="4" s="1"/>
  <c r="Q181" i="4" a="1"/>
  <c r="Q181" i="4" s="1"/>
  <c r="S180" i="4" a="1"/>
  <c r="S180" i="4" s="1"/>
  <c r="R180" i="4" a="1"/>
  <c r="R180" i="4" s="1"/>
  <c r="Q180" i="4" a="1"/>
  <c r="Q180" i="4" s="1"/>
  <c r="S179" i="4" a="1"/>
  <c r="S179" i="4" s="1"/>
  <c r="R179" i="4" a="1"/>
  <c r="R179" i="4" s="1"/>
  <c r="Q179" i="4" a="1"/>
  <c r="Q179" i="4" s="1"/>
  <c r="S178" i="4" a="1"/>
  <c r="S178" i="4" s="1"/>
  <c r="R178" i="4" a="1"/>
  <c r="R178" i="4" s="1"/>
  <c r="Q178" i="4" a="1"/>
  <c r="Q178" i="4" s="1"/>
  <c r="S177" i="4" a="1"/>
  <c r="S177" i="4" s="1"/>
  <c r="R177" i="4" a="1"/>
  <c r="R177" i="4" s="1"/>
  <c r="Q177" i="4" a="1"/>
  <c r="Q177" i="4" s="1"/>
  <c r="S176" i="4" a="1"/>
  <c r="S176" i="4" s="1"/>
  <c r="R176" i="4" a="1"/>
  <c r="R176" i="4" s="1"/>
  <c r="Q176" i="4" a="1"/>
  <c r="Q176" i="4" s="1"/>
  <c r="S175" i="4" a="1"/>
  <c r="S175" i="4" s="1"/>
  <c r="R175" i="4" a="1"/>
  <c r="R175" i="4" s="1"/>
  <c r="Q175" i="4" a="1"/>
  <c r="Q175" i="4" s="1"/>
  <c r="S174" i="4" a="1"/>
  <c r="S174" i="4" s="1"/>
  <c r="R174" i="4" a="1"/>
  <c r="R174" i="4" s="1"/>
  <c r="Q174" i="4" a="1"/>
  <c r="Q174" i="4" s="1"/>
  <c r="S173" i="4" a="1"/>
  <c r="S173" i="4" s="1"/>
  <c r="R173" i="4" a="1"/>
  <c r="R173" i="4" s="1"/>
  <c r="Q173" i="4" a="1"/>
  <c r="Q173" i="4" s="1"/>
  <c r="S172" i="4" a="1"/>
  <c r="S172" i="4" s="1"/>
  <c r="R172" i="4" a="1"/>
  <c r="R172" i="4" s="1"/>
  <c r="Q172" i="4" a="1"/>
  <c r="Q172" i="4" s="1"/>
  <c r="S171" i="4" a="1"/>
  <c r="S171" i="4" s="1"/>
  <c r="R171" i="4" a="1"/>
  <c r="R171" i="4" s="1"/>
  <c r="Q171" i="4" a="1"/>
  <c r="Q171" i="4" s="1"/>
  <c r="S170" i="4" a="1"/>
  <c r="S170" i="4" s="1"/>
  <c r="R170" i="4" a="1"/>
  <c r="R170" i="4" s="1"/>
  <c r="Q170" i="4" a="1"/>
  <c r="Q170" i="4" s="1"/>
  <c r="S169" i="4" a="1"/>
  <c r="S169" i="4" s="1"/>
  <c r="R169" i="4" a="1"/>
  <c r="R169" i="4" s="1"/>
  <c r="Q169" i="4" a="1"/>
  <c r="Q169" i="4" s="1"/>
  <c r="S168" i="4" a="1"/>
  <c r="S168" i="4" s="1"/>
  <c r="R168" i="4" a="1"/>
  <c r="R168" i="4" s="1"/>
  <c r="Q168" i="4" a="1"/>
  <c r="Q168" i="4" s="1"/>
  <c r="S167" i="4" a="1"/>
  <c r="S167" i="4" s="1"/>
  <c r="R167" i="4" a="1"/>
  <c r="R167" i="4" s="1"/>
  <c r="Q167" i="4" a="1"/>
  <c r="Q167" i="4" s="1"/>
  <c r="S166" i="4" a="1"/>
  <c r="S166" i="4" s="1"/>
  <c r="R166" i="4" a="1"/>
  <c r="R166" i="4" s="1"/>
  <c r="Q166" i="4" a="1"/>
  <c r="Q166" i="4" s="1"/>
  <c r="S165" i="4" a="1"/>
  <c r="S165" i="4" s="1"/>
  <c r="R165" i="4" a="1"/>
  <c r="R165" i="4" s="1"/>
  <c r="Q165" i="4" a="1"/>
  <c r="Q165" i="4" s="1"/>
  <c r="S164" i="4" a="1"/>
  <c r="S164" i="4" s="1"/>
  <c r="R164" i="4" a="1"/>
  <c r="R164" i="4" s="1"/>
  <c r="Q164" i="4" a="1"/>
  <c r="Q164" i="4" s="1"/>
  <c r="S163" i="4" a="1"/>
  <c r="S163" i="4" s="1"/>
  <c r="R163" i="4" a="1"/>
  <c r="R163" i="4" s="1"/>
  <c r="Q163" i="4" a="1"/>
  <c r="Q163" i="4" s="1"/>
  <c r="S162" i="4" a="1"/>
  <c r="S162" i="4" s="1"/>
  <c r="R162" i="4" a="1"/>
  <c r="R162" i="4" s="1"/>
  <c r="Q162" i="4" a="1"/>
  <c r="Q162" i="4" s="1"/>
  <c r="S161" i="4" a="1"/>
  <c r="S161" i="4" s="1"/>
  <c r="R161" i="4" a="1"/>
  <c r="R161" i="4" s="1"/>
  <c r="Q161" i="4" a="1"/>
  <c r="Q161" i="4" s="1"/>
  <c r="S160" i="4" a="1"/>
  <c r="S160" i="4" s="1"/>
  <c r="R160" i="4" a="1"/>
  <c r="R160" i="4" s="1"/>
  <c r="Q160" i="4" a="1"/>
  <c r="Q160" i="4" s="1"/>
  <c r="S159" i="4" a="1"/>
  <c r="S159" i="4" s="1"/>
  <c r="R159" i="4" a="1"/>
  <c r="R159" i="4" s="1"/>
  <c r="Q159" i="4" a="1"/>
  <c r="Q159" i="4" s="1"/>
  <c r="S158" i="4" a="1"/>
  <c r="S158" i="4" s="1"/>
  <c r="R158" i="4" a="1"/>
  <c r="R158" i="4" s="1"/>
  <c r="Q158" i="4" a="1"/>
  <c r="Q158" i="4" s="1"/>
  <c r="S157" i="4" a="1"/>
  <c r="S157" i="4" s="1"/>
  <c r="R157" i="4" a="1"/>
  <c r="R157" i="4" s="1"/>
  <c r="Q157" i="4" a="1"/>
  <c r="Q157" i="4" s="1"/>
  <c r="S156" i="4" a="1"/>
  <c r="S156" i="4" s="1"/>
  <c r="R156" i="4" a="1"/>
  <c r="R156" i="4" s="1"/>
  <c r="Q156" i="4" a="1"/>
  <c r="Q156" i="4" s="1"/>
  <c r="S155" i="4" a="1"/>
  <c r="S155" i="4" s="1"/>
  <c r="R155" i="4" a="1"/>
  <c r="R155" i="4" s="1"/>
  <c r="Q155" i="4" a="1"/>
  <c r="Q155" i="4" s="1"/>
  <c r="S154" i="4" a="1"/>
  <c r="S154" i="4" s="1"/>
  <c r="R154" i="4" a="1"/>
  <c r="R154" i="4" s="1"/>
  <c r="Q154" i="4" a="1"/>
  <c r="Q154" i="4" s="1"/>
  <c r="S153" i="4" a="1"/>
  <c r="S153" i="4" s="1"/>
  <c r="R153" i="4" a="1"/>
  <c r="R153" i="4" s="1"/>
  <c r="Q153" i="4" a="1"/>
  <c r="Q153" i="4" s="1"/>
  <c r="S152" i="4" a="1"/>
  <c r="S152" i="4" s="1"/>
  <c r="R152" i="4" a="1"/>
  <c r="R152" i="4" s="1"/>
  <c r="Q152" i="4" a="1"/>
  <c r="Q152" i="4" s="1"/>
  <c r="S151" i="4" a="1"/>
  <c r="S151" i="4" s="1"/>
  <c r="R151" i="4" a="1"/>
  <c r="R151" i="4" s="1"/>
  <c r="Q151" i="4" a="1"/>
  <c r="Q151" i="4" s="1"/>
  <c r="S150" i="4" a="1"/>
  <c r="S150" i="4" s="1"/>
  <c r="R150" i="4" a="1"/>
  <c r="R150" i="4" s="1"/>
  <c r="Q150" i="4" a="1"/>
  <c r="Q150" i="4" s="1"/>
  <c r="S149" i="4" a="1"/>
  <c r="S149" i="4" s="1"/>
  <c r="R149" i="4" a="1"/>
  <c r="R149" i="4" s="1"/>
  <c r="Q149" i="4" a="1"/>
  <c r="Q149" i="4" s="1"/>
  <c r="S148" i="4" a="1"/>
  <c r="S148" i="4" s="1"/>
  <c r="R148" i="4" a="1"/>
  <c r="R148" i="4" s="1"/>
  <c r="Q148" i="4" a="1"/>
  <c r="Q148" i="4" s="1"/>
  <c r="S147" i="4" a="1"/>
  <c r="S147" i="4" s="1"/>
  <c r="R147" i="4" a="1"/>
  <c r="R147" i="4" s="1"/>
  <c r="Q147" i="4" a="1"/>
  <c r="Q147" i="4" s="1"/>
  <c r="S146" i="4" a="1"/>
  <c r="S146" i="4" s="1"/>
  <c r="R146" i="4" a="1"/>
  <c r="R146" i="4" s="1"/>
  <c r="Q146" i="4" a="1"/>
  <c r="Q146" i="4" s="1"/>
  <c r="S145" i="4" a="1"/>
  <c r="S145" i="4" s="1"/>
  <c r="R145" i="4" a="1"/>
  <c r="R145" i="4" s="1"/>
  <c r="Q145" i="4" a="1"/>
  <c r="Q145" i="4" s="1"/>
  <c r="S144" i="4" a="1"/>
  <c r="S144" i="4" s="1"/>
  <c r="R144" i="4" a="1"/>
  <c r="R144" i="4" s="1"/>
  <c r="Q144" i="4" a="1"/>
  <c r="Q144" i="4" s="1"/>
  <c r="S143" i="4" a="1"/>
  <c r="S143" i="4" s="1"/>
  <c r="R143" i="4" a="1"/>
  <c r="R143" i="4" s="1"/>
  <c r="Q143" i="4" a="1"/>
  <c r="Q143" i="4" s="1"/>
  <c r="S142" i="4" a="1"/>
  <c r="S142" i="4" s="1"/>
  <c r="R142" i="4" a="1"/>
  <c r="R142" i="4" s="1"/>
  <c r="Q142" i="4" a="1"/>
  <c r="Q142" i="4" s="1"/>
  <c r="S141" i="4" a="1"/>
  <c r="S141" i="4" s="1"/>
  <c r="R141" i="4" a="1"/>
  <c r="R141" i="4" s="1"/>
  <c r="Q141" i="4" a="1"/>
  <c r="Q141" i="4" s="1"/>
  <c r="S140" i="4" a="1"/>
  <c r="S140" i="4" s="1"/>
  <c r="R140" i="4" a="1"/>
  <c r="R140" i="4" s="1"/>
  <c r="Q140" i="4" a="1"/>
  <c r="Q140" i="4" s="1"/>
  <c r="S139" i="4" a="1"/>
  <c r="S139" i="4" s="1"/>
  <c r="R139" i="4" a="1"/>
  <c r="R139" i="4" s="1"/>
  <c r="Q139" i="4" a="1"/>
  <c r="Q139" i="4" s="1"/>
  <c r="S138" i="4" a="1"/>
  <c r="S138" i="4" s="1"/>
  <c r="R138" i="4" a="1"/>
  <c r="R138" i="4" s="1"/>
  <c r="Q138" i="4" a="1"/>
  <c r="Q138" i="4" s="1"/>
  <c r="S137" i="4" a="1"/>
  <c r="S137" i="4" s="1"/>
  <c r="R137" i="4" a="1"/>
  <c r="R137" i="4" s="1"/>
  <c r="Q137" i="4" a="1"/>
  <c r="Q137" i="4" s="1"/>
  <c r="S136" i="4" a="1"/>
  <c r="S136" i="4" s="1"/>
  <c r="R136" i="4" a="1"/>
  <c r="R136" i="4" s="1"/>
  <c r="Q136" i="4" a="1"/>
  <c r="Q136" i="4" s="1"/>
  <c r="S135" i="4" a="1"/>
  <c r="S135" i="4" s="1"/>
  <c r="R135" i="4" a="1"/>
  <c r="R135" i="4" s="1"/>
  <c r="Q135" i="4" a="1"/>
  <c r="Q135" i="4" s="1"/>
  <c r="S134" i="4" a="1"/>
  <c r="S134" i="4" s="1"/>
  <c r="R134" i="4" a="1"/>
  <c r="R134" i="4" s="1"/>
  <c r="Q134" i="4" a="1"/>
  <c r="Q134" i="4" s="1"/>
  <c r="S133" i="4" a="1"/>
  <c r="S133" i="4" s="1"/>
  <c r="R133" i="4" a="1"/>
  <c r="R133" i="4" s="1"/>
  <c r="Q133" i="4" a="1"/>
  <c r="Q133" i="4" s="1"/>
  <c r="S132" i="4" a="1"/>
  <c r="S132" i="4" s="1"/>
  <c r="R132" i="4" a="1"/>
  <c r="R132" i="4" s="1"/>
  <c r="Q132" i="4" a="1"/>
  <c r="Q132" i="4" s="1"/>
  <c r="S131" i="4" a="1"/>
  <c r="S131" i="4" s="1"/>
  <c r="R131" i="4" a="1"/>
  <c r="R131" i="4" s="1"/>
  <c r="Q131" i="4" a="1"/>
  <c r="Q131" i="4" s="1"/>
  <c r="S130" i="4" a="1"/>
  <c r="S130" i="4" s="1"/>
  <c r="R130" i="4" a="1"/>
  <c r="R130" i="4" s="1"/>
  <c r="Q130" i="4" a="1"/>
  <c r="Q130" i="4" s="1"/>
  <c r="S129" i="4" a="1"/>
  <c r="S129" i="4" s="1"/>
  <c r="R129" i="4" a="1"/>
  <c r="R129" i="4" s="1"/>
  <c r="Q129" i="4" a="1"/>
  <c r="Q129" i="4" s="1"/>
  <c r="S128" i="4" a="1"/>
  <c r="S128" i="4" s="1"/>
  <c r="R128" i="4" a="1"/>
  <c r="R128" i="4" s="1"/>
  <c r="Q128" i="4" a="1"/>
  <c r="Q128" i="4" s="1"/>
  <c r="S127" i="4" a="1"/>
  <c r="S127" i="4" s="1"/>
  <c r="R127" i="4" a="1"/>
  <c r="R127" i="4" s="1"/>
  <c r="Q127" i="4" a="1"/>
  <c r="Q127" i="4" s="1"/>
  <c r="S126" i="4" a="1"/>
  <c r="S126" i="4" s="1"/>
  <c r="R126" i="4" a="1"/>
  <c r="R126" i="4" s="1"/>
  <c r="Q126" i="4" a="1"/>
  <c r="Q126" i="4" s="1"/>
  <c r="S125" i="4" a="1"/>
  <c r="S125" i="4" s="1"/>
  <c r="R125" i="4" a="1"/>
  <c r="R125" i="4" s="1"/>
  <c r="Q125" i="4" a="1"/>
  <c r="Q125" i="4" s="1"/>
  <c r="S124" i="4" a="1"/>
  <c r="S124" i="4" s="1"/>
  <c r="R124" i="4" a="1"/>
  <c r="R124" i="4" s="1"/>
  <c r="Q124" i="4" a="1"/>
  <c r="Q124" i="4" s="1"/>
  <c r="S123" i="4" a="1"/>
  <c r="S123" i="4" s="1"/>
  <c r="R123" i="4" a="1"/>
  <c r="R123" i="4" s="1"/>
  <c r="Q123" i="4" a="1"/>
  <c r="Q123" i="4" s="1"/>
  <c r="S122" i="4" a="1"/>
  <c r="S122" i="4" s="1"/>
  <c r="R122" i="4" a="1"/>
  <c r="R122" i="4" s="1"/>
  <c r="Q122" i="4" a="1"/>
  <c r="Q122" i="4" s="1"/>
  <c r="S121" i="4" a="1"/>
  <c r="S121" i="4" s="1"/>
  <c r="R121" i="4" a="1"/>
  <c r="R121" i="4" s="1"/>
  <c r="Q121" i="4" a="1"/>
  <c r="Q121" i="4" s="1"/>
  <c r="S120" i="4" a="1"/>
  <c r="S120" i="4" s="1"/>
  <c r="R120" i="4" a="1"/>
  <c r="R120" i="4" s="1"/>
  <c r="Q120" i="4" a="1"/>
  <c r="Q120" i="4" s="1"/>
  <c r="S119" i="4" a="1"/>
  <c r="S119" i="4" s="1"/>
  <c r="R119" i="4" a="1"/>
  <c r="R119" i="4" s="1"/>
  <c r="Q119" i="4" a="1"/>
  <c r="Q119" i="4" s="1"/>
  <c r="S118" i="4" a="1"/>
  <c r="S118" i="4" s="1"/>
  <c r="R118" i="4" a="1"/>
  <c r="R118" i="4" s="1"/>
  <c r="Q118" i="4" a="1"/>
  <c r="Q118" i="4" s="1"/>
  <c r="S117" i="4" a="1"/>
  <c r="S117" i="4" s="1"/>
  <c r="R117" i="4" a="1"/>
  <c r="R117" i="4" s="1"/>
  <c r="Q117" i="4" a="1"/>
  <c r="Q117" i="4" s="1"/>
  <c r="S116" i="4" a="1"/>
  <c r="S116" i="4" s="1"/>
  <c r="R116" i="4" a="1"/>
  <c r="R116" i="4" s="1"/>
  <c r="Q116" i="4" a="1"/>
  <c r="Q116" i="4" s="1"/>
  <c r="S115" i="4" a="1"/>
  <c r="S115" i="4" s="1"/>
  <c r="R115" i="4" a="1"/>
  <c r="R115" i="4" s="1"/>
  <c r="Q115" i="4" a="1"/>
  <c r="Q115" i="4" s="1"/>
  <c r="S114" i="4" a="1"/>
  <c r="S114" i="4" s="1"/>
  <c r="R114" i="4" a="1"/>
  <c r="R114" i="4" s="1"/>
  <c r="Q114" i="4" a="1"/>
  <c r="Q114" i="4" s="1"/>
  <c r="S113" i="4" a="1"/>
  <c r="S113" i="4" s="1"/>
  <c r="R113" i="4" a="1"/>
  <c r="R113" i="4" s="1"/>
  <c r="Q113" i="4" a="1"/>
  <c r="Q113" i="4" s="1"/>
  <c r="S112" i="4" a="1"/>
  <c r="S112" i="4" s="1"/>
  <c r="R112" i="4" a="1"/>
  <c r="R112" i="4" s="1"/>
  <c r="Q112" i="4" a="1"/>
  <c r="Q112" i="4" s="1"/>
  <c r="S111" i="4" a="1"/>
  <c r="S111" i="4" s="1"/>
  <c r="R111" i="4" a="1"/>
  <c r="R111" i="4" s="1"/>
  <c r="Q111" i="4" a="1"/>
  <c r="Q111" i="4" s="1"/>
  <c r="S110" i="4" a="1"/>
  <c r="S110" i="4" s="1"/>
  <c r="R110" i="4" a="1"/>
  <c r="R110" i="4" s="1"/>
  <c r="Q110" i="4" a="1"/>
  <c r="Q110" i="4" s="1"/>
  <c r="S109" i="4" a="1"/>
  <c r="S109" i="4" s="1"/>
  <c r="R109" i="4" a="1"/>
  <c r="R109" i="4" s="1"/>
  <c r="Q109" i="4" a="1"/>
  <c r="Q109" i="4" s="1"/>
  <c r="S108" i="4" a="1"/>
  <c r="S108" i="4" s="1"/>
  <c r="R108" i="4" a="1"/>
  <c r="R108" i="4" s="1"/>
  <c r="Q108" i="4" a="1"/>
  <c r="Q108" i="4" s="1"/>
  <c r="S107" i="4" a="1"/>
  <c r="S107" i="4" s="1"/>
  <c r="R107" i="4" a="1"/>
  <c r="R107" i="4" s="1"/>
  <c r="Q107" i="4" a="1"/>
  <c r="Q107" i="4" s="1"/>
  <c r="S106" i="4" a="1"/>
  <c r="S106" i="4" s="1"/>
  <c r="R106" i="4" a="1"/>
  <c r="R106" i="4" s="1"/>
  <c r="Q106" i="4" a="1"/>
  <c r="Q106" i="4" s="1"/>
  <c r="S105" i="4" a="1"/>
  <c r="S105" i="4" s="1"/>
  <c r="R105" i="4" a="1"/>
  <c r="R105" i="4" s="1"/>
  <c r="Q105" i="4" a="1"/>
  <c r="Q105" i="4" s="1"/>
  <c r="S104" i="4" a="1"/>
  <c r="S104" i="4" s="1"/>
  <c r="R104" i="4" a="1"/>
  <c r="R104" i="4" s="1"/>
  <c r="Q104" i="4" a="1"/>
  <c r="Q104" i="4" s="1"/>
  <c r="S103" i="4" a="1"/>
  <c r="S103" i="4" s="1"/>
  <c r="R103" i="4" a="1"/>
  <c r="R103" i="4" s="1"/>
  <c r="Q103" i="4" a="1"/>
  <c r="Q103" i="4" s="1"/>
  <c r="S102" i="4" a="1"/>
  <c r="S102" i="4" s="1"/>
  <c r="R102" i="4" a="1"/>
  <c r="R102" i="4" s="1"/>
  <c r="Q102" i="4" a="1"/>
  <c r="Q102" i="4" s="1"/>
  <c r="S101" i="4" a="1"/>
  <c r="S101" i="4" s="1"/>
  <c r="R101" i="4" a="1"/>
  <c r="R101" i="4" s="1"/>
  <c r="Q101" i="4" a="1"/>
  <c r="Q101" i="4" s="1"/>
  <c r="S100" i="4" a="1"/>
  <c r="S100" i="4" s="1"/>
  <c r="R100" i="4" a="1"/>
  <c r="R100" i="4" s="1"/>
  <c r="Q100" i="4" a="1"/>
  <c r="Q100" i="4" s="1"/>
  <c r="S99" i="4" a="1"/>
  <c r="S99" i="4" s="1"/>
  <c r="R99" i="4" a="1"/>
  <c r="R99" i="4" s="1"/>
  <c r="Q99" i="4" a="1"/>
  <c r="Q99" i="4" s="1"/>
  <c r="S98" i="4" a="1"/>
  <c r="S98" i="4" s="1"/>
  <c r="R98" i="4" a="1"/>
  <c r="R98" i="4" s="1"/>
  <c r="Q98" i="4" a="1"/>
  <c r="Q98" i="4" s="1"/>
  <c r="S97" i="4" a="1"/>
  <c r="S97" i="4" s="1"/>
  <c r="R97" i="4" a="1"/>
  <c r="R97" i="4" s="1"/>
  <c r="Q97" i="4" a="1"/>
  <c r="Q97" i="4" s="1"/>
  <c r="S96" i="4" a="1"/>
  <c r="S96" i="4" s="1"/>
  <c r="R96" i="4" a="1"/>
  <c r="R96" i="4" s="1"/>
  <c r="Q96" i="4" a="1"/>
  <c r="Q96" i="4" s="1"/>
  <c r="S95" i="4" a="1"/>
  <c r="S95" i="4" s="1"/>
  <c r="R95" i="4" a="1"/>
  <c r="R95" i="4" s="1"/>
  <c r="Q95" i="4" a="1"/>
  <c r="Q95" i="4" s="1"/>
  <c r="S94" i="4" a="1"/>
  <c r="S94" i="4" s="1"/>
  <c r="R94" i="4" a="1"/>
  <c r="R94" i="4" s="1"/>
  <c r="Q94" i="4" a="1"/>
  <c r="Q94" i="4" s="1"/>
  <c r="S93" i="4" a="1"/>
  <c r="S93" i="4" s="1"/>
  <c r="R93" i="4" a="1"/>
  <c r="R93" i="4" s="1"/>
  <c r="Q93" i="4" a="1"/>
  <c r="Q93" i="4" s="1"/>
  <c r="S92" i="4" a="1"/>
  <c r="S92" i="4" s="1"/>
  <c r="R92" i="4" a="1"/>
  <c r="R92" i="4" s="1"/>
  <c r="Q92" i="4" a="1"/>
  <c r="Q92" i="4" s="1"/>
  <c r="S91" i="4" a="1"/>
  <c r="S91" i="4" s="1"/>
  <c r="R91" i="4" a="1"/>
  <c r="R91" i="4" s="1"/>
  <c r="Q91" i="4" a="1"/>
  <c r="Q91" i="4" s="1"/>
  <c r="S90" i="4" a="1"/>
  <c r="S90" i="4" s="1"/>
  <c r="R90" i="4" a="1"/>
  <c r="R90" i="4" s="1"/>
  <c r="Q90" i="4" a="1"/>
  <c r="Q90" i="4" s="1"/>
  <c r="S89" i="4" a="1"/>
  <c r="S89" i="4" s="1"/>
  <c r="R89" i="4" a="1"/>
  <c r="R89" i="4" s="1"/>
  <c r="Q89" i="4" a="1"/>
  <c r="Q89" i="4" s="1"/>
  <c r="S88" i="4" a="1"/>
  <c r="S88" i="4" s="1"/>
  <c r="R88" i="4" a="1"/>
  <c r="R88" i="4" s="1"/>
  <c r="Q88" i="4" a="1"/>
  <c r="Q88" i="4" s="1"/>
  <c r="S87" i="4" a="1"/>
  <c r="S87" i="4" s="1"/>
  <c r="R87" i="4" a="1"/>
  <c r="R87" i="4" s="1"/>
  <c r="Q87" i="4" a="1"/>
  <c r="Q87" i="4" s="1"/>
  <c r="S86" i="4" a="1"/>
  <c r="S86" i="4" s="1"/>
  <c r="R86" i="4" a="1"/>
  <c r="R86" i="4" s="1"/>
  <c r="Q86" i="4" a="1"/>
  <c r="Q86" i="4" s="1"/>
  <c r="S85" i="4" a="1"/>
  <c r="S85" i="4" s="1"/>
  <c r="R85" i="4" a="1"/>
  <c r="R85" i="4" s="1"/>
  <c r="Q85" i="4" a="1"/>
  <c r="Q85" i="4" s="1"/>
  <c r="S84" i="4" a="1"/>
  <c r="S84" i="4" s="1"/>
  <c r="R84" i="4" a="1"/>
  <c r="R84" i="4" s="1"/>
  <c r="Q84" i="4" a="1"/>
  <c r="Q84" i="4" s="1"/>
  <c r="S83" i="4" a="1"/>
  <c r="S83" i="4" s="1"/>
  <c r="R83" i="4" a="1"/>
  <c r="R83" i="4" s="1"/>
  <c r="Q83" i="4" a="1"/>
  <c r="Q83" i="4" s="1"/>
  <c r="S82" i="4" a="1"/>
  <c r="S82" i="4" s="1"/>
  <c r="R82" i="4" a="1"/>
  <c r="R82" i="4" s="1"/>
  <c r="Q82" i="4" a="1"/>
  <c r="Q82" i="4" s="1"/>
  <c r="S81" i="4" a="1"/>
  <c r="S81" i="4" s="1"/>
  <c r="R81" i="4" a="1"/>
  <c r="R81" i="4" s="1"/>
  <c r="Q81" i="4" a="1"/>
  <c r="Q81" i="4" s="1"/>
  <c r="S80" i="4" a="1"/>
  <c r="S80" i="4" s="1"/>
  <c r="R80" i="4" a="1"/>
  <c r="R80" i="4" s="1"/>
  <c r="Q80" i="4" a="1"/>
  <c r="Q80" i="4" s="1"/>
  <c r="S79" i="4" a="1"/>
  <c r="S79" i="4" s="1"/>
  <c r="R79" i="4" a="1"/>
  <c r="R79" i="4" s="1"/>
  <c r="Q79" i="4" a="1"/>
  <c r="Q79" i="4" s="1"/>
  <c r="S78" i="4" a="1"/>
  <c r="S78" i="4" s="1"/>
  <c r="R78" i="4" a="1"/>
  <c r="R78" i="4" s="1"/>
  <c r="Q78" i="4" a="1"/>
  <c r="Q78" i="4" s="1"/>
  <c r="S77" i="4" a="1"/>
  <c r="S77" i="4" s="1"/>
  <c r="R77" i="4" a="1"/>
  <c r="R77" i="4" s="1"/>
  <c r="Q77" i="4" a="1"/>
  <c r="Q77" i="4" s="1"/>
  <c r="S76" i="4" a="1"/>
  <c r="S76" i="4" s="1"/>
  <c r="R76" i="4" a="1"/>
  <c r="R76" i="4" s="1"/>
  <c r="Q76" i="4" a="1"/>
  <c r="Q76" i="4" s="1"/>
  <c r="S75" i="4" a="1"/>
  <c r="S75" i="4" s="1"/>
  <c r="R75" i="4" a="1"/>
  <c r="R75" i="4" s="1"/>
  <c r="Q75" i="4" a="1"/>
  <c r="Q75" i="4" s="1"/>
  <c r="S74" i="4" a="1"/>
  <c r="S74" i="4" s="1"/>
  <c r="R74" i="4" a="1"/>
  <c r="R74" i="4" s="1"/>
  <c r="Q74" i="4" a="1"/>
  <c r="Q74" i="4" s="1"/>
  <c r="S73" i="4" a="1"/>
  <c r="S73" i="4" s="1"/>
  <c r="R73" i="4" a="1"/>
  <c r="R73" i="4" s="1"/>
  <c r="Q73" i="4" a="1"/>
  <c r="Q73" i="4" s="1"/>
  <c r="S72" i="4" a="1"/>
  <c r="S72" i="4" s="1"/>
  <c r="R72" i="4" a="1"/>
  <c r="R72" i="4" s="1"/>
  <c r="Q72" i="4" a="1"/>
  <c r="Q72" i="4" s="1"/>
  <c r="S71" i="4" a="1"/>
  <c r="S71" i="4" s="1"/>
  <c r="R71" i="4" a="1"/>
  <c r="R71" i="4" s="1"/>
  <c r="Q71" i="4" a="1"/>
  <c r="Q71" i="4" s="1"/>
  <c r="S70" i="4" a="1"/>
  <c r="S70" i="4" s="1"/>
  <c r="R70" i="4" a="1"/>
  <c r="R70" i="4" s="1"/>
  <c r="Q70" i="4" a="1"/>
  <c r="Q70" i="4" s="1"/>
  <c r="S69" i="4" a="1"/>
  <c r="S69" i="4" s="1"/>
  <c r="R69" i="4" a="1"/>
  <c r="R69" i="4" s="1"/>
  <c r="Q69" i="4" a="1"/>
  <c r="Q69" i="4" s="1"/>
  <c r="S68" i="4" a="1"/>
  <c r="S68" i="4" s="1"/>
  <c r="R68" i="4" a="1"/>
  <c r="R68" i="4" s="1"/>
  <c r="Q68" i="4" a="1"/>
  <c r="Q68" i="4" s="1"/>
  <c r="S67" i="4" a="1"/>
  <c r="S67" i="4" s="1"/>
  <c r="R67" i="4" a="1"/>
  <c r="R67" i="4" s="1"/>
  <c r="Q67" i="4" a="1"/>
  <c r="Q67" i="4" s="1"/>
  <c r="S66" i="4" a="1"/>
  <c r="S66" i="4" s="1"/>
  <c r="R66" i="4" a="1"/>
  <c r="R66" i="4" s="1"/>
  <c r="Q66" i="4" a="1"/>
  <c r="Q66" i="4" s="1"/>
  <c r="S65" i="4" a="1"/>
  <c r="S65" i="4" s="1"/>
  <c r="R65" i="4" a="1"/>
  <c r="R65" i="4" s="1"/>
  <c r="Q65" i="4" a="1"/>
  <c r="Q65" i="4" s="1"/>
  <c r="S64" i="4" a="1"/>
  <c r="S64" i="4" s="1"/>
  <c r="R64" i="4" a="1"/>
  <c r="R64" i="4" s="1"/>
  <c r="Q64" i="4" a="1"/>
  <c r="Q64" i="4" s="1"/>
  <c r="S63" i="4" a="1"/>
  <c r="S63" i="4" s="1"/>
  <c r="R63" i="4" a="1"/>
  <c r="R63" i="4" s="1"/>
  <c r="Q63" i="4" a="1"/>
  <c r="Q63" i="4" s="1"/>
  <c r="S62" i="4" a="1"/>
  <c r="S62" i="4" s="1"/>
  <c r="R62" i="4" a="1"/>
  <c r="R62" i="4" s="1"/>
  <c r="Q62" i="4" a="1"/>
  <c r="Q62" i="4" s="1"/>
  <c r="S61" i="4" a="1"/>
  <c r="S61" i="4" s="1"/>
  <c r="R61" i="4" a="1"/>
  <c r="R61" i="4" s="1"/>
  <c r="Q61" i="4" a="1"/>
  <c r="Q61" i="4" s="1"/>
  <c r="S60" i="4" a="1"/>
  <c r="S60" i="4" s="1"/>
  <c r="R60" i="4" a="1"/>
  <c r="R60" i="4" s="1"/>
  <c r="Q60" i="4" a="1"/>
  <c r="Q60" i="4" s="1"/>
  <c r="S59" i="4" a="1"/>
  <c r="S59" i="4" s="1"/>
  <c r="R59" i="4" a="1"/>
  <c r="R59" i="4" s="1"/>
  <c r="Q59" i="4" a="1"/>
  <c r="Q59" i="4" s="1"/>
  <c r="S58" i="4" a="1"/>
  <c r="S58" i="4" s="1"/>
  <c r="R58" i="4" a="1"/>
  <c r="R58" i="4" s="1"/>
  <c r="Q58" i="4" a="1"/>
  <c r="Q58" i="4" s="1"/>
  <c r="S57" i="4" a="1"/>
  <c r="S57" i="4" s="1"/>
  <c r="R57" i="4" a="1"/>
  <c r="R57" i="4" s="1"/>
  <c r="Q57" i="4" a="1"/>
  <c r="Q57" i="4" s="1"/>
  <c r="S56" i="4" a="1"/>
  <c r="S56" i="4" s="1"/>
  <c r="R56" i="4" a="1"/>
  <c r="R56" i="4" s="1"/>
  <c r="Q56" i="4" a="1"/>
  <c r="Q56" i="4" s="1"/>
  <c r="S55" i="4" a="1"/>
  <c r="S55" i="4" s="1"/>
  <c r="R55" i="4" a="1"/>
  <c r="R55" i="4" s="1"/>
  <c r="Q55" i="4" a="1"/>
  <c r="Q55" i="4" s="1"/>
  <c r="S54" i="4" a="1"/>
  <c r="S54" i="4" s="1"/>
  <c r="R54" i="4" a="1"/>
  <c r="R54" i="4" s="1"/>
  <c r="Q54" i="4" a="1"/>
  <c r="Q54" i="4" s="1"/>
  <c r="S53" i="4" a="1"/>
  <c r="S53" i="4" s="1"/>
  <c r="R53" i="4" a="1"/>
  <c r="R53" i="4" s="1"/>
  <c r="Q53" i="4" a="1"/>
  <c r="Q53" i="4" s="1"/>
  <c r="S52" i="4" a="1"/>
  <c r="S52" i="4" s="1"/>
  <c r="R52" i="4" a="1"/>
  <c r="R52" i="4" s="1"/>
  <c r="Q52" i="4" a="1"/>
  <c r="Q52" i="4" s="1"/>
  <c r="S51" i="4" a="1"/>
  <c r="S51" i="4" s="1"/>
  <c r="R51" i="4" a="1"/>
  <c r="R51" i="4" s="1"/>
  <c r="Q51" i="4" a="1"/>
  <c r="Q51" i="4" s="1"/>
  <c r="S50" i="4" a="1"/>
  <c r="S50" i="4" s="1"/>
  <c r="R50" i="4" a="1"/>
  <c r="R50" i="4" s="1"/>
  <c r="Q50" i="4" a="1"/>
  <c r="Q50" i="4" s="1"/>
  <c r="S49" i="4" a="1"/>
  <c r="S49" i="4" s="1"/>
  <c r="R49" i="4" a="1"/>
  <c r="R49" i="4" s="1"/>
  <c r="Q49" i="4" a="1"/>
  <c r="Q49" i="4" s="1"/>
  <c r="S48" i="4" a="1"/>
  <c r="S48" i="4" s="1"/>
  <c r="R48" i="4" a="1"/>
  <c r="R48" i="4" s="1"/>
  <c r="Q48" i="4" a="1"/>
  <c r="Q48" i="4" s="1"/>
  <c r="S47" i="4" a="1"/>
  <c r="S47" i="4" s="1"/>
  <c r="R47" i="4" a="1"/>
  <c r="R47" i="4" s="1"/>
  <c r="Q47" i="4" a="1"/>
  <c r="Q47" i="4" s="1"/>
  <c r="S46" i="4" a="1"/>
  <c r="S46" i="4" s="1"/>
  <c r="R46" i="4" a="1"/>
  <c r="R46" i="4" s="1"/>
  <c r="Q46" i="4" a="1"/>
  <c r="Q46" i="4" s="1"/>
  <c r="S45" i="4" a="1"/>
  <c r="S45" i="4" s="1"/>
  <c r="R45" i="4" a="1"/>
  <c r="R45" i="4" s="1"/>
  <c r="Q45" i="4" a="1"/>
  <c r="Q45" i="4" s="1"/>
  <c r="S44" i="4" a="1"/>
  <c r="S44" i="4" s="1"/>
  <c r="R44" i="4" a="1"/>
  <c r="R44" i="4" s="1"/>
  <c r="Q44" i="4" a="1"/>
  <c r="Q44" i="4" s="1"/>
  <c r="S43" i="4" a="1"/>
  <c r="S43" i="4" s="1"/>
  <c r="R43" i="4" a="1"/>
  <c r="R43" i="4" s="1"/>
  <c r="Q43" i="4" a="1"/>
  <c r="Q43" i="4" s="1"/>
  <c r="S42" i="4" a="1"/>
  <c r="S42" i="4" s="1"/>
  <c r="R42" i="4" a="1"/>
  <c r="R42" i="4" s="1"/>
  <c r="Q42" i="4" a="1"/>
  <c r="Q42" i="4" s="1"/>
  <c r="S41" i="4" a="1"/>
  <c r="S41" i="4" s="1"/>
  <c r="R41" i="4" a="1"/>
  <c r="R41" i="4" s="1"/>
  <c r="Q41" i="4" a="1"/>
  <c r="Q41" i="4" s="1"/>
  <c r="S40" i="4" a="1"/>
  <c r="S40" i="4" s="1"/>
  <c r="R40" i="4" a="1"/>
  <c r="R40" i="4" s="1"/>
  <c r="Q40" i="4" a="1"/>
  <c r="Q40" i="4" s="1"/>
  <c r="S39" i="4" a="1"/>
  <c r="S39" i="4" s="1"/>
  <c r="R39" i="4" a="1"/>
  <c r="R39" i="4" s="1"/>
  <c r="Q39" i="4" a="1"/>
  <c r="Q39" i="4" s="1"/>
  <c r="S38" i="4" a="1"/>
  <c r="S38" i="4" s="1"/>
  <c r="R38" i="4" a="1"/>
  <c r="R38" i="4" s="1"/>
  <c r="Q38" i="4" a="1"/>
  <c r="Q38" i="4" s="1"/>
  <c r="S37" i="4" a="1"/>
  <c r="S37" i="4" s="1"/>
  <c r="R37" i="4" a="1"/>
  <c r="R37" i="4" s="1"/>
  <c r="Q37" i="4" a="1"/>
  <c r="Q37" i="4" s="1"/>
  <c r="S36" i="4" a="1"/>
  <c r="S36" i="4" s="1"/>
  <c r="R36" i="4" a="1"/>
  <c r="R36" i="4" s="1"/>
  <c r="Q36" i="4" a="1"/>
  <c r="Q36" i="4" s="1"/>
  <c r="S35" i="4" a="1"/>
  <c r="S35" i="4" s="1"/>
  <c r="R35" i="4" a="1"/>
  <c r="R35" i="4" s="1"/>
  <c r="Q35" i="4" a="1"/>
  <c r="Q35" i="4" s="1"/>
  <c r="S34" i="4" a="1"/>
  <c r="S34" i="4" s="1"/>
  <c r="R34" i="4" a="1"/>
  <c r="R34" i="4" s="1"/>
  <c r="Q34" i="4" a="1"/>
  <c r="Q34" i="4" s="1"/>
  <c r="S33" i="4" a="1"/>
  <c r="S33" i="4" s="1"/>
  <c r="R33" i="4" a="1"/>
  <c r="R33" i="4" s="1"/>
  <c r="Q33" i="4" a="1"/>
  <c r="Q33" i="4" s="1"/>
  <c r="S32" i="4" a="1"/>
  <c r="S32" i="4" s="1"/>
  <c r="R32" i="4" a="1"/>
  <c r="R32" i="4" s="1"/>
  <c r="Q32" i="4" a="1"/>
  <c r="Q32" i="4" s="1"/>
  <c r="S31" i="4" a="1"/>
  <c r="S31" i="4" s="1"/>
  <c r="R31" i="4" a="1"/>
  <c r="R31" i="4" s="1"/>
  <c r="Q31" i="4" a="1"/>
  <c r="Q31" i="4" s="1"/>
  <c r="S30" i="4" a="1"/>
  <c r="S30" i="4" s="1"/>
  <c r="R30" i="4" a="1"/>
  <c r="R30" i="4" s="1"/>
  <c r="Q30" i="4" a="1"/>
  <c r="Q30" i="4" s="1"/>
  <c r="S29" i="4" a="1"/>
  <c r="S29" i="4" s="1"/>
  <c r="R29" i="4" a="1"/>
  <c r="R29" i="4" s="1"/>
  <c r="Q29" i="4" a="1"/>
  <c r="Q29" i="4" s="1"/>
  <c r="S28" i="4" a="1"/>
  <c r="S28" i="4" s="1"/>
  <c r="R28" i="4" a="1"/>
  <c r="R28" i="4" s="1"/>
  <c r="Q28" i="4" a="1"/>
  <c r="Q28" i="4" s="1"/>
  <c r="S27" i="4" a="1"/>
  <c r="S27" i="4" s="1"/>
  <c r="R27" i="4" a="1"/>
  <c r="R27" i="4" s="1"/>
  <c r="Q27" i="4" a="1"/>
  <c r="Q27" i="4" s="1"/>
  <c r="S26" i="4" a="1"/>
  <c r="S26" i="4" s="1"/>
  <c r="R26" i="4" a="1"/>
  <c r="R26" i="4" s="1"/>
  <c r="Q26" i="4" a="1"/>
  <c r="Q26" i="4" s="1"/>
  <c r="S25" i="4" a="1"/>
  <c r="S25" i="4" s="1"/>
  <c r="R25" i="4" a="1"/>
  <c r="R25" i="4" s="1"/>
  <c r="Q25" i="4" a="1"/>
  <c r="Q25" i="4" s="1"/>
  <c r="S24" i="4" a="1"/>
  <c r="S24" i="4" s="1"/>
  <c r="R24" i="4" a="1"/>
  <c r="R24" i="4" s="1"/>
  <c r="Q24" i="4" a="1"/>
  <c r="Q24" i="4" s="1"/>
  <c r="S23" i="4" a="1"/>
  <c r="S23" i="4" s="1"/>
  <c r="R23" i="4" a="1"/>
  <c r="R23" i="4" s="1"/>
  <c r="Q23" i="4" a="1"/>
  <c r="Q23" i="4" s="1"/>
  <c r="S22" i="4" a="1"/>
  <c r="S22" i="4" s="1"/>
  <c r="R22" i="4" a="1"/>
  <c r="R22" i="4" s="1"/>
  <c r="Q22" i="4" a="1"/>
  <c r="Q22" i="4" s="1"/>
  <c r="S21" i="4" a="1"/>
  <c r="S21" i="4" s="1"/>
  <c r="R21" i="4" a="1"/>
  <c r="R21" i="4" s="1"/>
  <c r="Q21" i="4" a="1"/>
  <c r="Q21" i="4" s="1"/>
  <c r="S20" i="4" a="1"/>
  <c r="S20" i="4" s="1"/>
  <c r="R20" i="4" a="1"/>
  <c r="R20" i="4" s="1"/>
  <c r="Q20" i="4" a="1"/>
  <c r="Q20" i="4" s="1"/>
  <c r="S19" i="4" a="1"/>
  <c r="S19" i="4" s="1"/>
  <c r="R19" i="4" a="1"/>
  <c r="R19" i="4" s="1"/>
  <c r="Q19" i="4" a="1"/>
  <c r="Q19" i="4" s="1"/>
  <c r="S18" i="4" a="1"/>
  <c r="S18" i="4" s="1"/>
  <c r="R18" i="4" a="1"/>
  <c r="R18" i="4" s="1"/>
  <c r="Q18" i="4" a="1"/>
  <c r="Q18" i="4" s="1"/>
  <c r="S17" i="4" a="1"/>
  <c r="S17" i="4" s="1"/>
  <c r="R17" i="4" a="1"/>
  <c r="R17" i="4" s="1"/>
  <c r="Q17" i="4" a="1"/>
  <c r="Q17" i="4" s="1"/>
  <c r="S16" i="4" a="1"/>
  <c r="S16" i="4" s="1"/>
  <c r="R16" i="4" a="1"/>
  <c r="R16" i="4" s="1"/>
  <c r="Q16" i="4" a="1"/>
  <c r="Q16" i="4" s="1"/>
  <c r="S15" i="4" a="1"/>
  <c r="S15" i="4" s="1"/>
  <c r="R15" i="4" a="1"/>
  <c r="R15" i="4" s="1"/>
  <c r="Q15" i="4" a="1"/>
  <c r="Q15" i="4" s="1"/>
  <c r="S14" i="4" a="1"/>
  <c r="S14" i="4" s="1"/>
  <c r="R14" i="4" a="1"/>
  <c r="R14" i="4" s="1"/>
  <c r="Q14" i="4" a="1"/>
  <c r="Q14" i="4" s="1"/>
  <c r="S13" i="4" a="1"/>
  <c r="S13" i="4" s="1"/>
  <c r="R13" i="4" a="1"/>
  <c r="R13" i="4" s="1"/>
  <c r="Q13" i="4" a="1"/>
  <c r="Q13" i="4" s="1"/>
  <c r="S12" i="4" a="1"/>
  <c r="S12" i="4" s="1"/>
  <c r="R12" i="4" a="1"/>
  <c r="R12" i="4" s="1"/>
  <c r="Q12" i="4" a="1"/>
  <c r="Q12" i="4" s="1"/>
  <c r="S11" i="4" a="1"/>
  <c r="S11" i="4" s="1"/>
  <c r="R11" i="4" a="1"/>
  <c r="R11" i="4" s="1"/>
  <c r="Q11" i="4" a="1"/>
  <c r="Q11" i="4" s="1"/>
  <c r="S10" i="4" a="1"/>
  <c r="S10" i="4" s="1"/>
  <c r="R10" i="4" a="1"/>
  <c r="R10" i="4" s="1"/>
  <c r="Q10" i="4" a="1"/>
  <c r="Q10" i="4" s="1"/>
  <c r="S9" i="4" a="1"/>
  <c r="S9" i="4" s="1"/>
  <c r="R9" i="4" a="1"/>
  <c r="R9" i="4" s="1"/>
  <c r="Q9" i="4" a="1"/>
  <c r="Q9" i="4" s="1"/>
  <c r="S8" i="4" a="1"/>
  <c r="S8" i="4" s="1"/>
  <c r="R8" i="4" a="1"/>
  <c r="R8" i="4" s="1"/>
  <c r="Q8" i="4" a="1"/>
  <c r="Q8" i="4" s="1"/>
  <c r="L181" i="15"/>
  <c r="K181" i="15"/>
  <c r="R181" i="15"/>
  <c r="L180" i="15"/>
  <c r="K180" i="15"/>
  <c r="R180" i="15"/>
  <c r="L179" i="15"/>
  <c r="K179" i="15"/>
  <c r="R179" i="15"/>
  <c r="L178" i="15"/>
  <c r="K178" i="15"/>
  <c r="R178" i="15"/>
  <c r="L177" i="15"/>
  <c r="K177" i="15"/>
  <c r="R177" i="15"/>
  <c r="L176" i="15"/>
  <c r="K176" i="15"/>
  <c r="R176" i="15"/>
  <c r="L175" i="15"/>
  <c r="K175" i="15"/>
  <c r="R175" i="15"/>
  <c r="L174" i="15"/>
  <c r="K174" i="15"/>
  <c r="R174" i="15"/>
  <c r="L173" i="15"/>
  <c r="K173" i="15"/>
  <c r="R173" i="15"/>
  <c r="L172" i="15"/>
  <c r="K172" i="15"/>
  <c r="R172" i="15"/>
  <c r="L171" i="15"/>
  <c r="K171" i="15"/>
  <c r="R171" i="15"/>
  <c r="L170" i="15"/>
  <c r="K170" i="15"/>
  <c r="R170" i="15"/>
  <c r="L169" i="15"/>
  <c r="K169" i="15"/>
  <c r="R169" i="15"/>
  <c r="L168" i="15"/>
  <c r="K168" i="15"/>
  <c r="R168" i="15"/>
  <c r="L167" i="15"/>
  <c r="K167" i="15"/>
  <c r="R167" i="15"/>
  <c r="L166" i="15"/>
  <c r="K166" i="15"/>
  <c r="R166" i="15"/>
  <c r="L165" i="15"/>
  <c r="K165" i="15"/>
  <c r="R165" i="15"/>
  <c r="L164" i="15"/>
  <c r="K164" i="15"/>
  <c r="R164" i="15"/>
  <c r="L163" i="15"/>
  <c r="K163" i="15"/>
  <c r="R163" i="15"/>
  <c r="L162" i="15"/>
  <c r="K162" i="15"/>
  <c r="R162" i="15"/>
  <c r="L161" i="15"/>
  <c r="K161" i="15"/>
  <c r="R161" i="15"/>
  <c r="L160" i="15"/>
  <c r="K160" i="15"/>
  <c r="R160" i="15"/>
  <c r="L159" i="15"/>
  <c r="K159" i="15"/>
  <c r="R159" i="15"/>
  <c r="L158" i="15"/>
  <c r="K158" i="15"/>
  <c r="R158" i="15"/>
  <c r="L157" i="15"/>
  <c r="K157" i="15"/>
  <c r="R157" i="15"/>
  <c r="L156" i="15"/>
  <c r="K156" i="15"/>
  <c r="R156" i="15"/>
  <c r="L155" i="15"/>
  <c r="K155" i="15"/>
  <c r="R155" i="15"/>
  <c r="L154" i="15"/>
  <c r="K154" i="15"/>
  <c r="R154" i="15"/>
  <c r="L153" i="15"/>
  <c r="K153" i="15"/>
  <c r="R153" i="15"/>
  <c r="L152" i="15"/>
  <c r="K152" i="15"/>
  <c r="R152" i="15"/>
  <c r="L151" i="15"/>
  <c r="K151" i="15"/>
  <c r="R151" i="15"/>
  <c r="L150" i="15"/>
  <c r="K150" i="15"/>
  <c r="R150" i="15"/>
  <c r="L149" i="15"/>
  <c r="K149" i="15"/>
  <c r="R149" i="15"/>
  <c r="L148" i="15"/>
  <c r="K148" i="15"/>
  <c r="R148" i="15"/>
  <c r="L147" i="15"/>
  <c r="K147" i="15"/>
  <c r="R147" i="15"/>
  <c r="L146" i="15"/>
  <c r="K146" i="15"/>
  <c r="R146" i="15"/>
  <c r="L145" i="15"/>
  <c r="K145" i="15"/>
  <c r="R145" i="15"/>
  <c r="L144" i="15"/>
  <c r="K144" i="15"/>
  <c r="R144" i="15"/>
  <c r="L143" i="15"/>
  <c r="K143" i="15"/>
  <c r="R143" i="15"/>
  <c r="L142" i="15"/>
  <c r="K142" i="15"/>
  <c r="R142" i="15"/>
  <c r="L141" i="15"/>
  <c r="K141" i="15"/>
  <c r="R141" i="15"/>
  <c r="L140" i="15"/>
  <c r="K140" i="15"/>
  <c r="R140" i="15"/>
  <c r="L139" i="15"/>
  <c r="K139" i="15"/>
  <c r="R139" i="15"/>
  <c r="L138" i="15"/>
  <c r="K138" i="15"/>
  <c r="R138" i="15"/>
  <c r="L137" i="15"/>
  <c r="K137" i="15"/>
  <c r="R137" i="15"/>
  <c r="L136" i="15"/>
  <c r="K136" i="15"/>
  <c r="R136" i="15"/>
  <c r="L135" i="15"/>
  <c r="K135" i="15"/>
  <c r="R135" i="15"/>
  <c r="L134" i="15"/>
  <c r="K134" i="15"/>
  <c r="R134" i="15"/>
  <c r="L133" i="15"/>
  <c r="K133" i="15"/>
  <c r="R133" i="15"/>
  <c r="L132" i="15"/>
  <c r="K132" i="15"/>
  <c r="R132" i="15"/>
  <c r="L131" i="15"/>
  <c r="K131" i="15"/>
  <c r="R131" i="15"/>
  <c r="L130" i="15"/>
  <c r="K130" i="15"/>
  <c r="R130" i="15"/>
  <c r="L129" i="15"/>
  <c r="K129" i="15"/>
  <c r="R129" i="15"/>
  <c r="L128" i="15"/>
  <c r="K128" i="15"/>
  <c r="R128" i="15"/>
  <c r="L127" i="15"/>
  <c r="K127" i="15"/>
  <c r="R127" i="15"/>
  <c r="L126" i="15"/>
  <c r="K126" i="15"/>
  <c r="R126" i="15"/>
  <c r="L125" i="15"/>
  <c r="K125" i="15"/>
  <c r="R125" i="15"/>
  <c r="L124" i="15"/>
  <c r="K124" i="15"/>
  <c r="R124" i="15"/>
  <c r="L123" i="15"/>
  <c r="K123" i="15"/>
  <c r="R123" i="15"/>
  <c r="L122" i="15"/>
  <c r="K122" i="15"/>
  <c r="R122" i="15"/>
  <c r="L121" i="15"/>
  <c r="K121" i="15"/>
  <c r="R121" i="15"/>
  <c r="L120" i="15"/>
  <c r="K120" i="15"/>
  <c r="R120" i="15"/>
  <c r="L119" i="15"/>
  <c r="K119" i="15"/>
  <c r="R119" i="15"/>
  <c r="L118" i="15"/>
  <c r="K118" i="15"/>
  <c r="R118" i="15"/>
  <c r="L117" i="15"/>
  <c r="K117" i="15"/>
  <c r="R117" i="15"/>
  <c r="L116" i="15"/>
  <c r="K116" i="15"/>
  <c r="R116" i="15"/>
  <c r="L115" i="15"/>
  <c r="K115" i="15"/>
  <c r="R115" i="15"/>
  <c r="L114" i="15"/>
  <c r="K114" i="15"/>
  <c r="R114" i="15"/>
  <c r="L113" i="15"/>
  <c r="K113" i="15"/>
  <c r="R113" i="15"/>
  <c r="L112" i="15"/>
  <c r="K112" i="15"/>
  <c r="R112" i="15"/>
  <c r="L111" i="15"/>
  <c r="K111" i="15"/>
  <c r="R111" i="15"/>
  <c r="L110" i="15"/>
  <c r="K110" i="15"/>
  <c r="R110" i="15"/>
  <c r="L109" i="15"/>
  <c r="K109" i="15"/>
  <c r="R109" i="15"/>
  <c r="L108" i="15"/>
  <c r="K108" i="15"/>
  <c r="R108" i="15"/>
  <c r="L107" i="15"/>
  <c r="K107" i="15"/>
  <c r="R107" i="15"/>
  <c r="L106" i="15"/>
  <c r="K106" i="15"/>
  <c r="R106" i="15"/>
  <c r="L105" i="15"/>
  <c r="K105" i="15"/>
  <c r="R105" i="15"/>
  <c r="L104" i="15"/>
  <c r="K104" i="15"/>
  <c r="R104" i="15"/>
  <c r="L103" i="15"/>
  <c r="K103" i="15"/>
  <c r="R103" i="15"/>
  <c r="L102" i="15"/>
  <c r="K102" i="15"/>
  <c r="R102" i="15"/>
  <c r="L101" i="15"/>
  <c r="K101" i="15"/>
  <c r="R101" i="15"/>
  <c r="L100" i="15"/>
  <c r="K100" i="15"/>
  <c r="R100" i="15"/>
  <c r="L99" i="15"/>
  <c r="K99" i="15"/>
  <c r="R99" i="15"/>
  <c r="L98" i="15"/>
  <c r="K98" i="15"/>
  <c r="R98" i="15"/>
  <c r="L97" i="15"/>
  <c r="K97" i="15"/>
  <c r="R97" i="15"/>
  <c r="L96" i="15"/>
  <c r="K96" i="15"/>
  <c r="R96" i="15"/>
  <c r="L95" i="15"/>
  <c r="K95" i="15"/>
  <c r="R95" i="15"/>
  <c r="L94" i="15"/>
  <c r="K94" i="15"/>
  <c r="R94" i="15"/>
  <c r="L93" i="15"/>
  <c r="K93" i="15"/>
  <c r="R93" i="15"/>
  <c r="L92" i="15"/>
  <c r="K92" i="15"/>
  <c r="R92" i="15"/>
  <c r="L91" i="15"/>
  <c r="K91" i="15"/>
  <c r="R91" i="15"/>
  <c r="L90" i="15"/>
  <c r="K90" i="15"/>
  <c r="R90" i="15"/>
  <c r="L89" i="15"/>
  <c r="K89" i="15"/>
  <c r="R89" i="15"/>
  <c r="L88" i="15"/>
  <c r="K88" i="15"/>
  <c r="R88" i="15"/>
  <c r="L87" i="15"/>
  <c r="K87" i="15"/>
  <c r="R87" i="15"/>
  <c r="L86" i="15"/>
  <c r="K86" i="15"/>
  <c r="R86" i="15"/>
  <c r="L85" i="15"/>
  <c r="K85" i="15"/>
  <c r="R85" i="15"/>
  <c r="L84" i="15"/>
  <c r="K84" i="15"/>
  <c r="R84" i="15"/>
  <c r="L83" i="15"/>
  <c r="K83" i="15"/>
  <c r="R83" i="15"/>
  <c r="L82" i="15"/>
  <c r="K82" i="15"/>
  <c r="R82" i="15"/>
  <c r="L81" i="15"/>
  <c r="K81" i="15"/>
  <c r="R81" i="15"/>
  <c r="L80" i="15"/>
  <c r="K80" i="15"/>
  <c r="R80" i="15"/>
  <c r="L79" i="15"/>
  <c r="K79" i="15"/>
  <c r="R79" i="15"/>
  <c r="L78" i="15"/>
  <c r="K78" i="15"/>
  <c r="R78" i="15"/>
  <c r="L77" i="15"/>
  <c r="K77" i="15"/>
  <c r="R77" i="15"/>
  <c r="L76" i="15"/>
  <c r="K76" i="15"/>
  <c r="R76" i="15"/>
  <c r="L75" i="15"/>
  <c r="K75" i="15"/>
  <c r="R75" i="15"/>
  <c r="L74" i="15"/>
  <c r="K74" i="15"/>
  <c r="R74" i="15"/>
  <c r="L73" i="15"/>
  <c r="K73" i="15"/>
  <c r="R73" i="15"/>
  <c r="L72" i="15"/>
  <c r="K72" i="15"/>
  <c r="R72" i="15"/>
  <c r="L71" i="15"/>
  <c r="K71" i="15"/>
  <c r="R71" i="15"/>
  <c r="L70" i="15"/>
  <c r="K70" i="15"/>
  <c r="R70" i="15"/>
  <c r="L69" i="15"/>
  <c r="K69" i="15"/>
  <c r="R69" i="15"/>
  <c r="L68" i="15"/>
  <c r="K68" i="15"/>
  <c r="R68" i="15"/>
  <c r="L67" i="15"/>
  <c r="K67" i="15"/>
  <c r="R67" i="15"/>
  <c r="L66" i="15"/>
  <c r="K66" i="15"/>
  <c r="R66" i="15"/>
  <c r="L65" i="15"/>
  <c r="K65" i="15"/>
  <c r="R65" i="15"/>
  <c r="L64" i="15"/>
  <c r="K64" i="15"/>
  <c r="R64" i="15"/>
  <c r="L63" i="15"/>
  <c r="K63" i="15"/>
  <c r="R63" i="15"/>
  <c r="L62" i="15"/>
  <c r="K62" i="15"/>
  <c r="R62" i="15"/>
  <c r="L61" i="15"/>
  <c r="K61" i="15"/>
  <c r="R61" i="15"/>
  <c r="L60" i="15"/>
  <c r="K60" i="15"/>
  <c r="R60" i="15"/>
  <c r="L59" i="15"/>
  <c r="K59" i="15"/>
  <c r="R59" i="15"/>
  <c r="L58" i="15"/>
  <c r="K58" i="15"/>
  <c r="R58" i="15"/>
  <c r="L57" i="15"/>
  <c r="K57" i="15"/>
  <c r="R57" i="15"/>
  <c r="L56" i="15"/>
  <c r="K56" i="15"/>
  <c r="R56" i="15"/>
  <c r="L55" i="15"/>
  <c r="K55" i="15"/>
  <c r="R55" i="15"/>
  <c r="L54" i="15"/>
  <c r="K54" i="15"/>
  <c r="R54" i="15"/>
  <c r="L53" i="15"/>
  <c r="K53" i="15"/>
  <c r="R53" i="15"/>
  <c r="L52" i="15"/>
  <c r="K52" i="15"/>
  <c r="R52" i="15"/>
  <c r="L51" i="15"/>
  <c r="K51" i="15"/>
  <c r="R51" i="15"/>
  <c r="L50" i="15"/>
  <c r="K50" i="15"/>
  <c r="R50" i="15"/>
  <c r="L49" i="15"/>
  <c r="K49" i="15"/>
  <c r="R49" i="15"/>
  <c r="L48" i="15"/>
  <c r="K48" i="15"/>
  <c r="R48" i="15"/>
  <c r="L47" i="15"/>
  <c r="K47" i="15"/>
  <c r="R47" i="15"/>
  <c r="L46" i="15"/>
  <c r="K46" i="15"/>
  <c r="R46" i="15"/>
  <c r="L45" i="15"/>
  <c r="K45" i="15"/>
  <c r="R45" i="15"/>
  <c r="L44" i="15"/>
  <c r="K44" i="15"/>
  <c r="R44" i="15"/>
  <c r="L43" i="15"/>
  <c r="K43" i="15"/>
  <c r="R43" i="15"/>
  <c r="L42" i="15"/>
  <c r="K42" i="15"/>
  <c r="R42" i="15"/>
  <c r="L41" i="15"/>
  <c r="K41" i="15"/>
  <c r="R41" i="15"/>
  <c r="L40" i="15"/>
  <c r="K40" i="15"/>
  <c r="R40" i="15"/>
  <c r="L39" i="15"/>
  <c r="K39" i="15"/>
  <c r="R39" i="15"/>
  <c r="L38" i="15"/>
  <c r="K38" i="15"/>
  <c r="R38" i="15"/>
  <c r="L37" i="15"/>
  <c r="K37" i="15"/>
  <c r="R37" i="15"/>
  <c r="L36" i="15"/>
  <c r="K36" i="15"/>
  <c r="R36" i="15"/>
  <c r="L35" i="15"/>
  <c r="K35" i="15"/>
  <c r="R35" i="15"/>
  <c r="L34" i="15"/>
  <c r="K34" i="15"/>
  <c r="R34" i="15"/>
  <c r="L33" i="15"/>
  <c r="K33" i="15"/>
  <c r="R33" i="15"/>
  <c r="L32" i="15"/>
  <c r="K32" i="15"/>
  <c r="R32" i="15"/>
  <c r="L31" i="15"/>
  <c r="K31" i="15"/>
  <c r="R31" i="15"/>
  <c r="L30" i="15"/>
  <c r="K30" i="15"/>
  <c r="R30" i="15"/>
  <c r="L29" i="15"/>
  <c r="K29" i="15"/>
  <c r="R29" i="15"/>
  <c r="L28" i="15"/>
  <c r="K28" i="15"/>
  <c r="R28" i="15"/>
  <c r="L27" i="15"/>
  <c r="K27" i="15"/>
  <c r="R27" i="15"/>
  <c r="L26" i="15"/>
  <c r="K26" i="15"/>
  <c r="R26" i="15"/>
  <c r="L25" i="15"/>
  <c r="K25" i="15"/>
  <c r="R25" i="15"/>
  <c r="L24" i="15"/>
  <c r="K24" i="15"/>
  <c r="R24" i="15"/>
  <c r="L23" i="15"/>
  <c r="K23" i="15"/>
  <c r="R23" i="15"/>
  <c r="L22" i="15"/>
  <c r="K22" i="15"/>
  <c r="R22" i="15"/>
  <c r="L21" i="15"/>
  <c r="K21" i="15"/>
  <c r="R21" i="15"/>
  <c r="L20" i="15"/>
  <c r="K20" i="15"/>
  <c r="R20" i="15"/>
  <c r="L19" i="15"/>
  <c r="K19" i="15"/>
  <c r="R19" i="15"/>
  <c r="L18" i="15"/>
  <c r="K18" i="15"/>
  <c r="R18" i="15"/>
  <c r="L17" i="15"/>
  <c r="K17" i="15"/>
  <c r="R17" i="15"/>
  <c r="L16" i="15"/>
  <c r="K16" i="15"/>
  <c r="R16" i="15"/>
  <c r="L15" i="15"/>
  <c r="K15" i="15"/>
  <c r="R15" i="15"/>
  <c r="L14" i="15"/>
  <c r="K14" i="15"/>
  <c r="R14" i="15"/>
  <c r="L13" i="15"/>
  <c r="K13" i="15"/>
  <c r="R13" i="15"/>
  <c r="L12" i="15"/>
  <c r="K12" i="15"/>
  <c r="R12" i="15"/>
  <c r="L11" i="15"/>
  <c r="K11" i="15"/>
  <c r="R11" i="15"/>
  <c r="L10" i="15"/>
  <c r="K10" i="15"/>
  <c r="R10" i="15"/>
  <c r="L9" i="15"/>
  <c r="K9" i="15"/>
  <c r="R9" i="15"/>
  <c r="L8" i="15"/>
  <c r="K8" i="15"/>
  <c r="R8" i="15"/>
  <c r="L7" i="15"/>
  <c r="K7" i="15"/>
  <c r="R7" i="15"/>
  <c r="L6" i="15"/>
  <c r="K6" i="15"/>
  <c r="R6" i="15"/>
  <c r="L5" i="15"/>
  <c r="K5" i="15"/>
  <c r="R5" i="15"/>
  <c r="L4" i="15"/>
  <c r="K4" i="15"/>
  <c r="R4" i="15"/>
  <c r="L3" i="15"/>
  <c r="K3" i="15"/>
  <c r="R3" i="15"/>
  <c r="L2" i="15"/>
  <c r="K2" i="15"/>
  <c r="R2" i="15"/>
  <c r="P11" i="10"/>
  <c r="O12" i="10"/>
  <c r="P12" i="10" s="1"/>
  <c r="O11" i="10"/>
  <c r="M13" i="10"/>
  <c r="N8" i="9"/>
  <c r="M8" i="9"/>
  <c r="E13" i="8"/>
  <c r="F13" i="8"/>
  <c r="G12" i="8"/>
  <c r="H12" i="8" s="1"/>
  <c r="G11" i="8"/>
  <c r="G13" i="8" s="1"/>
  <c r="F12" i="8"/>
  <c r="F11" i="8"/>
  <c r="J3" i="8"/>
  <c r="J4" i="8"/>
  <c r="L56" i="7" l="1"/>
  <c r="J55" i="7"/>
  <c r="K55" i="7" s="1"/>
  <c r="J53" i="7"/>
  <c r="K53" i="7"/>
  <c r="P13" i="10"/>
  <c r="H11" i="8"/>
  <c r="H13" i="8" s="1"/>
  <c r="J56" i="7" l="1"/>
  <c r="K56" i="7"/>
  <c r="S12" i="13" l="1"/>
  <c r="Q12" i="13"/>
  <c r="P12" i="13"/>
  <c r="S11" i="13"/>
  <c r="Q11" i="13"/>
  <c r="S10" i="13"/>
  <c r="Q10" i="13"/>
  <c r="H7" i="5"/>
  <c r="H6" i="5"/>
  <c r="H8" i="5" s="1"/>
  <c r="H5" i="5"/>
  <c r="H4" i="5"/>
  <c r="H3" i="5"/>
  <c r="G4" i="5"/>
  <c r="G3" i="5"/>
  <c r="F7" i="5"/>
  <c r="G7" i="5" s="1"/>
  <c r="F6" i="5"/>
  <c r="F5" i="5"/>
  <c r="G5" i="5" s="1"/>
  <c r="F4" i="5"/>
  <c r="F3" i="5"/>
  <c r="D6" i="5"/>
  <c r="D8" i="5" s="1"/>
  <c r="T10" i="2"/>
  <c r="C26" i="2"/>
  <c r="F25" i="2"/>
  <c r="D7" i="12"/>
  <c r="D5" i="12"/>
  <c r="H49" i="7"/>
  <c r="L48" i="7"/>
  <c r="E48" i="7"/>
  <c r="I48" i="7" s="1"/>
  <c r="L47" i="7"/>
  <c r="L49" i="7" s="1"/>
  <c r="E47" i="7"/>
  <c r="I47" i="7" s="1"/>
  <c r="I73" i="7"/>
  <c r="J73" i="7" s="1"/>
  <c r="I74" i="7"/>
  <c r="J74" i="7" s="1"/>
  <c r="G74" i="7"/>
  <c r="G73" i="7"/>
  <c r="L61" i="7"/>
  <c r="L60" i="7"/>
  <c r="H75" i="7"/>
  <c r="L74" i="7"/>
  <c r="L73" i="7"/>
  <c r="L68" i="7"/>
  <c r="L42" i="7"/>
  <c r="L34" i="7"/>
  <c r="L33" i="7"/>
  <c r="I75" i="7" l="1"/>
  <c r="L75" i="7"/>
  <c r="G6" i="5"/>
  <c r="G8" i="5" s="1"/>
  <c r="D8" i="12"/>
  <c r="J47" i="7"/>
  <c r="K47" i="7"/>
  <c r="I49" i="7"/>
  <c r="J48" i="7"/>
  <c r="K48" i="7" s="1"/>
  <c r="K74" i="7"/>
  <c r="L35" i="7"/>
  <c r="K49" i="7" l="1"/>
  <c r="J49" i="7"/>
  <c r="J75" i="7"/>
  <c r="K73" i="7"/>
  <c r="K75" i="7" s="1"/>
  <c r="H5" i="6"/>
  <c r="H6" i="6" s="1"/>
  <c r="I5" i="8" l="1"/>
  <c r="K4" i="8"/>
  <c r="K3" i="8"/>
  <c r="K5" i="8" l="1"/>
  <c r="J34" i="7"/>
  <c r="J33" i="7"/>
  <c r="I34" i="7"/>
  <c r="I33" i="7"/>
  <c r="H35" i="7"/>
  <c r="L27" i="7"/>
  <c r="L67" i="7"/>
  <c r="L69" i="7" s="1"/>
  <c r="H69" i="7"/>
  <c r="F27" i="7"/>
  <c r="I27" i="7"/>
  <c r="K34" i="7" l="1"/>
  <c r="J35" i="7"/>
  <c r="K33" i="7"/>
  <c r="I35" i="7"/>
  <c r="I8" i="7"/>
  <c r="D19" i="2"/>
  <c r="F24" i="2"/>
  <c r="F26" i="2" s="1"/>
  <c r="I4" i="2" s="1"/>
  <c r="S12" i="2" l="1"/>
  <c r="R12" i="2"/>
  <c r="P12" i="2"/>
  <c r="N12" i="2"/>
  <c r="Y12" i="2"/>
  <c r="X12" i="2"/>
  <c r="V12" i="2"/>
  <c r="H13" i="7"/>
  <c r="J13" i="7" s="1"/>
  <c r="J27" i="7"/>
  <c r="K27" i="7" s="1"/>
  <c r="I28" i="7"/>
  <c r="L28" i="7"/>
  <c r="H28" i="7"/>
  <c r="U12" i="2"/>
  <c r="W10" i="2"/>
  <c r="X10" i="2" s="1"/>
  <c r="T9" i="2"/>
  <c r="W9" i="2" s="1"/>
  <c r="L21" i="7"/>
  <c r="L20" i="7"/>
  <c r="L14" i="7"/>
  <c r="L13" i="7"/>
  <c r="E68" i="7"/>
  <c r="E67" i="7"/>
  <c r="E61" i="7"/>
  <c r="E60" i="7"/>
  <c r="I60" i="7" s="1"/>
  <c r="J60" i="7" s="1"/>
  <c r="E41" i="7"/>
  <c r="E40" i="7"/>
  <c r="K42" i="7"/>
  <c r="G42" i="7"/>
  <c r="K35" i="7"/>
  <c r="J21" i="7"/>
  <c r="J20" i="7"/>
  <c r="E21" i="7"/>
  <c r="G21" i="7" s="1"/>
  <c r="K21" i="7" s="1"/>
  <c r="E20" i="7"/>
  <c r="G20" i="7" s="1"/>
  <c r="K20" i="7" s="1"/>
  <c r="I22" i="7"/>
  <c r="G15" i="7"/>
  <c r="H14" i="7"/>
  <c r="L22" i="7" l="1"/>
  <c r="I61" i="7"/>
  <c r="J61" i="7" s="1"/>
  <c r="J62" i="7"/>
  <c r="J68" i="7"/>
  <c r="I68" i="7"/>
  <c r="I67" i="7"/>
  <c r="J67" i="7"/>
  <c r="J69" i="7" s="1"/>
  <c r="L62" i="7"/>
  <c r="H62" i="7"/>
  <c r="L15" i="7"/>
  <c r="L8" i="7"/>
  <c r="T12" i="2"/>
  <c r="Q12" i="2"/>
  <c r="J22" i="7"/>
  <c r="K22" i="7"/>
  <c r="H15" i="7"/>
  <c r="K13" i="7"/>
  <c r="J14" i="7"/>
  <c r="K61" i="7" l="1"/>
  <c r="C4" i="2"/>
  <c r="K68" i="7"/>
  <c r="I69" i="7"/>
  <c r="K67" i="7"/>
  <c r="K60" i="7"/>
  <c r="K62" i="7" s="1"/>
  <c r="I62" i="7"/>
  <c r="W12" i="2"/>
  <c r="K14" i="7"/>
  <c r="J15" i="7"/>
  <c r="Q6" i="2"/>
  <c r="F4" i="2" l="1"/>
  <c r="K69" i="7"/>
  <c r="O12" i="2"/>
  <c r="K15" i="7"/>
  <c r="D4" i="2" l="1"/>
  <c r="K82" i="7"/>
  <c r="E4" i="2"/>
  <c r="K28" i="7"/>
  <c r="J28" i="7"/>
  <c r="G4" i="2" l="1"/>
  <c r="H4" i="2" s="1"/>
  <c r="E16" i="2" l="1"/>
  <c r="E17" i="2"/>
  <c r="F33" i="7"/>
  <c r="F34" i="7"/>
  <c r="E1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<sst xmlns="http://schemas.openxmlformats.org/spreadsheetml/2006/main" count="4656" uniqueCount="978">
  <si>
    <t>수수료율</t>
    <phoneticPr fontId="19" type="noConversion"/>
  </si>
  <si>
    <t>[정산 방식/ VAT포함]</t>
    <phoneticPr fontId="22" type="noConversion"/>
  </si>
  <si>
    <t>항목</t>
    <phoneticPr fontId="22" type="noConversion"/>
  </si>
  <si>
    <t>비고</t>
    <phoneticPr fontId="22" type="noConversion"/>
  </si>
  <si>
    <t>[판매내역 종합]</t>
    <phoneticPr fontId="19" type="noConversion"/>
  </si>
  <si>
    <t>총계</t>
    <phoneticPr fontId="22" type="noConversion"/>
  </si>
  <si>
    <t>수량</t>
  </si>
  <si>
    <t>할인율</t>
  </si>
  <si>
    <t>vat포함</t>
    <phoneticPr fontId="19" type="noConversion"/>
  </si>
  <si>
    <t>주문번호</t>
  </si>
  <si>
    <t>[재고현황]</t>
    <phoneticPr fontId="19" type="noConversion"/>
  </si>
  <si>
    <t>품목관리코드</t>
    <phoneticPr fontId="19" type="noConversion"/>
  </si>
  <si>
    <t>품목명</t>
    <phoneticPr fontId="19" type="noConversion"/>
  </si>
  <si>
    <t>기초재고</t>
    <phoneticPr fontId="19" type="noConversion"/>
  </si>
  <si>
    <t>입고</t>
    <phoneticPr fontId="19" type="noConversion"/>
  </si>
  <si>
    <t>출고</t>
    <phoneticPr fontId="19" type="noConversion"/>
  </si>
  <si>
    <t>기말재고</t>
    <phoneticPr fontId="19" type="noConversion"/>
  </si>
  <si>
    <t>전체</t>
  </si>
  <si>
    <t>불용</t>
    <phoneticPr fontId="19" type="noConversion"/>
  </si>
  <si>
    <t>반품</t>
    <phoneticPr fontId="19" type="noConversion"/>
  </si>
  <si>
    <t>정상</t>
    <phoneticPr fontId="19" type="noConversion"/>
  </si>
  <si>
    <t>판매</t>
    <phoneticPr fontId="19" type="noConversion"/>
  </si>
  <si>
    <t>비매출</t>
    <phoneticPr fontId="19" type="noConversion"/>
  </si>
  <si>
    <t>도톤 포레스트 워터리스 풋클리너 100ml</t>
  </si>
  <si>
    <t>도톤 포레스트 아웃도어 스프레이 150ml</t>
  </si>
  <si>
    <t>입출고일자</t>
  </si>
  <si>
    <t>입력일자</t>
  </si>
  <si>
    <t>공급처명</t>
  </si>
  <si>
    <t>바코드번호</t>
  </si>
  <si>
    <t>상품명</t>
  </si>
  <si>
    <t>옵션내용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</si>
  <si>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</si>
  <si>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</si>
  <si>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</si>
  <si>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</si>
  <si>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</si>
  <si>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</si>
  <si>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</si>
  <si>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</si>
  <si>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도톤</t>
  </si>
  <si>
    <t>단일상품</t>
  </si>
  <si>
    <t>발송및출고</t>
  </si>
  <si>
    <t>판매구분</t>
    <phoneticPr fontId="19" type="noConversion"/>
  </si>
  <si>
    <t>주문일시</t>
  </si>
  <si>
    <t>수령인</t>
  </si>
  <si>
    <t>상품명(우프(기본))</t>
  </si>
  <si>
    <t>도톤 포레스트 워터리스 풋클리너 강아지 발세정제 100ml</t>
  </si>
  <si>
    <t>상품옵션(기본)</t>
  </si>
  <si>
    <t>내용</t>
    <phoneticPr fontId="19" type="noConversion"/>
  </si>
  <si>
    <t>몽슈슈</t>
    <phoneticPr fontId="19" type="noConversion"/>
  </si>
  <si>
    <t>순번</t>
  </si>
  <si>
    <t xml:space="preserve">제품 </t>
  </si>
  <si>
    <t>DOTEON Foot Cleaner</t>
  </si>
  <si>
    <t>DOTEON Outdoor Spray</t>
  </si>
  <si>
    <t>정가</t>
  </si>
  <si>
    <t>정가</t>
    <phoneticPr fontId="19" type="noConversion"/>
  </si>
  <si>
    <t>주요채널: 오프라인 백화점 팝업스토어</t>
    <phoneticPr fontId="19" type="noConversion"/>
  </si>
  <si>
    <t>수수료</t>
    <phoneticPr fontId="19" type="noConversion"/>
  </si>
  <si>
    <t>수수료합계</t>
  </si>
  <si>
    <t>수수료합계</t>
    <phoneticPr fontId="19" type="noConversion"/>
  </si>
  <si>
    <t>매출합계</t>
    <phoneticPr fontId="19" type="noConversion"/>
  </si>
  <si>
    <t>프로모션가</t>
    <phoneticPr fontId="19" type="noConversion"/>
  </si>
  <si>
    <t>순번</t>
    <phoneticPr fontId="19" type="noConversion"/>
  </si>
  <si>
    <t>품목 구성</t>
    <phoneticPr fontId="19" type="noConversion"/>
  </si>
  <si>
    <t>합계</t>
    <phoneticPr fontId="19" type="noConversion"/>
  </si>
  <si>
    <t>테일릿</t>
    <phoneticPr fontId="19" type="noConversion"/>
  </si>
  <si>
    <t>위탁재고</t>
    <phoneticPr fontId="19" type="noConversion"/>
  </si>
  <si>
    <t>매입(판매)</t>
    <phoneticPr fontId="19" type="noConversion"/>
  </si>
  <si>
    <t>주요채널: 대리점(오프라인B2B전용 도매유통업) - 소매점 40% + 대리점마진 20%</t>
    <phoneticPr fontId="19" type="noConversion"/>
  </si>
  <si>
    <t>소매점가</t>
    <phoneticPr fontId="19" type="noConversion"/>
  </si>
  <si>
    <t>대리점가</t>
    <phoneticPr fontId="19" type="noConversion"/>
  </si>
  <si>
    <t>소매점수수료</t>
    <phoneticPr fontId="19" type="noConversion"/>
  </si>
  <si>
    <t>대리점수수료</t>
    <phoneticPr fontId="19" type="noConversion"/>
  </si>
  <si>
    <t>철수마켓</t>
    <phoneticPr fontId="19" type="noConversion"/>
  </si>
  <si>
    <t>오버더센스</t>
    <phoneticPr fontId="19" type="noConversion"/>
  </si>
  <si>
    <t>주요채널: 제주도 반려동물 동반시설</t>
    <phoneticPr fontId="19" type="noConversion"/>
  </si>
  <si>
    <t>우프자사몰</t>
    <phoneticPr fontId="19" type="noConversion"/>
  </si>
  <si>
    <t>할인가</t>
    <phoneticPr fontId="19" type="noConversion"/>
  </si>
  <si>
    <t xml:space="preserve">주요채널: 우프앱/자사몰/스마트스토어 </t>
    <phoneticPr fontId="19" type="noConversion"/>
  </si>
  <si>
    <t>컬리</t>
    <phoneticPr fontId="19" type="noConversion"/>
  </si>
  <si>
    <t>판매자위탁배송</t>
    <phoneticPr fontId="19" type="noConversion"/>
  </si>
  <si>
    <t>직매출</t>
    <phoneticPr fontId="19" type="noConversion"/>
  </si>
  <si>
    <t>공제합계</t>
    <phoneticPr fontId="19" type="noConversion"/>
  </si>
  <si>
    <t>정가합계</t>
  </si>
  <si>
    <t>정가합계</t>
    <phoneticPr fontId="19" type="noConversion"/>
  </si>
  <si>
    <t>총 판매수량</t>
    <phoneticPr fontId="19" type="noConversion"/>
  </si>
  <si>
    <t>실 수량(1EA단위)</t>
    <phoneticPr fontId="19" type="noConversion"/>
  </si>
  <si>
    <t>정가 22,000원 기준</t>
    <phoneticPr fontId="19" type="noConversion"/>
  </si>
  <si>
    <t>할인/프로모션 반영 판매계</t>
    <phoneticPr fontId="19" type="noConversion"/>
  </si>
  <si>
    <t>공제 수수료 계</t>
    <phoneticPr fontId="19" type="noConversion"/>
  </si>
  <si>
    <t>실 정산합계</t>
    <phoneticPr fontId="19" type="noConversion"/>
  </si>
  <si>
    <t>판매수량</t>
    <phoneticPr fontId="19" type="noConversion"/>
  </si>
  <si>
    <t>몰리스(이마트)</t>
    <phoneticPr fontId="19" type="noConversion"/>
  </si>
  <si>
    <t>상품주문번호</t>
  </si>
  <si>
    <t>구분</t>
  </si>
  <si>
    <t>구매자명</t>
  </si>
  <si>
    <t>결제금액</t>
  </si>
  <si>
    <t>판매정가계</t>
    <phoneticPr fontId="22" type="noConversion"/>
  </si>
  <si>
    <t>채널명</t>
    <phoneticPr fontId="19" type="noConversion"/>
  </si>
  <si>
    <t>BT25OS</t>
  </si>
  <si>
    <t>[메모/특이사항]</t>
    <phoneticPr fontId="19" type="noConversion"/>
  </si>
  <si>
    <t>재고이동(오프라인 위탁진열/ 판매시 정산)</t>
    <phoneticPr fontId="19" type="noConversion"/>
  </si>
  <si>
    <t>비매출: 협찬, 진열품, 샘플 등의 무상사용</t>
    <phoneticPr fontId="19" type="noConversion"/>
  </si>
  <si>
    <t>각 유통 채널별 공급마진 (위탁은 수수료/ 매입은 공급할인액) 기준</t>
    <phoneticPr fontId="19" type="noConversion"/>
  </si>
  <si>
    <t>정산 월</t>
  </si>
  <si>
    <t>[실비 : 운임/물류]</t>
    <phoneticPr fontId="19" type="noConversion"/>
  </si>
  <si>
    <t>항목</t>
    <phoneticPr fontId="19" type="noConversion"/>
  </si>
  <si>
    <t>견적(원)</t>
    <phoneticPr fontId="19" type="noConversion"/>
  </si>
  <si>
    <t>단위</t>
    <phoneticPr fontId="19" type="noConversion"/>
  </si>
  <si>
    <t>비고</t>
    <phoneticPr fontId="19" type="noConversion"/>
  </si>
  <si>
    <t>보관료</t>
    <phoneticPr fontId="19" type="noConversion"/>
  </si>
  <si>
    <t xml:space="preserve">월/평당 </t>
    <phoneticPr fontId="19" type="noConversion"/>
  </si>
  <si>
    <t>입고비용</t>
    <phoneticPr fontId="19" type="noConversion"/>
  </si>
  <si>
    <t>택배운임비</t>
    <phoneticPr fontId="19" type="noConversion"/>
  </si>
  <si>
    <t>건</t>
    <phoneticPr fontId="19" type="noConversion"/>
  </si>
  <si>
    <t>물류비</t>
    <phoneticPr fontId="19" type="noConversion"/>
  </si>
  <si>
    <t>로젠택배(소형)</t>
    <phoneticPr fontId="19" type="noConversion"/>
  </si>
  <si>
    <t>청구제외</t>
    <phoneticPr fontId="19" type="noConversion"/>
  </si>
  <si>
    <t>3PL 
단가표</t>
    <phoneticPr fontId="19" type="noConversion"/>
  </si>
  <si>
    <t>vat별도</t>
    <phoneticPr fontId="19" type="noConversion"/>
  </si>
  <si>
    <t>택배</t>
    <phoneticPr fontId="22" type="noConversion"/>
  </si>
  <si>
    <t>피킹/패킹/부자재</t>
    <phoneticPr fontId="22" type="noConversion"/>
  </si>
  <si>
    <t>물류 실비 산정</t>
    <phoneticPr fontId="22" type="noConversion"/>
  </si>
  <si>
    <t>부자재 /피킹/패킹</t>
    <phoneticPr fontId="19" type="noConversion"/>
  </si>
  <si>
    <t>*퀵/용달 등 별도 운송비 발생시에는 개별기재합니다.</t>
    <phoneticPr fontId="19" type="noConversion"/>
  </si>
  <si>
    <t>실비</t>
    <phoneticPr fontId="22" type="noConversion"/>
  </si>
  <si>
    <t>매출계</t>
    <phoneticPr fontId="22" type="noConversion"/>
  </si>
  <si>
    <t>공제 수수료 
(공급마진)</t>
    <phoneticPr fontId="22" type="noConversion"/>
  </si>
  <si>
    <t>운송료 실비, PG결제 수수료 등</t>
    <phoneticPr fontId="19" type="noConversion"/>
  </si>
  <si>
    <t>이익</t>
    <phoneticPr fontId="22" type="noConversion"/>
  </si>
  <si>
    <r>
      <t xml:space="preserve">월별 제품 최종판매금액
</t>
    </r>
    <r>
      <rPr>
        <sz val="9"/>
        <color theme="1"/>
        <rFont val="Malgun Gothic"/>
        <family val="2"/>
        <charset val="129"/>
      </rPr>
      <t>(정가 - 프로모션 등 할인이 반영된 최종 결제 금액)</t>
    </r>
    <phoneticPr fontId="22" type="noConversion"/>
  </si>
  <si>
    <t>A 수수료 (공급마진)</t>
    <phoneticPr fontId="22" type="noConversion"/>
  </si>
  <si>
    <t>B 매출계 (월별 최종 판매 금액)</t>
    <phoneticPr fontId="22" type="noConversion"/>
  </si>
  <si>
    <t>C 실비</t>
    <phoneticPr fontId="22" type="noConversion"/>
  </si>
  <si>
    <t>D 이익</t>
    <phoneticPr fontId="22" type="noConversion"/>
  </si>
  <si>
    <t xml:space="preserve">세금계산서는 정산 월 기준 익익월 10일에 발행 예정입니다. </t>
  </si>
  <si>
    <t>판매 매출 발생 시, “월별 제품 최종 판매 금액”을 기준으로, 인플루언서 공구 수수료를 포함한 각각의 입점 채널별 공급 수수료, 운송료 실비, PG사 결제 수수료를 제외한 금액</t>
    <phoneticPr fontId="19" type="noConversion"/>
  </si>
  <si>
    <t xml:space="preserve">정산금액은 정산 월 기준 익월 15일에 입금 예정이며 정산금액 활용안 협의에 따라 변경될 수 있습니다. </t>
    <phoneticPr fontId="19" type="noConversion"/>
  </si>
  <si>
    <t>이익분배</t>
    <phoneticPr fontId="19" type="noConversion"/>
  </si>
  <si>
    <t>구분</t>
    <phoneticPr fontId="19" type="noConversion"/>
  </si>
  <si>
    <t>유씨엘주식회사</t>
    <phoneticPr fontId="19" type="noConversion"/>
  </si>
  <si>
    <t>우프컴퍼니(주)</t>
    <phoneticPr fontId="19" type="noConversion"/>
  </si>
  <si>
    <t>비율</t>
    <phoneticPr fontId="19" type="noConversion"/>
  </si>
  <si>
    <t>금액</t>
    <phoneticPr fontId="19" type="noConversion"/>
  </si>
  <si>
    <t>매출계산서발행</t>
    <phoneticPr fontId="19" type="noConversion"/>
  </si>
  <si>
    <t>수량(출고건수)</t>
    <phoneticPr fontId="22" type="noConversion"/>
  </si>
  <si>
    <t>재고</t>
    <phoneticPr fontId="19" type="noConversion"/>
  </si>
  <si>
    <t>소비자가</t>
    <phoneticPr fontId="19" type="noConversion"/>
  </si>
  <si>
    <t>DOTEON Foot Cleaner</t>
    <phoneticPr fontId="19" type="noConversion"/>
  </si>
  <si>
    <t>판매가</t>
  </si>
  <si>
    <t>구매확정일</t>
  </si>
  <si>
    <t>정산합계</t>
    <phoneticPr fontId="19" type="noConversion"/>
  </si>
  <si>
    <t>공급가</t>
    <phoneticPr fontId="19" type="noConversion"/>
  </si>
  <si>
    <t>자사물류센터 입출고 기준</t>
    <phoneticPr fontId="19" type="noConversion"/>
  </si>
  <si>
    <t>실판매수량</t>
    <phoneticPr fontId="22" type="noConversion"/>
  </si>
  <si>
    <t>출고카운트</t>
    <phoneticPr fontId="19" type="noConversion"/>
  </si>
  <si>
    <t>불용이슈: 패키지 손상/파손</t>
    <phoneticPr fontId="19" type="noConversion"/>
  </si>
  <si>
    <t xml:space="preserve">제품 </t>
    <phoneticPr fontId="19" type="noConversion"/>
  </si>
  <si>
    <t>상품코드</t>
    <phoneticPr fontId="19" type="noConversion"/>
  </si>
  <si>
    <t>반송</t>
    <phoneticPr fontId="19" type="noConversion"/>
  </si>
  <si>
    <t>월말재고</t>
    <phoneticPr fontId="19" type="noConversion"/>
  </si>
  <si>
    <t>판매합계</t>
    <phoneticPr fontId="19" type="noConversion"/>
  </si>
  <si>
    <t>BT25DTFC</t>
    <phoneticPr fontId="19" type="noConversion"/>
  </si>
  <si>
    <t>판매청구</t>
  </si>
  <si>
    <t>배송시작일</t>
  </si>
  <si>
    <t>배송완료일</t>
  </si>
  <si>
    <t>주문자 휴대전화 끝자리</t>
  </si>
  <si>
    <t>업체코드</t>
  </si>
  <si>
    <t>업체명</t>
  </si>
  <si>
    <t>점포코드</t>
  </si>
  <si>
    <t>점포명</t>
  </si>
  <si>
    <t>상품코드</t>
  </si>
  <si>
    <t>매입구분</t>
  </si>
  <si>
    <t>우프컴퍼니</t>
  </si>
  <si>
    <t>몰리스STF하남점</t>
  </si>
  <si>
    <t>개별주문번호</t>
  </si>
  <si>
    <t>대표주문번호</t>
  </si>
  <si>
    <t>주문상태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</si>
  <si>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</si>
  <si>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</si>
  <si>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</si>
  <si>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</si>
  <si>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</si>
  <si>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</si>
  <si>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</si>
  <si>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주문자명</t>
  </si>
  <si>
    <t>수취인명</t>
  </si>
  <si>
    <t>발주확인일</t>
  </si>
  <si>
    <t>발송처리일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</si>
  <si>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</si>
  <si>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</si>
  <si>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</si>
  <si>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</si>
  <si>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</si>
  <si>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</si>
  <si>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</si>
  <si>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판매수수료(25%)</t>
    <phoneticPr fontId="19" type="noConversion"/>
  </si>
  <si>
    <t>정산금액</t>
    <phoneticPr fontId="19" type="noConversion"/>
  </si>
  <si>
    <t>수량</t>
    <phoneticPr fontId="19" type="noConversion"/>
  </si>
  <si>
    <t>미청구</t>
    <phoneticPr fontId="19" type="noConversion"/>
  </si>
  <si>
    <t>출고건수 
(송장기준/건)</t>
    <phoneticPr fontId="19" type="noConversion"/>
  </si>
  <si>
    <t>판매처 주문번호</t>
    <phoneticPr fontId="19" type="noConversion"/>
  </si>
  <si>
    <t>판매상세 (판매 수수료율)</t>
    <phoneticPr fontId="19" type="noConversion"/>
  </si>
  <si>
    <t>이마트</t>
  </si>
  <si>
    <t>실판매수량</t>
    <phoneticPr fontId="19" type="noConversion"/>
  </si>
  <si>
    <t>조율</t>
    <phoneticPr fontId="19" type="noConversion"/>
  </si>
  <si>
    <t>할인계</t>
    <phoneticPr fontId="22" type="noConversion"/>
  </si>
  <si>
    <t>실판매계</t>
    <phoneticPr fontId="22" type="noConversion"/>
  </si>
  <si>
    <t>5304</t>
  </si>
  <si>
    <t>1100</t>
  </si>
  <si>
    <t>1610931</t>
  </si>
  <si>
    <t>8809879544118</t>
  </si>
  <si>
    <t>직납</t>
  </si>
  <si>
    <t>59</t>
  </si>
  <si>
    <t>정상</t>
  </si>
  <si>
    <t>특행/배달</t>
  </si>
  <si>
    <t>8809879544101</t>
  </si>
  <si>
    <t>업태코드</t>
  </si>
  <si>
    <t>업태명</t>
  </si>
  <si>
    <t>납품일자</t>
  </si>
  <si>
    <t>발주일자</t>
  </si>
  <si>
    <t>문서번호</t>
  </si>
  <si>
    <t>납품구분</t>
  </si>
  <si>
    <t>발주량</t>
  </si>
  <si>
    <t>납품량</t>
  </si>
  <si>
    <t>발주금액</t>
  </si>
  <si>
    <t>납품금액</t>
  </si>
  <si>
    <t>원가</t>
  </si>
  <si>
    <t>센터코드</t>
  </si>
  <si>
    <t>센터명</t>
  </si>
  <si>
    <t>LOT</t>
  </si>
  <si>
    <t>매입형태</t>
  </si>
  <si>
    <t>매입구분명</t>
  </si>
  <si>
    <t>원상품코드</t>
  </si>
  <si>
    <t>도톤 포레스트 아웃도어 스프레이 150ml 강아지 해충방지 진드기</t>
  </si>
  <si>
    <t>판매정가</t>
    <phoneticPr fontId="19" type="noConversion"/>
  </si>
  <si>
    <t>쿠팡</t>
    <phoneticPr fontId="19" type="noConversion"/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</si>
  <si>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</si>
  <si>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</si>
  <si>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</si>
  <si>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</si>
  <si>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</si>
  <si>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</si>
  <si>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</si>
  <si>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</si>
  <si>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</si>
  <si>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총단가</t>
  </si>
  <si>
    <t>총공급가액</t>
  </si>
  <si>
    <t>총세액</t>
  </si>
  <si>
    <t>계산서번호</t>
  </si>
  <si>
    <t>지급일</t>
  </si>
  <si>
    <t>*신규</t>
    <phoneticPr fontId="19" type="noConversion"/>
  </si>
  <si>
    <t>행사가</t>
    <phoneticPr fontId="19" type="noConversion"/>
  </si>
  <si>
    <t>PG</t>
    <phoneticPr fontId="19" type="noConversion"/>
  </si>
  <si>
    <t>판매가</t>
    <phoneticPr fontId="19" type="noConversion"/>
  </si>
  <si>
    <t>공급가(고정)</t>
    <phoneticPr fontId="19" type="noConversion"/>
  </si>
  <si>
    <t>제외</t>
    <phoneticPr fontId="19" type="noConversion"/>
  </si>
  <si>
    <t>카페24_베럴즈</t>
  </si>
  <si>
    <t>카페24_베럴즈_b2b</t>
  </si>
  <si>
    <t>우프B2B사업자몰</t>
    <phoneticPr fontId="19" type="noConversion"/>
  </si>
  <si>
    <t>주요채널: 우프거래_오프라인사업자</t>
    <phoneticPr fontId="19" type="noConversion"/>
  </si>
  <si>
    <t>소매점공급가</t>
    <phoneticPr fontId="19" type="noConversion"/>
  </si>
  <si>
    <t>로젠택배(중대형)</t>
    <phoneticPr fontId="19" type="noConversion"/>
  </si>
  <si>
    <t>*입고비용 및 보관비용은 한시적 청구제외 하였으며, 운송실비(당사가 3PL 지불하는 택배운임비 +물류비) 청구기준만 기재되었습니다.</t>
    <phoneticPr fontId="19" type="noConversion"/>
  </si>
  <si>
    <t>택배(소형)</t>
    <phoneticPr fontId="19" type="noConversion"/>
  </si>
  <si>
    <t>택배(중대형)</t>
    <phoneticPr fontId="19" type="noConversion"/>
  </si>
  <si>
    <t>운송장번호</t>
  </si>
  <si>
    <t>주문 상태</t>
  </si>
  <si>
    <t>배송 완료</t>
  </si>
  <si>
    <t>20260405-0000653</t>
  </si>
  <si>
    <t>이지은</t>
  </si>
  <si>
    <t>20260407-0000171</t>
  </si>
  <si>
    <t>김혜란</t>
  </si>
  <si>
    <t>20260408-0000379</t>
  </si>
  <si>
    <t>유지현</t>
  </si>
  <si>
    <t>20260412-0000139</t>
  </si>
  <si>
    <t>정하원</t>
  </si>
  <si>
    <t>20260413-0000052</t>
  </si>
  <si>
    <t>배문정</t>
  </si>
  <si>
    <t>[영이공구특가 이벤트 상품] 도톤 포레스트 아웃도어 해충방지 스프레이 150ml</t>
  </si>
  <si>
    <t>수량=공구특가 1개 (25%할인)</t>
  </si>
  <si>
    <t>취소 완료</t>
  </si>
  <si>
    <t>20260413-0000069</t>
  </si>
  <si>
    <t>성민영</t>
  </si>
  <si>
    <t>수량=공구 3개세트 (35%할인)</t>
  </si>
  <si>
    <t>20260413-0000075</t>
  </si>
  <si>
    <t>박유진</t>
  </si>
  <si>
    <t>20260413-0000156</t>
  </si>
  <si>
    <t>김진아</t>
  </si>
  <si>
    <t>20260413-0000161</t>
  </si>
  <si>
    <t>이아람</t>
  </si>
  <si>
    <t>20260413-0000170</t>
  </si>
  <si>
    <t>이정은</t>
  </si>
  <si>
    <t>수량=공구 2개세트 (32%할인)</t>
  </si>
  <si>
    <t>20260413-0000182</t>
  </si>
  <si>
    <t>수량=공구 3개세트 (36%할인)</t>
  </si>
  <si>
    <t>20260413-0000191</t>
  </si>
  <si>
    <t>20260413-0000205</t>
  </si>
  <si>
    <t>현다예</t>
  </si>
  <si>
    <t>20260413-0000215</t>
  </si>
  <si>
    <t>김현정</t>
  </si>
  <si>
    <t>20260413-0000295</t>
  </si>
  <si>
    <t>임하영</t>
  </si>
  <si>
    <t>20260413-0000308</t>
  </si>
  <si>
    <t>정미희</t>
  </si>
  <si>
    <t>20260413-0000310</t>
  </si>
  <si>
    <t>임푸</t>
  </si>
  <si>
    <t>20260413-0000351</t>
  </si>
  <si>
    <t>20260413-0000363</t>
  </si>
  <si>
    <t>장희진</t>
  </si>
  <si>
    <t>20260413-0000377</t>
  </si>
  <si>
    <t>성현정</t>
  </si>
  <si>
    <t>20260413-0000398</t>
  </si>
  <si>
    <t>김새현</t>
  </si>
  <si>
    <t>20260413-0000405</t>
  </si>
  <si>
    <t>이승연</t>
  </si>
  <si>
    <t>20260413-0000414</t>
  </si>
  <si>
    <t>카페바로</t>
  </si>
  <si>
    <t>20260413-0000446</t>
  </si>
  <si>
    <t>원소정</t>
  </si>
  <si>
    <t>20260413-0000451</t>
  </si>
  <si>
    <t>이시은</t>
  </si>
  <si>
    <t>20260413-0000460</t>
  </si>
  <si>
    <t>이주연</t>
  </si>
  <si>
    <t>20260413-0000470</t>
  </si>
  <si>
    <t>이나래</t>
  </si>
  <si>
    <t>20260413-0000508</t>
  </si>
  <si>
    <t>최제윤</t>
  </si>
  <si>
    <t>20260413-0000512</t>
  </si>
  <si>
    <t>이보라</t>
  </si>
  <si>
    <t>20260413-0000539</t>
  </si>
  <si>
    <t>김지영</t>
  </si>
  <si>
    <t>20260413-0000547</t>
  </si>
  <si>
    <t>최인정</t>
  </si>
  <si>
    <t>20260413-0000567</t>
  </si>
  <si>
    <t>김민정</t>
  </si>
  <si>
    <t>20260413-0000579</t>
  </si>
  <si>
    <t>윤은숙</t>
  </si>
  <si>
    <t>20260413-0000580</t>
  </si>
  <si>
    <t>보</t>
  </si>
  <si>
    <t>20260413-0000592</t>
  </si>
  <si>
    <t>김은</t>
  </si>
  <si>
    <t>20260413-0000607</t>
  </si>
  <si>
    <t>신주연</t>
  </si>
  <si>
    <t>20260413-0000614</t>
  </si>
  <si>
    <t>강혜지</t>
  </si>
  <si>
    <t>20260413-0000629</t>
  </si>
  <si>
    <t>이찹쌀</t>
  </si>
  <si>
    <t>20260413-0000633</t>
  </si>
  <si>
    <t>김지혜</t>
  </si>
  <si>
    <t>20260413-0000644</t>
  </si>
  <si>
    <t>이미용</t>
  </si>
  <si>
    <t>20260413-0000654</t>
  </si>
  <si>
    <t>박은선</t>
  </si>
  <si>
    <t>20260413-0000660</t>
  </si>
  <si>
    <t>이상은</t>
  </si>
  <si>
    <t>20260413-0000674</t>
  </si>
  <si>
    <t>김성원</t>
  </si>
  <si>
    <t>20260413-0000691</t>
  </si>
  <si>
    <t>이샛별</t>
  </si>
  <si>
    <t>20260413-0000717</t>
  </si>
  <si>
    <t>강설아</t>
  </si>
  <si>
    <t>20260413-0000772</t>
  </si>
  <si>
    <t>장민애</t>
  </si>
  <si>
    <t>20260413-0000807</t>
  </si>
  <si>
    <t>최다은</t>
  </si>
  <si>
    <t>20260413-0000822</t>
  </si>
  <si>
    <t>서예리</t>
  </si>
  <si>
    <t>20260413-0000837</t>
  </si>
  <si>
    <t>임애희</t>
  </si>
  <si>
    <t>20260413-0000840</t>
  </si>
  <si>
    <t>정다원</t>
  </si>
  <si>
    <t>20260413-0000853</t>
  </si>
  <si>
    <t>주레오</t>
  </si>
  <si>
    <t>20260413-0000869</t>
  </si>
  <si>
    <t>김민주</t>
  </si>
  <si>
    <t>20260413-0000893</t>
  </si>
  <si>
    <t>임유정</t>
  </si>
  <si>
    <t>20260413-0000909</t>
  </si>
  <si>
    <t>임예린</t>
  </si>
  <si>
    <t>20260413-0000915</t>
  </si>
  <si>
    <t>이소희</t>
  </si>
  <si>
    <t>20260414-0000025</t>
  </si>
  <si>
    <t>최지형</t>
  </si>
  <si>
    <t>20260414-0000035</t>
  </si>
  <si>
    <t>최수진</t>
  </si>
  <si>
    <t>20260414-0000046</t>
  </si>
  <si>
    <t>이은애</t>
  </si>
  <si>
    <t>20260414-0000059</t>
  </si>
  <si>
    <t>이한별</t>
  </si>
  <si>
    <t>20260414-0000093</t>
  </si>
  <si>
    <t>정지혜</t>
  </si>
  <si>
    <t>20260414-0000107</t>
  </si>
  <si>
    <t>김민설</t>
  </si>
  <si>
    <t>20260414-0000115</t>
  </si>
  <si>
    <t>김유정</t>
  </si>
  <si>
    <t>20260414-0000123</t>
  </si>
  <si>
    <t>김민서</t>
  </si>
  <si>
    <t>20260414-0000161</t>
  </si>
  <si>
    <t>박민경</t>
  </si>
  <si>
    <t>20260414-0000170</t>
  </si>
  <si>
    <t>고안나</t>
  </si>
  <si>
    <t>20260414-0000209</t>
  </si>
  <si>
    <t>이유진</t>
  </si>
  <si>
    <t>20260414-0000235</t>
  </si>
  <si>
    <t>최양원</t>
  </si>
  <si>
    <t>20260414-0000253</t>
  </si>
  <si>
    <t>김혜련</t>
  </si>
  <si>
    <t>20260414-0000388</t>
  </si>
  <si>
    <t>20260414-0000401</t>
  </si>
  <si>
    <t>김현아</t>
  </si>
  <si>
    <t>20260414-0000523</t>
  </si>
  <si>
    <t>윤은희</t>
  </si>
  <si>
    <t>20260414-0000582</t>
  </si>
  <si>
    <t>이하미</t>
  </si>
  <si>
    <t>20260415-0000032</t>
  </si>
  <si>
    <t>김미경</t>
  </si>
  <si>
    <t>20260415-0000061</t>
  </si>
  <si>
    <t>임지은</t>
  </si>
  <si>
    <t>20260415-0000106</t>
  </si>
  <si>
    <t>김가영</t>
  </si>
  <si>
    <t>20260415-0000121</t>
  </si>
  <si>
    <t>최윤주</t>
  </si>
  <si>
    <t>20260415-0000140</t>
  </si>
  <si>
    <t>임수현</t>
  </si>
  <si>
    <t>20260415-0000168</t>
  </si>
  <si>
    <t>황정순</t>
  </si>
  <si>
    <t>20260415-0000257</t>
  </si>
  <si>
    <t>최란</t>
  </si>
  <si>
    <t>20260415-0000285</t>
  </si>
  <si>
    <t>김현미</t>
  </si>
  <si>
    <t>20260415-0000298</t>
  </si>
  <si>
    <t>엄지민</t>
  </si>
  <si>
    <t>20260415-0000403</t>
  </si>
  <si>
    <t>안슬기</t>
  </si>
  <si>
    <t>20260415-0000423</t>
  </si>
  <si>
    <t>한윤선</t>
  </si>
  <si>
    <t>20260415-0000431</t>
  </si>
  <si>
    <t>박진철</t>
  </si>
  <si>
    <t>20260415-0000461</t>
  </si>
  <si>
    <t>이주영</t>
  </si>
  <si>
    <t>20260415-0000472</t>
  </si>
  <si>
    <t>전철웅</t>
  </si>
  <si>
    <t>20260415-0000505</t>
  </si>
  <si>
    <t>손영은</t>
  </si>
  <si>
    <t>20260415-0000522</t>
  </si>
  <si>
    <t>김형수</t>
  </si>
  <si>
    <t>20260415-0000569</t>
  </si>
  <si>
    <t>윤정민</t>
  </si>
  <si>
    <t>20260415-0000585</t>
  </si>
  <si>
    <t>김앵두</t>
  </si>
  <si>
    <t>20260415-0000641</t>
  </si>
  <si>
    <t>김은영</t>
  </si>
  <si>
    <t>20260415-0000709</t>
  </si>
  <si>
    <t>정선희</t>
  </si>
  <si>
    <t>20260415-0000767</t>
  </si>
  <si>
    <t>20260415-0000804</t>
  </si>
  <si>
    <t>20260415-0000811</t>
  </si>
  <si>
    <t>노영채</t>
  </si>
  <si>
    <t>20260416-0000029</t>
  </si>
  <si>
    <t>양여진</t>
  </si>
  <si>
    <t>20260416-0000064</t>
  </si>
  <si>
    <t>심보라미</t>
  </si>
  <si>
    <t>20260416-0000144</t>
  </si>
  <si>
    <t>최수경</t>
  </si>
  <si>
    <t>20260416-0000185</t>
  </si>
  <si>
    <t>강지혜</t>
  </si>
  <si>
    <t>20260416-0000235</t>
  </si>
  <si>
    <t>쏘동네</t>
  </si>
  <si>
    <t>20260416-0000245</t>
  </si>
  <si>
    <t>이은주</t>
  </si>
  <si>
    <t>20260416-0000250</t>
  </si>
  <si>
    <t>윤미라</t>
  </si>
  <si>
    <t>20260416-0000262</t>
  </si>
  <si>
    <t>정혜연</t>
  </si>
  <si>
    <t>20260416-0000272</t>
  </si>
  <si>
    <t>김민진</t>
  </si>
  <si>
    <t>20260416-0000357</t>
  </si>
  <si>
    <t>김윤영</t>
  </si>
  <si>
    <t>20260416-0000405</t>
  </si>
  <si>
    <t>20260416-0000495</t>
  </si>
  <si>
    <t>김아라</t>
  </si>
  <si>
    <t>20260416-0000516</t>
  </si>
  <si>
    <t>20260416-0000578</t>
  </si>
  <si>
    <t>예진</t>
  </si>
  <si>
    <t>20260416-0000687</t>
  </si>
  <si>
    <t>김정은</t>
  </si>
  <si>
    <t>20260417-0000066</t>
  </si>
  <si>
    <t>김병화</t>
  </si>
  <si>
    <t>20260417-0000109</t>
  </si>
  <si>
    <t>김혜영</t>
  </si>
  <si>
    <t>20260417-0000170</t>
  </si>
  <si>
    <t>박지영</t>
  </si>
  <si>
    <t>20260417-0000208</t>
  </si>
  <si>
    <t>박진영</t>
  </si>
  <si>
    <t>20260418-0000052</t>
  </si>
  <si>
    <t>김나영</t>
  </si>
  <si>
    <t>20260418-0000067</t>
  </si>
  <si>
    <t>이서린</t>
  </si>
  <si>
    <t>20260418-0000102</t>
  </si>
  <si>
    <t>Kimhyunjung</t>
  </si>
  <si>
    <t>20260418-0000195</t>
  </si>
  <si>
    <t>정상미</t>
  </si>
  <si>
    <t>20260419-0000013</t>
  </si>
  <si>
    <t>김미영</t>
  </si>
  <si>
    <t>20260419-0000147</t>
  </si>
  <si>
    <t>황지나</t>
  </si>
  <si>
    <t>20260419-0000166</t>
  </si>
  <si>
    <t>양지은</t>
  </si>
  <si>
    <t>20260419-0000193</t>
  </si>
  <si>
    <t>조현영</t>
  </si>
  <si>
    <t>20260419-0000280</t>
  </si>
  <si>
    <t>허베리</t>
  </si>
  <si>
    <t>20260419-0000357</t>
  </si>
  <si>
    <t>이민희</t>
  </si>
  <si>
    <t>20260420-0000019</t>
  </si>
  <si>
    <t>엄유미</t>
  </si>
  <si>
    <t>20260420-0000045</t>
  </si>
  <si>
    <t>김하연</t>
  </si>
  <si>
    <t>20260420-0000051</t>
  </si>
  <si>
    <t>문채원</t>
  </si>
  <si>
    <t>20260420-0000093</t>
  </si>
  <si>
    <t>김유리</t>
  </si>
  <si>
    <t>20260420-0000171</t>
  </si>
  <si>
    <t>전나라</t>
  </si>
  <si>
    <t>20260420-0000182</t>
  </si>
  <si>
    <t>20260420-0000216</t>
  </si>
  <si>
    <t>고수미</t>
  </si>
  <si>
    <t>20260420-0000227</t>
  </si>
  <si>
    <t>20260420-0000258</t>
  </si>
  <si>
    <t>김희주</t>
  </si>
  <si>
    <t>20260420-0000305</t>
  </si>
  <si>
    <t>정다운</t>
  </si>
  <si>
    <t>20260420-0000310</t>
  </si>
  <si>
    <t>20260420-0000330</t>
  </si>
  <si>
    <t>홍준기</t>
  </si>
  <si>
    <t>20260421-0000042</t>
  </si>
  <si>
    <t>전희임</t>
  </si>
  <si>
    <t>20260421-0000069</t>
  </si>
  <si>
    <t>최정순</t>
  </si>
  <si>
    <t>20260421-0000082</t>
  </si>
  <si>
    <t>박준하</t>
  </si>
  <si>
    <t>20260421-0000101</t>
  </si>
  <si>
    <t>장정아</t>
  </si>
  <si>
    <t>20260421-0000121</t>
  </si>
  <si>
    <t>20260421-0000142</t>
  </si>
  <si>
    <t>김은조</t>
  </si>
  <si>
    <t>20260421-0000164</t>
  </si>
  <si>
    <t>이지윤</t>
  </si>
  <si>
    <t>20260421-0000231</t>
  </si>
  <si>
    <t>20260421-0000244</t>
  </si>
  <si>
    <t>임띤주</t>
  </si>
  <si>
    <t>20260422-0000024</t>
  </si>
  <si>
    <t>홍미영</t>
  </si>
  <si>
    <t>20260422-0000037</t>
  </si>
  <si>
    <t>조다은</t>
  </si>
  <si>
    <t>20260422-0000068</t>
  </si>
  <si>
    <t>윤가비</t>
  </si>
  <si>
    <t>20260422-0000082</t>
  </si>
  <si>
    <t>함정민</t>
  </si>
  <si>
    <t>20260422-0000092</t>
  </si>
  <si>
    <t>이한슬</t>
  </si>
  <si>
    <t>20260422-0000144</t>
  </si>
  <si>
    <t>윤다영</t>
  </si>
  <si>
    <t>20260423-0000014</t>
  </si>
  <si>
    <t>윤인정</t>
  </si>
  <si>
    <t>20260423-0000102</t>
  </si>
  <si>
    <t>박은혜</t>
  </si>
  <si>
    <t>20260423-0000164</t>
  </si>
  <si>
    <t>김아연</t>
  </si>
  <si>
    <t>20260423-0000201</t>
  </si>
  <si>
    <t>엄주리</t>
  </si>
  <si>
    <t>20260423-0000261</t>
  </si>
  <si>
    <t>김규희</t>
  </si>
  <si>
    <t>20260424-0000043</t>
  </si>
  <si>
    <t>이슬기</t>
  </si>
  <si>
    <t>20260424-0000051</t>
  </si>
  <si>
    <t>채보민</t>
  </si>
  <si>
    <t>20260424-0000065</t>
  </si>
  <si>
    <t>오경아</t>
  </si>
  <si>
    <t>20260425-0000019</t>
  </si>
  <si>
    <t>쥰</t>
  </si>
  <si>
    <t>20260425-0000031</t>
  </si>
  <si>
    <t>양진아</t>
  </si>
  <si>
    <t>20260425-0000045</t>
  </si>
  <si>
    <t>김심명</t>
  </si>
  <si>
    <t>20260426-0000011</t>
  </si>
  <si>
    <t>김예지</t>
  </si>
  <si>
    <t>20260426-0000062</t>
  </si>
  <si>
    <t>이민정</t>
  </si>
  <si>
    <t>20260426-0000091</t>
  </si>
  <si>
    <t>박진선</t>
  </si>
  <si>
    <t>20260426-0000115</t>
  </si>
  <si>
    <t>한주연</t>
  </si>
  <si>
    <t>20260426-0000221</t>
  </si>
  <si>
    <t>20260427-0000031</t>
  </si>
  <si>
    <t>박진수</t>
  </si>
  <si>
    <t>20260427-0000052</t>
  </si>
  <si>
    <t>김수연</t>
  </si>
  <si>
    <t>20260428-0000100</t>
  </si>
  <si>
    <t>윤정은</t>
  </si>
  <si>
    <t>20260429-0000099</t>
  </si>
  <si>
    <t>김용아</t>
  </si>
  <si>
    <t>20260429-0000122</t>
  </si>
  <si>
    <t>정해진</t>
  </si>
  <si>
    <t>20260429-0000187</t>
  </si>
  <si>
    <t>최진솔</t>
  </si>
  <si>
    <t>풋클리너 판매수량</t>
    <phoneticPr fontId="19" type="noConversion"/>
  </si>
  <si>
    <t>스프레이 판매수량</t>
    <phoneticPr fontId="19" type="noConversion"/>
  </si>
  <si>
    <t>수량=공구 3개세트 (36%할인)</t>
    <phoneticPr fontId="19" type="noConversion"/>
  </si>
  <si>
    <t>1개단위 x 81 (-25%)</t>
    <phoneticPr fontId="19" type="noConversion"/>
  </si>
  <si>
    <t xml:space="preserve">2개단위 x 54 (-32%) </t>
    <phoneticPr fontId="19" type="noConversion"/>
  </si>
  <si>
    <t>3개단위 x 22 (-36%)</t>
    <phoneticPr fontId="19" type="noConversion"/>
  </si>
  <si>
    <t>스프레이 공구판매 (3ea)</t>
    <phoneticPr fontId="19" type="noConversion"/>
  </si>
  <si>
    <t>스프레이 공구판매 (2ea)</t>
    <phoneticPr fontId="19" type="noConversion"/>
  </si>
  <si>
    <t>스프레이 공구판매 (1ea)</t>
    <phoneticPr fontId="19" type="noConversion"/>
  </si>
  <si>
    <t>봄산책기획전 (-20%)</t>
    <phoneticPr fontId="19" type="noConversion"/>
  </si>
  <si>
    <t>정상판매</t>
  </si>
  <si>
    <t>정상판매</t>
    <phoneticPr fontId="19" type="noConversion"/>
  </si>
  <si>
    <t>기본(봄산책할인전 -20%)</t>
    <phoneticPr fontId="19" type="noConversion"/>
  </si>
  <si>
    <t>판매가격</t>
    <phoneticPr fontId="19" type="noConversion"/>
  </si>
  <si>
    <t>판매가합</t>
    <phoneticPr fontId="19" type="noConversion"/>
  </si>
  <si>
    <t>정가기준</t>
    <phoneticPr fontId="19" type="noConversion"/>
  </si>
  <si>
    <t>혜택적용 (프로모션 및 공구할인)</t>
    <phoneticPr fontId="19" type="noConversion"/>
  </si>
  <si>
    <t>품목</t>
    <phoneticPr fontId="19" type="noConversion"/>
  </si>
  <si>
    <t>집계기간: 26.4.1-4.30</t>
    <phoneticPr fontId="19" type="noConversion"/>
  </si>
  <si>
    <t>기준: 배송완료</t>
    <phoneticPr fontId="19" type="noConversion"/>
  </si>
  <si>
    <t>판매채널</t>
  </si>
  <si>
    <t>구매자ID</t>
  </si>
  <si>
    <t>배송방법</t>
  </si>
  <si>
    <t>택배사</t>
  </si>
  <si>
    <t>송장번호</t>
  </si>
  <si>
    <t>상품종류</t>
  </si>
  <si>
    <t>옵션정보</t>
  </si>
  <si>
    <t>상품가격</t>
  </si>
  <si>
    <t>옵션가격</t>
  </si>
  <si>
    <t>최종 상품별 할인액</t>
  </si>
  <si>
    <t>판매자 부담 할인액</t>
  </si>
  <si>
    <t>최종 상품별 총 주문금액</t>
  </si>
  <si>
    <t>판매자 상품코드</t>
  </si>
  <si>
    <t>판매자 내부코드1</t>
  </si>
  <si>
    <t>판매자 내부코드2</t>
  </si>
  <si>
    <t>배송비 묶음번호</t>
  </si>
  <si>
    <t>배송비 형태</t>
  </si>
  <si>
    <t>배송비 유형</t>
  </si>
  <si>
    <t>배송비 합계</t>
  </si>
  <si>
    <t>제주/도서 추가배송비</t>
  </si>
  <si>
    <t>배송비 할인액</t>
  </si>
  <si>
    <t>결제일</t>
  </si>
  <si>
    <t>결제수단</t>
  </si>
  <si>
    <t>결제위치</t>
  </si>
  <si>
    <t>네이버페이 주문관리 수수료</t>
  </si>
  <si>
    <t>매출연동 수수료</t>
  </si>
  <si>
    <t>정산예정금액</t>
  </si>
  <si>
    <t>2026042516531611</t>
  </si>
  <si>
    <t>2026042577184211</t>
  </si>
  <si>
    <t>스마트스토어</t>
  </si>
  <si>
    <t>구매확정</t>
  </si>
  <si>
    <t>min_******</t>
  </si>
  <si>
    <t>택배,등기,소포</t>
  </si>
  <si>
    <t>로젠택배</t>
  </si>
  <si>
    <t>92234417634</t>
  </si>
  <si>
    <t>12423379709</t>
  </si>
  <si>
    <t>2026042520644564</t>
  </si>
  <si>
    <t>무료</t>
  </si>
  <si>
    <t>신용카드 간편결제</t>
  </si>
  <si>
    <t>MOBILE</t>
  </si>
  <si>
    <t>2026041567896181</t>
  </si>
  <si>
    <t>2026041581973751</t>
  </si>
  <si>
    <t>유정님</t>
  </si>
  <si>
    <t>sin0******</t>
  </si>
  <si>
    <t>91970180540</t>
  </si>
  <si>
    <t>2026041584299342</t>
  </si>
  <si>
    <t>도톤 포레스트 아웃도어 스프레이 150ml 강아지 해충방지 진드기</t>
    <phoneticPr fontId="19" type="noConversion"/>
  </si>
  <si>
    <t xml:space="preserve">도톤 포레스트 아웃도어 스프레이 150ml </t>
    <phoneticPr fontId="19" type="noConversion"/>
  </si>
  <si>
    <t>합계수량</t>
    <phoneticPr fontId="19" type="noConversion"/>
  </si>
  <si>
    <t>정상가계</t>
    <phoneticPr fontId="19" type="noConversion"/>
  </si>
  <si>
    <t>혜택</t>
    <phoneticPr fontId="19" type="noConversion"/>
  </si>
  <si>
    <t>20%할인(봄산책)</t>
    <phoneticPr fontId="19" type="noConversion"/>
  </si>
  <si>
    <t>판매가계</t>
    <phoneticPr fontId="19" type="noConversion"/>
  </si>
  <si>
    <t>상품</t>
    <phoneticPr fontId="19" type="noConversion"/>
  </si>
  <si>
    <t>도톤 포레스트 워터리스 풋클리너 100ml</t>
    <phoneticPr fontId="19" type="noConversion"/>
  </si>
  <si>
    <t>total</t>
    <phoneticPr fontId="19" type="noConversion"/>
  </si>
  <si>
    <t>집계: 26.4.1 - 4.30 (구매확정 기준)</t>
    <phoneticPr fontId="19" type="noConversion"/>
  </si>
  <si>
    <t>정상가</t>
    <phoneticPr fontId="19" type="noConversion"/>
  </si>
  <si>
    <t>판매계</t>
    <phoneticPr fontId="19" type="noConversion"/>
  </si>
  <si>
    <t>혜택공제</t>
    <phoneticPr fontId="19" type="noConversion"/>
  </si>
  <si>
    <t>정산계</t>
    <phoneticPr fontId="19" type="noConversion"/>
  </si>
  <si>
    <t>제품</t>
    <phoneticPr fontId="19" type="noConversion"/>
  </si>
  <si>
    <t xml:space="preserve">4월 판매내역 </t>
    <phoneticPr fontId="19" type="noConversion"/>
  </si>
  <si>
    <r>
      <t>4월 브랜드세일 20% (</t>
    </r>
    <r>
      <rPr>
        <b/>
        <sz val="11"/>
        <color theme="1"/>
        <rFont val="맑은 고딕"/>
        <family val="2"/>
        <charset val="129"/>
        <scheme val="minor"/>
      </rPr>
      <t>양사 10%</t>
    </r>
    <r>
      <rPr>
        <sz val="11"/>
        <color theme="1"/>
        <rFont val="맑은 고딕"/>
        <family val="2"/>
        <charset val="129"/>
        <scheme val="minor"/>
      </rPr>
      <t>씩 부담)</t>
    </r>
    <phoneticPr fontId="19" type="noConversion"/>
  </si>
  <si>
    <t>판매없음</t>
    <phoneticPr fontId="19" type="noConversion"/>
  </si>
  <si>
    <t>배송유형</t>
  </si>
  <si>
    <t>예약확정일</t>
  </si>
  <si>
    <t>예약일</t>
  </si>
  <si>
    <t>설치사용완료일</t>
  </si>
  <si>
    <t>1775124314002</t>
  </si>
  <si>
    <t>2410919050047</t>
  </si>
  <si>
    <t>2026-04-02T19:05:14</t>
  </si>
  <si>
    <t>P25102716000204</t>
  </si>
  <si>
    <t>[도톤] 포레스트 아웃도어 스프레이 150ml 강아지 해충방지 진드기 (도톤 포레스트 아웃도어 스프레이)</t>
  </si>
  <si>
    <t>도톤 포레스트 아웃도어 스프레이</t>
  </si>
  <si>
    <t>P251027160002040001</t>
  </si>
  <si>
    <t>1001772676</t>
  </si>
  <si>
    <t/>
  </si>
  <si>
    <t>92233662684</t>
  </si>
  <si>
    <t>김*희</t>
  </si>
  <si>
    <t>택배</t>
  </si>
  <si>
    <t>2026-04-03T14:02:24</t>
  </si>
  <si>
    <t>2026-04-03T15:23:58</t>
  </si>
  <si>
    <t>2026-04-04T09:16:52</t>
  </si>
  <si>
    <t>2026-04-11T04:01:32</t>
  </si>
  <si>
    <t>1132897</t>
  </si>
  <si>
    <t>19876386</t>
  </si>
  <si>
    <t>1776319059005</t>
  </si>
  <si>
    <t>2412314570095</t>
  </si>
  <si>
    <t>2026-04-16T14:57:40</t>
  </si>
  <si>
    <t>92234140320</t>
  </si>
  <si>
    <t>신*주</t>
  </si>
  <si>
    <t>2026-04-17T13:46:36</t>
  </si>
  <si>
    <t>2026-04-17T15:24:13</t>
  </si>
  <si>
    <t>2026-04-18T12:04:56</t>
  </si>
  <si>
    <t>2026-04-25T04:01:31</t>
  </si>
  <si>
    <t>20321745</t>
  </si>
  <si>
    <t>1776486033003</t>
  </si>
  <si>
    <t>2412513200056</t>
  </si>
  <si>
    <t>2026-04-18T13:20:34</t>
  </si>
  <si>
    <t>P25102716000203</t>
  </si>
  <si>
    <t>[도톤] 포레스트 워터리스 풋클리너 강아지 발세정제 100ml (도톤 포레스트 워터리스 풋클리너)</t>
  </si>
  <si>
    <t>도톤 포레스트 워터리스 풋클리너</t>
  </si>
  <si>
    <t>P251027160002030001</t>
  </si>
  <si>
    <t>1001772679</t>
  </si>
  <si>
    <t>92234206186</t>
  </si>
  <si>
    <t>이*정</t>
  </si>
  <si>
    <t>2026-04-20T10:22:56</t>
  </si>
  <si>
    <t>2026-04-20T14:51:54</t>
  </si>
  <si>
    <t>2026-04-21T18:41:43</t>
  </si>
  <si>
    <t>2026-04-28T04:00:41</t>
  </si>
  <si>
    <t>1132896</t>
  </si>
  <si>
    <t>20376328</t>
  </si>
  <si>
    <t>컬리 4월</t>
    <phoneticPr fontId="19" type="noConversion"/>
  </si>
  <si>
    <t>집계: 구매확정 기준</t>
    <phoneticPr fontId="19" type="noConversion"/>
  </si>
  <si>
    <t>20260408</t>
  </si>
  <si>
    <t>6089858022</t>
  </si>
  <si>
    <t>20260406</t>
  </si>
  <si>
    <t>6089771110</t>
  </si>
  <si>
    <t>6089779677</t>
  </si>
  <si>
    <t>도톤 포레스트 아웃도어 스프레이 150ml</t>
    <phoneticPr fontId="19" type="noConversion"/>
  </si>
  <si>
    <t>공급가(부가세포함)</t>
    <phoneticPr fontId="19" type="noConversion"/>
  </si>
  <si>
    <t>공급가합</t>
    <phoneticPr fontId="19" type="noConversion"/>
  </si>
  <si>
    <t>수량합계</t>
    <phoneticPr fontId="19" type="noConversion"/>
  </si>
  <si>
    <t>이마트(몰리스하남) 4월 판매집계</t>
    <phoneticPr fontId="19" type="noConversion"/>
  </si>
  <si>
    <t>2026-04-30 오전 9:25:44</t>
  </si>
  <si>
    <t>2026-04-30 오후 4:44:49</t>
  </si>
  <si>
    <t>스마트 스토어 (BETTERS)</t>
  </si>
  <si>
    <t>2026-04-29 오전 9:55:02</t>
  </si>
  <si>
    <t>2026-04-29 오후 4:07:28</t>
  </si>
  <si>
    <t>2026-04-29 오후 4:07:30</t>
  </si>
  <si>
    <t>2026-04-29 오후 4:07:33</t>
  </si>
  <si>
    <t>2026-04-27 오후 6:44:50</t>
  </si>
  <si>
    <t>2026-04-27 오전 9:10:56</t>
  </si>
  <si>
    <t>2026-04-27 오전 9:11:28</t>
  </si>
  <si>
    <t>2026-04-27 오전 9:12:35</t>
  </si>
  <si>
    <t>2026-04-27 오전 9:12:37</t>
  </si>
  <si>
    <t>2026-04-27 오전 9:12:40</t>
  </si>
  <si>
    <t>2026-04-27 오전 9:12:45</t>
  </si>
  <si>
    <t>2026-04-27 오전 9:12:51</t>
  </si>
  <si>
    <t>2026-04-27 오전 9:12:55</t>
  </si>
  <si>
    <t>2026-04-27 오전 9:12:59</t>
  </si>
  <si>
    <t>2026-04-27 오전 9:13:03</t>
  </si>
  <si>
    <t>2026-04-27 오전 9:13:06</t>
  </si>
  <si>
    <t>2026-04-24 오후 2:38:14</t>
  </si>
  <si>
    <t>2026-04-24 오후 2:38:30</t>
  </si>
  <si>
    <t>2026-04-24 오후 2:38:37</t>
  </si>
  <si>
    <t>2026-04-24 오후 2:38:40</t>
  </si>
  <si>
    <t>2026-04-23 오후 2:36:18</t>
  </si>
  <si>
    <t>2026-04-23 오후 2:36:26</t>
  </si>
  <si>
    <t>2026-04-23 오후 2:36:46</t>
  </si>
  <si>
    <t>2026-04-23 오후 2:36:49</t>
  </si>
  <si>
    <t>2026-04-23 오후 2:38:06</t>
  </si>
  <si>
    <t>2026-04-22 오전 11:56:06</t>
  </si>
  <si>
    <t>2026-04-22 오전 11:56:09</t>
  </si>
  <si>
    <t>2026-04-22 오전 11:56:13</t>
  </si>
  <si>
    <t>2026-04-22 오전 11:56:16</t>
  </si>
  <si>
    <t>2026-04-22 오전 11:56:20</t>
  </si>
  <si>
    <t>2026-04-22 오후 2:42:48</t>
  </si>
  <si>
    <t>2026-04-22 오후 2:42:52</t>
  </si>
  <si>
    <t>2026-04-21 오후 2:09:17</t>
  </si>
  <si>
    <t>2026-04-21 오후 2:09:23</t>
  </si>
  <si>
    <t>2026-04-21 오후 2:09:26</t>
  </si>
  <si>
    <t>2026-04-21 오후 2:09:30</t>
  </si>
  <si>
    <t>2026-04-21 오후 2:09:33</t>
  </si>
  <si>
    <t>2026-04-21 오후 2:17:03</t>
  </si>
  <si>
    <t>2026-04-21 오후 2:51:14</t>
  </si>
  <si>
    <t>2026-04-21 오후 2:51:18</t>
  </si>
  <si>
    <t>2026-04-21 오후 2:51:22</t>
  </si>
  <si>
    <t>2026-04-21 오후 2:51:26</t>
  </si>
  <si>
    <t>2026-04-21 오후 2:51:29</t>
  </si>
  <si>
    <t>2026-04-20 오후 2:09:10</t>
  </si>
  <si>
    <t>2026-04-20 오후 2:09:12</t>
  </si>
  <si>
    <t>2026-04-20 오후 2:09:14</t>
  </si>
  <si>
    <t>2026-04-20 오후 2:10:21</t>
  </si>
  <si>
    <t>2026-04-20 오후 2:10:46</t>
  </si>
  <si>
    <t>마켓컬리</t>
  </si>
  <si>
    <t>2026-04-20 오후 2:10:52</t>
  </si>
  <si>
    <t>2026-04-20 오후 2:10:54</t>
  </si>
  <si>
    <t>2026-04-20 오후 2:10:59</t>
  </si>
  <si>
    <t>2026-04-20 오후 2:11:03</t>
  </si>
  <si>
    <t>2026-04-20 오후 2:11:06</t>
  </si>
  <si>
    <t>2026-04-20 오후 2:11:10</t>
  </si>
  <si>
    <t>2026-04-20 오후 2:15:00</t>
  </si>
  <si>
    <t>2026-04-20 오후 3:27:25</t>
  </si>
  <si>
    <t>2026-04-20 오후 3:27:42</t>
  </si>
  <si>
    <t>2026-04-20 오후 3:27:44</t>
  </si>
  <si>
    <t>2026-04-20 오후 3:27:46</t>
  </si>
  <si>
    <t>2026-04-20 오후 4:09:28</t>
  </si>
  <si>
    <t>2026-04-17 오후 2:42:53</t>
  </si>
  <si>
    <t>2026-04-17 오후 2:42:57</t>
  </si>
  <si>
    <t>2026-04-17 오후 2:43:04</t>
  </si>
  <si>
    <t>2026-04-17 오후 2:43:07</t>
  </si>
  <si>
    <t>2026-04-17 오후 2:43:09</t>
  </si>
  <si>
    <t>2026-04-17 오후 2:43:12</t>
  </si>
  <si>
    <t>2026-04-17 오후 2:43:15</t>
  </si>
  <si>
    <t>2026-04-17 오후 2:43:17</t>
  </si>
  <si>
    <t>2026-04-17 오후 2:43:20</t>
  </si>
  <si>
    <t>2026-04-17 오후 2:43:49</t>
  </si>
  <si>
    <t>2026-04-16 오전 9:30:39</t>
  </si>
  <si>
    <t>2026-04-16 오전 9:30:44</t>
  </si>
  <si>
    <t>2026-04-16 오전 9:31:08</t>
  </si>
  <si>
    <t>2026-04-16 오전 9:31:10</t>
  </si>
  <si>
    <t>2026-04-16 오전 9:31:16</t>
  </si>
  <si>
    <t>2026-04-16 오전 9:31:18</t>
  </si>
  <si>
    <t>2026-04-16 오전 9:31:20</t>
  </si>
  <si>
    <t>2026-04-16 오전 9:31:23</t>
  </si>
  <si>
    <t>2026-04-16 오전 9:32:00</t>
  </si>
  <si>
    <t>2026-04-16 오전 9:32:07</t>
  </si>
  <si>
    <t>2026-04-16 오전 9:32:11</t>
  </si>
  <si>
    <t>2026-04-16 오전 9:32:14</t>
  </si>
  <si>
    <t>2026-04-16 오전 9:32:17</t>
  </si>
  <si>
    <t>2026-04-16 오전 9:32:43</t>
  </si>
  <si>
    <t>2026-04-16 오전 9:32:46</t>
  </si>
  <si>
    <t>2026-04-16 오전 9:32:50</t>
  </si>
  <si>
    <t>2026-04-16 오전 9:33:38</t>
  </si>
  <si>
    <t>2026-04-16 오전 9:36:46</t>
  </si>
  <si>
    <t>2026-04-16 오후 2:59:24</t>
  </si>
  <si>
    <t>2026-04-16 오후 2:59:28</t>
  </si>
  <si>
    <t>2026-04-16 오후 2:59:33</t>
  </si>
  <si>
    <t>2026-04-16 오후 3:00:01</t>
  </si>
  <si>
    <t>2026-04-16 오후 3:00:13</t>
  </si>
  <si>
    <t>2026-04-16 오후 3:00:17</t>
  </si>
  <si>
    <t>2026-04-16 오후 3:00:21</t>
  </si>
  <si>
    <t>2026-04-16 오후 3:00:53</t>
  </si>
  <si>
    <t>2026-04-15 오후 12:19:07</t>
  </si>
  <si>
    <t>2026-04-15 오후 12:19:11</t>
  </si>
  <si>
    <t>2026-04-15 오후 12:19:15</t>
  </si>
  <si>
    <t>2026-04-15 오후 12:19:17</t>
  </si>
  <si>
    <t>2026-04-15 오후 12:19:22</t>
  </si>
  <si>
    <t>2026-04-15 오후 12:19:24</t>
  </si>
  <si>
    <t>2026-04-15 오후 12:19:27</t>
  </si>
  <si>
    <t>2026-04-15 오후 12:19:29</t>
  </si>
  <si>
    <t>2026-04-15 오후 12:19:31</t>
  </si>
  <si>
    <t>2026-04-15 오후 12:19:34</t>
  </si>
  <si>
    <t>2026-04-14 오후 2:13:46</t>
  </si>
  <si>
    <t>2026-04-14 오후 2:16:27</t>
  </si>
  <si>
    <t>2026-04-14 오후 2:16:30</t>
  </si>
  <si>
    <t>2026-04-14 오후 2:16:32</t>
  </si>
  <si>
    <t>2026-04-14 오후 2:16:34</t>
  </si>
  <si>
    <t>2026-04-14 오후 2:16:37</t>
  </si>
  <si>
    <t>2026-04-14 오후 2:16:39</t>
  </si>
  <si>
    <t>2026-04-14 오후 2:16:42</t>
  </si>
  <si>
    <t>2026-04-14 오후 2:16:44</t>
  </si>
  <si>
    <t>2026-04-14 오후 2:16:46</t>
  </si>
  <si>
    <t>2026-04-14 오후 2:16:48</t>
  </si>
  <si>
    <t>2026-04-14 오후 2:16:52</t>
  </si>
  <si>
    <t>2026-04-14 오후 2:16:54</t>
  </si>
  <si>
    <t>2026-04-14 오후 2:16:57</t>
  </si>
  <si>
    <t>2026-04-14 오후 2:17:00</t>
  </si>
  <si>
    <t>2026-04-14 오후 2:17:02</t>
  </si>
  <si>
    <t>2026-04-14 오후 2:17:04</t>
  </si>
  <si>
    <t>2026-04-14 오후 2:17:06</t>
  </si>
  <si>
    <t>2026-04-14 오후 2:17:09</t>
  </si>
  <si>
    <t>2026-04-14 오후 2:17:11</t>
  </si>
  <si>
    <t>2026-04-14 오후 2:17:14</t>
  </si>
  <si>
    <t>2026-04-14 오후 2:17:16</t>
  </si>
  <si>
    <t>2026-04-14 오후 2:17:18</t>
  </si>
  <si>
    <t>2026-04-14 오후 2:18:08</t>
  </si>
  <si>
    <t>2026-04-14 오후 2:18:50</t>
  </si>
  <si>
    <t>2026-04-14 오후 2:18:53</t>
  </si>
  <si>
    <t>2026-04-14 오후 2:18:55</t>
  </si>
  <si>
    <t>2026-04-14 오후 2:18:58</t>
  </si>
  <si>
    <t>2026-04-14 오후 2:19:01</t>
  </si>
  <si>
    <t>2026-04-14 오후 2:19:04</t>
  </si>
  <si>
    <t>2026-04-14 오후 2:19:06</t>
  </si>
  <si>
    <t>2026-04-14 오후 2:19:09</t>
  </si>
  <si>
    <t>2026-04-14 오후 2:19:11</t>
  </si>
  <si>
    <t>2026-04-14 오후 2:19:14</t>
  </si>
  <si>
    <t>2026-04-14 오후 2:19:16</t>
  </si>
  <si>
    <t>2026-04-14 오후 2:19:19</t>
  </si>
  <si>
    <t>2026-04-14 오후 2:21:09</t>
  </si>
  <si>
    <t>2026-04-14 오후 2:21:12</t>
  </si>
  <si>
    <t>2026-04-14 오후 2:21:16</t>
  </si>
  <si>
    <t>2026-04-14 오후 2:21:19</t>
  </si>
  <si>
    <t>2026-04-14 오후 2:29:08</t>
  </si>
  <si>
    <t>2026-04-14 오후 4:05:24</t>
  </si>
  <si>
    <t>2026-04-14 오후 4:05:27</t>
  </si>
  <si>
    <t>2026-04-14 오후 4:05:41</t>
  </si>
  <si>
    <t>2026-04-14 오후 4:05:45</t>
  </si>
  <si>
    <t>2026-04-14 오후 4:05:49</t>
  </si>
  <si>
    <t>2026-04-14 오후 4:05:52</t>
  </si>
  <si>
    <t>2026-04-14 오후 4:06:54</t>
  </si>
  <si>
    <t>2026-04-14 오후 4:06:58</t>
  </si>
  <si>
    <t>2026-04-14 오후 4:07:03</t>
  </si>
  <si>
    <t>2026-04-13 오전 10:57:46</t>
  </si>
  <si>
    <t>2026-04-13 오전 10:58:18</t>
  </si>
  <si>
    <t>2026-04-13 오전 10:59:59</t>
  </si>
  <si>
    <t>2026-04-13 오전 11:00:03</t>
  </si>
  <si>
    <t>2026-04-13 오후 2:13:11</t>
  </si>
  <si>
    <t>발송취소</t>
  </si>
  <si>
    <t>2026-04-13 오후 2:16:17</t>
  </si>
  <si>
    <t>2026-04-13 오후 2:37:30</t>
  </si>
  <si>
    <t>2026-04-13 오후 3:05:25</t>
  </si>
  <si>
    <t>2026-04-13 오후 3:05:36</t>
  </si>
  <si>
    <t>2026-04-13 오후 3:05:40</t>
  </si>
  <si>
    <t>2026-04-13 오후 3:05:44</t>
  </si>
  <si>
    <t>2026-04-13 오후 3:05:50</t>
  </si>
  <si>
    <t>2026-04-13 오후 3:05:55</t>
  </si>
  <si>
    <t>2026-04-13 오후 3:05:59</t>
  </si>
  <si>
    <t>2026-04-09 오후 1:22:35</t>
  </si>
  <si>
    <t>2026-04-08 오후 12:51:54</t>
  </si>
  <si>
    <t>2026-04-08 오후 1:43:00</t>
  </si>
  <si>
    <t>2026-04-06 오후 3:04:37</t>
  </si>
  <si>
    <t>2026-04-03 오후 3:08:24</t>
  </si>
  <si>
    <t>2026-04-01 오후 3:23:21</t>
  </si>
  <si>
    <t>상품명</t>
    <phoneticPr fontId="19" type="noConversion"/>
  </si>
  <si>
    <t>주문일자</t>
  </si>
  <si>
    <t>판매처주문번호</t>
  </si>
  <si>
    <t>판매처상품명</t>
  </si>
  <si>
    <t>주문상품출고일시</t>
  </si>
  <si>
    <t>발송일자</t>
  </si>
  <si>
    <t>상품옵션</t>
  </si>
  <si>
    <t>주문수량</t>
  </si>
  <si>
    <t>주문자</t>
  </si>
  <si>
    <t>수령자</t>
  </si>
  <si>
    <t>재고매칭(1)바코드번호</t>
  </si>
  <si>
    <t>2026-04-27 오전 9:11:29</t>
  </si>
  <si>
    <t>2026-04-24 오후 2:38:15</t>
  </si>
  <si>
    <t>2026-04-16 오후 3:00:02</t>
  </si>
  <si>
    <t>2026-04-14 오후 4:06:55</t>
  </si>
  <si>
    <t>판매처상품코드</t>
  </si>
  <si>
    <t>재고매칭(1)상품명</t>
  </si>
  <si>
    <t>재고매칭(1)주문수량</t>
  </si>
  <si>
    <t>P000BMBG</t>
  </si>
  <si>
    <t>P000BLYX</t>
  </si>
  <si>
    <t>P000BLYY</t>
  </si>
  <si>
    <t>네이버브랜드커넥트(시딩)</t>
    <phoneticPr fontId="19" type="noConversion"/>
  </si>
  <si>
    <t>정상판매 (공구)</t>
    <phoneticPr fontId="19" type="noConversion"/>
  </si>
  <si>
    <t xml:space="preserve">정상판매 </t>
    <phoneticPr fontId="19" type="noConversion"/>
  </si>
  <si>
    <t>위탁이동 - 몽슈슈</t>
    <phoneticPr fontId="19" type="noConversion"/>
  </si>
  <si>
    <t>위탁이동 - 몰리스하남</t>
    <phoneticPr fontId="19" type="noConversion"/>
  </si>
  <si>
    <t>판매청구</t>
    <phoneticPr fontId="19" type="noConversion"/>
  </si>
  <si>
    <t>출고합</t>
    <phoneticPr fontId="19" type="noConversion"/>
  </si>
  <si>
    <t>입고합</t>
    <phoneticPr fontId="19" type="noConversion"/>
  </si>
  <si>
    <r>
      <rPr>
        <b/>
        <sz val="11"/>
        <color theme="1"/>
        <rFont val="Cambria"/>
        <family val="1"/>
      </rPr>
      <t>4</t>
    </r>
    <r>
      <rPr>
        <b/>
        <sz val="11"/>
        <color theme="1"/>
        <rFont val="Malgun Gothic"/>
        <family val="2"/>
        <charset val="129"/>
      </rPr>
      <t>월 1일</t>
    </r>
    <phoneticPr fontId="19" type="noConversion"/>
  </si>
  <si>
    <r>
      <t>4</t>
    </r>
    <r>
      <rPr>
        <b/>
        <sz val="11"/>
        <color theme="1"/>
        <rFont val="Malgun Gothic"/>
        <family val="2"/>
        <charset val="129"/>
      </rPr>
      <t>월</t>
    </r>
    <r>
      <rPr>
        <b/>
        <sz val="11"/>
        <color theme="1"/>
        <rFont val="Noto Sans KR"/>
        <charset val="129"/>
      </rPr>
      <t xml:space="preserve"> 30</t>
    </r>
    <r>
      <rPr>
        <b/>
        <sz val="11"/>
        <color theme="1"/>
        <rFont val="Malgun Gothic"/>
        <family val="2"/>
        <charset val="129"/>
      </rPr>
      <t>일</t>
    </r>
    <phoneticPr fontId="19" type="noConversion"/>
  </si>
  <si>
    <t>2026년 4월</t>
    <phoneticPr fontId="19" type="noConversion"/>
  </si>
  <si>
    <t>판매기간 2026 4/1 - 4/30</t>
    <phoneticPr fontId="19" type="noConversion"/>
  </si>
  <si>
    <t>판매수량</t>
  </si>
  <si>
    <t>기본수수료</t>
    <phoneticPr fontId="19" type="noConversion"/>
  </si>
  <si>
    <t>프로모션차감</t>
    <phoneticPr fontId="19" type="noConversion"/>
  </si>
  <si>
    <t>스마트스토어</t>
    <phoneticPr fontId="19" type="noConversion"/>
  </si>
  <si>
    <t>DOTEON Outdoor Spray</t>
    <phoneticPr fontId="19" type="noConversion"/>
  </si>
  <si>
    <t>자사몰-공구</t>
    <phoneticPr fontId="19" type="noConversion"/>
  </si>
  <si>
    <t>DOTEON Outdoor Spray 2개구매시</t>
    <phoneticPr fontId="19" type="noConversion"/>
  </si>
  <si>
    <t>DOTEON Outdoor Spray 3개구매시</t>
    <phoneticPr fontId="19" type="noConversion"/>
  </si>
  <si>
    <t>공구수수료</t>
    <phoneticPr fontId="19" type="noConversion"/>
  </si>
  <si>
    <t>주요채널: 영이공구(인플루언서)</t>
    <phoneticPr fontId="19" type="noConversion"/>
  </si>
  <si>
    <t>공구+PG</t>
    <phoneticPr fontId="19" type="noConversion"/>
  </si>
  <si>
    <t>재계약중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</si>
</sst>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mm&quot;월&quot;\ dd&quot;일&quot;"/>
    <numFmt numFmtId="179" formatCode="m&quot;월&quot;\ d&quot;일&quot;;@"/>
    <numFmt numFmtId="180" formatCode="0_);[Red]\(0\)"/>
    <numFmt numFmtId="181" formatCode="_(* #,##0.0_);_(* \(#,##0.0\);_(* &quot;-&quot;?_);_(@_)"/>
    <numFmt numFmtId="182" formatCode="m&quot;월&quot;\ d&quot;일&quot;"/>
    <numFmt numFmtId="183" formatCode="yyyy/mm/dd\ hh:mm"/>
    <numFmt numFmtId="184" formatCode="&quot;\&quot;#,##0"/>
  </numFmts>
  <fonts count="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i/>
      <sz val="10"/>
      <color theme="1"/>
      <name val="Noto Sans KR"/>
      <family val="3"/>
      <charset val="129"/>
    </font>
    <font>
      <b/>
      <sz val="11"/>
      <color theme="1"/>
      <name val="Noto Sans KR"/>
      <charset val="129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rgb="FF000000"/>
      <name val="Malgun Gothic"/>
      <family val="2"/>
      <charset val="129"/>
    </font>
    <font>
      <sz val="11"/>
      <color rgb="FF656565"/>
      <name val="Malgun Gothic"/>
      <family val="2"/>
      <charset val="129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Cambria"/>
      <family val="1"/>
    </font>
    <font>
      <b/>
      <sz val="11"/>
      <color theme="1"/>
      <name val="Malgun Gothic"/>
      <family val="2"/>
      <charset val="129"/>
    </font>
    <font>
      <b/>
      <sz val="11"/>
      <color theme="1"/>
      <name val="Noto Sans KR"/>
      <family val="1"/>
      <charset val="129"/>
    </font>
    <font>
      <b/>
      <sz val="11"/>
      <color rgb="FFFF0000"/>
      <name val="Noto Sans KR"/>
      <family val="3"/>
      <charset val="129"/>
    </font>
    <font>
      <sz val="12"/>
      <color indexed="8"/>
      <name val="나눔고딕"/>
      <family val="2"/>
      <charset val="129"/>
    </font>
    <font>
      <b/>
      <sz val="10"/>
      <color rgb="FF000000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sz val="11"/>
      <color rgb="FFFF0000"/>
      <name val="Noto Sans KR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CC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4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341">
    <xf numFmtId="0" fontId="0" fillId="0" borderId="0" xfId="0">
      <alignment vertical="center"/>
    </xf>
    <xf numFmtId="9" fontId="21" fillId="36" borderId="12" xfId="44" applyFont="1" applyFill="1" applyBorder="1" applyAlignment="1" applyProtection="1">
      <alignment horizontal="center" vertical="center" wrapText="1"/>
      <protection locked="0"/>
    </xf>
    <xf numFmtId="38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3" applyNumberFormat="1" applyFont="1" applyBorder="1" applyAlignment="1">
      <alignment horizontal="center" vertical="center"/>
    </xf>
    <xf numFmtId="0" fontId="20" fillId="0" borderId="0" xfId="43" applyFont="1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19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  <xf numFmtId="176" fontId="29" fillId="0" borderId="12" xfId="1" applyFont="1" applyBorder="1">
      <alignment vertical="center"/>
    </xf>
    <xf numFmtId="176" fontId="29" fillId="0" borderId="17" xfId="1" applyFont="1" applyBorder="1">
      <alignment vertical="center"/>
    </xf>
    <xf numFmtId="0" fontId="28" fillId="33" borderId="16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176" fontId="28" fillId="0" borderId="12" xfId="1" applyFont="1" applyBorder="1">
      <alignment vertical="center"/>
    </xf>
    <xf numFmtId="180" fontId="29" fillId="0" borderId="16" xfId="0" applyNumberFormat="1" applyFont="1" applyBorder="1">
      <alignment vertical="center"/>
    </xf>
    <xf numFmtId="0" fontId="32" fillId="0" borderId="0" xfId="0" applyFont="1">
      <alignment vertical="center"/>
    </xf>
    <xf numFmtId="180" fontId="32" fillId="0" borderId="0" xfId="0" applyNumberFormat="1" applyFont="1">
      <alignment vertical="center"/>
    </xf>
    <xf numFmtId="14" fontId="32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76" fontId="32" fillId="0" borderId="0" xfId="1" applyFont="1">
      <alignment vertical="center"/>
    </xf>
    <xf numFmtId="176" fontId="0" fillId="0" borderId="0" xfId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22" fontId="32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76" fontId="33" fillId="0" borderId="31" xfId="1" applyFont="1" applyBorder="1" applyAlignment="1">
      <alignment horizontal="center" vertical="center"/>
    </xf>
    <xf numFmtId="9" fontId="33" fillId="0" borderId="31" xfId="0" applyNumberFormat="1" applyFont="1" applyBorder="1" applyAlignment="1">
      <alignment horizontal="center" vertical="center"/>
    </xf>
    <xf numFmtId="0" fontId="34" fillId="0" borderId="12" xfId="0" applyFont="1" applyBorder="1">
      <alignment vertical="center"/>
    </xf>
    <xf numFmtId="41" fontId="34" fillId="0" borderId="12" xfId="0" applyNumberFormat="1" applyFont="1" applyBorder="1">
      <alignment vertical="center"/>
    </xf>
    <xf numFmtId="0" fontId="33" fillId="0" borderId="12" xfId="0" applyFont="1" applyBorder="1" applyAlignment="1">
      <alignment horizontal="center" vertical="center"/>
    </xf>
    <xf numFmtId="41" fontId="33" fillId="0" borderId="12" xfId="0" applyNumberFormat="1" applyFont="1" applyBorder="1" applyAlignment="1">
      <alignment horizontal="center" vertical="center"/>
    </xf>
    <xf numFmtId="41" fontId="33" fillId="38" borderId="12" xfId="0" applyNumberFormat="1" applyFont="1" applyFill="1" applyBorder="1" applyAlignment="1">
      <alignment horizontal="center" vertical="center"/>
    </xf>
    <xf numFmtId="9" fontId="33" fillId="0" borderId="12" xfId="0" applyNumberFormat="1" applyFont="1" applyBorder="1" applyAlignment="1">
      <alignment horizontal="center" vertical="center"/>
    </xf>
    <xf numFmtId="176" fontId="33" fillId="0" borderId="12" xfId="1" applyFont="1" applyBorder="1" applyAlignment="1">
      <alignment horizontal="center" vertical="center"/>
    </xf>
    <xf numFmtId="176" fontId="34" fillId="0" borderId="12" xfId="1" applyFont="1" applyBorder="1">
      <alignment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>
      <alignment vertical="center"/>
    </xf>
    <xf numFmtId="0" fontId="34" fillId="39" borderId="0" xfId="0" applyFont="1" applyFill="1">
      <alignment vertical="center"/>
    </xf>
    <xf numFmtId="0" fontId="33" fillId="39" borderId="0" xfId="0" applyFont="1" applyFill="1">
      <alignment vertical="center"/>
    </xf>
    <xf numFmtId="41" fontId="33" fillId="39" borderId="31" xfId="0" applyNumberFormat="1" applyFont="1" applyFill="1" applyBorder="1" applyAlignment="1">
      <alignment horizontal="center" vertical="center"/>
    </xf>
    <xf numFmtId="41" fontId="34" fillId="39" borderId="12" xfId="0" applyNumberFormat="1" applyFont="1" applyFill="1" applyBorder="1">
      <alignment vertical="center"/>
    </xf>
    <xf numFmtId="41" fontId="33" fillId="39" borderId="12" xfId="0" applyNumberFormat="1" applyFont="1" applyFill="1" applyBorder="1" applyAlignment="1">
      <alignment horizontal="center" vertical="center"/>
    </xf>
    <xf numFmtId="176" fontId="29" fillId="0" borderId="32" xfId="1" applyFont="1" applyFill="1" applyBorder="1">
      <alignment vertical="center"/>
    </xf>
    <xf numFmtId="176" fontId="0" fillId="0" borderId="0" xfId="0" applyNumberFormat="1">
      <alignment vertical="center"/>
    </xf>
    <xf numFmtId="180" fontId="29" fillId="39" borderId="13" xfId="0" applyNumberFormat="1" applyFont="1" applyFill="1" applyBorder="1">
      <alignment vertical="center"/>
    </xf>
    <xf numFmtId="0" fontId="29" fillId="39" borderId="14" xfId="0" applyFont="1" applyFill="1" applyBorder="1">
      <alignment vertical="center"/>
    </xf>
    <xf numFmtId="176" fontId="29" fillId="39" borderId="14" xfId="1" applyFont="1" applyFill="1" applyBorder="1">
      <alignment vertical="center"/>
    </xf>
    <xf numFmtId="176" fontId="31" fillId="39" borderId="14" xfId="1" applyFont="1" applyFill="1" applyBorder="1">
      <alignment vertical="center"/>
    </xf>
    <xf numFmtId="176" fontId="29" fillId="39" borderId="15" xfId="1" applyFont="1" applyFill="1" applyBorder="1">
      <alignment vertical="center"/>
    </xf>
    <xf numFmtId="176" fontId="34" fillId="39" borderId="12" xfId="0" applyNumberFormat="1" applyFont="1" applyFill="1" applyBorder="1">
      <alignment vertical="center"/>
    </xf>
    <xf numFmtId="0" fontId="35" fillId="0" borderId="12" xfId="0" applyFont="1" applyBorder="1">
      <alignment vertical="center"/>
    </xf>
    <xf numFmtId="41" fontId="35" fillId="39" borderId="12" xfId="0" applyNumberFormat="1" applyFont="1" applyFill="1" applyBorder="1">
      <alignment vertical="center"/>
    </xf>
    <xf numFmtId="0" fontId="33" fillId="0" borderId="19" xfId="0" applyFont="1" applyBorder="1" applyAlignment="1">
      <alignment horizontal="center" vertical="center"/>
    </xf>
    <xf numFmtId="0" fontId="33" fillId="38" borderId="19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41" fontId="34" fillId="0" borderId="17" xfId="0" applyNumberFormat="1" applyFont="1" applyBorder="1">
      <alignment vertical="center"/>
    </xf>
    <xf numFmtId="0" fontId="33" fillId="0" borderId="14" xfId="0" applyFont="1" applyBorder="1" applyAlignment="1">
      <alignment horizontal="center" vertical="center"/>
    </xf>
    <xf numFmtId="41" fontId="33" fillId="0" borderId="14" xfId="0" applyNumberFormat="1" applyFont="1" applyBorder="1" applyAlignment="1">
      <alignment horizontal="center" vertical="center"/>
    </xf>
    <xf numFmtId="41" fontId="33" fillId="38" borderId="14" xfId="0" applyNumberFormat="1" applyFont="1" applyFill="1" applyBorder="1" applyAlignment="1">
      <alignment horizontal="center" vertical="center"/>
    </xf>
    <xf numFmtId="9" fontId="33" fillId="0" borderId="14" xfId="0" applyNumberFormat="1" applyFont="1" applyBorder="1" applyAlignment="1">
      <alignment horizontal="center" vertical="center"/>
    </xf>
    <xf numFmtId="176" fontId="33" fillId="0" borderId="15" xfId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1" fontId="33" fillId="38" borderId="19" xfId="0" applyNumberFormat="1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176" fontId="33" fillId="0" borderId="34" xfId="1" applyFont="1" applyBorder="1" applyAlignment="1">
      <alignment horizontal="center" vertical="center"/>
    </xf>
    <xf numFmtId="9" fontId="33" fillId="0" borderId="34" xfId="0" applyNumberFormat="1" applyFont="1" applyBorder="1" applyAlignment="1">
      <alignment horizontal="center" vertical="center"/>
    </xf>
    <xf numFmtId="41" fontId="36" fillId="39" borderId="34" xfId="0" applyNumberFormat="1" applyFont="1" applyFill="1" applyBorder="1" applyAlignment="1">
      <alignment horizontal="center" vertical="center"/>
    </xf>
    <xf numFmtId="0" fontId="33" fillId="39" borderId="19" xfId="0" applyFont="1" applyFill="1" applyBorder="1" applyAlignment="1">
      <alignment horizontal="center" vertical="center"/>
    </xf>
    <xf numFmtId="0" fontId="34" fillId="0" borderId="20" xfId="0" applyFont="1" applyBorder="1">
      <alignment vertical="center"/>
    </xf>
    <xf numFmtId="176" fontId="33" fillId="0" borderId="14" xfId="1" applyFont="1" applyBorder="1" applyAlignment="1">
      <alignment horizontal="center" vertical="center"/>
    </xf>
    <xf numFmtId="176" fontId="36" fillId="39" borderId="14" xfId="1" applyFont="1" applyFill="1" applyBorder="1" applyAlignment="1">
      <alignment horizontal="center" vertical="center"/>
    </xf>
    <xf numFmtId="176" fontId="34" fillId="0" borderId="15" xfId="1" applyFont="1" applyFill="1" applyBorder="1">
      <alignment vertical="center"/>
    </xf>
    <xf numFmtId="176" fontId="34" fillId="0" borderId="17" xfId="1" applyFont="1" applyBorder="1">
      <alignment vertical="center"/>
    </xf>
    <xf numFmtId="176" fontId="36" fillId="39" borderId="14" xfId="1" applyFont="1" applyFill="1" applyBorder="1">
      <alignment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4" fillId="0" borderId="14" xfId="0" applyFont="1" applyBorder="1">
      <alignment vertical="center"/>
    </xf>
    <xf numFmtId="41" fontId="36" fillId="39" borderId="14" xfId="0" applyNumberFormat="1" applyFont="1" applyFill="1" applyBorder="1" applyAlignment="1">
      <alignment horizontal="center" vertical="center"/>
    </xf>
    <xf numFmtId="9" fontId="34" fillId="0" borderId="16" xfId="0" applyNumberFormat="1" applyFont="1" applyBorder="1">
      <alignment vertical="center"/>
    </xf>
    <xf numFmtId="176" fontId="34" fillId="0" borderId="13" xfId="1" applyFont="1" applyBorder="1">
      <alignment vertical="center"/>
    </xf>
    <xf numFmtId="0" fontId="37" fillId="41" borderId="0" xfId="0" applyFont="1" applyFill="1" applyAlignment="1">
      <alignment horizontal="center"/>
    </xf>
    <xf numFmtId="176" fontId="37" fillId="41" borderId="0" xfId="1" applyFont="1" applyFill="1" applyAlignment="1">
      <alignment horizontal="center"/>
    </xf>
    <xf numFmtId="0" fontId="0" fillId="0" borderId="0" xfId="0" applyAlignment="1"/>
    <xf numFmtId="176" fontId="0" fillId="0" borderId="0" xfId="1" applyFont="1" applyAlignment="1"/>
    <xf numFmtId="176" fontId="33" fillId="0" borderId="1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0" borderId="19" xfId="0" applyFont="1" applyFill="1" applyBorder="1" applyAlignment="1">
      <alignment horizontal="center" vertical="center"/>
    </xf>
    <xf numFmtId="176" fontId="33" fillId="0" borderId="17" xfId="0" applyNumberFormat="1" applyFont="1" applyBorder="1" applyAlignment="1">
      <alignment horizontal="center" vertical="center"/>
    </xf>
    <xf numFmtId="176" fontId="33" fillId="0" borderId="14" xfId="0" applyNumberFormat="1" applyFont="1" applyBorder="1" applyAlignment="1">
      <alignment horizontal="center" vertical="center"/>
    </xf>
    <xf numFmtId="176" fontId="33" fillId="0" borderId="15" xfId="0" applyNumberFormat="1" applyFont="1" applyBorder="1" applyAlignment="1">
      <alignment horizontal="center" vertical="center"/>
    </xf>
    <xf numFmtId="177" fontId="18" fillId="0" borderId="13" xfId="43" applyNumberFormat="1" applyFont="1" applyBorder="1" applyAlignment="1">
      <alignment horizontal="center" vertical="center"/>
    </xf>
    <xf numFmtId="0" fontId="0" fillId="43" borderId="12" xfId="0" applyFill="1" applyBorder="1">
      <alignment vertical="center"/>
    </xf>
    <xf numFmtId="176" fontId="0" fillId="43" borderId="12" xfId="1" applyFont="1" applyFill="1" applyBorder="1">
      <alignment vertical="center"/>
    </xf>
    <xf numFmtId="176" fontId="0" fillId="43" borderId="12" xfId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76" fontId="0" fillId="0" borderId="12" xfId="1" applyFont="1" applyFill="1" applyBorder="1">
      <alignment vertical="center"/>
    </xf>
    <xf numFmtId="176" fontId="0" fillId="0" borderId="12" xfId="1" applyFont="1" applyFill="1" applyBorder="1" applyAlignment="1">
      <alignment horizontal="center" vertical="center"/>
    </xf>
    <xf numFmtId="9" fontId="21" fillId="36" borderId="17" xfId="44" applyFont="1" applyFill="1" applyBorder="1" applyAlignment="1" applyProtection="1">
      <alignment horizontal="center" vertical="center" wrapText="1"/>
      <protection locked="0"/>
    </xf>
    <xf numFmtId="176" fontId="24" fillId="0" borderId="15" xfId="44" applyNumberFormat="1" applyFont="1" applyFill="1" applyBorder="1" applyAlignment="1" applyProtection="1">
      <alignment horizontal="center" vertical="center"/>
      <protection locked="0"/>
    </xf>
    <xf numFmtId="176" fontId="39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40" fillId="0" borderId="14" xfId="4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9" fontId="0" fillId="0" borderId="12" xfId="46" applyFont="1" applyFill="1" applyBorder="1" applyAlignment="1">
      <alignment horizontal="center" vertical="center"/>
    </xf>
    <xf numFmtId="0" fontId="38" fillId="37" borderId="18" xfId="0" applyFont="1" applyFill="1" applyBorder="1" applyAlignment="1">
      <alignment horizontal="center" vertical="center"/>
    </xf>
    <xf numFmtId="0" fontId="38" fillId="37" borderId="19" xfId="0" applyFont="1" applyFill="1" applyBorder="1" applyAlignment="1">
      <alignment horizontal="center" vertical="center"/>
    </xf>
    <xf numFmtId="0" fontId="38" fillId="37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9" fontId="0" fillId="0" borderId="14" xfId="46" applyFont="1" applyFill="1" applyBorder="1" applyAlignment="1">
      <alignment horizontal="center" vertical="center"/>
    </xf>
    <xf numFmtId="176" fontId="0" fillId="0" borderId="14" xfId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38" fillId="42" borderId="18" xfId="0" applyFont="1" applyFill="1" applyBorder="1" applyAlignment="1">
      <alignment horizontal="center" vertical="center"/>
    </xf>
    <xf numFmtId="0" fontId="38" fillId="42" borderId="19" xfId="0" applyFont="1" applyFill="1" applyBorder="1" applyAlignment="1">
      <alignment horizontal="center" vertical="center"/>
    </xf>
    <xf numFmtId="0" fontId="38" fillId="42" borderId="20" xfId="0" applyFont="1" applyFill="1" applyBorder="1" applyAlignment="1">
      <alignment horizontal="center" vertical="center"/>
    </xf>
    <xf numFmtId="0" fontId="0" fillId="43" borderId="17" xfId="0" applyFill="1" applyBorder="1">
      <alignment vertical="center"/>
    </xf>
    <xf numFmtId="176" fontId="0" fillId="0" borderId="14" xfId="1" applyFont="1" applyFill="1" applyBorder="1">
      <alignment vertical="center"/>
    </xf>
    <xf numFmtId="0" fontId="16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39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76" fontId="16" fillId="0" borderId="0" xfId="1" applyFont="1">
      <alignment vertical="center"/>
    </xf>
    <xf numFmtId="41" fontId="33" fillId="0" borderId="15" xfId="0" applyNumberFormat="1" applyFont="1" applyBorder="1" applyAlignment="1">
      <alignment horizontal="center" vertical="center"/>
    </xf>
    <xf numFmtId="176" fontId="34" fillId="0" borderId="14" xfId="1" applyFont="1" applyBorder="1">
      <alignment vertical="center"/>
    </xf>
    <xf numFmtId="0" fontId="34" fillId="0" borderId="19" xfId="0" applyFont="1" applyBorder="1" applyAlignment="1">
      <alignment horizontal="center" vertical="center"/>
    </xf>
    <xf numFmtId="176" fontId="34" fillId="0" borderId="12" xfId="0" applyNumberFormat="1" applyFont="1" applyBorder="1">
      <alignment vertical="center"/>
    </xf>
    <xf numFmtId="0" fontId="32" fillId="0" borderId="12" xfId="0" applyFont="1" applyBorder="1">
      <alignment vertical="center"/>
    </xf>
    <xf numFmtId="180" fontId="32" fillId="0" borderId="12" xfId="0" applyNumberFormat="1" applyFont="1" applyBorder="1" applyAlignment="1">
      <alignment horizontal="center" vertical="center"/>
    </xf>
    <xf numFmtId="176" fontId="32" fillId="0" borderId="12" xfId="1" applyFont="1" applyBorder="1">
      <alignment vertical="center"/>
    </xf>
    <xf numFmtId="14" fontId="32" fillId="0" borderId="12" xfId="0" applyNumberFormat="1" applyFont="1" applyBorder="1">
      <alignment vertical="center"/>
    </xf>
    <xf numFmtId="0" fontId="32" fillId="0" borderId="12" xfId="0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 wrapText="1"/>
    </xf>
    <xf numFmtId="9" fontId="21" fillId="36" borderId="19" xfId="44" applyFont="1" applyFill="1" applyBorder="1" applyAlignment="1" applyProtection="1">
      <alignment horizontal="center" vertical="center" wrapText="1"/>
      <protection locked="0"/>
    </xf>
    <xf numFmtId="176" fontId="21" fillId="34" borderId="19" xfId="45" applyFont="1" applyFill="1" applyBorder="1" applyAlignment="1" applyProtection="1">
      <alignment horizontal="center" vertical="center" wrapText="1"/>
      <protection locked="0"/>
    </xf>
    <xf numFmtId="176" fontId="23" fillId="35" borderId="19" xfId="45" applyFont="1" applyFill="1" applyBorder="1" applyAlignment="1" applyProtection="1">
      <alignment horizontal="center" vertical="center" wrapText="1"/>
      <protection locked="0"/>
    </xf>
    <xf numFmtId="176" fontId="23" fillId="42" borderId="19" xfId="45" applyFont="1" applyFill="1" applyBorder="1" applyAlignment="1" applyProtection="1">
      <alignment horizontal="center" vertical="center" wrapText="1"/>
      <protection locked="0"/>
    </xf>
    <xf numFmtId="176" fontId="23" fillId="35" borderId="20" xfId="45" applyFont="1" applyFill="1" applyBorder="1" applyAlignment="1" applyProtection="1">
      <alignment horizontal="center" vertical="center" wrapText="1"/>
      <protection locked="0"/>
    </xf>
    <xf numFmtId="176" fontId="24" fillId="0" borderId="14" xfId="0" applyNumberFormat="1" applyFont="1" applyBorder="1" applyAlignment="1">
      <alignment horizontal="center" vertical="center"/>
    </xf>
    <xf numFmtId="0" fontId="32" fillId="0" borderId="0" xfId="0" quotePrefix="1" applyFont="1">
      <alignment vertical="center"/>
    </xf>
    <xf numFmtId="0" fontId="0" fillId="44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2" xfId="47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6" fillId="0" borderId="0" xfId="1" applyFont="1" applyAlignment="1"/>
    <xf numFmtId="180" fontId="42" fillId="0" borderId="12" xfId="0" applyNumberFormat="1" applyFont="1" applyBorder="1">
      <alignment vertical="center"/>
    </xf>
    <xf numFmtId="0" fontId="32" fillId="35" borderId="12" xfId="0" applyFont="1" applyFill="1" applyBorder="1">
      <alignment vertical="center"/>
    </xf>
    <xf numFmtId="0" fontId="34" fillId="0" borderId="0" xfId="0" applyFont="1" applyAlignment="1">
      <alignment horizontal="right" vertical="center"/>
    </xf>
    <xf numFmtId="181" fontId="0" fillId="0" borderId="0" xfId="0" applyNumberFormat="1">
      <alignment vertical="center"/>
    </xf>
    <xf numFmtId="0" fontId="45" fillId="0" borderId="0" xfId="0" applyFont="1">
      <alignment vertical="center"/>
    </xf>
    <xf numFmtId="0" fontId="35" fillId="43" borderId="0" xfId="0" applyFont="1" applyFill="1">
      <alignment vertical="center"/>
    </xf>
    <xf numFmtId="0" fontId="35" fillId="43" borderId="0" xfId="0" applyFont="1" applyFill="1" applyAlignment="1">
      <alignment horizontal="center" vertical="center"/>
    </xf>
    <xf numFmtId="0" fontId="35" fillId="43" borderId="0" xfId="0" applyFont="1" applyFill="1" applyAlignment="1">
      <alignment horizontal="right" vertical="center"/>
    </xf>
    <xf numFmtId="176" fontId="35" fillId="0" borderId="0" xfId="1" applyFont="1" applyAlignment="1">
      <alignment horizontal="center" vertical="center"/>
    </xf>
    <xf numFmtId="176" fontId="49" fillId="0" borderId="12" xfId="1" applyFont="1" applyBorder="1">
      <alignment vertical="center"/>
    </xf>
    <xf numFmtId="0" fontId="44" fillId="0" borderId="45" xfId="0" applyFont="1" applyBorder="1" applyAlignment="1">
      <alignment horizontal="center" vertical="center" wrapText="1"/>
    </xf>
    <xf numFmtId="3" fontId="44" fillId="0" borderId="43" xfId="0" applyNumberFormat="1" applyFont="1" applyBorder="1" applyAlignment="1">
      <alignment horizontal="center" vertical="center" wrapText="1"/>
    </xf>
    <xf numFmtId="0" fontId="43" fillId="45" borderId="41" xfId="0" applyFont="1" applyFill="1" applyBorder="1" applyAlignment="1">
      <alignment horizontal="center" vertical="center" wrapText="1"/>
    </xf>
    <xf numFmtId="0" fontId="43" fillId="45" borderId="42" xfId="0" applyFont="1" applyFill="1" applyBorder="1" applyAlignment="1">
      <alignment horizontal="center" vertical="center" wrapText="1"/>
    </xf>
    <xf numFmtId="14" fontId="34" fillId="0" borderId="0" xfId="0" applyNumberFormat="1" applyFont="1">
      <alignment vertical="center"/>
    </xf>
    <xf numFmtId="176" fontId="35" fillId="0" borderId="0" xfId="0" applyNumberFormat="1" applyFont="1" applyAlignment="1">
      <alignment horizontal="center" vertical="center"/>
    </xf>
    <xf numFmtId="176" fontId="35" fillId="0" borderId="0" xfId="0" applyNumberFormat="1" applyFont="1">
      <alignment vertical="center"/>
    </xf>
    <xf numFmtId="176" fontId="33" fillId="0" borderId="0" xfId="1" applyFont="1" applyBorder="1" applyAlignment="1">
      <alignment horizontal="center" vertical="center"/>
    </xf>
    <xf numFmtId="176" fontId="34" fillId="0" borderId="0" xfId="1" applyFont="1" applyBorder="1">
      <alignment vertical="center"/>
    </xf>
    <xf numFmtId="41" fontId="33" fillId="0" borderId="0" xfId="0" applyNumberFormat="1" applyFont="1" applyAlignment="1">
      <alignment horizontal="center" vertical="center"/>
    </xf>
    <xf numFmtId="41" fontId="36" fillId="39" borderId="0" xfId="0" applyNumberFormat="1" applyFont="1" applyFill="1" applyAlignment="1">
      <alignment horizontal="center" vertical="center"/>
    </xf>
    <xf numFmtId="0" fontId="50" fillId="46" borderId="18" xfId="0" applyFont="1" applyFill="1" applyBorder="1" applyAlignment="1">
      <alignment horizontal="center" vertical="center" wrapText="1"/>
    </xf>
    <xf numFmtId="0" fontId="50" fillId="46" borderId="19" xfId="0" applyFont="1" applyFill="1" applyBorder="1" applyAlignment="1">
      <alignment horizontal="center" vertical="center" wrapText="1"/>
    </xf>
    <xf numFmtId="0" fontId="50" fillId="46" borderId="20" xfId="0" applyFont="1" applyFill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3" fontId="50" fillId="0" borderId="12" xfId="0" applyNumberFormat="1" applyFont="1" applyBorder="1" applyAlignment="1">
      <alignment horizontal="right" vertical="center" wrapText="1"/>
    </xf>
    <xf numFmtId="0" fontId="50" fillId="0" borderId="17" xfId="0" applyFont="1" applyBorder="1" applyAlignment="1">
      <alignment horizontal="center" vertical="center" wrapText="1"/>
    </xf>
    <xf numFmtId="3" fontId="50" fillId="0" borderId="0" xfId="0" applyNumberFormat="1" applyFont="1" applyAlignment="1">
      <alignment horizontal="right" vertical="center" wrapText="1"/>
    </xf>
    <xf numFmtId="9" fontId="16" fillId="0" borderId="0" xfId="0" applyNumberFormat="1" applyFont="1">
      <alignment vertical="center"/>
    </xf>
    <xf numFmtId="9" fontId="33" fillId="0" borderId="14" xfId="46" applyFont="1" applyBorder="1" applyAlignment="1">
      <alignment horizontal="center" vertical="center"/>
    </xf>
    <xf numFmtId="176" fontId="35" fillId="39" borderId="12" xfId="0" applyNumberFormat="1" applyFont="1" applyFill="1" applyBorder="1">
      <alignment vertical="center"/>
    </xf>
    <xf numFmtId="41" fontId="35" fillId="0" borderId="12" xfId="0" applyNumberFormat="1" applyFont="1" applyBorder="1">
      <alignment vertical="center"/>
    </xf>
    <xf numFmtId="182" fontId="34" fillId="0" borderId="0" xfId="0" applyNumberFormat="1" applyFont="1">
      <alignment vertical="center"/>
    </xf>
    <xf numFmtId="176" fontId="0" fillId="0" borderId="44" xfId="1" applyFont="1" applyFill="1" applyBorder="1">
      <alignment vertical="center"/>
    </xf>
    <xf numFmtId="38" fontId="24" fillId="0" borderId="12" xfId="44" applyNumberFormat="1" applyFont="1" applyFill="1" applyBorder="1" applyAlignment="1" applyProtection="1">
      <alignment horizontal="center" vertical="center"/>
      <protection locked="0"/>
    </xf>
    <xf numFmtId="176" fontId="24" fillId="0" borderId="12" xfId="44" applyNumberFormat="1" applyFont="1" applyFill="1" applyBorder="1" applyAlignment="1" applyProtection="1">
      <alignment horizontal="center" vertical="center"/>
      <protection locked="0"/>
    </xf>
    <xf numFmtId="177" fontId="18" fillId="0" borderId="16" xfId="43" applyNumberFormat="1" applyFont="1" applyBorder="1" applyAlignment="1">
      <alignment horizontal="center" vertical="center"/>
    </xf>
    <xf numFmtId="176" fontId="24" fillId="0" borderId="17" xfId="44" applyNumberFormat="1" applyFont="1" applyFill="1" applyBorder="1" applyAlignment="1" applyProtection="1">
      <alignment horizontal="center" vertical="center"/>
      <protection locked="0"/>
    </xf>
    <xf numFmtId="177" fontId="33" fillId="0" borderId="16" xfId="0" applyNumberFormat="1" applyFont="1" applyBorder="1" applyAlignment="1">
      <alignment horizontal="center" vertical="center"/>
    </xf>
    <xf numFmtId="177" fontId="51" fillId="0" borderId="13" xfId="0" applyNumberFormat="1" applyFont="1" applyBorder="1" applyAlignment="1">
      <alignment horizontal="center" vertical="center"/>
    </xf>
    <xf numFmtId="176" fontId="16" fillId="0" borderId="14" xfId="1" applyFont="1" applyFill="1" applyBorder="1" applyAlignment="1">
      <alignment horizontal="center" vertical="center"/>
    </xf>
    <xf numFmtId="22" fontId="45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5" fillId="43" borderId="46" xfId="0" applyFont="1" applyFill="1" applyBorder="1">
      <alignment vertical="center"/>
    </xf>
    <xf numFmtId="0" fontId="35" fillId="43" borderId="47" xfId="0" applyFont="1" applyFill="1" applyBorder="1">
      <alignment vertical="center"/>
    </xf>
    <xf numFmtId="0" fontId="35" fillId="43" borderId="48" xfId="0" applyFont="1" applyFill="1" applyBorder="1">
      <alignment vertical="center"/>
    </xf>
    <xf numFmtId="0" fontId="34" fillId="0" borderId="49" xfId="0" applyFont="1" applyBorder="1">
      <alignment vertical="center"/>
    </xf>
    <xf numFmtId="176" fontId="35" fillId="0" borderId="0" xfId="1" applyFont="1" applyBorder="1" applyAlignment="1">
      <alignment horizontal="center" vertical="center"/>
    </xf>
    <xf numFmtId="176" fontId="34" fillId="0" borderId="0" xfId="0" applyNumberFormat="1" applyFont="1">
      <alignment vertical="center"/>
    </xf>
    <xf numFmtId="176" fontId="34" fillId="0" borderId="50" xfId="0" applyNumberFormat="1" applyFont="1" applyBorder="1">
      <alignment vertical="center"/>
    </xf>
    <xf numFmtId="0" fontId="34" fillId="0" borderId="51" xfId="0" applyFont="1" applyBorder="1">
      <alignment vertical="center"/>
    </xf>
    <xf numFmtId="176" fontId="35" fillId="0" borderId="52" xfId="1" applyFont="1" applyBorder="1">
      <alignment vertical="center"/>
    </xf>
    <xf numFmtId="0" fontId="34" fillId="0" borderId="52" xfId="0" applyFont="1" applyBorder="1">
      <alignment vertical="center"/>
    </xf>
    <xf numFmtId="176" fontId="35" fillId="0" borderId="53" xfId="1" applyFont="1" applyBorder="1">
      <alignment vertical="center"/>
    </xf>
    <xf numFmtId="0" fontId="34" fillId="0" borderId="54" xfId="0" applyFont="1" applyBorder="1">
      <alignment vertical="center"/>
    </xf>
    <xf numFmtId="176" fontId="35" fillId="0" borderId="55" xfId="1" applyFont="1" applyBorder="1" applyAlignment="1">
      <alignment horizontal="center" vertical="center"/>
    </xf>
    <xf numFmtId="0" fontId="34" fillId="0" borderId="55" xfId="0" applyFont="1" applyBorder="1">
      <alignment vertical="center"/>
    </xf>
    <xf numFmtId="176" fontId="34" fillId="0" borderId="55" xfId="1" applyFont="1" applyBorder="1">
      <alignment vertical="center"/>
    </xf>
    <xf numFmtId="176" fontId="34" fillId="0" borderId="55" xfId="0" applyNumberFormat="1" applyFont="1" applyBorder="1">
      <alignment vertical="center"/>
    </xf>
    <xf numFmtId="176" fontId="34" fillId="0" borderId="56" xfId="0" applyNumberFormat="1" applyFont="1" applyBorder="1">
      <alignment vertical="center"/>
    </xf>
    <xf numFmtId="0" fontId="52" fillId="41" borderId="0" xfId="0" applyFont="1" applyFill="1" applyAlignment="1">
      <alignment horizontal="center"/>
    </xf>
    <xf numFmtId="0" fontId="32" fillId="0" borderId="0" xfId="0" applyFont="1" applyAlignment="1"/>
    <xf numFmtId="183" fontId="32" fillId="0" borderId="0" xfId="0" applyNumberFormat="1" applyFont="1" applyAlignment="1">
      <alignment horizontal="right" wrapText="1"/>
    </xf>
    <xf numFmtId="184" fontId="32" fillId="0" borderId="0" xfId="0" applyNumberFormat="1" applyFont="1" applyAlignment="1">
      <alignment wrapText="1"/>
    </xf>
    <xf numFmtId="176" fontId="16" fillId="0" borderId="0" xfId="0" applyNumberFormat="1" applyFont="1">
      <alignment vertical="center"/>
    </xf>
    <xf numFmtId="0" fontId="52" fillId="41" borderId="46" xfId="0" applyFont="1" applyFill="1" applyBorder="1" applyAlignment="1">
      <alignment horizontal="center"/>
    </xf>
    <xf numFmtId="0" fontId="52" fillId="41" borderId="47" xfId="0" applyFont="1" applyFill="1" applyBorder="1" applyAlignment="1">
      <alignment horizontal="center"/>
    </xf>
    <xf numFmtId="0" fontId="52" fillId="41" borderId="48" xfId="0" applyFont="1" applyFill="1" applyBorder="1" applyAlignment="1">
      <alignment horizontal="center"/>
    </xf>
    <xf numFmtId="0" fontId="32" fillId="0" borderId="49" xfId="0" applyFont="1" applyBorder="1" applyAlignment="1"/>
    <xf numFmtId="176" fontId="0" fillId="0" borderId="0" xfId="1" applyFont="1" applyBorder="1">
      <alignment vertical="center"/>
    </xf>
    <xf numFmtId="176" fontId="0" fillId="0" borderId="50" xfId="1" applyFont="1" applyBorder="1">
      <alignment vertical="center"/>
    </xf>
    <xf numFmtId="0" fontId="16" fillId="0" borderId="51" xfId="0" applyFont="1" applyBorder="1">
      <alignment vertical="center"/>
    </xf>
    <xf numFmtId="0" fontId="16" fillId="0" borderId="52" xfId="0" applyFont="1" applyBorder="1">
      <alignment vertical="center"/>
    </xf>
    <xf numFmtId="176" fontId="16" fillId="0" borderId="52" xfId="0" applyNumberFormat="1" applyFont="1" applyBorder="1">
      <alignment vertical="center"/>
    </xf>
    <xf numFmtId="0" fontId="0" fillId="0" borderId="52" xfId="0" applyBorder="1">
      <alignment vertical="center"/>
    </xf>
    <xf numFmtId="176" fontId="16" fillId="0" borderId="53" xfId="0" applyNumberFormat="1" applyFont="1" applyBorder="1">
      <alignment vertical="center"/>
    </xf>
    <xf numFmtId="41" fontId="16" fillId="0" borderId="0" xfId="0" applyNumberFormat="1" applyFont="1">
      <alignment vertical="center"/>
    </xf>
    <xf numFmtId="0" fontId="16" fillId="0" borderId="0" xfId="0" applyFont="1" applyAlignment="1">
      <alignment horizontal="center" vertical="center"/>
    </xf>
    <xf numFmtId="176" fontId="0" fillId="0" borderId="57" xfId="1" applyFont="1" applyBorder="1">
      <alignment vertical="center"/>
    </xf>
    <xf numFmtId="0" fontId="0" fillId="0" borderId="57" xfId="0" applyBorder="1">
      <alignment vertical="center"/>
    </xf>
    <xf numFmtId="0" fontId="0" fillId="44" borderId="58" xfId="0" applyFill="1" applyBorder="1" applyAlignment="1">
      <alignment horizontal="center" vertical="center"/>
    </xf>
    <xf numFmtId="0" fontId="0" fillId="44" borderId="59" xfId="0" applyFill="1" applyBorder="1" applyAlignment="1">
      <alignment horizontal="center" vertical="center"/>
    </xf>
    <xf numFmtId="0" fontId="0" fillId="44" borderId="60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76" fontId="0" fillId="0" borderId="62" xfId="1" applyFont="1" applyBorder="1">
      <alignment vertical="center"/>
    </xf>
    <xf numFmtId="0" fontId="0" fillId="0" borderId="63" xfId="0" applyBorder="1">
      <alignment vertical="center"/>
    </xf>
    <xf numFmtId="176" fontId="0" fillId="0" borderId="64" xfId="1" applyFont="1" applyBorder="1">
      <alignment vertical="center"/>
    </xf>
    <xf numFmtId="176" fontId="16" fillId="0" borderId="64" xfId="1" applyFont="1" applyBorder="1">
      <alignment vertical="center"/>
    </xf>
    <xf numFmtId="176" fontId="16" fillId="0" borderId="65" xfId="1" applyFont="1" applyBorder="1">
      <alignment vertical="center"/>
    </xf>
    <xf numFmtId="176" fontId="53" fillId="0" borderId="64" xfId="1" applyFont="1" applyBorder="1">
      <alignment vertical="center"/>
    </xf>
    <xf numFmtId="176" fontId="53" fillId="0" borderId="65" xfId="1" applyFont="1" applyBorder="1">
      <alignment vertical="center"/>
    </xf>
    <xf numFmtId="0" fontId="42" fillId="0" borderId="0" xfId="0" applyFont="1">
      <alignment vertical="center"/>
    </xf>
    <xf numFmtId="0" fontId="32" fillId="36" borderId="0" xfId="0" applyFont="1" applyFill="1">
      <alignment vertical="center"/>
    </xf>
    <xf numFmtId="180" fontId="16" fillId="0" borderId="0" xfId="0" applyNumberFormat="1" applyFont="1">
      <alignment vertical="center"/>
    </xf>
    <xf numFmtId="176" fontId="42" fillId="0" borderId="0" xfId="1" applyFont="1">
      <alignment vertical="center"/>
    </xf>
    <xf numFmtId="176" fontId="1" fillId="0" borderId="57" xfId="1" applyFont="1" applyBorder="1">
      <alignment vertical="center"/>
    </xf>
    <xf numFmtId="0" fontId="0" fillId="0" borderId="59" xfId="0" applyBorder="1">
      <alignment vertical="center"/>
    </xf>
    <xf numFmtId="0" fontId="0" fillId="0" borderId="61" xfId="0" applyBorder="1">
      <alignment vertical="center"/>
    </xf>
    <xf numFmtId="0" fontId="0" fillId="36" borderId="58" xfId="0" applyFill="1" applyBorder="1">
      <alignment vertical="center"/>
    </xf>
    <xf numFmtId="0" fontId="0" fillId="36" borderId="59" xfId="0" applyFill="1" applyBorder="1">
      <alignment vertical="center"/>
    </xf>
    <xf numFmtId="0" fontId="0" fillId="36" borderId="60" xfId="0" applyFill="1" applyBorder="1">
      <alignment vertical="center"/>
    </xf>
    <xf numFmtId="0" fontId="54" fillId="0" borderId="0" xfId="0" applyFont="1">
      <alignment vertical="center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>
      <alignment vertical="center"/>
    </xf>
    <xf numFmtId="180" fontId="32" fillId="47" borderId="57" xfId="0" applyNumberFormat="1" applyFont="1" applyFill="1" applyBorder="1">
      <alignment vertical="center"/>
    </xf>
    <xf numFmtId="0" fontId="32" fillId="47" borderId="57" xfId="0" applyFont="1" applyFill="1" applyBorder="1">
      <alignment vertical="center"/>
    </xf>
    <xf numFmtId="14" fontId="32" fillId="0" borderId="57" xfId="0" applyNumberFormat="1" applyFont="1" applyBorder="1">
      <alignment vertical="center"/>
    </xf>
    <xf numFmtId="180" fontId="32" fillId="0" borderId="57" xfId="0" applyNumberFormat="1" applyFont="1" applyBorder="1">
      <alignment vertical="center"/>
    </xf>
    <xf numFmtId="0" fontId="42" fillId="47" borderId="57" xfId="0" applyFont="1" applyFill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180" fontId="0" fillId="0" borderId="57" xfId="0" applyNumberFormat="1" applyBorder="1" applyAlignment="1">
      <alignment horizontal="center" vertical="center"/>
    </xf>
    <xf numFmtId="176" fontId="42" fillId="0" borderId="58" xfId="1" applyFont="1" applyBorder="1" applyAlignment="1">
      <alignment vertical="center" wrapText="1"/>
    </xf>
    <xf numFmtId="180" fontId="0" fillId="0" borderId="59" xfId="0" applyNumberFormat="1" applyBorder="1" applyAlignment="1">
      <alignment horizontal="center" vertical="center"/>
    </xf>
    <xf numFmtId="176" fontId="42" fillId="0" borderId="59" xfId="1" applyFont="1" applyBorder="1" applyAlignment="1">
      <alignment vertical="center" wrapText="1"/>
    </xf>
    <xf numFmtId="176" fontId="42" fillId="0" borderId="60" xfId="1" applyFont="1" applyBorder="1" applyAlignment="1">
      <alignment vertical="center" wrapText="1"/>
    </xf>
    <xf numFmtId="0" fontId="16" fillId="0" borderId="61" xfId="0" applyFont="1" applyBorder="1" applyAlignment="1">
      <alignment horizontal="center" vertical="center"/>
    </xf>
    <xf numFmtId="176" fontId="1" fillId="0" borderId="62" xfId="1" applyFont="1" applyBorder="1" applyAlignment="1">
      <alignment vertical="center" wrapText="1"/>
    </xf>
    <xf numFmtId="0" fontId="0" fillId="0" borderId="64" xfId="0" applyBorder="1">
      <alignment vertical="center"/>
    </xf>
    <xf numFmtId="180" fontId="0" fillId="0" borderId="64" xfId="0" applyNumberFormat="1" applyBorder="1" applyAlignment="1">
      <alignment horizontal="center" vertical="center"/>
    </xf>
    <xf numFmtId="0" fontId="32" fillId="0" borderId="64" xfId="0" applyFont="1" applyBorder="1">
      <alignment vertical="center"/>
    </xf>
    <xf numFmtId="176" fontId="1" fillId="0" borderId="64" xfId="1" applyFont="1" applyBorder="1">
      <alignment vertical="center"/>
    </xf>
    <xf numFmtId="176" fontId="1" fillId="0" borderId="65" xfId="1" applyFont="1" applyBorder="1">
      <alignment vertical="center"/>
    </xf>
    <xf numFmtId="176" fontId="55" fillId="0" borderId="12" xfId="1" applyFont="1" applyBorder="1">
      <alignment vertical="center"/>
    </xf>
    <xf numFmtId="176" fontId="33" fillId="0" borderId="29" xfId="1" applyFont="1" applyBorder="1" applyAlignment="1">
      <alignment horizontal="center" vertical="center"/>
    </xf>
    <xf numFmtId="176" fontId="33" fillId="0" borderId="35" xfId="1" applyFont="1" applyBorder="1" applyAlignment="1">
      <alignment horizontal="center" vertical="center"/>
    </xf>
    <xf numFmtId="176" fontId="33" fillId="39" borderId="12" xfId="0" applyNumberFormat="1" applyFont="1" applyFill="1" applyBorder="1" applyAlignment="1">
      <alignment horizontal="center" vertical="center"/>
    </xf>
    <xf numFmtId="176" fontId="36" fillId="39" borderId="14" xfId="0" applyNumberFormat="1" applyFont="1" applyFill="1" applyBorder="1" applyAlignment="1">
      <alignment horizontal="center" vertical="center"/>
    </xf>
    <xf numFmtId="179" fontId="28" fillId="33" borderId="21" xfId="0" applyNumberFormat="1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31" fillId="33" borderId="21" xfId="0" applyFont="1" applyFill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/>
    </xf>
    <xf numFmtId="0" fontId="31" fillId="33" borderId="24" xfId="0" applyFont="1" applyFill="1" applyBorder="1" applyAlignment="1">
      <alignment horizontal="center" vertical="center"/>
    </xf>
    <xf numFmtId="178" fontId="28" fillId="33" borderId="25" xfId="0" applyNumberFormat="1" applyFont="1" applyFill="1" applyBorder="1" applyAlignment="1">
      <alignment horizontal="center" vertical="center"/>
    </xf>
    <xf numFmtId="178" fontId="28" fillId="33" borderId="26" xfId="0" applyNumberFormat="1" applyFont="1" applyFill="1" applyBorder="1" applyAlignment="1">
      <alignment horizontal="center" vertical="center"/>
    </xf>
    <xf numFmtId="178" fontId="28" fillId="33" borderId="27" xfId="0" applyNumberFormat="1" applyFont="1" applyFill="1" applyBorder="1" applyAlignment="1">
      <alignment horizontal="center" vertical="center"/>
    </xf>
    <xf numFmtId="178" fontId="28" fillId="33" borderId="28" xfId="0" applyNumberFormat="1" applyFont="1" applyFill="1" applyBorder="1" applyAlignment="1">
      <alignment horizontal="center" vertical="center"/>
    </xf>
    <xf numFmtId="178" fontId="28" fillId="33" borderId="29" xfId="0" applyNumberFormat="1" applyFont="1" applyFill="1" applyBorder="1" applyAlignment="1">
      <alignment horizontal="center" vertical="center"/>
    </xf>
    <xf numFmtId="178" fontId="28" fillId="33" borderId="30" xfId="0" applyNumberFormat="1" applyFont="1" applyFill="1" applyBorder="1" applyAlignment="1">
      <alignment horizontal="center" vertical="center"/>
    </xf>
    <xf numFmtId="0" fontId="48" fillId="33" borderId="21" xfId="0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  <xf numFmtId="0" fontId="26" fillId="0" borderId="37" xfId="43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5" fillId="35" borderId="16" xfId="43" applyFont="1" applyFill="1" applyBorder="1" applyAlignment="1">
      <alignment horizontal="left" vertical="center"/>
    </xf>
    <xf numFmtId="0" fontId="25" fillId="35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 wrapText="1"/>
    </xf>
    <xf numFmtId="0" fontId="25" fillId="0" borderId="12" xfId="43" applyFont="1" applyBorder="1" applyAlignment="1">
      <alignment horizontal="left" vertical="center"/>
    </xf>
    <xf numFmtId="0" fontId="25" fillId="0" borderId="17" xfId="43" applyFont="1" applyBorder="1" applyAlignment="1">
      <alignment horizontal="left" vertical="center"/>
    </xf>
    <xf numFmtId="0" fontId="25" fillId="34" borderId="16" xfId="43" applyFont="1" applyFill="1" applyBorder="1" applyAlignment="1">
      <alignment horizontal="left" vertical="center"/>
    </xf>
    <xf numFmtId="0" fontId="25" fillId="34" borderId="12" xfId="43" applyFont="1" applyFill="1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5" fillId="42" borderId="16" xfId="43" applyFont="1" applyFill="1" applyBorder="1" applyAlignment="1">
      <alignment horizontal="left" vertical="center"/>
    </xf>
    <xf numFmtId="0" fontId="25" fillId="42" borderId="12" xfId="43" applyFont="1" applyFill="1" applyBorder="1" applyAlignment="1">
      <alignment horizontal="left" vertical="center"/>
    </xf>
    <xf numFmtId="0" fontId="25" fillId="35" borderId="13" xfId="43" applyFont="1" applyFill="1" applyBorder="1" applyAlignment="1">
      <alignment horizontal="left" vertical="center"/>
    </xf>
    <xf numFmtId="0" fontId="25" fillId="35" borderId="14" xfId="43" applyFont="1" applyFill="1" applyBorder="1" applyAlignment="1">
      <alignment horizontal="left" vertical="center"/>
    </xf>
    <xf numFmtId="0" fontId="25" fillId="0" borderId="14" xfId="43" applyFont="1" applyBorder="1" applyAlignment="1">
      <alignment horizontal="left" vertical="center" wrapText="1"/>
    </xf>
    <xf numFmtId="0" fontId="25" fillId="0" borderId="14" xfId="43" applyFont="1" applyBorder="1" applyAlignment="1">
      <alignment horizontal="left" vertical="center"/>
    </xf>
    <xf numFmtId="0" fontId="25" fillId="0" borderId="15" xfId="43" applyFont="1" applyBorder="1" applyAlignment="1">
      <alignment horizontal="left" vertical="center"/>
    </xf>
    <xf numFmtId="0" fontId="21" fillId="0" borderId="10" xfId="43" applyFont="1" applyBorder="1" applyAlignment="1">
      <alignment horizontal="center" vertical="center" wrapText="1"/>
    </xf>
    <xf numFmtId="0" fontId="21" fillId="0" borderId="11" xfId="43" applyFont="1" applyBorder="1" applyAlignment="1">
      <alignment horizontal="center" vertical="center" wrapText="1"/>
    </xf>
    <xf numFmtId="9" fontId="21" fillId="0" borderId="21" xfId="44" applyFont="1" applyBorder="1" applyAlignment="1" applyProtection="1">
      <alignment horizontal="center" vertical="center" wrapText="1"/>
      <protection locked="0"/>
    </xf>
    <xf numFmtId="9" fontId="21" fillId="0" borderId="22" xfId="44" applyFont="1" applyBorder="1" applyAlignment="1" applyProtection="1">
      <alignment horizontal="center" vertical="center" wrapText="1"/>
      <protection locked="0"/>
    </xf>
    <xf numFmtId="9" fontId="21" fillId="0" borderId="24" xfId="44" applyFont="1" applyBorder="1" applyAlignment="1" applyProtection="1">
      <alignment horizontal="center" vertical="center" wrapText="1"/>
      <protection locked="0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6" builtinId="5"/>
    <cellStyle name="백분율 2" xfId="44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5" xr:uid="{00000000-0005-0000-0000-000021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47" builtinId="7"/>
    <cellStyle name="표준" xfId="0" builtinId="0"/>
    <cellStyle name="표준 3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55C4F6-B8BF-3541-B1F1-372AF0161C5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3a8dda4-21e3-4139-bb8e-4540f60596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43"/>
  <sheetViews>
    <sheetView tabSelected="1" zoomScaleNormal="100" workbookViewId="0">
      <selection activeCell="M20" sqref="M20"/>
    </sheetView>
  </sheetViews>
  <sheetFormatPr baseColWidth="10" defaultColWidth="8.83203125" defaultRowHeight="17"/>
  <cols>
    <col min="1" max="1" width="5.1640625" customWidth="1"/>
    <col min="2" max="2" width="11.33203125" customWidth="1"/>
    <col min="3" max="3" width="16.6640625" customWidth="1"/>
    <col min="4" max="4" width="13.33203125" bestFit="1" customWidth="1"/>
    <col min="5" max="6" width="16.33203125" customWidth="1"/>
    <col min="7" max="8" width="12.33203125" customWidth="1"/>
    <col min="9" max="9" width="10.5" bestFit="1" customWidth="1"/>
    <col min="10" max="10" width="12.33203125" bestFit="1" customWidth="1"/>
    <col min="11" max="11" width="6.83203125" customWidth="1"/>
    <col min="12" max="12" width="16.1640625" customWidth="1"/>
    <col min="13" max="13" width="38.33203125" customWidth="1"/>
    <col min="14" max="25" width="9.5" customWidth="1"/>
  </cols>
  <sheetData>
    <row r="2" spans="2:26" ht="18" thickBot="1">
      <c r="B2" s="7" t="s">
        <v>4</v>
      </c>
      <c r="H2" s="8"/>
      <c r="J2" s="117" t="s">
        <v>8</v>
      </c>
    </row>
    <row r="3" spans="2:26" ht="38" customHeight="1">
      <c r="B3" s="155" t="s">
        <v>104</v>
      </c>
      <c r="C3" s="156" t="s">
        <v>154</v>
      </c>
      <c r="D3" s="156" t="s">
        <v>97</v>
      </c>
      <c r="E3" s="156" t="s">
        <v>206</v>
      </c>
      <c r="F3" s="156" t="s">
        <v>207</v>
      </c>
      <c r="G3" s="157" t="s">
        <v>127</v>
      </c>
      <c r="H3" s="158" t="s">
        <v>126</v>
      </c>
      <c r="I3" s="159" t="s">
        <v>125</v>
      </c>
      <c r="J3" s="160" t="s">
        <v>129</v>
      </c>
    </row>
    <row r="4" spans="2:26" ht="19" thickBot="1">
      <c r="B4" s="107">
        <v>46113</v>
      </c>
      <c r="C4" s="2">
        <f>'채널별 판매데이터 정리'!K78</f>
        <v>307</v>
      </c>
      <c r="D4" s="118">
        <f>'채널별 판매데이터 정리'!K79</f>
        <v>6754000</v>
      </c>
      <c r="E4" s="3">
        <f>D4-F4</f>
        <v>2049740</v>
      </c>
      <c r="F4" s="3">
        <f>'채널별 판매데이터 정리'!K80</f>
        <v>4704260</v>
      </c>
      <c r="G4" s="4">
        <f>'채널별 판매데이터 정리'!K81</f>
        <v>1062325</v>
      </c>
      <c r="H4" s="161">
        <f>F4-G4</f>
        <v>3641935</v>
      </c>
      <c r="I4" s="161">
        <f>F26</f>
        <v>738480</v>
      </c>
      <c r="J4" s="116">
        <f>H4-I4</f>
        <v>2903455</v>
      </c>
    </row>
    <row r="5" spans="2:26" ht="18" thickBot="1">
      <c r="L5" s="9" t="s">
        <v>10</v>
      </c>
      <c r="M5" s="10" t="s">
        <v>153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2:26" ht="16.5" customHeight="1" thickBot="1">
      <c r="B6" s="5" t="s">
        <v>1</v>
      </c>
      <c r="C6" s="6"/>
      <c r="L6" s="12"/>
      <c r="M6" s="13"/>
      <c r="N6" s="309" t="s">
        <v>962</v>
      </c>
      <c r="O6" s="299"/>
      <c r="P6" s="310"/>
      <c r="Q6" s="298" t="str">
        <f>N6&amp;" ~ "&amp;W6</f>
        <v>4월 1일 ~ 4월 30일</v>
      </c>
      <c r="R6" s="299"/>
      <c r="S6" s="299"/>
      <c r="T6" s="299"/>
      <c r="U6" s="299"/>
      <c r="V6" s="299"/>
      <c r="W6" s="300" t="s">
        <v>963</v>
      </c>
      <c r="X6" s="301"/>
      <c r="Y6" s="302"/>
    </row>
    <row r="7" spans="2:26">
      <c r="B7" s="311" t="s">
        <v>2</v>
      </c>
      <c r="C7" s="312"/>
      <c r="D7" s="312"/>
      <c r="E7" s="313"/>
      <c r="F7" s="314" t="s">
        <v>3</v>
      </c>
      <c r="G7" s="312"/>
      <c r="H7" s="312"/>
      <c r="I7" s="312"/>
      <c r="J7" s="315"/>
      <c r="L7" s="21"/>
      <c r="M7" s="22"/>
      <c r="N7" s="303" t="s">
        <v>13</v>
      </c>
      <c r="O7" s="304"/>
      <c r="P7" s="305"/>
      <c r="Q7" s="303" t="s">
        <v>14</v>
      </c>
      <c r="R7" s="304"/>
      <c r="S7" s="305"/>
      <c r="T7" s="303" t="s">
        <v>15</v>
      </c>
      <c r="U7" s="304"/>
      <c r="V7" s="304"/>
      <c r="W7" s="306" t="s">
        <v>16</v>
      </c>
      <c r="X7" s="307"/>
      <c r="Y7" s="308"/>
    </row>
    <row r="8" spans="2:26" ht="33" customHeight="1">
      <c r="B8" s="322" t="s">
        <v>131</v>
      </c>
      <c r="C8" s="323"/>
      <c r="D8" s="323"/>
      <c r="E8" s="323"/>
      <c r="F8" s="320" t="s">
        <v>103</v>
      </c>
      <c r="G8" s="320"/>
      <c r="H8" s="320"/>
      <c r="I8" s="320"/>
      <c r="J8" s="321"/>
      <c r="L8" s="14" t="s">
        <v>11</v>
      </c>
      <c r="M8" s="15" t="s">
        <v>12</v>
      </c>
      <c r="N8" s="15" t="s">
        <v>17</v>
      </c>
      <c r="O8" s="16" t="s">
        <v>20</v>
      </c>
      <c r="P8" s="16" t="s">
        <v>18</v>
      </c>
      <c r="Q8" s="15" t="s">
        <v>17</v>
      </c>
      <c r="R8" s="16" t="s">
        <v>14</v>
      </c>
      <c r="S8" s="16" t="s">
        <v>19</v>
      </c>
      <c r="T8" s="15" t="s">
        <v>17</v>
      </c>
      <c r="U8" s="16" t="s">
        <v>21</v>
      </c>
      <c r="V8" s="16" t="s">
        <v>22</v>
      </c>
      <c r="W8" s="15" t="s">
        <v>17</v>
      </c>
      <c r="X8" s="16" t="s">
        <v>20</v>
      </c>
      <c r="Y8" s="17" t="s">
        <v>18</v>
      </c>
    </row>
    <row r="9" spans="2:26" ht="33" customHeight="1">
      <c r="B9" s="317" t="s">
        <v>132</v>
      </c>
      <c r="C9" s="318"/>
      <c r="D9" s="318"/>
      <c r="E9" s="318"/>
      <c r="F9" s="319" t="s">
        <v>130</v>
      </c>
      <c r="G9" s="320"/>
      <c r="H9" s="320"/>
      <c r="I9" s="320"/>
      <c r="J9" s="321"/>
      <c r="L9" s="24">
        <v>8809879544118</v>
      </c>
      <c r="M9" s="18" t="s">
        <v>23</v>
      </c>
      <c r="N9" s="23">
        <f>O9+P9</f>
        <v>131</v>
      </c>
      <c r="O9" s="19">
        <v>131</v>
      </c>
      <c r="P9" s="19">
        <v>0</v>
      </c>
      <c r="Q9" s="19">
        <f>R9+S9</f>
        <v>0</v>
      </c>
      <c r="R9" s="19">
        <v>0</v>
      </c>
      <c r="S9" s="19"/>
      <c r="T9" s="23">
        <f>U9+V9</f>
        <v>10</v>
      </c>
      <c r="U9" s="19">
        <v>8</v>
      </c>
      <c r="V9" s="19">
        <v>2</v>
      </c>
      <c r="W9" s="178">
        <f>N9+Q9-T9</f>
        <v>121</v>
      </c>
      <c r="X9" s="19">
        <f>W9-Y9</f>
        <v>121</v>
      </c>
      <c r="Y9" s="20"/>
      <c r="Z9" s="54"/>
    </row>
    <row r="10" spans="2:26" ht="33" customHeight="1">
      <c r="B10" s="329" t="s">
        <v>133</v>
      </c>
      <c r="C10" s="330"/>
      <c r="D10" s="330"/>
      <c r="E10" s="330"/>
      <c r="F10" s="320" t="s">
        <v>128</v>
      </c>
      <c r="G10" s="320"/>
      <c r="H10" s="320"/>
      <c r="I10" s="320"/>
      <c r="J10" s="321"/>
      <c r="L10" s="24">
        <v>8809879544101</v>
      </c>
      <c r="M10" s="18" t="s">
        <v>24</v>
      </c>
      <c r="N10" s="23">
        <f>O10+P10</f>
        <v>337</v>
      </c>
      <c r="O10" s="19">
        <v>337</v>
      </c>
      <c r="P10" s="19">
        <v>0</v>
      </c>
      <c r="Q10" s="19">
        <f>R10+S10</f>
        <v>199</v>
      </c>
      <c r="R10" s="19">
        <v>198</v>
      </c>
      <c r="S10" s="293">
        <v>1</v>
      </c>
      <c r="T10" s="23">
        <f>U10+V10</f>
        <v>277</v>
      </c>
      <c r="U10" s="19">
        <v>270</v>
      </c>
      <c r="V10" s="19">
        <v>7</v>
      </c>
      <c r="W10" s="178">
        <f>N10+Q10-T10</f>
        <v>259</v>
      </c>
      <c r="X10" s="19">
        <f>W10-Y10</f>
        <v>259</v>
      </c>
      <c r="Y10" s="20"/>
      <c r="Z10" s="54"/>
    </row>
    <row r="11" spans="2:26" ht="33" customHeight="1" thickBot="1">
      <c r="B11" s="331" t="s">
        <v>134</v>
      </c>
      <c r="C11" s="332"/>
      <c r="D11" s="332"/>
      <c r="E11" s="332"/>
      <c r="F11" s="333" t="s">
        <v>136</v>
      </c>
      <c r="G11" s="334"/>
      <c r="H11" s="334"/>
      <c r="I11" s="334"/>
      <c r="J11" s="335"/>
      <c r="L11" s="24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2:26" ht="18" thickBot="1">
      <c r="L12" s="56"/>
      <c r="M12" s="57" t="s">
        <v>64</v>
      </c>
      <c r="N12" s="59">
        <f t="shared" ref="N12:Y12" si="0">SUM(N9:N11)</f>
        <v>468</v>
      </c>
      <c r="O12" s="58">
        <f t="shared" si="0"/>
        <v>468</v>
      </c>
      <c r="P12" s="58">
        <f t="shared" si="0"/>
        <v>0</v>
      </c>
      <c r="Q12" s="58">
        <f t="shared" si="0"/>
        <v>199</v>
      </c>
      <c r="R12" s="58">
        <f t="shared" si="0"/>
        <v>198</v>
      </c>
      <c r="S12" s="58">
        <f t="shared" si="0"/>
        <v>1</v>
      </c>
      <c r="T12" s="58">
        <f t="shared" si="0"/>
        <v>287</v>
      </c>
      <c r="U12" s="59">
        <f t="shared" si="0"/>
        <v>278</v>
      </c>
      <c r="V12" s="58">
        <f t="shared" si="0"/>
        <v>9</v>
      </c>
      <c r="W12" s="59">
        <f t="shared" si="0"/>
        <v>380</v>
      </c>
      <c r="X12" s="58">
        <f t="shared" si="0"/>
        <v>380</v>
      </c>
      <c r="Y12" s="60">
        <f t="shared" si="0"/>
        <v>0</v>
      </c>
    </row>
    <row r="13" spans="2:26" ht="17" customHeight="1"/>
    <row r="14" spans="2:26" ht="18" customHeight="1" thickBot="1">
      <c r="B14" s="136" t="s">
        <v>144</v>
      </c>
      <c r="F14" s="117" t="s">
        <v>8</v>
      </c>
    </row>
    <row r="15" spans="2:26" ht="20" customHeight="1">
      <c r="B15" s="123" t="s">
        <v>106</v>
      </c>
      <c r="C15" s="124" t="s">
        <v>139</v>
      </c>
      <c r="D15" s="124" t="s">
        <v>142</v>
      </c>
      <c r="E15" s="124" t="s">
        <v>143</v>
      </c>
      <c r="F15" s="125" t="s">
        <v>109</v>
      </c>
    </row>
    <row r="16" spans="2:26" ht="17" customHeight="1">
      <c r="B16" s="316" t="s">
        <v>138</v>
      </c>
      <c r="C16" s="111" t="s">
        <v>140</v>
      </c>
      <c r="D16" s="122">
        <v>0.4</v>
      </c>
      <c r="E16" s="113">
        <f>J4*D16</f>
        <v>1161382</v>
      </c>
      <c r="F16" s="126"/>
    </row>
    <row r="17" spans="2:6" ht="18" customHeight="1">
      <c r="B17" s="316"/>
      <c r="C17" s="111" t="s">
        <v>141</v>
      </c>
      <c r="D17" s="122">
        <v>0.3</v>
      </c>
      <c r="E17" s="113">
        <f>J4*D17</f>
        <v>871036.5</v>
      </c>
      <c r="F17" s="126"/>
    </row>
    <row r="18" spans="2:6">
      <c r="B18" s="316"/>
      <c r="C18" s="111" t="s">
        <v>977</v>
      </c>
      <c r="D18" s="122">
        <v>0.3</v>
      </c>
      <c r="E18" s="113">
        <f>J4*D18</f>
        <v>871036.5</v>
      </c>
      <c r="F18" s="126" t="s">
        <v>256</v>
      </c>
    </row>
    <row r="19" spans="2:6" ht="18" customHeight="1" thickBot="1">
      <c r="B19" s="324" t="s">
        <v>64</v>
      </c>
      <c r="C19" s="325"/>
      <c r="D19" s="128">
        <f>SUM(D16:D18)</f>
        <v>1</v>
      </c>
      <c r="E19" s="210">
        <f>SUM(E16:E18)</f>
        <v>2903455</v>
      </c>
      <c r="F19" s="130"/>
    </row>
    <row r="20" spans="2:6" ht="18" customHeight="1">
      <c r="B20" s="119"/>
      <c r="D20" s="120"/>
      <c r="E20" s="121"/>
    </row>
    <row r="21" spans="2:6" ht="18" thickBot="1">
      <c r="B21" s="7" t="s">
        <v>105</v>
      </c>
      <c r="F21" s="117" t="s">
        <v>8</v>
      </c>
    </row>
    <row r="22" spans="2:6">
      <c r="B22" s="336" t="s">
        <v>964</v>
      </c>
      <c r="C22" s="338" t="s">
        <v>122</v>
      </c>
      <c r="D22" s="339"/>
      <c r="E22" s="339"/>
      <c r="F22" s="340"/>
    </row>
    <row r="23" spans="2:6">
      <c r="B23" s="337"/>
      <c r="C23" s="1" t="s">
        <v>145</v>
      </c>
      <c r="D23" s="1" t="s">
        <v>120</v>
      </c>
      <c r="E23" s="1" t="s">
        <v>121</v>
      </c>
      <c r="F23" s="114" t="s">
        <v>5</v>
      </c>
    </row>
    <row r="24" spans="2:6">
      <c r="B24" s="206" t="s">
        <v>264</v>
      </c>
      <c r="C24" s="204">
        <v>181</v>
      </c>
      <c r="D24" s="205">
        <v>2650</v>
      </c>
      <c r="E24" s="205">
        <v>1430</v>
      </c>
      <c r="F24" s="207">
        <f>C24*(D24+E24)</f>
        <v>738480</v>
      </c>
    </row>
    <row r="25" spans="2:6">
      <c r="B25" s="208" t="s">
        <v>265</v>
      </c>
      <c r="C25" s="204"/>
      <c r="D25" s="205">
        <v>4400</v>
      </c>
      <c r="E25" s="205">
        <v>1430</v>
      </c>
      <c r="F25" s="207">
        <f>C25*(D25+E25)</f>
        <v>0</v>
      </c>
    </row>
    <row r="26" spans="2:6" ht="18" thickBot="1">
      <c r="B26" s="209" t="s">
        <v>64</v>
      </c>
      <c r="C26" s="2">
        <f>SUM(C24:C25)</f>
        <v>181</v>
      </c>
      <c r="D26" s="3"/>
      <c r="E26" s="3"/>
      <c r="F26" s="115">
        <f>SUM(F24:F25)</f>
        <v>738480</v>
      </c>
    </row>
    <row r="27" spans="2:6">
      <c r="B27" s="25" t="s">
        <v>263</v>
      </c>
    </row>
    <row r="28" spans="2:6">
      <c r="B28" s="25" t="s">
        <v>124</v>
      </c>
    </row>
    <row r="29" spans="2:6" ht="18" thickBot="1">
      <c r="F29" s="117" t="s">
        <v>119</v>
      </c>
    </row>
    <row r="30" spans="2:6">
      <c r="B30" s="131" t="s">
        <v>106</v>
      </c>
      <c r="C30" s="132" t="s">
        <v>106</v>
      </c>
      <c r="D30" s="132" t="s">
        <v>107</v>
      </c>
      <c r="E30" s="132" t="s">
        <v>108</v>
      </c>
      <c r="F30" s="133" t="s">
        <v>109</v>
      </c>
    </row>
    <row r="31" spans="2:6">
      <c r="B31" s="326" t="s">
        <v>118</v>
      </c>
      <c r="C31" s="108" t="s">
        <v>110</v>
      </c>
      <c r="D31" s="109"/>
      <c r="E31" s="110" t="s">
        <v>111</v>
      </c>
      <c r="F31" s="134" t="s">
        <v>117</v>
      </c>
    </row>
    <row r="32" spans="2:6">
      <c r="B32" s="327"/>
      <c r="C32" s="108" t="s">
        <v>112</v>
      </c>
      <c r="D32" s="109">
        <v>0</v>
      </c>
      <c r="E32" s="110" t="s">
        <v>114</v>
      </c>
      <c r="F32" s="134" t="s">
        <v>117</v>
      </c>
    </row>
    <row r="33" spans="2:23">
      <c r="B33" s="327"/>
      <c r="C33" s="111" t="s">
        <v>113</v>
      </c>
      <c r="D33" s="112">
        <v>2500</v>
      </c>
      <c r="E33" s="113" t="s">
        <v>114</v>
      </c>
      <c r="F33" s="126" t="s">
        <v>116</v>
      </c>
    </row>
    <row r="34" spans="2:23">
      <c r="B34" s="327"/>
      <c r="C34" s="111" t="s">
        <v>113</v>
      </c>
      <c r="D34" s="203">
        <v>4000</v>
      </c>
      <c r="E34" s="113" t="s">
        <v>114</v>
      </c>
      <c r="F34" s="126" t="s">
        <v>262</v>
      </c>
    </row>
    <row r="35" spans="2:23" ht="18" thickBot="1">
      <c r="B35" s="328"/>
      <c r="C35" s="127" t="s">
        <v>115</v>
      </c>
      <c r="D35" s="135">
        <v>1300</v>
      </c>
      <c r="E35" s="129" t="s">
        <v>114</v>
      </c>
      <c r="F35" s="130" t="s">
        <v>123</v>
      </c>
    </row>
    <row r="38" spans="2:23">
      <c r="B38" s="7" t="s">
        <v>100</v>
      </c>
      <c r="W38" s="55"/>
    </row>
    <row r="39" spans="2:23">
      <c r="B39" s="162" t="s">
        <v>101</v>
      </c>
    </row>
    <row r="40" spans="2:23">
      <c r="B40" s="162" t="s">
        <v>102</v>
      </c>
    </row>
    <row r="41" spans="2:23">
      <c r="B41" s="25" t="s">
        <v>135</v>
      </c>
    </row>
    <row r="42" spans="2:23">
      <c r="B42" s="25" t="s">
        <v>137</v>
      </c>
    </row>
    <row r="43" spans="2:23">
      <c r="B43" s="25" t="s">
        <v>156</v>
      </c>
    </row>
  </sheetData>
  <mergeCells count="22">
    <mergeCell ref="B19:C19"/>
    <mergeCell ref="B31:B35"/>
    <mergeCell ref="B10:E10"/>
    <mergeCell ref="F10:J10"/>
    <mergeCell ref="B11:E11"/>
    <mergeCell ref="F11:J11"/>
    <mergeCell ref="B22:B23"/>
    <mergeCell ref="C22:F22"/>
    <mergeCell ref="B7:E7"/>
    <mergeCell ref="F7:J7"/>
    <mergeCell ref="B16:B18"/>
    <mergeCell ref="B9:E9"/>
    <mergeCell ref="F9:J9"/>
    <mergeCell ref="B8:E8"/>
    <mergeCell ref="F8:J8"/>
    <mergeCell ref="Q6:V6"/>
    <mergeCell ref="W6:Y6"/>
    <mergeCell ref="N7:P7"/>
    <mergeCell ref="Q7:S7"/>
    <mergeCell ref="T7:V7"/>
    <mergeCell ref="W7:Y7"/>
    <mergeCell ref="N6:P6"/>
  </mergeCells>
  <phoneticPr fontId="19" type="noConversion"/>
  <pageMargins left="0.7" right="0.7" top="0.75" bottom="0.75" header="0.3" footer="0.3"/>
  <pageSetup paperSize="256" orientation="portrait" horizontalDpi="203" verticalDpi="203" r:id="rId1"/>
  <ignoredErrors>
    <ignoredError sqref="C4 D4 F24 F4:H4 F2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64A1-7837-5F4E-A543-C3DE55D5108D}">
  <dimension ref="B1:L82"/>
  <sheetViews>
    <sheetView topLeftCell="A34" workbookViewId="0">
      <selection activeCell="K82" sqref="K82"/>
    </sheetView>
  </sheetViews>
  <sheetFormatPr baseColWidth="10" defaultRowHeight="15"/>
  <cols>
    <col min="1" max="1" width="4.6640625" style="33" customWidth="1"/>
    <col min="2" max="2" width="12.6640625" style="47" customWidth="1"/>
    <col min="3" max="3" width="42.1640625" style="33" customWidth="1"/>
    <col min="4" max="6" width="10.83203125" style="33"/>
    <col min="7" max="7" width="10.83203125" style="47"/>
    <col min="8" max="8" width="10.83203125" style="33"/>
    <col min="9" max="9" width="11.33203125" style="33" bestFit="1" customWidth="1"/>
    <col min="10" max="10" width="10.83203125" style="33"/>
    <col min="11" max="11" width="11.33203125" style="49" bestFit="1" customWidth="1"/>
    <col min="12" max="12" width="15" style="33" customWidth="1"/>
    <col min="13" max="16384" width="10.83203125" style="33"/>
  </cols>
  <sheetData>
    <row r="1" spans="2:12" ht="35" customHeight="1">
      <c r="B1" s="141" t="s">
        <v>965</v>
      </c>
    </row>
    <row r="3" spans="2:12">
      <c r="B3" s="35"/>
      <c r="C3" s="32"/>
      <c r="D3" s="32"/>
      <c r="E3" s="32"/>
      <c r="F3" s="32"/>
      <c r="G3" s="35"/>
      <c r="H3" s="32"/>
      <c r="I3" s="32"/>
      <c r="J3" s="32"/>
      <c r="K3" s="50"/>
      <c r="L3" s="32"/>
    </row>
    <row r="4" spans="2:12" ht="16" thickBot="1">
      <c r="B4" s="137" t="s">
        <v>49</v>
      </c>
      <c r="C4" s="32"/>
      <c r="D4" s="32" t="s">
        <v>56</v>
      </c>
      <c r="E4" s="32"/>
      <c r="F4" s="32"/>
      <c r="G4" s="35"/>
      <c r="H4" s="32"/>
      <c r="I4" s="32"/>
      <c r="J4" s="32"/>
      <c r="K4" s="142" t="s">
        <v>66</v>
      </c>
      <c r="L4" s="32"/>
    </row>
    <row r="5" spans="2:12">
      <c r="B5" s="73" t="s">
        <v>50</v>
      </c>
      <c r="C5" s="74" t="s">
        <v>51</v>
      </c>
      <c r="D5" s="74" t="s">
        <v>55</v>
      </c>
      <c r="E5" s="75" t="s">
        <v>152</v>
      </c>
      <c r="F5" s="74" t="s">
        <v>967</v>
      </c>
      <c r="G5" s="64" t="s">
        <v>966</v>
      </c>
      <c r="H5" s="102" t="s">
        <v>968</v>
      </c>
      <c r="I5" s="148" t="s">
        <v>60</v>
      </c>
      <c r="J5" s="64" t="s">
        <v>59</v>
      </c>
      <c r="K5" s="103" t="s">
        <v>151</v>
      </c>
      <c r="L5" s="66" t="s">
        <v>84</v>
      </c>
    </row>
    <row r="6" spans="2:12">
      <c r="B6" s="76">
        <v>1</v>
      </c>
      <c r="C6" s="36" t="s">
        <v>52</v>
      </c>
      <c r="D6" s="37">
        <v>22000</v>
      </c>
      <c r="E6" s="43">
        <v>13200</v>
      </c>
      <c r="F6" s="38">
        <v>0.4</v>
      </c>
      <c r="G6" s="36">
        <v>13</v>
      </c>
      <c r="H6" s="294">
        <v>17160</v>
      </c>
      <c r="I6" s="101">
        <f>E6*G6</f>
        <v>171600</v>
      </c>
      <c r="J6" s="101"/>
      <c r="K6" s="296">
        <v>154440</v>
      </c>
      <c r="L6" s="104">
        <f>D6*G6</f>
        <v>286000</v>
      </c>
    </row>
    <row r="7" spans="2:12">
      <c r="B7" s="76">
        <v>2</v>
      </c>
      <c r="C7" s="36" t="s">
        <v>53</v>
      </c>
      <c r="D7" s="37">
        <v>22000</v>
      </c>
      <c r="E7" s="43">
        <v>13200</v>
      </c>
      <c r="F7" s="38">
        <v>0.4</v>
      </c>
      <c r="G7" s="36">
        <v>14</v>
      </c>
      <c r="H7" s="294">
        <v>18480</v>
      </c>
      <c r="I7" s="101">
        <f>E7*G7</f>
        <v>184800</v>
      </c>
      <c r="J7" s="101"/>
      <c r="K7" s="296">
        <v>166320</v>
      </c>
      <c r="L7" s="104">
        <f>D7*G7</f>
        <v>308000</v>
      </c>
    </row>
    <row r="8" spans="2:12" ht="16" thickBot="1">
      <c r="B8" s="77"/>
      <c r="C8" s="78" t="s">
        <v>64</v>
      </c>
      <c r="D8" s="79"/>
      <c r="E8" s="70"/>
      <c r="F8" s="78"/>
      <c r="G8" s="78">
        <v>27</v>
      </c>
      <c r="H8" s="295">
        <v>35640</v>
      </c>
      <c r="I8" s="105">
        <f>SUM(I6:I7)</f>
        <v>356400</v>
      </c>
      <c r="J8" s="105"/>
      <c r="K8" s="297">
        <v>320760</v>
      </c>
      <c r="L8" s="106">
        <f>SUM(L6:L7)</f>
        <v>594000</v>
      </c>
    </row>
    <row r="11" spans="2:12" ht="16" thickBot="1">
      <c r="B11" s="137" t="s">
        <v>969</v>
      </c>
      <c r="K11" s="143"/>
    </row>
    <row r="12" spans="2:12">
      <c r="B12" s="138" t="s">
        <v>62</v>
      </c>
      <c r="C12" s="64" t="s">
        <v>63</v>
      </c>
      <c r="D12" s="64" t="s">
        <v>54</v>
      </c>
      <c r="E12" s="65" t="s">
        <v>61</v>
      </c>
      <c r="F12" s="64" t="s">
        <v>7</v>
      </c>
      <c r="G12" s="64" t="s">
        <v>91</v>
      </c>
      <c r="H12" s="66" t="s">
        <v>60</v>
      </c>
      <c r="I12" s="73" t="s">
        <v>57</v>
      </c>
      <c r="J12" s="64" t="s">
        <v>59</v>
      </c>
      <c r="K12" s="82" t="s">
        <v>151</v>
      </c>
      <c r="L12" s="83" t="s">
        <v>84</v>
      </c>
    </row>
    <row r="13" spans="2:12">
      <c r="B13" s="139">
        <v>1</v>
      </c>
      <c r="C13" s="36" t="s">
        <v>52</v>
      </c>
      <c r="D13" s="42">
        <v>22000</v>
      </c>
      <c r="E13" s="43">
        <f>D13-(D13*F13)</f>
        <v>17600</v>
      </c>
      <c r="F13" s="44">
        <v>0.2</v>
      </c>
      <c r="G13" s="41">
        <v>0</v>
      </c>
      <c r="H13" s="67">
        <f>E13*G13</f>
        <v>0</v>
      </c>
      <c r="I13" s="95">
        <v>0.05</v>
      </c>
      <c r="J13" s="40">
        <f>H13*I13</f>
        <v>0</v>
      </c>
      <c r="K13" s="52">
        <f>H13-J13</f>
        <v>0</v>
      </c>
      <c r="L13" s="67">
        <f>D13*G13</f>
        <v>0</v>
      </c>
    </row>
    <row r="14" spans="2:12">
      <c r="B14" s="139">
        <v>2</v>
      </c>
      <c r="C14" s="36" t="s">
        <v>53</v>
      </c>
      <c r="D14" s="42">
        <v>22000</v>
      </c>
      <c r="E14" s="43">
        <f>D14-(D14*F14)</f>
        <v>17600</v>
      </c>
      <c r="F14" s="44">
        <v>0.2</v>
      </c>
      <c r="G14" s="41">
        <v>3</v>
      </c>
      <c r="H14" s="67">
        <f>E14*G14</f>
        <v>52800</v>
      </c>
      <c r="I14" s="95">
        <v>0.05</v>
      </c>
      <c r="J14" s="40">
        <f t="shared" ref="J14" si="0">H14*I14</f>
        <v>2640</v>
      </c>
      <c r="K14" s="52">
        <f t="shared" ref="K14" si="1">H14-J14</f>
        <v>50160</v>
      </c>
      <c r="L14" s="67">
        <f t="shared" ref="L14" si="2">D14*G14</f>
        <v>66000</v>
      </c>
    </row>
    <row r="15" spans="2:12" ht="16" thickBot="1">
      <c r="B15" s="140"/>
      <c r="C15" s="68" t="s">
        <v>64</v>
      </c>
      <c r="D15" s="69"/>
      <c r="E15" s="70"/>
      <c r="F15" s="71"/>
      <c r="G15" s="68">
        <f>SUM(G13:G14)</f>
        <v>3</v>
      </c>
      <c r="H15" s="72">
        <f>SUM(H13:H14)</f>
        <v>52800</v>
      </c>
      <c r="I15" s="96"/>
      <c r="J15" s="84">
        <f>SUM(J13:J14)</f>
        <v>2640</v>
      </c>
      <c r="K15" s="88">
        <f t="shared" ref="K15" si="3">H15-J15</f>
        <v>50160</v>
      </c>
      <c r="L15" s="86">
        <f>SUM(L13:L14)</f>
        <v>66000</v>
      </c>
    </row>
    <row r="18" spans="2:12" ht="16" thickBot="1">
      <c r="B18" s="137" t="s">
        <v>65</v>
      </c>
      <c r="D18" s="33" t="s">
        <v>68</v>
      </c>
      <c r="K18" s="143" t="s">
        <v>67</v>
      </c>
    </row>
    <row r="19" spans="2:12">
      <c r="B19" s="138" t="s">
        <v>62</v>
      </c>
      <c r="C19" s="64" t="s">
        <v>63</v>
      </c>
      <c r="D19" s="64" t="s">
        <v>54</v>
      </c>
      <c r="E19" s="64" t="s">
        <v>69</v>
      </c>
      <c r="F19" s="64" t="s">
        <v>71</v>
      </c>
      <c r="G19" s="65" t="s">
        <v>70</v>
      </c>
      <c r="H19" s="64" t="s">
        <v>72</v>
      </c>
      <c r="I19" s="64" t="s">
        <v>91</v>
      </c>
      <c r="J19" s="64" t="s">
        <v>59</v>
      </c>
      <c r="K19" s="103" t="s">
        <v>151</v>
      </c>
      <c r="L19" s="83" t="s">
        <v>84</v>
      </c>
    </row>
    <row r="20" spans="2:12">
      <c r="B20" s="139">
        <v>1</v>
      </c>
      <c r="C20" s="36" t="s">
        <v>52</v>
      </c>
      <c r="D20" s="42">
        <v>22000</v>
      </c>
      <c r="E20" s="42">
        <f>D20-D20*F20</f>
        <v>13200</v>
      </c>
      <c r="F20" s="44">
        <v>0.4</v>
      </c>
      <c r="G20" s="43">
        <f>E20-E20*H20</f>
        <v>10560</v>
      </c>
      <c r="H20" s="44">
        <v>0.2</v>
      </c>
      <c r="I20" s="41">
        <v>0</v>
      </c>
      <c r="J20" s="40">
        <f>D20*0.52*I20</f>
        <v>0</v>
      </c>
      <c r="K20" s="53">
        <f>G20*I20</f>
        <v>0</v>
      </c>
      <c r="L20" s="67">
        <f>D20*I20</f>
        <v>0</v>
      </c>
    </row>
    <row r="21" spans="2:12">
      <c r="B21" s="139">
        <v>2</v>
      </c>
      <c r="C21" s="36" t="s">
        <v>53</v>
      </c>
      <c r="D21" s="42">
        <v>22000</v>
      </c>
      <c r="E21" s="42">
        <f>D21-D21*F21</f>
        <v>13200</v>
      </c>
      <c r="F21" s="44">
        <v>0.4</v>
      </c>
      <c r="G21" s="43">
        <f>E21-E21*H21</f>
        <v>10560</v>
      </c>
      <c r="H21" s="44">
        <v>0.2</v>
      </c>
      <c r="I21" s="41">
        <v>0</v>
      </c>
      <c r="J21" s="40">
        <f>D21*0.52*I21</f>
        <v>0</v>
      </c>
      <c r="K21" s="53">
        <f>G21*I21</f>
        <v>0</v>
      </c>
      <c r="L21" s="67">
        <f>D21*I21</f>
        <v>0</v>
      </c>
    </row>
    <row r="22" spans="2:12" ht="16" thickBot="1">
      <c r="B22" s="140"/>
      <c r="C22" s="68" t="s">
        <v>64</v>
      </c>
      <c r="D22" s="69"/>
      <c r="E22" s="69"/>
      <c r="F22" s="69"/>
      <c r="G22" s="70"/>
      <c r="H22" s="71"/>
      <c r="I22" s="68">
        <f>SUM(I20:I21)</f>
        <v>0</v>
      </c>
      <c r="J22" s="84">
        <f>SUM(J20:J21)</f>
        <v>0</v>
      </c>
      <c r="K22" s="85">
        <f>SUM(K20:K21)</f>
        <v>0</v>
      </c>
      <c r="L22" s="86">
        <f>SUM(L17:L21)</f>
        <v>0</v>
      </c>
    </row>
    <row r="24" spans="2:12">
      <c r="H24" s="48"/>
    </row>
    <row r="25" spans="2:12" ht="16" thickBot="1">
      <c r="B25" s="137" t="s">
        <v>73</v>
      </c>
      <c r="K25" s="49" t="s">
        <v>80</v>
      </c>
    </row>
    <row r="26" spans="2:12">
      <c r="B26" s="138" t="s">
        <v>62</v>
      </c>
      <c r="C26" s="64" t="s">
        <v>63</v>
      </c>
      <c r="D26" s="64" t="s">
        <v>54</v>
      </c>
      <c r="E26" s="64" t="s">
        <v>61</v>
      </c>
      <c r="F26" s="75" t="s">
        <v>152</v>
      </c>
      <c r="G26" s="64" t="s">
        <v>0</v>
      </c>
      <c r="H26" s="64" t="s">
        <v>91</v>
      </c>
      <c r="I26" s="148" t="s">
        <v>60</v>
      </c>
      <c r="J26" s="64" t="s">
        <v>59</v>
      </c>
      <c r="K26" s="103" t="s">
        <v>151</v>
      </c>
      <c r="L26" s="66" t="s">
        <v>84</v>
      </c>
    </row>
    <row r="27" spans="2:12">
      <c r="B27" s="139">
        <v>1</v>
      </c>
      <c r="C27" s="36" t="s">
        <v>148</v>
      </c>
      <c r="D27" s="42">
        <v>22000</v>
      </c>
      <c r="E27" s="42">
        <v>22000</v>
      </c>
      <c r="F27" s="43">
        <f>E27-E27*G27</f>
        <v>16500</v>
      </c>
      <c r="G27" s="44">
        <v>0.25</v>
      </c>
      <c r="H27" s="41">
        <v>0</v>
      </c>
      <c r="I27" s="46">
        <f>E27*H27</f>
        <v>0</v>
      </c>
      <c r="J27" s="40">
        <f>E27*G27*H27</f>
        <v>0</v>
      </c>
      <c r="K27" s="52">
        <f>I27-J27</f>
        <v>0</v>
      </c>
      <c r="L27" s="87">
        <f>H27*D27</f>
        <v>0</v>
      </c>
    </row>
    <row r="28" spans="2:12" ht="16" thickBot="1">
      <c r="B28" s="140"/>
      <c r="C28" s="68" t="s">
        <v>64</v>
      </c>
      <c r="D28" s="69"/>
      <c r="E28" s="69"/>
      <c r="F28" s="70"/>
      <c r="G28" s="71"/>
      <c r="H28" s="68">
        <f>SUM(H27:H27)</f>
        <v>0</v>
      </c>
      <c r="I28" s="84">
        <f>SUM(I27)</f>
        <v>0</v>
      </c>
      <c r="J28" s="84">
        <f>SUM(J27)</f>
        <v>0</v>
      </c>
      <c r="K28" s="88">
        <f>SUM(K27)</f>
        <v>0</v>
      </c>
      <c r="L28" s="72">
        <f>SUM(L27)</f>
        <v>0</v>
      </c>
    </row>
    <row r="31" spans="2:12" ht="16" thickBot="1">
      <c r="B31" s="137" t="s">
        <v>92</v>
      </c>
      <c r="K31" s="50" t="s">
        <v>66</v>
      </c>
    </row>
    <row r="32" spans="2:12">
      <c r="B32" s="138" t="s">
        <v>62</v>
      </c>
      <c r="C32" s="64" t="s">
        <v>63</v>
      </c>
      <c r="D32" s="64" t="s">
        <v>54</v>
      </c>
      <c r="E32" s="64" t="s">
        <v>61</v>
      </c>
      <c r="F32" s="75" t="s">
        <v>152</v>
      </c>
      <c r="G32" s="64" t="s">
        <v>0</v>
      </c>
      <c r="H32" s="64" t="s">
        <v>91</v>
      </c>
      <c r="I32" s="148" t="s">
        <v>60</v>
      </c>
      <c r="J32" s="64" t="s">
        <v>59</v>
      </c>
      <c r="K32" s="103" t="s">
        <v>151</v>
      </c>
      <c r="L32" s="66" t="s">
        <v>84</v>
      </c>
    </row>
    <row r="33" spans="2:12">
      <c r="B33" s="91">
        <v>1</v>
      </c>
      <c r="C33" s="41" t="s">
        <v>148</v>
      </c>
      <c r="D33" s="45">
        <v>22000</v>
      </c>
      <c r="E33" s="45">
        <v>22000</v>
      </c>
      <c r="F33" s="43">
        <f>E33-E33*G33</f>
        <v>15400</v>
      </c>
      <c r="G33" s="44">
        <v>0.3</v>
      </c>
      <c r="H33" s="41">
        <v>1</v>
      </c>
      <c r="I33" s="149">
        <f>E33*H33</f>
        <v>22000</v>
      </c>
      <c r="J33" s="101">
        <f>E33*G33*H33</f>
        <v>6600</v>
      </c>
      <c r="K33" s="53">
        <f>I33-J33</f>
        <v>15400</v>
      </c>
      <c r="L33" s="104">
        <f>D33*H33</f>
        <v>22000</v>
      </c>
    </row>
    <row r="34" spans="2:12">
      <c r="B34" s="91">
        <v>2</v>
      </c>
      <c r="C34" s="41" t="s">
        <v>53</v>
      </c>
      <c r="D34" s="45">
        <v>22000</v>
      </c>
      <c r="E34" s="45">
        <v>22000</v>
      </c>
      <c r="F34" s="43">
        <f>E34-E34*G34</f>
        <v>15400</v>
      </c>
      <c r="G34" s="44">
        <v>0.3</v>
      </c>
      <c r="H34" s="41">
        <v>2</v>
      </c>
      <c r="I34" s="149">
        <f>E34*H34</f>
        <v>44000</v>
      </c>
      <c r="J34" s="101">
        <f>E34*G34*H34</f>
        <v>13200</v>
      </c>
      <c r="K34" s="53">
        <f>I34-J34</f>
        <v>30800</v>
      </c>
      <c r="L34" s="104">
        <f>D34*H34</f>
        <v>44000</v>
      </c>
    </row>
    <row r="35" spans="2:12" ht="16" thickBot="1">
      <c r="B35" s="92"/>
      <c r="C35" s="68" t="s">
        <v>64</v>
      </c>
      <c r="D35" s="84"/>
      <c r="E35" s="84"/>
      <c r="F35" s="70"/>
      <c r="G35" s="71"/>
      <c r="H35" s="68">
        <f>SUM(H33:H34)</f>
        <v>3</v>
      </c>
      <c r="I35" s="84">
        <f>SUM(I33:I34)</f>
        <v>66000</v>
      </c>
      <c r="J35" s="84">
        <f>SUM(J33:J34)</f>
        <v>19800</v>
      </c>
      <c r="K35" s="94">
        <f>SUM(K33:K34)</f>
        <v>46200</v>
      </c>
      <c r="L35" s="106">
        <f>SUM(L33:L34)</f>
        <v>66000</v>
      </c>
    </row>
    <row r="38" spans="2:12" ht="16" thickBot="1">
      <c r="B38" s="137" t="s">
        <v>74</v>
      </c>
      <c r="D38" s="33" t="s">
        <v>75</v>
      </c>
      <c r="K38" s="50" t="s">
        <v>66</v>
      </c>
    </row>
    <row r="39" spans="2:12">
      <c r="B39" s="138" t="s">
        <v>62</v>
      </c>
      <c r="C39" s="64" t="s">
        <v>63</v>
      </c>
      <c r="D39" s="64" t="s">
        <v>54</v>
      </c>
      <c r="E39" s="75" t="s">
        <v>152</v>
      </c>
      <c r="F39" s="64" t="s">
        <v>0</v>
      </c>
      <c r="G39" s="64" t="s">
        <v>91</v>
      </c>
      <c r="H39" s="64"/>
      <c r="I39" s="148" t="s">
        <v>60</v>
      </c>
      <c r="J39" s="74" t="s">
        <v>58</v>
      </c>
      <c r="K39" s="103" t="s">
        <v>151</v>
      </c>
      <c r="L39" s="66" t="s">
        <v>83</v>
      </c>
    </row>
    <row r="40" spans="2:12">
      <c r="B40" s="76">
        <v>1</v>
      </c>
      <c r="C40" s="36" t="s">
        <v>52</v>
      </c>
      <c r="D40" s="37">
        <v>22000</v>
      </c>
      <c r="E40" s="43">
        <f>D40-D40*F40</f>
        <v>14740</v>
      </c>
      <c r="F40" s="38">
        <v>0.33</v>
      </c>
      <c r="G40" s="36">
        <v>0</v>
      </c>
      <c r="H40" s="36"/>
      <c r="I40" s="39"/>
      <c r="J40" s="36"/>
      <c r="K40" s="51"/>
      <c r="L40" s="89"/>
    </row>
    <row r="41" spans="2:12">
      <c r="B41" s="76">
        <v>2</v>
      </c>
      <c r="C41" s="36" t="s">
        <v>53</v>
      </c>
      <c r="D41" s="37">
        <v>22000</v>
      </c>
      <c r="E41" s="43">
        <f>D41-D41*F41</f>
        <v>14740</v>
      </c>
      <c r="F41" s="38">
        <v>0.33</v>
      </c>
      <c r="G41" s="36">
        <v>0</v>
      </c>
      <c r="H41" s="36"/>
      <c r="I41" s="39"/>
      <c r="J41" s="36"/>
      <c r="K41" s="51"/>
      <c r="L41" s="89"/>
    </row>
    <row r="42" spans="2:12" ht="16" thickBot="1">
      <c r="B42" s="77"/>
      <c r="C42" s="78" t="s">
        <v>64</v>
      </c>
      <c r="D42" s="79"/>
      <c r="E42" s="70"/>
      <c r="F42" s="80"/>
      <c r="G42" s="78">
        <f>SUM(G40:G41)</f>
        <v>0</v>
      </c>
      <c r="H42" s="78"/>
      <c r="I42" s="93"/>
      <c r="J42" s="78"/>
      <c r="K42" s="81">
        <f>SUM(K40:K41)</f>
        <v>0</v>
      </c>
      <c r="L42" s="90">
        <f>SUM(L40:L41)</f>
        <v>0</v>
      </c>
    </row>
    <row r="45" spans="2:12" ht="16" thickBot="1">
      <c r="B45" s="137" t="s">
        <v>76</v>
      </c>
      <c r="D45" s="33" t="s">
        <v>78</v>
      </c>
      <c r="G45" s="47" t="s">
        <v>253</v>
      </c>
      <c r="K45" s="49" t="s">
        <v>81</v>
      </c>
    </row>
    <row r="46" spans="2:12">
      <c r="B46" s="138" t="s">
        <v>62</v>
      </c>
      <c r="C46" s="64" t="s">
        <v>63</v>
      </c>
      <c r="D46" s="64" t="s">
        <v>54</v>
      </c>
      <c r="E46" s="65" t="s">
        <v>252</v>
      </c>
      <c r="F46" s="64" t="s">
        <v>7</v>
      </c>
      <c r="G46" s="64" t="s">
        <v>0</v>
      </c>
      <c r="H46" s="64" t="s">
        <v>91</v>
      </c>
      <c r="I46" s="148" t="s">
        <v>60</v>
      </c>
      <c r="J46" s="64" t="s">
        <v>58</v>
      </c>
      <c r="K46" s="103" t="s">
        <v>151</v>
      </c>
      <c r="L46" s="66" t="s">
        <v>83</v>
      </c>
    </row>
    <row r="47" spans="2:12">
      <c r="B47" s="91">
        <v>1</v>
      </c>
      <c r="C47" s="41" t="s">
        <v>52</v>
      </c>
      <c r="D47" s="45">
        <v>22000</v>
      </c>
      <c r="E47" s="43">
        <f>D47-D47*F47</f>
        <v>17600</v>
      </c>
      <c r="F47" s="44">
        <v>0.2</v>
      </c>
      <c r="G47" s="44">
        <v>0.05</v>
      </c>
      <c r="H47" s="46">
        <v>8</v>
      </c>
      <c r="I47" s="40">
        <f>E47*H47</f>
        <v>140800</v>
      </c>
      <c r="J47" s="40">
        <f>I47*G47</f>
        <v>7040</v>
      </c>
      <c r="K47" s="53">
        <f>I47-J47</f>
        <v>133760</v>
      </c>
      <c r="L47" s="87">
        <f>D47*H47</f>
        <v>176000</v>
      </c>
    </row>
    <row r="48" spans="2:12">
      <c r="B48" s="91">
        <v>2</v>
      </c>
      <c r="C48" s="41" t="s">
        <v>53</v>
      </c>
      <c r="D48" s="45">
        <v>22000</v>
      </c>
      <c r="E48" s="43">
        <f>D48-D48*F48</f>
        <v>17600</v>
      </c>
      <c r="F48" s="44">
        <v>0.2</v>
      </c>
      <c r="G48" s="44">
        <v>0.05</v>
      </c>
      <c r="H48" s="46">
        <v>8</v>
      </c>
      <c r="I48" s="40">
        <f>E48*H48</f>
        <v>140800</v>
      </c>
      <c r="J48" s="40">
        <f>I48*G48</f>
        <v>7040</v>
      </c>
      <c r="K48" s="53">
        <f>I48-J48</f>
        <v>133760</v>
      </c>
      <c r="L48" s="87">
        <f>D48*H48</f>
        <v>176000</v>
      </c>
    </row>
    <row r="49" spans="2:12" ht="16" thickBot="1">
      <c r="B49" s="92"/>
      <c r="C49" s="68" t="s">
        <v>64</v>
      </c>
      <c r="D49" s="84"/>
      <c r="E49" s="70"/>
      <c r="F49" s="68"/>
      <c r="G49" s="199"/>
      <c r="H49" s="84">
        <f>SUM(H47:H48)</f>
        <v>16</v>
      </c>
      <c r="I49" s="84">
        <f>SUM(I47:I48)</f>
        <v>281600</v>
      </c>
      <c r="J49" s="69">
        <f>SUM(J47:J48)</f>
        <v>14080</v>
      </c>
      <c r="K49" s="94">
        <f>SUM(K47:K48)</f>
        <v>267520</v>
      </c>
      <c r="L49" s="72">
        <f>SUM(L47:L48)</f>
        <v>352000</v>
      </c>
    </row>
    <row r="51" spans="2:12" ht="16" thickBot="1">
      <c r="B51" s="137" t="s">
        <v>971</v>
      </c>
      <c r="D51" s="33" t="s">
        <v>975</v>
      </c>
      <c r="G51" s="47" t="s">
        <v>976</v>
      </c>
      <c r="K51" s="49" t="s">
        <v>81</v>
      </c>
    </row>
    <row r="52" spans="2:12">
      <c r="B52" s="138" t="s">
        <v>62</v>
      </c>
      <c r="C52" s="64" t="s">
        <v>63</v>
      </c>
      <c r="D52" s="64" t="s">
        <v>54</v>
      </c>
      <c r="E52" s="65" t="s">
        <v>252</v>
      </c>
      <c r="F52" s="64" t="s">
        <v>7</v>
      </c>
      <c r="G52" s="64" t="s">
        <v>974</v>
      </c>
      <c r="H52" s="64" t="s">
        <v>91</v>
      </c>
      <c r="I52" s="148" t="s">
        <v>60</v>
      </c>
      <c r="J52" s="64" t="s">
        <v>58</v>
      </c>
      <c r="K52" s="103" t="s">
        <v>151</v>
      </c>
      <c r="L52" s="66" t="s">
        <v>83</v>
      </c>
    </row>
    <row r="53" spans="2:12">
      <c r="B53" s="91">
        <v>1</v>
      </c>
      <c r="C53" s="41" t="s">
        <v>970</v>
      </c>
      <c r="D53" s="45">
        <v>22000</v>
      </c>
      <c r="E53" s="43">
        <f>D53-D53*F53</f>
        <v>16500</v>
      </c>
      <c r="F53" s="44">
        <v>0.25</v>
      </c>
      <c r="G53" s="44">
        <v>0.25</v>
      </c>
      <c r="H53" s="46">
        <v>81</v>
      </c>
      <c r="I53" s="40">
        <f>E53*H53</f>
        <v>1336500</v>
      </c>
      <c r="J53" s="40">
        <f>I53*G53</f>
        <v>334125</v>
      </c>
      <c r="K53" s="53">
        <f>I53-J53</f>
        <v>1002375</v>
      </c>
      <c r="L53" s="87">
        <f>D53*H53</f>
        <v>1782000</v>
      </c>
    </row>
    <row r="54" spans="2:12">
      <c r="B54" s="91">
        <v>2</v>
      </c>
      <c r="C54" s="41" t="s">
        <v>972</v>
      </c>
      <c r="D54" s="45">
        <v>22000</v>
      </c>
      <c r="E54" s="43">
        <f>D54-D54*F54</f>
        <v>14960</v>
      </c>
      <c r="F54" s="44">
        <v>0.32</v>
      </c>
      <c r="G54" s="44">
        <v>0.25</v>
      </c>
      <c r="H54" s="46">
        <v>108</v>
      </c>
      <c r="I54" s="40">
        <f>E54*H54</f>
        <v>1615680</v>
      </c>
      <c r="J54" s="40">
        <f>I54*G54</f>
        <v>403920</v>
      </c>
      <c r="K54" s="53">
        <f>I54-J54</f>
        <v>1211760</v>
      </c>
      <c r="L54" s="87">
        <f>D54*H54</f>
        <v>2376000</v>
      </c>
    </row>
    <row r="55" spans="2:12">
      <c r="B55" s="91">
        <v>3</v>
      </c>
      <c r="C55" s="41" t="s">
        <v>973</v>
      </c>
      <c r="D55" s="45">
        <v>22000</v>
      </c>
      <c r="E55" s="43">
        <f>D55-D55*F55</f>
        <v>14080</v>
      </c>
      <c r="F55" s="44">
        <v>0.36</v>
      </c>
      <c r="G55" s="44">
        <v>0.25</v>
      </c>
      <c r="H55" s="46">
        <v>66</v>
      </c>
      <c r="I55" s="40">
        <f>E55*H55</f>
        <v>929280</v>
      </c>
      <c r="J55" s="40">
        <f>I55*G55</f>
        <v>232320</v>
      </c>
      <c r="K55" s="53">
        <f>I55-J55</f>
        <v>696960</v>
      </c>
      <c r="L55" s="87">
        <f>D55*H55</f>
        <v>1452000</v>
      </c>
    </row>
    <row r="56" spans="2:12" ht="16" thickBot="1">
      <c r="B56" s="92"/>
      <c r="C56" s="68" t="s">
        <v>64</v>
      </c>
      <c r="D56" s="84"/>
      <c r="E56" s="70"/>
      <c r="F56" s="68"/>
      <c r="G56" s="199"/>
      <c r="H56" s="84">
        <f>SUM(H53:H55)</f>
        <v>255</v>
      </c>
      <c r="I56" s="84">
        <f>SUM(I53:I55)</f>
        <v>3881460</v>
      </c>
      <c r="J56" s="69">
        <f>SUM(J53:J55)</f>
        <v>970365</v>
      </c>
      <c r="K56" s="94">
        <f>SUM(K53:K55)</f>
        <v>2911095</v>
      </c>
      <c r="L56" s="72">
        <f>SUM(L53:L55)</f>
        <v>5610000</v>
      </c>
    </row>
    <row r="58" spans="2:12" ht="16" thickBot="1">
      <c r="B58" s="137" t="s">
        <v>259</v>
      </c>
      <c r="D58" s="33" t="s">
        <v>260</v>
      </c>
      <c r="G58" s="47" t="s">
        <v>253</v>
      </c>
      <c r="K58" s="49" t="s">
        <v>81</v>
      </c>
    </row>
    <row r="59" spans="2:12">
      <c r="B59" s="138" t="s">
        <v>62</v>
      </c>
      <c r="C59" s="64" t="s">
        <v>63</v>
      </c>
      <c r="D59" s="64" t="s">
        <v>54</v>
      </c>
      <c r="E59" s="65" t="s">
        <v>69</v>
      </c>
      <c r="F59" s="64" t="s">
        <v>7</v>
      </c>
      <c r="G59" s="64" t="s">
        <v>0</v>
      </c>
      <c r="H59" s="64" t="s">
        <v>91</v>
      </c>
      <c r="I59" s="148" t="s">
        <v>60</v>
      </c>
      <c r="J59" s="64" t="s">
        <v>58</v>
      </c>
      <c r="K59" s="103" t="s">
        <v>151</v>
      </c>
      <c r="L59" s="66" t="s">
        <v>83</v>
      </c>
    </row>
    <row r="60" spans="2:12">
      <c r="B60" s="91">
        <v>1</v>
      </c>
      <c r="C60" s="41" t="s">
        <v>52</v>
      </c>
      <c r="D60" s="45">
        <v>22000</v>
      </c>
      <c r="E60" s="43">
        <f>D60-D60*F60</f>
        <v>13200</v>
      </c>
      <c r="F60" s="44">
        <v>0.4</v>
      </c>
      <c r="G60" s="44">
        <v>0.05</v>
      </c>
      <c r="H60" s="46"/>
      <c r="I60" s="40">
        <f>E60*H60</f>
        <v>0</v>
      </c>
      <c r="J60" s="40">
        <f>I60*G60</f>
        <v>0</v>
      </c>
      <c r="K60" s="53">
        <f>I60-J60</f>
        <v>0</v>
      </c>
      <c r="L60" s="87">
        <f>D60*H60</f>
        <v>0</v>
      </c>
    </row>
    <row r="61" spans="2:12">
      <c r="B61" s="91">
        <v>2</v>
      </c>
      <c r="C61" s="41" t="s">
        <v>53</v>
      </c>
      <c r="D61" s="45">
        <v>22000</v>
      </c>
      <c r="E61" s="43">
        <f>D61-D61*F61</f>
        <v>13200</v>
      </c>
      <c r="F61" s="44">
        <v>0.4</v>
      </c>
      <c r="G61" s="44">
        <v>0.05</v>
      </c>
      <c r="H61" s="46"/>
      <c r="I61" s="40">
        <f>E61*H61</f>
        <v>0</v>
      </c>
      <c r="J61" s="40">
        <f>I61*G61</f>
        <v>0</v>
      </c>
      <c r="K61" s="53">
        <f>I61-J61</f>
        <v>0</v>
      </c>
      <c r="L61" s="87">
        <f>D61*H61</f>
        <v>0</v>
      </c>
    </row>
    <row r="62" spans="2:12" ht="16" thickBot="1">
      <c r="B62" s="92"/>
      <c r="C62" s="68" t="s">
        <v>64</v>
      </c>
      <c r="D62" s="84"/>
      <c r="E62" s="70"/>
      <c r="F62" s="68"/>
      <c r="G62" s="199"/>
      <c r="H62" s="84">
        <f>SUM(H60:H61)</f>
        <v>0</v>
      </c>
      <c r="I62" s="84">
        <f>SUM(I60:I61)</f>
        <v>0</v>
      </c>
      <c r="J62" s="69">
        <f>SUM(J60:J61)</f>
        <v>0</v>
      </c>
      <c r="K62" s="94">
        <f>SUM(K60:K61)</f>
        <v>0</v>
      </c>
      <c r="L62" s="72">
        <f>SUM(L60:L61)</f>
        <v>0</v>
      </c>
    </row>
    <row r="65" spans="2:12" ht="16" thickBot="1">
      <c r="B65" s="137" t="s">
        <v>79</v>
      </c>
      <c r="G65" s="47" t="s">
        <v>205</v>
      </c>
    </row>
    <row r="66" spans="2:12">
      <c r="B66" s="138" t="s">
        <v>62</v>
      </c>
      <c r="C66" s="64" t="s">
        <v>63</v>
      </c>
      <c r="D66" s="64" t="s">
        <v>54</v>
      </c>
      <c r="E66" s="65" t="s">
        <v>77</v>
      </c>
      <c r="F66" s="64" t="s">
        <v>7</v>
      </c>
      <c r="G66" s="64" t="s">
        <v>0</v>
      </c>
      <c r="H66" s="64" t="s">
        <v>91</v>
      </c>
      <c r="I66" s="148" t="s">
        <v>60</v>
      </c>
      <c r="J66" s="64" t="s">
        <v>58</v>
      </c>
      <c r="K66" s="103" t="s">
        <v>151</v>
      </c>
      <c r="L66" s="66" t="s">
        <v>83</v>
      </c>
    </row>
    <row r="67" spans="2:12">
      <c r="B67" s="91">
        <v>1</v>
      </c>
      <c r="C67" s="41" t="s">
        <v>52</v>
      </c>
      <c r="D67" s="45">
        <v>22000</v>
      </c>
      <c r="E67" s="43">
        <f>D67-D67*F67</f>
        <v>22000</v>
      </c>
      <c r="F67" s="44"/>
      <c r="G67" s="44">
        <v>0.3</v>
      </c>
      <c r="H67" s="41">
        <v>1</v>
      </c>
      <c r="I67" s="46">
        <f>E67*H67</f>
        <v>22000</v>
      </c>
      <c r="J67" s="40">
        <f>E67*G67*H67</f>
        <v>6600</v>
      </c>
      <c r="K67" s="53">
        <f>I67-J67</f>
        <v>15400</v>
      </c>
      <c r="L67" s="87">
        <f>H67*D67</f>
        <v>22000</v>
      </c>
    </row>
    <row r="68" spans="2:12">
      <c r="B68" s="91">
        <v>2</v>
      </c>
      <c r="C68" s="41" t="s">
        <v>53</v>
      </c>
      <c r="D68" s="45">
        <v>22000</v>
      </c>
      <c r="E68" s="43">
        <f>D68-D68*F68</f>
        <v>22000</v>
      </c>
      <c r="F68" s="44"/>
      <c r="G68" s="44">
        <v>0.3</v>
      </c>
      <c r="H68" s="41">
        <v>2</v>
      </c>
      <c r="I68" s="46">
        <f>E68*H68</f>
        <v>44000</v>
      </c>
      <c r="J68" s="40">
        <f>E68*G68*H68</f>
        <v>13200</v>
      </c>
      <c r="K68" s="53">
        <f>I68-J68</f>
        <v>30800</v>
      </c>
      <c r="L68" s="87">
        <f>H68*D68</f>
        <v>44000</v>
      </c>
    </row>
    <row r="69" spans="2:12" ht="16" thickBot="1">
      <c r="B69" s="92"/>
      <c r="C69" s="68" t="s">
        <v>64</v>
      </c>
      <c r="D69" s="84"/>
      <c r="E69" s="70"/>
      <c r="F69" s="68"/>
      <c r="G69" s="68"/>
      <c r="H69" s="68">
        <f>SUM(H67:H68)</f>
        <v>3</v>
      </c>
      <c r="I69" s="147">
        <f>SUM(I67:I68)</f>
        <v>66000</v>
      </c>
      <c r="J69" s="69">
        <f>SUM(J67:J68)</f>
        <v>19800</v>
      </c>
      <c r="K69" s="94">
        <f>SUM(K67:K68)</f>
        <v>46200</v>
      </c>
      <c r="L69" s="146">
        <f>SUM(L67:L68)</f>
        <v>66000</v>
      </c>
    </row>
    <row r="70" spans="2:12">
      <c r="B70" s="35"/>
      <c r="C70" s="35"/>
      <c r="D70" s="186"/>
      <c r="F70" s="35"/>
      <c r="G70" s="35"/>
      <c r="H70" s="35"/>
      <c r="I70" s="187"/>
      <c r="J70" s="188"/>
      <c r="K70" s="189"/>
      <c r="L70" s="188"/>
    </row>
    <row r="71" spans="2:12" ht="16" thickBot="1">
      <c r="B71" s="137" t="s">
        <v>236</v>
      </c>
      <c r="C71" s="33" t="s">
        <v>251</v>
      </c>
    </row>
    <row r="72" spans="2:12">
      <c r="B72" s="138" t="s">
        <v>62</v>
      </c>
      <c r="C72" s="64" t="s">
        <v>63</v>
      </c>
      <c r="D72" s="64" t="s">
        <v>54</v>
      </c>
      <c r="E72" s="65" t="s">
        <v>254</v>
      </c>
      <c r="F72" s="64" t="s">
        <v>0</v>
      </c>
      <c r="G72" s="64" t="s">
        <v>255</v>
      </c>
      <c r="H72" s="64" t="s">
        <v>91</v>
      </c>
      <c r="I72" s="148" t="s">
        <v>60</v>
      </c>
      <c r="J72" s="64" t="s">
        <v>58</v>
      </c>
      <c r="K72" s="103" t="s">
        <v>151</v>
      </c>
      <c r="L72" s="66" t="s">
        <v>83</v>
      </c>
    </row>
    <row r="73" spans="2:12">
      <c r="B73" s="91">
        <v>1</v>
      </c>
      <c r="C73" s="41" t="s">
        <v>52</v>
      </c>
      <c r="D73" s="45">
        <v>22000</v>
      </c>
      <c r="E73" s="43">
        <v>22000</v>
      </c>
      <c r="F73" s="44">
        <v>0.37</v>
      </c>
      <c r="G73" s="201">
        <f>E73*(63%)</f>
        <v>13860</v>
      </c>
      <c r="H73" s="41"/>
      <c r="I73" s="46">
        <f>E73*H73</f>
        <v>0</v>
      </c>
      <c r="J73" s="40">
        <f>I73*F73</f>
        <v>0</v>
      </c>
      <c r="K73" s="53">
        <f>I73-J73</f>
        <v>0</v>
      </c>
      <c r="L73" s="87">
        <f>H73*D73</f>
        <v>0</v>
      </c>
    </row>
    <row r="74" spans="2:12">
      <c r="B74" s="91">
        <v>2</v>
      </c>
      <c r="C74" s="41" t="s">
        <v>53</v>
      </c>
      <c r="D74" s="45">
        <v>22000</v>
      </c>
      <c r="E74" s="43">
        <v>22000</v>
      </c>
      <c r="F74" s="44">
        <v>0.37</v>
      </c>
      <c r="G74" s="201">
        <f>E74*(63%)</f>
        <v>13860</v>
      </c>
      <c r="H74" s="41"/>
      <c r="I74" s="46">
        <f>E74*H74</f>
        <v>0</v>
      </c>
      <c r="J74" s="40">
        <f>I74*F74</f>
        <v>0</v>
      </c>
      <c r="K74" s="53">
        <f>I74-J74</f>
        <v>0</v>
      </c>
      <c r="L74" s="87">
        <f>H74*D74</f>
        <v>0</v>
      </c>
    </row>
    <row r="75" spans="2:12" ht="16" thickBot="1">
      <c r="B75" s="92"/>
      <c r="C75" s="68" t="s">
        <v>64</v>
      </c>
      <c r="D75" s="84"/>
      <c r="E75" s="70"/>
      <c r="F75" s="68"/>
      <c r="G75" s="69"/>
      <c r="H75" s="68">
        <f>SUM(H73:H74)</f>
        <v>0</v>
      </c>
      <c r="I75" s="147">
        <f>SUM(I73:I74)</f>
        <v>0</v>
      </c>
      <c r="J75" s="69">
        <f>SUM(J73:J74)</f>
        <v>0</v>
      </c>
      <c r="K75" s="94">
        <f>SUM(K73:K74)</f>
        <v>0</v>
      </c>
      <c r="L75" s="146">
        <f>SUM(L73:L74)</f>
        <v>0</v>
      </c>
    </row>
    <row r="78" spans="2:12">
      <c r="J78" s="39" t="s">
        <v>85</v>
      </c>
      <c r="K78" s="200">
        <f>G8+M15+H49+I22+H28+H35+G42+H62+H69+H75+H56+G15</f>
        <v>307</v>
      </c>
      <c r="L78" s="39" t="s">
        <v>86</v>
      </c>
    </row>
    <row r="79" spans="2:12">
      <c r="J79" s="39" t="s">
        <v>84</v>
      </c>
      <c r="K79" s="61">
        <f>L8+L15+L49+L22+L28+L35+L42+L62+L69+L75+L56</f>
        <v>6754000</v>
      </c>
      <c r="L79" s="39" t="s">
        <v>87</v>
      </c>
    </row>
    <row r="80" spans="2:12">
      <c r="J80" s="39" t="s">
        <v>60</v>
      </c>
      <c r="K80" s="61">
        <f>I8+I28+I49+H15+I35+I42+I62+I69+I75+I56</f>
        <v>4704260</v>
      </c>
      <c r="L80" s="39" t="s">
        <v>88</v>
      </c>
    </row>
    <row r="81" spans="10:12">
      <c r="J81" s="39" t="s">
        <v>82</v>
      </c>
      <c r="K81" s="61">
        <f>H8+J22+J49+J15+J28+J35+J42+J62+J69+J75+J56</f>
        <v>1062325</v>
      </c>
      <c r="L81" s="39" t="s">
        <v>89</v>
      </c>
    </row>
    <row r="82" spans="10:12">
      <c r="J82" s="62" t="s">
        <v>151</v>
      </c>
      <c r="K82" s="63">
        <f>K8+K15+K49+K22+K28+K35+K42+K62+K69+K75+K56</f>
        <v>3641935</v>
      </c>
      <c r="L82" s="39" t="s">
        <v>90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D6F-5738-1947-9B50-3A1AE5675CA0}">
  <dimension ref="A1:T190"/>
  <sheetViews>
    <sheetView workbookViewId="0">
      <selection activeCell="I14" sqref="I14"/>
    </sheetView>
  </sheetViews>
  <sheetFormatPr baseColWidth="10" defaultRowHeight="17"/>
  <cols>
    <col min="2" max="2" width="9.5" bestFit="1" customWidth="1"/>
    <col min="3" max="3" width="20.33203125" customWidth="1"/>
    <col min="4" max="4" width="6.83203125" customWidth="1"/>
    <col min="5" max="5" width="15.83203125" style="29" customWidth="1"/>
    <col min="6" max="6" width="43.1640625" customWidth="1"/>
    <col min="8" max="8" width="10.1640625" style="31" customWidth="1"/>
    <col min="9" max="9" width="10.83203125" customWidth="1"/>
    <col min="10" max="10" width="10.83203125" style="31"/>
    <col min="11" max="11" width="10.83203125" customWidth="1"/>
    <col min="13" max="13" width="15.33203125" bestFit="1" customWidth="1"/>
    <col min="14" max="15" width="0" style="31" hidden="1" customWidth="1"/>
    <col min="16" max="16" width="0" hidden="1" customWidth="1"/>
    <col min="17" max="17" width="10.83203125" style="25"/>
    <col min="18" max="18" width="28.1640625" style="25" bestFit="1" customWidth="1"/>
    <col min="19" max="19" width="17.33203125" style="25" customWidth="1"/>
    <col min="20" max="20" width="23.1640625" bestFit="1" customWidth="1"/>
  </cols>
  <sheetData>
    <row r="1" spans="1:20" ht="30">
      <c r="C1" s="282" t="s">
        <v>200</v>
      </c>
      <c r="D1" s="267"/>
      <c r="E1" s="283"/>
      <c r="F1" s="267" t="s">
        <v>624</v>
      </c>
      <c r="G1" s="267"/>
      <c r="H1" s="284" t="s">
        <v>961</v>
      </c>
      <c r="I1" s="285" t="s">
        <v>960</v>
      </c>
    </row>
    <row r="2" spans="1:20">
      <c r="C2" s="286">
        <v>181</v>
      </c>
      <c r="D2" s="250"/>
      <c r="E2" s="281"/>
      <c r="F2" s="274" t="s">
        <v>681</v>
      </c>
      <c r="G2" s="250"/>
      <c r="H2" s="266">
        <v>0</v>
      </c>
      <c r="I2" s="287">
        <v>10</v>
      </c>
      <c r="J2" s="136"/>
    </row>
    <row r="3" spans="1:20" ht="18" thickBot="1">
      <c r="C3" s="256"/>
      <c r="D3" s="288"/>
      <c r="E3" s="289"/>
      <c r="F3" s="290" t="s">
        <v>747</v>
      </c>
      <c r="G3" s="288"/>
      <c r="H3" s="291">
        <v>199</v>
      </c>
      <c r="I3" s="292">
        <v>277</v>
      </c>
    </row>
    <row r="4" spans="1:20">
      <c r="H4" s="145">
        <f>SUBTOTAL(9,H2:H3)</f>
        <v>199</v>
      </c>
      <c r="I4" s="145">
        <f>SUBTOTAL(9,I2:I3)</f>
        <v>287</v>
      </c>
    </row>
    <row r="7" spans="1:20">
      <c r="A7" s="151" t="s">
        <v>155</v>
      </c>
      <c r="B7" s="150" t="s">
        <v>25</v>
      </c>
      <c r="C7" s="150" t="s">
        <v>26</v>
      </c>
      <c r="D7" s="150" t="s">
        <v>27</v>
      </c>
      <c r="E7" s="151" t="s">
        <v>28</v>
      </c>
      <c r="F7" s="150" t="s">
        <v>933</v>
      </c>
      <c r="G7" s="150" t="s">
        <v>30</v>
      </c>
      <c r="H7" s="152" t="s">
        <v>227</v>
      </c>
      <c r="I7" s="150" t="s">
        <v>31</v>
      </c>
      <c r="J7" s="152" t="s">
        <v>32</v>
      </c>
      <c r="K7" s="150" t="s">
        <v>33</v>
      </c>
      <c r="L7" s="150" t="s">
        <v>34</v>
      </c>
      <c r="M7" s="150" t="s">
        <v>35</v>
      </c>
      <c r="N7" s="152" t="s">
        <v>36</v>
      </c>
      <c r="O7" s="152" t="s">
        <v>37</v>
      </c>
      <c r="P7" s="150" t="s">
        <v>38</v>
      </c>
      <c r="Q7" s="150" t="s">
        <v>42</v>
      </c>
      <c r="R7" s="150" t="s">
        <v>48</v>
      </c>
      <c r="S7" s="150" t="s">
        <v>201</v>
      </c>
      <c r="T7" s="150" t="s">
        <v>202</v>
      </c>
    </row>
    <row r="8" spans="1:20">
      <c r="A8" s="151">
        <v>1</v>
      </c>
      <c r="B8" s="153">
        <v>46142</v>
      </c>
      <c r="C8" s="150" t="s">
        <v>752</v>
      </c>
      <c r="D8" s="154" t="s">
        <v>39</v>
      </c>
      <c r="E8" s="151">
        <v>8809879544101</v>
      </c>
      <c r="F8" s="150" t="s">
        <v>24</v>
      </c>
      <c r="G8" s="150" t="s">
        <v>40</v>
      </c>
      <c r="H8" s="150">
        <v>0</v>
      </c>
      <c r="I8" s="150">
        <v>0</v>
      </c>
      <c r="J8" s="150">
        <v>0</v>
      </c>
      <c r="K8" s="152">
        <v>2</v>
      </c>
      <c r="L8" s="150">
        <v>0</v>
      </c>
      <c r="M8" s="150" t="s">
        <v>41</v>
      </c>
      <c r="N8" s="150" t="s">
        <v>257</v>
      </c>
      <c r="O8" s="150">
        <v>22000</v>
      </c>
      <c r="P8" s="150">
        <v>44000</v>
      </c>
      <c r="Q8" s="150" t="str" cm="1">
        <f t="array" ref="Q8">IFERROR(INDEX('DB)입출고매칭용'!$P$2:$P$181,MATCH(1,($C8='DB)입출고매칭용'!$H$2:$H$181)*($B8='DB)입출고매칭용'!$B$2:$B$181)*($K8='DB)입출고매칭용'!$J$2:$J$181),0)),"")</f>
        <v/>
      </c>
      <c r="R8" s="150" t="str" cm="1">
        <f t="array" ref="R8">IFERROR(INDEX('DB)입출고매칭용'!$Q$2:$Q$181,MATCH(1,($C8='DB)입출고매칭용'!$H$2:$H$181)*($B8='DB)입출고매칭용'!$B$2:$B$181)*($K8='DB)입출고매칭용'!$J$2:$J$181),0)),"")</f>
        <v/>
      </c>
      <c r="S8" s="169" t="str" cm="1">
        <f t="array" ref="S8">IFERROR(INDEX('DB)입출고매칭용'!$R$2:$R$181,MATCH(1,($C8='DB)입출고매칭용'!$H$2:$H$181)*($B8='DB)입출고매칭용'!$B$2:$B$181)*($K8='DB)입출고매칭용'!$J$2:$J$181),0)),"")</f>
        <v/>
      </c>
    </row>
    <row r="9" spans="1:20">
      <c r="A9" s="151">
        <v>2</v>
      </c>
      <c r="B9" s="153">
        <v>46142</v>
      </c>
      <c r="C9" s="150" t="s">
        <v>753</v>
      </c>
      <c r="D9" s="154" t="s">
        <v>39</v>
      </c>
      <c r="E9" s="151">
        <v>8809879544101</v>
      </c>
      <c r="F9" s="150" t="s">
        <v>24</v>
      </c>
      <c r="G9" s="150" t="s">
        <v>40</v>
      </c>
      <c r="H9" s="150">
        <v>0</v>
      </c>
      <c r="I9" s="150">
        <v>0</v>
      </c>
      <c r="J9" s="150">
        <v>0</v>
      </c>
      <c r="K9" s="152">
        <v>1</v>
      </c>
      <c r="L9" s="150">
        <v>0</v>
      </c>
      <c r="M9" s="150" t="s">
        <v>41</v>
      </c>
      <c r="N9" s="150" t="s">
        <v>754</v>
      </c>
      <c r="O9" s="150">
        <v>22000</v>
      </c>
      <c r="P9" s="150">
        <v>22000</v>
      </c>
      <c r="Q9" s="150" t="str" cm="1">
        <f t="array" ref="Q9">IFERROR(INDEX('DB)입출고매칭용'!$P$2:$P$181,MATCH(1,($C9='DB)입출고매칭용'!$H$2:$H$181)*($B9='DB)입출고매칭용'!$B$2:$B$181)*($K9='DB)입출고매칭용'!$J$2:$J$181),0)),"")</f>
        <v>판매청구</v>
      </c>
      <c r="R9" s="150" t="str" cm="1">
        <f t="array" ref="R9">IFERROR(INDEX('DB)입출고매칭용'!$Q$2:$Q$181,MATCH(1,($C9='DB)입출고매칭용'!$H$2:$H$181)*($B9='DB)입출고매칭용'!$B$2:$B$181)*($K9='DB)입출고매칭용'!$J$2:$J$181),0)),"")</f>
        <v xml:space="preserve">정상판매 </v>
      </c>
      <c r="S9" s="169" t="str" cm="1">
        <f t="array" ref="S9">IFERROR(INDEX('DB)입출고매칭용'!$R$2:$R$181,MATCH(1,($C9='DB)입출고매칭용'!$H$2:$H$181)*($B9='DB)입출고매칭용'!$B$2:$B$181)*($K9='DB)입출고매칭용'!$J$2:$J$181),0)),"")</f>
        <v>2026043032327861</v>
      </c>
    </row>
    <row r="10" spans="1:20">
      <c r="A10" s="151">
        <v>3</v>
      </c>
      <c r="B10" s="153">
        <v>46141</v>
      </c>
      <c r="C10" s="150" t="s">
        <v>755</v>
      </c>
      <c r="D10" s="154" t="s">
        <v>39</v>
      </c>
      <c r="E10" s="151">
        <v>8809879544101</v>
      </c>
      <c r="F10" s="150" t="s">
        <v>24</v>
      </c>
      <c r="G10" s="150" t="s">
        <v>40</v>
      </c>
      <c r="H10" s="150">
        <v>0</v>
      </c>
      <c r="I10" s="150">
        <v>0</v>
      </c>
      <c r="J10" s="150">
        <v>0</v>
      </c>
      <c r="K10" s="152">
        <v>1</v>
      </c>
      <c r="L10" s="150">
        <v>0</v>
      </c>
      <c r="M10" s="150" t="s">
        <v>41</v>
      </c>
      <c r="N10" s="150" t="s">
        <v>257</v>
      </c>
      <c r="O10" s="150">
        <v>22000</v>
      </c>
      <c r="P10" s="150">
        <v>22000</v>
      </c>
      <c r="Q10" s="150" t="str" cm="1">
        <f t="array" ref="Q10">IFERROR(INDEX('DB)입출고매칭용'!$P$2:$P$181,MATCH(1,($C10='DB)입출고매칭용'!$H$2:$H$181)*($B10='DB)입출고매칭용'!$B$2:$B$181)*($K10='DB)입출고매칭용'!$J$2:$J$181),0)),"")</f>
        <v>판매청구</v>
      </c>
      <c r="R10" s="150" t="str" cm="1">
        <f t="array" ref="R10">IFERROR(INDEX('DB)입출고매칭용'!$Q$2:$Q$181,MATCH(1,($C10='DB)입출고매칭용'!$H$2:$H$181)*($B10='DB)입출고매칭용'!$B$2:$B$181)*($K10='DB)입출고매칭용'!$J$2:$J$181),0)),"")</f>
        <v>정상판매 (공구)</v>
      </c>
      <c r="S10" s="169" t="str" cm="1">
        <f t="array" ref="S10">IFERROR(INDEX('DB)입출고매칭용'!$R$2:$R$181,MATCH(1,($C10='DB)입출고매칭용'!$H$2:$H$181)*($B10='DB)입출고매칭용'!$B$2:$B$181)*($K10='DB)입출고매칭용'!$J$2:$J$181),0)),"")</f>
        <v>20260428-0000100</v>
      </c>
    </row>
    <row r="11" spans="1:20">
      <c r="A11" s="151">
        <v>4</v>
      </c>
      <c r="B11" s="153">
        <v>46141</v>
      </c>
      <c r="C11" s="150" t="s">
        <v>756</v>
      </c>
      <c r="D11" s="154" t="s">
        <v>39</v>
      </c>
      <c r="E11" s="151">
        <v>8809879544101</v>
      </c>
      <c r="F11" s="150" t="s">
        <v>24</v>
      </c>
      <c r="G11" s="150" t="s">
        <v>40</v>
      </c>
      <c r="H11" s="150">
        <v>0</v>
      </c>
      <c r="I11" s="150">
        <v>0</v>
      </c>
      <c r="J11" s="150">
        <v>0</v>
      </c>
      <c r="K11" s="152">
        <v>1</v>
      </c>
      <c r="L11" s="150">
        <v>0</v>
      </c>
      <c r="M11" s="150" t="s">
        <v>41</v>
      </c>
      <c r="N11" s="150" t="s">
        <v>754</v>
      </c>
      <c r="O11" s="150">
        <v>22000</v>
      </c>
      <c r="P11" s="150">
        <v>22000</v>
      </c>
      <c r="Q11" s="150" t="str" cm="1">
        <f t="array" ref="Q11">IFERROR(INDEX('DB)입출고매칭용'!$P$2:$P$181,MATCH(1,($C11='DB)입출고매칭용'!$H$2:$H$181)*($B11='DB)입출고매칭용'!$B$2:$B$181)*($K11='DB)입출고매칭용'!$J$2:$J$181),0)),"")</f>
        <v>판매청구</v>
      </c>
      <c r="R11" s="150" t="str" cm="1">
        <f t="array" ref="R11">IFERROR(INDEX('DB)입출고매칭용'!$Q$2:$Q$181,MATCH(1,($C11='DB)입출고매칭용'!$H$2:$H$181)*($B11='DB)입출고매칭용'!$B$2:$B$181)*($K11='DB)입출고매칭용'!$J$2:$J$181),0)),"")</f>
        <v xml:space="preserve">정상판매 </v>
      </c>
      <c r="S11" s="169" t="str" cm="1">
        <f t="array" ref="S11">IFERROR(INDEX('DB)입출고매칭용'!$R$2:$R$181,MATCH(1,($C11='DB)입출고매칭용'!$H$2:$H$181)*($B11='DB)입출고매칭용'!$B$2:$B$181)*($K11='DB)입출고매칭용'!$J$2:$J$181),0)),"")</f>
        <v>2026042891931141</v>
      </c>
    </row>
    <row r="12" spans="1:20">
      <c r="A12" s="151">
        <v>5</v>
      </c>
      <c r="B12" s="153">
        <v>46141</v>
      </c>
      <c r="C12" s="150" t="s">
        <v>757</v>
      </c>
      <c r="D12" s="154" t="s">
        <v>39</v>
      </c>
      <c r="E12" s="151">
        <v>8809879544101</v>
      </c>
      <c r="F12" s="150" t="s">
        <v>24</v>
      </c>
      <c r="G12" s="150" t="s">
        <v>40</v>
      </c>
      <c r="H12" s="150">
        <v>0</v>
      </c>
      <c r="I12" s="150">
        <v>0</v>
      </c>
      <c r="J12" s="150">
        <v>0</v>
      </c>
      <c r="K12" s="152">
        <v>1</v>
      </c>
      <c r="L12" s="150">
        <v>0</v>
      </c>
      <c r="M12" s="150" t="s">
        <v>41</v>
      </c>
      <c r="N12" s="150" t="s">
        <v>257</v>
      </c>
      <c r="O12" s="150">
        <v>22000</v>
      </c>
      <c r="P12" s="150">
        <v>22000</v>
      </c>
      <c r="Q12" s="150" t="str" cm="1">
        <f t="array" ref="Q12">IFERROR(INDEX('DB)입출고매칭용'!$P$2:$P$181,MATCH(1,($C12='DB)입출고매칭용'!$H$2:$H$181)*($B12='DB)입출고매칭용'!$B$2:$B$181)*($K12='DB)입출고매칭용'!$J$2:$J$181),0)),"")</f>
        <v>판매청구</v>
      </c>
      <c r="R12" s="150" t="str" cm="1">
        <f t="array" ref="R12">IFERROR(INDEX('DB)입출고매칭용'!$Q$2:$Q$181,MATCH(1,($C12='DB)입출고매칭용'!$H$2:$H$181)*($B12='DB)입출고매칭용'!$B$2:$B$181)*($K12='DB)입출고매칭용'!$J$2:$J$181),0)),"")</f>
        <v>정상판매 (공구)</v>
      </c>
      <c r="S12" s="169" t="str" cm="1">
        <f t="array" ref="S12">IFERROR(INDEX('DB)입출고매칭용'!$R$2:$R$181,MATCH(1,($C12='DB)입출고매칭용'!$H$2:$H$181)*($B12='DB)입출고매칭용'!$B$2:$B$181)*($K12='DB)입출고매칭용'!$J$2:$J$181),0)),"")</f>
        <v>20260429-0000099</v>
      </c>
    </row>
    <row r="13" spans="1:20">
      <c r="A13" s="151">
        <v>6</v>
      </c>
      <c r="B13" s="153">
        <v>46141</v>
      </c>
      <c r="C13" s="150" t="s">
        <v>758</v>
      </c>
      <c r="D13" s="154" t="s">
        <v>39</v>
      </c>
      <c r="E13" s="151">
        <v>8809879544101</v>
      </c>
      <c r="F13" s="150" t="s">
        <v>24</v>
      </c>
      <c r="G13" s="150" t="s">
        <v>40</v>
      </c>
      <c r="H13" s="150">
        <v>0</v>
      </c>
      <c r="I13" s="150">
        <v>0</v>
      </c>
      <c r="J13" s="150">
        <v>0</v>
      </c>
      <c r="K13" s="152">
        <v>1</v>
      </c>
      <c r="L13" s="150">
        <v>0</v>
      </c>
      <c r="M13" s="150" t="s">
        <v>41</v>
      </c>
      <c r="N13" s="150" t="s">
        <v>257</v>
      </c>
      <c r="O13" s="150">
        <v>22000</v>
      </c>
      <c r="P13" s="150">
        <v>22000</v>
      </c>
      <c r="Q13" s="150" t="str" cm="1">
        <f t="array" ref="Q13">IFERROR(INDEX('DB)입출고매칭용'!$P$2:$P$181,MATCH(1,($C13='DB)입출고매칭용'!$H$2:$H$181)*($B13='DB)입출고매칭용'!$B$2:$B$181)*($K13='DB)입출고매칭용'!$J$2:$J$181),0)),"")</f>
        <v>판매청구</v>
      </c>
      <c r="R13" s="150" t="str" cm="1">
        <f t="array" ref="R13">IFERROR(INDEX('DB)입출고매칭용'!$Q$2:$Q$181,MATCH(1,($C13='DB)입출고매칭용'!$H$2:$H$181)*($B13='DB)입출고매칭용'!$B$2:$B$181)*($K13='DB)입출고매칭용'!$J$2:$J$181),0)),"")</f>
        <v>정상판매 (공구)</v>
      </c>
      <c r="S13" s="169" t="str" cm="1">
        <f t="array" ref="S13">IFERROR(INDEX('DB)입출고매칭용'!$R$2:$R$181,MATCH(1,($C13='DB)입출고매칭용'!$H$2:$H$181)*($B13='DB)입출고매칭용'!$B$2:$B$181)*($K13='DB)입출고매칭용'!$J$2:$J$181),0)),"")</f>
        <v>20260429-0000122</v>
      </c>
    </row>
    <row r="14" spans="1:20">
      <c r="A14" s="151"/>
      <c r="B14" s="153">
        <v>46140</v>
      </c>
      <c r="C14" s="150" t="s">
        <v>759</v>
      </c>
      <c r="D14" s="154" t="s">
        <v>39</v>
      </c>
      <c r="E14" s="151">
        <v>8809879544101</v>
      </c>
      <c r="F14" s="150" t="s">
        <v>24</v>
      </c>
      <c r="G14" s="150" t="s">
        <v>40</v>
      </c>
      <c r="H14" s="150">
        <v>0</v>
      </c>
      <c r="I14" s="150">
        <v>198</v>
      </c>
      <c r="J14" s="150">
        <v>0</v>
      </c>
      <c r="K14" s="152">
        <v>0</v>
      </c>
      <c r="L14" s="150">
        <v>0</v>
      </c>
      <c r="M14" s="150" t="s">
        <v>14</v>
      </c>
      <c r="N14" s="150"/>
      <c r="O14" s="150">
        <v>22000</v>
      </c>
      <c r="P14" s="150">
        <v>0</v>
      </c>
      <c r="Q14" s="150" t="str" cm="1">
        <f t="array" ref="Q14">IFERROR(INDEX('DB)입출고매칭용'!$P$2:$P$181,MATCH(1,($C14='DB)입출고매칭용'!$H$2:$H$181)*($B14='DB)입출고매칭용'!$B$2:$B$181)*($K14='DB)입출고매칭용'!$J$2:$J$181),0)),"")</f>
        <v/>
      </c>
      <c r="R14" s="150" t="str" cm="1">
        <f t="array" ref="R14">IFERROR(INDEX('DB)입출고매칭용'!$Q$2:$Q$181,MATCH(1,($C14='DB)입출고매칭용'!$H$2:$H$181)*($B14='DB)입출고매칭용'!$B$2:$B$181)*($K14='DB)입출고매칭용'!$J$2:$J$181),0)),"")</f>
        <v/>
      </c>
      <c r="S14" s="169" t="str" cm="1">
        <f t="array" ref="S14">IFERROR(INDEX('DB)입출고매칭용'!$R$2:$R$181,MATCH(1,($C14='DB)입출고매칭용'!$H$2:$H$181)*($B14='DB)입출고매칭용'!$B$2:$B$181)*($K14='DB)입출고매칭용'!$J$2:$J$181),0)),"")</f>
        <v/>
      </c>
    </row>
    <row r="15" spans="1:20">
      <c r="A15" s="151">
        <v>7</v>
      </c>
      <c r="B15" s="153">
        <v>46139</v>
      </c>
      <c r="C15" s="150" t="s">
        <v>760</v>
      </c>
      <c r="D15" s="154" t="s">
        <v>39</v>
      </c>
      <c r="E15" s="151">
        <v>8809879544118</v>
      </c>
      <c r="F15" s="150" t="s">
        <v>23</v>
      </c>
      <c r="G15" s="150" t="s">
        <v>40</v>
      </c>
      <c r="H15" s="150">
        <v>0</v>
      </c>
      <c r="I15" s="150">
        <v>0</v>
      </c>
      <c r="J15" s="150">
        <v>0</v>
      </c>
      <c r="K15" s="152">
        <v>1</v>
      </c>
      <c r="L15" s="150">
        <v>0</v>
      </c>
      <c r="M15" s="150" t="s">
        <v>41</v>
      </c>
      <c r="N15" s="150" t="s">
        <v>257</v>
      </c>
      <c r="O15" s="150">
        <v>22000</v>
      </c>
      <c r="P15" s="150">
        <v>22000</v>
      </c>
      <c r="Q15" s="150" t="str" cm="1">
        <f t="array" ref="Q15">IFERROR(INDEX('DB)입출고매칭용'!$P$2:$P$181,MATCH(1,($C15='DB)입출고매칭용'!$H$2:$H$181)*($B15='DB)입출고매칭용'!$B$2:$B$181)*($K15='DB)입출고매칭용'!$J$2:$J$181),0)),"")</f>
        <v>판매청구</v>
      </c>
      <c r="R15" s="150" t="str" cm="1">
        <f t="array" ref="R15">IFERROR(INDEX('DB)입출고매칭용'!$Q$2:$Q$181,MATCH(1,($C15='DB)입출고매칭용'!$H$2:$H$181)*($B15='DB)입출고매칭용'!$B$2:$B$181)*($K15='DB)입출고매칭용'!$J$2:$J$181),0)),"")</f>
        <v xml:space="preserve">정상판매 </v>
      </c>
      <c r="S15" s="169" t="str" cm="1">
        <f t="array" ref="S15">IFERROR(INDEX('DB)입출고매칭용'!$R$2:$R$181,MATCH(1,($C15='DB)입출고매칭용'!$H$2:$H$181)*($B15='DB)입출고매칭용'!$B$2:$B$181)*($K15='DB)입출고매칭용'!$J$2:$J$181),0)),"")</f>
        <v>20260425-0000045</v>
      </c>
    </row>
    <row r="16" spans="1:20">
      <c r="A16" s="151">
        <v>8</v>
      </c>
      <c r="B16" s="153">
        <v>46139</v>
      </c>
      <c r="C16" s="150" t="s">
        <v>761</v>
      </c>
      <c r="D16" s="154" t="s">
        <v>39</v>
      </c>
      <c r="E16" s="151">
        <v>8809879544101</v>
      </c>
      <c r="F16" s="150" t="s">
        <v>24</v>
      </c>
      <c r="G16" s="150" t="s">
        <v>40</v>
      </c>
      <c r="H16" s="150">
        <v>0</v>
      </c>
      <c r="I16" s="150">
        <v>0</v>
      </c>
      <c r="J16" s="150">
        <v>0</v>
      </c>
      <c r="K16" s="152">
        <v>1</v>
      </c>
      <c r="L16" s="150">
        <v>0</v>
      </c>
      <c r="M16" s="150" t="s">
        <v>41</v>
      </c>
      <c r="N16" s="150" t="s">
        <v>257</v>
      </c>
      <c r="O16" s="150">
        <v>22000</v>
      </c>
      <c r="P16" s="150">
        <v>22000</v>
      </c>
      <c r="Q16" s="150" t="str" cm="1">
        <f t="array" ref="Q16">IFERROR(INDEX('DB)입출고매칭용'!$P$2:$P$181,MATCH(1,($C16='DB)입출고매칭용'!$H$2:$H$181)*($B16='DB)입출고매칭용'!$B$2:$B$181)*($K16='DB)입출고매칭용'!$J$2:$J$181),0)),"")</f>
        <v/>
      </c>
      <c r="R16" s="150" t="str" cm="1">
        <f t="array" ref="R16">IFERROR(INDEX('DB)입출고매칭용'!$Q$2:$Q$181,MATCH(1,($C16='DB)입출고매칭용'!$H$2:$H$181)*($B16='DB)입출고매칭용'!$B$2:$B$181)*($K16='DB)입출고매칭용'!$J$2:$J$181),0)),"")</f>
        <v/>
      </c>
      <c r="S16" s="169" t="str" cm="1">
        <f t="array" ref="S16">IFERROR(INDEX('DB)입출고매칭용'!$R$2:$R$181,MATCH(1,($C16='DB)입출고매칭용'!$H$2:$H$181)*($B16='DB)입출고매칭용'!$B$2:$B$181)*($K16='DB)입출고매칭용'!$J$2:$J$181),0)),"")</f>
        <v/>
      </c>
    </row>
    <row r="17" spans="1:19">
      <c r="A17" s="151">
        <v>9</v>
      </c>
      <c r="B17" s="153">
        <v>46139</v>
      </c>
      <c r="C17" s="150" t="s">
        <v>762</v>
      </c>
      <c r="D17" s="154" t="s">
        <v>39</v>
      </c>
      <c r="E17" s="151">
        <v>8809879544101</v>
      </c>
      <c r="F17" s="150" t="s">
        <v>24</v>
      </c>
      <c r="G17" s="150" t="s">
        <v>40</v>
      </c>
      <c r="H17" s="150">
        <v>0</v>
      </c>
      <c r="I17" s="150">
        <v>0</v>
      </c>
      <c r="J17" s="150">
        <v>0</v>
      </c>
      <c r="K17" s="152">
        <v>1</v>
      </c>
      <c r="L17" s="150">
        <v>0</v>
      </c>
      <c r="M17" s="150" t="s">
        <v>41</v>
      </c>
      <c r="N17" s="150" t="s">
        <v>257</v>
      </c>
      <c r="O17" s="150">
        <v>22000</v>
      </c>
      <c r="P17" s="150">
        <v>22000</v>
      </c>
      <c r="Q17" s="150" t="str" cm="1">
        <f t="array" ref="Q17">IFERROR(INDEX('DB)입출고매칭용'!$P$2:$P$181,MATCH(1,($C17='DB)입출고매칭용'!$H$2:$H$181)*($B17='DB)입출고매칭용'!$B$2:$B$181)*($K17='DB)입출고매칭용'!$J$2:$J$181),0)),"")</f>
        <v>판매청구</v>
      </c>
      <c r="R17" s="150" t="str" cm="1">
        <f t="array" ref="R17">IFERROR(INDEX('DB)입출고매칭용'!$Q$2:$Q$181,MATCH(1,($C17='DB)입출고매칭용'!$H$2:$H$181)*($B17='DB)입출고매칭용'!$B$2:$B$181)*($K17='DB)입출고매칭용'!$J$2:$J$181),0)),"")</f>
        <v>정상판매 (공구)</v>
      </c>
      <c r="S17" s="169" t="str" cm="1">
        <f t="array" ref="S17">IFERROR(INDEX('DB)입출고매칭용'!$R$2:$R$181,MATCH(1,($C17='DB)입출고매칭용'!$H$2:$H$181)*($B17='DB)입출고매칭용'!$B$2:$B$181)*($K17='DB)입출고매칭용'!$J$2:$J$181),0)),"")</f>
        <v>20260426-0000115</v>
      </c>
    </row>
    <row r="18" spans="1:19">
      <c r="A18" s="151">
        <v>10</v>
      </c>
      <c r="B18" s="153">
        <v>46139</v>
      </c>
      <c r="C18" s="150" t="s">
        <v>763</v>
      </c>
      <c r="D18" s="154" t="s">
        <v>39</v>
      </c>
      <c r="E18" s="151">
        <v>8809879544101</v>
      </c>
      <c r="F18" s="150" t="s">
        <v>24</v>
      </c>
      <c r="G18" s="150" t="s">
        <v>40</v>
      </c>
      <c r="H18" s="150">
        <v>0</v>
      </c>
      <c r="I18" s="150">
        <v>0</v>
      </c>
      <c r="J18" s="150">
        <v>0</v>
      </c>
      <c r="K18" s="152">
        <v>1</v>
      </c>
      <c r="L18" s="150">
        <v>0</v>
      </c>
      <c r="M18" s="150" t="s">
        <v>41</v>
      </c>
      <c r="N18" s="150" t="s">
        <v>257</v>
      </c>
      <c r="O18" s="150">
        <v>22000</v>
      </c>
      <c r="P18" s="150">
        <v>22000</v>
      </c>
      <c r="Q18" s="150" t="str" cm="1">
        <f t="array" ref="Q18">IFERROR(INDEX('DB)입출고매칭용'!$P$2:$P$181,MATCH(1,($C18='DB)입출고매칭용'!$H$2:$H$181)*($B18='DB)입출고매칭용'!$B$2:$B$181)*($K18='DB)입출고매칭용'!$J$2:$J$181),0)),"")</f>
        <v>판매청구</v>
      </c>
      <c r="R18" s="150" t="str" cm="1">
        <f t="array" ref="R18">IFERROR(INDEX('DB)입출고매칭용'!$Q$2:$Q$181,MATCH(1,($C18='DB)입출고매칭용'!$H$2:$H$181)*($B18='DB)입출고매칭용'!$B$2:$B$181)*($K18='DB)입출고매칭용'!$J$2:$J$181),0)),"")</f>
        <v>정상판매 (공구)</v>
      </c>
      <c r="S18" s="169" t="str" cm="1">
        <f t="array" ref="S18">IFERROR(INDEX('DB)입출고매칭용'!$R$2:$R$181,MATCH(1,($C18='DB)입출고매칭용'!$H$2:$H$181)*($B18='DB)입출고매칭용'!$B$2:$B$181)*($K18='DB)입출고매칭용'!$J$2:$J$181),0)),"")</f>
        <v>20260426-0000091</v>
      </c>
    </row>
    <row r="19" spans="1:19">
      <c r="A19" s="151">
        <v>11</v>
      </c>
      <c r="B19" s="153">
        <v>46139</v>
      </c>
      <c r="C19" s="150" t="s">
        <v>764</v>
      </c>
      <c r="D19" s="154" t="s">
        <v>39</v>
      </c>
      <c r="E19" s="151">
        <v>8809879544101</v>
      </c>
      <c r="F19" s="150" t="s">
        <v>24</v>
      </c>
      <c r="G19" s="150" t="s">
        <v>40</v>
      </c>
      <c r="H19" s="150">
        <v>0</v>
      </c>
      <c r="I19" s="150">
        <v>0</v>
      </c>
      <c r="J19" s="150">
        <v>0</v>
      </c>
      <c r="K19" s="152">
        <v>1</v>
      </c>
      <c r="L19" s="150">
        <v>0</v>
      </c>
      <c r="M19" s="150" t="s">
        <v>41</v>
      </c>
      <c r="N19" s="150" t="s">
        <v>257</v>
      </c>
      <c r="O19" s="150">
        <v>22000</v>
      </c>
      <c r="P19" s="150">
        <v>22000</v>
      </c>
      <c r="Q19" s="150" t="str" cm="1">
        <f t="array" ref="Q19">IFERROR(INDEX('DB)입출고매칭용'!$P$2:$P$181,MATCH(1,($C19='DB)입출고매칭용'!$H$2:$H$181)*($B19='DB)입출고매칭용'!$B$2:$B$181)*($K19='DB)입출고매칭용'!$J$2:$J$181),0)),"")</f>
        <v>판매청구</v>
      </c>
      <c r="R19" s="150" t="str" cm="1">
        <f t="array" ref="R19">IFERROR(INDEX('DB)입출고매칭용'!$Q$2:$Q$181,MATCH(1,($C19='DB)입출고매칭용'!$H$2:$H$181)*($B19='DB)입출고매칭용'!$B$2:$B$181)*($K19='DB)입출고매칭용'!$J$2:$J$181),0)),"")</f>
        <v xml:space="preserve">정상판매 </v>
      </c>
      <c r="S19" s="169" t="str" cm="1">
        <f t="array" ref="S19">IFERROR(INDEX('DB)입출고매칭용'!$R$2:$R$181,MATCH(1,($C19='DB)입출고매칭용'!$H$2:$H$181)*($B19='DB)입출고매칭용'!$B$2:$B$181)*($K19='DB)입출고매칭용'!$J$2:$J$181),0)),"")</f>
        <v>20260425-0000031</v>
      </c>
    </row>
    <row r="20" spans="1:19">
      <c r="A20" s="151">
        <v>12</v>
      </c>
      <c r="B20" s="153">
        <v>46139</v>
      </c>
      <c r="C20" s="150" t="s">
        <v>765</v>
      </c>
      <c r="D20" s="154" t="s">
        <v>39</v>
      </c>
      <c r="E20" s="151">
        <v>8809879544101</v>
      </c>
      <c r="F20" s="150" t="s">
        <v>24</v>
      </c>
      <c r="G20" s="150" t="s">
        <v>40</v>
      </c>
      <c r="H20" s="150">
        <v>0</v>
      </c>
      <c r="I20" s="150">
        <v>0</v>
      </c>
      <c r="J20" s="150">
        <v>0</v>
      </c>
      <c r="K20" s="152">
        <v>1</v>
      </c>
      <c r="L20" s="150">
        <v>0</v>
      </c>
      <c r="M20" s="150" t="s">
        <v>41</v>
      </c>
      <c r="N20" s="150" t="s">
        <v>257</v>
      </c>
      <c r="O20" s="150">
        <v>22000</v>
      </c>
      <c r="P20" s="150">
        <v>22000</v>
      </c>
      <c r="Q20" s="150" t="str" cm="1">
        <f t="array" ref="Q20">IFERROR(INDEX('DB)입출고매칭용'!$P$2:$P$181,MATCH(1,($C20='DB)입출고매칭용'!$H$2:$H$181)*($B20='DB)입출고매칭용'!$B$2:$B$181)*($K20='DB)입출고매칭용'!$J$2:$J$181),0)),"")</f>
        <v>판매청구</v>
      </c>
      <c r="R20" s="150" t="str" cm="1">
        <f t="array" ref="R20">IFERROR(INDEX('DB)입출고매칭용'!$Q$2:$Q$181,MATCH(1,($C20='DB)입출고매칭용'!$H$2:$H$181)*($B20='DB)입출고매칭용'!$B$2:$B$181)*($K20='DB)입출고매칭용'!$J$2:$J$181),0)),"")</f>
        <v xml:space="preserve">정상판매 </v>
      </c>
      <c r="S20" s="169" t="str" cm="1">
        <f t="array" ref="S20">IFERROR(INDEX('DB)입출고매칭용'!$R$2:$R$181,MATCH(1,($C20='DB)입출고매칭용'!$H$2:$H$181)*($B20='DB)입출고매칭용'!$B$2:$B$181)*($K20='DB)입출고매칭용'!$J$2:$J$181),0)),"")</f>
        <v>20260425-0000019</v>
      </c>
    </row>
    <row r="21" spans="1:19">
      <c r="A21" s="151">
        <v>13</v>
      </c>
      <c r="B21" s="153">
        <v>46139</v>
      </c>
      <c r="C21" s="150" t="s">
        <v>766</v>
      </c>
      <c r="D21" s="154" t="s">
        <v>39</v>
      </c>
      <c r="E21" s="151">
        <v>8809879544101</v>
      </c>
      <c r="F21" s="150" t="s">
        <v>24</v>
      </c>
      <c r="G21" s="150" t="s">
        <v>40</v>
      </c>
      <c r="H21" s="150">
        <v>0</v>
      </c>
      <c r="I21" s="150">
        <v>0</v>
      </c>
      <c r="J21" s="150">
        <v>0</v>
      </c>
      <c r="K21" s="152">
        <v>2</v>
      </c>
      <c r="L21" s="150">
        <v>0</v>
      </c>
      <c r="M21" s="150" t="s">
        <v>41</v>
      </c>
      <c r="N21" s="150" t="s">
        <v>257</v>
      </c>
      <c r="O21" s="150">
        <v>22000</v>
      </c>
      <c r="P21" s="150">
        <v>44000</v>
      </c>
      <c r="Q21" s="150" t="str" cm="1">
        <f t="array" ref="Q21">IFERROR(INDEX('DB)입출고매칭용'!$P$2:$P$181,MATCH(1,($C21='DB)입출고매칭용'!$H$2:$H$181)*($B21='DB)입출고매칭용'!$B$2:$B$181)*($K21='DB)입출고매칭용'!$J$2:$J$181),0)),"")</f>
        <v/>
      </c>
      <c r="R21" s="150" t="str" cm="1">
        <f t="array" ref="R21">IFERROR(INDEX('DB)입출고매칭용'!$Q$2:$Q$181,MATCH(1,($C21='DB)입출고매칭용'!$H$2:$H$181)*($B21='DB)입출고매칭용'!$B$2:$B$181)*($K21='DB)입출고매칭용'!$J$2:$J$181),0)),"")</f>
        <v/>
      </c>
      <c r="S21" s="169" t="str" cm="1">
        <f t="array" ref="S21">IFERROR(INDEX('DB)입출고매칭용'!$R$2:$R$181,MATCH(1,($C21='DB)입출고매칭용'!$H$2:$H$181)*($B21='DB)입출고매칭용'!$B$2:$B$181)*($K21='DB)입출고매칭용'!$J$2:$J$181),0)),"")</f>
        <v/>
      </c>
    </row>
    <row r="22" spans="1:19">
      <c r="A22" s="151">
        <v>14</v>
      </c>
      <c r="B22" s="153">
        <v>46139</v>
      </c>
      <c r="C22" s="150" t="s">
        <v>767</v>
      </c>
      <c r="D22" s="154" t="s">
        <v>39</v>
      </c>
      <c r="E22" s="151">
        <v>8809879544101</v>
      </c>
      <c r="F22" s="150" t="s">
        <v>24</v>
      </c>
      <c r="G22" s="150" t="s">
        <v>40</v>
      </c>
      <c r="H22" s="150">
        <v>0</v>
      </c>
      <c r="I22" s="150">
        <v>0</v>
      </c>
      <c r="J22" s="150">
        <v>0</v>
      </c>
      <c r="K22" s="152">
        <v>2</v>
      </c>
      <c r="L22" s="150">
        <v>0</v>
      </c>
      <c r="M22" s="150" t="s">
        <v>41</v>
      </c>
      <c r="N22" s="150" t="s">
        <v>257</v>
      </c>
      <c r="O22" s="150">
        <v>22000</v>
      </c>
      <c r="P22" s="150">
        <v>44000</v>
      </c>
      <c r="Q22" s="150" t="str" cm="1">
        <f t="array" ref="Q22">IFERROR(INDEX('DB)입출고매칭용'!$P$2:$P$181,MATCH(1,($C22='DB)입출고매칭용'!$H$2:$H$181)*($B22='DB)입출고매칭용'!$B$2:$B$181)*($K22='DB)입출고매칭용'!$J$2:$J$181),0)),"")</f>
        <v/>
      </c>
      <c r="R22" s="150" t="str" cm="1">
        <f t="array" ref="R22">IFERROR(INDEX('DB)입출고매칭용'!$Q$2:$Q$181,MATCH(1,($C22='DB)입출고매칭용'!$H$2:$H$181)*($B22='DB)입출고매칭용'!$B$2:$B$181)*($K22='DB)입출고매칭용'!$J$2:$J$181),0)),"")</f>
        <v/>
      </c>
      <c r="S22" s="169" t="str" cm="1">
        <f t="array" ref="S22">IFERROR(INDEX('DB)입출고매칭용'!$R$2:$R$181,MATCH(1,($C22='DB)입출고매칭용'!$H$2:$H$181)*($B22='DB)입출고매칭용'!$B$2:$B$181)*($K22='DB)입출고매칭용'!$J$2:$J$181),0)),"")</f>
        <v/>
      </c>
    </row>
    <row r="23" spans="1:19">
      <c r="A23" s="151">
        <v>15</v>
      </c>
      <c r="B23" s="153">
        <v>46139</v>
      </c>
      <c r="C23" s="150" t="s">
        <v>768</v>
      </c>
      <c r="D23" s="154" t="s">
        <v>39</v>
      </c>
      <c r="E23" s="151">
        <v>8809879544101</v>
      </c>
      <c r="F23" s="150" t="s">
        <v>24</v>
      </c>
      <c r="G23" s="150" t="s">
        <v>40</v>
      </c>
      <c r="H23" s="150">
        <v>0</v>
      </c>
      <c r="I23" s="150">
        <v>0</v>
      </c>
      <c r="J23" s="150">
        <v>0</v>
      </c>
      <c r="K23" s="152">
        <v>2</v>
      </c>
      <c r="L23" s="150">
        <v>0</v>
      </c>
      <c r="M23" s="150" t="s">
        <v>41</v>
      </c>
      <c r="N23" s="150" t="s">
        <v>257</v>
      </c>
      <c r="O23" s="150">
        <v>22000</v>
      </c>
      <c r="P23" s="150">
        <v>44000</v>
      </c>
      <c r="Q23" s="150" t="str" cm="1">
        <f t="array" ref="Q23">IFERROR(INDEX('DB)입출고매칭용'!$P$2:$P$181,MATCH(1,($C23='DB)입출고매칭용'!$H$2:$H$181)*($B23='DB)입출고매칭용'!$B$2:$B$181)*($K23='DB)입출고매칭용'!$J$2:$J$181),0)),"")</f>
        <v/>
      </c>
      <c r="R23" s="150" t="str" cm="1">
        <f t="array" ref="R23">IFERROR(INDEX('DB)입출고매칭용'!$Q$2:$Q$181,MATCH(1,($C23='DB)입출고매칭용'!$H$2:$H$181)*($B23='DB)입출고매칭용'!$B$2:$B$181)*($K23='DB)입출고매칭용'!$J$2:$J$181),0)),"")</f>
        <v/>
      </c>
      <c r="S23" s="169" t="str" cm="1">
        <f t="array" ref="S23">IFERROR(INDEX('DB)입출고매칭용'!$R$2:$R$181,MATCH(1,($C23='DB)입출고매칭용'!$H$2:$H$181)*($B23='DB)입출고매칭용'!$B$2:$B$181)*($K23='DB)입출고매칭용'!$J$2:$J$181),0)),"")</f>
        <v/>
      </c>
    </row>
    <row r="24" spans="1:19">
      <c r="A24" s="151">
        <v>16</v>
      </c>
      <c r="B24" s="153">
        <v>46139</v>
      </c>
      <c r="C24" s="150" t="s">
        <v>769</v>
      </c>
      <c r="D24" s="154" t="s">
        <v>39</v>
      </c>
      <c r="E24" s="151">
        <v>8809879544101</v>
      </c>
      <c r="F24" s="150" t="s">
        <v>24</v>
      </c>
      <c r="G24" s="150" t="s">
        <v>40</v>
      </c>
      <c r="H24" s="150">
        <v>0</v>
      </c>
      <c r="I24" s="150">
        <v>0</v>
      </c>
      <c r="J24" s="150">
        <v>0</v>
      </c>
      <c r="K24" s="152">
        <v>2</v>
      </c>
      <c r="L24" s="150">
        <v>0</v>
      </c>
      <c r="M24" s="150" t="s">
        <v>41</v>
      </c>
      <c r="N24" s="150" t="s">
        <v>257</v>
      </c>
      <c r="O24" s="150">
        <v>22000</v>
      </c>
      <c r="P24" s="150">
        <v>44000</v>
      </c>
      <c r="Q24" s="150" t="str" cm="1">
        <f t="array" ref="Q24">IFERROR(INDEX('DB)입출고매칭용'!$P$2:$P$181,MATCH(1,($C24='DB)입출고매칭용'!$H$2:$H$181)*($B24='DB)입출고매칭용'!$B$2:$B$181)*($K24='DB)입출고매칭용'!$J$2:$J$181),0)),"")</f>
        <v/>
      </c>
      <c r="R24" s="150" t="str" cm="1">
        <f t="array" ref="R24">IFERROR(INDEX('DB)입출고매칭용'!$Q$2:$Q$181,MATCH(1,($C24='DB)입출고매칭용'!$H$2:$H$181)*($B24='DB)입출고매칭용'!$B$2:$B$181)*($K24='DB)입출고매칭용'!$J$2:$J$181),0)),"")</f>
        <v/>
      </c>
      <c r="S24" s="169" t="str" cm="1">
        <f t="array" ref="S24">IFERROR(INDEX('DB)입출고매칭용'!$R$2:$R$181,MATCH(1,($C24='DB)입출고매칭용'!$H$2:$H$181)*($B24='DB)입출고매칭용'!$B$2:$B$181)*($K24='DB)입출고매칭용'!$J$2:$J$181),0)),"")</f>
        <v/>
      </c>
    </row>
    <row r="25" spans="1:19">
      <c r="A25" s="151">
        <v>17</v>
      </c>
      <c r="B25" s="153">
        <v>46139</v>
      </c>
      <c r="C25" s="150" t="s">
        <v>770</v>
      </c>
      <c r="D25" s="154" t="s">
        <v>39</v>
      </c>
      <c r="E25" s="151">
        <v>8809879544101</v>
      </c>
      <c r="F25" s="150" t="s">
        <v>24</v>
      </c>
      <c r="G25" s="150" t="s">
        <v>40</v>
      </c>
      <c r="H25" s="150">
        <v>0</v>
      </c>
      <c r="I25" s="150">
        <v>0</v>
      </c>
      <c r="J25" s="150">
        <v>0</v>
      </c>
      <c r="K25" s="152">
        <v>2</v>
      </c>
      <c r="L25" s="150">
        <v>0</v>
      </c>
      <c r="M25" s="150" t="s">
        <v>41</v>
      </c>
      <c r="N25" s="150" t="s">
        <v>754</v>
      </c>
      <c r="O25" s="150">
        <v>22000</v>
      </c>
      <c r="P25" s="150">
        <v>44000</v>
      </c>
      <c r="Q25" s="150" t="str" cm="1">
        <f t="array" ref="Q25">IFERROR(INDEX('DB)입출고매칭용'!$P$2:$P$181,MATCH(1,($C25='DB)입출고매칭용'!$H$2:$H$181)*($B25='DB)입출고매칭용'!$B$2:$B$181)*($K25='DB)입출고매칭용'!$J$2:$J$181),0)),"")</f>
        <v>판매청구</v>
      </c>
      <c r="R25" s="150" t="str" cm="1">
        <f t="array" ref="R25">IFERROR(INDEX('DB)입출고매칭용'!$Q$2:$Q$181,MATCH(1,($C25='DB)입출고매칭용'!$H$2:$H$181)*($B25='DB)입출고매칭용'!$B$2:$B$181)*($K25='DB)입출고매칭용'!$J$2:$J$181),0)),"")</f>
        <v xml:space="preserve">정상판매 </v>
      </c>
      <c r="S25" s="169" t="str" cm="1">
        <f t="array" ref="S25">IFERROR(INDEX('DB)입출고매칭용'!$R$2:$R$181,MATCH(1,($C25='DB)입출고매칭용'!$H$2:$H$181)*($B25='DB)입출고매칭용'!$B$2:$B$181)*($K25='DB)입출고매칭용'!$J$2:$J$181),0)),"")</f>
        <v>2026042577184211</v>
      </c>
    </row>
    <row r="26" spans="1:19">
      <c r="A26" s="151">
        <v>18</v>
      </c>
      <c r="B26" s="153">
        <v>46136</v>
      </c>
      <c r="C26" s="150" t="s">
        <v>771</v>
      </c>
      <c r="D26" s="154" t="s">
        <v>39</v>
      </c>
      <c r="E26" s="151">
        <v>8809879544118</v>
      </c>
      <c r="F26" s="150" t="s">
        <v>23</v>
      </c>
      <c r="G26" s="150" t="s">
        <v>40</v>
      </c>
      <c r="H26" s="150">
        <v>0</v>
      </c>
      <c r="I26" s="150">
        <v>0</v>
      </c>
      <c r="J26" s="150">
        <v>0</v>
      </c>
      <c r="K26" s="152">
        <v>1</v>
      </c>
      <c r="L26" s="150">
        <v>0</v>
      </c>
      <c r="M26" s="150" t="s">
        <v>41</v>
      </c>
      <c r="N26" s="150" t="s">
        <v>258</v>
      </c>
      <c r="O26" s="150">
        <v>22000</v>
      </c>
      <c r="P26" s="150">
        <v>22000</v>
      </c>
      <c r="Q26" s="150" t="str" cm="1">
        <f t="array" ref="Q26">IFERROR(INDEX('DB)입출고매칭용'!$P$2:$P$181,MATCH(1,($C26='DB)입출고매칭용'!$H$2:$H$181)*($B26='DB)입출고매칭용'!$B$2:$B$181)*($K26='DB)입출고매칭용'!$J$2:$J$181),0)),"")</f>
        <v/>
      </c>
      <c r="R26" s="150" t="str" cm="1">
        <f t="array" ref="R26">IFERROR(INDEX('DB)입출고매칭용'!$Q$2:$Q$181,MATCH(1,($C26='DB)입출고매칭용'!$H$2:$H$181)*($B26='DB)입출고매칭용'!$B$2:$B$181)*($K26='DB)입출고매칭용'!$J$2:$J$181),0)),"")</f>
        <v/>
      </c>
      <c r="S26" s="169" t="str" cm="1">
        <f t="array" ref="S26">IFERROR(INDEX('DB)입출고매칭용'!$R$2:$R$181,MATCH(1,($C26='DB)입출고매칭용'!$H$2:$H$181)*($B26='DB)입출고매칭용'!$B$2:$B$181)*($K26='DB)입출고매칭용'!$J$2:$J$181),0)),"")</f>
        <v/>
      </c>
    </row>
    <row r="27" spans="1:19">
      <c r="A27" s="151">
        <v>19</v>
      </c>
      <c r="B27" s="153">
        <v>46136</v>
      </c>
      <c r="C27" s="150" t="s">
        <v>771</v>
      </c>
      <c r="D27" s="154" t="s">
        <v>39</v>
      </c>
      <c r="E27" s="151">
        <v>8809879544101</v>
      </c>
      <c r="F27" s="150" t="s">
        <v>24</v>
      </c>
      <c r="G27" s="150" t="s">
        <v>40</v>
      </c>
      <c r="H27" s="150">
        <v>0</v>
      </c>
      <c r="I27" s="150">
        <v>0</v>
      </c>
      <c r="J27" s="150">
        <v>0</v>
      </c>
      <c r="K27" s="152">
        <v>1</v>
      </c>
      <c r="L27" s="150">
        <v>0</v>
      </c>
      <c r="M27" s="150" t="s">
        <v>41</v>
      </c>
      <c r="N27" s="150" t="s">
        <v>258</v>
      </c>
      <c r="O27" s="150">
        <v>22000</v>
      </c>
      <c r="P27" s="150">
        <v>22000</v>
      </c>
      <c r="Q27" s="150" t="str" cm="1">
        <f t="array" ref="Q27">IFERROR(INDEX('DB)입출고매칭용'!$P$2:$P$181,MATCH(1,($C27='DB)입출고매칭용'!$H$2:$H$181)*($B27='DB)입출고매칭용'!$B$2:$B$181)*($K27='DB)입출고매칭용'!$J$2:$J$181),0)),"")</f>
        <v/>
      </c>
      <c r="R27" s="150" t="str" cm="1">
        <f t="array" ref="R27">IFERROR(INDEX('DB)입출고매칭용'!$Q$2:$Q$181,MATCH(1,($C27='DB)입출고매칭용'!$H$2:$H$181)*($B27='DB)입출고매칭용'!$B$2:$B$181)*($K27='DB)입출고매칭용'!$J$2:$J$181),0)),"")</f>
        <v/>
      </c>
      <c r="S27" s="169" t="str" cm="1">
        <f t="array" ref="S27">IFERROR(INDEX('DB)입출고매칭용'!$R$2:$R$181,MATCH(1,($C27='DB)입출고매칭용'!$H$2:$H$181)*($B27='DB)입출고매칭용'!$B$2:$B$181)*($K27='DB)입출고매칭용'!$J$2:$J$181),0)),"")</f>
        <v/>
      </c>
    </row>
    <row r="28" spans="1:19">
      <c r="A28" s="151">
        <v>20</v>
      </c>
      <c r="B28" s="153">
        <v>46136</v>
      </c>
      <c r="C28" s="150" t="s">
        <v>772</v>
      </c>
      <c r="D28" s="154" t="s">
        <v>39</v>
      </c>
      <c r="E28" s="151">
        <v>8809879544101</v>
      </c>
      <c r="F28" s="150" t="s">
        <v>24</v>
      </c>
      <c r="G28" s="150" t="s">
        <v>40</v>
      </c>
      <c r="H28" s="150">
        <v>0</v>
      </c>
      <c r="I28" s="150">
        <v>0</v>
      </c>
      <c r="J28" s="150">
        <v>0</v>
      </c>
      <c r="K28" s="152">
        <v>2</v>
      </c>
      <c r="L28" s="150">
        <v>0</v>
      </c>
      <c r="M28" s="150" t="s">
        <v>41</v>
      </c>
      <c r="N28" s="150" t="s">
        <v>257</v>
      </c>
      <c r="O28" s="150">
        <v>22000</v>
      </c>
      <c r="P28" s="150">
        <v>44000</v>
      </c>
      <c r="Q28" s="150" t="str" cm="1">
        <f t="array" ref="Q28">IFERROR(INDEX('DB)입출고매칭용'!$P$2:$P$181,MATCH(1,($C28='DB)입출고매칭용'!$H$2:$H$181)*($B28='DB)입출고매칭용'!$B$2:$B$181)*($K28='DB)입출고매칭용'!$J$2:$J$181),0)),"")</f>
        <v/>
      </c>
      <c r="R28" s="150" t="str" cm="1">
        <f t="array" ref="R28">IFERROR(INDEX('DB)입출고매칭용'!$Q$2:$Q$181,MATCH(1,($C28='DB)입출고매칭용'!$H$2:$H$181)*($B28='DB)입출고매칭용'!$B$2:$B$181)*($K28='DB)입출고매칭용'!$J$2:$J$181),0)),"")</f>
        <v/>
      </c>
      <c r="S28" s="169" t="str" cm="1">
        <f t="array" ref="S28">IFERROR(INDEX('DB)입출고매칭용'!$R$2:$R$181,MATCH(1,($C28='DB)입출고매칭용'!$H$2:$H$181)*($B28='DB)입출고매칭용'!$B$2:$B$181)*($K28='DB)입출고매칭용'!$J$2:$J$181),0)),"")</f>
        <v/>
      </c>
    </row>
    <row r="29" spans="1:19">
      <c r="A29" s="151">
        <v>21</v>
      </c>
      <c r="B29" s="153">
        <v>46136</v>
      </c>
      <c r="C29" s="150" t="s">
        <v>773</v>
      </c>
      <c r="D29" s="154" t="s">
        <v>39</v>
      </c>
      <c r="E29" s="151">
        <v>8809879544101</v>
      </c>
      <c r="F29" s="150" t="s">
        <v>24</v>
      </c>
      <c r="G29" s="150" t="s">
        <v>40</v>
      </c>
      <c r="H29" s="150">
        <v>0</v>
      </c>
      <c r="I29" s="150">
        <v>0</v>
      </c>
      <c r="J29" s="150">
        <v>0</v>
      </c>
      <c r="K29" s="152">
        <v>2</v>
      </c>
      <c r="L29" s="150">
        <v>0</v>
      </c>
      <c r="M29" s="150" t="s">
        <v>41</v>
      </c>
      <c r="N29" s="150" t="s">
        <v>257</v>
      </c>
      <c r="O29" s="150">
        <v>22000</v>
      </c>
      <c r="P29" s="150">
        <v>44000</v>
      </c>
      <c r="Q29" s="150" t="str" cm="1">
        <f t="array" ref="Q29">IFERROR(INDEX('DB)입출고매칭용'!$P$2:$P$181,MATCH(1,($C29='DB)입출고매칭용'!$H$2:$H$181)*($B29='DB)입출고매칭용'!$B$2:$B$181)*($K29='DB)입출고매칭용'!$J$2:$J$181),0)),"")</f>
        <v/>
      </c>
      <c r="R29" s="150" t="str" cm="1">
        <f t="array" ref="R29">IFERROR(INDEX('DB)입출고매칭용'!$Q$2:$Q$181,MATCH(1,($C29='DB)입출고매칭용'!$H$2:$H$181)*($B29='DB)입출고매칭용'!$B$2:$B$181)*($K29='DB)입출고매칭용'!$J$2:$J$181),0)),"")</f>
        <v/>
      </c>
      <c r="S29" s="169" t="str" cm="1">
        <f t="array" ref="S29">IFERROR(INDEX('DB)입출고매칭용'!$R$2:$R$181,MATCH(1,($C29='DB)입출고매칭용'!$H$2:$H$181)*($B29='DB)입출고매칭용'!$B$2:$B$181)*($K29='DB)입출고매칭용'!$J$2:$J$181),0)),"")</f>
        <v/>
      </c>
    </row>
    <row r="30" spans="1:19">
      <c r="A30" s="151">
        <v>22</v>
      </c>
      <c r="B30" s="153">
        <v>46136</v>
      </c>
      <c r="C30" s="150" t="s">
        <v>774</v>
      </c>
      <c r="D30" s="154" t="s">
        <v>39</v>
      </c>
      <c r="E30" s="151">
        <v>8809879544101</v>
      </c>
      <c r="F30" s="150" t="s">
        <v>24</v>
      </c>
      <c r="G30" s="150" t="s">
        <v>40</v>
      </c>
      <c r="H30" s="150">
        <v>0</v>
      </c>
      <c r="I30" s="150">
        <v>0</v>
      </c>
      <c r="J30" s="150">
        <v>0</v>
      </c>
      <c r="K30" s="152">
        <v>2</v>
      </c>
      <c r="L30" s="150">
        <v>0</v>
      </c>
      <c r="M30" s="150" t="s">
        <v>41</v>
      </c>
      <c r="N30" s="150" t="s">
        <v>257</v>
      </c>
      <c r="O30" s="150">
        <v>22000</v>
      </c>
      <c r="P30" s="150">
        <v>44000</v>
      </c>
      <c r="Q30" s="150" t="str" cm="1">
        <f t="array" ref="Q30">IFERROR(INDEX('DB)입출고매칭용'!$P$2:$P$181,MATCH(1,($C30='DB)입출고매칭용'!$H$2:$H$181)*($B30='DB)입출고매칭용'!$B$2:$B$181)*($K30='DB)입출고매칭용'!$J$2:$J$181),0)),"")</f>
        <v/>
      </c>
      <c r="R30" s="150" t="str" cm="1">
        <f t="array" ref="R30">IFERROR(INDEX('DB)입출고매칭용'!$Q$2:$Q$181,MATCH(1,($C30='DB)입출고매칭용'!$H$2:$H$181)*($B30='DB)입출고매칭용'!$B$2:$B$181)*($K30='DB)입출고매칭용'!$J$2:$J$181),0)),"")</f>
        <v/>
      </c>
      <c r="S30" s="169" t="str" cm="1">
        <f t="array" ref="S30">IFERROR(INDEX('DB)입출고매칭용'!$R$2:$R$181,MATCH(1,($C30='DB)입출고매칭용'!$H$2:$H$181)*($B30='DB)입출고매칭용'!$B$2:$B$181)*($K30='DB)입출고매칭용'!$J$2:$J$181),0)),"")</f>
        <v/>
      </c>
    </row>
    <row r="31" spans="1:19">
      <c r="A31" s="151">
        <v>23</v>
      </c>
      <c r="B31" s="153">
        <v>46135</v>
      </c>
      <c r="C31" s="150" t="s">
        <v>775</v>
      </c>
      <c r="D31" s="154" t="s">
        <v>39</v>
      </c>
      <c r="E31" s="151">
        <v>8809879544101</v>
      </c>
      <c r="F31" s="150" t="s">
        <v>24</v>
      </c>
      <c r="G31" s="150" t="s">
        <v>40</v>
      </c>
      <c r="H31" s="150">
        <v>0</v>
      </c>
      <c r="I31" s="150">
        <v>0</v>
      </c>
      <c r="J31" s="150">
        <v>0</v>
      </c>
      <c r="K31" s="152">
        <v>1</v>
      </c>
      <c r="L31" s="150">
        <v>0</v>
      </c>
      <c r="M31" s="150" t="s">
        <v>41</v>
      </c>
      <c r="N31" s="150" t="s">
        <v>257</v>
      </c>
      <c r="O31" s="150">
        <v>22000</v>
      </c>
      <c r="P31" s="150">
        <v>22000</v>
      </c>
      <c r="Q31" s="150" t="str" cm="1">
        <f t="array" ref="Q31">IFERROR(INDEX('DB)입출고매칭용'!$P$2:$P$181,MATCH(1,($C31='DB)입출고매칭용'!$H$2:$H$181)*($B31='DB)입출고매칭용'!$B$2:$B$181)*($K31='DB)입출고매칭용'!$J$2:$J$181),0)),"")</f>
        <v>판매청구</v>
      </c>
      <c r="R31" s="150" t="str" cm="1">
        <f t="array" ref="R31">IFERROR(INDEX('DB)입출고매칭용'!$Q$2:$Q$181,MATCH(1,($C31='DB)입출고매칭용'!$H$2:$H$181)*($B31='DB)입출고매칭용'!$B$2:$B$181)*($K31='DB)입출고매칭용'!$J$2:$J$181),0)),"")</f>
        <v>정상판매 (공구)</v>
      </c>
      <c r="S31" s="169" t="str" cm="1">
        <f t="array" ref="S31">IFERROR(INDEX('DB)입출고매칭용'!$R$2:$R$181,MATCH(1,($C31='DB)입출고매칭용'!$H$2:$H$181)*($B31='DB)입출고매칭용'!$B$2:$B$181)*($K31='DB)입출고매칭용'!$J$2:$J$181),0)),"")</f>
        <v>20260423-0000014</v>
      </c>
    </row>
    <row r="32" spans="1:19">
      <c r="A32" s="151">
        <v>24</v>
      </c>
      <c r="B32" s="153">
        <v>46135</v>
      </c>
      <c r="C32" s="150" t="s">
        <v>776</v>
      </c>
      <c r="D32" s="154" t="s">
        <v>39</v>
      </c>
      <c r="E32" s="151">
        <v>8809879544101</v>
      </c>
      <c r="F32" s="150" t="s">
        <v>24</v>
      </c>
      <c r="G32" s="150" t="s">
        <v>40</v>
      </c>
      <c r="H32" s="150">
        <v>0</v>
      </c>
      <c r="I32" s="150">
        <v>0</v>
      </c>
      <c r="J32" s="150">
        <v>0</v>
      </c>
      <c r="K32" s="152">
        <v>1</v>
      </c>
      <c r="L32" s="150">
        <v>0</v>
      </c>
      <c r="M32" s="150" t="s">
        <v>41</v>
      </c>
      <c r="N32" s="150" t="s">
        <v>257</v>
      </c>
      <c r="O32" s="150">
        <v>22000</v>
      </c>
      <c r="P32" s="150">
        <v>22000</v>
      </c>
      <c r="Q32" s="150" t="str" cm="1">
        <f t="array" ref="Q32">IFERROR(INDEX('DB)입출고매칭용'!$P$2:$P$181,MATCH(1,($C32='DB)입출고매칭용'!$H$2:$H$181)*($B32='DB)입출고매칭용'!$B$2:$B$181)*($K32='DB)입출고매칭용'!$J$2:$J$181),0)),"")</f>
        <v>판매청구</v>
      </c>
      <c r="R32" s="150" t="str" cm="1">
        <f t="array" ref="R32">IFERROR(INDEX('DB)입출고매칭용'!$Q$2:$Q$181,MATCH(1,($C32='DB)입출고매칭용'!$H$2:$H$181)*($B32='DB)입출고매칭용'!$B$2:$B$181)*($K32='DB)입출고매칭용'!$J$2:$J$181),0)),"")</f>
        <v>정상판매 (공구)</v>
      </c>
      <c r="S32" s="169" t="str" cm="1">
        <f t="array" ref="S32">IFERROR(INDEX('DB)입출고매칭용'!$R$2:$R$181,MATCH(1,($C32='DB)입출고매칭용'!$H$2:$H$181)*($B32='DB)입출고매칭용'!$B$2:$B$181)*($K32='DB)입출고매칭용'!$J$2:$J$181),0)),"")</f>
        <v>20260423-0000102</v>
      </c>
    </row>
    <row r="33" spans="1:19">
      <c r="A33" s="151">
        <v>25</v>
      </c>
      <c r="B33" s="153">
        <v>46135</v>
      </c>
      <c r="C33" s="150" t="s">
        <v>777</v>
      </c>
      <c r="D33" s="154" t="s">
        <v>39</v>
      </c>
      <c r="E33" s="151">
        <v>8809879544101</v>
      </c>
      <c r="F33" s="150" t="s">
        <v>24</v>
      </c>
      <c r="G33" s="150" t="s">
        <v>40</v>
      </c>
      <c r="H33" s="150">
        <v>0</v>
      </c>
      <c r="I33" s="150">
        <v>0</v>
      </c>
      <c r="J33" s="150">
        <v>0</v>
      </c>
      <c r="K33" s="152">
        <v>2</v>
      </c>
      <c r="L33" s="150">
        <v>0</v>
      </c>
      <c r="M33" s="150" t="s">
        <v>41</v>
      </c>
      <c r="N33" s="150" t="s">
        <v>257</v>
      </c>
      <c r="O33" s="150">
        <v>22000</v>
      </c>
      <c r="P33" s="150">
        <v>44000</v>
      </c>
      <c r="Q33" s="150" t="str" cm="1">
        <f t="array" ref="Q33">IFERROR(INDEX('DB)입출고매칭용'!$P$2:$P$181,MATCH(1,($C33='DB)입출고매칭용'!$H$2:$H$181)*($B33='DB)입출고매칭용'!$B$2:$B$181)*($K33='DB)입출고매칭용'!$J$2:$J$181),0)),"")</f>
        <v/>
      </c>
      <c r="R33" s="150" t="str" cm="1">
        <f t="array" ref="R33">IFERROR(INDEX('DB)입출고매칭용'!$Q$2:$Q$181,MATCH(1,($C33='DB)입출고매칭용'!$H$2:$H$181)*($B33='DB)입출고매칭용'!$B$2:$B$181)*($K33='DB)입출고매칭용'!$J$2:$J$181),0)),"")</f>
        <v/>
      </c>
      <c r="S33" s="169" t="str" cm="1">
        <f t="array" ref="S33">IFERROR(INDEX('DB)입출고매칭용'!$R$2:$R$181,MATCH(1,($C33='DB)입출고매칭용'!$H$2:$H$181)*($B33='DB)입출고매칭용'!$B$2:$B$181)*($K33='DB)입출고매칭용'!$J$2:$J$181),0)),"")</f>
        <v/>
      </c>
    </row>
    <row r="34" spans="1:19">
      <c r="A34" s="151">
        <v>26</v>
      </c>
      <c r="B34" s="153">
        <v>46135</v>
      </c>
      <c r="C34" s="150" t="s">
        <v>778</v>
      </c>
      <c r="D34" s="154" t="s">
        <v>39</v>
      </c>
      <c r="E34" s="151">
        <v>8809879544101</v>
      </c>
      <c r="F34" s="150" t="s">
        <v>24</v>
      </c>
      <c r="G34" s="150" t="s">
        <v>40</v>
      </c>
      <c r="H34" s="150">
        <v>0</v>
      </c>
      <c r="I34" s="150">
        <v>0</v>
      </c>
      <c r="J34" s="150">
        <v>0</v>
      </c>
      <c r="K34" s="152">
        <v>2</v>
      </c>
      <c r="L34" s="150">
        <v>0</v>
      </c>
      <c r="M34" s="150" t="s">
        <v>41</v>
      </c>
      <c r="N34" s="150" t="s">
        <v>257</v>
      </c>
      <c r="O34" s="150">
        <v>22000</v>
      </c>
      <c r="P34" s="150">
        <v>44000</v>
      </c>
      <c r="Q34" s="150" t="str" cm="1">
        <f t="array" ref="Q34">IFERROR(INDEX('DB)입출고매칭용'!$P$2:$P$181,MATCH(1,($C34='DB)입출고매칭용'!$H$2:$H$181)*($B34='DB)입출고매칭용'!$B$2:$B$181)*($K34='DB)입출고매칭용'!$J$2:$J$181),0)),"")</f>
        <v/>
      </c>
      <c r="R34" s="150" t="str" cm="1">
        <f t="array" ref="R34">IFERROR(INDEX('DB)입출고매칭용'!$Q$2:$Q$181,MATCH(1,($C34='DB)입출고매칭용'!$H$2:$H$181)*($B34='DB)입출고매칭용'!$B$2:$B$181)*($K34='DB)입출고매칭용'!$J$2:$J$181),0)),"")</f>
        <v/>
      </c>
      <c r="S34" s="169" t="str" cm="1">
        <f t="array" ref="S34">IFERROR(INDEX('DB)입출고매칭용'!$R$2:$R$181,MATCH(1,($C34='DB)입출고매칭용'!$H$2:$H$181)*($B34='DB)입출고매칭용'!$B$2:$B$181)*($K34='DB)입출고매칭용'!$J$2:$J$181),0)),"")</f>
        <v/>
      </c>
    </row>
    <row r="35" spans="1:19">
      <c r="A35" s="151">
        <v>27</v>
      </c>
      <c r="B35" s="153">
        <v>46135</v>
      </c>
      <c r="C35" s="150" t="s">
        <v>779</v>
      </c>
      <c r="D35" s="154" t="s">
        <v>39</v>
      </c>
      <c r="E35" s="151">
        <v>8809879544101</v>
      </c>
      <c r="F35" s="150" t="s">
        <v>24</v>
      </c>
      <c r="G35" s="150" t="s">
        <v>40</v>
      </c>
      <c r="H35" s="150">
        <v>0</v>
      </c>
      <c r="I35" s="150">
        <v>0</v>
      </c>
      <c r="J35" s="150">
        <v>0</v>
      </c>
      <c r="K35" s="152">
        <v>2</v>
      </c>
      <c r="L35" s="150">
        <v>0</v>
      </c>
      <c r="M35" s="150" t="s">
        <v>41</v>
      </c>
      <c r="N35" s="150" t="s">
        <v>257</v>
      </c>
      <c r="O35" s="150">
        <v>22000</v>
      </c>
      <c r="P35" s="150">
        <v>44000</v>
      </c>
      <c r="Q35" s="150" t="str" cm="1">
        <f t="array" ref="Q35">IFERROR(INDEX('DB)입출고매칭용'!$P$2:$P$181,MATCH(1,($C35='DB)입출고매칭용'!$H$2:$H$181)*($B35='DB)입출고매칭용'!$B$2:$B$181)*($K35='DB)입출고매칭용'!$J$2:$J$181),0)),"")</f>
        <v/>
      </c>
      <c r="R35" s="150" t="str" cm="1">
        <f t="array" ref="R35">IFERROR(INDEX('DB)입출고매칭용'!$Q$2:$Q$181,MATCH(1,($C35='DB)입출고매칭용'!$H$2:$H$181)*($B35='DB)입출고매칭용'!$B$2:$B$181)*($K35='DB)입출고매칭용'!$J$2:$J$181),0)),"")</f>
        <v/>
      </c>
      <c r="S35" s="169" t="str" cm="1">
        <f t="array" ref="S35">IFERROR(INDEX('DB)입출고매칭용'!$R$2:$R$181,MATCH(1,($C35='DB)입출고매칭용'!$H$2:$H$181)*($B35='DB)입출고매칭용'!$B$2:$B$181)*($K35='DB)입출고매칭용'!$J$2:$J$181),0)),"")</f>
        <v/>
      </c>
    </row>
    <row r="36" spans="1:19">
      <c r="A36" s="151">
        <v>28</v>
      </c>
      <c r="B36" s="153">
        <v>46134</v>
      </c>
      <c r="C36" s="150" t="s">
        <v>780</v>
      </c>
      <c r="D36" s="154" t="s">
        <v>39</v>
      </c>
      <c r="E36" s="151">
        <v>8809879544101</v>
      </c>
      <c r="F36" s="150" t="s">
        <v>24</v>
      </c>
      <c r="G36" s="150" t="s">
        <v>40</v>
      </c>
      <c r="H36" s="150">
        <v>0</v>
      </c>
      <c r="I36" s="150">
        <v>0</v>
      </c>
      <c r="J36" s="150">
        <v>0</v>
      </c>
      <c r="K36" s="152">
        <v>1</v>
      </c>
      <c r="L36" s="150">
        <v>0</v>
      </c>
      <c r="M36" s="150" t="s">
        <v>41</v>
      </c>
      <c r="N36" s="150" t="s">
        <v>257</v>
      </c>
      <c r="O36" s="150">
        <v>22000</v>
      </c>
      <c r="P36" s="150">
        <v>22000</v>
      </c>
      <c r="Q36" s="150" t="str" cm="1">
        <f t="array" ref="Q36">IFERROR(INDEX('DB)입출고매칭용'!$P$2:$P$181,MATCH(1,($C36='DB)입출고매칭용'!$H$2:$H$181)*($B36='DB)입출고매칭용'!$B$2:$B$181)*($K36='DB)입출고매칭용'!$J$2:$J$181),0)),"")</f>
        <v>판매청구</v>
      </c>
      <c r="R36" s="150" t="str" cm="1">
        <f t="array" ref="R36">IFERROR(INDEX('DB)입출고매칭용'!$Q$2:$Q$181,MATCH(1,($C36='DB)입출고매칭용'!$H$2:$H$181)*($B36='DB)입출고매칭용'!$B$2:$B$181)*($K36='DB)입출고매칭용'!$J$2:$J$181),0)),"")</f>
        <v>정상판매 (공구)</v>
      </c>
      <c r="S36" s="169" t="str" cm="1">
        <f t="array" ref="S36">IFERROR(INDEX('DB)입출고매칭용'!$R$2:$R$181,MATCH(1,($C36='DB)입출고매칭용'!$H$2:$H$181)*($B36='DB)입출고매칭용'!$B$2:$B$181)*($K36='DB)입출고매칭용'!$J$2:$J$181),0)),"")</f>
        <v>20260422-0000068</v>
      </c>
    </row>
    <row r="37" spans="1:19">
      <c r="A37" s="151">
        <v>29</v>
      </c>
      <c r="B37" s="153">
        <v>46134</v>
      </c>
      <c r="C37" s="150" t="s">
        <v>781</v>
      </c>
      <c r="D37" s="154" t="s">
        <v>39</v>
      </c>
      <c r="E37" s="151">
        <v>8809879544101</v>
      </c>
      <c r="F37" s="150" t="s">
        <v>24</v>
      </c>
      <c r="G37" s="150" t="s">
        <v>40</v>
      </c>
      <c r="H37" s="150">
        <v>0</v>
      </c>
      <c r="I37" s="150">
        <v>0</v>
      </c>
      <c r="J37" s="150">
        <v>0</v>
      </c>
      <c r="K37" s="152">
        <v>1</v>
      </c>
      <c r="L37" s="150">
        <v>0</v>
      </c>
      <c r="M37" s="150" t="s">
        <v>41</v>
      </c>
      <c r="N37" s="150" t="s">
        <v>257</v>
      </c>
      <c r="O37" s="150">
        <v>22000</v>
      </c>
      <c r="P37" s="150">
        <v>22000</v>
      </c>
      <c r="Q37" s="150" t="str" cm="1">
        <f t="array" ref="Q37">IFERROR(INDEX('DB)입출고매칭용'!$P$2:$P$181,MATCH(1,($C37='DB)입출고매칭용'!$H$2:$H$181)*($B37='DB)입출고매칭용'!$B$2:$B$181)*($K37='DB)입출고매칭용'!$J$2:$J$181),0)),"")</f>
        <v>판매청구</v>
      </c>
      <c r="R37" s="150" t="str" cm="1">
        <f t="array" ref="R37">IFERROR(INDEX('DB)입출고매칭용'!$Q$2:$Q$181,MATCH(1,($C37='DB)입출고매칭용'!$H$2:$H$181)*($B37='DB)입출고매칭용'!$B$2:$B$181)*($K37='DB)입출고매칭용'!$J$2:$J$181),0)),"")</f>
        <v>정상판매 (공구)</v>
      </c>
      <c r="S37" s="169" t="str" cm="1">
        <f t="array" ref="S37">IFERROR(INDEX('DB)입출고매칭용'!$R$2:$R$181,MATCH(1,($C37='DB)입출고매칭용'!$H$2:$H$181)*($B37='DB)입출고매칭용'!$B$2:$B$181)*($K37='DB)입출고매칭용'!$J$2:$J$181),0)),"")</f>
        <v>20260422-0000037</v>
      </c>
    </row>
    <row r="38" spans="1:19">
      <c r="A38" s="151">
        <v>30</v>
      </c>
      <c r="B38" s="153">
        <v>46134</v>
      </c>
      <c r="C38" s="150" t="s">
        <v>782</v>
      </c>
      <c r="D38" s="154" t="s">
        <v>39</v>
      </c>
      <c r="E38" s="151">
        <v>8809879544101</v>
      </c>
      <c r="F38" s="150" t="s">
        <v>24</v>
      </c>
      <c r="G38" s="150" t="s">
        <v>40</v>
      </c>
      <c r="H38" s="150">
        <v>0</v>
      </c>
      <c r="I38" s="150">
        <v>0</v>
      </c>
      <c r="J38" s="150">
        <v>0</v>
      </c>
      <c r="K38" s="152">
        <v>1</v>
      </c>
      <c r="L38" s="150">
        <v>0</v>
      </c>
      <c r="M38" s="150" t="s">
        <v>41</v>
      </c>
      <c r="N38" s="150" t="s">
        <v>257</v>
      </c>
      <c r="O38" s="150">
        <v>22000</v>
      </c>
      <c r="P38" s="150">
        <v>22000</v>
      </c>
      <c r="Q38" s="150" t="str" cm="1">
        <f t="array" ref="Q38">IFERROR(INDEX('DB)입출고매칭용'!$P$2:$P$181,MATCH(1,($C38='DB)입출고매칭용'!$H$2:$H$181)*($B38='DB)입출고매칭용'!$B$2:$B$181)*($K38='DB)입출고매칭용'!$J$2:$J$181),0)),"")</f>
        <v>판매청구</v>
      </c>
      <c r="R38" s="150" t="str" cm="1">
        <f t="array" ref="R38">IFERROR(INDEX('DB)입출고매칭용'!$Q$2:$Q$181,MATCH(1,($C38='DB)입출고매칭용'!$H$2:$H$181)*($B38='DB)입출고매칭용'!$B$2:$B$181)*($K38='DB)입출고매칭용'!$J$2:$J$181),0)),"")</f>
        <v>정상판매 (공구)</v>
      </c>
      <c r="S38" s="169" t="str" cm="1">
        <f t="array" ref="S38">IFERROR(INDEX('DB)입출고매칭용'!$R$2:$R$181,MATCH(1,($C38='DB)입출고매칭용'!$H$2:$H$181)*($B38='DB)입출고매칭용'!$B$2:$B$181)*($K38='DB)입출고매칭용'!$J$2:$J$181),0)),"")</f>
        <v>20260421-0000244</v>
      </c>
    </row>
    <row r="39" spans="1:19">
      <c r="A39" s="151">
        <v>31</v>
      </c>
      <c r="B39" s="153">
        <v>46134</v>
      </c>
      <c r="C39" s="150" t="s">
        <v>783</v>
      </c>
      <c r="D39" s="154" t="s">
        <v>39</v>
      </c>
      <c r="E39" s="151">
        <v>8809879544101</v>
      </c>
      <c r="F39" s="150" t="s">
        <v>24</v>
      </c>
      <c r="G39" s="150" t="s">
        <v>40</v>
      </c>
      <c r="H39" s="150">
        <v>0</v>
      </c>
      <c r="I39" s="150">
        <v>0</v>
      </c>
      <c r="J39" s="150">
        <v>0</v>
      </c>
      <c r="K39" s="152">
        <v>2</v>
      </c>
      <c r="L39" s="150">
        <v>0</v>
      </c>
      <c r="M39" s="150" t="s">
        <v>41</v>
      </c>
      <c r="N39" s="150" t="s">
        <v>257</v>
      </c>
      <c r="O39" s="150">
        <v>22000</v>
      </c>
      <c r="P39" s="150">
        <v>44000</v>
      </c>
      <c r="Q39" s="150" t="str" cm="1">
        <f t="array" ref="Q39">IFERROR(INDEX('DB)입출고매칭용'!$P$2:$P$181,MATCH(1,($C39='DB)입출고매칭용'!$H$2:$H$181)*($B39='DB)입출고매칭용'!$B$2:$B$181)*($K39='DB)입출고매칭용'!$J$2:$J$181),0)),"")</f>
        <v/>
      </c>
      <c r="R39" s="150" t="str" cm="1">
        <f t="array" ref="R39">IFERROR(INDEX('DB)입출고매칭용'!$Q$2:$Q$181,MATCH(1,($C39='DB)입출고매칭용'!$H$2:$H$181)*($B39='DB)입출고매칭용'!$B$2:$B$181)*($K39='DB)입출고매칭용'!$J$2:$J$181),0)),"")</f>
        <v/>
      </c>
      <c r="S39" s="169" t="str" cm="1">
        <f t="array" ref="S39">IFERROR(INDEX('DB)입출고매칭용'!$R$2:$R$181,MATCH(1,($C39='DB)입출고매칭용'!$H$2:$H$181)*($B39='DB)입출고매칭용'!$B$2:$B$181)*($K39='DB)입출고매칭용'!$J$2:$J$181),0)),"")</f>
        <v/>
      </c>
    </row>
    <row r="40" spans="1:19">
      <c r="A40" s="151">
        <v>32</v>
      </c>
      <c r="B40" s="153">
        <v>46134</v>
      </c>
      <c r="C40" s="150" t="s">
        <v>784</v>
      </c>
      <c r="D40" s="154" t="s">
        <v>39</v>
      </c>
      <c r="E40" s="151">
        <v>8809879544101</v>
      </c>
      <c r="F40" s="150" t="s">
        <v>24</v>
      </c>
      <c r="G40" s="150" t="s">
        <v>40</v>
      </c>
      <c r="H40" s="150">
        <v>0</v>
      </c>
      <c r="I40" s="150">
        <v>0</v>
      </c>
      <c r="J40" s="150">
        <v>0</v>
      </c>
      <c r="K40" s="152">
        <v>3</v>
      </c>
      <c r="L40" s="150">
        <v>0</v>
      </c>
      <c r="M40" s="150" t="s">
        <v>41</v>
      </c>
      <c r="N40" s="150" t="s">
        <v>257</v>
      </c>
      <c r="O40" s="150">
        <v>22000</v>
      </c>
      <c r="P40" s="150">
        <v>66000</v>
      </c>
      <c r="Q40" s="150" t="str" cm="1">
        <f t="array" ref="Q40">IFERROR(INDEX('DB)입출고매칭용'!$P$2:$P$181,MATCH(1,($C40='DB)입출고매칭용'!$H$2:$H$181)*($B40='DB)입출고매칭용'!$B$2:$B$181)*($K40='DB)입출고매칭용'!$J$2:$J$181),0)),"")</f>
        <v/>
      </c>
      <c r="R40" s="150" t="str" cm="1">
        <f t="array" ref="R40">IFERROR(INDEX('DB)입출고매칭용'!$Q$2:$Q$181,MATCH(1,($C40='DB)입출고매칭용'!$H$2:$H$181)*($B40='DB)입출고매칭용'!$B$2:$B$181)*($K40='DB)입출고매칭용'!$J$2:$J$181),0)),"")</f>
        <v/>
      </c>
      <c r="S40" s="169" t="str" cm="1">
        <f t="array" ref="S40">IFERROR(INDEX('DB)입출고매칭용'!$R$2:$R$181,MATCH(1,($C40='DB)입출고매칭용'!$H$2:$H$181)*($B40='DB)입출고매칭용'!$B$2:$B$181)*($K40='DB)입출고매칭용'!$J$2:$J$181),0)),"")</f>
        <v/>
      </c>
    </row>
    <row r="41" spans="1:19">
      <c r="A41" s="151">
        <v>33</v>
      </c>
      <c r="B41" s="153">
        <v>46134</v>
      </c>
      <c r="C41" s="150" t="s">
        <v>785</v>
      </c>
      <c r="D41" s="154" t="s">
        <v>39</v>
      </c>
      <c r="E41" s="151">
        <v>8809879544101</v>
      </c>
      <c r="F41" s="150" t="s">
        <v>24</v>
      </c>
      <c r="G41" s="150" t="s">
        <v>40</v>
      </c>
      <c r="H41" s="150">
        <v>0</v>
      </c>
      <c r="I41" s="150">
        <v>0</v>
      </c>
      <c r="J41" s="150">
        <v>0</v>
      </c>
      <c r="K41" s="152">
        <v>1</v>
      </c>
      <c r="L41" s="150">
        <v>0</v>
      </c>
      <c r="M41" s="150" t="s">
        <v>41</v>
      </c>
      <c r="N41" s="150" t="s">
        <v>257</v>
      </c>
      <c r="O41" s="150">
        <v>22000</v>
      </c>
      <c r="P41" s="150">
        <v>22000</v>
      </c>
      <c r="Q41" s="150" t="str" cm="1">
        <f t="array" ref="Q41">IFERROR(INDEX('DB)입출고매칭용'!$P$2:$P$181,MATCH(1,($C41='DB)입출고매칭용'!$H$2:$H$181)*($B41='DB)입출고매칭용'!$B$2:$B$181)*($K41='DB)입출고매칭용'!$J$2:$J$181),0)),"")</f>
        <v>판매청구</v>
      </c>
      <c r="R41" s="150" t="str" cm="1">
        <f t="array" ref="R41">IFERROR(INDEX('DB)입출고매칭용'!$Q$2:$Q$181,MATCH(1,($C41='DB)입출고매칭용'!$H$2:$H$181)*($B41='DB)입출고매칭용'!$B$2:$B$181)*($K41='DB)입출고매칭용'!$J$2:$J$181),0)),"")</f>
        <v>정상판매 (공구)</v>
      </c>
      <c r="S41" s="169" t="str" cm="1">
        <f t="array" ref="S41">IFERROR(INDEX('DB)입출고매칭용'!$R$2:$R$181,MATCH(1,($C41='DB)입출고매칭용'!$H$2:$H$181)*($B41='DB)입출고매칭용'!$B$2:$B$181)*($K41='DB)입출고매칭용'!$J$2:$J$181),0)),"")</f>
        <v>20260422-0000092</v>
      </c>
    </row>
    <row r="42" spans="1:19">
      <c r="A42" s="151">
        <v>34</v>
      </c>
      <c r="B42" s="153">
        <v>46134</v>
      </c>
      <c r="C42" s="150" t="s">
        <v>786</v>
      </c>
      <c r="D42" s="154" t="s">
        <v>39</v>
      </c>
      <c r="E42" s="151">
        <v>8809879544101</v>
      </c>
      <c r="F42" s="150" t="s">
        <v>24</v>
      </c>
      <c r="G42" s="150" t="s">
        <v>40</v>
      </c>
      <c r="H42" s="150">
        <v>0</v>
      </c>
      <c r="I42" s="150">
        <v>0</v>
      </c>
      <c r="J42" s="150">
        <v>0</v>
      </c>
      <c r="K42" s="152">
        <v>2</v>
      </c>
      <c r="L42" s="150">
        <v>0</v>
      </c>
      <c r="M42" s="150" t="s">
        <v>41</v>
      </c>
      <c r="N42" s="150" t="s">
        <v>257</v>
      </c>
      <c r="O42" s="150">
        <v>22000</v>
      </c>
      <c r="P42" s="150">
        <v>44000</v>
      </c>
      <c r="Q42" s="150" t="str" cm="1">
        <f t="array" ref="Q42">IFERROR(INDEX('DB)입출고매칭용'!$P$2:$P$181,MATCH(1,($C42='DB)입출고매칭용'!$H$2:$H$181)*($B42='DB)입출고매칭용'!$B$2:$B$181)*($K42='DB)입출고매칭용'!$J$2:$J$181),0)),"")</f>
        <v/>
      </c>
      <c r="R42" s="150" t="str" cm="1">
        <f t="array" ref="R42">IFERROR(INDEX('DB)입출고매칭용'!$Q$2:$Q$181,MATCH(1,($C42='DB)입출고매칭용'!$H$2:$H$181)*($B42='DB)입출고매칭용'!$B$2:$B$181)*($K42='DB)입출고매칭용'!$J$2:$J$181),0)),"")</f>
        <v/>
      </c>
      <c r="S42" s="169" t="str" cm="1">
        <f t="array" ref="S42">IFERROR(INDEX('DB)입출고매칭용'!$R$2:$R$181,MATCH(1,($C42='DB)입출고매칭용'!$H$2:$H$181)*($B42='DB)입출고매칭용'!$B$2:$B$181)*($K42='DB)입출고매칭용'!$J$2:$J$181),0)),"")</f>
        <v/>
      </c>
    </row>
    <row r="43" spans="1:19">
      <c r="A43" s="151">
        <v>35</v>
      </c>
      <c r="B43" s="153">
        <v>46133</v>
      </c>
      <c r="C43" s="150" t="s">
        <v>787</v>
      </c>
      <c r="D43" s="154" t="s">
        <v>39</v>
      </c>
      <c r="E43" s="151">
        <v>8809879544101</v>
      </c>
      <c r="F43" s="150" t="s">
        <v>24</v>
      </c>
      <c r="G43" s="150" t="s">
        <v>40</v>
      </c>
      <c r="H43" s="150">
        <v>0</v>
      </c>
      <c r="I43" s="150">
        <v>0</v>
      </c>
      <c r="J43" s="150">
        <v>0</v>
      </c>
      <c r="K43" s="152">
        <v>1</v>
      </c>
      <c r="L43" s="150">
        <v>0</v>
      </c>
      <c r="M43" s="150" t="s">
        <v>41</v>
      </c>
      <c r="N43" s="150" t="s">
        <v>257</v>
      </c>
      <c r="O43" s="150">
        <v>22000</v>
      </c>
      <c r="P43" s="150">
        <v>22000</v>
      </c>
      <c r="Q43" s="150" t="str" cm="1">
        <f t="array" ref="Q43">IFERROR(INDEX('DB)입출고매칭용'!$P$2:$P$181,MATCH(1,($C43='DB)입출고매칭용'!$H$2:$H$181)*($B43='DB)입출고매칭용'!$B$2:$B$181)*($K43='DB)입출고매칭용'!$J$2:$J$181),0)),"")</f>
        <v>판매청구</v>
      </c>
      <c r="R43" s="150" t="str" cm="1">
        <f t="array" ref="R43">IFERROR(INDEX('DB)입출고매칭용'!$Q$2:$Q$181,MATCH(1,($C43='DB)입출고매칭용'!$H$2:$H$181)*($B43='DB)입출고매칭용'!$B$2:$B$181)*($K43='DB)입출고매칭용'!$J$2:$J$181),0)),"")</f>
        <v>정상판매 (공구)</v>
      </c>
      <c r="S43" s="169" t="str" cm="1">
        <f t="array" ref="S43">IFERROR(INDEX('DB)입출고매칭용'!$R$2:$R$181,MATCH(1,($C43='DB)입출고매칭용'!$H$2:$H$181)*($B43='DB)입출고매칭용'!$B$2:$B$181)*($K43='DB)입출고매칭용'!$J$2:$J$181),0)),"")</f>
        <v>20260421-0000042</v>
      </c>
    </row>
    <row r="44" spans="1:19">
      <c r="A44" s="151">
        <v>36</v>
      </c>
      <c r="B44" s="153">
        <v>46133</v>
      </c>
      <c r="C44" s="150" t="s">
        <v>788</v>
      </c>
      <c r="D44" s="154" t="s">
        <v>39</v>
      </c>
      <c r="E44" s="151">
        <v>8809879544101</v>
      </c>
      <c r="F44" s="150" t="s">
        <v>24</v>
      </c>
      <c r="G44" s="150" t="s">
        <v>40</v>
      </c>
      <c r="H44" s="150">
        <v>0</v>
      </c>
      <c r="I44" s="150">
        <v>0</v>
      </c>
      <c r="J44" s="150">
        <v>0</v>
      </c>
      <c r="K44" s="152">
        <v>1</v>
      </c>
      <c r="L44" s="150">
        <v>0</v>
      </c>
      <c r="M44" s="150" t="s">
        <v>41</v>
      </c>
      <c r="N44" s="150" t="s">
        <v>257</v>
      </c>
      <c r="O44" s="150">
        <v>22000</v>
      </c>
      <c r="P44" s="150">
        <v>22000</v>
      </c>
      <c r="Q44" s="150" t="str" cm="1">
        <f t="array" ref="Q44">IFERROR(INDEX('DB)입출고매칭용'!$P$2:$P$181,MATCH(1,($C44='DB)입출고매칭용'!$H$2:$H$181)*($B44='DB)입출고매칭용'!$B$2:$B$181)*($K44='DB)입출고매칭용'!$J$2:$J$181),0)),"")</f>
        <v>판매청구</v>
      </c>
      <c r="R44" s="150" t="str" cm="1">
        <f t="array" ref="R44">IFERROR(INDEX('DB)입출고매칭용'!$Q$2:$Q$181,MATCH(1,($C44='DB)입출고매칭용'!$H$2:$H$181)*($B44='DB)입출고매칭용'!$B$2:$B$181)*($K44='DB)입출고매칭용'!$J$2:$J$181),0)),"")</f>
        <v>정상판매 (공구)</v>
      </c>
      <c r="S44" s="169" t="str" cm="1">
        <f t="array" ref="S44">IFERROR(INDEX('DB)입출고매칭용'!$R$2:$R$181,MATCH(1,($C44='DB)입출고매칭용'!$H$2:$H$181)*($B44='DB)입출고매칭용'!$B$2:$B$181)*($K44='DB)입출고매칭용'!$J$2:$J$181),0)),"")</f>
        <v>20260420-0000310</v>
      </c>
    </row>
    <row r="45" spans="1:19">
      <c r="A45" s="151">
        <v>37</v>
      </c>
      <c r="B45" s="153">
        <v>46133</v>
      </c>
      <c r="C45" s="150" t="s">
        <v>789</v>
      </c>
      <c r="D45" s="154" t="s">
        <v>39</v>
      </c>
      <c r="E45" s="151">
        <v>8809879544101</v>
      </c>
      <c r="F45" s="150" t="s">
        <v>24</v>
      </c>
      <c r="G45" s="150" t="s">
        <v>40</v>
      </c>
      <c r="H45" s="150">
        <v>0</v>
      </c>
      <c r="I45" s="150">
        <v>0</v>
      </c>
      <c r="J45" s="150">
        <v>0</v>
      </c>
      <c r="K45" s="152">
        <v>1</v>
      </c>
      <c r="L45" s="150">
        <v>0</v>
      </c>
      <c r="M45" s="150" t="s">
        <v>41</v>
      </c>
      <c r="N45" s="150" t="s">
        <v>257</v>
      </c>
      <c r="O45" s="150">
        <v>22000</v>
      </c>
      <c r="P45" s="150">
        <v>22000</v>
      </c>
      <c r="Q45" s="150" t="str" cm="1">
        <f t="array" ref="Q45">IFERROR(INDEX('DB)입출고매칭용'!$P$2:$P$181,MATCH(1,($C45='DB)입출고매칭용'!$H$2:$H$181)*($B45='DB)입출고매칭용'!$B$2:$B$181)*($K45='DB)입출고매칭용'!$J$2:$J$181),0)),"")</f>
        <v>판매청구</v>
      </c>
      <c r="R45" s="150" t="str" cm="1">
        <f t="array" ref="R45">IFERROR(INDEX('DB)입출고매칭용'!$Q$2:$Q$181,MATCH(1,($C45='DB)입출고매칭용'!$H$2:$H$181)*($B45='DB)입출고매칭용'!$B$2:$B$181)*($K45='DB)입출고매칭용'!$J$2:$J$181),0)),"")</f>
        <v>정상판매 (공구)</v>
      </c>
      <c r="S45" s="169" t="str" cm="1">
        <f t="array" ref="S45">IFERROR(INDEX('DB)입출고매칭용'!$R$2:$R$181,MATCH(1,($C45='DB)입출고매칭용'!$H$2:$H$181)*($B45='DB)입출고매칭용'!$B$2:$B$181)*($K45='DB)입출고매칭용'!$J$2:$J$181),0)),"")</f>
        <v>20260420-0000330</v>
      </c>
    </row>
    <row r="46" spans="1:19">
      <c r="A46" s="151">
        <v>38</v>
      </c>
      <c r="B46" s="153">
        <v>46133</v>
      </c>
      <c r="C46" s="150" t="s">
        <v>790</v>
      </c>
      <c r="D46" s="154" t="s">
        <v>39</v>
      </c>
      <c r="E46" s="151">
        <v>8809879544101</v>
      </c>
      <c r="F46" s="150" t="s">
        <v>24</v>
      </c>
      <c r="G46" s="150" t="s">
        <v>40</v>
      </c>
      <c r="H46" s="150">
        <v>0</v>
      </c>
      <c r="I46" s="150">
        <v>0</v>
      </c>
      <c r="J46" s="150">
        <v>0</v>
      </c>
      <c r="K46" s="152">
        <v>1</v>
      </c>
      <c r="L46" s="150">
        <v>0</v>
      </c>
      <c r="M46" s="150" t="s">
        <v>41</v>
      </c>
      <c r="N46" s="150" t="s">
        <v>257</v>
      </c>
      <c r="O46" s="150">
        <v>22000</v>
      </c>
      <c r="P46" s="150">
        <v>22000</v>
      </c>
      <c r="Q46" s="150" t="str" cm="1">
        <f t="array" ref="Q46">IFERROR(INDEX('DB)입출고매칭용'!$P$2:$P$181,MATCH(1,($C46='DB)입출고매칭용'!$H$2:$H$181)*($B46='DB)입출고매칭용'!$B$2:$B$181)*($K46='DB)입출고매칭용'!$J$2:$J$181),0)),"")</f>
        <v>판매청구</v>
      </c>
      <c r="R46" s="150" t="str" cm="1">
        <f t="array" ref="R46">IFERROR(INDEX('DB)입출고매칭용'!$Q$2:$Q$181,MATCH(1,($C46='DB)입출고매칭용'!$H$2:$H$181)*($B46='DB)입출고매칭용'!$B$2:$B$181)*($K46='DB)입출고매칭용'!$J$2:$J$181),0)),"")</f>
        <v>정상판매 (공구)</v>
      </c>
      <c r="S46" s="169" t="str" cm="1">
        <f t="array" ref="S46">IFERROR(INDEX('DB)입출고매칭용'!$R$2:$R$181,MATCH(1,($C46='DB)입출고매칭용'!$H$2:$H$181)*($B46='DB)입출고매칭용'!$B$2:$B$181)*($K46='DB)입출고매칭용'!$J$2:$J$181),0)),"")</f>
        <v>20260420-0000305</v>
      </c>
    </row>
    <row r="47" spans="1:19">
      <c r="A47" s="151">
        <v>39</v>
      </c>
      <c r="B47" s="153">
        <v>46133</v>
      </c>
      <c r="C47" s="150" t="s">
        <v>791</v>
      </c>
      <c r="D47" s="154" t="s">
        <v>39</v>
      </c>
      <c r="E47" s="151">
        <v>8809879544101</v>
      </c>
      <c r="F47" s="150" t="s">
        <v>24</v>
      </c>
      <c r="G47" s="150" t="s">
        <v>40</v>
      </c>
      <c r="H47" s="150">
        <v>0</v>
      </c>
      <c r="I47" s="150">
        <v>0</v>
      </c>
      <c r="J47" s="150">
        <v>0</v>
      </c>
      <c r="K47" s="152">
        <v>2</v>
      </c>
      <c r="L47" s="150">
        <v>0</v>
      </c>
      <c r="M47" s="150" t="s">
        <v>41</v>
      </c>
      <c r="N47" s="150" t="s">
        <v>257</v>
      </c>
      <c r="O47" s="150">
        <v>22000</v>
      </c>
      <c r="P47" s="150">
        <v>44000</v>
      </c>
      <c r="Q47" s="150" t="str" cm="1">
        <f t="array" ref="Q47">IFERROR(INDEX('DB)입출고매칭용'!$P$2:$P$181,MATCH(1,($C47='DB)입출고매칭용'!$H$2:$H$181)*($B47='DB)입출고매칭용'!$B$2:$B$181)*($K47='DB)입출고매칭용'!$J$2:$J$181),0)),"")</f>
        <v/>
      </c>
      <c r="R47" s="150" t="str" cm="1">
        <f t="array" ref="R47">IFERROR(INDEX('DB)입출고매칭용'!$Q$2:$Q$181,MATCH(1,($C47='DB)입출고매칭용'!$H$2:$H$181)*($B47='DB)입출고매칭용'!$B$2:$B$181)*($K47='DB)입출고매칭용'!$J$2:$J$181),0)),"")</f>
        <v/>
      </c>
      <c r="S47" s="169" t="str" cm="1">
        <f t="array" ref="S47">IFERROR(INDEX('DB)입출고매칭용'!$R$2:$R$181,MATCH(1,($C47='DB)입출고매칭용'!$H$2:$H$181)*($B47='DB)입출고매칭용'!$B$2:$B$181)*($K47='DB)입출고매칭용'!$J$2:$J$181),0)),"")</f>
        <v/>
      </c>
    </row>
    <row r="48" spans="1:19">
      <c r="A48" s="151">
        <v>40</v>
      </c>
      <c r="B48" s="153">
        <v>46133</v>
      </c>
      <c r="C48" s="150" t="s">
        <v>792</v>
      </c>
      <c r="D48" s="154" t="s">
        <v>39</v>
      </c>
      <c r="E48" s="151">
        <v>8809879544101</v>
      </c>
      <c r="F48" s="150" t="s">
        <v>24</v>
      </c>
      <c r="G48" s="150" t="s">
        <v>40</v>
      </c>
      <c r="H48" s="150">
        <v>0</v>
      </c>
      <c r="I48" s="150">
        <v>0</v>
      </c>
      <c r="J48" s="150">
        <v>0</v>
      </c>
      <c r="K48" s="152">
        <v>1</v>
      </c>
      <c r="L48" s="150">
        <v>0</v>
      </c>
      <c r="M48" s="150" t="s">
        <v>41</v>
      </c>
      <c r="N48" s="150" t="s">
        <v>257</v>
      </c>
      <c r="O48" s="150">
        <v>22000</v>
      </c>
      <c r="P48" s="150">
        <v>22000</v>
      </c>
      <c r="Q48" s="150" t="str" cm="1">
        <f t="array" ref="Q48">IFERROR(INDEX('DB)입출고매칭용'!$P$2:$P$181,MATCH(1,($C48='DB)입출고매칭용'!$H$2:$H$181)*($B48='DB)입출고매칭용'!$B$2:$B$181)*($K48='DB)입출고매칭용'!$J$2:$J$181),0)),"")</f>
        <v>판매청구</v>
      </c>
      <c r="R48" s="150" t="str" cm="1">
        <f t="array" ref="R48">IFERROR(INDEX('DB)입출고매칭용'!$Q$2:$Q$181,MATCH(1,($C48='DB)입출고매칭용'!$H$2:$H$181)*($B48='DB)입출고매칭용'!$B$2:$B$181)*($K48='DB)입출고매칭용'!$J$2:$J$181),0)),"")</f>
        <v>정상판매 (공구)</v>
      </c>
      <c r="S48" s="169" t="str" cm="1">
        <f t="array" ref="S48">IFERROR(INDEX('DB)입출고매칭용'!$R$2:$R$181,MATCH(1,($C48='DB)입출고매칭용'!$H$2:$H$181)*($B48='DB)입출고매칭용'!$B$2:$B$181)*($K48='DB)입출고매칭용'!$J$2:$J$181),0)),"")</f>
        <v>20260420-0000258</v>
      </c>
    </row>
    <row r="49" spans="1:19">
      <c r="A49" s="151">
        <v>41</v>
      </c>
      <c r="B49" s="153">
        <v>46133</v>
      </c>
      <c r="C49" s="150" t="s">
        <v>793</v>
      </c>
      <c r="D49" s="154" t="s">
        <v>39</v>
      </c>
      <c r="E49" s="151">
        <v>8809879544101</v>
      </c>
      <c r="F49" s="150" t="s">
        <v>24</v>
      </c>
      <c r="G49" s="150" t="s">
        <v>40</v>
      </c>
      <c r="H49" s="150">
        <v>0</v>
      </c>
      <c r="I49" s="150">
        <v>0</v>
      </c>
      <c r="J49" s="150">
        <v>0</v>
      </c>
      <c r="K49" s="152">
        <v>1</v>
      </c>
      <c r="L49" s="150">
        <v>0</v>
      </c>
      <c r="M49" s="150" t="s">
        <v>41</v>
      </c>
      <c r="N49" s="150" t="s">
        <v>257</v>
      </c>
      <c r="O49" s="150">
        <v>22000</v>
      </c>
      <c r="P49" s="150">
        <v>22000</v>
      </c>
      <c r="Q49" s="150" t="str" cm="1">
        <f t="array" ref="Q49">IFERROR(INDEX('DB)입출고매칭용'!$P$2:$P$181,MATCH(1,($C49='DB)입출고매칭용'!$H$2:$H$181)*($B49='DB)입출고매칭용'!$B$2:$B$181)*($K49='DB)입출고매칭용'!$J$2:$J$181),0)),"")</f>
        <v>판매청구</v>
      </c>
      <c r="R49" s="150" t="str" cm="1">
        <f t="array" ref="R49">IFERROR(INDEX('DB)입출고매칭용'!$Q$2:$Q$181,MATCH(1,($C49='DB)입출고매칭용'!$H$2:$H$181)*($B49='DB)입출고매칭용'!$B$2:$B$181)*($K49='DB)입출고매칭용'!$J$2:$J$181),0)),"")</f>
        <v>정상판매 (공구)</v>
      </c>
      <c r="S49" s="169" t="str" cm="1">
        <f t="array" ref="S49">IFERROR(INDEX('DB)입출고매칭용'!$R$2:$R$181,MATCH(1,($C49='DB)입출고매칭용'!$H$2:$H$181)*($B49='DB)입출고매칭용'!$B$2:$B$181)*($K49='DB)입출고매칭용'!$J$2:$J$181),0)),"")</f>
        <v>20260421-0000142</v>
      </c>
    </row>
    <row r="50" spans="1:19">
      <c r="A50" s="151">
        <v>42</v>
      </c>
      <c r="B50" s="153">
        <v>46133</v>
      </c>
      <c r="C50" s="150" t="s">
        <v>794</v>
      </c>
      <c r="D50" s="154" t="s">
        <v>39</v>
      </c>
      <c r="E50" s="151">
        <v>8809879544101</v>
      </c>
      <c r="F50" s="150" t="s">
        <v>24</v>
      </c>
      <c r="G50" s="150" t="s">
        <v>40</v>
      </c>
      <c r="H50" s="150">
        <v>0</v>
      </c>
      <c r="I50" s="150">
        <v>0</v>
      </c>
      <c r="J50" s="150">
        <v>0</v>
      </c>
      <c r="K50" s="152">
        <v>2</v>
      </c>
      <c r="L50" s="150">
        <v>0</v>
      </c>
      <c r="M50" s="150" t="s">
        <v>41</v>
      </c>
      <c r="N50" s="150" t="s">
        <v>257</v>
      </c>
      <c r="O50" s="150">
        <v>22000</v>
      </c>
      <c r="P50" s="150">
        <v>44000</v>
      </c>
      <c r="Q50" s="150" t="str" cm="1">
        <f t="array" ref="Q50">IFERROR(INDEX('DB)입출고매칭용'!$P$2:$P$181,MATCH(1,($C50='DB)입출고매칭용'!$H$2:$H$181)*($B50='DB)입출고매칭용'!$B$2:$B$181)*($K50='DB)입출고매칭용'!$J$2:$J$181),0)),"")</f>
        <v/>
      </c>
      <c r="R50" s="150" t="str" cm="1">
        <f t="array" ref="R50">IFERROR(INDEX('DB)입출고매칭용'!$Q$2:$Q$181,MATCH(1,($C50='DB)입출고매칭용'!$H$2:$H$181)*($B50='DB)입출고매칭용'!$B$2:$B$181)*($K50='DB)입출고매칭용'!$J$2:$J$181),0)),"")</f>
        <v/>
      </c>
      <c r="S50" s="169" t="str" cm="1">
        <f t="array" ref="S50">IFERROR(INDEX('DB)입출고매칭용'!$R$2:$R$181,MATCH(1,($C50='DB)입출고매칭용'!$H$2:$H$181)*($B50='DB)입출고매칭용'!$B$2:$B$181)*($K50='DB)입출고매칭용'!$J$2:$J$181),0)),"")</f>
        <v/>
      </c>
    </row>
    <row r="51" spans="1:19">
      <c r="A51" s="151">
        <v>43</v>
      </c>
      <c r="B51" s="153">
        <v>46133</v>
      </c>
      <c r="C51" s="150" t="s">
        <v>795</v>
      </c>
      <c r="D51" s="154" t="s">
        <v>39</v>
      </c>
      <c r="E51" s="151">
        <v>8809879544101</v>
      </c>
      <c r="F51" s="150" t="s">
        <v>24</v>
      </c>
      <c r="G51" s="150" t="s">
        <v>40</v>
      </c>
      <c r="H51" s="150">
        <v>0</v>
      </c>
      <c r="I51" s="150">
        <v>0</v>
      </c>
      <c r="J51" s="150">
        <v>0</v>
      </c>
      <c r="K51" s="152">
        <v>2</v>
      </c>
      <c r="L51" s="150">
        <v>0</v>
      </c>
      <c r="M51" s="150" t="s">
        <v>41</v>
      </c>
      <c r="N51" s="150" t="s">
        <v>257</v>
      </c>
      <c r="O51" s="150">
        <v>22000</v>
      </c>
      <c r="P51" s="150">
        <v>44000</v>
      </c>
      <c r="Q51" s="150" t="str" cm="1">
        <f t="array" ref="Q51">IFERROR(INDEX('DB)입출고매칭용'!$P$2:$P$181,MATCH(1,($C51='DB)입출고매칭용'!$H$2:$H$181)*($B51='DB)입출고매칭용'!$B$2:$B$181)*($K51='DB)입출고매칭용'!$J$2:$J$181),0)),"")</f>
        <v/>
      </c>
      <c r="R51" s="150" t="str" cm="1">
        <f t="array" ref="R51">IFERROR(INDEX('DB)입출고매칭용'!$Q$2:$Q$181,MATCH(1,($C51='DB)입출고매칭용'!$H$2:$H$181)*($B51='DB)입출고매칭용'!$B$2:$B$181)*($K51='DB)입출고매칭용'!$J$2:$J$181),0)),"")</f>
        <v/>
      </c>
      <c r="S51" s="169" t="str" cm="1">
        <f t="array" ref="S51">IFERROR(INDEX('DB)입출고매칭용'!$R$2:$R$181,MATCH(1,($C51='DB)입출고매칭용'!$H$2:$H$181)*($B51='DB)입출고매칭용'!$B$2:$B$181)*($K51='DB)입출고매칭용'!$J$2:$J$181),0)),"")</f>
        <v/>
      </c>
    </row>
    <row r="52" spans="1:19">
      <c r="A52" s="151">
        <v>44</v>
      </c>
      <c r="B52" s="153">
        <v>46133</v>
      </c>
      <c r="C52" s="150" t="s">
        <v>796</v>
      </c>
      <c r="D52" s="154" t="s">
        <v>39</v>
      </c>
      <c r="E52" s="151">
        <v>8809879544101</v>
      </c>
      <c r="F52" s="150" t="s">
        <v>24</v>
      </c>
      <c r="G52" s="150" t="s">
        <v>40</v>
      </c>
      <c r="H52" s="150">
        <v>0</v>
      </c>
      <c r="I52" s="150">
        <v>0</v>
      </c>
      <c r="J52" s="150">
        <v>0</v>
      </c>
      <c r="K52" s="152">
        <v>3</v>
      </c>
      <c r="L52" s="150">
        <v>0</v>
      </c>
      <c r="M52" s="150" t="s">
        <v>41</v>
      </c>
      <c r="N52" s="150" t="s">
        <v>257</v>
      </c>
      <c r="O52" s="150">
        <v>22000</v>
      </c>
      <c r="P52" s="150">
        <v>66000</v>
      </c>
      <c r="Q52" s="150" t="str" cm="1">
        <f t="array" ref="Q52">IFERROR(INDEX('DB)입출고매칭용'!$P$2:$P$181,MATCH(1,($C52='DB)입출고매칭용'!$H$2:$H$181)*($B52='DB)입출고매칭용'!$B$2:$B$181)*($K52='DB)입출고매칭용'!$J$2:$J$181),0)),"")</f>
        <v/>
      </c>
      <c r="R52" s="150" t="str" cm="1">
        <f t="array" ref="R52">IFERROR(INDEX('DB)입출고매칭용'!$Q$2:$Q$181,MATCH(1,($C52='DB)입출고매칭용'!$H$2:$H$181)*($B52='DB)입출고매칭용'!$B$2:$B$181)*($K52='DB)입출고매칭용'!$J$2:$J$181),0)),"")</f>
        <v/>
      </c>
      <c r="S52" s="169" t="str" cm="1">
        <f t="array" ref="S52">IFERROR(INDEX('DB)입출고매칭용'!$R$2:$R$181,MATCH(1,($C52='DB)입출고매칭용'!$H$2:$H$181)*($B52='DB)입출고매칭용'!$B$2:$B$181)*($K52='DB)입출고매칭용'!$J$2:$J$181),0)),"")</f>
        <v/>
      </c>
    </row>
    <row r="53" spans="1:19">
      <c r="A53" s="151">
        <v>45</v>
      </c>
      <c r="B53" s="153">
        <v>46133</v>
      </c>
      <c r="C53" s="150" t="s">
        <v>797</v>
      </c>
      <c r="D53" s="154" t="s">
        <v>39</v>
      </c>
      <c r="E53" s="151">
        <v>8809879544101</v>
      </c>
      <c r="F53" s="150" t="s">
        <v>24</v>
      </c>
      <c r="G53" s="150" t="s">
        <v>40</v>
      </c>
      <c r="H53" s="150">
        <v>0</v>
      </c>
      <c r="I53" s="150">
        <v>0</v>
      </c>
      <c r="J53" s="150">
        <v>0</v>
      </c>
      <c r="K53" s="152">
        <v>3</v>
      </c>
      <c r="L53" s="150">
        <v>0</v>
      </c>
      <c r="M53" s="150" t="s">
        <v>41</v>
      </c>
      <c r="N53" s="150" t="s">
        <v>257</v>
      </c>
      <c r="O53" s="150">
        <v>22000</v>
      </c>
      <c r="P53" s="150">
        <v>66000</v>
      </c>
      <c r="Q53" s="150" t="str" cm="1">
        <f t="array" ref="Q53">IFERROR(INDEX('DB)입출고매칭용'!$P$2:$P$181,MATCH(1,($C53='DB)입출고매칭용'!$H$2:$H$181)*($B53='DB)입출고매칭용'!$B$2:$B$181)*($K53='DB)입출고매칭용'!$J$2:$J$181),0)),"")</f>
        <v/>
      </c>
      <c r="R53" s="150" t="str" cm="1">
        <f t="array" ref="R53">IFERROR(INDEX('DB)입출고매칭용'!$Q$2:$Q$181,MATCH(1,($C53='DB)입출고매칭용'!$H$2:$H$181)*($B53='DB)입출고매칭용'!$B$2:$B$181)*($K53='DB)입출고매칭용'!$J$2:$J$181),0)),"")</f>
        <v/>
      </c>
      <c r="S53" s="169" t="str" cm="1">
        <f t="array" ref="S53">IFERROR(INDEX('DB)입출고매칭용'!$R$2:$R$181,MATCH(1,($C53='DB)입출고매칭용'!$H$2:$H$181)*($B53='DB)입출고매칭용'!$B$2:$B$181)*($K53='DB)입출고매칭용'!$J$2:$J$181),0)),"")</f>
        <v/>
      </c>
    </row>
    <row r="54" spans="1:19">
      <c r="A54" s="151">
        <v>46</v>
      </c>
      <c r="B54" s="153">
        <v>46132</v>
      </c>
      <c r="C54" s="150" t="s">
        <v>798</v>
      </c>
      <c r="D54" s="154" t="s">
        <v>39</v>
      </c>
      <c r="E54" s="151">
        <v>8809879544101</v>
      </c>
      <c r="F54" s="150" t="s">
        <v>24</v>
      </c>
      <c r="G54" s="150" t="s">
        <v>40</v>
      </c>
      <c r="H54" s="150">
        <v>0</v>
      </c>
      <c r="I54" s="150">
        <v>0</v>
      </c>
      <c r="J54" s="150">
        <v>0</v>
      </c>
      <c r="K54" s="152">
        <v>2</v>
      </c>
      <c r="L54" s="150">
        <v>0</v>
      </c>
      <c r="M54" s="150" t="s">
        <v>41</v>
      </c>
      <c r="N54" s="150" t="s">
        <v>257</v>
      </c>
      <c r="O54" s="150">
        <v>22000</v>
      </c>
      <c r="P54" s="150">
        <v>44000</v>
      </c>
      <c r="Q54" s="150" t="str" cm="1">
        <f t="array" ref="Q54">IFERROR(INDEX('DB)입출고매칭용'!$P$2:$P$181,MATCH(1,($C54='DB)입출고매칭용'!$H$2:$H$181)*($B54='DB)입출고매칭용'!$B$2:$B$181)*($K54='DB)입출고매칭용'!$J$2:$J$181),0)),"")</f>
        <v/>
      </c>
      <c r="R54" s="150" t="str" cm="1">
        <f t="array" ref="R54">IFERROR(INDEX('DB)입출고매칭용'!$Q$2:$Q$181,MATCH(1,($C54='DB)입출고매칭용'!$H$2:$H$181)*($B54='DB)입출고매칭용'!$B$2:$B$181)*($K54='DB)입출고매칭용'!$J$2:$J$181),0)),"")</f>
        <v/>
      </c>
      <c r="S54" s="169" t="str" cm="1">
        <f t="array" ref="S54">IFERROR(INDEX('DB)입출고매칭용'!$R$2:$R$181,MATCH(1,($C54='DB)입출고매칭용'!$H$2:$H$181)*($B54='DB)입출고매칭용'!$B$2:$B$181)*($K54='DB)입출고매칭용'!$J$2:$J$181),0)),"")</f>
        <v/>
      </c>
    </row>
    <row r="55" spans="1:19">
      <c r="A55" s="151">
        <v>47</v>
      </c>
      <c r="B55" s="153">
        <v>46132</v>
      </c>
      <c r="C55" s="150" t="s">
        <v>799</v>
      </c>
      <c r="D55" s="154" t="s">
        <v>39</v>
      </c>
      <c r="E55" s="151">
        <v>8809879544101</v>
      </c>
      <c r="F55" s="150" t="s">
        <v>24</v>
      </c>
      <c r="G55" s="150" t="s">
        <v>40</v>
      </c>
      <c r="H55" s="150">
        <v>0</v>
      </c>
      <c r="I55" s="150">
        <v>0</v>
      </c>
      <c r="J55" s="150">
        <v>0</v>
      </c>
      <c r="K55" s="152">
        <v>2</v>
      </c>
      <c r="L55" s="150">
        <v>0</v>
      </c>
      <c r="M55" s="150" t="s">
        <v>41</v>
      </c>
      <c r="N55" s="150" t="s">
        <v>257</v>
      </c>
      <c r="O55" s="150">
        <v>22000</v>
      </c>
      <c r="P55" s="150">
        <v>44000</v>
      </c>
      <c r="Q55" s="150" t="str" cm="1">
        <f t="array" ref="Q55">IFERROR(INDEX('DB)입출고매칭용'!$P$2:$P$181,MATCH(1,($C55='DB)입출고매칭용'!$H$2:$H$181)*($B55='DB)입출고매칭용'!$B$2:$B$181)*($K55='DB)입출고매칭용'!$J$2:$J$181),0)),"")</f>
        <v/>
      </c>
      <c r="R55" s="150" t="str" cm="1">
        <f t="array" ref="R55">IFERROR(INDEX('DB)입출고매칭용'!$Q$2:$Q$181,MATCH(1,($C55='DB)입출고매칭용'!$H$2:$H$181)*($B55='DB)입출고매칭용'!$B$2:$B$181)*($K55='DB)입출고매칭용'!$J$2:$J$181),0)),"")</f>
        <v/>
      </c>
      <c r="S55" s="169" t="str" cm="1">
        <f t="array" ref="S55">IFERROR(INDEX('DB)입출고매칭용'!$R$2:$R$181,MATCH(1,($C55='DB)입출고매칭용'!$H$2:$H$181)*($B55='DB)입출고매칭용'!$B$2:$B$181)*($K55='DB)입출고매칭용'!$J$2:$J$181),0)),"")</f>
        <v/>
      </c>
    </row>
    <row r="56" spans="1:19">
      <c r="A56" s="151">
        <v>48</v>
      </c>
      <c r="B56" s="153">
        <v>46132</v>
      </c>
      <c r="C56" s="150" t="s">
        <v>800</v>
      </c>
      <c r="D56" s="154" t="s">
        <v>39</v>
      </c>
      <c r="E56" s="151">
        <v>8809879544101</v>
      </c>
      <c r="F56" s="150" t="s">
        <v>24</v>
      </c>
      <c r="G56" s="150" t="s">
        <v>40</v>
      </c>
      <c r="H56" s="150">
        <v>0</v>
      </c>
      <c r="I56" s="150">
        <v>0</v>
      </c>
      <c r="J56" s="150">
        <v>0</v>
      </c>
      <c r="K56" s="152">
        <v>2</v>
      </c>
      <c r="L56" s="150">
        <v>0</v>
      </c>
      <c r="M56" s="150" t="s">
        <v>41</v>
      </c>
      <c r="N56" s="150" t="s">
        <v>257</v>
      </c>
      <c r="O56" s="150">
        <v>22000</v>
      </c>
      <c r="P56" s="150">
        <v>44000</v>
      </c>
      <c r="Q56" s="150" t="str" cm="1">
        <f t="array" ref="Q56">IFERROR(INDEX('DB)입출고매칭용'!$P$2:$P$181,MATCH(1,($C56='DB)입출고매칭용'!$H$2:$H$181)*($B56='DB)입출고매칭용'!$B$2:$B$181)*($K56='DB)입출고매칭용'!$J$2:$J$181),0)),"")</f>
        <v/>
      </c>
      <c r="R56" s="150" t="str" cm="1">
        <f t="array" ref="R56">IFERROR(INDEX('DB)입출고매칭용'!$Q$2:$Q$181,MATCH(1,($C56='DB)입출고매칭용'!$H$2:$H$181)*($B56='DB)입출고매칭용'!$B$2:$B$181)*($K56='DB)입출고매칭용'!$J$2:$J$181),0)),"")</f>
        <v/>
      </c>
      <c r="S56" s="169" t="str" cm="1">
        <f t="array" ref="S56">IFERROR(INDEX('DB)입출고매칭용'!$R$2:$R$181,MATCH(1,($C56='DB)입출고매칭용'!$H$2:$H$181)*($B56='DB)입출고매칭용'!$B$2:$B$181)*($K56='DB)입출고매칭용'!$J$2:$J$181),0)),"")</f>
        <v/>
      </c>
    </row>
    <row r="57" spans="1:19">
      <c r="A57" s="151">
        <v>49</v>
      </c>
      <c r="B57" s="153">
        <v>46132</v>
      </c>
      <c r="C57" s="150" t="s">
        <v>801</v>
      </c>
      <c r="D57" s="154" t="s">
        <v>39</v>
      </c>
      <c r="E57" s="151">
        <v>8809879544101</v>
      </c>
      <c r="F57" s="150" t="s">
        <v>24</v>
      </c>
      <c r="G57" s="150" t="s">
        <v>40</v>
      </c>
      <c r="H57" s="150">
        <v>0</v>
      </c>
      <c r="I57" s="150">
        <v>0</v>
      </c>
      <c r="J57" s="150">
        <v>0</v>
      </c>
      <c r="K57" s="152">
        <v>3</v>
      </c>
      <c r="L57" s="150">
        <v>0</v>
      </c>
      <c r="M57" s="150" t="s">
        <v>41</v>
      </c>
      <c r="N57" s="150" t="s">
        <v>257</v>
      </c>
      <c r="O57" s="150">
        <v>22000</v>
      </c>
      <c r="P57" s="150">
        <v>66000</v>
      </c>
      <c r="Q57" s="150" t="str" cm="1">
        <f t="array" ref="Q57">IFERROR(INDEX('DB)입출고매칭용'!$P$2:$P$181,MATCH(1,($C57='DB)입출고매칭용'!$H$2:$H$181)*($B57='DB)입출고매칭용'!$B$2:$B$181)*($K57='DB)입출고매칭용'!$J$2:$J$181),0)),"")</f>
        <v/>
      </c>
      <c r="R57" s="150" t="str" cm="1">
        <f t="array" ref="R57">IFERROR(INDEX('DB)입출고매칭용'!$Q$2:$Q$181,MATCH(1,($C57='DB)입출고매칭용'!$H$2:$H$181)*($B57='DB)입출고매칭용'!$B$2:$B$181)*($K57='DB)입출고매칭용'!$J$2:$J$181),0)),"")</f>
        <v/>
      </c>
      <c r="S57" s="169" t="str" cm="1">
        <f t="array" ref="S57">IFERROR(INDEX('DB)입출고매칭용'!$R$2:$R$181,MATCH(1,($C57='DB)입출고매칭용'!$H$2:$H$181)*($B57='DB)입출고매칭용'!$B$2:$B$181)*($K57='DB)입출고매칭용'!$J$2:$J$181),0)),"")</f>
        <v/>
      </c>
    </row>
    <row r="58" spans="1:19">
      <c r="A58" s="151">
        <v>50</v>
      </c>
      <c r="B58" s="153">
        <v>46132</v>
      </c>
      <c r="C58" s="150" t="s">
        <v>802</v>
      </c>
      <c r="D58" s="154" t="s">
        <v>39</v>
      </c>
      <c r="E58" s="151">
        <v>8809879544118</v>
      </c>
      <c r="F58" s="150" t="s">
        <v>23</v>
      </c>
      <c r="G58" s="150" t="s">
        <v>40</v>
      </c>
      <c r="H58" s="150">
        <v>0</v>
      </c>
      <c r="I58" s="150">
        <v>0</v>
      </c>
      <c r="J58" s="150">
        <v>0</v>
      </c>
      <c r="K58" s="152">
        <v>1</v>
      </c>
      <c r="L58" s="150">
        <v>0</v>
      </c>
      <c r="M58" s="150" t="s">
        <v>41</v>
      </c>
      <c r="N58" s="150" t="s">
        <v>803</v>
      </c>
      <c r="O58" s="150">
        <v>22000</v>
      </c>
      <c r="P58" s="150">
        <v>22000</v>
      </c>
      <c r="Q58" s="150" t="str" cm="1">
        <f t="array" ref="Q58">IFERROR(INDEX('DB)입출고매칭용'!$P$2:$P$181,MATCH(1,($C58='DB)입출고매칭용'!$H$2:$H$181)*($B58='DB)입출고매칭용'!$B$2:$B$181)*($K58='DB)입출고매칭용'!$J$2:$J$181),0)),"")</f>
        <v>판매청구</v>
      </c>
      <c r="R58" s="150" t="str" cm="1">
        <f t="array" ref="R58">IFERROR(INDEX('DB)입출고매칭용'!$Q$2:$Q$181,MATCH(1,($C58='DB)입출고매칭용'!$H$2:$H$181)*($B58='DB)입출고매칭용'!$B$2:$B$181)*($K58='DB)입출고매칭용'!$J$2:$J$181),0)),"")</f>
        <v>정상판매</v>
      </c>
      <c r="S58" s="169" t="str" cm="1">
        <f t="array" ref="S58">IFERROR(INDEX('DB)입출고매칭용'!$R$2:$R$181,MATCH(1,($C58='DB)입출고매칭용'!$H$2:$H$181)*($B58='DB)입출고매칭용'!$B$2:$B$181)*($K58='DB)입출고매칭용'!$J$2:$J$181),0)),"")</f>
        <v>2412513200056</v>
      </c>
    </row>
    <row r="59" spans="1:19">
      <c r="A59" s="151">
        <v>51</v>
      </c>
      <c r="B59" s="153">
        <v>46132</v>
      </c>
      <c r="C59" s="150" t="s">
        <v>804</v>
      </c>
      <c r="D59" s="154" t="s">
        <v>39</v>
      </c>
      <c r="E59" s="151">
        <v>8809879544101</v>
      </c>
      <c r="F59" s="150" t="s">
        <v>24</v>
      </c>
      <c r="G59" s="150" t="s">
        <v>40</v>
      </c>
      <c r="H59" s="150">
        <v>0</v>
      </c>
      <c r="I59" s="150">
        <v>0</v>
      </c>
      <c r="J59" s="150">
        <v>0</v>
      </c>
      <c r="K59" s="152">
        <v>1</v>
      </c>
      <c r="L59" s="150">
        <v>0</v>
      </c>
      <c r="M59" s="150" t="s">
        <v>41</v>
      </c>
      <c r="N59" s="150" t="s">
        <v>257</v>
      </c>
      <c r="O59" s="150">
        <v>22000</v>
      </c>
      <c r="P59" s="150">
        <v>22000</v>
      </c>
      <c r="Q59" s="150" t="str" cm="1">
        <f t="array" ref="Q59">IFERROR(INDEX('DB)입출고매칭용'!$P$2:$P$181,MATCH(1,($C59='DB)입출고매칭용'!$H$2:$H$181)*($B59='DB)입출고매칭용'!$B$2:$B$181)*($K59='DB)입출고매칭용'!$J$2:$J$181),0)),"")</f>
        <v>판매청구</v>
      </c>
      <c r="R59" s="150" t="str" cm="1">
        <f t="array" ref="R59">IFERROR(INDEX('DB)입출고매칭용'!$Q$2:$Q$181,MATCH(1,($C59='DB)입출고매칭용'!$H$2:$H$181)*($B59='DB)입출고매칭용'!$B$2:$B$181)*($K59='DB)입출고매칭용'!$J$2:$J$181),0)),"")</f>
        <v>정상판매 (공구)</v>
      </c>
      <c r="S59" s="169" t="str" cm="1">
        <f t="array" ref="S59">IFERROR(INDEX('DB)입출고매칭용'!$R$2:$R$181,MATCH(1,($C59='DB)입출고매칭용'!$H$2:$H$181)*($B59='DB)입출고매칭용'!$B$2:$B$181)*($K59='DB)입출고매칭용'!$J$2:$J$181),0)),"")</f>
        <v>20260420-0000051</v>
      </c>
    </row>
    <row r="60" spans="1:19">
      <c r="A60" s="151">
        <v>52</v>
      </c>
      <c r="B60" s="153">
        <v>46132</v>
      </c>
      <c r="C60" s="150" t="s">
        <v>805</v>
      </c>
      <c r="D60" s="154" t="s">
        <v>39</v>
      </c>
      <c r="E60" s="151">
        <v>8809879544101</v>
      </c>
      <c r="F60" s="150" t="s">
        <v>24</v>
      </c>
      <c r="G60" s="150" t="s">
        <v>40</v>
      </c>
      <c r="H60" s="150">
        <v>0</v>
      </c>
      <c r="I60" s="150">
        <v>0</v>
      </c>
      <c r="J60" s="150">
        <v>0</v>
      </c>
      <c r="K60" s="152">
        <v>1</v>
      </c>
      <c r="L60" s="150">
        <v>0</v>
      </c>
      <c r="M60" s="150" t="s">
        <v>41</v>
      </c>
      <c r="N60" s="150" t="s">
        <v>257</v>
      </c>
      <c r="O60" s="150">
        <v>22000</v>
      </c>
      <c r="P60" s="150">
        <v>22000</v>
      </c>
      <c r="Q60" s="150" t="str" cm="1">
        <f t="array" ref="Q60">IFERROR(INDEX('DB)입출고매칭용'!$P$2:$P$181,MATCH(1,($C60='DB)입출고매칭용'!$H$2:$H$181)*($B60='DB)입출고매칭용'!$B$2:$B$181)*($K60='DB)입출고매칭용'!$J$2:$J$181),0)),"")</f>
        <v>판매청구</v>
      </c>
      <c r="R60" s="150" t="str" cm="1">
        <f t="array" ref="R60">IFERROR(INDEX('DB)입출고매칭용'!$Q$2:$Q$181,MATCH(1,($C60='DB)입출고매칭용'!$H$2:$H$181)*($B60='DB)입출고매칭용'!$B$2:$B$181)*($K60='DB)입출고매칭용'!$J$2:$J$181),0)),"")</f>
        <v>정상판매 (공구)</v>
      </c>
      <c r="S60" s="169" t="str" cm="1">
        <f t="array" ref="S60">IFERROR(INDEX('DB)입출고매칭용'!$R$2:$R$181,MATCH(1,($C60='DB)입출고매칭용'!$H$2:$H$181)*($B60='DB)입출고매칭용'!$B$2:$B$181)*($K60='DB)입출고매칭용'!$J$2:$J$181),0)),"")</f>
        <v>20260419-0000357</v>
      </c>
    </row>
    <row r="61" spans="1:19">
      <c r="A61" s="151">
        <v>53</v>
      </c>
      <c r="B61" s="153">
        <v>46132</v>
      </c>
      <c r="C61" s="150" t="s">
        <v>806</v>
      </c>
      <c r="D61" s="154" t="s">
        <v>39</v>
      </c>
      <c r="E61" s="151">
        <v>8809879544101</v>
      </c>
      <c r="F61" s="150" t="s">
        <v>24</v>
      </c>
      <c r="G61" s="150" t="s">
        <v>40</v>
      </c>
      <c r="H61" s="150">
        <v>0</v>
      </c>
      <c r="I61" s="150">
        <v>0</v>
      </c>
      <c r="J61" s="150">
        <v>0</v>
      </c>
      <c r="K61" s="152">
        <v>1</v>
      </c>
      <c r="L61" s="150">
        <v>0</v>
      </c>
      <c r="M61" s="150" t="s">
        <v>41</v>
      </c>
      <c r="N61" s="150" t="s">
        <v>257</v>
      </c>
      <c r="O61" s="150">
        <v>22000</v>
      </c>
      <c r="P61" s="150">
        <v>22000</v>
      </c>
      <c r="Q61" s="150" t="str" cm="1">
        <f t="array" ref="Q61">IFERROR(INDEX('DB)입출고매칭용'!$P$2:$P$181,MATCH(1,($C61='DB)입출고매칭용'!$H$2:$H$181)*($B61='DB)입출고매칭용'!$B$2:$B$181)*($K61='DB)입출고매칭용'!$J$2:$J$181),0)),"")</f>
        <v>판매청구</v>
      </c>
      <c r="R61" s="150" t="str" cm="1">
        <f t="array" ref="R61">IFERROR(INDEX('DB)입출고매칭용'!$Q$2:$Q$181,MATCH(1,($C61='DB)입출고매칭용'!$H$2:$H$181)*($B61='DB)입출고매칭용'!$B$2:$B$181)*($K61='DB)입출고매칭용'!$J$2:$J$181),0)),"")</f>
        <v>정상판매 (공구)</v>
      </c>
      <c r="S61" s="169" t="str" cm="1">
        <f t="array" ref="S61">IFERROR(INDEX('DB)입출고매칭용'!$R$2:$R$181,MATCH(1,($C61='DB)입출고매칭용'!$H$2:$H$181)*($B61='DB)입출고매칭용'!$B$2:$B$181)*($K61='DB)입출고매칭용'!$J$2:$J$181),0)),"")</f>
        <v>20260419-0000280</v>
      </c>
    </row>
    <row r="62" spans="1:19">
      <c r="A62" s="151">
        <v>54</v>
      </c>
      <c r="B62" s="153">
        <v>46132</v>
      </c>
      <c r="C62" s="150" t="s">
        <v>807</v>
      </c>
      <c r="D62" s="154" t="s">
        <v>39</v>
      </c>
      <c r="E62" s="151">
        <v>8809879544101</v>
      </c>
      <c r="F62" s="150" t="s">
        <v>24</v>
      </c>
      <c r="G62" s="150" t="s">
        <v>40</v>
      </c>
      <c r="H62" s="150">
        <v>0</v>
      </c>
      <c r="I62" s="150">
        <v>0</v>
      </c>
      <c r="J62" s="150">
        <v>0</v>
      </c>
      <c r="K62" s="152">
        <v>1</v>
      </c>
      <c r="L62" s="150">
        <v>0</v>
      </c>
      <c r="M62" s="150" t="s">
        <v>41</v>
      </c>
      <c r="N62" s="150" t="s">
        <v>257</v>
      </c>
      <c r="O62" s="150">
        <v>22000</v>
      </c>
      <c r="P62" s="150">
        <v>22000</v>
      </c>
      <c r="Q62" s="150" t="str" cm="1">
        <f t="array" ref="Q62">IFERROR(INDEX('DB)입출고매칭용'!$P$2:$P$181,MATCH(1,($C62='DB)입출고매칭용'!$H$2:$H$181)*($B62='DB)입출고매칭용'!$B$2:$B$181)*($K62='DB)입출고매칭용'!$J$2:$J$181),0)),"")</f>
        <v>판매청구</v>
      </c>
      <c r="R62" s="150" t="str" cm="1">
        <f t="array" ref="R62">IFERROR(INDEX('DB)입출고매칭용'!$Q$2:$Q$181,MATCH(1,($C62='DB)입출고매칭용'!$H$2:$H$181)*($B62='DB)입출고매칭용'!$B$2:$B$181)*($K62='DB)입출고매칭용'!$J$2:$J$181),0)),"")</f>
        <v>정상판매 (공구)</v>
      </c>
      <c r="S62" s="169" t="str" cm="1">
        <f t="array" ref="S62">IFERROR(INDEX('DB)입출고매칭용'!$R$2:$R$181,MATCH(1,($C62='DB)입출고매칭용'!$H$2:$H$181)*($B62='DB)입출고매칭용'!$B$2:$B$181)*($K62='DB)입출고매칭용'!$J$2:$J$181),0)),"")</f>
        <v>20260418-0000102</v>
      </c>
    </row>
    <row r="63" spans="1:19">
      <c r="A63" s="151">
        <v>55</v>
      </c>
      <c r="B63" s="153">
        <v>46132</v>
      </c>
      <c r="C63" s="150" t="s">
        <v>808</v>
      </c>
      <c r="D63" s="154" t="s">
        <v>39</v>
      </c>
      <c r="E63" s="151">
        <v>8809879544101</v>
      </c>
      <c r="F63" s="150" t="s">
        <v>24</v>
      </c>
      <c r="G63" s="150" t="s">
        <v>40</v>
      </c>
      <c r="H63" s="150">
        <v>0</v>
      </c>
      <c r="I63" s="150">
        <v>0</v>
      </c>
      <c r="J63" s="150">
        <v>0</v>
      </c>
      <c r="K63" s="152">
        <v>1</v>
      </c>
      <c r="L63" s="150">
        <v>0</v>
      </c>
      <c r="M63" s="150" t="s">
        <v>41</v>
      </c>
      <c r="N63" s="150" t="s">
        <v>257</v>
      </c>
      <c r="O63" s="150">
        <v>22000</v>
      </c>
      <c r="P63" s="150">
        <v>22000</v>
      </c>
      <c r="Q63" s="150" t="str" cm="1">
        <f t="array" ref="Q63">IFERROR(INDEX('DB)입출고매칭용'!$P$2:$P$181,MATCH(1,($C63='DB)입출고매칭용'!$H$2:$H$181)*($B63='DB)입출고매칭용'!$B$2:$B$181)*($K63='DB)입출고매칭용'!$J$2:$J$181),0)),"")</f>
        <v>판매청구</v>
      </c>
      <c r="R63" s="150" t="str" cm="1">
        <f t="array" ref="R63">IFERROR(INDEX('DB)입출고매칭용'!$Q$2:$Q$181,MATCH(1,($C63='DB)입출고매칭용'!$H$2:$H$181)*($B63='DB)입출고매칭용'!$B$2:$B$181)*($K63='DB)입출고매칭용'!$J$2:$J$181),0)),"")</f>
        <v>정상판매 (공구)</v>
      </c>
      <c r="S63" s="169" t="str" cm="1">
        <f t="array" ref="S63">IFERROR(INDEX('DB)입출고매칭용'!$R$2:$R$181,MATCH(1,($C63='DB)입출고매칭용'!$H$2:$H$181)*($B63='DB)입출고매칭용'!$B$2:$B$181)*($K63='DB)입출고매칭용'!$J$2:$J$181),0)),"")</f>
        <v>20260418-0000067</v>
      </c>
    </row>
    <row r="64" spans="1:19">
      <c r="A64" s="151">
        <v>56</v>
      </c>
      <c r="B64" s="153">
        <v>46132</v>
      </c>
      <c r="C64" s="150" t="s">
        <v>809</v>
      </c>
      <c r="D64" s="154" t="s">
        <v>39</v>
      </c>
      <c r="E64" s="151">
        <v>8809879544101</v>
      </c>
      <c r="F64" s="150" t="s">
        <v>24</v>
      </c>
      <c r="G64" s="150" t="s">
        <v>40</v>
      </c>
      <c r="H64" s="150">
        <v>0</v>
      </c>
      <c r="I64" s="150">
        <v>0</v>
      </c>
      <c r="J64" s="150">
        <v>0</v>
      </c>
      <c r="K64" s="152">
        <v>1</v>
      </c>
      <c r="L64" s="150">
        <v>0</v>
      </c>
      <c r="M64" s="150" t="s">
        <v>41</v>
      </c>
      <c r="N64" s="150" t="s">
        <v>257</v>
      </c>
      <c r="O64" s="150">
        <v>22000</v>
      </c>
      <c r="P64" s="150">
        <v>22000</v>
      </c>
      <c r="Q64" s="150" t="str" cm="1">
        <f t="array" ref="Q64">IFERROR(INDEX('DB)입출고매칭용'!$P$2:$P$181,MATCH(1,($C64='DB)입출고매칭용'!$H$2:$H$181)*($B64='DB)입출고매칭용'!$B$2:$B$181)*($K64='DB)입출고매칭용'!$J$2:$J$181),0)),"")</f>
        <v>판매청구</v>
      </c>
      <c r="R64" s="150" t="str" cm="1">
        <f t="array" ref="R64">IFERROR(INDEX('DB)입출고매칭용'!$Q$2:$Q$181,MATCH(1,($C64='DB)입출고매칭용'!$H$2:$H$181)*($B64='DB)입출고매칭용'!$B$2:$B$181)*($K64='DB)입출고매칭용'!$J$2:$J$181),0)),"")</f>
        <v>정상판매 (공구)</v>
      </c>
      <c r="S64" s="169" t="str" cm="1">
        <f t="array" ref="S64">IFERROR(INDEX('DB)입출고매칭용'!$R$2:$R$181,MATCH(1,($C64='DB)입출고매칭용'!$H$2:$H$181)*($B64='DB)입출고매칭용'!$B$2:$B$181)*($K64='DB)입출고매칭용'!$J$2:$J$181),0)),"")</f>
        <v>20260418-0000052</v>
      </c>
    </row>
    <row r="65" spans="1:19">
      <c r="A65" s="151">
        <v>57</v>
      </c>
      <c r="B65" s="153">
        <v>46132</v>
      </c>
      <c r="C65" s="150" t="s">
        <v>810</v>
      </c>
      <c r="D65" s="154" t="s">
        <v>39</v>
      </c>
      <c r="E65" s="151">
        <v>8809879544101</v>
      </c>
      <c r="F65" s="150" t="s">
        <v>24</v>
      </c>
      <c r="G65" s="150" t="s">
        <v>40</v>
      </c>
      <c r="H65" s="150">
        <v>0</v>
      </c>
      <c r="I65" s="150">
        <v>0</v>
      </c>
      <c r="J65" s="150">
        <v>0</v>
      </c>
      <c r="K65" s="152">
        <v>3</v>
      </c>
      <c r="L65" s="150">
        <v>0</v>
      </c>
      <c r="M65" s="150" t="s">
        <v>41</v>
      </c>
      <c r="N65" s="150" t="s">
        <v>257</v>
      </c>
      <c r="O65" s="150">
        <v>22000</v>
      </c>
      <c r="P65" s="150">
        <v>66000</v>
      </c>
      <c r="Q65" s="150" t="str" cm="1">
        <f t="array" ref="Q65">IFERROR(INDEX('DB)입출고매칭용'!$P$2:$P$181,MATCH(1,($C65='DB)입출고매칭용'!$H$2:$H$181)*($B65='DB)입출고매칭용'!$B$2:$B$181)*($K65='DB)입출고매칭용'!$J$2:$J$181),0)),"")</f>
        <v/>
      </c>
      <c r="R65" s="150" t="str" cm="1">
        <f t="array" ref="R65">IFERROR(INDEX('DB)입출고매칭용'!$Q$2:$Q$181,MATCH(1,($C65='DB)입출고매칭용'!$H$2:$H$181)*($B65='DB)입출고매칭용'!$B$2:$B$181)*($K65='DB)입출고매칭용'!$J$2:$J$181),0)),"")</f>
        <v/>
      </c>
      <c r="S65" s="169" t="str" cm="1">
        <f t="array" ref="S65">IFERROR(INDEX('DB)입출고매칭용'!$R$2:$R$181,MATCH(1,($C65='DB)입출고매칭용'!$H$2:$H$181)*($B65='DB)입출고매칭용'!$B$2:$B$181)*($K65='DB)입출고매칭용'!$J$2:$J$181),0)),"")</f>
        <v/>
      </c>
    </row>
    <row r="66" spans="1:19">
      <c r="A66" s="151">
        <v>58</v>
      </c>
      <c r="B66" s="153">
        <v>46132</v>
      </c>
      <c r="C66" s="150" t="s">
        <v>811</v>
      </c>
      <c r="D66" s="154" t="s">
        <v>39</v>
      </c>
      <c r="E66" s="151">
        <v>8809879544101</v>
      </c>
      <c r="F66" s="150" t="s">
        <v>24</v>
      </c>
      <c r="G66" s="150" t="s">
        <v>40</v>
      </c>
      <c r="H66" s="150">
        <v>0</v>
      </c>
      <c r="I66" s="150">
        <v>0</v>
      </c>
      <c r="J66" s="150">
        <v>0</v>
      </c>
      <c r="K66" s="152">
        <v>2</v>
      </c>
      <c r="L66" s="150">
        <v>0</v>
      </c>
      <c r="M66" s="150" t="s">
        <v>41</v>
      </c>
      <c r="N66" s="150" t="s">
        <v>257</v>
      </c>
      <c r="O66" s="150">
        <v>22000</v>
      </c>
      <c r="P66" s="150">
        <v>44000</v>
      </c>
      <c r="Q66" s="150" t="str" cm="1">
        <f t="array" ref="Q66">IFERROR(INDEX('DB)입출고매칭용'!$P$2:$P$181,MATCH(1,($C66='DB)입출고매칭용'!$H$2:$H$181)*($B66='DB)입출고매칭용'!$B$2:$B$181)*($K66='DB)입출고매칭용'!$J$2:$J$181),0)),"")</f>
        <v/>
      </c>
      <c r="R66" s="150" t="str" cm="1">
        <f t="array" ref="R66">IFERROR(INDEX('DB)입출고매칭용'!$Q$2:$Q$181,MATCH(1,($C66='DB)입출고매칭용'!$H$2:$H$181)*($B66='DB)입출고매칭용'!$B$2:$B$181)*($K66='DB)입출고매칭용'!$J$2:$J$181),0)),"")</f>
        <v/>
      </c>
      <c r="S66" s="169" t="str" cm="1">
        <f t="array" ref="S66">IFERROR(INDEX('DB)입출고매칭용'!$R$2:$R$181,MATCH(1,($C66='DB)입출고매칭용'!$H$2:$H$181)*($B66='DB)입출고매칭용'!$B$2:$B$181)*($K66='DB)입출고매칭용'!$J$2:$J$181),0)),"")</f>
        <v/>
      </c>
    </row>
    <row r="67" spans="1:19">
      <c r="A67" s="151">
        <v>59</v>
      </c>
      <c r="B67" s="153">
        <v>46132</v>
      </c>
      <c r="C67" s="150" t="s">
        <v>812</v>
      </c>
      <c r="D67" s="154" t="s">
        <v>39</v>
      </c>
      <c r="E67" s="151">
        <v>8809879544101</v>
      </c>
      <c r="F67" s="150" t="s">
        <v>24</v>
      </c>
      <c r="G67" s="150" t="s">
        <v>40</v>
      </c>
      <c r="H67" s="150">
        <v>0</v>
      </c>
      <c r="I67" s="150">
        <v>0</v>
      </c>
      <c r="J67" s="150">
        <v>0</v>
      </c>
      <c r="K67" s="152">
        <v>1</v>
      </c>
      <c r="L67" s="150">
        <v>0</v>
      </c>
      <c r="M67" s="150" t="s">
        <v>41</v>
      </c>
      <c r="N67" s="150" t="s">
        <v>257</v>
      </c>
      <c r="O67" s="150">
        <v>22000</v>
      </c>
      <c r="P67" s="150">
        <v>22000</v>
      </c>
      <c r="Q67" s="150" t="str" cm="1">
        <f t="array" ref="Q67">IFERROR(INDEX('DB)입출고매칭용'!$P$2:$P$181,MATCH(1,($C67='DB)입출고매칭용'!$H$2:$H$181)*($B67='DB)입출고매칭용'!$B$2:$B$181)*($K67='DB)입출고매칭용'!$J$2:$J$181),0)),"")</f>
        <v>판매청구</v>
      </c>
      <c r="R67" s="150" t="str" cm="1">
        <f t="array" ref="R67">IFERROR(INDEX('DB)입출고매칭용'!$Q$2:$Q$181,MATCH(1,($C67='DB)입출고매칭용'!$H$2:$H$181)*($B67='DB)입출고매칭용'!$B$2:$B$181)*($K67='DB)입출고매칭용'!$J$2:$J$181),0)),"")</f>
        <v>정상판매 (공구)</v>
      </c>
      <c r="S67" s="169" t="str" cm="1">
        <f t="array" ref="S67">IFERROR(INDEX('DB)입출고매칭용'!$R$2:$R$181,MATCH(1,($C67='DB)입출고매칭용'!$H$2:$H$181)*($B67='DB)입출고매칭용'!$B$2:$B$181)*($K67='DB)입출고매칭용'!$J$2:$J$181),0)),"")</f>
        <v>20260420-0000227</v>
      </c>
    </row>
    <row r="68" spans="1:19">
      <c r="A68" s="151">
        <v>60</v>
      </c>
      <c r="B68" s="153">
        <v>46132</v>
      </c>
      <c r="C68" s="150" t="s">
        <v>813</v>
      </c>
      <c r="D68" s="154" t="s">
        <v>39</v>
      </c>
      <c r="E68" s="151">
        <v>8809879544101</v>
      </c>
      <c r="F68" s="150" t="s">
        <v>24</v>
      </c>
      <c r="G68" s="150" t="s">
        <v>40</v>
      </c>
      <c r="H68" s="150">
        <v>0</v>
      </c>
      <c r="I68" s="150">
        <v>0</v>
      </c>
      <c r="J68" s="150">
        <v>0</v>
      </c>
      <c r="K68" s="152">
        <v>1</v>
      </c>
      <c r="L68" s="150">
        <v>0</v>
      </c>
      <c r="M68" s="150" t="s">
        <v>41</v>
      </c>
      <c r="N68" s="150" t="s">
        <v>257</v>
      </c>
      <c r="O68" s="150">
        <v>22000</v>
      </c>
      <c r="P68" s="150">
        <v>22000</v>
      </c>
      <c r="Q68" s="150" t="str" cm="1">
        <f t="array" ref="Q68">IFERROR(INDEX('DB)입출고매칭용'!$P$2:$P$181,MATCH(1,($C68='DB)입출고매칭용'!$H$2:$H$181)*($B68='DB)입출고매칭용'!$B$2:$B$181)*($K68='DB)입출고매칭용'!$J$2:$J$181),0)),"")</f>
        <v>판매청구</v>
      </c>
      <c r="R68" s="150" t="str" cm="1">
        <f t="array" ref="R68">IFERROR(INDEX('DB)입출고매칭용'!$Q$2:$Q$181,MATCH(1,($C68='DB)입출고매칭용'!$H$2:$H$181)*($B68='DB)입출고매칭용'!$B$2:$B$181)*($K68='DB)입출고매칭용'!$J$2:$J$181),0)),"")</f>
        <v>정상판매 (공구)</v>
      </c>
      <c r="S68" s="169" t="str" cm="1">
        <f t="array" ref="S68">IFERROR(INDEX('DB)입출고매칭용'!$R$2:$R$181,MATCH(1,($C68='DB)입출고매칭용'!$H$2:$H$181)*($B68='DB)입출고매칭용'!$B$2:$B$181)*($K68='DB)입출고매칭용'!$J$2:$J$181),0)),"")</f>
        <v>20260420-0000216</v>
      </c>
    </row>
    <row r="69" spans="1:19">
      <c r="A69" s="151">
        <v>61</v>
      </c>
      <c r="B69" s="153">
        <v>46132</v>
      </c>
      <c r="C69" s="150" t="s">
        <v>814</v>
      </c>
      <c r="D69" s="154" t="s">
        <v>39</v>
      </c>
      <c r="E69" s="151">
        <v>8809879544101</v>
      </c>
      <c r="F69" s="150" t="s">
        <v>24</v>
      </c>
      <c r="G69" s="150" t="s">
        <v>40</v>
      </c>
      <c r="H69" s="150">
        <v>0</v>
      </c>
      <c r="I69" s="150">
        <v>0</v>
      </c>
      <c r="J69" s="150">
        <v>0</v>
      </c>
      <c r="K69" s="152">
        <v>1</v>
      </c>
      <c r="L69" s="150">
        <v>0</v>
      </c>
      <c r="M69" s="150" t="s">
        <v>41</v>
      </c>
      <c r="N69" s="150" t="s">
        <v>257</v>
      </c>
      <c r="O69" s="150">
        <v>22000</v>
      </c>
      <c r="P69" s="150">
        <v>22000</v>
      </c>
      <c r="Q69" s="150" t="str" cm="1">
        <f t="array" ref="Q69">IFERROR(INDEX('DB)입출고매칭용'!$P$2:$P$181,MATCH(1,($C69='DB)입출고매칭용'!$H$2:$H$181)*($B69='DB)입출고매칭용'!$B$2:$B$181)*($K69='DB)입출고매칭용'!$J$2:$J$181),0)),"")</f>
        <v>판매청구</v>
      </c>
      <c r="R69" s="150" t="str" cm="1">
        <f t="array" ref="R69">IFERROR(INDEX('DB)입출고매칭용'!$Q$2:$Q$181,MATCH(1,($C69='DB)입출고매칭용'!$H$2:$H$181)*($B69='DB)입출고매칭용'!$B$2:$B$181)*($K69='DB)입출고매칭용'!$J$2:$J$181),0)),"")</f>
        <v>정상판매 (공구)</v>
      </c>
      <c r="S69" s="169" t="str" cm="1">
        <f t="array" ref="S69">IFERROR(INDEX('DB)입출고매칭용'!$R$2:$R$181,MATCH(1,($C69='DB)입출고매칭용'!$H$2:$H$181)*($B69='DB)입출고매칭용'!$B$2:$B$181)*($K69='DB)입출고매칭용'!$J$2:$J$181),0)),"")</f>
        <v>20260420-0000171</v>
      </c>
    </row>
    <row r="70" spans="1:19">
      <c r="A70" s="151">
        <v>62</v>
      </c>
      <c r="B70" s="153">
        <v>46132</v>
      </c>
      <c r="C70" s="150" t="s">
        <v>815</v>
      </c>
      <c r="D70" s="154" t="s">
        <v>39</v>
      </c>
      <c r="E70" s="151">
        <v>8809879544101</v>
      </c>
      <c r="F70" s="150" t="s">
        <v>24</v>
      </c>
      <c r="G70" s="150" t="s">
        <v>40</v>
      </c>
      <c r="H70" s="150">
        <v>0</v>
      </c>
      <c r="I70" s="150">
        <v>0</v>
      </c>
      <c r="J70" s="150">
        <v>0</v>
      </c>
      <c r="K70" s="152">
        <v>2</v>
      </c>
      <c r="L70" s="150">
        <v>0</v>
      </c>
      <c r="M70" s="150" t="s">
        <v>41</v>
      </c>
      <c r="N70" s="150" t="s">
        <v>257</v>
      </c>
      <c r="O70" s="150">
        <v>22000</v>
      </c>
      <c r="P70" s="150">
        <v>44000</v>
      </c>
      <c r="Q70" s="150" t="str" cm="1">
        <f t="array" ref="Q70">IFERROR(INDEX('DB)입출고매칭용'!$P$2:$P$181,MATCH(1,($C70='DB)입출고매칭용'!$H$2:$H$181)*($B70='DB)입출고매칭용'!$B$2:$B$181)*($K70='DB)입출고매칭용'!$J$2:$J$181),0)),"")</f>
        <v/>
      </c>
      <c r="R70" s="150" t="str" cm="1">
        <f t="array" ref="R70">IFERROR(INDEX('DB)입출고매칭용'!$Q$2:$Q$181,MATCH(1,($C70='DB)입출고매칭용'!$H$2:$H$181)*($B70='DB)입출고매칭용'!$B$2:$B$181)*($K70='DB)입출고매칭용'!$J$2:$J$181),0)),"")</f>
        <v/>
      </c>
      <c r="S70" s="169" t="str" cm="1">
        <f t="array" ref="S70">IFERROR(INDEX('DB)입출고매칭용'!$R$2:$R$181,MATCH(1,($C70='DB)입출고매칭용'!$H$2:$H$181)*($B70='DB)입출고매칭용'!$B$2:$B$181)*($K70='DB)입출고매칭용'!$J$2:$J$181),0)),"")</f>
        <v/>
      </c>
    </row>
    <row r="71" spans="1:19">
      <c r="A71" s="151">
        <v>63</v>
      </c>
      <c r="B71" s="153">
        <v>46129</v>
      </c>
      <c r="C71" s="150" t="s">
        <v>816</v>
      </c>
      <c r="D71" s="154" t="s">
        <v>39</v>
      </c>
      <c r="E71" s="151">
        <v>8809879544101</v>
      </c>
      <c r="F71" s="150" t="s">
        <v>24</v>
      </c>
      <c r="G71" s="150" t="s">
        <v>40</v>
      </c>
      <c r="H71" s="150">
        <v>0</v>
      </c>
      <c r="I71" s="150">
        <v>0</v>
      </c>
      <c r="J71" s="150">
        <v>0</v>
      </c>
      <c r="K71" s="152">
        <v>2</v>
      </c>
      <c r="L71" s="150">
        <v>0</v>
      </c>
      <c r="M71" s="150" t="s">
        <v>41</v>
      </c>
      <c r="N71" s="150" t="s">
        <v>257</v>
      </c>
      <c r="O71" s="150">
        <v>22000</v>
      </c>
      <c r="P71" s="150">
        <v>44000</v>
      </c>
      <c r="Q71" s="150" t="str" cm="1">
        <f t="array" ref="Q71">IFERROR(INDEX('DB)입출고매칭용'!$P$2:$P$181,MATCH(1,($C71='DB)입출고매칭용'!$H$2:$H$181)*($B71='DB)입출고매칭용'!$B$2:$B$181)*($K71='DB)입출고매칭용'!$J$2:$J$181),0)),"")</f>
        <v/>
      </c>
      <c r="R71" s="150" t="str" cm="1">
        <f t="array" ref="R71">IFERROR(INDEX('DB)입출고매칭용'!$Q$2:$Q$181,MATCH(1,($C71='DB)입출고매칭용'!$H$2:$H$181)*($B71='DB)입출고매칭용'!$B$2:$B$181)*($K71='DB)입출고매칭용'!$J$2:$J$181),0)),"")</f>
        <v/>
      </c>
      <c r="S71" s="169" t="str" cm="1">
        <f t="array" ref="S71">IFERROR(INDEX('DB)입출고매칭용'!$R$2:$R$181,MATCH(1,($C71='DB)입출고매칭용'!$H$2:$H$181)*($B71='DB)입출고매칭용'!$B$2:$B$181)*($K71='DB)입출고매칭용'!$J$2:$J$181),0)),"")</f>
        <v/>
      </c>
    </row>
    <row r="72" spans="1:19">
      <c r="A72" s="151">
        <v>64</v>
      </c>
      <c r="B72" s="153">
        <v>46129</v>
      </c>
      <c r="C72" s="150" t="s">
        <v>817</v>
      </c>
      <c r="D72" s="154" t="s">
        <v>39</v>
      </c>
      <c r="E72" s="151">
        <v>8809879544101</v>
      </c>
      <c r="F72" s="150" t="s">
        <v>24</v>
      </c>
      <c r="G72" s="150" t="s">
        <v>40</v>
      </c>
      <c r="H72" s="150">
        <v>0</v>
      </c>
      <c r="I72" s="150">
        <v>0</v>
      </c>
      <c r="J72" s="150">
        <v>0</v>
      </c>
      <c r="K72" s="152">
        <v>2</v>
      </c>
      <c r="L72" s="150">
        <v>0</v>
      </c>
      <c r="M72" s="150" t="s">
        <v>41</v>
      </c>
      <c r="N72" s="150" t="s">
        <v>257</v>
      </c>
      <c r="O72" s="150">
        <v>22000</v>
      </c>
      <c r="P72" s="150">
        <v>44000</v>
      </c>
      <c r="Q72" s="150" t="str" cm="1">
        <f t="array" ref="Q72">IFERROR(INDEX('DB)입출고매칭용'!$P$2:$P$181,MATCH(1,($C72='DB)입출고매칭용'!$H$2:$H$181)*($B72='DB)입출고매칭용'!$B$2:$B$181)*($K72='DB)입출고매칭용'!$J$2:$J$181),0)),"")</f>
        <v/>
      </c>
      <c r="R72" s="150" t="str" cm="1">
        <f t="array" ref="R72">IFERROR(INDEX('DB)입출고매칭용'!$Q$2:$Q$181,MATCH(1,($C72='DB)입출고매칭용'!$H$2:$H$181)*($B72='DB)입출고매칭용'!$B$2:$B$181)*($K72='DB)입출고매칭용'!$J$2:$J$181),0)),"")</f>
        <v/>
      </c>
      <c r="S72" s="169" t="str" cm="1">
        <f t="array" ref="S72">IFERROR(INDEX('DB)입출고매칭용'!$R$2:$R$181,MATCH(1,($C72='DB)입출고매칭용'!$H$2:$H$181)*($B72='DB)입출고매칭용'!$B$2:$B$181)*($K72='DB)입출고매칭용'!$J$2:$J$181),0)),"")</f>
        <v/>
      </c>
    </row>
    <row r="73" spans="1:19">
      <c r="A73" s="151">
        <v>65</v>
      </c>
      <c r="B73" s="153">
        <v>46129</v>
      </c>
      <c r="C73" s="150" t="s">
        <v>818</v>
      </c>
      <c r="D73" s="154" t="s">
        <v>39</v>
      </c>
      <c r="E73" s="151">
        <v>8809879544101</v>
      </c>
      <c r="F73" s="150" t="s">
        <v>24</v>
      </c>
      <c r="G73" s="150" t="s">
        <v>40</v>
      </c>
      <c r="H73" s="150">
        <v>0</v>
      </c>
      <c r="I73" s="150">
        <v>0</v>
      </c>
      <c r="J73" s="150">
        <v>0</v>
      </c>
      <c r="K73" s="152">
        <v>1</v>
      </c>
      <c r="L73" s="150">
        <v>0</v>
      </c>
      <c r="M73" s="150" t="s">
        <v>41</v>
      </c>
      <c r="N73" s="150" t="s">
        <v>257</v>
      </c>
      <c r="O73" s="150">
        <v>22000</v>
      </c>
      <c r="P73" s="150">
        <v>22000</v>
      </c>
      <c r="Q73" s="150" t="str" cm="1">
        <f t="array" ref="Q73">IFERROR(INDEX('DB)입출고매칭용'!$P$2:$P$181,MATCH(1,($C73='DB)입출고매칭용'!$H$2:$H$181)*($B73='DB)입출고매칭용'!$B$2:$B$181)*($K73='DB)입출고매칭용'!$J$2:$J$181),0)),"")</f>
        <v>판매청구</v>
      </c>
      <c r="R73" s="150" t="str" cm="1">
        <f t="array" ref="R73">IFERROR(INDEX('DB)입출고매칭용'!$Q$2:$Q$181,MATCH(1,($C73='DB)입출고매칭용'!$H$2:$H$181)*($B73='DB)입출고매칭용'!$B$2:$B$181)*($K73='DB)입출고매칭용'!$J$2:$J$181),0)),"")</f>
        <v>정상판매 (공구)</v>
      </c>
      <c r="S73" s="169" t="str" cm="1">
        <f t="array" ref="S73">IFERROR(INDEX('DB)입출고매칭용'!$R$2:$R$181,MATCH(1,($C73='DB)입출고매칭용'!$H$2:$H$181)*($B73='DB)입출고매칭용'!$B$2:$B$181)*($K73='DB)입출고매칭용'!$J$2:$J$181),0)),"")</f>
        <v>20260416-0000516</v>
      </c>
    </row>
    <row r="74" spans="1:19">
      <c r="A74" s="151">
        <v>66</v>
      </c>
      <c r="B74" s="153">
        <v>46129</v>
      </c>
      <c r="C74" s="150" t="s">
        <v>819</v>
      </c>
      <c r="D74" s="154" t="s">
        <v>39</v>
      </c>
      <c r="E74" s="151">
        <v>8809879544101</v>
      </c>
      <c r="F74" s="150" t="s">
        <v>24</v>
      </c>
      <c r="G74" s="150" t="s">
        <v>40</v>
      </c>
      <c r="H74" s="150">
        <v>0</v>
      </c>
      <c r="I74" s="150">
        <v>0</v>
      </c>
      <c r="J74" s="150">
        <v>0</v>
      </c>
      <c r="K74" s="152">
        <v>1</v>
      </c>
      <c r="L74" s="150">
        <v>0</v>
      </c>
      <c r="M74" s="150" t="s">
        <v>41</v>
      </c>
      <c r="N74" s="150" t="s">
        <v>257</v>
      </c>
      <c r="O74" s="150">
        <v>22000</v>
      </c>
      <c r="P74" s="150">
        <v>22000</v>
      </c>
      <c r="Q74" s="150" t="str" cm="1">
        <f t="array" ref="Q74">IFERROR(INDEX('DB)입출고매칭용'!$P$2:$P$181,MATCH(1,($C74='DB)입출고매칭용'!$H$2:$H$181)*($B74='DB)입출고매칭용'!$B$2:$B$181)*($K74='DB)입출고매칭용'!$J$2:$J$181),0)),"")</f>
        <v>판매청구</v>
      </c>
      <c r="R74" s="150" t="str" cm="1">
        <f t="array" ref="R74">IFERROR(INDEX('DB)입출고매칭용'!$Q$2:$Q$181,MATCH(1,($C74='DB)입출고매칭용'!$H$2:$H$181)*($B74='DB)입출고매칭용'!$B$2:$B$181)*($K74='DB)입출고매칭용'!$J$2:$J$181),0)),"")</f>
        <v>정상판매 (공구)</v>
      </c>
      <c r="S74" s="169" t="str" cm="1">
        <f t="array" ref="S74">IFERROR(INDEX('DB)입출고매칭용'!$R$2:$R$181,MATCH(1,($C74='DB)입출고매칭용'!$H$2:$H$181)*($B74='DB)입출고매칭용'!$B$2:$B$181)*($K74='DB)입출고매칭용'!$J$2:$J$181),0)),"")</f>
        <v>20260416-0000578</v>
      </c>
    </row>
    <row r="75" spans="1:19">
      <c r="A75" s="151">
        <v>67</v>
      </c>
      <c r="B75" s="153">
        <v>46129</v>
      </c>
      <c r="C75" s="150" t="s">
        <v>820</v>
      </c>
      <c r="D75" s="154" t="s">
        <v>39</v>
      </c>
      <c r="E75" s="151">
        <v>8809879544101</v>
      </c>
      <c r="F75" s="150" t="s">
        <v>24</v>
      </c>
      <c r="G75" s="150" t="s">
        <v>40</v>
      </c>
      <c r="H75" s="150">
        <v>0</v>
      </c>
      <c r="I75" s="150">
        <v>0</v>
      </c>
      <c r="J75" s="150">
        <v>0</v>
      </c>
      <c r="K75" s="152">
        <v>1</v>
      </c>
      <c r="L75" s="150">
        <v>0</v>
      </c>
      <c r="M75" s="150" t="s">
        <v>41</v>
      </c>
      <c r="N75" s="150" t="s">
        <v>257</v>
      </c>
      <c r="O75" s="150">
        <v>22000</v>
      </c>
      <c r="P75" s="150">
        <v>22000</v>
      </c>
      <c r="Q75" s="150" t="str" cm="1">
        <f t="array" ref="Q75">IFERROR(INDEX('DB)입출고매칭용'!$P$2:$P$181,MATCH(1,($C75='DB)입출고매칭용'!$H$2:$H$181)*($B75='DB)입출고매칭용'!$B$2:$B$181)*($K75='DB)입출고매칭용'!$J$2:$J$181),0)),"")</f>
        <v>판매청구</v>
      </c>
      <c r="R75" s="150" t="str" cm="1">
        <f t="array" ref="R75">IFERROR(INDEX('DB)입출고매칭용'!$Q$2:$Q$181,MATCH(1,($C75='DB)입출고매칭용'!$H$2:$H$181)*($B75='DB)입출고매칭용'!$B$2:$B$181)*($K75='DB)입출고매칭용'!$J$2:$J$181),0)),"")</f>
        <v>정상판매 (공구)</v>
      </c>
      <c r="S75" s="169" t="str" cm="1">
        <f t="array" ref="S75">IFERROR(INDEX('DB)입출고매칭용'!$R$2:$R$181,MATCH(1,($C75='DB)입출고매칭용'!$H$2:$H$181)*($B75='DB)입출고매칭용'!$B$2:$B$181)*($K75='DB)입출고매칭용'!$J$2:$J$181),0)),"")</f>
        <v>20260417-0000066</v>
      </c>
    </row>
    <row r="76" spans="1:19">
      <c r="A76" s="151">
        <v>68</v>
      </c>
      <c r="B76" s="153">
        <v>46129</v>
      </c>
      <c r="C76" s="150" t="s">
        <v>821</v>
      </c>
      <c r="D76" s="154" t="s">
        <v>39</v>
      </c>
      <c r="E76" s="151">
        <v>8809879544101</v>
      </c>
      <c r="F76" s="150" t="s">
        <v>24</v>
      </c>
      <c r="G76" s="150" t="s">
        <v>40</v>
      </c>
      <c r="H76" s="150">
        <v>0</v>
      </c>
      <c r="I76" s="150">
        <v>0</v>
      </c>
      <c r="J76" s="150">
        <v>0</v>
      </c>
      <c r="K76" s="152">
        <v>1</v>
      </c>
      <c r="L76" s="150">
        <v>0</v>
      </c>
      <c r="M76" s="150" t="s">
        <v>41</v>
      </c>
      <c r="N76" s="150" t="s">
        <v>257</v>
      </c>
      <c r="O76" s="150">
        <v>22000</v>
      </c>
      <c r="P76" s="150">
        <v>22000</v>
      </c>
      <c r="Q76" s="150" t="str" cm="1">
        <f t="array" ref="Q76">IFERROR(INDEX('DB)입출고매칭용'!$P$2:$P$181,MATCH(1,($C76='DB)입출고매칭용'!$H$2:$H$181)*($B76='DB)입출고매칭용'!$B$2:$B$181)*($K76='DB)입출고매칭용'!$J$2:$J$181),0)),"")</f>
        <v>판매청구</v>
      </c>
      <c r="R76" s="150" t="str" cm="1">
        <f t="array" ref="R76">IFERROR(INDEX('DB)입출고매칭용'!$Q$2:$Q$181,MATCH(1,($C76='DB)입출고매칭용'!$H$2:$H$181)*($B76='DB)입출고매칭용'!$B$2:$B$181)*($K76='DB)입출고매칭용'!$J$2:$J$181),0)),"")</f>
        <v>정상판매 (공구)</v>
      </c>
      <c r="S76" s="169" t="str" cm="1">
        <f t="array" ref="S76">IFERROR(INDEX('DB)입출고매칭용'!$R$2:$R$181,MATCH(1,($C76='DB)입출고매칭용'!$H$2:$H$181)*($B76='DB)입출고매칭용'!$B$2:$B$181)*($K76='DB)입출고매칭용'!$J$2:$J$181),0)),"")</f>
        <v>20260417-0000208</v>
      </c>
    </row>
    <row r="77" spans="1:19">
      <c r="A77" s="151">
        <v>69</v>
      </c>
      <c r="B77" s="153">
        <v>46129</v>
      </c>
      <c r="C77" s="150" t="s">
        <v>822</v>
      </c>
      <c r="D77" s="154" t="s">
        <v>39</v>
      </c>
      <c r="E77" s="151">
        <v>8809879544101</v>
      </c>
      <c r="F77" s="150" t="s">
        <v>24</v>
      </c>
      <c r="G77" s="150" t="s">
        <v>40</v>
      </c>
      <c r="H77" s="150">
        <v>0</v>
      </c>
      <c r="I77" s="150">
        <v>0</v>
      </c>
      <c r="J77" s="150">
        <v>0</v>
      </c>
      <c r="K77" s="152">
        <v>1</v>
      </c>
      <c r="L77" s="150">
        <v>0</v>
      </c>
      <c r="M77" s="150" t="s">
        <v>41</v>
      </c>
      <c r="N77" s="150" t="s">
        <v>257</v>
      </c>
      <c r="O77" s="150">
        <v>22000</v>
      </c>
      <c r="P77" s="150">
        <v>22000</v>
      </c>
      <c r="Q77" s="150" t="str" cm="1">
        <f t="array" ref="Q77">IFERROR(INDEX('DB)입출고매칭용'!$P$2:$P$181,MATCH(1,($C77='DB)입출고매칭용'!$H$2:$H$181)*($B77='DB)입출고매칭용'!$B$2:$B$181)*($K77='DB)입출고매칭용'!$J$2:$J$181),0)),"")</f>
        <v>판매청구</v>
      </c>
      <c r="R77" s="150" t="str" cm="1">
        <f t="array" ref="R77">IFERROR(INDEX('DB)입출고매칭용'!$Q$2:$Q$181,MATCH(1,($C77='DB)입출고매칭용'!$H$2:$H$181)*($B77='DB)입출고매칭용'!$B$2:$B$181)*($K77='DB)입출고매칭용'!$J$2:$J$181),0)),"")</f>
        <v>정상판매 (공구)</v>
      </c>
      <c r="S77" s="169" t="str" cm="1">
        <f t="array" ref="S77">IFERROR(INDEX('DB)입출고매칭용'!$R$2:$R$181,MATCH(1,($C77='DB)입출고매칭용'!$H$2:$H$181)*($B77='DB)입출고매칭용'!$B$2:$B$181)*($K77='DB)입출고매칭용'!$J$2:$J$181),0)),"")</f>
        <v>20260417-0000170</v>
      </c>
    </row>
    <row r="78" spans="1:19">
      <c r="A78" s="151">
        <v>70</v>
      </c>
      <c r="B78" s="153">
        <v>46129</v>
      </c>
      <c r="C78" s="150" t="s">
        <v>823</v>
      </c>
      <c r="D78" s="154" t="s">
        <v>39</v>
      </c>
      <c r="E78" s="151">
        <v>8809879544101</v>
      </c>
      <c r="F78" s="150" t="s">
        <v>24</v>
      </c>
      <c r="G78" s="150" t="s">
        <v>40</v>
      </c>
      <c r="H78" s="150">
        <v>0</v>
      </c>
      <c r="I78" s="150">
        <v>0</v>
      </c>
      <c r="J78" s="150">
        <v>0</v>
      </c>
      <c r="K78" s="152">
        <v>1</v>
      </c>
      <c r="L78" s="150">
        <v>0</v>
      </c>
      <c r="M78" s="150" t="s">
        <v>41</v>
      </c>
      <c r="N78" s="150" t="s">
        <v>257</v>
      </c>
      <c r="O78" s="150">
        <v>22000</v>
      </c>
      <c r="P78" s="150">
        <v>22000</v>
      </c>
      <c r="Q78" s="150" t="str" cm="1">
        <f t="array" ref="Q78">IFERROR(INDEX('DB)입출고매칭용'!$P$2:$P$181,MATCH(1,($C78='DB)입출고매칭용'!$H$2:$H$181)*($B78='DB)입출고매칭용'!$B$2:$B$181)*($K78='DB)입출고매칭용'!$J$2:$J$181),0)),"")</f>
        <v>판매청구</v>
      </c>
      <c r="R78" s="150" t="str" cm="1">
        <f t="array" ref="R78">IFERROR(INDEX('DB)입출고매칭용'!$Q$2:$Q$181,MATCH(1,($C78='DB)입출고매칭용'!$H$2:$H$181)*($B78='DB)입출고매칭용'!$B$2:$B$181)*($K78='DB)입출고매칭용'!$J$2:$J$181),0)),"")</f>
        <v>정상판매 (공구)</v>
      </c>
      <c r="S78" s="169" t="str" cm="1">
        <f t="array" ref="S78">IFERROR(INDEX('DB)입출고매칭용'!$R$2:$R$181,MATCH(1,($C78='DB)입출고매칭용'!$H$2:$H$181)*($B78='DB)입출고매칭용'!$B$2:$B$181)*($K78='DB)입출고매칭용'!$J$2:$J$181),0)),"")</f>
        <v>20260417-0000109</v>
      </c>
    </row>
    <row r="79" spans="1:19">
      <c r="A79" s="151">
        <v>71</v>
      </c>
      <c r="B79" s="153">
        <v>46129</v>
      </c>
      <c r="C79" s="150" t="s">
        <v>824</v>
      </c>
      <c r="D79" s="154" t="s">
        <v>39</v>
      </c>
      <c r="E79" s="151">
        <v>8809879544101</v>
      </c>
      <c r="F79" s="150" t="s">
        <v>24</v>
      </c>
      <c r="G79" s="150" t="s">
        <v>40</v>
      </c>
      <c r="H79" s="150">
        <v>0</v>
      </c>
      <c r="I79" s="150">
        <v>0</v>
      </c>
      <c r="J79" s="150">
        <v>0</v>
      </c>
      <c r="K79" s="152">
        <v>1</v>
      </c>
      <c r="L79" s="150">
        <v>0</v>
      </c>
      <c r="M79" s="150" t="s">
        <v>41</v>
      </c>
      <c r="N79" s="150" t="s">
        <v>803</v>
      </c>
      <c r="O79" s="150">
        <v>22000</v>
      </c>
      <c r="P79" s="150">
        <v>22000</v>
      </c>
      <c r="Q79" s="150" t="str" cm="1">
        <f t="array" ref="Q79">IFERROR(INDEX('DB)입출고매칭용'!$P$2:$P$181,MATCH(1,($C79='DB)입출고매칭용'!$H$2:$H$181)*($B79='DB)입출고매칭용'!$B$2:$B$181)*($K79='DB)입출고매칭용'!$J$2:$J$181),0)),"")</f>
        <v>판매청구</v>
      </c>
      <c r="R79" s="150" t="str" cm="1">
        <f t="array" ref="R79">IFERROR(INDEX('DB)입출고매칭용'!$Q$2:$Q$181,MATCH(1,($C79='DB)입출고매칭용'!$H$2:$H$181)*($B79='DB)입출고매칭용'!$B$2:$B$181)*($K79='DB)입출고매칭용'!$J$2:$J$181),0)),"")</f>
        <v>정상판매</v>
      </c>
      <c r="S79" s="169" t="str" cm="1">
        <f t="array" ref="S79">IFERROR(INDEX('DB)입출고매칭용'!$R$2:$R$181,MATCH(1,($C79='DB)입출고매칭용'!$H$2:$H$181)*($B79='DB)입출고매칭용'!$B$2:$B$181)*($K79='DB)입출고매칭용'!$J$2:$J$181),0)),"")</f>
        <v>2412314570095</v>
      </c>
    </row>
    <row r="80" spans="1:19">
      <c r="A80" s="151">
        <v>72</v>
      </c>
      <c r="B80" s="153">
        <v>46129</v>
      </c>
      <c r="C80" s="150" t="s">
        <v>825</v>
      </c>
      <c r="D80" s="154" t="s">
        <v>39</v>
      </c>
      <c r="E80" s="151">
        <v>8809879544101</v>
      </c>
      <c r="F80" s="150" t="s">
        <v>24</v>
      </c>
      <c r="G80" s="150" t="s">
        <v>40</v>
      </c>
      <c r="H80" s="150">
        <v>0</v>
      </c>
      <c r="I80" s="150">
        <v>0</v>
      </c>
      <c r="J80" s="150">
        <v>0</v>
      </c>
      <c r="K80" s="152">
        <v>1</v>
      </c>
      <c r="L80" s="150">
        <v>0</v>
      </c>
      <c r="M80" s="150" t="s">
        <v>41</v>
      </c>
      <c r="N80" s="150" t="s">
        <v>257</v>
      </c>
      <c r="O80" s="150">
        <v>22000</v>
      </c>
      <c r="P80" s="150">
        <v>22000</v>
      </c>
      <c r="Q80" s="150" t="str" cm="1">
        <f t="array" ref="Q80">IFERROR(INDEX('DB)입출고매칭용'!$P$2:$P$181,MATCH(1,($C80='DB)입출고매칭용'!$H$2:$H$181)*($B80='DB)입출고매칭용'!$B$2:$B$181)*($K80='DB)입출고매칭용'!$J$2:$J$181),0)),"")</f>
        <v>판매청구</v>
      </c>
      <c r="R80" s="150" t="str" cm="1">
        <f t="array" ref="R80">IFERROR(INDEX('DB)입출고매칭용'!$Q$2:$Q$181,MATCH(1,($C80='DB)입출고매칭용'!$H$2:$H$181)*($B80='DB)입출고매칭용'!$B$2:$B$181)*($K80='DB)입출고매칭용'!$J$2:$J$181),0)),"")</f>
        <v>정상판매 (공구)</v>
      </c>
      <c r="S80" s="169" t="str" cm="1">
        <f t="array" ref="S80">IFERROR(INDEX('DB)입출고매칭용'!$R$2:$R$181,MATCH(1,($C80='DB)입출고매칭용'!$H$2:$H$181)*($B80='DB)입출고매칭용'!$B$2:$B$181)*($K80='DB)입출고매칭용'!$J$2:$J$181),0)),"")</f>
        <v>20260416-0000687</v>
      </c>
    </row>
    <row r="81" spans="1:19">
      <c r="A81" s="151">
        <v>73</v>
      </c>
      <c r="B81" s="153">
        <v>46128</v>
      </c>
      <c r="C81" s="150" t="s">
        <v>826</v>
      </c>
      <c r="D81" s="154" t="s">
        <v>39</v>
      </c>
      <c r="E81" s="151">
        <v>8809879544101</v>
      </c>
      <c r="F81" s="150" t="s">
        <v>24</v>
      </c>
      <c r="G81" s="150" t="s">
        <v>40</v>
      </c>
      <c r="H81" s="150">
        <v>0</v>
      </c>
      <c r="I81" s="150">
        <v>0</v>
      </c>
      <c r="J81" s="150">
        <v>0</v>
      </c>
      <c r="K81" s="152">
        <v>1</v>
      </c>
      <c r="L81" s="150">
        <v>0</v>
      </c>
      <c r="M81" s="150" t="s">
        <v>41</v>
      </c>
      <c r="N81" s="150" t="s">
        <v>257</v>
      </c>
      <c r="O81" s="150">
        <v>22000</v>
      </c>
      <c r="P81" s="150">
        <v>22000</v>
      </c>
      <c r="Q81" s="150" t="str" cm="1">
        <f t="array" ref="Q81">IFERROR(INDEX('DB)입출고매칭용'!$P$2:$P$181,MATCH(1,($C81='DB)입출고매칭용'!$H$2:$H$181)*($B81='DB)입출고매칭용'!$B$2:$B$181)*($K81='DB)입출고매칭용'!$J$2:$J$181),0)),"")</f>
        <v>판매청구</v>
      </c>
      <c r="R81" s="150" t="str" cm="1">
        <f t="array" ref="R81">IFERROR(INDEX('DB)입출고매칭용'!$Q$2:$Q$181,MATCH(1,($C81='DB)입출고매칭용'!$H$2:$H$181)*($B81='DB)입출고매칭용'!$B$2:$B$181)*($K81='DB)입출고매칭용'!$J$2:$J$181),0)),"")</f>
        <v>정상판매 (공구)</v>
      </c>
      <c r="S81" s="169" t="str" cm="1">
        <f t="array" ref="S81">IFERROR(INDEX('DB)입출고매칭용'!$R$2:$R$181,MATCH(1,($C81='DB)입출고매칭용'!$H$2:$H$181)*($B81='DB)입출고매칭용'!$B$2:$B$181)*($K81='DB)입출고매칭용'!$J$2:$J$181),0)),"")</f>
        <v>20260416-0000029</v>
      </c>
    </row>
    <row r="82" spans="1:19">
      <c r="A82" s="151">
        <v>74</v>
      </c>
      <c r="B82" s="153">
        <v>46128</v>
      </c>
      <c r="C82" s="150" t="s">
        <v>827</v>
      </c>
      <c r="D82" s="154" t="s">
        <v>39</v>
      </c>
      <c r="E82" s="151">
        <v>8809879544101</v>
      </c>
      <c r="F82" s="150" t="s">
        <v>24</v>
      </c>
      <c r="G82" s="150" t="s">
        <v>40</v>
      </c>
      <c r="H82" s="150">
        <v>0</v>
      </c>
      <c r="I82" s="150">
        <v>0</v>
      </c>
      <c r="J82" s="150">
        <v>0</v>
      </c>
      <c r="K82" s="152">
        <v>1</v>
      </c>
      <c r="L82" s="150">
        <v>0</v>
      </c>
      <c r="M82" s="150" t="s">
        <v>41</v>
      </c>
      <c r="N82" s="150" t="s">
        <v>257</v>
      </c>
      <c r="O82" s="150">
        <v>22000</v>
      </c>
      <c r="P82" s="150">
        <v>22000</v>
      </c>
      <c r="Q82" s="150" t="str" cm="1">
        <f t="array" ref="Q82">IFERROR(INDEX('DB)입출고매칭용'!$P$2:$P$181,MATCH(1,($C82='DB)입출고매칭용'!$H$2:$H$181)*($B82='DB)입출고매칭용'!$B$2:$B$181)*($K82='DB)입출고매칭용'!$J$2:$J$181),0)),"")</f>
        <v>판매청구</v>
      </c>
      <c r="R82" s="150" t="str" cm="1">
        <f t="array" ref="R82">IFERROR(INDEX('DB)입출고매칭용'!$Q$2:$Q$181,MATCH(1,($C82='DB)입출고매칭용'!$H$2:$H$181)*($B82='DB)입출고매칭용'!$B$2:$B$181)*($K82='DB)입출고매칭용'!$J$2:$J$181),0)),"")</f>
        <v>정상판매 (공구)</v>
      </c>
      <c r="S82" s="169" t="str" cm="1">
        <f t="array" ref="S82">IFERROR(INDEX('DB)입출고매칭용'!$R$2:$R$181,MATCH(1,($C82='DB)입출고매칭용'!$H$2:$H$181)*($B82='DB)입출고매칭용'!$B$2:$B$181)*($K82='DB)입출고매칭용'!$J$2:$J$181),0)),"")</f>
        <v>20260415-0000709</v>
      </c>
    </row>
    <row r="83" spans="1:19">
      <c r="A83" s="151">
        <v>75</v>
      </c>
      <c r="B83" s="153">
        <v>46128</v>
      </c>
      <c r="C83" s="150" t="s">
        <v>828</v>
      </c>
      <c r="D83" s="154" t="s">
        <v>39</v>
      </c>
      <c r="E83" s="151">
        <v>8809879544101</v>
      </c>
      <c r="F83" s="150" t="s">
        <v>24</v>
      </c>
      <c r="G83" s="150" t="s">
        <v>40</v>
      </c>
      <c r="H83" s="150">
        <v>0</v>
      </c>
      <c r="I83" s="150">
        <v>0</v>
      </c>
      <c r="J83" s="150">
        <v>0</v>
      </c>
      <c r="K83" s="152">
        <v>1</v>
      </c>
      <c r="L83" s="150">
        <v>0</v>
      </c>
      <c r="M83" s="150" t="s">
        <v>41</v>
      </c>
      <c r="N83" s="150" t="s">
        <v>257</v>
      </c>
      <c r="O83" s="150">
        <v>22000</v>
      </c>
      <c r="P83" s="150">
        <v>22000</v>
      </c>
      <c r="Q83" s="150" t="str" cm="1">
        <f t="array" ref="Q83">IFERROR(INDEX('DB)입출고매칭용'!$P$2:$P$181,MATCH(1,($C83='DB)입출고매칭용'!$H$2:$H$181)*($B83='DB)입출고매칭용'!$B$2:$B$181)*($K83='DB)입출고매칭용'!$J$2:$J$181),0)),"")</f>
        <v>판매청구</v>
      </c>
      <c r="R83" s="150" t="str" cm="1">
        <f t="array" ref="R83">IFERROR(INDEX('DB)입출고매칭용'!$Q$2:$Q$181,MATCH(1,($C83='DB)입출고매칭용'!$H$2:$H$181)*($B83='DB)입출고매칭용'!$B$2:$B$181)*($K83='DB)입출고매칭용'!$J$2:$J$181),0)),"")</f>
        <v>정상판매 (공구)</v>
      </c>
      <c r="S83" s="169" t="str" cm="1">
        <f t="array" ref="S83">IFERROR(INDEX('DB)입출고매칭용'!$R$2:$R$181,MATCH(1,($C83='DB)입출고매칭용'!$H$2:$H$181)*($B83='DB)입출고매칭용'!$B$2:$B$181)*($K83='DB)입출고매칭용'!$J$2:$J$181),0)),"")</f>
        <v>20260415-0000585</v>
      </c>
    </row>
    <row r="84" spans="1:19">
      <c r="A84" s="151">
        <v>76</v>
      </c>
      <c r="B84" s="153">
        <v>46128</v>
      </c>
      <c r="C84" s="150" t="s">
        <v>829</v>
      </c>
      <c r="D84" s="154" t="s">
        <v>39</v>
      </c>
      <c r="E84" s="151">
        <v>8809879544101</v>
      </c>
      <c r="F84" s="150" t="s">
        <v>24</v>
      </c>
      <c r="G84" s="150" t="s">
        <v>40</v>
      </c>
      <c r="H84" s="150">
        <v>0</v>
      </c>
      <c r="I84" s="150">
        <v>0</v>
      </c>
      <c r="J84" s="150">
        <v>0</v>
      </c>
      <c r="K84" s="152">
        <v>1</v>
      </c>
      <c r="L84" s="150">
        <v>0</v>
      </c>
      <c r="M84" s="150" t="s">
        <v>41</v>
      </c>
      <c r="N84" s="150" t="s">
        <v>257</v>
      </c>
      <c r="O84" s="150">
        <v>22000</v>
      </c>
      <c r="P84" s="150">
        <v>22000</v>
      </c>
      <c r="Q84" s="150" t="str" cm="1">
        <f t="array" ref="Q84">IFERROR(INDEX('DB)입출고매칭용'!$P$2:$P$181,MATCH(1,($C84='DB)입출고매칭용'!$H$2:$H$181)*($B84='DB)입출고매칭용'!$B$2:$B$181)*($K84='DB)입출고매칭용'!$J$2:$J$181),0)),"")</f>
        <v>판매청구</v>
      </c>
      <c r="R84" s="150" t="str" cm="1">
        <f t="array" ref="R84">IFERROR(INDEX('DB)입출고매칭용'!$Q$2:$Q$181,MATCH(1,($C84='DB)입출고매칭용'!$H$2:$H$181)*($B84='DB)입출고매칭용'!$B$2:$B$181)*($K84='DB)입출고매칭용'!$J$2:$J$181),0)),"")</f>
        <v>정상판매 (공구)</v>
      </c>
      <c r="S84" s="169" t="str" cm="1">
        <f t="array" ref="S84">IFERROR(INDEX('DB)입출고매칭용'!$R$2:$R$181,MATCH(1,($C84='DB)입출고매칭용'!$H$2:$H$181)*($B84='DB)입출고매칭용'!$B$2:$B$181)*($K84='DB)입출고매칭용'!$J$2:$J$181),0)),"")</f>
        <v>20260415-0000569</v>
      </c>
    </row>
    <row r="85" spans="1:19">
      <c r="A85" s="151">
        <v>77</v>
      </c>
      <c r="B85" s="153">
        <v>46128</v>
      </c>
      <c r="C85" s="150" t="s">
        <v>830</v>
      </c>
      <c r="D85" s="154" t="s">
        <v>39</v>
      </c>
      <c r="E85" s="151">
        <v>8809879544101</v>
      </c>
      <c r="F85" s="150" t="s">
        <v>24</v>
      </c>
      <c r="G85" s="150" t="s">
        <v>40</v>
      </c>
      <c r="H85" s="150">
        <v>0</v>
      </c>
      <c r="I85" s="150">
        <v>0</v>
      </c>
      <c r="J85" s="150">
        <v>0</v>
      </c>
      <c r="K85" s="152">
        <v>1</v>
      </c>
      <c r="L85" s="150">
        <v>0</v>
      </c>
      <c r="M85" s="150" t="s">
        <v>41</v>
      </c>
      <c r="N85" s="150" t="s">
        <v>257</v>
      </c>
      <c r="O85" s="150">
        <v>22000</v>
      </c>
      <c r="P85" s="150">
        <v>22000</v>
      </c>
      <c r="Q85" s="150" t="str" cm="1">
        <f t="array" ref="Q85">IFERROR(INDEX('DB)입출고매칭용'!$P$2:$P$181,MATCH(1,($C85='DB)입출고매칭용'!$H$2:$H$181)*($B85='DB)입출고매칭용'!$B$2:$B$181)*($K85='DB)입출고매칭용'!$J$2:$J$181),0)),"")</f>
        <v>판매청구</v>
      </c>
      <c r="R85" s="150" t="str" cm="1">
        <f t="array" ref="R85">IFERROR(INDEX('DB)입출고매칭용'!$Q$2:$Q$181,MATCH(1,($C85='DB)입출고매칭용'!$H$2:$H$181)*($B85='DB)입출고매칭용'!$B$2:$B$181)*($K85='DB)입출고매칭용'!$J$2:$J$181),0)),"")</f>
        <v>정상판매 (공구)</v>
      </c>
      <c r="S85" s="169" t="str" cm="1">
        <f t="array" ref="S85">IFERROR(INDEX('DB)입출고매칭용'!$R$2:$R$181,MATCH(1,($C85='DB)입출고매칭용'!$H$2:$H$181)*($B85='DB)입출고매칭용'!$B$2:$B$181)*($K85='DB)입출고매칭용'!$J$2:$J$181),0)),"")</f>
        <v>20260415-0000522</v>
      </c>
    </row>
    <row r="86" spans="1:19">
      <c r="A86" s="151">
        <v>78</v>
      </c>
      <c r="B86" s="153">
        <v>46128</v>
      </c>
      <c r="C86" s="150" t="s">
        <v>831</v>
      </c>
      <c r="D86" s="154" t="s">
        <v>39</v>
      </c>
      <c r="E86" s="151">
        <v>8809879544101</v>
      </c>
      <c r="F86" s="150" t="s">
        <v>24</v>
      </c>
      <c r="G86" s="150" t="s">
        <v>40</v>
      </c>
      <c r="H86" s="150">
        <v>0</v>
      </c>
      <c r="I86" s="150">
        <v>0</v>
      </c>
      <c r="J86" s="150">
        <v>0</v>
      </c>
      <c r="K86" s="152">
        <v>1</v>
      </c>
      <c r="L86" s="150">
        <v>0</v>
      </c>
      <c r="M86" s="150" t="s">
        <v>41</v>
      </c>
      <c r="N86" s="150" t="s">
        <v>257</v>
      </c>
      <c r="O86" s="150">
        <v>22000</v>
      </c>
      <c r="P86" s="150">
        <v>22000</v>
      </c>
      <c r="Q86" s="150" t="str" cm="1">
        <f t="array" ref="Q86">IFERROR(INDEX('DB)입출고매칭용'!$P$2:$P$181,MATCH(1,($C86='DB)입출고매칭용'!$H$2:$H$181)*($B86='DB)입출고매칭용'!$B$2:$B$181)*($K86='DB)입출고매칭용'!$J$2:$J$181),0)),"")</f>
        <v>판매청구</v>
      </c>
      <c r="R86" s="150" t="str" cm="1">
        <f t="array" ref="R86">IFERROR(INDEX('DB)입출고매칭용'!$Q$2:$Q$181,MATCH(1,($C86='DB)입출고매칭용'!$H$2:$H$181)*($B86='DB)입출고매칭용'!$B$2:$B$181)*($K86='DB)입출고매칭용'!$J$2:$J$181),0)),"")</f>
        <v>정상판매 (공구)</v>
      </c>
      <c r="S86" s="169" t="str" cm="1">
        <f t="array" ref="S86">IFERROR(INDEX('DB)입출고매칭용'!$R$2:$R$181,MATCH(1,($C86='DB)입출고매칭용'!$H$2:$H$181)*($B86='DB)입출고매칭용'!$B$2:$B$181)*($K86='DB)입출고매칭용'!$J$2:$J$181),0)),"")</f>
        <v>20260415-0000298</v>
      </c>
    </row>
    <row r="87" spans="1:19">
      <c r="A87" s="151">
        <v>79</v>
      </c>
      <c r="B87" s="153">
        <v>46128</v>
      </c>
      <c r="C87" s="150" t="s">
        <v>832</v>
      </c>
      <c r="D87" s="154" t="s">
        <v>39</v>
      </c>
      <c r="E87" s="151">
        <v>8809879544101</v>
      </c>
      <c r="F87" s="150" t="s">
        <v>24</v>
      </c>
      <c r="G87" s="150" t="s">
        <v>40</v>
      </c>
      <c r="H87" s="150">
        <v>0</v>
      </c>
      <c r="I87" s="150">
        <v>0</v>
      </c>
      <c r="J87" s="150">
        <v>0</v>
      </c>
      <c r="K87" s="152">
        <v>1</v>
      </c>
      <c r="L87" s="150">
        <v>0</v>
      </c>
      <c r="M87" s="150" t="s">
        <v>41</v>
      </c>
      <c r="N87" s="150" t="s">
        <v>257</v>
      </c>
      <c r="O87" s="150">
        <v>22000</v>
      </c>
      <c r="P87" s="150">
        <v>22000</v>
      </c>
      <c r="Q87" s="150" t="str" cm="1">
        <f t="array" ref="Q87">IFERROR(INDEX('DB)입출고매칭용'!$P$2:$P$181,MATCH(1,($C87='DB)입출고매칭용'!$H$2:$H$181)*($B87='DB)입출고매칭용'!$B$2:$B$181)*($K87='DB)입출고매칭용'!$J$2:$J$181),0)),"")</f>
        <v>판매청구</v>
      </c>
      <c r="R87" s="150" t="str" cm="1">
        <f t="array" ref="R87">IFERROR(INDEX('DB)입출고매칭용'!$Q$2:$Q$181,MATCH(1,($C87='DB)입출고매칭용'!$H$2:$H$181)*($B87='DB)입출고매칭용'!$B$2:$B$181)*($K87='DB)입출고매칭용'!$J$2:$J$181),0)),"")</f>
        <v>정상판매 (공구)</v>
      </c>
      <c r="S87" s="169" t="str" cm="1">
        <f t="array" ref="S87">IFERROR(INDEX('DB)입출고매칭용'!$R$2:$R$181,MATCH(1,($C87='DB)입출고매칭용'!$H$2:$H$181)*($B87='DB)입출고매칭용'!$B$2:$B$181)*($K87='DB)입출고매칭용'!$J$2:$J$181),0)),"")</f>
        <v>20260415-0000285</v>
      </c>
    </row>
    <row r="88" spans="1:19">
      <c r="A88" s="151">
        <v>80</v>
      </c>
      <c r="B88" s="153">
        <v>46128</v>
      </c>
      <c r="C88" s="150" t="s">
        <v>833</v>
      </c>
      <c r="D88" s="154" t="s">
        <v>39</v>
      </c>
      <c r="E88" s="151">
        <v>8809879544101</v>
      </c>
      <c r="F88" s="150" t="s">
        <v>24</v>
      </c>
      <c r="G88" s="150" t="s">
        <v>40</v>
      </c>
      <c r="H88" s="150">
        <v>0</v>
      </c>
      <c r="I88" s="150">
        <v>0</v>
      </c>
      <c r="J88" s="150">
        <v>0</v>
      </c>
      <c r="K88" s="152">
        <v>1</v>
      </c>
      <c r="L88" s="150">
        <v>0</v>
      </c>
      <c r="M88" s="150" t="s">
        <v>41</v>
      </c>
      <c r="N88" s="150" t="s">
        <v>257</v>
      </c>
      <c r="O88" s="150">
        <v>22000</v>
      </c>
      <c r="P88" s="150">
        <v>22000</v>
      </c>
      <c r="Q88" s="150" t="str" cm="1">
        <f t="array" ref="Q88">IFERROR(INDEX('DB)입출고매칭용'!$P$2:$P$181,MATCH(1,($C88='DB)입출고매칭용'!$H$2:$H$181)*($B88='DB)입출고매칭용'!$B$2:$B$181)*($K88='DB)입출고매칭용'!$J$2:$J$181),0)),"")</f>
        <v>판매청구</v>
      </c>
      <c r="R88" s="150" t="str" cm="1">
        <f t="array" ref="R88">IFERROR(INDEX('DB)입출고매칭용'!$Q$2:$Q$181,MATCH(1,($C88='DB)입출고매칭용'!$H$2:$H$181)*($B88='DB)입출고매칭용'!$B$2:$B$181)*($K88='DB)입출고매칭용'!$J$2:$J$181),0)),"")</f>
        <v>정상판매 (공구)</v>
      </c>
      <c r="S88" s="169" t="str" cm="1">
        <f t="array" ref="S88">IFERROR(INDEX('DB)입출고매칭용'!$R$2:$R$181,MATCH(1,($C88='DB)입출고매칭용'!$H$2:$H$181)*($B88='DB)입출고매칭용'!$B$2:$B$181)*($K88='DB)입출고매칭용'!$J$2:$J$181),0)),"")</f>
        <v>20260415-0000257</v>
      </c>
    </row>
    <row r="89" spans="1:19">
      <c r="A89" s="151">
        <v>81</v>
      </c>
      <c r="B89" s="153">
        <v>46128</v>
      </c>
      <c r="C89" s="150" t="s">
        <v>834</v>
      </c>
      <c r="D89" s="154" t="s">
        <v>39</v>
      </c>
      <c r="E89" s="151">
        <v>8809879544101</v>
      </c>
      <c r="F89" s="150" t="s">
        <v>24</v>
      </c>
      <c r="G89" s="150" t="s">
        <v>40</v>
      </c>
      <c r="H89" s="150">
        <v>0</v>
      </c>
      <c r="I89" s="150">
        <v>0</v>
      </c>
      <c r="J89" s="150">
        <v>0</v>
      </c>
      <c r="K89" s="152">
        <v>2</v>
      </c>
      <c r="L89" s="150">
        <v>0</v>
      </c>
      <c r="M89" s="150" t="s">
        <v>41</v>
      </c>
      <c r="N89" s="150" t="s">
        <v>257</v>
      </c>
      <c r="O89" s="150">
        <v>22000</v>
      </c>
      <c r="P89" s="150">
        <v>44000</v>
      </c>
      <c r="Q89" s="150" t="str" cm="1">
        <f t="array" ref="Q89">IFERROR(INDEX('DB)입출고매칭용'!$P$2:$P$181,MATCH(1,($C89='DB)입출고매칭용'!$H$2:$H$181)*($B89='DB)입출고매칭용'!$B$2:$B$181)*($K89='DB)입출고매칭용'!$J$2:$J$181),0)),"")</f>
        <v/>
      </c>
      <c r="R89" s="150" t="str" cm="1">
        <f t="array" ref="R89">IFERROR(INDEX('DB)입출고매칭용'!$Q$2:$Q$181,MATCH(1,($C89='DB)입출고매칭용'!$H$2:$H$181)*($B89='DB)입출고매칭용'!$B$2:$B$181)*($K89='DB)입출고매칭용'!$J$2:$J$181),0)),"")</f>
        <v/>
      </c>
      <c r="S89" s="169" t="str" cm="1">
        <f t="array" ref="S89">IFERROR(INDEX('DB)입출고매칭용'!$R$2:$R$181,MATCH(1,($C89='DB)입출고매칭용'!$H$2:$H$181)*($B89='DB)입출고매칭용'!$B$2:$B$181)*($K89='DB)입출고매칭용'!$J$2:$J$181),0)),"")</f>
        <v/>
      </c>
    </row>
    <row r="90" spans="1:19">
      <c r="A90" s="151">
        <v>82</v>
      </c>
      <c r="B90" s="153">
        <v>46128</v>
      </c>
      <c r="C90" s="150" t="s">
        <v>835</v>
      </c>
      <c r="D90" s="154" t="s">
        <v>39</v>
      </c>
      <c r="E90" s="151">
        <v>8809879544101</v>
      </c>
      <c r="F90" s="150" t="s">
        <v>24</v>
      </c>
      <c r="G90" s="150" t="s">
        <v>40</v>
      </c>
      <c r="H90" s="150">
        <v>0</v>
      </c>
      <c r="I90" s="150">
        <v>0</v>
      </c>
      <c r="J90" s="150">
        <v>0</v>
      </c>
      <c r="K90" s="152">
        <v>2</v>
      </c>
      <c r="L90" s="150">
        <v>0</v>
      </c>
      <c r="M90" s="150" t="s">
        <v>41</v>
      </c>
      <c r="N90" s="150" t="s">
        <v>257</v>
      </c>
      <c r="O90" s="150">
        <v>22000</v>
      </c>
      <c r="P90" s="150">
        <v>44000</v>
      </c>
      <c r="Q90" s="150" t="str" cm="1">
        <f t="array" ref="Q90">IFERROR(INDEX('DB)입출고매칭용'!$P$2:$P$181,MATCH(1,($C90='DB)입출고매칭용'!$H$2:$H$181)*($B90='DB)입출고매칭용'!$B$2:$B$181)*($K90='DB)입출고매칭용'!$J$2:$J$181),0)),"")</f>
        <v/>
      </c>
      <c r="R90" s="150" t="str" cm="1">
        <f t="array" ref="R90">IFERROR(INDEX('DB)입출고매칭용'!$Q$2:$Q$181,MATCH(1,($C90='DB)입출고매칭용'!$H$2:$H$181)*($B90='DB)입출고매칭용'!$B$2:$B$181)*($K90='DB)입출고매칭용'!$J$2:$J$181),0)),"")</f>
        <v/>
      </c>
      <c r="S90" s="169" t="str" cm="1">
        <f t="array" ref="S90">IFERROR(INDEX('DB)입출고매칭용'!$R$2:$R$181,MATCH(1,($C90='DB)입출고매칭용'!$H$2:$H$181)*($B90='DB)입출고매칭용'!$B$2:$B$181)*($K90='DB)입출고매칭용'!$J$2:$J$181),0)),"")</f>
        <v/>
      </c>
    </row>
    <row r="91" spans="1:19">
      <c r="A91" s="151">
        <v>83</v>
      </c>
      <c r="B91" s="153">
        <v>46128</v>
      </c>
      <c r="C91" s="150" t="s">
        <v>836</v>
      </c>
      <c r="D91" s="154" t="s">
        <v>39</v>
      </c>
      <c r="E91" s="151">
        <v>8809879544101</v>
      </c>
      <c r="F91" s="150" t="s">
        <v>24</v>
      </c>
      <c r="G91" s="150" t="s">
        <v>40</v>
      </c>
      <c r="H91" s="150">
        <v>0</v>
      </c>
      <c r="I91" s="150">
        <v>0</v>
      </c>
      <c r="J91" s="150">
        <v>0</v>
      </c>
      <c r="K91" s="152">
        <v>2</v>
      </c>
      <c r="L91" s="150">
        <v>0</v>
      </c>
      <c r="M91" s="150" t="s">
        <v>41</v>
      </c>
      <c r="N91" s="150" t="s">
        <v>257</v>
      </c>
      <c r="O91" s="150">
        <v>22000</v>
      </c>
      <c r="P91" s="150">
        <v>44000</v>
      </c>
      <c r="Q91" s="150" t="str" cm="1">
        <f t="array" ref="Q91">IFERROR(INDEX('DB)입출고매칭용'!$P$2:$P$181,MATCH(1,($C91='DB)입출고매칭용'!$H$2:$H$181)*($B91='DB)입출고매칭용'!$B$2:$B$181)*($K91='DB)입출고매칭용'!$J$2:$J$181),0)),"")</f>
        <v/>
      </c>
      <c r="R91" s="150" t="str" cm="1">
        <f t="array" ref="R91">IFERROR(INDEX('DB)입출고매칭용'!$Q$2:$Q$181,MATCH(1,($C91='DB)입출고매칭용'!$H$2:$H$181)*($B91='DB)입출고매칭용'!$B$2:$B$181)*($K91='DB)입출고매칭용'!$J$2:$J$181),0)),"")</f>
        <v/>
      </c>
      <c r="S91" s="169" t="str" cm="1">
        <f t="array" ref="S91">IFERROR(INDEX('DB)입출고매칭용'!$R$2:$R$181,MATCH(1,($C91='DB)입출고매칭용'!$H$2:$H$181)*($B91='DB)입출고매칭용'!$B$2:$B$181)*($K91='DB)입출고매칭용'!$J$2:$J$181),0)),"")</f>
        <v/>
      </c>
    </row>
    <row r="92" spans="1:19">
      <c r="A92" s="151">
        <v>84</v>
      </c>
      <c r="B92" s="153">
        <v>46128</v>
      </c>
      <c r="C92" s="150" t="s">
        <v>837</v>
      </c>
      <c r="D92" s="154" t="s">
        <v>39</v>
      </c>
      <c r="E92" s="151">
        <v>8809879544101</v>
      </c>
      <c r="F92" s="150" t="s">
        <v>24</v>
      </c>
      <c r="G92" s="150" t="s">
        <v>40</v>
      </c>
      <c r="H92" s="150">
        <v>0</v>
      </c>
      <c r="I92" s="150">
        <v>0</v>
      </c>
      <c r="J92" s="150">
        <v>0</v>
      </c>
      <c r="K92" s="152">
        <v>2</v>
      </c>
      <c r="L92" s="150">
        <v>0</v>
      </c>
      <c r="M92" s="150" t="s">
        <v>41</v>
      </c>
      <c r="N92" s="150" t="s">
        <v>257</v>
      </c>
      <c r="O92" s="150">
        <v>22000</v>
      </c>
      <c r="P92" s="150">
        <v>44000</v>
      </c>
      <c r="Q92" s="150" t="str" cm="1">
        <f t="array" ref="Q92">IFERROR(INDEX('DB)입출고매칭용'!$P$2:$P$181,MATCH(1,($C92='DB)입출고매칭용'!$H$2:$H$181)*($B92='DB)입출고매칭용'!$B$2:$B$181)*($K92='DB)입출고매칭용'!$J$2:$J$181),0)),"")</f>
        <v/>
      </c>
      <c r="R92" s="150" t="str" cm="1">
        <f t="array" ref="R92">IFERROR(INDEX('DB)입출고매칭용'!$Q$2:$Q$181,MATCH(1,($C92='DB)입출고매칭용'!$H$2:$H$181)*($B92='DB)입출고매칭용'!$B$2:$B$181)*($K92='DB)입출고매칭용'!$J$2:$J$181),0)),"")</f>
        <v/>
      </c>
      <c r="S92" s="169" t="str" cm="1">
        <f t="array" ref="S92">IFERROR(INDEX('DB)입출고매칭용'!$R$2:$R$181,MATCH(1,($C92='DB)입출고매칭용'!$H$2:$H$181)*($B92='DB)입출고매칭용'!$B$2:$B$181)*($K92='DB)입출고매칭용'!$J$2:$J$181),0)),"")</f>
        <v/>
      </c>
    </row>
    <row r="93" spans="1:19">
      <c r="A93" s="151">
        <v>85</v>
      </c>
      <c r="B93" s="153">
        <v>46128</v>
      </c>
      <c r="C93" s="150" t="s">
        <v>838</v>
      </c>
      <c r="D93" s="154" t="s">
        <v>39</v>
      </c>
      <c r="E93" s="151">
        <v>8809879544101</v>
      </c>
      <c r="F93" s="150" t="s">
        <v>24</v>
      </c>
      <c r="G93" s="150" t="s">
        <v>40</v>
      </c>
      <c r="H93" s="150">
        <v>0</v>
      </c>
      <c r="I93" s="150">
        <v>0</v>
      </c>
      <c r="J93" s="150">
        <v>0</v>
      </c>
      <c r="K93" s="152">
        <v>2</v>
      </c>
      <c r="L93" s="150">
        <v>0</v>
      </c>
      <c r="M93" s="150" t="s">
        <v>41</v>
      </c>
      <c r="N93" s="150" t="s">
        <v>257</v>
      </c>
      <c r="O93" s="150">
        <v>22000</v>
      </c>
      <c r="P93" s="150">
        <v>44000</v>
      </c>
      <c r="Q93" s="150" t="str" cm="1">
        <f t="array" ref="Q93">IFERROR(INDEX('DB)입출고매칭용'!$P$2:$P$181,MATCH(1,($C93='DB)입출고매칭용'!$H$2:$H$181)*($B93='DB)입출고매칭용'!$B$2:$B$181)*($K93='DB)입출고매칭용'!$J$2:$J$181),0)),"")</f>
        <v/>
      </c>
      <c r="R93" s="150" t="str" cm="1">
        <f t="array" ref="R93">IFERROR(INDEX('DB)입출고매칭용'!$Q$2:$Q$181,MATCH(1,($C93='DB)입출고매칭용'!$H$2:$H$181)*($B93='DB)입출고매칭용'!$B$2:$B$181)*($K93='DB)입출고매칭용'!$J$2:$J$181),0)),"")</f>
        <v/>
      </c>
      <c r="S93" s="169" t="str" cm="1">
        <f t="array" ref="S93">IFERROR(INDEX('DB)입출고매칭용'!$R$2:$R$181,MATCH(1,($C93='DB)입출고매칭용'!$H$2:$H$181)*($B93='DB)입출고매칭용'!$B$2:$B$181)*($K93='DB)입출고매칭용'!$J$2:$J$181),0)),"")</f>
        <v/>
      </c>
    </row>
    <row r="94" spans="1:19">
      <c r="A94" s="151">
        <v>86</v>
      </c>
      <c r="B94" s="153">
        <v>46128</v>
      </c>
      <c r="C94" s="150" t="s">
        <v>839</v>
      </c>
      <c r="D94" s="154" t="s">
        <v>39</v>
      </c>
      <c r="E94" s="151">
        <v>8809879544101</v>
      </c>
      <c r="F94" s="150" t="s">
        <v>24</v>
      </c>
      <c r="G94" s="150" t="s">
        <v>40</v>
      </c>
      <c r="H94" s="150">
        <v>0</v>
      </c>
      <c r="I94" s="150">
        <v>0</v>
      </c>
      <c r="J94" s="150">
        <v>0</v>
      </c>
      <c r="K94" s="152">
        <v>3</v>
      </c>
      <c r="L94" s="150">
        <v>0</v>
      </c>
      <c r="M94" s="150" t="s">
        <v>41</v>
      </c>
      <c r="N94" s="150" t="s">
        <v>257</v>
      </c>
      <c r="O94" s="150">
        <v>22000</v>
      </c>
      <c r="P94" s="150">
        <v>66000</v>
      </c>
      <c r="Q94" s="150" t="str" cm="1">
        <f t="array" ref="Q94">IFERROR(INDEX('DB)입출고매칭용'!$P$2:$P$181,MATCH(1,($C94='DB)입출고매칭용'!$H$2:$H$181)*($B94='DB)입출고매칭용'!$B$2:$B$181)*($K94='DB)입출고매칭용'!$J$2:$J$181),0)),"")</f>
        <v/>
      </c>
      <c r="R94" s="150" t="str" cm="1">
        <f t="array" ref="R94">IFERROR(INDEX('DB)입출고매칭용'!$Q$2:$Q$181,MATCH(1,($C94='DB)입출고매칭용'!$H$2:$H$181)*($B94='DB)입출고매칭용'!$B$2:$B$181)*($K94='DB)입출고매칭용'!$J$2:$J$181),0)),"")</f>
        <v/>
      </c>
      <c r="S94" s="169" t="str" cm="1">
        <f t="array" ref="S94">IFERROR(INDEX('DB)입출고매칭용'!$R$2:$R$181,MATCH(1,($C94='DB)입출고매칭용'!$H$2:$H$181)*($B94='DB)입출고매칭용'!$B$2:$B$181)*($K94='DB)입출고매칭용'!$J$2:$J$181),0)),"")</f>
        <v/>
      </c>
    </row>
    <row r="95" spans="1:19">
      <c r="A95" s="151">
        <v>87</v>
      </c>
      <c r="B95" s="153">
        <v>46128</v>
      </c>
      <c r="C95" s="150" t="s">
        <v>840</v>
      </c>
      <c r="D95" s="154" t="s">
        <v>39</v>
      </c>
      <c r="E95" s="151">
        <v>8809879544101</v>
      </c>
      <c r="F95" s="150" t="s">
        <v>24</v>
      </c>
      <c r="G95" s="150" t="s">
        <v>40</v>
      </c>
      <c r="H95" s="150">
        <v>0</v>
      </c>
      <c r="I95" s="150">
        <v>0</v>
      </c>
      <c r="J95" s="150">
        <v>0</v>
      </c>
      <c r="K95" s="152">
        <v>3</v>
      </c>
      <c r="L95" s="150">
        <v>0</v>
      </c>
      <c r="M95" s="150" t="s">
        <v>41</v>
      </c>
      <c r="N95" s="150" t="s">
        <v>257</v>
      </c>
      <c r="O95" s="150">
        <v>22000</v>
      </c>
      <c r="P95" s="150">
        <v>66000</v>
      </c>
      <c r="Q95" s="150" t="str" cm="1">
        <f t="array" ref="Q95">IFERROR(INDEX('DB)입출고매칭용'!$P$2:$P$181,MATCH(1,($C95='DB)입출고매칭용'!$H$2:$H$181)*($B95='DB)입출고매칭용'!$B$2:$B$181)*($K95='DB)입출고매칭용'!$J$2:$J$181),0)),"")</f>
        <v/>
      </c>
      <c r="R95" s="150" t="str" cm="1">
        <f t="array" ref="R95">IFERROR(INDEX('DB)입출고매칭용'!$Q$2:$Q$181,MATCH(1,($C95='DB)입출고매칭용'!$H$2:$H$181)*($B95='DB)입출고매칭용'!$B$2:$B$181)*($K95='DB)입출고매칭용'!$J$2:$J$181),0)),"")</f>
        <v/>
      </c>
      <c r="S95" s="169" t="str" cm="1">
        <f t="array" ref="S95">IFERROR(INDEX('DB)입출고매칭용'!$R$2:$R$181,MATCH(1,($C95='DB)입출고매칭용'!$H$2:$H$181)*($B95='DB)입출고매칭용'!$B$2:$B$181)*($K95='DB)입출고매칭용'!$J$2:$J$181),0)),"")</f>
        <v/>
      </c>
    </row>
    <row r="96" spans="1:19">
      <c r="A96" s="151">
        <v>88</v>
      </c>
      <c r="B96" s="153">
        <v>46128</v>
      </c>
      <c r="C96" s="150" t="s">
        <v>841</v>
      </c>
      <c r="D96" s="154" t="s">
        <v>39</v>
      </c>
      <c r="E96" s="151">
        <v>8809879544101</v>
      </c>
      <c r="F96" s="150" t="s">
        <v>24</v>
      </c>
      <c r="G96" s="150" t="s">
        <v>40</v>
      </c>
      <c r="H96" s="150">
        <v>0</v>
      </c>
      <c r="I96" s="150">
        <v>0</v>
      </c>
      <c r="J96" s="150">
        <v>0</v>
      </c>
      <c r="K96" s="152">
        <v>3</v>
      </c>
      <c r="L96" s="150">
        <v>0</v>
      </c>
      <c r="M96" s="150" t="s">
        <v>41</v>
      </c>
      <c r="N96" s="150" t="s">
        <v>257</v>
      </c>
      <c r="O96" s="150">
        <v>22000</v>
      </c>
      <c r="P96" s="150">
        <v>66000</v>
      </c>
      <c r="Q96" s="150" t="str" cm="1">
        <f t="array" ref="Q96">IFERROR(INDEX('DB)입출고매칭용'!$P$2:$P$181,MATCH(1,($C96='DB)입출고매칭용'!$H$2:$H$181)*($B96='DB)입출고매칭용'!$B$2:$B$181)*($K96='DB)입출고매칭용'!$J$2:$J$181),0)),"")</f>
        <v/>
      </c>
      <c r="R96" s="150" t="str" cm="1">
        <f t="array" ref="R96">IFERROR(INDEX('DB)입출고매칭용'!$Q$2:$Q$181,MATCH(1,($C96='DB)입출고매칭용'!$H$2:$H$181)*($B96='DB)입출고매칭용'!$B$2:$B$181)*($K96='DB)입출고매칭용'!$J$2:$J$181),0)),"")</f>
        <v/>
      </c>
      <c r="S96" s="169" t="str" cm="1">
        <f t="array" ref="S96">IFERROR(INDEX('DB)입출고매칭용'!$R$2:$R$181,MATCH(1,($C96='DB)입출고매칭용'!$H$2:$H$181)*($B96='DB)입출고매칭용'!$B$2:$B$181)*($K96='DB)입출고매칭용'!$J$2:$J$181),0)),"")</f>
        <v/>
      </c>
    </row>
    <row r="97" spans="1:19">
      <c r="A97" s="151">
        <v>89</v>
      </c>
      <c r="B97" s="153">
        <v>46128</v>
      </c>
      <c r="C97" s="150" t="s">
        <v>842</v>
      </c>
      <c r="D97" s="154" t="s">
        <v>39</v>
      </c>
      <c r="E97" s="151">
        <v>8809879544101</v>
      </c>
      <c r="F97" s="150" t="s">
        <v>24</v>
      </c>
      <c r="G97" s="150" t="s">
        <v>40</v>
      </c>
      <c r="H97" s="150">
        <v>0</v>
      </c>
      <c r="I97" s="150">
        <v>0</v>
      </c>
      <c r="J97" s="150">
        <v>0</v>
      </c>
      <c r="K97" s="152">
        <v>1</v>
      </c>
      <c r="L97" s="150">
        <v>0</v>
      </c>
      <c r="M97" s="150" t="s">
        <v>41</v>
      </c>
      <c r="N97" s="150" t="s">
        <v>257</v>
      </c>
      <c r="O97" s="150">
        <v>22000</v>
      </c>
      <c r="P97" s="150">
        <v>22000</v>
      </c>
      <c r="Q97" s="150" t="str" cm="1">
        <f t="array" ref="Q97">IFERROR(INDEX('DB)입출고매칭용'!$P$2:$P$181,MATCH(1,($C97='DB)입출고매칭용'!$H$2:$H$181)*($B97='DB)입출고매칭용'!$B$2:$B$181)*($K97='DB)입출고매칭용'!$J$2:$J$181),0)),"")</f>
        <v>판매청구</v>
      </c>
      <c r="R97" s="150" t="str" cm="1">
        <f t="array" ref="R97">IFERROR(INDEX('DB)입출고매칭용'!$Q$2:$Q$181,MATCH(1,($C97='DB)입출고매칭용'!$H$2:$H$181)*($B97='DB)입출고매칭용'!$B$2:$B$181)*($K97='DB)입출고매칭용'!$J$2:$J$181),0)),"")</f>
        <v>정상판매 (공구)</v>
      </c>
      <c r="S97" s="169" t="str" cm="1">
        <f t="array" ref="S97">IFERROR(INDEX('DB)입출고매칭용'!$R$2:$R$181,MATCH(1,($C97='DB)입출고매칭용'!$H$2:$H$181)*($B97='DB)입출고매칭용'!$B$2:$B$181)*($K97='DB)입출고매칭용'!$J$2:$J$181),0)),"")</f>
        <v>20260415-0000641</v>
      </c>
    </row>
    <row r="98" spans="1:19">
      <c r="A98" s="151">
        <v>90</v>
      </c>
      <c r="B98" s="153">
        <v>46128</v>
      </c>
      <c r="C98" s="150" t="s">
        <v>843</v>
      </c>
      <c r="D98" s="154" t="s">
        <v>39</v>
      </c>
      <c r="E98" s="151">
        <v>8809879544101</v>
      </c>
      <c r="F98" s="150" t="s">
        <v>24</v>
      </c>
      <c r="G98" s="150" t="s">
        <v>40</v>
      </c>
      <c r="H98" s="150">
        <v>0</v>
      </c>
      <c r="I98" s="150">
        <v>0</v>
      </c>
      <c r="J98" s="150">
        <v>0</v>
      </c>
      <c r="K98" s="152">
        <v>2</v>
      </c>
      <c r="L98" s="150">
        <v>0</v>
      </c>
      <c r="M98" s="150" t="s">
        <v>41</v>
      </c>
      <c r="N98" s="150" t="s">
        <v>257</v>
      </c>
      <c r="O98" s="150">
        <v>22000</v>
      </c>
      <c r="P98" s="150">
        <v>44000</v>
      </c>
      <c r="Q98" s="150" t="str" cm="1">
        <f t="array" ref="Q98">IFERROR(INDEX('DB)입출고매칭용'!$P$2:$P$181,MATCH(1,($C98='DB)입출고매칭용'!$H$2:$H$181)*($B98='DB)입출고매칭용'!$B$2:$B$181)*($K98='DB)입출고매칭용'!$J$2:$J$181),0)),"")</f>
        <v/>
      </c>
      <c r="R98" s="150" t="str" cm="1">
        <f t="array" ref="R98">IFERROR(INDEX('DB)입출고매칭용'!$Q$2:$Q$181,MATCH(1,($C98='DB)입출고매칭용'!$H$2:$H$181)*($B98='DB)입출고매칭용'!$B$2:$B$181)*($K98='DB)입출고매칭용'!$J$2:$J$181),0)),"")</f>
        <v/>
      </c>
      <c r="S98" s="169" t="str" cm="1">
        <f t="array" ref="S98">IFERROR(INDEX('DB)입출고매칭용'!$R$2:$R$181,MATCH(1,($C98='DB)입출고매칭용'!$H$2:$H$181)*($B98='DB)입출고매칭용'!$B$2:$B$181)*($K98='DB)입출고매칭용'!$J$2:$J$181),0)),"")</f>
        <v/>
      </c>
    </row>
    <row r="99" spans="1:19">
      <c r="A99" s="151">
        <v>91</v>
      </c>
      <c r="B99" s="153">
        <v>46128</v>
      </c>
      <c r="C99" s="150" t="s">
        <v>844</v>
      </c>
      <c r="D99" s="154" t="s">
        <v>39</v>
      </c>
      <c r="E99" s="151">
        <v>8809879544101</v>
      </c>
      <c r="F99" s="150" t="s">
        <v>24</v>
      </c>
      <c r="G99" s="150" t="s">
        <v>40</v>
      </c>
      <c r="H99" s="150">
        <v>0</v>
      </c>
      <c r="I99" s="150">
        <v>0</v>
      </c>
      <c r="J99" s="150">
        <v>0</v>
      </c>
      <c r="K99" s="152">
        <v>1</v>
      </c>
      <c r="L99" s="150">
        <v>0</v>
      </c>
      <c r="M99" s="150" t="s">
        <v>41</v>
      </c>
      <c r="N99" s="150" t="s">
        <v>257</v>
      </c>
      <c r="O99" s="150">
        <v>22000</v>
      </c>
      <c r="P99" s="150">
        <v>22000</v>
      </c>
      <c r="Q99" s="150" t="str" cm="1">
        <f t="array" ref="Q99">IFERROR(INDEX('DB)입출고매칭용'!$P$2:$P$181,MATCH(1,($C99='DB)입출고매칭용'!$H$2:$H$181)*($B99='DB)입출고매칭용'!$B$2:$B$181)*($K99='DB)입출고매칭용'!$J$2:$J$181),0)),"")</f>
        <v>판매청구</v>
      </c>
      <c r="R99" s="150" t="str" cm="1">
        <f t="array" ref="R99">IFERROR(INDEX('DB)입출고매칭용'!$Q$2:$Q$181,MATCH(1,($C99='DB)입출고매칭용'!$H$2:$H$181)*($B99='DB)입출고매칭용'!$B$2:$B$181)*($K99='DB)입출고매칭용'!$J$2:$J$181),0)),"")</f>
        <v>정상판매 (공구)</v>
      </c>
      <c r="S99" s="169" t="str" cm="1">
        <f t="array" ref="S99">IFERROR(INDEX('DB)입출고매칭용'!$R$2:$R$181,MATCH(1,($C99='DB)입출고매칭용'!$H$2:$H$181)*($B99='DB)입출고매칭용'!$B$2:$B$181)*($K99='DB)입출고매칭용'!$J$2:$J$181),0)),"")</f>
        <v>20260416-0000357</v>
      </c>
    </row>
    <row r="100" spans="1:19">
      <c r="A100" s="151">
        <v>92</v>
      </c>
      <c r="B100" s="153">
        <v>46128</v>
      </c>
      <c r="C100" s="150" t="s">
        <v>845</v>
      </c>
      <c r="D100" s="154" t="s">
        <v>39</v>
      </c>
      <c r="E100" s="151">
        <v>8809879544101</v>
      </c>
      <c r="F100" s="150" t="s">
        <v>24</v>
      </c>
      <c r="G100" s="150" t="s">
        <v>40</v>
      </c>
      <c r="H100" s="150">
        <v>0</v>
      </c>
      <c r="I100" s="150">
        <v>0</v>
      </c>
      <c r="J100" s="150">
        <v>0</v>
      </c>
      <c r="K100" s="152">
        <v>1</v>
      </c>
      <c r="L100" s="150">
        <v>0</v>
      </c>
      <c r="M100" s="150" t="s">
        <v>41</v>
      </c>
      <c r="N100" s="150" t="s">
        <v>257</v>
      </c>
      <c r="O100" s="150">
        <v>22000</v>
      </c>
      <c r="P100" s="150">
        <v>22000</v>
      </c>
      <c r="Q100" s="150" t="str" cm="1">
        <f t="array" ref="Q100">IFERROR(INDEX('DB)입출고매칭용'!$P$2:$P$181,MATCH(1,($C100='DB)입출고매칭용'!$H$2:$H$181)*($B100='DB)입출고매칭용'!$B$2:$B$181)*($K100='DB)입출고매칭용'!$J$2:$J$181),0)),"")</f>
        <v>판매청구</v>
      </c>
      <c r="R100" s="150" t="str" cm="1">
        <f t="array" ref="R100">IFERROR(INDEX('DB)입출고매칭용'!$Q$2:$Q$181,MATCH(1,($C100='DB)입출고매칭용'!$H$2:$H$181)*($B100='DB)입출고매칭용'!$B$2:$B$181)*($K100='DB)입출고매칭용'!$J$2:$J$181),0)),"")</f>
        <v>정상판매 (공구)</v>
      </c>
      <c r="S100" s="169" t="str" cm="1">
        <f t="array" ref="S100">IFERROR(INDEX('DB)입출고매칭용'!$R$2:$R$181,MATCH(1,($C100='DB)입출고매칭용'!$H$2:$H$181)*($B100='DB)입출고매칭용'!$B$2:$B$181)*($K100='DB)입출고매칭용'!$J$2:$J$181),0)),"")</f>
        <v>20260416-0000235</v>
      </c>
    </row>
    <row r="101" spans="1:19">
      <c r="A101" s="151">
        <v>93</v>
      </c>
      <c r="B101" s="153">
        <v>46128</v>
      </c>
      <c r="C101" s="150" t="s">
        <v>846</v>
      </c>
      <c r="D101" s="154" t="s">
        <v>39</v>
      </c>
      <c r="E101" s="151">
        <v>8809879544101</v>
      </c>
      <c r="F101" s="150" t="s">
        <v>24</v>
      </c>
      <c r="G101" s="150" t="s">
        <v>40</v>
      </c>
      <c r="H101" s="150">
        <v>0</v>
      </c>
      <c r="I101" s="150">
        <v>0</v>
      </c>
      <c r="J101" s="150">
        <v>0</v>
      </c>
      <c r="K101" s="152">
        <v>1</v>
      </c>
      <c r="L101" s="150">
        <v>0</v>
      </c>
      <c r="M101" s="150" t="s">
        <v>41</v>
      </c>
      <c r="N101" s="150" t="s">
        <v>257</v>
      </c>
      <c r="O101" s="150">
        <v>22000</v>
      </c>
      <c r="P101" s="150">
        <v>22000</v>
      </c>
      <c r="Q101" s="150" t="str" cm="1">
        <f t="array" ref="Q101">IFERROR(INDEX('DB)입출고매칭용'!$P$2:$P$181,MATCH(1,($C101='DB)입출고매칭용'!$H$2:$H$181)*($B101='DB)입출고매칭용'!$B$2:$B$181)*($K101='DB)입출고매칭용'!$J$2:$J$181),0)),"")</f>
        <v>판매청구</v>
      </c>
      <c r="R101" s="150" t="str" cm="1">
        <f t="array" ref="R101">IFERROR(INDEX('DB)입출고매칭용'!$Q$2:$Q$181,MATCH(1,($C101='DB)입출고매칭용'!$H$2:$H$181)*($B101='DB)입출고매칭용'!$B$2:$B$181)*($K101='DB)입출고매칭용'!$J$2:$J$181),0)),"")</f>
        <v>정상판매 (공구)</v>
      </c>
      <c r="S101" s="169" t="str" cm="1">
        <f t="array" ref="S101">IFERROR(INDEX('DB)입출고매칭용'!$R$2:$R$181,MATCH(1,($C101='DB)입출고매칭용'!$H$2:$H$181)*($B101='DB)입출고매칭용'!$B$2:$B$181)*($K101='DB)입출고매칭용'!$J$2:$J$181),0)),"")</f>
        <v>20260416-0000185</v>
      </c>
    </row>
    <row r="102" spans="1:19">
      <c r="A102" s="151">
        <v>94</v>
      </c>
      <c r="B102" s="153">
        <v>46128</v>
      </c>
      <c r="C102" s="150" t="s">
        <v>847</v>
      </c>
      <c r="D102" s="154" t="s">
        <v>39</v>
      </c>
      <c r="E102" s="151">
        <v>8809879544101</v>
      </c>
      <c r="F102" s="150" t="s">
        <v>24</v>
      </c>
      <c r="G102" s="150" t="s">
        <v>40</v>
      </c>
      <c r="H102" s="150">
        <v>0</v>
      </c>
      <c r="I102" s="150">
        <v>0</v>
      </c>
      <c r="J102" s="150">
        <v>0</v>
      </c>
      <c r="K102" s="152">
        <v>1</v>
      </c>
      <c r="L102" s="150">
        <v>0</v>
      </c>
      <c r="M102" s="150" t="s">
        <v>41</v>
      </c>
      <c r="N102" s="150" t="s">
        <v>257</v>
      </c>
      <c r="O102" s="150">
        <v>22000</v>
      </c>
      <c r="P102" s="150">
        <v>22000</v>
      </c>
      <c r="Q102" s="150" t="str" cm="1">
        <f t="array" ref="Q102">IFERROR(INDEX('DB)입출고매칭용'!$P$2:$P$181,MATCH(1,($C102='DB)입출고매칭용'!$H$2:$H$181)*($B102='DB)입출고매칭용'!$B$2:$B$181)*($K102='DB)입출고매칭용'!$J$2:$J$181),0)),"")</f>
        <v/>
      </c>
      <c r="R102" s="150" t="str" cm="1">
        <f t="array" ref="R102">IFERROR(INDEX('DB)입출고매칭용'!$Q$2:$Q$181,MATCH(1,($C102='DB)입출고매칭용'!$H$2:$H$181)*($B102='DB)입출고매칭용'!$B$2:$B$181)*($K102='DB)입출고매칭용'!$J$2:$J$181),0)),"")</f>
        <v/>
      </c>
      <c r="S102" s="169" t="str" cm="1">
        <f t="array" ref="S102">IFERROR(INDEX('DB)입출고매칭용'!$R$2:$R$181,MATCH(1,($C102='DB)입출고매칭용'!$H$2:$H$181)*($B102='DB)입출고매칭용'!$B$2:$B$181)*($K102='DB)입출고매칭용'!$J$2:$J$181),0)),"")</f>
        <v/>
      </c>
    </row>
    <row r="103" spans="1:19">
      <c r="A103" s="151">
        <v>95</v>
      </c>
      <c r="B103" s="153">
        <v>46128</v>
      </c>
      <c r="C103" s="150" t="s">
        <v>847</v>
      </c>
      <c r="D103" s="154" t="s">
        <v>39</v>
      </c>
      <c r="E103" s="151">
        <v>8809879544118</v>
      </c>
      <c r="F103" s="150" t="s">
        <v>23</v>
      </c>
      <c r="G103" s="150" t="s">
        <v>40</v>
      </c>
      <c r="H103" s="150">
        <v>0</v>
      </c>
      <c r="I103" s="150">
        <v>0</v>
      </c>
      <c r="J103" s="150">
        <v>0</v>
      </c>
      <c r="K103" s="152">
        <v>1</v>
      </c>
      <c r="L103" s="150">
        <v>0</v>
      </c>
      <c r="M103" s="150" t="s">
        <v>41</v>
      </c>
      <c r="N103" s="150" t="s">
        <v>257</v>
      </c>
      <c r="O103" s="150">
        <v>22000</v>
      </c>
      <c r="P103" s="150">
        <v>22000</v>
      </c>
      <c r="Q103" s="150" t="str" cm="1">
        <f t="array" ref="Q103">IFERROR(INDEX('DB)입출고매칭용'!$P$2:$P$181,MATCH(1,($C103='DB)입출고매칭용'!$H$2:$H$181)*($B103='DB)입출고매칭용'!$B$2:$B$181)*($K103='DB)입출고매칭용'!$J$2:$J$181),0)),"")</f>
        <v/>
      </c>
      <c r="R103" s="150" t="str" cm="1">
        <f t="array" ref="R103">IFERROR(INDEX('DB)입출고매칭용'!$Q$2:$Q$181,MATCH(1,($C103='DB)입출고매칭용'!$H$2:$H$181)*($B103='DB)입출고매칭용'!$B$2:$B$181)*($K103='DB)입출고매칭용'!$J$2:$J$181),0)),"")</f>
        <v/>
      </c>
      <c r="S103" s="169" t="str" cm="1">
        <f t="array" ref="S103">IFERROR(INDEX('DB)입출고매칭용'!$R$2:$R$181,MATCH(1,($C103='DB)입출고매칭용'!$H$2:$H$181)*($B103='DB)입출고매칭용'!$B$2:$B$181)*($K103='DB)입출고매칭용'!$J$2:$J$181),0)),"")</f>
        <v/>
      </c>
    </row>
    <row r="104" spans="1:19">
      <c r="A104" s="151">
        <v>96</v>
      </c>
      <c r="B104" s="153">
        <v>46128</v>
      </c>
      <c r="C104" s="150" t="s">
        <v>848</v>
      </c>
      <c r="D104" s="154" t="s">
        <v>39</v>
      </c>
      <c r="E104" s="151">
        <v>8809879544101</v>
      </c>
      <c r="F104" s="150" t="s">
        <v>24</v>
      </c>
      <c r="G104" s="150" t="s">
        <v>40</v>
      </c>
      <c r="H104" s="150">
        <v>0</v>
      </c>
      <c r="I104" s="150">
        <v>0</v>
      </c>
      <c r="J104" s="150">
        <v>0</v>
      </c>
      <c r="K104" s="152">
        <v>2</v>
      </c>
      <c r="L104" s="150">
        <v>0</v>
      </c>
      <c r="M104" s="150" t="s">
        <v>41</v>
      </c>
      <c r="N104" s="150" t="s">
        <v>257</v>
      </c>
      <c r="O104" s="150">
        <v>22000</v>
      </c>
      <c r="P104" s="150">
        <v>44000</v>
      </c>
      <c r="Q104" s="150" t="str" cm="1">
        <f t="array" ref="Q104">IFERROR(INDEX('DB)입출고매칭용'!$P$2:$P$181,MATCH(1,($C104='DB)입출고매칭용'!$H$2:$H$181)*($B104='DB)입출고매칭용'!$B$2:$B$181)*($K104='DB)입출고매칭용'!$J$2:$J$181),0)),"")</f>
        <v/>
      </c>
      <c r="R104" s="150" t="str" cm="1">
        <f t="array" ref="R104">IFERROR(INDEX('DB)입출고매칭용'!$Q$2:$Q$181,MATCH(1,($C104='DB)입출고매칭용'!$H$2:$H$181)*($B104='DB)입출고매칭용'!$B$2:$B$181)*($K104='DB)입출고매칭용'!$J$2:$J$181),0)),"")</f>
        <v/>
      </c>
      <c r="S104" s="169" t="str" cm="1">
        <f t="array" ref="S104">IFERROR(INDEX('DB)입출고매칭용'!$R$2:$R$181,MATCH(1,($C104='DB)입출고매칭용'!$H$2:$H$181)*($B104='DB)입출고매칭용'!$B$2:$B$181)*($K104='DB)입출고매칭용'!$J$2:$J$181),0)),"")</f>
        <v/>
      </c>
    </row>
    <row r="105" spans="1:19">
      <c r="A105" s="151">
        <v>97</v>
      </c>
      <c r="B105" s="153">
        <v>46128</v>
      </c>
      <c r="C105" s="150" t="s">
        <v>849</v>
      </c>
      <c r="D105" s="154" t="s">
        <v>39</v>
      </c>
      <c r="E105" s="151">
        <v>8809879544101</v>
      </c>
      <c r="F105" s="150" t="s">
        <v>24</v>
      </c>
      <c r="G105" s="150" t="s">
        <v>40</v>
      </c>
      <c r="H105" s="150">
        <v>0</v>
      </c>
      <c r="I105" s="150">
        <v>0</v>
      </c>
      <c r="J105" s="150">
        <v>0</v>
      </c>
      <c r="K105" s="152">
        <v>2</v>
      </c>
      <c r="L105" s="150">
        <v>0</v>
      </c>
      <c r="M105" s="150" t="s">
        <v>41</v>
      </c>
      <c r="N105" s="150" t="s">
        <v>257</v>
      </c>
      <c r="O105" s="150">
        <v>22000</v>
      </c>
      <c r="P105" s="150">
        <v>44000</v>
      </c>
      <c r="Q105" s="150" t="str" cm="1">
        <f t="array" ref="Q105">IFERROR(INDEX('DB)입출고매칭용'!$P$2:$P$181,MATCH(1,($C105='DB)입출고매칭용'!$H$2:$H$181)*($B105='DB)입출고매칭용'!$B$2:$B$181)*($K105='DB)입출고매칭용'!$J$2:$J$181),0)),"")</f>
        <v/>
      </c>
      <c r="R105" s="150" t="str" cm="1">
        <f t="array" ref="R105">IFERROR(INDEX('DB)입출고매칭용'!$Q$2:$Q$181,MATCH(1,($C105='DB)입출고매칭용'!$H$2:$H$181)*($B105='DB)입출고매칭용'!$B$2:$B$181)*($K105='DB)입출고매칭용'!$J$2:$J$181),0)),"")</f>
        <v/>
      </c>
      <c r="S105" s="169" t="str" cm="1">
        <f t="array" ref="S105">IFERROR(INDEX('DB)입출고매칭용'!$R$2:$R$181,MATCH(1,($C105='DB)입출고매칭용'!$H$2:$H$181)*($B105='DB)입출고매칭용'!$B$2:$B$181)*($K105='DB)입출고매칭용'!$J$2:$J$181),0)),"")</f>
        <v/>
      </c>
    </row>
    <row r="106" spans="1:19">
      <c r="A106" s="151">
        <v>98</v>
      </c>
      <c r="B106" s="153">
        <v>46128</v>
      </c>
      <c r="C106" s="150" t="s">
        <v>850</v>
      </c>
      <c r="D106" s="154" t="s">
        <v>39</v>
      </c>
      <c r="E106" s="151">
        <v>8809879544101</v>
      </c>
      <c r="F106" s="150" t="s">
        <v>24</v>
      </c>
      <c r="G106" s="150" t="s">
        <v>40</v>
      </c>
      <c r="H106" s="150">
        <v>0</v>
      </c>
      <c r="I106" s="150">
        <v>0</v>
      </c>
      <c r="J106" s="150">
        <v>0</v>
      </c>
      <c r="K106" s="152">
        <v>2</v>
      </c>
      <c r="L106" s="150">
        <v>0</v>
      </c>
      <c r="M106" s="150" t="s">
        <v>41</v>
      </c>
      <c r="N106" s="150" t="s">
        <v>257</v>
      </c>
      <c r="O106" s="150">
        <v>22000</v>
      </c>
      <c r="P106" s="150">
        <v>44000</v>
      </c>
      <c r="Q106" s="150" t="str" cm="1">
        <f t="array" ref="Q106">IFERROR(INDEX('DB)입출고매칭용'!$P$2:$P$181,MATCH(1,($C106='DB)입출고매칭용'!$H$2:$H$181)*($B106='DB)입출고매칭용'!$B$2:$B$181)*($K106='DB)입출고매칭용'!$J$2:$J$181),0)),"")</f>
        <v/>
      </c>
      <c r="R106" s="150" t="str" cm="1">
        <f t="array" ref="R106">IFERROR(INDEX('DB)입출고매칭용'!$Q$2:$Q$181,MATCH(1,($C106='DB)입출고매칭용'!$H$2:$H$181)*($B106='DB)입출고매칭용'!$B$2:$B$181)*($K106='DB)입출고매칭용'!$J$2:$J$181),0)),"")</f>
        <v/>
      </c>
      <c r="S106" s="169" t="str" cm="1">
        <f t="array" ref="S106">IFERROR(INDEX('DB)입출고매칭용'!$R$2:$R$181,MATCH(1,($C106='DB)입출고매칭용'!$H$2:$H$181)*($B106='DB)입출고매칭용'!$B$2:$B$181)*($K106='DB)입출고매칭용'!$J$2:$J$181),0)),"")</f>
        <v/>
      </c>
    </row>
    <row r="107" spans="1:19">
      <c r="A107" s="151">
        <v>99</v>
      </c>
      <c r="B107" s="153">
        <v>46128</v>
      </c>
      <c r="C107" s="150" t="s">
        <v>851</v>
      </c>
      <c r="D107" s="154" t="s">
        <v>39</v>
      </c>
      <c r="E107" s="151">
        <v>8809879544101</v>
      </c>
      <c r="F107" s="150" t="s">
        <v>24</v>
      </c>
      <c r="G107" s="150" t="s">
        <v>40</v>
      </c>
      <c r="H107" s="150">
        <v>0</v>
      </c>
      <c r="I107" s="150">
        <v>0</v>
      </c>
      <c r="J107" s="150">
        <v>0</v>
      </c>
      <c r="K107" s="152">
        <v>3</v>
      </c>
      <c r="L107" s="150">
        <v>0</v>
      </c>
      <c r="M107" s="150" t="s">
        <v>41</v>
      </c>
      <c r="N107" s="150" t="s">
        <v>257</v>
      </c>
      <c r="O107" s="150">
        <v>22000</v>
      </c>
      <c r="P107" s="150">
        <v>66000</v>
      </c>
      <c r="Q107" s="150" t="str" cm="1">
        <f t="array" ref="Q107">IFERROR(INDEX('DB)입출고매칭용'!$P$2:$P$181,MATCH(1,($C107='DB)입출고매칭용'!$H$2:$H$181)*($B107='DB)입출고매칭용'!$B$2:$B$181)*($K107='DB)입출고매칭용'!$J$2:$J$181),0)),"")</f>
        <v/>
      </c>
      <c r="R107" s="150" t="str" cm="1">
        <f t="array" ref="R107">IFERROR(INDEX('DB)입출고매칭용'!$Q$2:$Q$181,MATCH(1,($C107='DB)입출고매칭용'!$H$2:$H$181)*($B107='DB)입출고매칭용'!$B$2:$B$181)*($K107='DB)입출고매칭용'!$J$2:$J$181),0)),"")</f>
        <v/>
      </c>
      <c r="S107" s="169" t="str" cm="1">
        <f t="array" ref="S107">IFERROR(INDEX('DB)입출고매칭용'!$R$2:$R$181,MATCH(1,($C107='DB)입출고매칭용'!$H$2:$H$181)*($B107='DB)입출고매칭용'!$B$2:$B$181)*($K107='DB)입출고매칭용'!$J$2:$J$181),0)),"")</f>
        <v/>
      </c>
    </row>
    <row r="108" spans="1:19">
      <c r="A108" s="151">
        <v>100</v>
      </c>
      <c r="B108" s="153">
        <v>46127</v>
      </c>
      <c r="C108" s="150" t="s">
        <v>852</v>
      </c>
      <c r="D108" s="154" t="s">
        <v>39</v>
      </c>
      <c r="E108" s="151">
        <v>8809879544101</v>
      </c>
      <c r="F108" s="150" t="s">
        <v>24</v>
      </c>
      <c r="G108" s="150" t="s">
        <v>40</v>
      </c>
      <c r="H108" s="150">
        <v>0</v>
      </c>
      <c r="I108" s="150">
        <v>0</v>
      </c>
      <c r="J108" s="150">
        <v>0</v>
      </c>
      <c r="K108" s="152">
        <v>3</v>
      </c>
      <c r="L108" s="150">
        <v>0</v>
      </c>
      <c r="M108" s="150" t="s">
        <v>41</v>
      </c>
      <c r="N108" s="150" t="s">
        <v>257</v>
      </c>
      <c r="O108" s="150">
        <v>22000</v>
      </c>
      <c r="P108" s="150">
        <v>66000</v>
      </c>
      <c r="Q108" s="150" t="str" cm="1">
        <f t="array" ref="Q108">IFERROR(INDEX('DB)입출고매칭용'!$P$2:$P$181,MATCH(1,($C108='DB)입출고매칭용'!$H$2:$H$181)*($B108='DB)입출고매칭용'!$B$2:$B$181)*($K108='DB)입출고매칭용'!$J$2:$J$181),0)),"")</f>
        <v/>
      </c>
      <c r="R108" s="150" t="str" cm="1">
        <f t="array" ref="R108">IFERROR(INDEX('DB)입출고매칭용'!$Q$2:$Q$181,MATCH(1,($C108='DB)입출고매칭용'!$H$2:$H$181)*($B108='DB)입출고매칭용'!$B$2:$B$181)*($K108='DB)입출고매칭용'!$J$2:$J$181),0)),"")</f>
        <v/>
      </c>
      <c r="S108" s="169" t="str" cm="1">
        <f t="array" ref="S108">IFERROR(INDEX('DB)입출고매칭용'!$R$2:$R$181,MATCH(1,($C108='DB)입출고매칭용'!$H$2:$H$181)*($B108='DB)입출고매칭용'!$B$2:$B$181)*($K108='DB)입출고매칭용'!$J$2:$J$181),0)),"")</f>
        <v/>
      </c>
    </row>
    <row r="109" spans="1:19">
      <c r="A109" s="151">
        <v>101</v>
      </c>
      <c r="B109" s="153">
        <v>46127</v>
      </c>
      <c r="C109" s="150" t="s">
        <v>853</v>
      </c>
      <c r="D109" s="154" t="s">
        <v>39</v>
      </c>
      <c r="E109" s="151">
        <v>8809879544101</v>
      </c>
      <c r="F109" s="150" t="s">
        <v>24</v>
      </c>
      <c r="G109" s="150" t="s">
        <v>40</v>
      </c>
      <c r="H109" s="150">
        <v>0</v>
      </c>
      <c r="I109" s="150">
        <v>0</v>
      </c>
      <c r="J109" s="150">
        <v>0</v>
      </c>
      <c r="K109" s="152">
        <v>3</v>
      </c>
      <c r="L109" s="150">
        <v>0</v>
      </c>
      <c r="M109" s="150" t="s">
        <v>41</v>
      </c>
      <c r="N109" s="150" t="s">
        <v>257</v>
      </c>
      <c r="O109" s="150">
        <v>22000</v>
      </c>
      <c r="P109" s="150">
        <v>66000</v>
      </c>
      <c r="Q109" s="150" t="str" cm="1">
        <f t="array" ref="Q109">IFERROR(INDEX('DB)입출고매칭용'!$P$2:$P$181,MATCH(1,($C109='DB)입출고매칭용'!$H$2:$H$181)*($B109='DB)입출고매칭용'!$B$2:$B$181)*($K109='DB)입출고매칭용'!$J$2:$J$181),0)),"")</f>
        <v/>
      </c>
      <c r="R109" s="150" t="str" cm="1">
        <f t="array" ref="R109">IFERROR(INDEX('DB)입출고매칭용'!$Q$2:$Q$181,MATCH(1,($C109='DB)입출고매칭용'!$H$2:$H$181)*($B109='DB)입출고매칭용'!$B$2:$B$181)*($K109='DB)입출고매칭용'!$J$2:$J$181),0)),"")</f>
        <v/>
      </c>
      <c r="S109" s="169" t="str" cm="1">
        <f t="array" ref="S109">IFERROR(INDEX('DB)입출고매칭용'!$R$2:$R$181,MATCH(1,($C109='DB)입출고매칭용'!$H$2:$H$181)*($B109='DB)입출고매칭용'!$B$2:$B$181)*($K109='DB)입출고매칭용'!$J$2:$J$181),0)),"")</f>
        <v/>
      </c>
    </row>
    <row r="110" spans="1:19">
      <c r="A110" s="151">
        <v>102</v>
      </c>
      <c r="B110" s="153">
        <v>46127</v>
      </c>
      <c r="C110" s="150" t="s">
        <v>854</v>
      </c>
      <c r="D110" s="154" t="s">
        <v>39</v>
      </c>
      <c r="E110" s="151">
        <v>8809879544101</v>
      </c>
      <c r="F110" s="150" t="s">
        <v>24</v>
      </c>
      <c r="G110" s="150" t="s">
        <v>40</v>
      </c>
      <c r="H110" s="150">
        <v>0</v>
      </c>
      <c r="I110" s="150">
        <v>0</v>
      </c>
      <c r="J110" s="150">
        <v>0</v>
      </c>
      <c r="K110" s="152">
        <v>2</v>
      </c>
      <c r="L110" s="150">
        <v>0</v>
      </c>
      <c r="M110" s="150" t="s">
        <v>41</v>
      </c>
      <c r="N110" s="150" t="s">
        <v>257</v>
      </c>
      <c r="O110" s="150">
        <v>22000</v>
      </c>
      <c r="P110" s="150">
        <v>44000</v>
      </c>
      <c r="Q110" s="150" t="str" cm="1">
        <f t="array" ref="Q110">IFERROR(INDEX('DB)입출고매칭용'!$P$2:$P$181,MATCH(1,($C110='DB)입출고매칭용'!$H$2:$H$181)*($B110='DB)입출고매칭용'!$B$2:$B$181)*($K110='DB)입출고매칭용'!$J$2:$J$181),0)),"")</f>
        <v/>
      </c>
      <c r="R110" s="150" t="str" cm="1">
        <f t="array" ref="R110">IFERROR(INDEX('DB)입출고매칭용'!$Q$2:$Q$181,MATCH(1,($C110='DB)입출고매칭용'!$H$2:$H$181)*($B110='DB)입출고매칭용'!$B$2:$B$181)*($K110='DB)입출고매칭용'!$J$2:$J$181),0)),"")</f>
        <v/>
      </c>
      <c r="S110" s="169" t="str" cm="1">
        <f t="array" ref="S110">IFERROR(INDEX('DB)입출고매칭용'!$R$2:$R$181,MATCH(1,($C110='DB)입출고매칭용'!$H$2:$H$181)*($B110='DB)입출고매칭용'!$B$2:$B$181)*($K110='DB)입출고매칭용'!$J$2:$J$181),0)),"")</f>
        <v/>
      </c>
    </row>
    <row r="111" spans="1:19">
      <c r="A111" s="151">
        <v>103</v>
      </c>
      <c r="B111" s="153">
        <v>46127</v>
      </c>
      <c r="C111" s="150" t="s">
        <v>855</v>
      </c>
      <c r="D111" s="154" t="s">
        <v>39</v>
      </c>
      <c r="E111" s="151">
        <v>8809879544101</v>
      </c>
      <c r="F111" s="150" t="s">
        <v>24</v>
      </c>
      <c r="G111" s="150" t="s">
        <v>40</v>
      </c>
      <c r="H111" s="150">
        <v>0</v>
      </c>
      <c r="I111" s="150">
        <v>0</v>
      </c>
      <c r="J111" s="150">
        <v>0</v>
      </c>
      <c r="K111" s="152">
        <v>2</v>
      </c>
      <c r="L111" s="150">
        <v>0</v>
      </c>
      <c r="M111" s="150" t="s">
        <v>41</v>
      </c>
      <c r="N111" s="150" t="s">
        <v>257</v>
      </c>
      <c r="O111" s="150">
        <v>22000</v>
      </c>
      <c r="P111" s="150">
        <v>44000</v>
      </c>
      <c r="Q111" s="150" t="str" cm="1">
        <f t="array" ref="Q111">IFERROR(INDEX('DB)입출고매칭용'!$P$2:$P$181,MATCH(1,($C111='DB)입출고매칭용'!$H$2:$H$181)*($B111='DB)입출고매칭용'!$B$2:$B$181)*($K111='DB)입출고매칭용'!$J$2:$J$181),0)),"")</f>
        <v/>
      </c>
      <c r="R111" s="150" t="str" cm="1">
        <f t="array" ref="R111">IFERROR(INDEX('DB)입출고매칭용'!$Q$2:$Q$181,MATCH(1,($C111='DB)입출고매칭용'!$H$2:$H$181)*($B111='DB)입출고매칭용'!$B$2:$B$181)*($K111='DB)입출고매칭용'!$J$2:$J$181),0)),"")</f>
        <v/>
      </c>
      <c r="S111" s="169" t="str" cm="1">
        <f t="array" ref="S111">IFERROR(INDEX('DB)입출고매칭용'!$R$2:$R$181,MATCH(1,($C111='DB)입출고매칭용'!$H$2:$H$181)*($B111='DB)입출고매칭용'!$B$2:$B$181)*($K111='DB)입출고매칭용'!$J$2:$J$181),0)),"")</f>
        <v/>
      </c>
    </row>
    <row r="112" spans="1:19">
      <c r="A112" s="151">
        <v>104</v>
      </c>
      <c r="B112" s="153">
        <v>46127</v>
      </c>
      <c r="C112" s="150" t="s">
        <v>856</v>
      </c>
      <c r="D112" s="154" t="s">
        <v>39</v>
      </c>
      <c r="E112" s="151">
        <v>8809879544101</v>
      </c>
      <c r="F112" s="150" t="s">
        <v>24</v>
      </c>
      <c r="G112" s="150" t="s">
        <v>40</v>
      </c>
      <c r="H112" s="150">
        <v>0</v>
      </c>
      <c r="I112" s="150">
        <v>0</v>
      </c>
      <c r="J112" s="150">
        <v>0</v>
      </c>
      <c r="K112" s="152">
        <v>1</v>
      </c>
      <c r="L112" s="150">
        <v>0</v>
      </c>
      <c r="M112" s="150" t="s">
        <v>41</v>
      </c>
      <c r="N112" s="150" t="s">
        <v>257</v>
      </c>
      <c r="O112" s="150">
        <v>22000</v>
      </c>
      <c r="P112" s="150">
        <v>22000</v>
      </c>
      <c r="Q112" s="150" t="str" cm="1">
        <f t="array" ref="Q112">IFERROR(INDEX('DB)입출고매칭용'!$P$2:$P$181,MATCH(1,($C112='DB)입출고매칭용'!$H$2:$H$181)*($B112='DB)입출고매칭용'!$B$2:$B$181)*($K112='DB)입출고매칭용'!$J$2:$J$181),0)),"")</f>
        <v>판매청구</v>
      </c>
      <c r="R112" s="150" t="str" cm="1">
        <f t="array" ref="R112">IFERROR(INDEX('DB)입출고매칭용'!$Q$2:$Q$181,MATCH(1,($C112='DB)입출고매칭용'!$H$2:$H$181)*($B112='DB)입출고매칭용'!$B$2:$B$181)*($K112='DB)입출고매칭용'!$J$2:$J$181),0)),"")</f>
        <v>정상판매 (공구)</v>
      </c>
      <c r="S112" s="169" t="str" cm="1">
        <f t="array" ref="S112">IFERROR(INDEX('DB)입출고매칭용'!$R$2:$R$181,MATCH(1,($C112='DB)입출고매칭용'!$H$2:$H$181)*($B112='DB)입출고매칭용'!$B$2:$B$181)*($K112='DB)입출고매칭용'!$J$2:$J$181),0)),"")</f>
        <v>20260415-0000168</v>
      </c>
    </row>
    <row r="113" spans="1:19">
      <c r="A113" s="151">
        <v>105</v>
      </c>
      <c r="B113" s="153">
        <v>46127</v>
      </c>
      <c r="C113" s="150" t="s">
        <v>857</v>
      </c>
      <c r="D113" s="154" t="s">
        <v>39</v>
      </c>
      <c r="E113" s="151">
        <v>8809879544101</v>
      </c>
      <c r="F113" s="150" t="s">
        <v>24</v>
      </c>
      <c r="G113" s="150" t="s">
        <v>40</v>
      </c>
      <c r="H113" s="150">
        <v>0</v>
      </c>
      <c r="I113" s="150">
        <v>0</v>
      </c>
      <c r="J113" s="150">
        <v>0</v>
      </c>
      <c r="K113" s="152">
        <v>1</v>
      </c>
      <c r="L113" s="150">
        <v>0</v>
      </c>
      <c r="M113" s="150" t="s">
        <v>41</v>
      </c>
      <c r="N113" s="150" t="s">
        <v>257</v>
      </c>
      <c r="O113" s="150">
        <v>22000</v>
      </c>
      <c r="P113" s="150">
        <v>22000</v>
      </c>
      <c r="Q113" s="150" t="str" cm="1">
        <f t="array" ref="Q113">IFERROR(INDEX('DB)입출고매칭용'!$P$2:$P$181,MATCH(1,($C113='DB)입출고매칭용'!$H$2:$H$181)*($B113='DB)입출고매칭용'!$B$2:$B$181)*($K113='DB)입출고매칭용'!$J$2:$J$181),0)),"")</f>
        <v>판매청구</v>
      </c>
      <c r="R113" s="150" t="str" cm="1">
        <f t="array" ref="R113">IFERROR(INDEX('DB)입출고매칭용'!$Q$2:$Q$181,MATCH(1,($C113='DB)입출고매칭용'!$H$2:$H$181)*($B113='DB)입출고매칭용'!$B$2:$B$181)*($K113='DB)입출고매칭용'!$J$2:$J$181),0)),"")</f>
        <v>정상판매 (공구)</v>
      </c>
      <c r="S113" s="169" t="str" cm="1">
        <f t="array" ref="S113">IFERROR(INDEX('DB)입출고매칭용'!$R$2:$R$181,MATCH(1,($C113='DB)입출고매칭용'!$H$2:$H$181)*($B113='DB)입출고매칭용'!$B$2:$B$181)*($K113='DB)입출고매칭용'!$J$2:$J$181),0)),"")</f>
        <v>20260415-0000140</v>
      </c>
    </row>
    <row r="114" spans="1:19">
      <c r="A114" s="151">
        <v>106</v>
      </c>
      <c r="B114" s="153">
        <v>46127</v>
      </c>
      <c r="C114" s="150" t="s">
        <v>858</v>
      </c>
      <c r="D114" s="154" t="s">
        <v>39</v>
      </c>
      <c r="E114" s="151">
        <v>8809879544101</v>
      </c>
      <c r="F114" s="150" t="s">
        <v>24</v>
      </c>
      <c r="G114" s="150" t="s">
        <v>40</v>
      </c>
      <c r="H114" s="150">
        <v>0</v>
      </c>
      <c r="I114" s="150">
        <v>0</v>
      </c>
      <c r="J114" s="150">
        <v>0</v>
      </c>
      <c r="K114" s="152">
        <v>1</v>
      </c>
      <c r="L114" s="150">
        <v>0</v>
      </c>
      <c r="M114" s="150" t="s">
        <v>41</v>
      </c>
      <c r="N114" s="150" t="s">
        <v>257</v>
      </c>
      <c r="O114" s="150">
        <v>22000</v>
      </c>
      <c r="P114" s="150">
        <v>22000</v>
      </c>
      <c r="Q114" s="150" t="str" cm="1">
        <f t="array" ref="Q114">IFERROR(INDEX('DB)입출고매칭용'!$P$2:$P$181,MATCH(1,($C114='DB)입출고매칭용'!$H$2:$H$181)*($B114='DB)입출고매칭용'!$B$2:$B$181)*($K114='DB)입출고매칭용'!$J$2:$J$181),0)),"")</f>
        <v>판매청구</v>
      </c>
      <c r="R114" s="150" t="str" cm="1">
        <f t="array" ref="R114">IFERROR(INDEX('DB)입출고매칭용'!$Q$2:$Q$181,MATCH(1,($C114='DB)입출고매칭용'!$H$2:$H$181)*($B114='DB)입출고매칭용'!$B$2:$B$181)*($K114='DB)입출고매칭용'!$J$2:$J$181),0)),"")</f>
        <v>정상판매 (공구)</v>
      </c>
      <c r="S114" s="169" t="str" cm="1">
        <f t="array" ref="S114">IFERROR(INDEX('DB)입출고매칭용'!$R$2:$R$181,MATCH(1,($C114='DB)입출고매칭용'!$H$2:$H$181)*($B114='DB)입출고매칭용'!$B$2:$B$181)*($K114='DB)입출고매칭용'!$J$2:$J$181),0)),"")</f>
        <v>20260415-0000121</v>
      </c>
    </row>
    <row r="115" spans="1:19">
      <c r="A115" s="151">
        <v>107</v>
      </c>
      <c r="B115" s="153">
        <v>46127</v>
      </c>
      <c r="C115" s="150" t="s">
        <v>859</v>
      </c>
      <c r="D115" s="154" t="s">
        <v>39</v>
      </c>
      <c r="E115" s="151">
        <v>8809879544101</v>
      </c>
      <c r="F115" s="150" t="s">
        <v>24</v>
      </c>
      <c r="G115" s="150" t="s">
        <v>40</v>
      </c>
      <c r="H115" s="150">
        <v>0</v>
      </c>
      <c r="I115" s="150">
        <v>0</v>
      </c>
      <c r="J115" s="150">
        <v>0</v>
      </c>
      <c r="K115" s="152">
        <v>1</v>
      </c>
      <c r="L115" s="150">
        <v>0</v>
      </c>
      <c r="M115" s="150" t="s">
        <v>41</v>
      </c>
      <c r="N115" s="150" t="s">
        <v>257</v>
      </c>
      <c r="O115" s="150">
        <v>22000</v>
      </c>
      <c r="P115" s="150">
        <v>22000</v>
      </c>
      <c r="Q115" s="150" t="str" cm="1">
        <f t="array" ref="Q115">IFERROR(INDEX('DB)입출고매칭용'!$P$2:$P$181,MATCH(1,($C115='DB)입출고매칭용'!$H$2:$H$181)*($B115='DB)입출고매칭용'!$B$2:$B$181)*($K115='DB)입출고매칭용'!$J$2:$J$181),0)),"")</f>
        <v>판매청구</v>
      </c>
      <c r="R115" s="150" t="str" cm="1">
        <f t="array" ref="R115">IFERROR(INDEX('DB)입출고매칭용'!$Q$2:$Q$181,MATCH(1,($C115='DB)입출고매칭용'!$H$2:$H$181)*($B115='DB)입출고매칭용'!$B$2:$B$181)*($K115='DB)입출고매칭용'!$J$2:$J$181),0)),"")</f>
        <v>정상판매 (공구)</v>
      </c>
      <c r="S115" s="169" t="str" cm="1">
        <f t="array" ref="S115">IFERROR(INDEX('DB)입출고매칭용'!$R$2:$R$181,MATCH(1,($C115='DB)입출고매칭용'!$H$2:$H$181)*($B115='DB)입출고매칭용'!$B$2:$B$181)*($K115='DB)입출고매칭용'!$J$2:$J$181),0)),"")</f>
        <v>20260414-0000582</v>
      </c>
    </row>
    <row r="116" spans="1:19">
      <c r="A116" s="151">
        <v>108</v>
      </c>
      <c r="B116" s="153">
        <v>46127</v>
      </c>
      <c r="C116" s="150" t="s">
        <v>860</v>
      </c>
      <c r="D116" s="154" t="s">
        <v>39</v>
      </c>
      <c r="E116" s="151">
        <v>8809879544101</v>
      </c>
      <c r="F116" s="150" t="s">
        <v>24</v>
      </c>
      <c r="G116" s="150" t="s">
        <v>40</v>
      </c>
      <c r="H116" s="150">
        <v>0</v>
      </c>
      <c r="I116" s="150">
        <v>0</v>
      </c>
      <c r="J116" s="150">
        <v>0</v>
      </c>
      <c r="K116" s="152">
        <v>1</v>
      </c>
      <c r="L116" s="150">
        <v>0</v>
      </c>
      <c r="M116" s="150" t="s">
        <v>41</v>
      </c>
      <c r="N116" s="150" t="s">
        <v>257</v>
      </c>
      <c r="O116" s="150">
        <v>22000</v>
      </c>
      <c r="P116" s="150">
        <v>22000</v>
      </c>
      <c r="Q116" s="150" t="str" cm="1">
        <f t="array" ref="Q116">IFERROR(INDEX('DB)입출고매칭용'!$P$2:$P$181,MATCH(1,($C116='DB)입출고매칭용'!$H$2:$H$181)*($B116='DB)입출고매칭용'!$B$2:$B$181)*($K116='DB)입출고매칭용'!$J$2:$J$181),0)),"")</f>
        <v>판매청구</v>
      </c>
      <c r="R116" s="150" t="str" cm="1">
        <f t="array" ref="R116">IFERROR(INDEX('DB)입출고매칭용'!$Q$2:$Q$181,MATCH(1,($C116='DB)입출고매칭용'!$H$2:$H$181)*($B116='DB)입출고매칭용'!$B$2:$B$181)*($K116='DB)입출고매칭용'!$J$2:$J$181),0)),"")</f>
        <v>정상판매 (공구)</v>
      </c>
      <c r="S116" s="169" t="str" cm="1">
        <f t="array" ref="S116">IFERROR(INDEX('DB)입출고매칭용'!$R$2:$R$181,MATCH(1,($C116='DB)입출고매칭용'!$H$2:$H$181)*($B116='DB)입출고매칭용'!$B$2:$B$181)*($K116='DB)입출고매칭용'!$J$2:$J$181),0)),"")</f>
        <v>20260414-0000523</v>
      </c>
    </row>
    <row r="117" spans="1:19">
      <c r="A117" s="151">
        <v>109</v>
      </c>
      <c r="B117" s="153">
        <v>46127</v>
      </c>
      <c r="C117" s="150" t="s">
        <v>861</v>
      </c>
      <c r="D117" s="154" t="s">
        <v>39</v>
      </c>
      <c r="E117" s="151">
        <v>8809879544101</v>
      </c>
      <c r="F117" s="150" t="s">
        <v>24</v>
      </c>
      <c r="G117" s="150" t="s">
        <v>40</v>
      </c>
      <c r="H117" s="150">
        <v>0</v>
      </c>
      <c r="I117" s="150">
        <v>0</v>
      </c>
      <c r="J117" s="150">
        <v>0</v>
      </c>
      <c r="K117" s="152">
        <v>1</v>
      </c>
      <c r="L117" s="150">
        <v>0</v>
      </c>
      <c r="M117" s="150" t="s">
        <v>41</v>
      </c>
      <c r="N117" s="150" t="s">
        <v>257</v>
      </c>
      <c r="O117" s="150">
        <v>22000</v>
      </c>
      <c r="P117" s="150">
        <v>22000</v>
      </c>
      <c r="Q117" s="150" t="str" cm="1">
        <f t="array" ref="Q117">IFERROR(INDEX('DB)입출고매칭용'!$P$2:$P$181,MATCH(1,($C117='DB)입출고매칭용'!$H$2:$H$181)*($B117='DB)입출고매칭용'!$B$2:$B$181)*($K117='DB)입출고매칭용'!$J$2:$J$181),0)),"")</f>
        <v>판매청구</v>
      </c>
      <c r="R117" s="150" t="str" cm="1">
        <f t="array" ref="R117">IFERROR(INDEX('DB)입출고매칭용'!$Q$2:$Q$181,MATCH(1,($C117='DB)입출고매칭용'!$H$2:$H$181)*($B117='DB)입출고매칭용'!$B$2:$B$181)*($K117='DB)입출고매칭용'!$J$2:$J$181),0)),"")</f>
        <v>정상판매 (공구)</v>
      </c>
      <c r="S117" s="169" t="str" cm="1">
        <f t="array" ref="S117">IFERROR(INDEX('DB)입출고매칭용'!$R$2:$R$181,MATCH(1,($C117='DB)입출고매칭용'!$H$2:$H$181)*($B117='DB)입출고매칭용'!$B$2:$B$181)*($K117='DB)입출고매칭용'!$J$2:$J$181),0)),"")</f>
        <v>20260414-0000401</v>
      </c>
    </row>
    <row r="118" spans="1:19">
      <c r="A118" s="151">
        <v>110</v>
      </c>
      <c r="B118" s="153">
        <v>46126</v>
      </c>
      <c r="C118" s="150" t="s">
        <v>862</v>
      </c>
      <c r="D118" s="154" t="s">
        <v>39</v>
      </c>
      <c r="E118" s="151">
        <v>8809879544101</v>
      </c>
      <c r="F118" s="150" t="s">
        <v>24</v>
      </c>
      <c r="G118" s="150" t="s">
        <v>40</v>
      </c>
      <c r="H118" s="150">
        <v>0</v>
      </c>
      <c r="I118" s="150">
        <v>0</v>
      </c>
      <c r="J118" s="150">
        <v>0</v>
      </c>
      <c r="K118" s="152">
        <v>2</v>
      </c>
      <c r="L118" s="150">
        <v>0</v>
      </c>
      <c r="M118" s="150" t="s">
        <v>41</v>
      </c>
      <c r="N118" s="150" t="s">
        <v>257</v>
      </c>
      <c r="O118" s="150">
        <v>22000</v>
      </c>
      <c r="P118" s="150">
        <v>44000</v>
      </c>
      <c r="Q118" s="150" t="str" cm="1">
        <f t="array" ref="Q118">IFERROR(INDEX('DB)입출고매칭용'!$P$2:$P$181,MATCH(1,($C118='DB)입출고매칭용'!$H$2:$H$181)*($B118='DB)입출고매칭용'!$B$2:$B$181)*($K118='DB)입출고매칭용'!$J$2:$J$181),0)),"")</f>
        <v/>
      </c>
      <c r="R118" s="150" t="str" cm="1">
        <f t="array" ref="R118">IFERROR(INDEX('DB)입출고매칭용'!$Q$2:$Q$181,MATCH(1,($C118='DB)입출고매칭용'!$H$2:$H$181)*($B118='DB)입출고매칭용'!$B$2:$B$181)*($K118='DB)입출고매칭용'!$J$2:$J$181),0)),"")</f>
        <v/>
      </c>
      <c r="S118" s="169" t="str" cm="1">
        <f t="array" ref="S118">IFERROR(INDEX('DB)입출고매칭용'!$R$2:$R$181,MATCH(1,($C118='DB)입출고매칭용'!$H$2:$H$181)*($B118='DB)입출고매칭용'!$B$2:$B$181)*($K118='DB)입출고매칭용'!$J$2:$J$181),0)),"")</f>
        <v/>
      </c>
    </row>
    <row r="119" spans="1:19">
      <c r="A119" s="151">
        <v>111</v>
      </c>
      <c r="B119" s="153">
        <v>46126</v>
      </c>
      <c r="C119" s="150" t="s">
        <v>863</v>
      </c>
      <c r="D119" s="154" t="s">
        <v>39</v>
      </c>
      <c r="E119" s="151">
        <v>8809879544101</v>
      </c>
      <c r="F119" s="150" t="s">
        <v>24</v>
      </c>
      <c r="G119" s="150" t="s">
        <v>40</v>
      </c>
      <c r="H119" s="150">
        <v>0</v>
      </c>
      <c r="I119" s="150">
        <v>0</v>
      </c>
      <c r="J119" s="150">
        <v>0</v>
      </c>
      <c r="K119" s="152">
        <v>1</v>
      </c>
      <c r="L119" s="150">
        <v>0</v>
      </c>
      <c r="M119" s="150" t="s">
        <v>41</v>
      </c>
      <c r="N119" s="150" t="s">
        <v>257</v>
      </c>
      <c r="O119" s="150">
        <v>22000</v>
      </c>
      <c r="P119" s="150">
        <v>22000</v>
      </c>
      <c r="Q119" s="150" t="str" cm="1">
        <f t="array" ref="Q119">IFERROR(INDEX('DB)입출고매칭용'!$P$2:$P$181,MATCH(1,($C119='DB)입출고매칭용'!$H$2:$H$181)*($B119='DB)입출고매칭용'!$B$2:$B$181)*($K119='DB)입출고매칭용'!$J$2:$J$181),0)),"")</f>
        <v>판매청구</v>
      </c>
      <c r="R119" s="150" t="str" cm="1">
        <f t="array" ref="R119">IFERROR(INDEX('DB)입출고매칭용'!$Q$2:$Q$181,MATCH(1,($C119='DB)입출고매칭용'!$H$2:$H$181)*($B119='DB)입출고매칭용'!$B$2:$B$181)*($K119='DB)입출고매칭용'!$J$2:$J$181),0)),"")</f>
        <v>정상판매 (공구)</v>
      </c>
      <c r="S119" s="169" t="str" cm="1">
        <f t="array" ref="S119">IFERROR(INDEX('DB)입출고매칭용'!$R$2:$R$181,MATCH(1,($C119='DB)입출고매칭용'!$H$2:$H$181)*($B119='DB)입출고매칭용'!$B$2:$B$181)*($K119='DB)입출고매칭용'!$J$2:$J$181),0)),"")</f>
        <v>20260414-0000059</v>
      </c>
    </row>
    <row r="120" spans="1:19">
      <c r="A120" s="151">
        <v>112</v>
      </c>
      <c r="B120" s="153">
        <v>46126</v>
      </c>
      <c r="C120" s="150" t="s">
        <v>864</v>
      </c>
      <c r="D120" s="154" t="s">
        <v>39</v>
      </c>
      <c r="E120" s="151">
        <v>8809879544101</v>
      </c>
      <c r="F120" s="150" t="s">
        <v>24</v>
      </c>
      <c r="G120" s="150" t="s">
        <v>40</v>
      </c>
      <c r="H120" s="150">
        <v>0</v>
      </c>
      <c r="I120" s="150">
        <v>0</v>
      </c>
      <c r="J120" s="150">
        <v>0</v>
      </c>
      <c r="K120" s="152">
        <v>1</v>
      </c>
      <c r="L120" s="150">
        <v>0</v>
      </c>
      <c r="M120" s="150" t="s">
        <v>41</v>
      </c>
      <c r="N120" s="150" t="s">
        <v>257</v>
      </c>
      <c r="O120" s="150">
        <v>22000</v>
      </c>
      <c r="P120" s="150">
        <v>22000</v>
      </c>
      <c r="Q120" s="150" t="str" cm="1">
        <f t="array" ref="Q120">IFERROR(INDEX('DB)입출고매칭용'!$P$2:$P$181,MATCH(1,($C120='DB)입출고매칭용'!$H$2:$H$181)*($B120='DB)입출고매칭용'!$B$2:$B$181)*($K120='DB)입출고매칭용'!$J$2:$J$181),0)),"")</f>
        <v>판매청구</v>
      </c>
      <c r="R120" s="150" t="str" cm="1">
        <f t="array" ref="R120">IFERROR(INDEX('DB)입출고매칭용'!$Q$2:$Q$181,MATCH(1,($C120='DB)입출고매칭용'!$H$2:$H$181)*($B120='DB)입출고매칭용'!$B$2:$B$181)*($K120='DB)입출고매칭용'!$J$2:$J$181),0)),"")</f>
        <v>정상판매 (공구)</v>
      </c>
      <c r="S120" s="169" t="str" cm="1">
        <f t="array" ref="S120">IFERROR(INDEX('DB)입출고매칭용'!$R$2:$R$181,MATCH(1,($C120='DB)입출고매칭용'!$H$2:$H$181)*($B120='DB)입출고매칭용'!$B$2:$B$181)*($K120='DB)입출고매칭용'!$J$2:$J$181),0)),"")</f>
        <v>20260413-0000909</v>
      </c>
    </row>
    <row r="121" spans="1:19">
      <c r="A121" s="151">
        <v>113</v>
      </c>
      <c r="B121" s="153">
        <v>46126</v>
      </c>
      <c r="C121" s="150" t="s">
        <v>865</v>
      </c>
      <c r="D121" s="154" t="s">
        <v>39</v>
      </c>
      <c r="E121" s="151">
        <v>8809879544101</v>
      </c>
      <c r="F121" s="150" t="s">
        <v>24</v>
      </c>
      <c r="G121" s="150" t="s">
        <v>40</v>
      </c>
      <c r="H121" s="150">
        <v>0</v>
      </c>
      <c r="I121" s="150">
        <v>0</v>
      </c>
      <c r="J121" s="150">
        <v>0</v>
      </c>
      <c r="K121" s="152">
        <v>1</v>
      </c>
      <c r="L121" s="150">
        <v>0</v>
      </c>
      <c r="M121" s="150" t="s">
        <v>41</v>
      </c>
      <c r="N121" s="150" t="s">
        <v>257</v>
      </c>
      <c r="O121" s="150">
        <v>22000</v>
      </c>
      <c r="P121" s="150">
        <v>22000</v>
      </c>
      <c r="Q121" s="150" t="str" cm="1">
        <f t="array" ref="Q121">IFERROR(INDEX('DB)입출고매칭용'!$P$2:$P$181,MATCH(1,($C121='DB)입출고매칭용'!$H$2:$H$181)*($B121='DB)입출고매칭용'!$B$2:$B$181)*($K121='DB)입출고매칭용'!$J$2:$J$181),0)),"")</f>
        <v>판매청구</v>
      </c>
      <c r="R121" s="150" t="str" cm="1">
        <f t="array" ref="R121">IFERROR(INDEX('DB)입출고매칭용'!$Q$2:$Q$181,MATCH(1,($C121='DB)입출고매칭용'!$H$2:$H$181)*($B121='DB)입출고매칭용'!$B$2:$B$181)*($K121='DB)입출고매칭용'!$J$2:$J$181),0)),"")</f>
        <v>정상판매 (공구)</v>
      </c>
      <c r="S121" s="169" t="str" cm="1">
        <f t="array" ref="S121">IFERROR(INDEX('DB)입출고매칭용'!$R$2:$R$181,MATCH(1,($C121='DB)입출고매칭용'!$H$2:$H$181)*($B121='DB)입출고매칭용'!$B$2:$B$181)*($K121='DB)입출고매칭용'!$J$2:$J$181),0)),"")</f>
        <v>20260413-0000915</v>
      </c>
    </row>
    <row r="122" spans="1:19">
      <c r="A122" s="151">
        <v>114</v>
      </c>
      <c r="B122" s="153">
        <v>46126</v>
      </c>
      <c r="C122" s="150" t="s">
        <v>866</v>
      </c>
      <c r="D122" s="154" t="s">
        <v>39</v>
      </c>
      <c r="E122" s="151">
        <v>8809879544101</v>
      </c>
      <c r="F122" s="150" t="s">
        <v>24</v>
      </c>
      <c r="G122" s="150" t="s">
        <v>40</v>
      </c>
      <c r="H122" s="150">
        <v>0</v>
      </c>
      <c r="I122" s="150">
        <v>0</v>
      </c>
      <c r="J122" s="150">
        <v>0</v>
      </c>
      <c r="K122" s="152">
        <v>1</v>
      </c>
      <c r="L122" s="150">
        <v>0</v>
      </c>
      <c r="M122" s="150" t="s">
        <v>41</v>
      </c>
      <c r="N122" s="150" t="s">
        <v>257</v>
      </c>
      <c r="O122" s="150">
        <v>22000</v>
      </c>
      <c r="P122" s="150">
        <v>22000</v>
      </c>
      <c r="Q122" s="150" t="str" cm="1">
        <f t="array" ref="Q122">IFERROR(INDEX('DB)입출고매칭용'!$P$2:$P$181,MATCH(1,($C122='DB)입출고매칭용'!$H$2:$H$181)*($B122='DB)입출고매칭용'!$B$2:$B$181)*($K122='DB)입출고매칭용'!$J$2:$J$181),0)),"")</f>
        <v>판매청구</v>
      </c>
      <c r="R122" s="150" t="str" cm="1">
        <f t="array" ref="R122">IFERROR(INDEX('DB)입출고매칭용'!$Q$2:$Q$181,MATCH(1,($C122='DB)입출고매칭용'!$H$2:$H$181)*($B122='DB)입출고매칭용'!$B$2:$B$181)*($K122='DB)입출고매칭용'!$J$2:$J$181),0)),"")</f>
        <v>정상판매 (공구)</v>
      </c>
      <c r="S122" s="169" t="str" cm="1">
        <f t="array" ref="S122">IFERROR(INDEX('DB)입출고매칭용'!$R$2:$R$181,MATCH(1,($C122='DB)입출고매칭용'!$H$2:$H$181)*($B122='DB)입출고매칭용'!$B$2:$B$181)*($K122='DB)입출고매칭용'!$J$2:$J$181),0)),"")</f>
        <v>20260413-0000772</v>
      </c>
    </row>
    <row r="123" spans="1:19">
      <c r="A123" s="151">
        <v>115</v>
      </c>
      <c r="B123" s="153">
        <v>46126</v>
      </c>
      <c r="C123" s="150" t="s">
        <v>867</v>
      </c>
      <c r="D123" s="154" t="s">
        <v>39</v>
      </c>
      <c r="E123" s="151">
        <v>8809879544101</v>
      </c>
      <c r="F123" s="150" t="s">
        <v>24</v>
      </c>
      <c r="G123" s="150" t="s">
        <v>40</v>
      </c>
      <c r="H123" s="150">
        <v>0</v>
      </c>
      <c r="I123" s="150">
        <v>0</v>
      </c>
      <c r="J123" s="150">
        <v>0</v>
      </c>
      <c r="K123" s="152">
        <v>1</v>
      </c>
      <c r="L123" s="150">
        <v>0</v>
      </c>
      <c r="M123" s="150" t="s">
        <v>41</v>
      </c>
      <c r="N123" s="150" t="s">
        <v>257</v>
      </c>
      <c r="O123" s="150">
        <v>22000</v>
      </c>
      <c r="P123" s="150">
        <v>22000</v>
      </c>
      <c r="Q123" s="150" t="str" cm="1">
        <f t="array" ref="Q123">IFERROR(INDEX('DB)입출고매칭용'!$P$2:$P$181,MATCH(1,($C123='DB)입출고매칭용'!$H$2:$H$181)*($B123='DB)입출고매칭용'!$B$2:$B$181)*($K123='DB)입출고매칭용'!$J$2:$J$181),0)),"")</f>
        <v>판매청구</v>
      </c>
      <c r="R123" s="150" t="str" cm="1">
        <f t="array" ref="R123">IFERROR(INDEX('DB)입출고매칭용'!$Q$2:$Q$181,MATCH(1,($C123='DB)입출고매칭용'!$H$2:$H$181)*($B123='DB)입출고매칭용'!$B$2:$B$181)*($K123='DB)입출고매칭용'!$J$2:$J$181),0)),"")</f>
        <v>정상판매 (공구)</v>
      </c>
      <c r="S123" s="169" t="str" cm="1">
        <f t="array" ref="S123">IFERROR(INDEX('DB)입출고매칭용'!$R$2:$R$181,MATCH(1,($C123='DB)입출고매칭용'!$H$2:$H$181)*($B123='DB)입출고매칭용'!$B$2:$B$181)*($K123='DB)입출고매칭용'!$J$2:$J$181),0)),"")</f>
        <v>20260413-0000807</v>
      </c>
    </row>
    <row r="124" spans="1:19">
      <c r="A124" s="151">
        <v>116</v>
      </c>
      <c r="B124" s="153">
        <v>46126</v>
      </c>
      <c r="C124" s="150" t="s">
        <v>868</v>
      </c>
      <c r="D124" s="154" t="s">
        <v>39</v>
      </c>
      <c r="E124" s="151">
        <v>8809879544101</v>
      </c>
      <c r="F124" s="150" t="s">
        <v>24</v>
      </c>
      <c r="G124" s="150" t="s">
        <v>40</v>
      </c>
      <c r="H124" s="150">
        <v>0</v>
      </c>
      <c r="I124" s="150">
        <v>0</v>
      </c>
      <c r="J124" s="150">
        <v>0</v>
      </c>
      <c r="K124" s="152">
        <v>1</v>
      </c>
      <c r="L124" s="150">
        <v>0</v>
      </c>
      <c r="M124" s="150" t="s">
        <v>41</v>
      </c>
      <c r="N124" s="150" t="s">
        <v>257</v>
      </c>
      <c r="O124" s="150">
        <v>22000</v>
      </c>
      <c r="P124" s="150">
        <v>22000</v>
      </c>
      <c r="Q124" s="150" t="str" cm="1">
        <f t="array" ref="Q124">IFERROR(INDEX('DB)입출고매칭용'!$P$2:$P$181,MATCH(1,($C124='DB)입출고매칭용'!$H$2:$H$181)*($B124='DB)입출고매칭용'!$B$2:$B$181)*($K124='DB)입출고매칭용'!$J$2:$J$181),0)),"")</f>
        <v>판매청구</v>
      </c>
      <c r="R124" s="150" t="str" cm="1">
        <f t="array" ref="R124">IFERROR(INDEX('DB)입출고매칭용'!$Q$2:$Q$181,MATCH(1,($C124='DB)입출고매칭용'!$H$2:$H$181)*($B124='DB)입출고매칭용'!$B$2:$B$181)*($K124='DB)입출고매칭용'!$J$2:$J$181),0)),"")</f>
        <v>정상판매 (공구)</v>
      </c>
      <c r="S124" s="169" t="str" cm="1">
        <f t="array" ref="S124">IFERROR(INDEX('DB)입출고매칭용'!$R$2:$R$181,MATCH(1,($C124='DB)입출고매칭용'!$H$2:$H$181)*($B124='DB)입출고매칭용'!$B$2:$B$181)*($K124='DB)입출고매칭용'!$J$2:$J$181),0)),"")</f>
        <v>20260413-0000837</v>
      </c>
    </row>
    <row r="125" spans="1:19">
      <c r="A125" s="151">
        <v>117</v>
      </c>
      <c r="B125" s="153">
        <v>46126</v>
      </c>
      <c r="C125" s="150" t="s">
        <v>869</v>
      </c>
      <c r="D125" s="154" t="s">
        <v>39</v>
      </c>
      <c r="E125" s="151">
        <v>8809879544101</v>
      </c>
      <c r="F125" s="150" t="s">
        <v>24</v>
      </c>
      <c r="G125" s="150" t="s">
        <v>40</v>
      </c>
      <c r="H125" s="150">
        <v>0</v>
      </c>
      <c r="I125" s="150">
        <v>0</v>
      </c>
      <c r="J125" s="150">
        <v>0</v>
      </c>
      <c r="K125" s="152">
        <v>1</v>
      </c>
      <c r="L125" s="150">
        <v>0</v>
      </c>
      <c r="M125" s="150" t="s">
        <v>41</v>
      </c>
      <c r="N125" s="150" t="s">
        <v>257</v>
      </c>
      <c r="O125" s="150">
        <v>22000</v>
      </c>
      <c r="P125" s="150">
        <v>22000</v>
      </c>
      <c r="Q125" s="150" t="str" cm="1">
        <f t="array" ref="Q125">IFERROR(INDEX('DB)입출고매칭용'!$P$2:$P$181,MATCH(1,($C125='DB)입출고매칭용'!$H$2:$H$181)*($B125='DB)입출고매칭용'!$B$2:$B$181)*($K125='DB)입출고매칭용'!$J$2:$J$181),0)),"")</f>
        <v>판매청구</v>
      </c>
      <c r="R125" s="150" t="str" cm="1">
        <f t="array" ref="R125">IFERROR(INDEX('DB)입출고매칭용'!$Q$2:$Q$181,MATCH(1,($C125='DB)입출고매칭용'!$H$2:$H$181)*($B125='DB)입출고매칭용'!$B$2:$B$181)*($K125='DB)입출고매칭용'!$J$2:$J$181),0)),"")</f>
        <v>정상판매 (공구)</v>
      </c>
      <c r="S125" s="169" t="str" cm="1">
        <f t="array" ref="S125">IFERROR(INDEX('DB)입출고매칭용'!$R$2:$R$181,MATCH(1,($C125='DB)입출고매칭용'!$H$2:$H$181)*($B125='DB)입출고매칭용'!$B$2:$B$181)*($K125='DB)입출고매칭용'!$J$2:$J$181),0)),"")</f>
        <v>20260413-0000869</v>
      </c>
    </row>
    <row r="126" spans="1:19">
      <c r="A126" s="151">
        <v>118</v>
      </c>
      <c r="B126" s="153">
        <v>46126</v>
      </c>
      <c r="C126" s="150" t="s">
        <v>870</v>
      </c>
      <c r="D126" s="154" t="s">
        <v>39</v>
      </c>
      <c r="E126" s="151">
        <v>8809879544101</v>
      </c>
      <c r="F126" s="150" t="s">
        <v>24</v>
      </c>
      <c r="G126" s="150" t="s">
        <v>40</v>
      </c>
      <c r="H126" s="150">
        <v>0</v>
      </c>
      <c r="I126" s="150">
        <v>0</v>
      </c>
      <c r="J126" s="150">
        <v>0</v>
      </c>
      <c r="K126" s="152">
        <v>1</v>
      </c>
      <c r="L126" s="150">
        <v>0</v>
      </c>
      <c r="M126" s="150" t="s">
        <v>41</v>
      </c>
      <c r="N126" s="150" t="s">
        <v>257</v>
      </c>
      <c r="O126" s="150">
        <v>22000</v>
      </c>
      <c r="P126" s="150">
        <v>22000</v>
      </c>
      <c r="Q126" s="150" t="str" cm="1">
        <f t="array" ref="Q126">IFERROR(INDEX('DB)입출고매칭용'!$P$2:$P$181,MATCH(1,($C126='DB)입출고매칭용'!$H$2:$H$181)*($B126='DB)입출고매칭용'!$B$2:$B$181)*($K126='DB)입출고매칭용'!$J$2:$J$181),0)),"")</f>
        <v>판매청구</v>
      </c>
      <c r="R126" s="150" t="str" cm="1">
        <f t="array" ref="R126">IFERROR(INDEX('DB)입출고매칭용'!$Q$2:$Q$181,MATCH(1,($C126='DB)입출고매칭용'!$H$2:$H$181)*($B126='DB)입출고매칭용'!$B$2:$B$181)*($K126='DB)입출고매칭용'!$J$2:$J$181),0)),"")</f>
        <v>정상판매 (공구)</v>
      </c>
      <c r="S126" s="169" t="str" cm="1">
        <f t="array" ref="S126">IFERROR(INDEX('DB)입출고매칭용'!$R$2:$R$181,MATCH(1,($C126='DB)입출고매칭용'!$H$2:$H$181)*($B126='DB)입출고매칭용'!$B$2:$B$181)*($K126='DB)입출고매칭용'!$J$2:$J$181),0)),"")</f>
        <v>20260413-0000717</v>
      </c>
    </row>
    <row r="127" spans="1:19">
      <c r="A127" s="151">
        <v>119</v>
      </c>
      <c r="B127" s="153">
        <v>46126</v>
      </c>
      <c r="C127" s="150" t="s">
        <v>871</v>
      </c>
      <c r="D127" s="154" t="s">
        <v>39</v>
      </c>
      <c r="E127" s="151">
        <v>8809879544101</v>
      </c>
      <c r="F127" s="150" t="s">
        <v>24</v>
      </c>
      <c r="G127" s="150" t="s">
        <v>40</v>
      </c>
      <c r="H127" s="150">
        <v>0</v>
      </c>
      <c r="I127" s="150">
        <v>0</v>
      </c>
      <c r="J127" s="150">
        <v>0</v>
      </c>
      <c r="K127" s="152">
        <v>1</v>
      </c>
      <c r="L127" s="150">
        <v>0</v>
      </c>
      <c r="M127" s="150" t="s">
        <v>41</v>
      </c>
      <c r="N127" s="150" t="s">
        <v>257</v>
      </c>
      <c r="O127" s="150">
        <v>22000</v>
      </c>
      <c r="P127" s="150">
        <v>22000</v>
      </c>
      <c r="Q127" s="150" t="str" cm="1">
        <f t="array" ref="Q127">IFERROR(INDEX('DB)입출고매칭용'!$P$2:$P$181,MATCH(1,($C127='DB)입출고매칭용'!$H$2:$H$181)*($B127='DB)입출고매칭용'!$B$2:$B$181)*($K127='DB)입출고매칭용'!$J$2:$J$181),0)),"")</f>
        <v>판매청구</v>
      </c>
      <c r="R127" s="150" t="str" cm="1">
        <f t="array" ref="R127">IFERROR(INDEX('DB)입출고매칭용'!$Q$2:$Q$181,MATCH(1,($C127='DB)입출고매칭용'!$H$2:$H$181)*($B127='DB)입출고매칭용'!$B$2:$B$181)*($K127='DB)입출고매칭용'!$J$2:$J$181),0)),"")</f>
        <v>정상판매 (공구)</v>
      </c>
      <c r="S127" s="169" t="str" cm="1">
        <f t="array" ref="S127">IFERROR(INDEX('DB)입출고매칭용'!$R$2:$R$181,MATCH(1,($C127='DB)입출고매칭용'!$H$2:$H$181)*($B127='DB)입출고매칭용'!$B$2:$B$181)*($K127='DB)입출고매칭용'!$J$2:$J$181),0)),"")</f>
        <v>20260413-0000539</v>
      </c>
    </row>
    <row r="128" spans="1:19">
      <c r="A128" s="151">
        <v>120</v>
      </c>
      <c r="B128" s="153">
        <v>46126</v>
      </c>
      <c r="C128" s="150" t="s">
        <v>872</v>
      </c>
      <c r="D128" s="154" t="s">
        <v>39</v>
      </c>
      <c r="E128" s="151">
        <v>8809879544101</v>
      </c>
      <c r="F128" s="150" t="s">
        <v>24</v>
      </c>
      <c r="G128" s="150" t="s">
        <v>40</v>
      </c>
      <c r="H128" s="150">
        <v>0</v>
      </c>
      <c r="I128" s="150">
        <v>0</v>
      </c>
      <c r="J128" s="150">
        <v>0</v>
      </c>
      <c r="K128" s="152">
        <v>1</v>
      </c>
      <c r="L128" s="150">
        <v>0</v>
      </c>
      <c r="M128" s="150" t="s">
        <v>41</v>
      </c>
      <c r="N128" s="150" t="s">
        <v>257</v>
      </c>
      <c r="O128" s="150">
        <v>22000</v>
      </c>
      <c r="P128" s="150">
        <v>22000</v>
      </c>
      <c r="Q128" s="150" t="str" cm="1">
        <f t="array" ref="Q128">IFERROR(INDEX('DB)입출고매칭용'!$P$2:$P$181,MATCH(1,($C128='DB)입출고매칭용'!$H$2:$H$181)*($B128='DB)입출고매칭용'!$B$2:$B$181)*($K128='DB)입출고매칭용'!$J$2:$J$181),0)),"")</f>
        <v>판매청구</v>
      </c>
      <c r="R128" s="150" t="str" cm="1">
        <f t="array" ref="R128">IFERROR(INDEX('DB)입출고매칭용'!$Q$2:$Q$181,MATCH(1,($C128='DB)입출고매칭용'!$H$2:$H$181)*($B128='DB)입출고매칭용'!$B$2:$B$181)*($K128='DB)입출고매칭용'!$J$2:$J$181),0)),"")</f>
        <v>정상판매 (공구)</v>
      </c>
      <c r="S128" s="169" t="str" cm="1">
        <f t="array" ref="S128">IFERROR(INDEX('DB)입출고매칭용'!$R$2:$R$181,MATCH(1,($C128='DB)입출고매칭용'!$H$2:$H$181)*($B128='DB)입출고매칭용'!$B$2:$B$181)*($K128='DB)입출고매칭용'!$J$2:$J$181),0)),"")</f>
        <v>20260413-0000547</v>
      </c>
    </row>
    <row r="129" spans="1:19">
      <c r="A129" s="151">
        <v>121</v>
      </c>
      <c r="B129" s="153">
        <v>46126</v>
      </c>
      <c r="C129" s="150" t="s">
        <v>873</v>
      </c>
      <c r="D129" s="154" t="s">
        <v>39</v>
      </c>
      <c r="E129" s="151">
        <v>8809879544101</v>
      </c>
      <c r="F129" s="150" t="s">
        <v>24</v>
      </c>
      <c r="G129" s="150" t="s">
        <v>40</v>
      </c>
      <c r="H129" s="150">
        <v>0</v>
      </c>
      <c r="I129" s="150">
        <v>0</v>
      </c>
      <c r="J129" s="150">
        <v>0</v>
      </c>
      <c r="K129" s="152">
        <v>1</v>
      </c>
      <c r="L129" s="150">
        <v>0</v>
      </c>
      <c r="M129" s="150" t="s">
        <v>41</v>
      </c>
      <c r="N129" s="150" t="s">
        <v>257</v>
      </c>
      <c r="O129" s="150">
        <v>22000</v>
      </c>
      <c r="P129" s="150">
        <v>22000</v>
      </c>
      <c r="Q129" s="150" t="str" cm="1">
        <f t="array" ref="Q129">IFERROR(INDEX('DB)입출고매칭용'!$P$2:$P$181,MATCH(1,($C129='DB)입출고매칭용'!$H$2:$H$181)*($B129='DB)입출고매칭용'!$B$2:$B$181)*($K129='DB)입출고매칭용'!$J$2:$J$181),0)),"")</f>
        <v>판매청구</v>
      </c>
      <c r="R129" s="150" t="str" cm="1">
        <f t="array" ref="R129">IFERROR(INDEX('DB)입출고매칭용'!$Q$2:$Q$181,MATCH(1,($C129='DB)입출고매칭용'!$H$2:$H$181)*($B129='DB)입출고매칭용'!$B$2:$B$181)*($K129='DB)입출고매칭용'!$J$2:$J$181),0)),"")</f>
        <v>정상판매 (공구)</v>
      </c>
      <c r="S129" s="169" t="str" cm="1">
        <f t="array" ref="S129">IFERROR(INDEX('DB)입출고매칭용'!$R$2:$R$181,MATCH(1,($C129='DB)입출고매칭용'!$H$2:$H$181)*($B129='DB)입출고매칭용'!$B$2:$B$181)*($K129='DB)입출고매칭용'!$J$2:$J$181),0)),"")</f>
        <v>20260413-0000633</v>
      </c>
    </row>
    <row r="130" spans="1:19">
      <c r="A130" s="151">
        <v>122</v>
      </c>
      <c r="B130" s="153">
        <v>46126</v>
      </c>
      <c r="C130" s="150" t="s">
        <v>874</v>
      </c>
      <c r="D130" s="154" t="s">
        <v>39</v>
      </c>
      <c r="E130" s="151">
        <v>8809879544101</v>
      </c>
      <c r="F130" s="150" t="s">
        <v>24</v>
      </c>
      <c r="G130" s="150" t="s">
        <v>40</v>
      </c>
      <c r="H130" s="150">
        <v>0</v>
      </c>
      <c r="I130" s="150">
        <v>0</v>
      </c>
      <c r="J130" s="150">
        <v>0</v>
      </c>
      <c r="K130" s="152">
        <v>1</v>
      </c>
      <c r="L130" s="150">
        <v>0</v>
      </c>
      <c r="M130" s="150" t="s">
        <v>41</v>
      </c>
      <c r="N130" s="150" t="s">
        <v>257</v>
      </c>
      <c r="O130" s="150">
        <v>22000</v>
      </c>
      <c r="P130" s="150">
        <v>22000</v>
      </c>
      <c r="Q130" s="150" t="str" cm="1">
        <f t="array" ref="Q130">IFERROR(INDEX('DB)입출고매칭용'!$P$2:$P$181,MATCH(1,($C130='DB)입출고매칭용'!$H$2:$H$181)*($B130='DB)입출고매칭용'!$B$2:$B$181)*($K130='DB)입출고매칭용'!$J$2:$J$181),0)),"")</f>
        <v>판매청구</v>
      </c>
      <c r="R130" s="150" t="str" cm="1">
        <f t="array" ref="R130">IFERROR(INDEX('DB)입출고매칭용'!$Q$2:$Q$181,MATCH(1,($C130='DB)입출고매칭용'!$H$2:$H$181)*($B130='DB)입출고매칭용'!$B$2:$B$181)*($K130='DB)입출고매칭용'!$J$2:$J$181),0)),"")</f>
        <v>정상판매 (공구)</v>
      </c>
      <c r="S130" s="169" t="str" cm="1">
        <f t="array" ref="S130">IFERROR(INDEX('DB)입출고매칭용'!$R$2:$R$181,MATCH(1,($C130='DB)입출고매칭용'!$H$2:$H$181)*($B130='DB)입출고매칭용'!$B$2:$B$181)*($K130='DB)입출고매칭용'!$J$2:$J$181),0)),"")</f>
        <v>20260413-0000654</v>
      </c>
    </row>
    <row r="131" spans="1:19">
      <c r="A131" s="151">
        <v>123</v>
      </c>
      <c r="B131" s="153">
        <v>46126</v>
      </c>
      <c r="C131" s="150" t="s">
        <v>875</v>
      </c>
      <c r="D131" s="154" t="s">
        <v>39</v>
      </c>
      <c r="E131" s="151">
        <v>8809879544101</v>
      </c>
      <c r="F131" s="150" t="s">
        <v>24</v>
      </c>
      <c r="G131" s="150" t="s">
        <v>40</v>
      </c>
      <c r="H131" s="150">
        <v>0</v>
      </c>
      <c r="I131" s="150">
        <v>0</v>
      </c>
      <c r="J131" s="150">
        <v>0</v>
      </c>
      <c r="K131" s="152">
        <v>1</v>
      </c>
      <c r="L131" s="150">
        <v>0</v>
      </c>
      <c r="M131" s="150" t="s">
        <v>41</v>
      </c>
      <c r="N131" s="150" t="s">
        <v>257</v>
      </c>
      <c r="O131" s="150">
        <v>22000</v>
      </c>
      <c r="P131" s="150">
        <v>22000</v>
      </c>
      <c r="Q131" s="150" t="str" cm="1">
        <f t="array" ref="Q131">IFERROR(INDEX('DB)입출고매칭용'!$P$2:$P$181,MATCH(1,($C131='DB)입출고매칭용'!$H$2:$H$181)*($B131='DB)입출고매칭용'!$B$2:$B$181)*($K131='DB)입출고매칭용'!$J$2:$J$181),0)),"")</f>
        <v>판매청구</v>
      </c>
      <c r="R131" s="150" t="str" cm="1">
        <f t="array" ref="R131">IFERROR(INDEX('DB)입출고매칭용'!$Q$2:$Q$181,MATCH(1,($C131='DB)입출고매칭용'!$H$2:$H$181)*($B131='DB)입출고매칭용'!$B$2:$B$181)*($K131='DB)입출고매칭용'!$J$2:$J$181),0)),"")</f>
        <v>정상판매</v>
      </c>
      <c r="S131" s="169" t="str" cm="1">
        <f t="array" ref="S131">IFERROR(INDEX('DB)입출고매칭용'!$R$2:$R$181,MATCH(1,($C131='DB)입출고매칭용'!$H$2:$H$181)*($B131='DB)입출고매칭용'!$B$2:$B$181)*($K131='DB)입출고매칭용'!$J$2:$J$181),0)),"")</f>
        <v>20260413-0000660</v>
      </c>
    </row>
    <row r="132" spans="1:19">
      <c r="A132" s="151">
        <v>124</v>
      </c>
      <c r="B132" s="153">
        <v>46126</v>
      </c>
      <c r="C132" s="150" t="s">
        <v>876</v>
      </c>
      <c r="D132" s="154" t="s">
        <v>39</v>
      </c>
      <c r="E132" s="151">
        <v>8809879544101</v>
      </c>
      <c r="F132" s="150" t="s">
        <v>24</v>
      </c>
      <c r="G132" s="150" t="s">
        <v>40</v>
      </c>
      <c r="H132" s="150">
        <v>0</v>
      </c>
      <c r="I132" s="150">
        <v>0</v>
      </c>
      <c r="J132" s="150">
        <v>0</v>
      </c>
      <c r="K132" s="152">
        <v>1</v>
      </c>
      <c r="L132" s="150">
        <v>0</v>
      </c>
      <c r="M132" s="150" t="s">
        <v>41</v>
      </c>
      <c r="N132" s="150" t="s">
        <v>257</v>
      </c>
      <c r="O132" s="150">
        <v>22000</v>
      </c>
      <c r="P132" s="150">
        <v>22000</v>
      </c>
      <c r="Q132" s="150" t="str" cm="1">
        <f t="array" ref="Q132">IFERROR(INDEX('DB)입출고매칭용'!$P$2:$P$181,MATCH(1,($C132='DB)입출고매칭용'!$H$2:$H$181)*($B132='DB)입출고매칭용'!$B$2:$B$181)*($K132='DB)입출고매칭용'!$J$2:$J$181),0)),"")</f>
        <v>판매청구</v>
      </c>
      <c r="R132" s="150" t="str" cm="1">
        <f t="array" ref="R132">IFERROR(INDEX('DB)입출고매칭용'!$Q$2:$Q$181,MATCH(1,($C132='DB)입출고매칭용'!$H$2:$H$181)*($B132='DB)입출고매칭용'!$B$2:$B$181)*($K132='DB)입출고매칭용'!$J$2:$J$181),0)),"")</f>
        <v>정상판매 (공구)</v>
      </c>
      <c r="S132" s="169" t="str" cm="1">
        <f t="array" ref="S132">IFERROR(INDEX('DB)입출고매칭용'!$R$2:$R$181,MATCH(1,($C132='DB)입출고매칭용'!$H$2:$H$181)*($B132='DB)입출고매칭용'!$B$2:$B$181)*($K132='DB)입출고매칭용'!$J$2:$J$181),0)),"")</f>
        <v>20260413-0000674</v>
      </c>
    </row>
    <row r="133" spans="1:19">
      <c r="A133" s="151">
        <v>125</v>
      </c>
      <c r="B133" s="153">
        <v>46126</v>
      </c>
      <c r="C133" s="150" t="s">
        <v>877</v>
      </c>
      <c r="D133" s="154" t="s">
        <v>39</v>
      </c>
      <c r="E133" s="151">
        <v>8809879544101</v>
      </c>
      <c r="F133" s="150" t="s">
        <v>24</v>
      </c>
      <c r="G133" s="150" t="s">
        <v>40</v>
      </c>
      <c r="H133" s="150">
        <v>0</v>
      </c>
      <c r="I133" s="150">
        <v>0</v>
      </c>
      <c r="J133" s="150">
        <v>0</v>
      </c>
      <c r="K133" s="152">
        <v>1</v>
      </c>
      <c r="L133" s="150">
        <v>0</v>
      </c>
      <c r="M133" s="150" t="s">
        <v>41</v>
      </c>
      <c r="N133" s="150" t="s">
        <v>257</v>
      </c>
      <c r="O133" s="150">
        <v>22000</v>
      </c>
      <c r="P133" s="150">
        <v>22000</v>
      </c>
      <c r="Q133" s="150" t="str" cm="1">
        <f t="array" ref="Q133">IFERROR(INDEX('DB)입출고매칭용'!$P$2:$P$181,MATCH(1,($C133='DB)입출고매칭용'!$H$2:$H$181)*($B133='DB)입출고매칭용'!$B$2:$B$181)*($K133='DB)입출고매칭용'!$J$2:$J$181),0)),"")</f>
        <v>판매청구</v>
      </c>
      <c r="R133" s="150" t="str" cm="1">
        <f t="array" ref="R133">IFERROR(INDEX('DB)입출고매칭용'!$Q$2:$Q$181,MATCH(1,($C133='DB)입출고매칭용'!$H$2:$H$181)*($B133='DB)입출고매칭용'!$B$2:$B$181)*($K133='DB)입출고매칭용'!$J$2:$J$181),0)),"")</f>
        <v>정상판매 (공구)</v>
      </c>
      <c r="S133" s="169" t="str" cm="1">
        <f t="array" ref="S133">IFERROR(INDEX('DB)입출고매칭용'!$R$2:$R$181,MATCH(1,($C133='DB)입출고매칭용'!$H$2:$H$181)*($B133='DB)입출고매칭용'!$B$2:$B$181)*($K133='DB)입출고매칭용'!$J$2:$J$181),0)),"")</f>
        <v>20260413-0000691</v>
      </c>
    </row>
    <row r="134" spans="1:19">
      <c r="A134" s="151">
        <v>126</v>
      </c>
      <c r="B134" s="153">
        <v>46126</v>
      </c>
      <c r="C134" s="150" t="s">
        <v>878</v>
      </c>
      <c r="D134" s="154" t="s">
        <v>39</v>
      </c>
      <c r="E134" s="151">
        <v>8809879544101</v>
      </c>
      <c r="F134" s="150" t="s">
        <v>24</v>
      </c>
      <c r="G134" s="150" t="s">
        <v>40</v>
      </c>
      <c r="H134" s="150">
        <v>0</v>
      </c>
      <c r="I134" s="150">
        <v>0</v>
      </c>
      <c r="J134" s="150">
        <v>0</v>
      </c>
      <c r="K134" s="152">
        <v>1</v>
      </c>
      <c r="L134" s="150">
        <v>0</v>
      </c>
      <c r="M134" s="150" t="s">
        <v>41</v>
      </c>
      <c r="N134" s="150" t="s">
        <v>257</v>
      </c>
      <c r="O134" s="150">
        <v>22000</v>
      </c>
      <c r="P134" s="150">
        <v>22000</v>
      </c>
      <c r="Q134" s="150" t="str" cm="1">
        <f t="array" ref="Q134">IFERROR(INDEX('DB)입출고매칭용'!$P$2:$P$181,MATCH(1,($C134='DB)입출고매칭용'!$H$2:$H$181)*($B134='DB)입출고매칭용'!$B$2:$B$181)*($K134='DB)입출고매칭용'!$J$2:$J$181),0)),"")</f>
        <v>판매청구</v>
      </c>
      <c r="R134" s="150" t="str" cm="1">
        <f t="array" ref="R134">IFERROR(INDEX('DB)입출고매칭용'!$Q$2:$Q$181,MATCH(1,($C134='DB)입출고매칭용'!$H$2:$H$181)*($B134='DB)입출고매칭용'!$B$2:$B$181)*($K134='DB)입출고매칭용'!$J$2:$J$181),0)),"")</f>
        <v>정상판매 (공구)</v>
      </c>
      <c r="S134" s="169" t="str" cm="1">
        <f t="array" ref="S134">IFERROR(INDEX('DB)입출고매칭용'!$R$2:$R$181,MATCH(1,($C134='DB)입출고매칭용'!$H$2:$H$181)*($B134='DB)입출고매칭용'!$B$2:$B$181)*($K134='DB)입출고매칭용'!$J$2:$J$181),0)),"")</f>
        <v>20260413-0000451</v>
      </c>
    </row>
    <row r="135" spans="1:19">
      <c r="A135" s="151">
        <v>127</v>
      </c>
      <c r="B135" s="153">
        <v>46126</v>
      </c>
      <c r="C135" s="150" t="s">
        <v>879</v>
      </c>
      <c r="D135" s="154" t="s">
        <v>39</v>
      </c>
      <c r="E135" s="151">
        <v>8809879544101</v>
      </c>
      <c r="F135" s="150" t="s">
        <v>24</v>
      </c>
      <c r="G135" s="150" t="s">
        <v>40</v>
      </c>
      <c r="H135" s="150">
        <v>0</v>
      </c>
      <c r="I135" s="150">
        <v>0</v>
      </c>
      <c r="J135" s="150">
        <v>0</v>
      </c>
      <c r="K135" s="152">
        <v>1</v>
      </c>
      <c r="L135" s="150">
        <v>0</v>
      </c>
      <c r="M135" s="150" t="s">
        <v>41</v>
      </c>
      <c r="N135" s="150" t="s">
        <v>257</v>
      </c>
      <c r="O135" s="150">
        <v>22000</v>
      </c>
      <c r="P135" s="150">
        <v>22000</v>
      </c>
      <c r="Q135" s="150" t="str" cm="1">
        <f t="array" ref="Q135">IFERROR(INDEX('DB)입출고매칭용'!$P$2:$P$181,MATCH(1,($C135='DB)입출고매칭용'!$H$2:$H$181)*($B135='DB)입출고매칭용'!$B$2:$B$181)*($K135='DB)입출고매칭용'!$J$2:$J$181),0)),"")</f>
        <v>판매청구</v>
      </c>
      <c r="R135" s="150" t="str" cm="1">
        <f t="array" ref="R135">IFERROR(INDEX('DB)입출고매칭용'!$Q$2:$Q$181,MATCH(1,($C135='DB)입출고매칭용'!$H$2:$H$181)*($B135='DB)입출고매칭용'!$B$2:$B$181)*($K135='DB)입출고매칭용'!$J$2:$J$181),0)),"")</f>
        <v>정상판매 (공구)</v>
      </c>
      <c r="S135" s="169" t="str" cm="1">
        <f t="array" ref="S135">IFERROR(INDEX('DB)입출고매칭용'!$R$2:$R$181,MATCH(1,($C135='DB)입출고매칭용'!$H$2:$H$181)*($B135='DB)입출고매칭용'!$B$2:$B$181)*($K135='DB)입출고매칭용'!$J$2:$J$181),0)),"")</f>
        <v>20260413-0000460</v>
      </c>
    </row>
    <row r="136" spans="1:19">
      <c r="A136" s="151">
        <v>128</v>
      </c>
      <c r="B136" s="153">
        <v>46126</v>
      </c>
      <c r="C136" s="150" t="s">
        <v>880</v>
      </c>
      <c r="D136" s="154" t="s">
        <v>39</v>
      </c>
      <c r="E136" s="151">
        <v>8809879544101</v>
      </c>
      <c r="F136" s="150" t="s">
        <v>24</v>
      </c>
      <c r="G136" s="150" t="s">
        <v>40</v>
      </c>
      <c r="H136" s="150">
        <v>0</v>
      </c>
      <c r="I136" s="150">
        <v>0</v>
      </c>
      <c r="J136" s="150">
        <v>0</v>
      </c>
      <c r="K136" s="152">
        <v>1</v>
      </c>
      <c r="L136" s="150">
        <v>0</v>
      </c>
      <c r="M136" s="150" t="s">
        <v>41</v>
      </c>
      <c r="N136" s="150" t="s">
        <v>257</v>
      </c>
      <c r="O136" s="150">
        <v>22000</v>
      </c>
      <c r="P136" s="150">
        <v>22000</v>
      </c>
      <c r="Q136" s="150" t="str" cm="1">
        <f t="array" ref="Q136">IFERROR(INDEX('DB)입출고매칭용'!$P$2:$P$181,MATCH(1,($C136='DB)입출고매칭용'!$H$2:$H$181)*($B136='DB)입출고매칭용'!$B$2:$B$181)*($K136='DB)입출고매칭용'!$J$2:$J$181),0)),"")</f>
        <v>판매청구</v>
      </c>
      <c r="R136" s="150" t="str" cm="1">
        <f t="array" ref="R136">IFERROR(INDEX('DB)입출고매칭용'!$Q$2:$Q$181,MATCH(1,($C136='DB)입출고매칭용'!$H$2:$H$181)*($B136='DB)입출고매칭용'!$B$2:$B$181)*($K136='DB)입출고매칭용'!$J$2:$J$181),0)),"")</f>
        <v>정상판매 (공구)</v>
      </c>
      <c r="S136" s="169" t="str" cm="1">
        <f t="array" ref="S136">IFERROR(INDEX('DB)입출고매칭용'!$R$2:$R$181,MATCH(1,($C136='DB)입출고매칭용'!$H$2:$H$181)*($B136='DB)입출고매칭용'!$B$2:$B$181)*($K136='DB)입출고매칭용'!$J$2:$J$181),0)),"")</f>
        <v>20260413-0000470</v>
      </c>
    </row>
    <row r="137" spans="1:19">
      <c r="A137" s="151">
        <v>129</v>
      </c>
      <c r="B137" s="153">
        <v>46126</v>
      </c>
      <c r="C137" s="150" t="s">
        <v>881</v>
      </c>
      <c r="D137" s="154" t="s">
        <v>39</v>
      </c>
      <c r="E137" s="151">
        <v>8809879544101</v>
      </c>
      <c r="F137" s="150" t="s">
        <v>24</v>
      </c>
      <c r="G137" s="150" t="s">
        <v>40</v>
      </c>
      <c r="H137" s="150">
        <v>0</v>
      </c>
      <c r="I137" s="150">
        <v>0</v>
      </c>
      <c r="J137" s="150">
        <v>0</v>
      </c>
      <c r="K137" s="152">
        <v>1</v>
      </c>
      <c r="L137" s="150">
        <v>0</v>
      </c>
      <c r="M137" s="150" t="s">
        <v>41</v>
      </c>
      <c r="N137" s="150" t="s">
        <v>257</v>
      </c>
      <c r="O137" s="150">
        <v>22000</v>
      </c>
      <c r="P137" s="150">
        <v>22000</v>
      </c>
      <c r="Q137" s="150" t="str" cm="1">
        <f t="array" ref="Q137">IFERROR(INDEX('DB)입출고매칭용'!$P$2:$P$181,MATCH(1,($C137='DB)입출고매칭용'!$H$2:$H$181)*($B137='DB)입출고매칭용'!$B$2:$B$181)*($K137='DB)입출고매칭용'!$J$2:$J$181),0)),"")</f>
        <v>판매청구</v>
      </c>
      <c r="R137" s="150" t="str" cm="1">
        <f t="array" ref="R137">IFERROR(INDEX('DB)입출고매칭용'!$Q$2:$Q$181,MATCH(1,($C137='DB)입출고매칭용'!$H$2:$H$181)*($B137='DB)입출고매칭용'!$B$2:$B$181)*($K137='DB)입출고매칭용'!$J$2:$J$181),0)),"")</f>
        <v>정상판매 (공구)</v>
      </c>
      <c r="S137" s="169" t="str" cm="1">
        <f t="array" ref="S137">IFERROR(INDEX('DB)입출고매칭용'!$R$2:$R$181,MATCH(1,($C137='DB)입출고매칭용'!$H$2:$H$181)*($B137='DB)입출고매칭용'!$B$2:$B$181)*($K137='DB)입출고매칭용'!$J$2:$J$181),0)),"")</f>
        <v>20260413-0000508</v>
      </c>
    </row>
    <row r="138" spans="1:19">
      <c r="A138" s="151">
        <v>130</v>
      </c>
      <c r="B138" s="153">
        <v>46126</v>
      </c>
      <c r="C138" s="150" t="s">
        <v>882</v>
      </c>
      <c r="D138" s="154" t="s">
        <v>39</v>
      </c>
      <c r="E138" s="151">
        <v>8809879544101</v>
      </c>
      <c r="F138" s="150" t="s">
        <v>24</v>
      </c>
      <c r="G138" s="150" t="s">
        <v>40</v>
      </c>
      <c r="H138" s="150">
        <v>0</v>
      </c>
      <c r="I138" s="150">
        <v>0</v>
      </c>
      <c r="J138" s="150">
        <v>0</v>
      </c>
      <c r="K138" s="152">
        <v>1</v>
      </c>
      <c r="L138" s="150">
        <v>0</v>
      </c>
      <c r="M138" s="150" t="s">
        <v>41</v>
      </c>
      <c r="N138" s="150" t="s">
        <v>257</v>
      </c>
      <c r="O138" s="150">
        <v>22000</v>
      </c>
      <c r="P138" s="150">
        <v>22000</v>
      </c>
      <c r="Q138" s="150" t="str" cm="1">
        <f t="array" ref="Q138">IFERROR(INDEX('DB)입출고매칭용'!$P$2:$P$181,MATCH(1,($C138='DB)입출고매칭용'!$H$2:$H$181)*($B138='DB)입출고매칭용'!$B$2:$B$181)*($K138='DB)입출고매칭용'!$J$2:$J$181),0)),"")</f>
        <v>판매청구</v>
      </c>
      <c r="R138" s="150" t="str" cm="1">
        <f t="array" ref="R138">IFERROR(INDEX('DB)입출고매칭용'!$Q$2:$Q$181,MATCH(1,($C138='DB)입출고매칭용'!$H$2:$H$181)*($B138='DB)입출고매칭용'!$B$2:$B$181)*($K138='DB)입출고매칭용'!$J$2:$J$181),0)),"")</f>
        <v>정상판매 (공구)</v>
      </c>
      <c r="S138" s="169" t="str" cm="1">
        <f t="array" ref="S138">IFERROR(INDEX('DB)입출고매칭용'!$R$2:$R$181,MATCH(1,($C138='DB)입출고매칭용'!$H$2:$H$181)*($B138='DB)입출고매칭용'!$B$2:$B$181)*($K138='DB)입출고매칭용'!$J$2:$J$181),0)),"")</f>
        <v>20260413-0000405</v>
      </c>
    </row>
    <row r="139" spans="1:19">
      <c r="A139" s="151">
        <v>131</v>
      </c>
      <c r="B139" s="153">
        <v>46126</v>
      </c>
      <c r="C139" s="150" t="s">
        <v>883</v>
      </c>
      <c r="D139" s="154" t="s">
        <v>39</v>
      </c>
      <c r="E139" s="151">
        <v>8809879544101</v>
      </c>
      <c r="F139" s="150" t="s">
        <v>24</v>
      </c>
      <c r="G139" s="150" t="s">
        <v>40</v>
      </c>
      <c r="H139" s="150">
        <v>0</v>
      </c>
      <c r="I139" s="150">
        <v>0</v>
      </c>
      <c r="J139" s="150">
        <v>0</v>
      </c>
      <c r="K139" s="152">
        <v>1</v>
      </c>
      <c r="L139" s="150">
        <v>0</v>
      </c>
      <c r="M139" s="150" t="s">
        <v>41</v>
      </c>
      <c r="N139" s="150" t="s">
        <v>257</v>
      </c>
      <c r="O139" s="150">
        <v>22000</v>
      </c>
      <c r="P139" s="150">
        <v>22000</v>
      </c>
      <c r="Q139" s="150" t="str" cm="1">
        <f t="array" ref="Q139">IFERROR(INDEX('DB)입출고매칭용'!$P$2:$P$181,MATCH(1,($C139='DB)입출고매칭용'!$H$2:$H$181)*($B139='DB)입출고매칭용'!$B$2:$B$181)*($K139='DB)입출고매칭용'!$J$2:$J$181),0)),"")</f>
        <v>판매청구</v>
      </c>
      <c r="R139" s="150" t="str" cm="1">
        <f t="array" ref="R139">IFERROR(INDEX('DB)입출고매칭용'!$Q$2:$Q$181,MATCH(1,($C139='DB)입출고매칭용'!$H$2:$H$181)*($B139='DB)입출고매칭용'!$B$2:$B$181)*($K139='DB)입출고매칭용'!$J$2:$J$181),0)),"")</f>
        <v>정상판매 (공구)</v>
      </c>
      <c r="S139" s="169" t="str" cm="1">
        <f t="array" ref="S139">IFERROR(INDEX('DB)입출고매칭용'!$R$2:$R$181,MATCH(1,($C139='DB)입출고매칭용'!$H$2:$H$181)*($B139='DB)입출고매칭용'!$B$2:$B$181)*($K139='DB)입출고매칭용'!$J$2:$J$181),0)),"")</f>
        <v>20260413-0000398</v>
      </c>
    </row>
    <row r="140" spans="1:19">
      <c r="A140" s="151">
        <v>132</v>
      </c>
      <c r="B140" s="153">
        <v>46126</v>
      </c>
      <c r="C140" s="150" t="s">
        <v>884</v>
      </c>
      <c r="D140" s="154" t="s">
        <v>39</v>
      </c>
      <c r="E140" s="151">
        <v>8809879544101</v>
      </c>
      <c r="F140" s="150" t="s">
        <v>24</v>
      </c>
      <c r="G140" s="150" t="s">
        <v>40</v>
      </c>
      <c r="H140" s="150">
        <v>0</v>
      </c>
      <c r="I140" s="150">
        <v>0</v>
      </c>
      <c r="J140" s="150">
        <v>0</v>
      </c>
      <c r="K140" s="152">
        <v>1</v>
      </c>
      <c r="L140" s="150">
        <v>0</v>
      </c>
      <c r="M140" s="150" t="s">
        <v>41</v>
      </c>
      <c r="N140" s="150" t="s">
        <v>257</v>
      </c>
      <c r="O140" s="150">
        <v>22000</v>
      </c>
      <c r="P140" s="150">
        <v>22000</v>
      </c>
      <c r="Q140" s="150" t="str" cm="1">
        <f t="array" ref="Q140">IFERROR(INDEX('DB)입출고매칭용'!$P$2:$P$181,MATCH(1,($C140='DB)입출고매칭용'!$H$2:$H$181)*($B140='DB)입출고매칭용'!$B$2:$B$181)*($K140='DB)입출고매칭용'!$J$2:$J$181),0)),"")</f>
        <v>판매청구</v>
      </c>
      <c r="R140" s="150" t="str" cm="1">
        <f t="array" ref="R140">IFERROR(INDEX('DB)입출고매칭용'!$Q$2:$Q$181,MATCH(1,($C140='DB)입출고매칭용'!$H$2:$H$181)*($B140='DB)입출고매칭용'!$B$2:$B$181)*($K140='DB)입출고매칭용'!$J$2:$J$181),0)),"")</f>
        <v>정상판매 (공구)</v>
      </c>
      <c r="S140" s="169" t="str" cm="1">
        <f t="array" ref="S140">IFERROR(INDEX('DB)입출고매칭용'!$R$2:$R$181,MATCH(1,($C140='DB)입출고매칭용'!$H$2:$H$181)*($B140='DB)입출고매칭용'!$B$2:$B$181)*($K140='DB)입출고매칭용'!$J$2:$J$181),0)),"")</f>
        <v>20260413-0000377</v>
      </c>
    </row>
    <row r="141" spans="1:19">
      <c r="A141" s="151">
        <v>133</v>
      </c>
      <c r="B141" s="153">
        <v>46126</v>
      </c>
      <c r="C141" s="150" t="s">
        <v>885</v>
      </c>
      <c r="D141" s="154" t="s">
        <v>39</v>
      </c>
      <c r="E141" s="151">
        <v>8809879544101</v>
      </c>
      <c r="F141" s="150" t="s">
        <v>24</v>
      </c>
      <c r="G141" s="150" t="s">
        <v>40</v>
      </c>
      <c r="H141" s="150">
        <v>0</v>
      </c>
      <c r="I141" s="150">
        <v>0</v>
      </c>
      <c r="J141" s="150">
        <v>0</v>
      </c>
      <c r="K141" s="152">
        <v>3</v>
      </c>
      <c r="L141" s="150">
        <v>0</v>
      </c>
      <c r="M141" s="150" t="s">
        <v>41</v>
      </c>
      <c r="N141" s="150" t="s">
        <v>257</v>
      </c>
      <c r="O141" s="150">
        <v>22000</v>
      </c>
      <c r="P141" s="150">
        <v>66000</v>
      </c>
      <c r="Q141" s="150" t="str" cm="1">
        <f t="array" ref="Q141">IFERROR(INDEX('DB)입출고매칭용'!$P$2:$P$181,MATCH(1,($C141='DB)입출고매칭용'!$H$2:$H$181)*($B141='DB)입출고매칭용'!$B$2:$B$181)*($K141='DB)입출고매칭용'!$J$2:$J$181),0)),"")</f>
        <v/>
      </c>
      <c r="R141" s="150" t="str" cm="1">
        <f t="array" ref="R141">IFERROR(INDEX('DB)입출고매칭용'!$Q$2:$Q$181,MATCH(1,($C141='DB)입출고매칭용'!$H$2:$H$181)*($B141='DB)입출고매칭용'!$B$2:$B$181)*($K141='DB)입출고매칭용'!$J$2:$J$181),0)),"")</f>
        <v/>
      </c>
      <c r="S141" s="169" t="str" cm="1">
        <f t="array" ref="S141">IFERROR(INDEX('DB)입출고매칭용'!$R$2:$R$181,MATCH(1,($C141='DB)입출고매칭용'!$H$2:$H$181)*($B141='DB)입출고매칭용'!$B$2:$B$181)*($K141='DB)입출고매칭용'!$J$2:$J$181),0)),"")</f>
        <v/>
      </c>
    </row>
    <row r="142" spans="1:19">
      <c r="A142" s="151">
        <v>134</v>
      </c>
      <c r="B142" s="153">
        <v>46126</v>
      </c>
      <c r="C142" s="150" t="s">
        <v>885</v>
      </c>
      <c r="D142" s="154" t="s">
        <v>39</v>
      </c>
      <c r="E142" s="151">
        <v>8809879544101</v>
      </c>
      <c r="F142" s="150" t="s">
        <v>24</v>
      </c>
      <c r="G142" s="150" t="s">
        <v>40</v>
      </c>
      <c r="H142" s="150">
        <v>0</v>
      </c>
      <c r="I142" s="150">
        <v>0</v>
      </c>
      <c r="J142" s="150">
        <v>0</v>
      </c>
      <c r="K142" s="152">
        <v>1</v>
      </c>
      <c r="L142" s="150">
        <v>0</v>
      </c>
      <c r="M142" s="150" t="s">
        <v>41</v>
      </c>
      <c r="N142" s="150" t="s">
        <v>257</v>
      </c>
      <c r="O142" s="150">
        <v>22000</v>
      </c>
      <c r="P142" s="150">
        <v>22000</v>
      </c>
      <c r="Q142" s="150" t="str" cm="1">
        <f t="array" ref="Q142">IFERROR(INDEX('DB)입출고매칭용'!$P$2:$P$181,MATCH(1,($C142='DB)입출고매칭용'!$H$2:$H$181)*($B142='DB)입출고매칭용'!$B$2:$B$181)*($K142='DB)입출고매칭용'!$J$2:$J$181),0)),"")</f>
        <v>판매청구</v>
      </c>
      <c r="R142" s="150" t="str" cm="1">
        <f t="array" ref="R142">IFERROR(INDEX('DB)입출고매칭용'!$Q$2:$Q$181,MATCH(1,($C142='DB)입출고매칭용'!$H$2:$H$181)*($B142='DB)입출고매칭용'!$B$2:$B$181)*($K142='DB)입출고매칭용'!$J$2:$J$181),0)),"")</f>
        <v>정상판매 (공구)</v>
      </c>
      <c r="S142" s="169" t="str" cm="1">
        <f t="array" ref="S142">IFERROR(INDEX('DB)입출고매칭용'!$R$2:$R$181,MATCH(1,($C142='DB)입출고매칭용'!$H$2:$H$181)*($B142='DB)입출고매칭용'!$B$2:$B$181)*($K142='DB)입출고매칭용'!$J$2:$J$181),0)),"")</f>
        <v>20260413-0000414</v>
      </c>
    </row>
    <row r="143" spans="1:19">
      <c r="A143" s="151">
        <v>135</v>
      </c>
      <c r="B143" s="153">
        <v>46126</v>
      </c>
      <c r="C143" s="150" t="s">
        <v>886</v>
      </c>
      <c r="D143" s="154" t="s">
        <v>39</v>
      </c>
      <c r="E143" s="151">
        <v>8809879544101</v>
      </c>
      <c r="F143" s="150" t="s">
        <v>24</v>
      </c>
      <c r="G143" s="150" t="s">
        <v>40</v>
      </c>
      <c r="H143" s="150">
        <v>0</v>
      </c>
      <c r="I143" s="150">
        <v>0</v>
      </c>
      <c r="J143" s="150">
        <v>0</v>
      </c>
      <c r="K143" s="152">
        <v>2</v>
      </c>
      <c r="L143" s="150">
        <v>0</v>
      </c>
      <c r="M143" s="150" t="s">
        <v>41</v>
      </c>
      <c r="N143" s="150" t="s">
        <v>257</v>
      </c>
      <c r="O143" s="150">
        <v>22000</v>
      </c>
      <c r="P143" s="150">
        <v>44000</v>
      </c>
      <c r="Q143" s="150" t="str" cm="1">
        <f t="array" ref="Q143">IFERROR(INDEX('DB)입출고매칭용'!$P$2:$P$181,MATCH(1,($C143='DB)입출고매칭용'!$H$2:$H$181)*($B143='DB)입출고매칭용'!$B$2:$B$181)*($K143='DB)입출고매칭용'!$J$2:$J$181),0)),"")</f>
        <v/>
      </c>
      <c r="R143" s="150" t="str" cm="1">
        <f t="array" ref="R143">IFERROR(INDEX('DB)입출고매칭용'!$Q$2:$Q$181,MATCH(1,($C143='DB)입출고매칭용'!$H$2:$H$181)*($B143='DB)입출고매칭용'!$B$2:$B$181)*($K143='DB)입출고매칭용'!$J$2:$J$181),0)),"")</f>
        <v/>
      </c>
      <c r="S143" s="169" t="str" cm="1">
        <f t="array" ref="S143">IFERROR(INDEX('DB)입출고매칭용'!$R$2:$R$181,MATCH(1,($C143='DB)입출고매칭용'!$H$2:$H$181)*($B143='DB)입출고매칭용'!$B$2:$B$181)*($K143='DB)입출고매칭용'!$J$2:$J$181),0)),"")</f>
        <v/>
      </c>
    </row>
    <row r="144" spans="1:19">
      <c r="A144" s="151">
        <v>136</v>
      </c>
      <c r="B144" s="153">
        <v>46126</v>
      </c>
      <c r="C144" s="150" t="s">
        <v>887</v>
      </c>
      <c r="D144" s="154" t="s">
        <v>39</v>
      </c>
      <c r="E144" s="151">
        <v>8809879544101</v>
      </c>
      <c r="F144" s="150" t="s">
        <v>24</v>
      </c>
      <c r="G144" s="150" t="s">
        <v>40</v>
      </c>
      <c r="H144" s="150">
        <v>0</v>
      </c>
      <c r="I144" s="150">
        <v>0</v>
      </c>
      <c r="J144" s="150">
        <v>0</v>
      </c>
      <c r="K144" s="152">
        <v>2</v>
      </c>
      <c r="L144" s="150">
        <v>0</v>
      </c>
      <c r="M144" s="150" t="s">
        <v>41</v>
      </c>
      <c r="N144" s="150" t="s">
        <v>257</v>
      </c>
      <c r="O144" s="150">
        <v>22000</v>
      </c>
      <c r="P144" s="150">
        <v>44000</v>
      </c>
      <c r="Q144" s="150" t="str" cm="1">
        <f t="array" ref="Q144">IFERROR(INDEX('DB)입출고매칭용'!$P$2:$P$181,MATCH(1,($C144='DB)입출고매칭용'!$H$2:$H$181)*($B144='DB)입출고매칭용'!$B$2:$B$181)*($K144='DB)입출고매칭용'!$J$2:$J$181),0)),"")</f>
        <v/>
      </c>
      <c r="R144" s="150" t="str" cm="1">
        <f t="array" ref="R144">IFERROR(INDEX('DB)입출고매칭용'!$Q$2:$Q$181,MATCH(1,($C144='DB)입출고매칭용'!$H$2:$H$181)*($B144='DB)입출고매칭용'!$B$2:$B$181)*($K144='DB)입출고매칭용'!$J$2:$J$181),0)),"")</f>
        <v/>
      </c>
      <c r="S144" s="169" t="str" cm="1">
        <f t="array" ref="S144">IFERROR(INDEX('DB)입출고매칭용'!$R$2:$R$181,MATCH(1,($C144='DB)입출고매칭용'!$H$2:$H$181)*($B144='DB)입출고매칭용'!$B$2:$B$181)*($K144='DB)입출고매칭용'!$J$2:$J$181),0)),"")</f>
        <v/>
      </c>
    </row>
    <row r="145" spans="1:19">
      <c r="A145" s="151">
        <v>137</v>
      </c>
      <c r="B145" s="153">
        <v>46126</v>
      </c>
      <c r="C145" s="150" t="s">
        <v>888</v>
      </c>
      <c r="D145" s="154" t="s">
        <v>39</v>
      </c>
      <c r="E145" s="151">
        <v>8809879544101</v>
      </c>
      <c r="F145" s="150" t="s">
        <v>24</v>
      </c>
      <c r="G145" s="150" t="s">
        <v>40</v>
      </c>
      <c r="H145" s="150">
        <v>0</v>
      </c>
      <c r="I145" s="150">
        <v>0</v>
      </c>
      <c r="J145" s="150">
        <v>0</v>
      </c>
      <c r="K145" s="152">
        <v>2</v>
      </c>
      <c r="L145" s="150">
        <v>0</v>
      </c>
      <c r="M145" s="150" t="s">
        <v>41</v>
      </c>
      <c r="N145" s="150" t="s">
        <v>257</v>
      </c>
      <c r="O145" s="150">
        <v>22000</v>
      </c>
      <c r="P145" s="150">
        <v>44000</v>
      </c>
      <c r="Q145" s="150" t="str" cm="1">
        <f t="array" ref="Q145">IFERROR(INDEX('DB)입출고매칭용'!$P$2:$P$181,MATCH(1,($C145='DB)입출고매칭용'!$H$2:$H$181)*($B145='DB)입출고매칭용'!$B$2:$B$181)*($K145='DB)입출고매칭용'!$J$2:$J$181),0)),"")</f>
        <v/>
      </c>
      <c r="R145" s="150" t="str" cm="1">
        <f t="array" ref="R145">IFERROR(INDEX('DB)입출고매칭용'!$Q$2:$Q$181,MATCH(1,($C145='DB)입출고매칭용'!$H$2:$H$181)*($B145='DB)입출고매칭용'!$B$2:$B$181)*($K145='DB)입출고매칭용'!$J$2:$J$181),0)),"")</f>
        <v/>
      </c>
      <c r="S145" s="169" t="str" cm="1">
        <f t="array" ref="S145">IFERROR(INDEX('DB)입출고매칭용'!$R$2:$R$181,MATCH(1,($C145='DB)입출고매칭용'!$H$2:$H$181)*($B145='DB)입출고매칭용'!$B$2:$B$181)*($K145='DB)입출고매칭용'!$J$2:$J$181),0)),"")</f>
        <v/>
      </c>
    </row>
    <row r="146" spans="1:19">
      <c r="A146" s="151">
        <v>138</v>
      </c>
      <c r="B146" s="153">
        <v>46126</v>
      </c>
      <c r="C146" s="150" t="s">
        <v>889</v>
      </c>
      <c r="D146" s="154" t="s">
        <v>39</v>
      </c>
      <c r="E146" s="151">
        <v>8809879544101</v>
      </c>
      <c r="F146" s="150" t="s">
        <v>24</v>
      </c>
      <c r="G146" s="150" t="s">
        <v>40</v>
      </c>
      <c r="H146" s="150">
        <v>0</v>
      </c>
      <c r="I146" s="150">
        <v>0</v>
      </c>
      <c r="J146" s="150">
        <v>0</v>
      </c>
      <c r="K146" s="152">
        <v>2</v>
      </c>
      <c r="L146" s="150">
        <v>0</v>
      </c>
      <c r="M146" s="150" t="s">
        <v>41</v>
      </c>
      <c r="N146" s="150" t="s">
        <v>257</v>
      </c>
      <c r="O146" s="150">
        <v>22000</v>
      </c>
      <c r="P146" s="150">
        <v>44000</v>
      </c>
      <c r="Q146" s="150" t="str" cm="1">
        <f t="array" ref="Q146">IFERROR(INDEX('DB)입출고매칭용'!$P$2:$P$181,MATCH(1,($C146='DB)입출고매칭용'!$H$2:$H$181)*($B146='DB)입출고매칭용'!$B$2:$B$181)*($K146='DB)입출고매칭용'!$J$2:$J$181),0)),"")</f>
        <v/>
      </c>
      <c r="R146" s="150" t="str" cm="1">
        <f t="array" ref="R146">IFERROR(INDEX('DB)입출고매칭용'!$Q$2:$Q$181,MATCH(1,($C146='DB)입출고매칭용'!$H$2:$H$181)*($B146='DB)입출고매칭용'!$B$2:$B$181)*($K146='DB)입출고매칭용'!$J$2:$J$181),0)),"")</f>
        <v/>
      </c>
      <c r="S146" s="169" t="str" cm="1">
        <f t="array" ref="S146">IFERROR(INDEX('DB)입출고매칭용'!$R$2:$R$181,MATCH(1,($C146='DB)입출고매칭용'!$H$2:$H$181)*($B146='DB)입출고매칭용'!$B$2:$B$181)*($K146='DB)입출고매칭용'!$J$2:$J$181),0)),"")</f>
        <v/>
      </c>
    </row>
    <row r="147" spans="1:19">
      <c r="A147" s="151">
        <v>139</v>
      </c>
      <c r="B147" s="153">
        <v>46126</v>
      </c>
      <c r="C147" s="150" t="s">
        <v>890</v>
      </c>
      <c r="D147" s="154" t="s">
        <v>39</v>
      </c>
      <c r="E147" s="151">
        <v>8809879544101</v>
      </c>
      <c r="F147" s="150" t="s">
        <v>24</v>
      </c>
      <c r="G147" s="150" t="s">
        <v>40</v>
      </c>
      <c r="H147" s="150">
        <v>0</v>
      </c>
      <c r="I147" s="150">
        <v>0</v>
      </c>
      <c r="J147" s="150">
        <v>0</v>
      </c>
      <c r="K147" s="152">
        <v>2</v>
      </c>
      <c r="L147" s="150">
        <v>0</v>
      </c>
      <c r="M147" s="150" t="s">
        <v>41</v>
      </c>
      <c r="N147" s="150" t="s">
        <v>257</v>
      </c>
      <c r="O147" s="150">
        <v>22000</v>
      </c>
      <c r="P147" s="150">
        <v>44000</v>
      </c>
      <c r="Q147" s="150" t="str" cm="1">
        <f t="array" ref="Q147">IFERROR(INDEX('DB)입출고매칭용'!$P$2:$P$181,MATCH(1,($C147='DB)입출고매칭용'!$H$2:$H$181)*($B147='DB)입출고매칭용'!$B$2:$B$181)*($K147='DB)입출고매칭용'!$J$2:$J$181),0)),"")</f>
        <v/>
      </c>
      <c r="R147" s="150" t="str" cm="1">
        <f t="array" ref="R147">IFERROR(INDEX('DB)입출고매칭용'!$Q$2:$Q$181,MATCH(1,($C147='DB)입출고매칭용'!$H$2:$H$181)*($B147='DB)입출고매칭용'!$B$2:$B$181)*($K147='DB)입출고매칭용'!$J$2:$J$181),0)),"")</f>
        <v/>
      </c>
      <c r="S147" s="169" t="str" cm="1">
        <f t="array" ref="S147">IFERROR(INDEX('DB)입출고매칭용'!$R$2:$R$181,MATCH(1,($C147='DB)입출고매칭용'!$H$2:$H$181)*($B147='DB)입출고매칭용'!$B$2:$B$181)*($K147='DB)입출고매칭용'!$J$2:$J$181),0)),"")</f>
        <v/>
      </c>
    </row>
    <row r="148" spans="1:19">
      <c r="A148" s="151">
        <v>140</v>
      </c>
      <c r="B148" s="153">
        <v>46126</v>
      </c>
      <c r="C148" s="150" t="s">
        <v>891</v>
      </c>
      <c r="D148" s="154" t="s">
        <v>39</v>
      </c>
      <c r="E148" s="151">
        <v>8809879544101</v>
      </c>
      <c r="F148" s="150" t="s">
        <v>24</v>
      </c>
      <c r="G148" s="150" t="s">
        <v>40</v>
      </c>
      <c r="H148" s="150">
        <v>0</v>
      </c>
      <c r="I148" s="150">
        <v>0</v>
      </c>
      <c r="J148" s="150">
        <v>0</v>
      </c>
      <c r="K148" s="152">
        <v>2</v>
      </c>
      <c r="L148" s="150">
        <v>0</v>
      </c>
      <c r="M148" s="150" t="s">
        <v>41</v>
      </c>
      <c r="N148" s="150" t="s">
        <v>257</v>
      </c>
      <c r="O148" s="150">
        <v>22000</v>
      </c>
      <c r="P148" s="150">
        <v>44000</v>
      </c>
      <c r="Q148" s="150" t="str" cm="1">
        <f t="array" ref="Q148">IFERROR(INDEX('DB)입출고매칭용'!$P$2:$P$181,MATCH(1,($C148='DB)입출고매칭용'!$H$2:$H$181)*($B148='DB)입출고매칭용'!$B$2:$B$181)*($K148='DB)입출고매칭용'!$J$2:$J$181),0)),"")</f>
        <v/>
      </c>
      <c r="R148" s="150" t="str" cm="1">
        <f t="array" ref="R148">IFERROR(INDEX('DB)입출고매칭용'!$Q$2:$Q$181,MATCH(1,($C148='DB)입출고매칭용'!$H$2:$H$181)*($B148='DB)입출고매칭용'!$B$2:$B$181)*($K148='DB)입출고매칭용'!$J$2:$J$181),0)),"")</f>
        <v/>
      </c>
      <c r="S148" s="169" t="str" cm="1">
        <f t="array" ref="S148">IFERROR(INDEX('DB)입출고매칭용'!$R$2:$R$181,MATCH(1,($C148='DB)입출고매칭용'!$H$2:$H$181)*($B148='DB)입출고매칭용'!$B$2:$B$181)*($K148='DB)입출고매칭용'!$J$2:$J$181),0)),"")</f>
        <v/>
      </c>
    </row>
    <row r="149" spans="1:19">
      <c r="A149" s="151">
        <v>141</v>
      </c>
      <c r="B149" s="153">
        <v>46126</v>
      </c>
      <c r="C149" s="150" t="s">
        <v>892</v>
      </c>
      <c r="D149" s="154" t="s">
        <v>39</v>
      </c>
      <c r="E149" s="151">
        <v>8809879544101</v>
      </c>
      <c r="F149" s="150" t="s">
        <v>24</v>
      </c>
      <c r="G149" s="150" t="s">
        <v>40</v>
      </c>
      <c r="H149" s="150">
        <v>0</v>
      </c>
      <c r="I149" s="150">
        <v>0</v>
      </c>
      <c r="J149" s="150">
        <v>0</v>
      </c>
      <c r="K149" s="152">
        <v>2</v>
      </c>
      <c r="L149" s="150">
        <v>0</v>
      </c>
      <c r="M149" s="150" t="s">
        <v>41</v>
      </c>
      <c r="N149" s="150" t="s">
        <v>257</v>
      </c>
      <c r="O149" s="150">
        <v>22000</v>
      </c>
      <c r="P149" s="150">
        <v>44000</v>
      </c>
      <c r="Q149" s="150" t="str" cm="1">
        <f t="array" ref="Q149">IFERROR(INDEX('DB)입출고매칭용'!$P$2:$P$181,MATCH(1,($C149='DB)입출고매칭용'!$H$2:$H$181)*($B149='DB)입출고매칭용'!$B$2:$B$181)*($K149='DB)입출고매칭용'!$J$2:$J$181),0)),"")</f>
        <v/>
      </c>
      <c r="R149" s="150" t="str" cm="1">
        <f t="array" ref="R149">IFERROR(INDEX('DB)입출고매칭용'!$Q$2:$Q$181,MATCH(1,($C149='DB)입출고매칭용'!$H$2:$H$181)*($B149='DB)입출고매칭용'!$B$2:$B$181)*($K149='DB)입출고매칭용'!$J$2:$J$181),0)),"")</f>
        <v/>
      </c>
      <c r="S149" s="169" t="str" cm="1">
        <f t="array" ref="S149">IFERROR(INDEX('DB)입출고매칭용'!$R$2:$R$181,MATCH(1,($C149='DB)입출고매칭용'!$H$2:$H$181)*($B149='DB)입출고매칭용'!$B$2:$B$181)*($K149='DB)입출고매칭용'!$J$2:$J$181),0)),"")</f>
        <v/>
      </c>
    </row>
    <row r="150" spans="1:19">
      <c r="A150" s="151">
        <v>142</v>
      </c>
      <c r="B150" s="153">
        <v>46126</v>
      </c>
      <c r="C150" s="150" t="s">
        <v>893</v>
      </c>
      <c r="D150" s="154" t="s">
        <v>39</v>
      </c>
      <c r="E150" s="151">
        <v>8809879544101</v>
      </c>
      <c r="F150" s="150" t="s">
        <v>24</v>
      </c>
      <c r="G150" s="150" t="s">
        <v>40</v>
      </c>
      <c r="H150" s="150">
        <v>0</v>
      </c>
      <c r="I150" s="150">
        <v>0</v>
      </c>
      <c r="J150" s="150">
        <v>0</v>
      </c>
      <c r="K150" s="152">
        <v>2</v>
      </c>
      <c r="L150" s="150">
        <v>0</v>
      </c>
      <c r="M150" s="150" t="s">
        <v>41</v>
      </c>
      <c r="N150" s="150" t="s">
        <v>257</v>
      </c>
      <c r="O150" s="150">
        <v>22000</v>
      </c>
      <c r="P150" s="150">
        <v>44000</v>
      </c>
      <c r="Q150" s="150" t="str" cm="1">
        <f t="array" ref="Q150">IFERROR(INDEX('DB)입출고매칭용'!$P$2:$P$181,MATCH(1,($C150='DB)입출고매칭용'!$H$2:$H$181)*($B150='DB)입출고매칭용'!$B$2:$B$181)*($K150='DB)입출고매칭용'!$J$2:$J$181),0)),"")</f>
        <v/>
      </c>
      <c r="R150" s="150" t="str" cm="1">
        <f t="array" ref="R150">IFERROR(INDEX('DB)입출고매칭용'!$Q$2:$Q$181,MATCH(1,($C150='DB)입출고매칭용'!$H$2:$H$181)*($B150='DB)입출고매칭용'!$B$2:$B$181)*($K150='DB)입출고매칭용'!$J$2:$J$181),0)),"")</f>
        <v/>
      </c>
      <c r="S150" s="169" t="str" cm="1">
        <f t="array" ref="S150">IFERROR(INDEX('DB)입출고매칭용'!$R$2:$R$181,MATCH(1,($C150='DB)입출고매칭용'!$H$2:$H$181)*($B150='DB)입출고매칭용'!$B$2:$B$181)*($K150='DB)입출고매칭용'!$J$2:$J$181),0)),"")</f>
        <v/>
      </c>
    </row>
    <row r="151" spans="1:19">
      <c r="A151" s="151">
        <v>143</v>
      </c>
      <c r="B151" s="153">
        <v>46126</v>
      </c>
      <c r="C151" s="150" t="s">
        <v>894</v>
      </c>
      <c r="D151" s="154" t="s">
        <v>39</v>
      </c>
      <c r="E151" s="151">
        <v>8809879544101</v>
      </c>
      <c r="F151" s="150" t="s">
        <v>24</v>
      </c>
      <c r="G151" s="150" t="s">
        <v>40</v>
      </c>
      <c r="H151" s="150">
        <v>0</v>
      </c>
      <c r="I151" s="150">
        <v>0</v>
      </c>
      <c r="J151" s="150">
        <v>0</v>
      </c>
      <c r="K151" s="152">
        <v>2</v>
      </c>
      <c r="L151" s="150">
        <v>0</v>
      </c>
      <c r="M151" s="150" t="s">
        <v>41</v>
      </c>
      <c r="N151" s="150" t="s">
        <v>257</v>
      </c>
      <c r="O151" s="150">
        <v>22000</v>
      </c>
      <c r="P151" s="150">
        <v>44000</v>
      </c>
      <c r="Q151" s="150" t="str" cm="1">
        <f t="array" ref="Q151">IFERROR(INDEX('DB)입출고매칭용'!$P$2:$P$181,MATCH(1,($C151='DB)입출고매칭용'!$H$2:$H$181)*($B151='DB)입출고매칭용'!$B$2:$B$181)*($K151='DB)입출고매칭용'!$J$2:$J$181),0)),"")</f>
        <v/>
      </c>
      <c r="R151" s="150" t="str" cm="1">
        <f t="array" ref="R151">IFERROR(INDEX('DB)입출고매칭용'!$Q$2:$Q$181,MATCH(1,($C151='DB)입출고매칭용'!$H$2:$H$181)*($B151='DB)입출고매칭용'!$B$2:$B$181)*($K151='DB)입출고매칭용'!$J$2:$J$181),0)),"")</f>
        <v/>
      </c>
      <c r="S151" s="169" t="str" cm="1">
        <f t="array" ref="S151">IFERROR(INDEX('DB)입출고매칭용'!$R$2:$R$181,MATCH(1,($C151='DB)입출고매칭용'!$H$2:$H$181)*($B151='DB)입출고매칭용'!$B$2:$B$181)*($K151='DB)입출고매칭용'!$J$2:$J$181),0)),"")</f>
        <v/>
      </c>
    </row>
    <row r="152" spans="1:19">
      <c r="A152" s="151">
        <v>144</v>
      </c>
      <c r="B152" s="153">
        <v>46126</v>
      </c>
      <c r="C152" s="150" t="s">
        <v>895</v>
      </c>
      <c r="D152" s="154" t="s">
        <v>39</v>
      </c>
      <c r="E152" s="151">
        <v>8809879544101</v>
      </c>
      <c r="F152" s="150" t="s">
        <v>24</v>
      </c>
      <c r="G152" s="150" t="s">
        <v>40</v>
      </c>
      <c r="H152" s="150">
        <v>0</v>
      </c>
      <c r="I152" s="150">
        <v>0</v>
      </c>
      <c r="J152" s="150">
        <v>0</v>
      </c>
      <c r="K152" s="152">
        <v>2</v>
      </c>
      <c r="L152" s="150">
        <v>0</v>
      </c>
      <c r="M152" s="150" t="s">
        <v>41</v>
      </c>
      <c r="N152" s="150" t="s">
        <v>257</v>
      </c>
      <c r="O152" s="150">
        <v>22000</v>
      </c>
      <c r="P152" s="150">
        <v>44000</v>
      </c>
      <c r="Q152" s="150" t="str" cm="1">
        <f t="array" ref="Q152">IFERROR(INDEX('DB)입출고매칭용'!$P$2:$P$181,MATCH(1,($C152='DB)입출고매칭용'!$H$2:$H$181)*($B152='DB)입출고매칭용'!$B$2:$B$181)*($K152='DB)입출고매칭용'!$J$2:$J$181),0)),"")</f>
        <v/>
      </c>
      <c r="R152" s="150" t="str" cm="1">
        <f t="array" ref="R152">IFERROR(INDEX('DB)입출고매칭용'!$Q$2:$Q$181,MATCH(1,($C152='DB)입출고매칭용'!$H$2:$H$181)*($B152='DB)입출고매칭용'!$B$2:$B$181)*($K152='DB)입출고매칭용'!$J$2:$J$181),0)),"")</f>
        <v/>
      </c>
      <c r="S152" s="169" t="str" cm="1">
        <f t="array" ref="S152">IFERROR(INDEX('DB)입출고매칭용'!$R$2:$R$181,MATCH(1,($C152='DB)입출고매칭용'!$H$2:$H$181)*($B152='DB)입출고매칭용'!$B$2:$B$181)*($K152='DB)입출고매칭용'!$J$2:$J$181),0)),"")</f>
        <v/>
      </c>
    </row>
    <row r="153" spans="1:19">
      <c r="A153" s="151">
        <v>145</v>
      </c>
      <c r="B153" s="153">
        <v>46126</v>
      </c>
      <c r="C153" s="150" t="s">
        <v>896</v>
      </c>
      <c r="D153" s="154" t="s">
        <v>39</v>
      </c>
      <c r="E153" s="151">
        <v>8809879544101</v>
      </c>
      <c r="F153" s="150" t="s">
        <v>24</v>
      </c>
      <c r="G153" s="150" t="s">
        <v>40</v>
      </c>
      <c r="H153" s="150">
        <v>0</v>
      </c>
      <c r="I153" s="150">
        <v>0</v>
      </c>
      <c r="J153" s="150">
        <v>0</v>
      </c>
      <c r="K153" s="152">
        <v>2</v>
      </c>
      <c r="L153" s="150">
        <v>0</v>
      </c>
      <c r="M153" s="150" t="s">
        <v>41</v>
      </c>
      <c r="N153" s="150" t="s">
        <v>257</v>
      </c>
      <c r="O153" s="150">
        <v>22000</v>
      </c>
      <c r="P153" s="150">
        <v>44000</v>
      </c>
      <c r="Q153" s="150" t="str" cm="1">
        <f t="array" ref="Q153">IFERROR(INDEX('DB)입출고매칭용'!$P$2:$P$181,MATCH(1,($C153='DB)입출고매칭용'!$H$2:$H$181)*($B153='DB)입출고매칭용'!$B$2:$B$181)*($K153='DB)입출고매칭용'!$J$2:$J$181),0)),"")</f>
        <v/>
      </c>
      <c r="R153" s="150" t="str" cm="1">
        <f t="array" ref="R153">IFERROR(INDEX('DB)입출고매칭용'!$Q$2:$Q$181,MATCH(1,($C153='DB)입출고매칭용'!$H$2:$H$181)*($B153='DB)입출고매칭용'!$B$2:$B$181)*($K153='DB)입출고매칭용'!$J$2:$J$181),0)),"")</f>
        <v/>
      </c>
      <c r="S153" s="169" t="str" cm="1">
        <f t="array" ref="S153">IFERROR(INDEX('DB)입출고매칭용'!$R$2:$R$181,MATCH(1,($C153='DB)입출고매칭용'!$H$2:$H$181)*($B153='DB)입출고매칭용'!$B$2:$B$181)*($K153='DB)입출고매칭용'!$J$2:$J$181),0)),"")</f>
        <v/>
      </c>
    </row>
    <row r="154" spans="1:19">
      <c r="A154" s="151">
        <v>146</v>
      </c>
      <c r="B154" s="153">
        <v>46126</v>
      </c>
      <c r="C154" s="150" t="s">
        <v>897</v>
      </c>
      <c r="D154" s="154" t="s">
        <v>39</v>
      </c>
      <c r="E154" s="151">
        <v>8809879544101</v>
      </c>
      <c r="F154" s="150" t="s">
        <v>24</v>
      </c>
      <c r="G154" s="150" t="s">
        <v>40</v>
      </c>
      <c r="H154" s="150">
        <v>0</v>
      </c>
      <c r="I154" s="150">
        <v>0</v>
      </c>
      <c r="J154" s="150">
        <v>0</v>
      </c>
      <c r="K154" s="152">
        <v>2</v>
      </c>
      <c r="L154" s="150">
        <v>0</v>
      </c>
      <c r="M154" s="150" t="s">
        <v>41</v>
      </c>
      <c r="N154" s="150" t="s">
        <v>257</v>
      </c>
      <c r="O154" s="150">
        <v>22000</v>
      </c>
      <c r="P154" s="150">
        <v>44000</v>
      </c>
      <c r="Q154" s="150" t="str" cm="1">
        <f t="array" ref="Q154">IFERROR(INDEX('DB)입출고매칭용'!$P$2:$P$181,MATCH(1,($C154='DB)입출고매칭용'!$H$2:$H$181)*($B154='DB)입출고매칭용'!$B$2:$B$181)*($K154='DB)입출고매칭용'!$J$2:$J$181),0)),"")</f>
        <v/>
      </c>
      <c r="R154" s="150" t="str" cm="1">
        <f t="array" ref="R154">IFERROR(INDEX('DB)입출고매칭용'!$Q$2:$Q$181,MATCH(1,($C154='DB)입출고매칭용'!$H$2:$H$181)*($B154='DB)입출고매칭용'!$B$2:$B$181)*($K154='DB)입출고매칭용'!$J$2:$J$181),0)),"")</f>
        <v/>
      </c>
      <c r="S154" s="169" t="str" cm="1">
        <f t="array" ref="S154">IFERROR(INDEX('DB)입출고매칭용'!$R$2:$R$181,MATCH(1,($C154='DB)입출고매칭용'!$H$2:$H$181)*($B154='DB)입출고매칭용'!$B$2:$B$181)*($K154='DB)입출고매칭용'!$J$2:$J$181),0)),"")</f>
        <v/>
      </c>
    </row>
    <row r="155" spans="1:19">
      <c r="A155" s="151">
        <v>147</v>
      </c>
      <c r="B155" s="153">
        <v>46126</v>
      </c>
      <c r="C155" s="150" t="s">
        <v>898</v>
      </c>
      <c r="D155" s="154" t="s">
        <v>39</v>
      </c>
      <c r="E155" s="151">
        <v>8809879544101</v>
      </c>
      <c r="F155" s="150" t="s">
        <v>24</v>
      </c>
      <c r="G155" s="150" t="s">
        <v>40</v>
      </c>
      <c r="H155" s="150">
        <v>0</v>
      </c>
      <c r="I155" s="150">
        <v>0</v>
      </c>
      <c r="J155" s="150">
        <v>0</v>
      </c>
      <c r="K155" s="152">
        <v>3</v>
      </c>
      <c r="L155" s="150">
        <v>0</v>
      </c>
      <c r="M155" s="150" t="s">
        <v>41</v>
      </c>
      <c r="N155" s="150" t="s">
        <v>257</v>
      </c>
      <c r="O155" s="150">
        <v>22000</v>
      </c>
      <c r="P155" s="150">
        <v>66000</v>
      </c>
      <c r="Q155" s="150" t="str" cm="1">
        <f t="array" ref="Q155">IFERROR(INDEX('DB)입출고매칭용'!$P$2:$P$181,MATCH(1,($C155='DB)입출고매칭용'!$H$2:$H$181)*($B155='DB)입출고매칭용'!$B$2:$B$181)*($K155='DB)입출고매칭용'!$J$2:$J$181),0)),"")</f>
        <v/>
      </c>
      <c r="R155" s="150" t="str" cm="1">
        <f t="array" ref="R155">IFERROR(INDEX('DB)입출고매칭용'!$Q$2:$Q$181,MATCH(1,($C155='DB)입출고매칭용'!$H$2:$H$181)*($B155='DB)입출고매칭용'!$B$2:$B$181)*($K155='DB)입출고매칭용'!$J$2:$J$181),0)),"")</f>
        <v/>
      </c>
      <c r="S155" s="169" t="str" cm="1">
        <f t="array" ref="S155">IFERROR(INDEX('DB)입출고매칭용'!$R$2:$R$181,MATCH(1,($C155='DB)입출고매칭용'!$H$2:$H$181)*($B155='DB)입출고매칭용'!$B$2:$B$181)*($K155='DB)입출고매칭용'!$J$2:$J$181),0)),"")</f>
        <v/>
      </c>
    </row>
    <row r="156" spans="1:19">
      <c r="A156" s="151">
        <v>148</v>
      </c>
      <c r="B156" s="153">
        <v>46126</v>
      </c>
      <c r="C156" s="150" t="s">
        <v>899</v>
      </c>
      <c r="D156" s="154" t="s">
        <v>39</v>
      </c>
      <c r="E156" s="151">
        <v>8809879544101</v>
      </c>
      <c r="F156" s="150" t="s">
        <v>24</v>
      </c>
      <c r="G156" s="150" t="s">
        <v>40</v>
      </c>
      <c r="H156" s="150">
        <v>0</v>
      </c>
      <c r="I156" s="150">
        <v>0</v>
      </c>
      <c r="J156" s="150">
        <v>0</v>
      </c>
      <c r="K156" s="152">
        <v>3</v>
      </c>
      <c r="L156" s="150">
        <v>0</v>
      </c>
      <c r="M156" s="150" t="s">
        <v>41</v>
      </c>
      <c r="N156" s="150" t="s">
        <v>257</v>
      </c>
      <c r="O156" s="150">
        <v>22000</v>
      </c>
      <c r="P156" s="150">
        <v>66000</v>
      </c>
      <c r="Q156" s="150" t="str" cm="1">
        <f t="array" ref="Q156">IFERROR(INDEX('DB)입출고매칭용'!$P$2:$P$181,MATCH(1,($C156='DB)입출고매칭용'!$H$2:$H$181)*($B156='DB)입출고매칭용'!$B$2:$B$181)*($K156='DB)입출고매칭용'!$J$2:$J$181),0)),"")</f>
        <v/>
      </c>
      <c r="R156" s="150" t="str" cm="1">
        <f t="array" ref="R156">IFERROR(INDEX('DB)입출고매칭용'!$Q$2:$Q$181,MATCH(1,($C156='DB)입출고매칭용'!$H$2:$H$181)*($B156='DB)입출고매칭용'!$B$2:$B$181)*($K156='DB)입출고매칭용'!$J$2:$J$181),0)),"")</f>
        <v/>
      </c>
      <c r="S156" s="169" t="str" cm="1">
        <f t="array" ref="S156">IFERROR(INDEX('DB)입출고매칭용'!$R$2:$R$181,MATCH(1,($C156='DB)입출고매칭용'!$H$2:$H$181)*($B156='DB)입출고매칭용'!$B$2:$B$181)*($K156='DB)입출고매칭용'!$J$2:$J$181),0)),"")</f>
        <v/>
      </c>
    </row>
    <row r="157" spans="1:19">
      <c r="A157" s="151">
        <v>149</v>
      </c>
      <c r="B157" s="153">
        <v>46126</v>
      </c>
      <c r="C157" s="150" t="s">
        <v>900</v>
      </c>
      <c r="D157" s="154" t="s">
        <v>39</v>
      </c>
      <c r="E157" s="151">
        <v>8809879544101</v>
      </c>
      <c r="F157" s="150" t="s">
        <v>24</v>
      </c>
      <c r="G157" s="150" t="s">
        <v>40</v>
      </c>
      <c r="H157" s="150">
        <v>0</v>
      </c>
      <c r="I157" s="150">
        <v>0</v>
      </c>
      <c r="J157" s="150">
        <v>0</v>
      </c>
      <c r="K157" s="152">
        <v>3</v>
      </c>
      <c r="L157" s="150">
        <v>0</v>
      </c>
      <c r="M157" s="150" t="s">
        <v>41</v>
      </c>
      <c r="N157" s="150" t="s">
        <v>257</v>
      </c>
      <c r="O157" s="150">
        <v>22000</v>
      </c>
      <c r="P157" s="150">
        <v>66000</v>
      </c>
      <c r="Q157" s="150" t="str" cm="1">
        <f t="array" ref="Q157">IFERROR(INDEX('DB)입출고매칭용'!$P$2:$P$181,MATCH(1,($C157='DB)입출고매칭용'!$H$2:$H$181)*($B157='DB)입출고매칭용'!$B$2:$B$181)*($K157='DB)입출고매칭용'!$J$2:$J$181),0)),"")</f>
        <v/>
      </c>
      <c r="R157" s="150" t="str" cm="1">
        <f t="array" ref="R157">IFERROR(INDEX('DB)입출고매칭용'!$Q$2:$Q$181,MATCH(1,($C157='DB)입출고매칭용'!$H$2:$H$181)*($B157='DB)입출고매칭용'!$B$2:$B$181)*($K157='DB)입출고매칭용'!$J$2:$J$181),0)),"")</f>
        <v/>
      </c>
      <c r="S157" s="169" t="str" cm="1">
        <f t="array" ref="S157">IFERROR(INDEX('DB)입출고매칭용'!$R$2:$R$181,MATCH(1,($C157='DB)입출고매칭용'!$H$2:$H$181)*($B157='DB)입출고매칭용'!$B$2:$B$181)*($K157='DB)입출고매칭용'!$J$2:$J$181),0)),"")</f>
        <v/>
      </c>
    </row>
    <row r="158" spans="1:19">
      <c r="A158" s="151">
        <v>150</v>
      </c>
      <c r="B158" s="153">
        <v>46126</v>
      </c>
      <c r="C158" s="150" t="s">
        <v>901</v>
      </c>
      <c r="D158" s="154" t="s">
        <v>39</v>
      </c>
      <c r="E158" s="151">
        <v>8809879544101</v>
      </c>
      <c r="F158" s="150" t="s">
        <v>24</v>
      </c>
      <c r="G158" s="150" t="s">
        <v>40</v>
      </c>
      <c r="H158" s="150">
        <v>0</v>
      </c>
      <c r="I158" s="150">
        <v>0</v>
      </c>
      <c r="J158" s="150">
        <v>0</v>
      </c>
      <c r="K158" s="152">
        <v>3</v>
      </c>
      <c r="L158" s="150">
        <v>0</v>
      </c>
      <c r="M158" s="150" t="s">
        <v>41</v>
      </c>
      <c r="N158" s="150" t="s">
        <v>257</v>
      </c>
      <c r="O158" s="150">
        <v>22000</v>
      </c>
      <c r="P158" s="150">
        <v>66000</v>
      </c>
      <c r="Q158" s="150" t="str" cm="1">
        <f t="array" ref="Q158">IFERROR(INDEX('DB)입출고매칭용'!$P$2:$P$181,MATCH(1,($C158='DB)입출고매칭용'!$H$2:$H$181)*($B158='DB)입출고매칭용'!$B$2:$B$181)*($K158='DB)입출고매칭용'!$J$2:$J$181),0)),"")</f>
        <v/>
      </c>
      <c r="R158" s="150" t="str" cm="1">
        <f t="array" ref="R158">IFERROR(INDEX('DB)입출고매칭용'!$Q$2:$Q$181,MATCH(1,($C158='DB)입출고매칭용'!$H$2:$H$181)*($B158='DB)입출고매칭용'!$B$2:$B$181)*($K158='DB)입출고매칭용'!$J$2:$J$181),0)),"")</f>
        <v/>
      </c>
      <c r="S158" s="169" t="str" cm="1">
        <f t="array" ref="S158">IFERROR(INDEX('DB)입출고매칭용'!$R$2:$R$181,MATCH(1,($C158='DB)입출고매칭용'!$H$2:$H$181)*($B158='DB)입출고매칭용'!$B$2:$B$181)*($K158='DB)입출고매칭용'!$J$2:$J$181),0)),"")</f>
        <v/>
      </c>
    </row>
    <row r="159" spans="1:19">
      <c r="A159" s="151">
        <v>151</v>
      </c>
      <c r="B159" s="153">
        <v>46126</v>
      </c>
      <c r="C159" s="150" t="s">
        <v>902</v>
      </c>
      <c r="D159" s="154" t="s">
        <v>39</v>
      </c>
      <c r="E159" s="151">
        <v>8809879544101</v>
      </c>
      <c r="F159" s="150" t="s">
        <v>24</v>
      </c>
      <c r="G159" s="150" t="s">
        <v>40</v>
      </c>
      <c r="H159" s="150">
        <v>0</v>
      </c>
      <c r="I159" s="150">
        <v>0</v>
      </c>
      <c r="J159" s="150">
        <v>0</v>
      </c>
      <c r="K159" s="152">
        <v>1</v>
      </c>
      <c r="L159" s="150">
        <v>0</v>
      </c>
      <c r="M159" s="150" t="s">
        <v>41</v>
      </c>
      <c r="N159" s="150" t="s">
        <v>257</v>
      </c>
      <c r="O159" s="150">
        <v>22000</v>
      </c>
      <c r="P159" s="150">
        <v>22000</v>
      </c>
      <c r="Q159" s="150" t="str" cm="1">
        <f t="array" ref="Q159">IFERROR(INDEX('DB)입출고매칭용'!$P$2:$P$181,MATCH(1,($C159='DB)입출고매칭용'!$H$2:$H$181)*($B159='DB)입출고매칭용'!$B$2:$B$181)*($K159='DB)입출고매칭용'!$J$2:$J$181),0)),"")</f>
        <v>판매청구</v>
      </c>
      <c r="R159" s="150" t="str" cm="1">
        <f t="array" ref="R159">IFERROR(INDEX('DB)입출고매칭용'!$Q$2:$Q$181,MATCH(1,($C159='DB)입출고매칭용'!$H$2:$H$181)*($B159='DB)입출고매칭용'!$B$2:$B$181)*($K159='DB)입출고매칭용'!$J$2:$J$181),0)),"")</f>
        <v>정상판매 (공구)</v>
      </c>
      <c r="S159" s="169" t="str" cm="1">
        <f t="array" ref="S159">IFERROR(INDEX('DB)입출고매칭용'!$R$2:$R$181,MATCH(1,($C159='DB)입출고매칭용'!$H$2:$H$181)*($B159='DB)입출고매칭용'!$B$2:$B$181)*($K159='DB)입출고매칭용'!$J$2:$J$181),0)),"")</f>
        <v>20260413-0000592</v>
      </c>
    </row>
    <row r="160" spans="1:19">
      <c r="A160" s="151">
        <v>152</v>
      </c>
      <c r="B160" s="153">
        <v>46126</v>
      </c>
      <c r="C160" s="150" t="s">
        <v>903</v>
      </c>
      <c r="D160" s="154" t="s">
        <v>39</v>
      </c>
      <c r="E160" s="151">
        <v>8809879544101</v>
      </c>
      <c r="F160" s="150" t="s">
        <v>24</v>
      </c>
      <c r="G160" s="150" t="s">
        <v>40</v>
      </c>
      <c r="H160" s="150">
        <v>0</v>
      </c>
      <c r="I160" s="150">
        <v>0</v>
      </c>
      <c r="J160" s="150">
        <v>0</v>
      </c>
      <c r="K160" s="152">
        <v>1</v>
      </c>
      <c r="L160" s="150">
        <v>0</v>
      </c>
      <c r="M160" s="150" t="s">
        <v>41</v>
      </c>
      <c r="N160" s="150" t="s">
        <v>257</v>
      </c>
      <c r="O160" s="150">
        <v>22000</v>
      </c>
      <c r="P160" s="150">
        <v>22000</v>
      </c>
      <c r="Q160" s="150" t="str" cm="1">
        <f t="array" ref="Q160">IFERROR(INDEX('DB)입출고매칭용'!$P$2:$P$181,MATCH(1,($C160='DB)입출고매칭용'!$H$2:$H$181)*($B160='DB)입출고매칭용'!$B$2:$B$181)*($K160='DB)입출고매칭용'!$J$2:$J$181),0)),"")</f>
        <v>판매청구</v>
      </c>
      <c r="R160" s="150" t="str" cm="1">
        <f t="array" ref="R160">IFERROR(INDEX('DB)입출고매칭용'!$Q$2:$Q$181,MATCH(1,($C160='DB)입출고매칭용'!$H$2:$H$181)*($B160='DB)입출고매칭용'!$B$2:$B$181)*($K160='DB)입출고매칭용'!$J$2:$J$181),0)),"")</f>
        <v>정상판매 (공구)</v>
      </c>
      <c r="S160" s="169" t="str" cm="1">
        <f t="array" ref="S160">IFERROR(INDEX('DB)입출고매칭용'!$R$2:$R$181,MATCH(1,($C160='DB)입출고매칭용'!$H$2:$H$181)*($B160='DB)입출고매칭용'!$B$2:$B$181)*($K160='DB)입출고매칭용'!$J$2:$J$181),0)),"")</f>
        <v>20260414-0000161</v>
      </c>
    </row>
    <row r="161" spans="1:19">
      <c r="A161" s="151">
        <v>153</v>
      </c>
      <c r="B161" s="153">
        <v>46126</v>
      </c>
      <c r="C161" s="150" t="s">
        <v>904</v>
      </c>
      <c r="D161" s="154" t="s">
        <v>39</v>
      </c>
      <c r="E161" s="151">
        <v>8809879544101</v>
      </c>
      <c r="F161" s="150" t="s">
        <v>24</v>
      </c>
      <c r="G161" s="150" t="s">
        <v>40</v>
      </c>
      <c r="H161" s="150">
        <v>0</v>
      </c>
      <c r="I161" s="150">
        <v>0</v>
      </c>
      <c r="J161" s="150">
        <v>0</v>
      </c>
      <c r="K161" s="152">
        <v>1</v>
      </c>
      <c r="L161" s="150">
        <v>0</v>
      </c>
      <c r="M161" s="150" t="s">
        <v>41</v>
      </c>
      <c r="N161" s="150" t="s">
        <v>257</v>
      </c>
      <c r="O161" s="150">
        <v>22000</v>
      </c>
      <c r="P161" s="150">
        <v>22000</v>
      </c>
      <c r="Q161" s="150" t="str" cm="1">
        <f t="array" ref="Q161">IFERROR(INDEX('DB)입출고매칭용'!$P$2:$P$181,MATCH(1,($C161='DB)입출고매칭용'!$H$2:$H$181)*($B161='DB)입출고매칭용'!$B$2:$B$181)*($K161='DB)입출고매칭용'!$J$2:$J$181),0)),"")</f>
        <v>판매청구</v>
      </c>
      <c r="R161" s="150" t="str" cm="1">
        <f t="array" ref="R161">IFERROR(INDEX('DB)입출고매칭용'!$Q$2:$Q$181,MATCH(1,($C161='DB)입출고매칭용'!$H$2:$H$181)*($B161='DB)입출고매칭용'!$B$2:$B$181)*($K161='DB)입출고매칭용'!$J$2:$J$181),0)),"")</f>
        <v>정상판매 (공구)</v>
      </c>
      <c r="S161" s="169" t="str" cm="1">
        <f t="array" ref="S161">IFERROR(INDEX('DB)입출고매칭용'!$R$2:$R$181,MATCH(1,($C161='DB)입출고매칭용'!$H$2:$H$181)*($B161='DB)입출고매칭용'!$B$2:$B$181)*($K161='DB)입출고매칭용'!$J$2:$J$181),0)),"")</f>
        <v>20260414-0000115</v>
      </c>
    </row>
    <row r="162" spans="1:19">
      <c r="A162" s="151">
        <v>154</v>
      </c>
      <c r="B162" s="153">
        <v>46126</v>
      </c>
      <c r="C162" s="150" t="s">
        <v>905</v>
      </c>
      <c r="D162" s="154" t="s">
        <v>39</v>
      </c>
      <c r="E162" s="151">
        <v>8809879544101</v>
      </c>
      <c r="F162" s="150" t="s">
        <v>24</v>
      </c>
      <c r="G162" s="150" t="s">
        <v>40</v>
      </c>
      <c r="H162" s="150">
        <v>0</v>
      </c>
      <c r="I162" s="150">
        <v>0</v>
      </c>
      <c r="J162" s="150">
        <v>0</v>
      </c>
      <c r="K162" s="152">
        <v>2</v>
      </c>
      <c r="L162" s="150">
        <v>0</v>
      </c>
      <c r="M162" s="150" t="s">
        <v>41</v>
      </c>
      <c r="N162" s="150" t="s">
        <v>257</v>
      </c>
      <c r="O162" s="150">
        <v>22000</v>
      </c>
      <c r="P162" s="150">
        <v>44000</v>
      </c>
      <c r="Q162" s="150" t="str" cm="1">
        <f t="array" ref="Q162">IFERROR(INDEX('DB)입출고매칭용'!$P$2:$P$181,MATCH(1,($C162='DB)입출고매칭용'!$H$2:$H$181)*($B162='DB)입출고매칭용'!$B$2:$B$181)*($K162='DB)입출고매칭용'!$J$2:$J$181),0)),"")</f>
        <v/>
      </c>
      <c r="R162" s="150" t="str" cm="1">
        <f t="array" ref="R162">IFERROR(INDEX('DB)입출고매칭용'!$Q$2:$Q$181,MATCH(1,($C162='DB)입출고매칭용'!$H$2:$H$181)*($B162='DB)입출고매칭용'!$B$2:$B$181)*($K162='DB)입출고매칭용'!$J$2:$J$181),0)),"")</f>
        <v/>
      </c>
      <c r="S162" s="169" t="str" cm="1">
        <f t="array" ref="S162">IFERROR(INDEX('DB)입출고매칭용'!$R$2:$R$181,MATCH(1,($C162='DB)입출고매칭용'!$H$2:$H$181)*($B162='DB)입출고매칭용'!$B$2:$B$181)*($K162='DB)입출고매칭용'!$J$2:$J$181),0)),"")</f>
        <v/>
      </c>
    </row>
    <row r="163" spans="1:19">
      <c r="A163" s="151">
        <v>155</v>
      </c>
      <c r="B163" s="153">
        <v>46126</v>
      </c>
      <c r="C163" s="150" t="s">
        <v>906</v>
      </c>
      <c r="D163" s="154" t="s">
        <v>39</v>
      </c>
      <c r="E163" s="151">
        <v>8809879544101</v>
      </c>
      <c r="F163" s="150" t="s">
        <v>24</v>
      </c>
      <c r="G163" s="150" t="s">
        <v>40</v>
      </c>
      <c r="H163" s="150">
        <v>0</v>
      </c>
      <c r="I163" s="150">
        <v>0</v>
      </c>
      <c r="J163" s="150">
        <v>0</v>
      </c>
      <c r="K163" s="152">
        <v>2</v>
      </c>
      <c r="L163" s="150">
        <v>0</v>
      </c>
      <c r="M163" s="150" t="s">
        <v>41</v>
      </c>
      <c r="N163" s="150" t="s">
        <v>257</v>
      </c>
      <c r="O163" s="150">
        <v>22000</v>
      </c>
      <c r="P163" s="150">
        <v>44000</v>
      </c>
      <c r="Q163" s="150" t="str" cm="1">
        <f t="array" ref="Q163">IFERROR(INDEX('DB)입출고매칭용'!$P$2:$P$181,MATCH(1,($C163='DB)입출고매칭용'!$H$2:$H$181)*($B163='DB)입출고매칭용'!$B$2:$B$181)*($K163='DB)입출고매칭용'!$J$2:$J$181),0)),"")</f>
        <v/>
      </c>
      <c r="R163" s="150" t="str" cm="1">
        <f t="array" ref="R163">IFERROR(INDEX('DB)입출고매칭용'!$Q$2:$Q$181,MATCH(1,($C163='DB)입출고매칭용'!$H$2:$H$181)*($B163='DB)입출고매칭용'!$B$2:$B$181)*($K163='DB)입출고매칭용'!$J$2:$J$181),0)),"")</f>
        <v/>
      </c>
      <c r="S163" s="169" t="str" cm="1">
        <f t="array" ref="S163">IFERROR(INDEX('DB)입출고매칭용'!$R$2:$R$181,MATCH(1,($C163='DB)입출고매칭용'!$H$2:$H$181)*($B163='DB)입출고매칭용'!$B$2:$B$181)*($K163='DB)입출고매칭용'!$J$2:$J$181),0)),"")</f>
        <v/>
      </c>
    </row>
    <row r="164" spans="1:19">
      <c r="A164" s="151">
        <v>156</v>
      </c>
      <c r="B164" s="153">
        <v>46126</v>
      </c>
      <c r="C164" s="150" t="s">
        <v>907</v>
      </c>
      <c r="D164" s="154" t="s">
        <v>39</v>
      </c>
      <c r="E164" s="151">
        <v>8809879544101</v>
      </c>
      <c r="F164" s="150" t="s">
        <v>24</v>
      </c>
      <c r="G164" s="150" t="s">
        <v>40</v>
      </c>
      <c r="H164" s="150">
        <v>0</v>
      </c>
      <c r="I164" s="150">
        <v>0</v>
      </c>
      <c r="J164" s="150">
        <v>0</v>
      </c>
      <c r="K164" s="152">
        <v>2</v>
      </c>
      <c r="L164" s="150">
        <v>0</v>
      </c>
      <c r="M164" s="150" t="s">
        <v>41</v>
      </c>
      <c r="N164" s="150" t="s">
        <v>257</v>
      </c>
      <c r="O164" s="150">
        <v>22000</v>
      </c>
      <c r="P164" s="150">
        <v>44000</v>
      </c>
      <c r="Q164" s="150" t="str" cm="1">
        <f t="array" ref="Q164">IFERROR(INDEX('DB)입출고매칭용'!$P$2:$P$181,MATCH(1,($C164='DB)입출고매칭용'!$H$2:$H$181)*($B164='DB)입출고매칭용'!$B$2:$B$181)*($K164='DB)입출고매칭용'!$J$2:$J$181),0)),"")</f>
        <v/>
      </c>
      <c r="R164" s="150" t="str" cm="1">
        <f t="array" ref="R164">IFERROR(INDEX('DB)입출고매칭용'!$Q$2:$Q$181,MATCH(1,($C164='DB)입출고매칭용'!$H$2:$H$181)*($B164='DB)입출고매칭용'!$B$2:$B$181)*($K164='DB)입출고매칭용'!$J$2:$J$181),0)),"")</f>
        <v/>
      </c>
      <c r="S164" s="169" t="str" cm="1">
        <f t="array" ref="S164">IFERROR(INDEX('DB)입출고매칭용'!$R$2:$R$181,MATCH(1,($C164='DB)입출고매칭용'!$H$2:$H$181)*($B164='DB)입출고매칭용'!$B$2:$B$181)*($K164='DB)입출고매칭용'!$J$2:$J$181),0)),"")</f>
        <v/>
      </c>
    </row>
    <row r="165" spans="1:19">
      <c r="A165" s="151">
        <v>157</v>
      </c>
      <c r="B165" s="153">
        <v>46126</v>
      </c>
      <c r="C165" s="150" t="s">
        <v>908</v>
      </c>
      <c r="D165" s="154" t="s">
        <v>39</v>
      </c>
      <c r="E165" s="151">
        <v>8809879544101</v>
      </c>
      <c r="F165" s="150" t="s">
        <v>24</v>
      </c>
      <c r="G165" s="150" t="s">
        <v>40</v>
      </c>
      <c r="H165" s="150">
        <v>0</v>
      </c>
      <c r="I165" s="150">
        <v>0</v>
      </c>
      <c r="J165" s="150">
        <v>0</v>
      </c>
      <c r="K165" s="152">
        <v>2</v>
      </c>
      <c r="L165" s="150">
        <v>0</v>
      </c>
      <c r="M165" s="150" t="s">
        <v>41</v>
      </c>
      <c r="N165" s="150" t="s">
        <v>257</v>
      </c>
      <c r="O165" s="150">
        <v>22000</v>
      </c>
      <c r="P165" s="150">
        <v>44000</v>
      </c>
      <c r="Q165" s="150" t="str" cm="1">
        <f t="array" ref="Q165">IFERROR(INDEX('DB)입출고매칭용'!$P$2:$P$181,MATCH(1,($C165='DB)입출고매칭용'!$H$2:$H$181)*($B165='DB)입출고매칭용'!$B$2:$B$181)*($K165='DB)입출고매칭용'!$J$2:$J$181),0)),"")</f>
        <v/>
      </c>
      <c r="R165" s="150" t="str" cm="1">
        <f t="array" ref="R165">IFERROR(INDEX('DB)입출고매칭용'!$Q$2:$Q$181,MATCH(1,($C165='DB)입출고매칭용'!$H$2:$H$181)*($B165='DB)입출고매칭용'!$B$2:$B$181)*($K165='DB)입출고매칭용'!$J$2:$J$181),0)),"")</f>
        <v/>
      </c>
      <c r="S165" s="169" t="str" cm="1">
        <f t="array" ref="S165">IFERROR(INDEX('DB)입출고매칭용'!$R$2:$R$181,MATCH(1,($C165='DB)입출고매칭용'!$H$2:$H$181)*($B165='DB)입출고매칭용'!$B$2:$B$181)*($K165='DB)입출고매칭용'!$J$2:$J$181),0)),"")</f>
        <v/>
      </c>
    </row>
    <row r="166" spans="1:19">
      <c r="A166" s="151">
        <v>158</v>
      </c>
      <c r="B166" s="153">
        <v>46126</v>
      </c>
      <c r="C166" s="150" t="s">
        <v>909</v>
      </c>
      <c r="D166" s="154" t="s">
        <v>39</v>
      </c>
      <c r="E166" s="151">
        <v>8809879544101</v>
      </c>
      <c r="F166" s="150" t="s">
        <v>24</v>
      </c>
      <c r="G166" s="150" t="s">
        <v>40</v>
      </c>
      <c r="H166" s="150">
        <v>0</v>
      </c>
      <c r="I166" s="150">
        <v>0</v>
      </c>
      <c r="J166" s="150">
        <v>0</v>
      </c>
      <c r="K166" s="152">
        <v>3</v>
      </c>
      <c r="L166" s="150">
        <v>0</v>
      </c>
      <c r="M166" s="150" t="s">
        <v>41</v>
      </c>
      <c r="N166" s="150" t="s">
        <v>257</v>
      </c>
      <c r="O166" s="150">
        <v>22000</v>
      </c>
      <c r="P166" s="150">
        <v>66000</v>
      </c>
      <c r="Q166" s="150" t="str" cm="1">
        <f t="array" ref="Q166">IFERROR(INDEX('DB)입출고매칭용'!$P$2:$P$181,MATCH(1,($C166='DB)입출고매칭용'!$H$2:$H$181)*($B166='DB)입출고매칭용'!$B$2:$B$181)*($K166='DB)입출고매칭용'!$J$2:$J$181),0)),"")</f>
        <v/>
      </c>
      <c r="R166" s="150" t="str" cm="1">
        <f t="array" ref="R166">IFERROR(INDEX('DB)입출고매칭용'!$Q$2:$Q$181,MATCH(1,($C166='DB)입출고매칭용'!$H$2:$H$181)*($B166='DB)입출고매칭용'!$B$2:$B$181)*($K166='DB)입출고매칭용'!$J$2:$J$181),0)),"")</f>
        <v/>
      </c>
      <c r="S166" s="169" t="str" cm="1">
        <f t="array" ref="S166">IFERROR(INDEX('DB)입출고매칭용'!$R$2:$R$181,MATCH(1,($C166='DB)입출고매칭용'!$H$2:$H$181)*($B166='DB)입출고매칭용'!$B$2:$B$181)*($K166='DB)입출고매칭용'!$J$2:$J$181),0)),"")</f>
        <v/>
      </c>
    </row>
    <row r="167" spans="1:19">
      <c r="A167" s="151">
        <v>159</v>
      </c>
      <c r="B167" s="153">
        <v>46126</v>
      </c>
      <c r="C167" s="150" t="s">
        <v>910</v>
      </c>
      <c r="D167" s="154" t="s">
        <v>39</v>
      </c>
      <c r="E167" s="151">
        <v>8809879544101</v>
      </c>
      <c r="F167" s="150" t="s">
        <v>24</v>
      </c>
      <c r="G167" s="150" t="s">
        <v>40</v>
      </c>
      <c r="H167" s="150">
        <v>0</v>
      </c>
      <c r="I167" s="150">
        <v>0</v>
      </c>
      <c r="J167" s="150">
        <v>0</v>
      </c>
      <c r="K167" s="152">
        <v>3</v>
      </c>
      <c r="L167" s="150">
        <v>0</v>
      </c>
      <c r="M167" s="150" t="s">
        <v>41</v>
      </c>
      <c r="N167" s="150" t="s">
        <v>257</v>
      </c>
      <c r="O167" s="150">
        <v>22000</v>
      </c>
      <c r="P167" s="150">
        <v>66000</v>
      </c>
      <c r="Q167" s="150" t="str" cm="1">
        <f t="array" ref="Q167">IFERROR(INDEX('DB)입출고매칭용'!$P$2:$P$181,MATCH(1,($C167='DB)입출고매칭용'!$H$2:$H$181)*($B167='DB)입출고매칭용'!$B$2:$B$181)*($K167='DB)입출고매칭용'!$J$2:$J$181),0)),"")</f>
        <v/>
      </c>
      <c r="R167" s="150" t="str" cm="1">
        <f t="array" ref="R167">IFERROR(INDEX('DB)입출고매칭용'!$Q$2:$Q$181,MATCH(1,($C167='DB)입출고매칭용'!$H$2:$H$181)*($B167='DB)입출고매칭용'!$B$2:$B$181)*($K167='DB)입출고매칭용'!$J$2:$J$181),0)),"")</f>
        <v/>
      </c>
      <c r="S167" s="169" t="str" cm="1">
        <f t="array" ref="S167">IFERROR(INDEX('DB)입출고매칭용'!$R$2:$R$181,MATCH(1,($C167='DB)입출고매칭용'!$H$2:$H$181)*($B167='DB)입출고매칭용'!$B$2:$B$181)*($K167='DB)입출고매칭용'!$J$2:$J$181),0)),"")</f>
        <v/>
      </c>
    </row>
    <row r="168" spans="1:19">
      <c r="A168" s="151">
        <v>160</v>
      </c>
      <c r="B168" s="153">
        <v>46126</v>
      </c>
      <c r="C168" s="150" t="s">
        <v>911</v>
      </c>
      <c r="D168" s="154" t="s">
        <v>39</v>
      </c>
      <c r="E168" s="151">
        <v>8809879544101</v>
      </c>
      <c r="F168" s="150" t="s">
        <v>24</v>
      </c>
      <c r="G168" s="150" t="s">
        <v>40</v>
      </c>
      <c r="H168" s="150">
        <v>0</v>
      </c>
      <c r="I168" s="150">
        <v>0</v>
      </c>
      <c r="J168" s="150">
        <v>0</v>
      </c>
      <c r="K168" s="152">
        <v>3</v>
      </c>
      <c r="L168" s="150">
        <v>0</v>
      </c>
      <c r="M168" s="150" t="s">
        <v>41</v>
      </c>
      <c r="N168" s="150" t="s">
        <v>257</v>
      </c>
      <c r="O168" s="150">
        <v>22000</v>
      </c>
      <c r="P168" s="150">
        <v>66000</v>
      </c>
      <c r="Q168" s="150" t="str" cm="1">
        <f t="array" ref="Q168">IFERROR(INDEX('DB)입출고매칭용'!$P$2:$P$181,MATCH(1,($C168='DB)입출고매칭용'!$H$2:$H$181)*($B168='DB)입출고매칭용'!$B$2:$B$181)*($K168='DB)입출고매칭용'!$J$2:$J$181),0)),"")</f>
        <v/>
      </c>
      <c r="R168" s="150" t="str" cm="1">
        <f t="array" ref="R168">IFERROR(INDEX('DB)입출고매칭용'!$Q$2:$Q$181,MATCH(1,($C168='DB)입출고매칭용'!$H$2:$H$181)*($B168='DB)입출고매칭용'!$B$2:$B$181)*($K168='DB)입출고매칭용'!$J$2:$J$181),0)),"")</f>
        <v/>
      </c>
      <c r="S168" s="169" t="str" cm="1">
        <f t="array" ref="S168">IFERROR(INDEX('DB)입출고매칭용'!$R$2:$R$181,MATCH(1,($C168='DB)입출고매칭용'!$H$2:$H$181)*($B168='DB)입출고매칭용'!$B$2:$B$181)*($K168='DB)입출고매칭용'!$J$2:$J$181),0)),"")</f>
        <v/>
      </c>
    </row>
    <row r="169" spans="1:19">
      <c r="A169" s="151">
        <v>161</v>
      </c>
      <c r="B169" s="153">
        <v>46125</v>
      </c>
      <c r="C169" s="150" t="s">
        <v>912</v>
      </c>
      <c r="D169" s="154" t="s">
        <v>39</v>
      </c>
      <c r="E169" s="151">
        <v>8809879544101</v>
      </c>
      <c r="F169" s="150" t="s">
        <v>24</v>
      </c>
      <c r="G169" s="150" t="s">
        <v>40</v>
      </c>
      <c r="H169" s="150">
        <v>0</v>
      </c>
      <c r="I169" s="150">
        <v>0</v>
      </c>
      <c r="J169" s="150">
        <v>0</v>
      </c>
      <c r="K169" s="152">
        <v>2</v>
      </c>
      <c r="L169" s="150">
        <v>0</v>
      </c>
      <c r="M169" s="150" t="s">
        <v>41</v>
      </c>
      <c r="N169" s="150" t="s">
        <v>257</v>
      </c>
      <c r="O169" s="150">
        <v>22000</v>
      </c>
      <c r="P169" s="150">
        <v>44000</v>
      </c>
      <c r="Q169" s="150" t="str" cm="1">
        <f t="array" ref="Q169">IFERROR(INDEX('DB)입출고매칭용'!$P$2:$P$181,MATCH(1,($C169='DB)입출고매칭용'!$H$2:$H$181)*($B169='DB)입출고매칭용'!$B$2:$B$181)*($K169='DB)입출고매칭용'!$J$2:$J$181),0)),"")</f>
        <v>판매청구</v>
      </c>
      <c r="R169" s="150" t="str" cm="1">
        <f t="array" ref="R169">IFERROR(INDEX('DB)입출고매칭용'!$Q$2:$Q$181,MATCH(1,($C169='DB)입출고매칭용'!$H$2:$H$181)*($B169='DB)입출고매칭용'!$B$2:$B$181)*($K169='DB)입출고매칭용'!$J$2:$J$181),0)),"")</f>
        <v>정상판매</v>
      </c>
      <c r="S169" s="169" t="str" cm="1">
        <f t="array" ref="S169">IFERROR(INDEX('DB)입출고매칭용'!$R$2:$R$181,MATCH(1,($C169='DB)입출고매칭용'!$H$2:$H$181)*($B169='DB)입출고매칭용'!$B$2:$B$181)*($K169='DB)입출고매칭용'!$J$2:$J$181),0)),"")</f>
        <v>20260412-0000139</v>
      </c>
    </row>
    <row r="170" spans="1:19">
      <c r="A170" s="151">
        <v>162</v>
      </c>
      <c r="B170" s="153">
        <v>46125</v>
      </c>
      <c r="C170" s="150" t="s">
        <v>913</v>
      </c>
      <c r="D170" s="154" t="s">
        <v>39</v>
      </c>
      <c r="E170" s="151">
        <v>8809879544101</v>
      </c>
      <c r="F170" s="150" t="s">
        <v>24</v>
      </c>
      <c r="G170" s="150" t="s">
        <v>40</v>
      </c>
      <c r="H170" s="150">
        <v>0</v>
      </c>
      <c r="I170" s="150">
        <v>0</v>
      </c>
      <c r="J170" s="150">
        <v>0</v>
      </c>
      <c r="K170" s="152">
        <v>1</v>
      </c>
      <c r="L170" s="150">
        <v>0</v>
      </c>
      <c r="M170" s="150" t="s">
        <v>41</v>
      </c>
      <c r="N170" s="150" t="s">
        <v>257</v>
      </c>
      <c r="O170" s="150">
        <v>22000</v>
      </c>
      <c r="P170" s="150">
        <v>22000</v>
      </c>
      <c r="Q170" s="150" t="str" cm="1">
        <f t="array" ref="Q170">IFERROR(INDEX('DB)입출고매칭용'!$P$2:$P$181,MATCH(1,($C170='DB)입출고매칭용'!$H$2:$H$181)*($B170='DB)입출고매칭용'!$B$2:$B$181)*($K170='DB)입출고매칭용'!$J$2:$J$181),0)),"")</f>
        <v/>
      </c>
      <c r="R170" s="150" t="str" cm="1">
        <f t="array" ref="R170">IFERROR(INDEX('DB)입출고매칭용'!$Q$2:$Q$181,MATCH(1,($C170='DB)입출고매칭용'!$H$2:$H$181)*($B170='DB)입출고매칭용'!$B$2:$B$181)*($K170='DB)입출고매칭용'!$J$2:$J$181),0)),"")</f>
        <v/>
      </c>
      <c r="S170" s="169" t="str" cm="1">
        <f t="array" ref="S170">IFERROR(INDEX('DB)입출고매칭용'!$R$2:$R$181,MATCH(1,($C170='DB)입출고매칭용'!$H$2:$H$181)*($B170='DB)입출고매칭용'!$B$2:$B$181)*($K170='DB)입출고매칭용'!$J$2:$J$181),0)),"")</f>
        <v/>
      </c>
    </row>
    <row r="171" spans="1:19">
      <c r="A171" s="151">
        <v>163</v>
      </c>
      <c r="B171" s="153">
        <v>46125</v>
      </c>
      <c r="C171" s="150" t="s">
        <v>914</v>
      </c>
      <c r="D171" s="154" t="s">
        <v>39</v>
      </c>
      <c r="E171" s="151">
        <v>8809879544101</v>
      </c>
      <c r="F171" s="150" t="s">
        <v>24</v>
      </c>
      <c r="G171" s="150" t="s">
        <v>40</v>
      </c>
      <c r="H171" s="150">
        <v>0</v>
      </c>
      <c r="I171" s="150">
        <v>0</v>
      </c>
      <c r="J171" s="150">
        <v>0</v>
      </c>
      <c r="K171" s="152">
        <v>3</v>
      </c>
      <c r="L171" s="150">
        <v>0</v>
      </c>
      <c r="M171" s="150" t="s">
        <v>41</v>
      </c>
      <c r="N171" s="150" t="s">
        <v>257</v>
      </c>
      <c r="O171" s="150">
        <v>22000</v>
      </c>
      <c r="P171" s="150">
        <v>66000</v>
      </c>
      <c r="Q171" s="150" t="str" cm="1">
        <f t="array" ref="Q171">IFERROR(INDEX('DB)입출고매칭용'!$P$2:$P$181,MATCH(1,($C171='DB)입출고매칭용'!$H$2:$H$181)*($B171='DB)입출고매칭용'!$B$2:$B$181)*($K171='DB)입출고매칭용'!$J$2:$J$181),0)),"")</f>
        <v/>
      </c>
      <c r="R171" s="150" t="str" cm="1">
        <f t="array" ref="R171">IFERROR(INDEX('DB)입출고매칭용'!$Q$2:$Q$181,MATCH(1,($C171='DB)입출고매칭용'!$H$2:$H$181)*($B171='DB)입출고매칭용'!$B$2:$B$181)*($K171='DB)입출고매칭용'!$J$2:$J$181),0)),"")</f>
        <v/>
      </c>
      <c r="S171" s="169" t="str" cm="1">
        <f t="array" ref="S171">IFERROR(INDEX('DB)입출고매칭용'!$R$2:$R$181,MATCH(1,($C171='DB)입출고매칭용'!$H$2:$H$181)*($B171='DB)입출고매칭용'!$B$2:$B$181)*($K171='DB)입출고매칭용'!$J$2:$J$181),0)),"")</f>
        <v/>
      </c>
    </row>
    <row r="172" spans="1:19">
      <c r="A172" s="151">
        <v>164</v>
      </c>
      <c r="B172" s="153">
        <v>46125</v>
      </c>
      <c r="C172" s="150" t="s">
        <v>915</v>
      </c>
      <c r="D172" s="154" t="s">
        <v>39</v>
      </c>
      <c r="E172" s="151">
        <v>8809879544101</v>
      </c>
      <c r="F172" s="150" t="s">
        <v>24</v>
      </c>
      <c r="G172" s="150" t="s">
        <v>40</v>
      </c>
      <c r="H172" s="150">
        <v>0</v>
      </c>
      <c r="I172" s="150">
        <v>0</v>
      </c>
      <c r="J172" s="150">
        <v>0</v>
      </c>
      <c r="K172" s="152">
        <v>3</v>
      </c>
      <c r="L172" s="150">
        <v>0</v>
      </c>
      <c r="M172" s="150" t="s">
        <v>41</v>
      </c>
      <c r="N172" s="150" t="s">
        <v>257</v>
      </c>
      <c r="O172" s="150">
        <v>22000</v>
      </c>
      <c r="P172" s="150">
        <v>66000</v>
      </c>
      <c r="Q172" s="150" t="str" cm="1">
        <f t="array" ref="Q172">IFERROR(INDEX('DB)입출고매칭용'!$P$2:$P$181,MATCH(1,($C172='DB)입출고매칭용'!$H$2:$H$181)*($B172='DB)입출고매칭용'!$B$2:$B$181)*($K172='DB)입출고매칭용'!$J$2:$J$181),0)),"")</f>
        <v/>
      </c>
      <c r="R172" s="150" t="str" cm="1">
        <f t="array" ref="R172">IFERROR(INDEX('DB)입출고매칭용'!$Q$2:$Q$181,MATCH(1,($C172='DB)입출고매칭용'!$H$2:$H$181)*($B172='DB)입출고매칭용'!$B$2:$B$181)*($K172='DB)입출고매칭용'!$J$2:$J$181),0)),"")</f>
        <v/>
      </c>
      <c r="S172" s="169" t="str" cm="1">
        <f t="array" ref="S172">IFERROR(INDEX('DB)입출고매칭용'!$R$2:$R$181,MATCH(1,($C172='DB)입출고매칭용'!$H$2:$H$181)*($B172='DB)입출고매칭용'!$B$2:$B$181)*($K172='DB)입출고매칭용'!$J$2:$J$181),0)),"")</f>
        <v/>
      </c>
    </row>
    <row r="173" spans="1:19">
      <c r="A173" s="151"/>
      <c r="B173" s="153">
        <v>46125</v>
      </c>
      <c r="C173" s="150" t="s">
        <v>916</v>
      </c>
      <c r="D173" s="154" t="s">
        <v>39</v>
      </c>
      <c r="E173" s="151">
        <v>8809879544101</v>
      </c>
      <c r="F173" s="150" t="s">
        <v>24</v>
      </c>
      <c r="G173" s="150" t="s">
        <v>40</v>
      </c>
      <c r="H173" s="150">
        <v>0</v>
      </c>
      <c r="I173" s="150">
        <v>1</v>
      </c>
      <c r="J173" s="150">
        <v>0</v>
      </c>
      <c r="K173" s="152">
        <v>0</v>
      </c>
      <c r="L173" s="150">
        <v>0</v>
      </c>
      <c r="M173" s="150" t="s">
        <v>917</v>
      </c>
      <c r="N173" s="150" t="s">
        <v>257</v>
      </c>
      <c r="O173" s="150">
        <v>22000</v>
      </c>
      <c r="P173" s="150">
        <v>0</v>
      </c>
      <c r="Q173" s="150" t="str" cm="1">
        <f t="array" ref="Q173">IFERROR(INDEX('DB)입출고매칭용'!$P$2:$P$181,MATCH(1,($C173='DB)입출고매칭용'!$H$2:$H$181)*($B173='DB)입출고매칭용'!$B$2:$B$181)*($K173='DB)입출고매칭용'!$J$2:$J$181),0)),"")</f>
        <v/>
      </c>
      <c r="R173" s="150" t="str" cm="1">
        <f t="array" ref="R173">IFERROR(INDEX('DB)입출고매칭용'!$Q$2:$Q$181,MATCH(1,($C173='DB)입출고매칭용'!$H$2:$H$181)*($B173='DB)입출고매칭용'!$B$2:$B$181)*($K173='DB)입출고매칭용'!$J$2:$J$181),0)),"")</f>
        <v/>
      </c>
      <c r="S173" s="169" t="str" cm="1">
        <f t="array" ref="S173">IFERROR(INDEX('DB)입출고매칭용'!$R$2:$R$181,MATCH(1,($C173='DB)입출고매칭용'!$H$2:$H$181)*($B173='DB)입출고매칭용'!$B$2:$B$181)*($K173='DB)입출고매칭용'!$J$2:$J$181),0)),"")</f>
        <v/>
      </c>
    </row>
    <row r="174" spans="1:19">
      <c r="A174" s="151">
        <v>165</v>
      </c>
      <c r="B174" s="153">
        <v>46125</v>
      </c>
      <c r="C174" s="150" t="s">
        <v>918</v>
      </c>
      <c r="D174" s="154" t="s">
        <v>39</v>
      </c>
      <c r="E174" s="151">
        <v>8809879544101</v>
      </c>
      <c r="F174" s="150" t="s">
        <v>24</v>
      </c>
      <c r="G174" s="150" t="s">
        <v>40</v>
      </c>
      <c r="H174" s="150">
        <v>0</v>
      </c>
      <c r="I174" s="150">
        <v>0</v>
      </c>
      <c r="J174" s="150">
        <v>0</v>
      </c>
      <c r="K174" s="152">
        <v>1</v>
      </c>
      <c r="L174" s="150">
        <v>0</v>
      </c>
      <c r="M174" s="150" t="s">
        <v>41</v>
      </c>
      <c r="N174" s="150" t="s">
        <v>257</v>
      </c>
      <c r="O174" s="150">
        <v>22000</v>
      </c>
      <c r="P174" s="150">
        <v>22000</v>
      </c>
      <c r="Q174" s="150" t="str" cm="1">
        <f t="array" ref="Q174">IFERROR(INDEX('DB)입출고매칭용'!$P$2:$P$181,MATCH(1,($C174='DB)입출고매칭용'!$H$2:$H$181)*($B174='DB)입출고매칭용'!$B$2:$B$181)*($K174='DB)입출고매칭용'!$J$2:$J$181),0)),"")</f>
        <v>판매청구</v>
      </c>
      <c r="R174" s="150" t="str" cm="1">
        <f t="array" ref="R174">IFERROR(INDEX('DB)입출고매칭용'!$Q$2:$Q$181,MATCH(1,($C174='DB)입출고매칭용'!$H$2:$H$181)*($B174='DB)입출고매칭용'!$B$2:$B$181)*($K174='DB)입출고매칭용'!$J$2:$J$181),0)),"")</f>
        <v>정상판매 (공구)</v>
      </c>
      <c r="S174" s="169" t="str" cm="1">
        <f t="array" ref="S174">IFERROR(INDEX('DB)입출고매칭용'!$R$2:$R$181,MATCH(1,($C174='DB)입출고매칭용'!$H$2:$H$181)*($B174='DB)입출고매칭용'!$B$2:$B$181)*($K174='DB)입출고매칭용'!$J$2:$J$181),0)),"")</f>
        <v>20260413-0000052</v>
      </c>
    </row>
    <row r="175" spans="1:19">
      <c r="A175" s="151">
        <v>166</v>
      </c>
      <c r="B175" s="153">
        <v>46125</v>
      </c>
      <c r="C175" s="150" t="s">
        <v>919</v>
      </c>
      <c r="D175" s="154" t="s">
        <v>39</v>
      </c>
      <c r="E175" s="151">
        <v>8809879544101</v>
      </c>
      <c r="F175" s="150" t="s">
        <v>24</v>
      </c>
      <c r="G175" s="150" t="s">
        <v>40</v>
      </c>
      <c r="H175" s="150">
        <v>0</v>
      </c>
      <c r="I175" s="150">
        <v>0</v>
      </c>
      <c r="J175" s="150">
        <v>0</v>
      </c>
      <c r="K175" s="152">
        <v>1</v>
      </c>
      <c r="L175" s="150">
        <v>0</v>
      </c>
      <c r="M175" s="150" t="s">
        <v>41</v>
      </c>
      <c r="N175" s="150" t="s">
        <v>257</v>
      </c>
      <c r="O175" s="150">
        <v>22000</v>
      </c>
      <c r="P175" s="150">
        <v>22000</v>
      </c>
      <c r="Q175" s="150" t="str" cm="1">
        <f t="array" ref="Q175">IFERROR(INDEX('DB)입출고매칭용'!$P$2:$P$181,MATCH(1,($C175='DB)입출고매칭용'!$H$2:$H$181)*($B175='DB)입출고매칭용'!$B$2:$B$181)*($K175='DB)입출고매칭용'!$J$2:$J$181),0)),"")</f>
        <v>판매청구</v>
      </c>
      <c r="R175" s="150" t="str" cm="1">
        <f t="array" ref="R175">IFERROR(INDEX('DB)입출고매칭용'!$Q$2:$Q$181,MATCH(1,($C175='DB)입출고매칭용'!$H$2:$H$181)*($B175='DB)입출고매칭용'!$B$2:$B$181)*($K175='DB)입출고매칭용'!$J$2:$J$181),0)),"")</f>
        <v>정상판매 (공구)</v>
      </c>
      <c r="S175" s="169" t="str" cm="1">
        <f t="array" ref="S175">IFERROR(INDEX('DB)입출고매칭용'!$R$2:$R$181,MATCH(1,($C175='DB)입출고매칭용'!$H$2:$H$181)*($B175='DB)입출고매칭용'!$B$2:$B$181)*($K175='DB)입출고매칭용'!$J$2:$J$181),0)),"")</f>
        <v>20260413-0000308</v>
      </c>
    </row>
    <row r="176" spans="1:19">
      <c r="A176" s="151">
        <v>167</v>
      </c>
      <c r="B176" s="153">
        <v>46125</v>
      </c>
      <c r="C176" s="150" t="s">
        <v>920</v>
      </c>
      <c r="D176" s="154" t="s">
        <v>39</v>
      </c>
      <c r="E176" s="151">
        <v>8809879544101</v>
      </c>
      <c r="F176" s="150" t="s">
        <v>24</v>
      </c>
      <c r="G176" s="150" t="s">
        <v>40</v>
      </c>
      <c r="H176" s="150">
        <v>0</v>
      </c>
      <c r="I176" s="150">
        <v>0</v>
      </c>
      <c r="J176" s="150">
        <v>0</v>
      </c>
      <c r="K176" s="152">
        <v>3</v>
      </c>
      <c r="L176" s="150">
        <v>0</v>
      </c>
      <c r="M176" s="150" t="s">
        <v>41</v>
      </c>
      <c r="N176" s="150" t="s">
        <v>257</v>
      </c>
      <c r="O176" s="150">
        <v>22000</v>
      </c>
      <c r="P176" s="150">
        <v>66000</v>
      </c>
      <c r="Q176" s="150" t="str" cm="1">
        <f t="array" ref="Q176">IFERROR(INDEX('DB)입출고매칭용'!$P$2:$P$181,MATCH(1,($C176='DB)입출고매칭용'!$H$2:$H$181)*($B176='DB)입출고매칭용'!$B$2:$B$181)*($K176='DB)입출고매칭용'!$J$2:$J$181),0)),"")</f>
        <v/>
      </c>
      <c r="R176" s="150" t="str" cm="1">
        <f t="array" ref="R176">IFERROR(INDEX('DB)입출고매칭용'!$Q$2:$Q$181,MATCH(1,($C176='DB)입출고매칭용'!$H$2:$H$181)*($B176='DB)입출고매칭용'!$B$2:$B$181)*($K176='DB)입출고매칭용'!$J$2:$J$181),0)),"")</f>
        <v/>
      </c>
      <c r="S176" s="169" t="str" cm="1">
        <f t="array" ref="S176">IFERROR(INDEX('DB)입출고매칭용'!$R$2:$R$181,MATCH(1,($C176='DB)입출고매칭용'!$H$2:$H$181)*($B176='DB)입출고매칭용'!$B$2:$B$181)*($K176='DB)입출고매칭용'!$J$2:$J$181),0)),"")</f>
        <v/>
      </c>
    </row>
    <row r="177" spans="1:19">
      <c r="A177" s="151">
        <v>168</v>
      </c>
      <c r="B177" s="153">
        <v>46125</v>
      </c>
      <c r="C177" s="150" t="s">
        <v>921</v>
      </c>
      <c r="D177" s="154" t="s">
        <v>39</v>
      </c>
      <c r="E177" s="151">
        <v>8809879544101</v>
      </c>
      <c r="F177" s="150" t="s">
        <v>24</v>
      </c>
      <c r="G177" s="150" t="s">
        <v>40</v>
      </c>
      <c r="H177" s="150">
        <v>0</v>
      </c>
      <c r="I177" s="150">
        <v>0</v>
      </c>
      <c r="J177" s="150">
        <v>0</v>
      </c>
      <c r="K177" s="152">
        <v>1</v>
      </c>
      <c r="L177" s="150">
        <v>0</v>
      </c>
      <c r="M177" s="150" t="s">
        <v>41</v>
      </c>
      <c r="N177" s="150" t="s">
        <v>257</v>
      </c>
      <c r="O177" s="150">
        <v>22000</v>
      </c>
      <c r="P177" s="150">
        <v>22000</v>
      </c>
      <c r="Q177" s="150" t="str" cm="1">
        <f t="array" ref="Q177">IFERROR(INDEX('DB)입출고매칭용'!$P$2:$P$181,MATCH(1,($C177='DB)입출고매칭용'!$H$2:$H$181)*($B177='DB)입출고매칭용'!$B$2:$B$181)*($K177='DB)입출고매칭용'!$J$2:$J$181),0)),"")</f>
        <v>판매청구</v>
      </c>
      <c r="R177" s="150" t="str" cm="1">
        <f t="array" ref="R177">IFERROR(INDEX('DB)입출고매칭용'!$Q$2:$Q$181,MATCH(1,($C177='DB)입출고매칭용'!$H$2:$H$181)*($B177='DB)입출고매칭용'!$B$2:$B$181)*($K177='DB)입출고매칭용'!$J$2:$J$181),0)),"")</f>
        <v>정상판매 (공구)</v>
      </c>
      <c r="S177" s="169" t="str" cm="1">
        <f t="array" ref="S177">IFERROR(INDEX('DB)입출고매칭용'!$R$2:$R$181,MATCH(1,($C177='DB)입출고매칭용'!$H$2:$H$181)*($B177='DB)입출고매칭용'!$B$2:$B$181)*($K177='DB)입출고매칭용'!$J$2:$J$181),0)),"")</f>
        <v>20260413-0000205</v>
      </c>
    </row>
    <row r="178" spans="1:19">
      <c r="A178" s="151">
        <v>169</v>
      </c>
      <c r="B178" s="153">
        <v>46125</v>
      </c>
      <c r="C178" s="150" t="s">
        <v>922</v>
      </c>
      <c r="D178" s="154" t="s">
        <v>39</v>
      </c>
      <c r="E178" s="151">
        <v>8809879544101</v>
      </c>
      <c r="F178" s="150" t="s">
        <v>24</v>
      </c>
      <c r="G178" s="150" t="s">
        <v>40</v>
      </c>
      <c r="H178" s="150">
        <v>0</v>
      </c>
      <c r="I178" s="150">
        <v>0</v>
      </c>
      <c r="J178" s="150">
        <v>0</v>
      </c>
      <c r="K178" s="152">
        <v>1</v>
      </c>
      <c r="L178" s="150">
        <v>0</v>
      </c>
      <c r="M178" s="150" t="s">
        <v>41</v>
      </c>
      <c r="N178" s="150" t="s">
        <v>257</v>
      </c>
      <c r="O178" s="150">
        <v>22000</v>
      </c>
      <c r="P178" s="150">
        <v>22000</v>
      </c>
      <c r="Q178" s="150" t="str" cm="1">
        <f t="array" ref="Q178">IFERROR(INDEX('DB)입출고매칭용'!$P$2:$P$181,MATCH(1,($C178='DB)입출고매칭용'!$H$2:$H$181)*($B178='DB)입출고매칭용'!$B$2:$B$181)*($K178='DB)입출고매칭용'!$J$2:$J$181),0)),"")</f>
        <v>판매청구</v>
      </c>
      <c r="R178" s="150" t="str" cm="1">
        <f t="array" ref="R178">IFERROR(INDEX('DB)입출고매칭용'!$Q$2:$Q$181,MATCH(1,($C178='DB)입출고매칭용'!$H$2:$H$181)*($B178='DB)입출고매칭용'!$B$2:$B$181)*($K178='DB)입출고매칭용'!$J$2:$J$181),0)),"")</f>
        <v>정상판매 (공구)</v>
      </c>
      <c r="S178" s="169" t="str" cm="1">
        <f t="array" ref="S178">IFERROR(INDEX('DB)입출고매칭용'!$R$2:$R$181,MATCH(1,($C178='DB)입출고매칭용'!$H$2:$H$181)*($B178='DB)입출고매칭용'!$B$2:$B$181)*($K178='DB)입출고매칭용'!$J$2:$J$181),0)),"")</f>
        <v>20260413-0000191</v>
      </c>
    </row>
    <row r="179" spans="1:19">
      <c r="A179" s="151">
        <v>170</v>
      </c>
      <c r="B179" s="153">
        <v>46125</v>
      </c>
      <c r="C179" s="150" t="s">
        <v>923</v>
      </c>
      <c r="D179" s="154" t="s">
        <v>39</v>
      </c>
      <c r="E179" s="151">
        <v>8809879544101</v>
      </c>
      <c r="F179" s="150" t="s">
        <v>24</v>
      </c>
      <c r="G179" s="150" t="s">
        <v>40</v>
      </c>
      <c r="H179" s="150">
        <v>0</v>
      </c>
      <c r="I179" s="150">
        <v>0</v>
      </c>
      <c r="J179" s="150">
        <v>0</v>
      </c>
      <c r="K179" s="152">
        <v>1</v>
      </c>
      <c r="L179" s="150">
        <v>0</v>
      </c>
      <c r="M179" s="150" t="s">
        <v>41</v>
      </c>
      <c r="N179" s="150" t="s">
        <v>257</v>
      </c>
      <c r="O179" s="150">
        <v>22000</v>
      </c>
      <c r="P179" s="150">
        <v>22000</v>
      </c>
      <c r="Q179" s="150" t="str" cm="1">
        <f t="array" ref="Q179">IFERROR(INDEX('DB)입출고매칭용'!$P$2:$P$181,MATCH(1,($C179='DB)입출고매칭용'!$H$2:$H$181)*($B179='DB)입출고매칭용'!$B$2:$B$181)*($K179='DB)입출고매칭용'!$J$2:$J$181),0)),"")</f>
        <v>판매청구</v>
      </c>
      <c r="R179" s="150" t="str" cm="1">
        <f t="array" ref="R179">IFERROR(INDEX('DB)입출고매칭용'!$Q$2:$Q$181,MATCH(1,($C179='DB)입출고매칭용'!$H$2:$H$181)*($B179='DB)입출고매칭용'!$B$2:$B$181)*($K179='DB)입출고매칭용'!$J$2:$J$181),0)),"")</f>
        <v>정상판매 (공구)</v>
      </c>
      <c r="S179" s="169" t="str" cm="1">
        <f t="array" ref="S179">IFERROR(INDEX('DB)입출고매칭용'!$R$2:$R$181,MATCH(1,($C179='DB)입출고매칭용'!$H$2:$H$181)*($B179='DB)입출고매칭용'!$B$2:$B$181)*($K179='DB)입출고매칭용'!$J$2:$J$181),0)),"")</f>
        <v>20260413-0000161</v>
      </c>
    </row>
    <row r="180" spans="1:19">
      <c r="A180" s="151">
        <v>171</v>
      </c>
      <c r="B180" s="153">
        <v>46125</v>
      </c>
      <c r="C180" s="150" t="s">
        <v>924</v>
      </c>
      <c r="D180" s="154" t="s">
        <v>39</v>
      </c>
      <c r="E180" s="151">
        <v>8809879544101</v>
      </c>
      <c r="F180" s="150" t="s">
        <v>24</v>
      </c>
      <c r="G180" s="150" t="s">
        <v>40</v>
      </c>
      <c r="H180" s="150">
        <v>0</v>
      </c>
      <c r="I180" s="150">
        <v>0</v>
      </c>
      <c r="J180" s="150">
        <v>0</v>
      </c>
      <c r="K180" s="152">
        <v>2</v>
      </c>
      <c r="L180" s="150">
        <v>0</v>
      </c>
      <c r="M180" s="150" t="s">
        <v>41</v>
      </c>
      <c r="N180" s="150" t="s">
        <v>257</v>
      </c>
      <c r="O180" s="150">
        <v>22000</v>
      </c>
      <c r="P180" s="150">
        <v>44000</v>
      </c>
      <c r="Q180" s="150" t="str" cm="1">
        <f t="array" ref="Q180">IFERROR(INDEX('DB)입출고매칭용'!$P$2:$P$181,MATCH(1,($C180='DB)입출고매칭용'!$H$2:$H$181)*($B180='DB)입출고매칭용'!$B$2:$B$181)*($K180='DB)입출고매칭용'!$J$2:$J$181),0)),"")</f>
        <v/>
      </c>
      <c r="R180" s="150" t="str" cm="1">
        <f t="array" ref="R180">IFERROR(INDEX('DB)입출고매칭용'!$Q$2:$Q$181,MATCH(1,($C180='DB)입출고매칭용'!$H$2:$H$181)*($B180='DB)입출고매칭용'!$B$2:$B$181)*($K180='DB)입출고매칭용'!$J$2:$J$181),0)),"")</f>
        <v/>
      </c>
      <c r="S180" s="169" t="str" cm="1">
        <f t="array" ref="S180">IFERROR(INDEX('DB)입출고매칭용'!$R$2:$R$181,MATCH(1,($C180='DB)입출고매칭용'!$H$2:$H$181)*($B180='DB)입출고매칭용'!$B$2:$B$181)*($K180='DB)입출고매칭용'!$J$2:$J$181),0)),"")</f>
        <v/>
      </c>
    </row>
    <row r="181" spans="1:19">
      <c r="A181" s="151">
        <v>172</v>
      </c>
      <c r="B181" s="153">
        <v>46125</v>
      </c>
      <c r="C181" s="150" t="s">
        <v>925</v>
      </c>
      <c r="D181" s="154" t="s">
        <v>39</v>
      </c>
      <c r="E181" s="151">
        <v>8809879544101</v>
      </c>
      <c r="F181" s="150" t="s">
        <v>24</v>
      </c>
      <c r="G181" s="150" t="s">
        <v>40</v>
      </c>
      <c r="H181" s="150">
        <v>0</v>
      </c>
      <c r="I181" s="150">
        <v>0</v>
      </c>
      <c r="J181" s="150">
        <v>0</v>
      </c>
      <c r="K181" s="152">
        <v>2</v>
      </c>
      <c r="L181" s="150">
        <v>0</v>
      </c>
      <c r="M181" s="150" t="s">
        <v>41</v>
      </c>
      <c r="N181" s="150" t="s">
        <v>257</v>
      </c>
      <c r="O181" s="150">
        <v>22000</v>
      </c>
      <c r="P181" s="150">
        <v>44000</v>
      </c>
      <c r="Q181" s="150" t="str" cm="1">
        <f t="array" ref="Q181">IFERROR(INDEX('DB)입출고매칭용'!$P$2:$P$181,MATCH(1,($C181='DB)입출고매칭용'!$H$2:$H$181)*($B181='DB)입출고매칭용'!$B$2:$B$181)*($K181='DB)입출고매칭용'!$J$2:$J$181),0)),"")</f>
        <v/>
      </c>
      <c r="R181" s="150" t="str" cm="1">
        <f t="array" ref="R181">IFERROR(INDEX('DB)입출고매칭용'!$Q$2:$Q$181,MATCH(1,($C181='DB)입출고매칭용'!$H$2:$H$181)*($B181='DB)입출고매칭용'!$B$2:$B$181)*($K181='DB)입출고매칭용'!$J$2:$J$181),0)),"")</f>
        <v/>
      </c>
      <c r="S181" s="169" t="str" cm="1">
        <f t="array" ref="S181">IFERROR(INDEX('DB)입출고매칭용'!$R$2:$R$181,MATCH(1,($C181='DB)입출고매칭용'!$H$2:$H$181)*($B181='DB)입출고매칭용'!$B$2:$B$181)*($K181='DB)입출고매칭용'!$J$2:$J$181),0)),"")</f>
        <v/>
      </c>
    </row>
    <row r="182" spans="1:19">
      <c r="A182" s="151">
        <v>173</v>
      </c>
      <c r="B182" s="153">
        <v>46125</v>
      </c>
      <c r="C182" s="150" t="s">
        <v>926</v>
      </c>
      <c r="D182" s="154" t="s">
        <v>39</v>
      </c>
      <c r="E182" s="151">
        <v>8809879544101</v>
      </c>
      <c r="F182" s="150" t="s">
        <v>24</v>
      </c>
      <c r="G182" s="150" t="s">
        <v>40</v>
      </c>
      <c r="H182" s="150">
        <v>0</v>
      </c>
      <c r="I182" s="150">
        <v>0</v>
      </c>
      <c r="J182" s="150">
        <v>0</v>
      </c>
      <c r="K182" s="152">
        <v>2</v>
      </c>
      <c r="L182" s="150">
        <v>0</v>
      </c>
      <c r="M182" s="150" t="s">
        <v>41</v>
      </c>
      <c r="N182" s="150" t="s">
        <v>257</v>
      </c>
      <c r="O182" s="150">
        <v>22000</v>
      </c>
      <c r="P182" s="150">
        <v>44000</v>
      </c>
      <c r="Q182" s="150" t="str" cm="1">
        <f t="array" ref="Q182">IFERROR(INDEX('DB)입출고매칭용'!$P$2:$P$181,MATCH(1,($C182='DB)입출고매칭용'!$H$2:$H$181)*($B182='DB)입출고매칭용'!$B$2:$B$181)*($K182='DB)입출고매칭용'!$J$2:$J$181),0)),"")</f>
        <v/>
      </c>
      <c r="R182" s="150" t="str" cm="1">
        <f t="array" ref="R182">IFERROR(INDEX('DB)입출고매칭용'!$Q$2:$Q$181,MATCH(1,($C182='DB)입출고매칭용'!$H$2:$H$181)*($B182='DB)입출고매칭용'!$B$2:$B$181)*($K182='DB)입출고매칭용'!$J$2:$J$181),0)),"")</f>
        <v/>
      </c>
      <c r="S182" s="169" t="str" cm="1">
        <f t="array" ref="S182">IFERROR(INDEX('DB)입출고매칭용'!$R$2:$R$181,MATCH(1,($C182='DB)입출고매칭용'!$H$2:$H$181)*($B182='DB)입출고매칭용'!$B$2:$B$181)*($K182='DB)입출고매칭용'!$J$2:$J$181),0)),"")</f>
        <v/>
      </c>
    </row>
    <row r="183" spans="1:19">
      <c r="A183" s="151">
        <v>174</v>
      </c>
      <c r="B183" s="153">
        <v>46121</v>
      </c>
      <c r="C183" s="150" t="s">
        <v>927</v>
      </c>
      <c r="D183" s="154" t="s">
        <v>39</v>
      </c>
      <c r="E183" s="151">
        <v>8809879544118</v>
      </c>
      <c r="F183" s="150" t="s">
        <v>23</v>
      </c>
      <c r="G183" s="150" t="s">
        <v>40</v>
      </c>
      <c r="H183" s="150">
        <v>0</v>
      </c>
      <c r="I183" s="150">
        <v>0</v>
      </c>
      <c r="J183" s="150">
        <v>0</v>
      </c>
      <c r="K183" s="152">
        <v>2</v>
      </c>
      <c r="L183" s="150">
        <v>0</v>
      </c>
      <c r="M183" s="150" t="s">
        <v>41</v>
      </c>
      <c r="N183" s="150" t="s">
        <v>257</v>
      </c>
      <c r="O183" s="150">
        <v>22000</v>
      </c>
      <c r="P183" s="150">
        <v>44000</v>
      </c>
      <c r="Q183" s="150" t="str" cm="1">
        <f t="array" ref="Q183">IFERROR(INDEX('DB)입출고매칭용'!$P$2:$P$181,MATCH(1,($C183='DB)입출고매칭용'!$H$2:$H$181)*($B183='DB)입출고매칭용'!$B$2:$B$181)*($K183='DB)입출고매칭용'!$J$2:$J$181),0)),"")</f>
        <v>판매청구</v>
      </c>
      <c r="R183" s="150" t="str" cm="1">
        <f t="array" ref="R183">IFERROR(INDEX('DB)입출고매칭용'!$Q$2:$Q$181,MATCH(1,($C183='DB)입출고매칭용'!$H$2:$H$181)*($B183='DB)입출고매칭용'!$B$2:$B$181)*($K183='DB)입출고매칭용'!$J$2:$J$181),0)),"")</f>
        <v>정상판매</v>
      </c>
      <c r="S183" s="169" t="str" cm="1">
        <f t="array" ref="S183">IFERROR(INDEX('DB)입출고매칭용'!$R$2:$R$181,MATCH(1,($C183='DB)입출고매칭용'!$H$2:$H$181)*($B183='DB)입출고매칭용'!$B$2:$B$181)*($K183='DB)입출고매칭용'!$J$2:$J$181),0)),"")</f>
        <v>20260408-0000379</v>
      </c>
    </row>
    <row r="184" spans="1:19">
      <c r="A184" s="151">
        <v>175</v>
      </c>
      <c r="B184" s="153">
        <v>46121</v>
      </c>
      <c r="C184" s="150" t="s">
        <v>927</v>
      </c>
      <c r="D184" s="154" t="s">
        <v>39</v>
      </c>
      <c r="E184" s="151">
        <v>8809879544118</v>
      </c>
      <c r="F184" s="150" t="s">
        <v>23</v>
      </c>
      <c r="G184" s="150" t="s">
        <v>40</v>
      </c>
      <c r="H184" s="150">
        <v>0</v>
      </c>
      <c r="I184" s="150">
        <v>0</v>
      </c>
      <c r="J184" s="150">
        <v>0</v>
      </c>
      <c r="K184" s="152">
        <v>2</v>
      </c>
      <c r="L184" s="150">
        <v>0</v>
      </c>
      <c r="M184" s="150" t="s">
        <v>41</v>
      </c>
      <c r="N184" s="150" t="s">
        <v>257</v>
      </c>
      <c r="O184" s="150">
        <v>22000</v>
      </c>
      <c r="P184" s="150">
        <v>44000</v>
      </c>
      <c r="Q184" s="150" t="str" cm="1">
        <f t="array" ref="Q184">IFERROR(INDEX('DB)입출고매칭용'!$P$2:$P$181,MATCH(1,($C184='DB)입출고매칭용'!$H$2:$H$181)*($B184='DB)입출고매칭용'!$B$2:$B$181)*($K184='DB)입출고매칭용'!$J$2:$J$181),0)),"")</f>
        <v>판매청구</v>
      </c>
      <c r="R184" s="150" t="str" cm="1">
        <f t="array" ref="R184">IFERROR(INDEX('DB)입출고매칭용'!$Q$2:$Q$181,MATCH(1,($C184='DB)입출고매칭용'!$H$2:$H$181)*($B184='DB)입출고매칭용'!$B$2:$B$181)*($K184='DB)입출고매칭용'!$J$2:$J$181),0)),"")</f>
        <v>정상판매</v>
      </c>
      <c r="S184" s="169" t="str" cm="1">
        <f t="array" ref="S184">IFERROR(INDEX('DB)입출고매칭용'!$R$2:$R$181,MATCH(1,($C184='DB)입출고매칭용'!$H$2:$H$181)*($B184='DB)입출고매칭용'!$B$2:$B$181)*($K184='DB)입출고매칭용'!$J$2:$J$181),0)),"")</f>
        <v>20260408-0000379</v>
      </c>
    </row>
    <row r="185" spans="1:19">
      <c r="A185" s="151">
        <v>176</v>
      </c>
      <c r="B185" s="153">
        <v>46120</v>
      </c>
      <c r="C185" s="150" t="s">
        <v>928</v>
      </c>
      <c r="D185" s="154" t="s">
        <v>39</v>
      </c>
      <c r="E185" s="151">
        <v>8809879544118</v>
      </c>
      <c r="F185" s="150" t="s">
        <v>23</v>
      </c>
      <c r="G185" s="150" t="s">
        <v>40</v>
      </c>
      <c r="H185" s="150">
        <v>0</v>
      </c>
      <c r="I185" s="150">
        <v>0</v>
      </c>
      <c r="J185" s="150">
        <v>0</v>
      </c>
      <c r="K185" s="152">
        <v>1</v>
      </c>
      <c r="L185" s="150">
        <v>0</v>
      </c>
      <c r="M185" s="150" t="s">
        <v>41</v>
      </c>
      <c r="N185" s="150" t="s">
        <v>257</v>
      </c>
      <c r="O185" s="150">
        <v>22000</v>
      </c>
      <c r="P185" s="150">
        <v>22000</v>
      </c>
      <c r="Q185" s="150" t="str" cm="1">
        <f t="array" ref="Q185">IFERROR(INDEX('DB)입출고매칭용'!$P$2:$P$181,MATCH(1,($C185='DB)입출고매칭용'!$H$2:$H$181)*($B185='DB)입출고매칭용'!$B$2:$B$181)*($K185='DB)입출고매칭용'!$J$2:$J$181),0)),"")</f>
        <v>판매청구</v>
      </c>
      <c r="R185" s="150" cm="1">
        <f t="array" ref="R185">IFERROR(INDEX('DB)입출고매칭용'!$Q$2:$Q$181,MATCH(1,($C185='DB)입출고매칭용'!$H$2:$H$181)*($B185='DB)입출고매칭용'!$B$2:$B$181)*($K185='DB)입출고매칭용'!$J$2:$J$181),0)),"")</f>
        <v>0</v>
      </c>
      <c r="S185" s="169" t="str" cm="1">
        <f t="array" ref="S185">IFERROR(INDEX('DB)입출고매칭용'!$R$2:$R$181,MATCH(1,($C185='DB)입출고매칭용'!$H$2:$H$181)*($B185='DB)입출고매칭용'!$B$2:$B$181)*($K185='DB)입출고매칭용'!$J$2:$J$181),0)),"")</f>
        <v>20260407-0000171</v>
      </c>
    </row>
    <row r="186" spans="1:19">
      <c r="A186" s="151">
        <v>177</v>
      </c>
      <c r="B186" s="153">
        <v>46120</v>
      </c>
      <c r="C186" s="150" t="s">
        <v>929</v>
      </c>
      <c r="D186" s="154" t="s">
        <v>39</v>
      </c>
      <c r="E186" s="151">
        <v>8809879544101</v>
      </c>
      <c r="F186" s="150" t="s">
        <v>24</v>
      </c>
      <c r="G186" s="150" t="s">
        <v>40</v>
      </c>
      <c r="H186" s="150">
        <v>0</v>
      </c>
      <c r="I186" s="150">
        <v>0</v>
      </c>
      <c r="J186" s="150">
        <v>0</v>
      </c>
      <c r="K186" s="152">
        <v>5</v>
      </c>
      <c r="L186" s="150">
        <v>0</v>
      </c>
      <c r="M186" s="150" t="s">
        <v>41</v>
      </c>
      <c r="N186" s="150" t="s">
        <v>258</v>
      </c>
      <c r="O186" s="150">
        <v>22000</v>
      </c>
      <c r="P186" s="150">
        <v>110000</v>
      </c>
      <c r="Q186" s="150" t="str" cm="1">
        <f t="array" ref="Q186">IFERROR(INDEX('DB)입출고매칭용'!$P$2:$P$181,MATCH(1,($C186='DB)입출고매칭용'!$H$2:$H$181)*($B186='DB)입출고매칭용'!$B$2:$B$181)*($K186='DB)입출고매칭용'!$J$2:$J$181),0)),"")</f>
        <v>미청구</v>
      </c>
      <c r="R186" s="150" t="str" cm="1">
        <f t="array" ref="R186">IFERROR(INDEX('DB)입출고매칭용'!$Q$2:$Q$181,MATCH(1,($C186='DB)입출고매칭용'!$H$2:$H$181)*($B186='DB)입출고매칭용'!$B$2:$B$181)*($K186='DB)입출고매칭용'!$J$2:$J$181),0)),"")</f>
        <v>위탁이동 - 몽슈슈</v>
      </c>
      <c r="S186" s="169" t="str" cm="1">
        <f t="array" ref="S186">IFERROR(INDEX('DB)입출고매칭용'!$R$2:$R$181,MATCH(1,($C186='DB)입출고매칭용'!$H$2:$H$181)*($B186='DB)입출고매칭용'!$B$2:$B$181)*($K186='DB)입출고매칭용'!$J$2:$J$181),0)),"")</f>
        <v>20260408-0000128</v>
      </c>
    </row>
    <row r="187" spans="1:19">
      <c r="A187" s="151">
        <v>178</v>
      </c>
      <c r="B187" s="153">
        <v>46118</v>
      </c>
      <c r="C187" s="150" t="s">
        <v>930</v>
      </c>
      <c r="D187" s="154" t="s">
        <v>39</v>
      </c>
      <c r="E187" s="151">
        <v>8809879544101</v>
      </c>
      <c r="F187" s="150" t="s">
        <v>24</v>
      </c>
      <c r="G187" s="150" t="s">
        <v>40</v>
      </c>
      <c r="H187" s="150">
        <v>0</v>
      </c>
      <c r="I187" s="150">
        <v>0</v>
      </c>
      <c r="J187" s="150">
        <v>0</v>
      </c>
      <c r="K187" s="152">
        <v>1</v>
      </c>
      <c r="L187" s="150">
        <v>0</v>
      </c>
      <c r="M187" s="150" t="s">
        <v>41</v>
      </c>
      <c r="N187" s="150" t="s">
        <v>257</v>
      </c>
      <c r="O187" s="150">
        <v>22000</v>
      </c>
      <c r="P187" s="150">
        <v>22000</v>
      </c>
      <c r="Q187" s="150" t="str" cm="1">
        <f t="array" ref="Q187">IFERROR(INDEX('DB)입출고매칭용'!$P$2:$P$181,MATCH(1,($C187='DB)입출고매칭용'!$H$2:$H$181)*($B187='DB)입출고매칭용'!$B$2:$B$181)*($K187='DB)입출고매칭용'!$J$2:$J$181),0)),"")</f>
        <v>판매청구</v>
      </c>
      <c r="R187" s="150" cm="1">
        <f t="array" ref="R187">IFERROR(INDEX('DB)입출고매칭용'!$Q$2:$Q$181,MATCH(1,($C187='DB)입출고매칭용'!$H$2:$H$181)*($B187='DB)입출고매칭용'!$B$2:$B$181)*($K187='DB)입출고매칭용'!$J$2:$J$181),0)),"")</f>
        <v>0</v>
      </c>
      <c r="S187" s="169" t="str" cm="1">
        <f t="array" ref="S187">IFERROR(INDEX('DB)입출고매칭용'!$R$2:$R$181,MATCH(1,($C187='DB)입출고매칭용'!$H$2:$H$181)*($B187='DB)입출고매칭용'!$B$2:$B$181)*($K187='DB)입출고매칭용'!$J$2:$J$181),0)),"")</f>
        <v>20260405-0000653</v>
      </c>
    </row>
    <row r="188" spans="1:19">
      <c r="A188" s="151">
        <v>179</v>
      </c>
      <c r="B188" s="153">
        <v>46115</v>
      </c>
      <c r="C188" s="150" t="s">
        <v>931</v>
      </c>
      <c r="D188" s="154" t="s">
        <v>39</v>
      </c>
      <c r="E188" s="151">
        <v>8809879544101</v>
      </c>
      <c r="F188" s="150" t="s">
        <v>24</v>
      </c>
      <c r="G188" s="150" t="s">
        <v>40</v>
      </c>
      <c r="H188" s="150">
        <v>0</v>
      </c>
      <c r="I188" s="150">
        <v>0</v>
      </c>
      <c r="J188" s="150">
        <v>0</v>
      </c>
      <c r="K188" s="152">
        <v>1</v>
      </c>
      <c r="L188" s="150">
        <v>0</v>
      </c>
      <c r="M188" s="150" t="s">
        <v>41</v>
      </c>
      <c r="N188" s="150" t="s">
        <v>803</v>
      </c>
      <c r="O188" s="150">
        <v>22000</v>
      </c>
      <c r="P188" s="150">
        <v>22000</v>
      </c>
      <c r="Q188" s="150" t="str" cm="1">
        <f t="array" ref="Q188">IFERROR(INDEX('DB)입출고매칭용'!$P$2:$P$181,MATCH(1,($C188='DB)입출고매칭용'!$H$2:$H$181)*($B188='DB)입출고매칭용'!$B$2:$B$181)*($K188='DB)입출고매칭용'!$J$2:$J$181),0)),"")</f>
        <v>판매청구</v>
      </c>
      <c r="R188" s="150" t="str" cm="1">
        <f t="array" ref="R188">IFERROR(INDEX('DB)입출고매칭용'!$Q$2:$Q$181,MATCH(1,($C188='DB)입출고매칭용'!$H$2:$H$181)*($B188='DB)입출고매칭용'!$B$2:$B$181)*($K188='DB)입출고매칭용'!$J$2:$J$181),0)),"")</f>
        <v>정상판매</v>
      </c>
      <c r="S188" s="169" t="str" cm="1">
        <f t="array" ref="S188">IFERROR(INDEX('DB)입출고매칭용'!$R$2:$R$181,MATCH(1,($C188='DB)입출고매칭용'!$H$2:$H$181)*($B188='DB)입출고매칭용'!$B$2:$B$181)*($K188='DB)입출고매칭용'!$J$2:$J$181),0)),"")</f>
        <v>2410919050047</v>
      </c>
    </row>
    <row r="189" spans="1:19">
      <c r="A189" s="151">
        <v>180</v>
      </c>
      <c r="B189" s="153">
        <v>46113</v>
      </c>
      <c r="C189" s="150" t="s">
        <v>932</v>
      </c>
      <c r="D189" s="154" t="s">
        <v>39</v>
      </c>
      <c r="E189" s="151">
        <v>8809879544118</v>
      </c>
      <c r="F189" s="150" t="s">
        <v>23</v>
      </c>
      <c r="G189" s="150" t="s">
        <v>40</v>
      </c>
      <c r="H189" s="150">
        <v>0</v>
      </c>
      <c r="I189" s="150">
        <v>0</v>
      </c>
      <c r="J189" s="150">
        <v>0</v>
      </c>
      <c r="K189" s="152">
        <v>1</v>
      </c>
      <c r="L189" s="150">
        <v>0</v>
      </c>
      <c r="M189" s="150" t="s">
        <v>41</v>
      </c>
      <c r="N189" s="150" t="s">
        <v>258</v>
      </c>
      <c r="O189" s="150">
        <v>22000</v>
      </c>
      <c r="P189" s="150">
        <v>22000</v>
      </c>
      <c r="Q189" s="150" t="str" cm="1">
        <f t="array" ref="Q189">IFERROR(INDEX('DB)입출고매칭용'!$P$2:$P$181,MATCH(1,($C189='DB)입출고매칭용'!$H$2:$H$181)*($B189='DB)입출고매칭용'!$B$2:$B$181)*($K189='DB)입출고매칭용'!$J$2:$J$181),0)),"")</f>
        <v>미청구</v>
      </c>
      <c r="R189" s="150" t="str" cm="1">
        <f t="array" ref="R189">IFERROR(INDEX('DB)입출고매칭용'!$Q$2:$Q$181,MATCH(1,($C189='DB)입출고매칭용'!$H$2:$H$181)*($B189='DB)입출고매칭용'!$B$2:$B$181)*($K189='DB)입출고매칭용'!$J$2:$J$181),0)),"")</f>
        <v>위탁이동 - 몰리스하남</v>
      </c>
      <c r="S189" s="169" t="str" cm="1">
        <f t="array" ref="S189">IFERROR(INDEX('DB)입출고매칭용'!$R$2:$R$181,MATCH(1,($C189='DB)입출고매칭용'!$H$2:$H$181)*($B189='DB)입출고매칭용'!$B$2:$B$181)*($K189='DB)입출고매칭용'!$J$2:$J$181),0)),"")</f>
        <v>20260401-0000042</v>
      </c>
    </row>
    <row r="190" spans="1:19">
      <c r="A190" s="151">
        <v>181</v>
      </c>
      <c r="B190" s="153">
        <v>46113</v>
      </c>
      <c r="C190" s="150" t="s">
        <v>932</v>
      </c>
      <c r="D190" s="154" t="s">
        <v>39</v>
      </c>
      <c r="E190" s="151">
        <v>8809879544101</v>
      </c>
      <c r="F190" s="150" t="s">
        <v>24</v>
      </c>
      <c r="G190" s="150" t="s">
        <v>40</v>
      </c>
      <c r="H190" s="150">
        <v>0</v>
      </c>
      <c r="I190" s="150">
        <v>0</v>
      </c>
      <c r="J190" s="150">
        <v>0</v>
      </c>
      <c r="K190" s="152">
        <v>1</v>
      </c>
      <c r="L190" s="150">
        <v>0</v>
      </c>
      <c r="M190" s="150" t="s">
        <v>41</v>
      </c>
      <c r="N190" s="150" t="s">
        <v>258</v>
      </c>
      <c r="O190" s="150">
        <v>22000</v>
      </c>
      <c r="P190" s="150">
        <v>22000</v>
      </c>
      <c r="Q190" s="150" t="str" cm="1">
        <f t="array" ref="Q190">IFERROR(INDEX('DB)입출고매칭용'!$P$2:$P$181,MATCH(1,($C190='DB)입출고매칭용'!$H$2:$H$181)*($B190='DB)입출고매칭용'!$B$2:$B$181)*($K190='DB)입출고매칭용'!$J$2:$J$181),0)),"")</f>
        <v>미청구</v>
      </c>
      <c r="R190" s="150" t="str" cm="1">
        <f t="array" ref="R190">IFERROR(INDEX('DB)입출고매칭용'!$Q$2:$Q$181,MATCH(1,($C190='DB)입출고매칭용'!$H$2:$H$181)*($B190='DB)입출고매칭용'!$B$2:$B$181)*($K190='DB)입출고매칭용'!$J$2:$J$181),0)),"")</f>
        <v>위탁이동 - 몰리스하남</v>
      </c>
      <c r="S190" s="169" t="str" cm="1">
        <f t="array" ref="S190">IFERROR(INDEX('DB)입출고매칭용'!$R$2:$R$181,MATCH(1,($C190='DB)입출고매칭용'!$H$2:$H$181)*($B190='DB)입출고매칭용'!$B$2:$B$181)*($K190='DB)입출고매칭용'!$J$2:$J$181),0)),"")</f>
        <v>20260401-0000042</v>
      </c>
    </row>
  </sheetData>
  <autoFilter ref="A7:T190" xr:uid="{E9A5AD6F-5738-1947-9B50-3A1AE5675CA0}"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CD3E-0FBE-2A41-9A65-47D7710C1CBB}">
  <dimension ref="A1:S187"/>
  <sheetViews>
    <sheetView topLeftCell="D158" workbookViewId="0">
      <selection activeCell="O185" sqref="O185"/>
    </sheetView>
  </sheetViews>
  <sheetFormatPr baseColWidth="10" defaultRowHeight="17"/>
  <cols>
    <col min="1" max="1" width="8" style="119" bestFit="1" customWidth="1"/>
    <col min="3" max="3" width="15.5" hidden="1" customWidth="1"/>
    <col min="4" max="4" width="58" customWidth="1"/>
    <col min="5" max="5" width="20.33203125" bestFit="1" customWidth="1"/>
    <col min="6" max="6" width="11.1640625" style="119" bestFit="1" customWidth="1"/>
    <col min="7" max="8" width="20.33203125" bestFit="1" customWidth="1"/>
    <col min="9" max="9" width="25.83203125" bestFit="1" customWidth="1"/>
    <col min="10" max="10" width="7.83203125" customWidth="1"/>
    <col min="11" max="11" width="17.6640625" bestFit="1" customWidth="1"/>
    <col min="13" max="13" width="17.6640625" style="144" bestFit="1" customWidth="1"/>
    <col min="14" max="14" width="31.33203125" bestFit="1" customWidth="1"/>
    <col min="15" max="15" width="14.33203125" style="248" customWidth="1"/>
    <col min="16" max="16" width="13.6640625" customWidth="1"/>
    <col min="17" max="17" width="25.33203125" style="25" customWidth="1"/>
    <col min="18" max="18" width="15.6640625" bestFit="1" customWidth="1"/>
  </cols>
  <sheetData>
    <row r="1" spans="1:19">
      <c r="A1" s="273" t="s">
        <v>27</v>
      </c>
      <c r="B1" s="274" t="s">
        <v>934</v>
      </c>
      <c r="C1" s="274" t="s">
        <v>948</v>
      </c>
      <c r="D1" s="274" t="s">
        <v>936</v>
      </c>
      <c r="E1" s="274" t="s">
        <v>36</v>
      </c>
      <c r="F1" s="273" t="s">
        <v>631</v>
      </c>
      <c r="G1" s="274" t="s">
        <v>937</v>
      </c>
      <c r="H1" s="274" t="s">
        <v>938</v>
      </c>
      <c r="I1" s="274" t="s">
        <v>939</v>
      </c>
      <c r="J1" s="274" t="s">
        <v>940</v>
      </c>
      <c r="K1" s="274" t="s">
        <v>941</v>
      </c>
      <c r="L1" s="274" t="s">
        <v>942</v>
      </c>
      <c r="M1" s="275" t="s">
        <v>943</v>
      </c>
      <c r="N1" s="276" t="s">
        <v>949</v>
      </c>
      <c r="O1" s="279" t="s">
        <v>950</v>
      </c>
      <c r="P1" s="150" t="s">
        <v>42</v>
      </c>
      <c r="Q1" s="150" t="s">
        <v>48</v>
      </c>
      <c r="R1" s="274" t="s">
        <v>935</v>
      </c>
      <c r="S1" s="150" t="s">
        <v>202</v>
      </c>
    </row>
    <row r="2" spans="1:19">
      <c r="A2" s="273" t="s">
        <v>39</v>
      </c>
      <c r="B2" s="277">
        <v>46142</v>
      </c>
      <c r="C2" s="274" t="s">
        <v>951</v>
      </c>
      <c r="D2" s="274" t="s">
        <v>279</v>
      </c>
      <c r="E2" s="274" t="s">
        <v>257</v>
      </c>
      <c r="F2" s="273">
        <v>92234581143</v>
      </c>
      <c r="G2" s="274" t="s">
        <v>752</v>
      </c>
      <c r="H2" s="274" t="s">
        <v>752</v>
      </c>
      <c r="I2" s="274" t="s">
        <v>293</v>
      </c>
      <c r="J2" s="274">
        <v>1</v>
      </c>
      <c r="K2" s="274" t="str">
        <f>"최*솔"</f>
        <v>최*솔</v>
      </c>
      <c r="L2" s="274" t="str">
        <f>"최*솔"</f>
        <v>최*솔</v>
      </c>
      <c r="M2" s="278">
        <v>8809879544101</v>
      </c>
      <c r="N2" s="274" t="s">
        <v>24</v>
      </c>
      <c r="O2" s="280">
        <v>2</v>
      </c>
      <c r="P2" s="170" t="s">
        <v>163</v>
      </c>
      <c r="Q2" s="25" t="s">
        <v>955</v>
      </c>
      <c r="R2" s="274" t="str">
        <f>"20260429-0000187"</f>
        <v>20260429-0000187</v>
      </c>
    </row>
    <row r="3" spans="1:19">
      <c r="A3" s="273" t="s">
        <v>39</v>
      </c>
      <c r="B3" s="277">
        <v>46142</v>
      </c>
      <c r="C3" s="274">
        <v>12423379709</v>
      </c>
      <c r="D3" s="274" t="s">
        <v>234</v>
      </c>
      <c r="E3" s="274" t="s">
        <v>754</v>
      </c>
      <c r="F3" s="273">
        <v>92234617171</v>
      </c>
      <c r="G3" s="274" t="s">
        <v>753</v>
      </c>
      <c r="H3" s="274" t="s">
        <v>753</v>
      </c>
      <c r="I3" s="274"/>
      <c r="J3" s="274">
        <v>1</v>
      </c>
      <c r="K3" s="274" t="str">
        <f>"장*은"</f>
        <v>장*은</v>
      </c>
      <c r="L3" s="274" t="str">
        <f>"장*은"</f>
        <v>장*은</v>
      </c>
      <c r="M3" s="278">
        <v>8809879544101</v>
      </c>
      <c r="N3" s="274" t="s">
        <v>24</v>
      </c>
      <c r="O3" s="280">
        <v>1</v>
      </c>
      <c r="P3" s="170" t="s">
        <v>163</v>
      </c>
      <c r="Q3" s="25" t="s">
        <v>956</v>
      </c>
      <c r="R3" s="274" t="str">
        <f>"2026043032327861"</f>
        <v>2026043032327861</v>
      </c>
    </row>
    <row r="4" spans="1:19">
      <c r="A4" s="273" t="s">
        <v>39</v>
      </c>
      <c r="B4" s="277">
        <v>46141</v>
      </c>
      <c r="C4" s="274" t="s">
        <v>951</v>
      </c>
      <c r="D4" s="274" t="s">
        <v>279</v>
      </c>
      <c r="E4" s="274" t="s">
        <v>257</v>
      </c>
      <c r="F4" s="273">
        <v>92234538362</v>
      </c>
      <c r="G4" s="274" t="s">
        <v>755</v>
      </c>
      <c r="H4" s="274" t="s">
        <v>755</v>
      </c>
      <c r="I4" s="274" t="s">
        <v>280</v>
      </c>
      <c r="J4" s="274">
        <v>1</v>
      </c>
      <c r="K4" s="274" t="str">
        <f>"윤*은"</f>
        <v>윤*은</v>
      </c>
      <c r="L4" s="274" t="str">
        <f>"윤*은"</f>
        <v>윤*은</v>
      </c>
      <c r="M4" s="278">
        <v>8809879544101</v>
      </c>
      <c r="N4" s="274" t="s">
        <v>24</v>
      </c>
      <c r="O4" s="280">
        <v>1</v>
      </c>
      <c r="P4" s="170" t="s">
        <v>163</v>
      </c>
      <c r="Q4" s="25" t="s">
        <v>955</v>
      </c>
      <c r="R4" s="274" t="str">
        <f>"20260428-0000100"</f>
        <v>20260428-0000100</v>
      </c>
    </row>
    <row r="5" spans="1:19">
      <c r="A5" s="273" t="s">
        <v>39</v>
      </c>
      <c r="B5" s="277">
        <v>46141</v>
      </c>
      <c r="C5" s="274">
        <v>12423379709</v>
      </c>
      <c r="D5" s="274" t="s">
        <v>234</v>
      </c>
      <c r="E5" s="274" t="s">
        <v>754</v>
      </c>
      <c r="F5" s="273">
        <v>92234560261</v>
      </c>
      <c r="G5" s="274" t="s">
        <v>756</v>
      </c>
      <c r="H5" s="274" t="s">
        <v>756</v>
      </c>
      <c r="I5" s="274"/>
      <c r="J5" s="274">
        <v>1</v>
      </c>
      <c r="K5" s="274" t="str">
        <f>"정*주"</f>
        <v>정*주</v>
      </c>
      <c r="L5" s="274" t="str">
        <f>"정*주"</f>
        <v>정*주</v>
      </c>
      <c r="M5" s="278">
        <v>8809879544101</v>
      </c>
      <c r="N5" s="274" t="s">
        <v>24</v>
      </c>
      <c r="O5" s="280">
        <v>1</v>
      </c>
      <c r="P5" s="170" t="s">
        <v>163</v>
      </c>
      <c r="Q5" s="25" t="s">
        <v>956</v>
      </c>
      <c r="R5" s="274" t="str">
        <f>"2026042891931141"</f>
        <v>2026042891931141</v>
      </c>
    </row>
    <row r="6" spans="1:19">
      <c r="A6" s="273" t="s">
        <v>39</v>
      </c>
      <c r="B6" s="277">
        <v>46141</v>
      </c>
      <c r="C6" s="274" t="s">
        <v>951</v>
      </c>
      <c r="D6" s="274" t="s">
        <v>279</v>
      </c>
      <c r="E6" s="274" t="s">
        <v>257</v>
      </c>
      <c r="F6" s="273">
        <v>92234560250</v>
      </c>
      <c r="G6" s="274" t="s">
        <v>757</v>
      </c>
      <c r="H6" s="274" t="s">
        <v>757</v>
      </c>
      <c r="I6" s="274" t="s">
        <v>280</v>
      </c>
      <c r="J6" s="274">
        <v>1</v>
      </c>
      <c r="K6" s="274" t="str">
        <f>"김*아"</f>
        <v>김*아</v>
      </c>
      <c r="L6" s="274" t="str">
        <f>"김*아"</f>
        <v>김*아</v>
      </c>
      <c r="M6" s="278">
        <v>8809879544101</v>
      </c>
      <c r="N6" s="274" t="s">
        <v>24</v>
      </c>
      <c r="O6" s="280">
        <v>1</v>
      </c>
      <c r="P6" s="170" t="s">
        <v>163</v>
      </c>
      <c r="Q6" s="25" t="s">
        <v>955</v>
      </c>
      <c r="R6" s="274" t="str">
        <f>"20260429-0000099"</f>
        <v>20260429-0000099</v>
      </c>
    </row>
    <row r="7" spans="1:19">
      <c r="A7" s="273" t="s">
        <v>39</v>
      </c>
      <c r="B7" s="277">
        <v>46141</v>
      </c>
      <c r="C7" s="274" t="s">
        <v>951</v>
      </c>
      <c r="D7" s="274" t="s">
        <v>279</v>
      </c>
      <c r="E7" s="274" t="s">
        <v>257</v>
      </c>
      <c r="F7" s="273">
        <v>92234560246</v>
      </c>
      <c r="G7" s="274" t="s">
        <v>758</v>
      </c>
      <c r="H7" s="274" t="s">
        <v>758</v>
      </c>
      <c r="I7" s="274" t="s">
        <v>280</v>
      </c>
      <c r="J7" s="274">
        <v>1</v>
      </c>
      <c r="K7" s="274" t="str">
        <f>"정*진"</f>
        <v>정*진</v>
      </c>
      <c r="L7" s="274" t="str">
        <f>"정*진"</f>
        <v>정*진</v>
      </c>
      <c r="M7" s="278">
        <v>8809879544101</v>
      </c>
      <c r="N7" s="274" t="s">
        <v>24</v>
      </c>
      <c r="O7" s="280">
        <v>1</v>
      </c>
      <c r="P7" s="170" t="s">
        <v>163</v>
      </c>
      <c r="Q7" s="25" t="s">
        <v>955</v>
      </c>
      <c r="R7" s="274" t="str">
        <f>"20260429-0000122"</f>
        <v>20260429-0000122</v>
      </c>
    </row>
    <row r="8" spans="1:19">
      <c r="A8" s="273" t="s">
        <v>39</v>
      </c>
      <c r="B8" s="277">
        <v>46139</v>
      </c>
      <c r="C8" s="274" t="s">
        <v>952</v>
      </c>
      <c r="D8" s="274" t="s">
        <v>46</v>
      </c>
      <c r="E8" s="274" t="s">
        <v>257</v>
      </c>
      <c r="F8" s="273">
        <v>92234417343</v>
      </c>
      <c r="G8" s="274" t="s">
        <v>760</v>
      </c>
      <c r="H8" s="274" t="s">
        <v>760</v>
      </c>
      <c r="I8" s="274"/>
      <c r="J8" s="274">
        <v>1</v>
      </c>
      <c r="K8" s="274" t="str">
        <f>"김*명"</f>
        <v>김*명</v>
      </c>
      <c r="L8" s="274" t="str">
        <f>"김*명"</f>
        <v>김*명</v>
      </c>
      <c r="M8" s="278">
        <v>8809879544118</v>
      </c>
      <c r="N8" s="274" t="s">
        <v>23</v>
      </c>
      <c r="O8" s="280">
        <v>1</v>
      </c>
      <c r="P8" s="170" t="s">
        <v>163</v>
      </c>
      <c r="Q8" s="25" t="s">
        <v>956</v>
      </c>
      <c r="R8" s="274" t="str">
        <f>"20260425-0000045"</f>
        <v>20260425-0000045</v>
      </c>
    </row>
    <row r="9" spans="1:19">
      <c r="A9" s="273" t="s">
        <v>39</v>
      </c>
      <c r="B9" s="277">
        <v>46139</v>
      </c>
      <c r="C9" s="274" t="s">
        <v>951</v>
      </c>
      <c r="D9" s="274" t="s">
        <v>279</v>
      </c>
      <c r="E9" s="274" t="s">
        <v>257</v>
      </c>
      <c r="F9" s="273">
        <v>92234417332</v>
      </c>
      <c r="G9" s="274" t="s">
        <v>769</v>
      </c>
      <c r="H9" s="274" t="s">
        <v>769</v>
      </c>
      <c r="I9" s="274" t="s">
        <v>293</v>
      </c>
      <c r="J9" s="274">
        <v>1</v>
      </c>
      <c r="K9" s="274" t="str">
        <f>"김*지"</f>
        <v>김*지</v>
      </c>
      <c r="L9" s="274" t="str">
        <f>"김*지"</f>
        <v>김*지</v>
      </c>
      <c r="M9" s="278">
        <v>8809879544101</v>
      </c>
      <c r="N9" s="274" t="s">
        <v>24</v>
      </c>
      <c r="O9" s="280">
        <v>2</v>
      </c>
      <c r="P9" s="170" t="s">
        <v>163</v>
      </c>
      <c r="Q9" s="25" t="s">
        <v>955</v>
      </c>
      <c r="R9" s="274" t="str">
        <f>"20260426-0000011"</f>
        <v>20260426-0000011</v>
      </c>
    </row>
    <row r="10" spans="1:19">
      <c r="A10" s="273" t="s">
        <v>39</v>
      </c>
      <c r="B10" s="277">
        <v>46139</v>
      </c>
      <c r="C10" s="274" t="s">
        <v>951</v>
      </c>
      <c r="D10" s="274" t="s">
        <v>279</v>
      </c>
      <c r="E10" s="274" t="s">
        <v>257</v>
      </c>
      <c r="F10" s="273">
        <v>92234417306</v>
      </c>
      <c r="G10" s="274" t="s">
        <v>768</v>
      </c>
      <c r="H10" s="274" t="s">
        <v>768</v>
      </c>
      <c r="I10" s="274" t="s">
        <v>293</v>
      </c>
      <c r="J10" s="274">
        <v>1</v>
      </c>
      <c r="K10" s="274" t="str">
        <f>"이*정"</f>
        <v>이*정</v>
      </c>
      <c r="L10" s="274" t="str">
        <f>"이*정"</f>
        <v>이*정</v>
      </c>
      <c r="M10" s="278">
        <v>8809879544101</v>
      </c>
      <c r="N10" s="274" t="s">
        <v>24</v>
      </c>
      <c r="O10" s="280">
        <v>2</v>
      </c>
      <c r="P10" s="170" t="s">
        <v>163</v>
      </c>
      <c r="Q10" s="25" t="s">
        <v>955</v>
      </c>
      <c r="R10" s="274" t="str">
        <f>"20260426-0000062"</f>
        <v>20260426-0000062</v>
      </c>
    </row>
    <row r="11" spans="1:19">
      <c r="A11" s="273" t="s">
        <v>39</v>
      </c>
      <c r="B11" s="277">
        <v>46139</v>
      </c>
      <c r="C11" s="274" t="s">
        <v>951</v>
      </c>
      <c r="D11" s="274" t="s">
        <v>279</v>
      </c>
      <c r="E11" s="274" t="s">
        <v>257</v>
      </c>
      <c r="F11" s="273">
        <v>92234417251</v>
      </c>
      <c r="G11" s="274" t="s">
        <v>767</v>
      </c>
      <c r="H11" s="274" t="s">
        <v>767</v>
      </c>
      <c r="I11" s="274" t="s">
        <v>293</v>
      </c>
      <c r="J11" s="274">
        <v>1</v>
      </c>
      <c r="K11" s="274" t="str">
        <f>"이*은"</f>
        <v>이*은</v>
      </c>
      <c r="L11" s="274" t="str">
        <f>"이*은"</f>
        <v>이*은</v>
      </c>
      <c r="M11" s="278">
        <v>8809879544101</v>
      </c>
      <c r="N11" s="274" t="s">
        <v>24</v>
      </c>
      <c r="O11" s="280">
        <v>2</v>
      </c>
      <c r="P11" s="170" t="s">
        <v>163</v>
      </c>
      <c r="Q11" s="25" t="s">
        <v>955</v>
      </c>
      <c r="R11" s="274" t="str">
        <f>"20260426-0000221"</f>
        <v>20260426-0000221</v>
      </c>
    </row>
    <row r="12" spans="1:19">
      <c r="A12" s="273" t="s">
        <v>39</v>
      </c>
      <c r="B12" s="277">
        <v>46139</v>
      </c>
      <c r="C12" s="274" t="s">
        <v>951</v>
      </c>
      <c r="D12" s="274" t="s">
        <v>279</v>
      </c>
      <c r="E12" s="274" t="s">
        <v>257</v>
      </c>
      <c r="F12" s="273">
        <v>92234417214</v>
      </c>
      <c r="G12" s="274" t="s">
        <v>766</v>
      </c>
      <c r="H12" s="274" t="s">
        <v>766</v>
      </c>
      <c r="I12" s="274" t="s">
        <v>293</v>
      </c>
      <c r="J12" s="274">
        <v>1</v>
      </c>
      <c r="K12" s="274" t="str">
        <f>"김*경"</f>
        <v>김*경</v>
      </c>
      <c r="L12" s="274" t="str">
        <f>"박*수"</f>
        <v>박*수</v>
      </c>
      <c r="M12" s="278">
        <v>8809879544101</v>
      </c>
      <c r="N12" s="274" t="s">
        <v>24</v>
      </c>
      <c r="O12" s="280">
        <v>2</v>
      </c>
      <c r="P12" s="170" t="s">
        <v>163</v>
      </c>
      <c r="Q12" s="25" t="s">
        <v>955</v>
      </c>
      <c r="R12" s="274" t="str">
        <f>"20260427-0000031"</f>
        <v>20260427-0000031</v>
      </c>
    </row>
    <row r="13" spans="1:19">
      <c r="A13" s="273" t="s">
        <v>39</v>
      </c>
      <c r="B13" s="277">
        <v>46139</v>
      </c>
      <c r="C13" s="274" t="s">
        <v>951</v>
      </c>
      <c r="D13" s="274" t="s">
        <v>279</v>
      </c>
      <c r="E13" s="274" t="s">
        <v>257</v>
      </c>
      <c r="F13" s="273">
        <v>92234417203</v>
      </c>
      <c r="G13" s="274" t="s">
        <v>761</v>
      </c>
      <c r="H13" s="274" t="s">
        <v>944</v>
      </c>
      <c r="I13" s="274" t="s">
        <v>280</v>
      </c>
      <c r="J13" s="274">
        <v>1</v>
      </c>
      <c r="K13" s="274" t="str">
        <f>"김*연"</f>
        <v>김*연</v>
      </c>
      <c r="L13" s="274" t="str">
        <f>"김*연"</f>
        <v>김*연</v>
      </c>
      <c r="M13" s="278">
        <v>8809879544101</v>
      </c>
      <c r="N13" s="274" t="s">
        <v>24</v>
      </c>
      <c r="O13" s="280">
        <v>1</v>
      </c>
      <c r="P13" s="170" t="s">
        <v>163</v>
      </c>
      <c r="Q13" s="25" t="s">
        <v>955</v>
      </c>
      <c r="R13" s="274" t="str">
        <f>"20260427-0000052"</f>
        <v>20260427-0000052</v>
      </c>
    </row>
    <row r="14" spans="1:19">
      <c r="A14" s="273" t="s">
        <v>39</v>
      </c>
      <c r="B14" s="277">
        <v>46139</v>
      </c>
      <c r="C14" s="274">
        <v>12423379709</v>
      </c>
      <c r="D14" s="274" t="s">
        <v>234</v>
      </c>
      <c r="E14" s="274" t="s">
        <v>754</v>
      </c>
      <c r="F14" s="273">
        <v>92234417634</v>
      </c>
      <c r="G14" s="274" t="s">
        <v>770</v>
      </c>
      <c r="H14" s="274" t="s">
        <v>770</v>
      </c>
      <c r="I14" s="274"/>
      <c r="J14" s="274">
        <v>2</v>
      </c>
      <c r="K14" s="274" t="str">
        <f>"김*주"</f>
        <v>김*주</v>
      </c>
      <c r="L14" s="274" t="str">
        <f>"김*주"</f>
        <v>김*주</v>
      </c>
      <c r="M14" s="278">
        <v>8809879544101</v>
      </c>
      <c r="N14" s="274" t="s">
        <v>24</v>
      </c>
      <c r="O14" s="280">
        <v>2</v>
      </c>
      <c r="P14" s="170" t="s">
        <v>163</v>
      </c>
      <c r="Q14" s="25" t="s">
        <v>956</v>
      </c>
      <c r="R14" s="274" t="str">
        <f>"2026042577184211"</f>
        <v>2026042577184211</v>
      </c>
    </row>
    <row r="15" spans="1:19">
      <c r="A15" s="273" t="s">
        <v>39</v>
      </c>
      <c r="B15" s="277">
        <v>46139</v>
      </c>
      <c r="C15" s="274" t="s">
        <v>953</v>
      </c>
      <c r="D15" s="274" t="s">
        <v>234</v>
      </c>
      <c r="E15" s="274" t="s">
        <v>257</v>
      </c>
      <c r="F15" s="273">
        <v>92234417660</v>
      </c>
      <c r="G15" s="274" t="s">
        <v>765</v>
      </c>
      <c r="H15" s="274" t="s">
        <v>765</v>
      </c>
      <c r="I15" s="274"/>
      <c r="J15" s="274">
        <v>1</v>
      </c>
      <c r="K15" s="274" t="str">
        <f>"*"</f>
        <v>*</v>
      </c>
      <c r="L15" s="274" t="str">
        <f>"*"</f>
        <v>*</v>
      </c>
      <c r="M15" s="278">
        <v>8809879544101</v>
      </c>
      <c r="N15" s="274" t="s">
        <v>24</v>
      </c>
      <c r="O15" s="280">
        <v>1</v>
      </c>
      <c r="P15" s="170" t="s">
        <v>163</v>
      </c>
      <c r="Q15" s="25" t="s">
        <v>956</v>
      </c>
      <c r="R15" s="274" t="str">
        <f>"20260425-0000019"</f>
        <v>20260425-0000019</v>
      </c>
    </row>
    <row r="16" spans="1:19">
      <c r="A16" s="273" t="s">
        <v>39</v>
      </c>
      <c r="B16" s="277">
        <v>46139</v>
      </c>
      <c r="C16" s="274" t="s">
        <v>953</v>
      </c>
      <c r="D16" s="274" t="s">
        <v>234</v>
      </c>
      <c r="E16" s="274" t="s">
        <v>257</v>
      </c>
      <c r="F16" s="273">
        <v>92234417656</v>
      </c>
      <c r="G16" s="274" t="s">
        <v>764</v>
      </c>
      <c r="H16" s="274" t="s">
        <v>764</v>
      </c>
      <c r="I16" s="274"/>
      <c r="J16" s="274">
        <v>1</v>
      </c>
      <c r="K16" s="274" t="str">
        <f>"양*아"</f>
        <v>양*아</v>
      </c>
      <c r="L16" s="274" t="str">
        <f>"양*아"</f>
        <v>양*아</v>
      </c>
      <c r="M16" s="278">
        <v>8809879544101</v>
      </c>
      <c r="N16" s="274" t="s">
        <v>24</v>
      </c>
      <c r="O16" s="280">
        <v>1</v>
      </c>
      <c r="P16" s="170" t="s">
        <v>163</v>
      </c>
      <c r="Q16" s="25" t="s">
        <v>956</v>
      </c>
      <c r="R16" s="274" t="str">
        <f>"20260425-0000031"</f>
        <v>20260425-0000031</v>
      </c>
    </row>
    <row r="17" spans="1:18">
      <c r="A17" s="273" t="s">
        <v>39</v>
      </c>
      <c r="B17" s="277">
        <v>46139</v>
      </c>
      <c r="C17" s="274" t="s">
        <v>951</v>
      </c>
      <c r="D17" s="274" t="s">
        <v>279</v>
      </c>
      <c r="E17" s="274" t="s">
        <v>257</v>
      </c>
      <c r="F17" s="273">
        <v>92234417586</v>
      </c>
      <c r="G17" s="274" t="s">
        <v>763</v>
      </c>
      <c r="H17" s="274" t="s">
        <v>763</v>
      </c>
      <c r="I17" s="274" t="s">
        <v>280</v>
      </c>
      <c r="J17" s="274">
        <v>1</v>
      </c>
      <c r="K17" s="274" t="str">
        <f>"박*선"</f>
        <v>박*선</v>
      </c>
      <c r="L17" s="274" t="str">
        <f>"박*선"</f>
        <v>박*선</v>
      </c>
      <c r="M17" s="278">
        <v>8809879544101</v>
      </c>
      <c r="N17" s="274" t="s">
        <v>24</v>
      </c>
      <c r="O17" s="280">
        <v>1</v>
      </c>
      <c r="P17" s="170" t="s">
        <v>163</v>
      </c>
      <c r="Q17" s="25" t="s">
        <v>955</v>
      </c>
      <c r="R17" s="274" t="str">
        <f>"20260426-0000091"</f>
        <v>20260426-0000091</v>
      </c>
    </row>
    <row r="18" spans="1:18">
      <c r="A18" s="273" t="s">
        <v>39</v>
      </c>
      <c r="B18" s="277">
        <v>46139</v>
      </c>
      <c r="C18" s="274" t="s">
        <v>951</v>
      </c>
      <c r="D18" s="274" t="s">
        <v>279</v>
      </c>
      <c r="E18" s="274" t="s">
        <v>257</v>
      </c>
      <c r="F18" s="273">
        <v>92234417435</v>
      </c>
      <c r="G18" s="274" t="s">
        <v>762</v>
      </c>
      <c r="H18" s="274" t="s">
        <v>762</v>
      </c>
      <c r="I18" s="274" t="s">
        <v>280</v>
      </c>
      <c r="J18" s="274">
        <v>1</v>
      </c>
      <c r="K18" s="274" t="str">
        <f>"한*연"</f>
        <v>한*연</v>
      </c>
      <c r="L18" s="274" t="str">
        <f>"한*연"</f>
        <v>한*연</v>
      </c>
      <c r="M18" s="278">
        <v>8809879544101</v>
      </c>
      <c r="N18" s="274" t="s">
        <v>24</v>
      </c>
      <c r="O18" s="280">
        <v>1</v>
      </c>
      <c r="P18" s="170" t="s">
        <v>163</v>
      </c>
      <c r="Q18" s="25" t="s">
        <v>955</v>
      </c>
      <c r="R18" s="274" t="str">
        <f>"20260426-0000115"</f>
        <v>20260426-0000115</v>
      </c>
    </row>
    <row r="19" spans="1:18">
      <c r="A19" s="273" t="s">
        <v>39</v>
      </c>
      <c r="B19" s="277">
        <v>46136</v>
      </c>
      <c r="C19" s="274" t="s">
        <v>951</v>
      </c>
      <c r="D19" s="274" t="s">
        <v>279</v>
      </c>
      <c r="E19" s="274" t="s">
        <v>257</v>
      </c>
      <c r="F19" s="273">
        <v>92234383113</v>
      </c>
      <c r="G19" s="274" t="s">
        <v>773</v>
      </c>
      <c r="H19" s="274" t="s">
        <v>773</v>
      </c>
      <c r="I19" s="274" t="s">
        <v>293</v>
      </c>
      <c r="J19" s="274">
        <v>1</v>
      </c>
      <c r="K19" s="274" t="str">
        <f>"채*민"</f>
        <v>채*민</v>
      </c>
      <c r="L19" s="274" t="str">
        <f>"채*민"</f>
        <v>채*민</v>
      </c>
      <c r="M19" s="278">
        <v>8809879544101</v>
      </c>
      <c r="N19" s="274" t="s">
        <v>24</v>
      </c>
      <c r="O19" s="280">
        <v>2</v>
      </c>
      <c r="P19" s="170" t="s">
        <v>163</v>
      </c>
      <c r="Q19" s="25" t="s">
        <v>955</v>
      </c>
      <c r="R19" s="274" t="str">
        <f>"20260424-0000051"</f>
        <v>20260424-0000051</v>
      </c>
    </row>
    <row r="20" spans="1:18">
      <c r="A20" s="273" t="s">
        <v>39</v>
      </c>
      <c r="B20" s="277">
        <v>46136</v>
      </c>
      <c r="C20" s="274" t="s">
        <v>951</v>
      </c>
      <c r="D20" s="274" t="s">
        <v>279</v>
      </c>
      <c r="E20" s="274" t="s">
        <v>257</v>
      </c>
      <c r="F20" s="273">
        <v>92234383102</v>
      </c>
      <c r="G20" s="274" t="s">
        <v>774</v>
      </c>
      <c r="H20" s="274" t="s">
        <v>774</v>
      </c>
      <c r="I20" s="274" t="s">
        <v>293</v>
      </c>
      <c r="J20" s="274">
        <v>1</v>
      </c>
      <c r="K20" s="274" t="str">
        <f>"오*아"</f>
        <v>오*아</v>
      </c>
      <c r="L20" s="274" t="str">
        <f>"오*아"</f>
        <v>오*아</v>
      </c>
      <c r="M20" s="278">
        <v>8809879544101</v>
      </c>
      <c r="N20" s="274" t="s">
        <v>24</v>
      </c>
      <c r="O20" s="280">
        <v>2</v>
      </c>
      <c r="P20" s="170" t="s">
        <v>163</v>
      </c>
      <c r="Q20" s="25" t="s">
        <v>955</v>
      </c>
      <c r="R20" s="274" t="str">
        <f>"20260424-0000065"</f>
        <v>20260424-0000065</v>
      </c>
    </row>
    <row r="21" spans="1:18">
      <c r="A21" s="273" t="s">
        <v>39</v>
      </c>
      <c r="B21" s="277">
        <v>46136</v>
      </c>
      <c r="C21" s="274" t="s">
        <v>951</v>
      </c>
      <c r="D21" s="274" t="s">
        <v>279</v>
      </c>
      <c r="E21" s="274" t="s">
        <v>257</v>
      </c>
      <c r="F21" s="273">
        <v>92234367061</v>
      </c>
      <c r="G21" s="274" t="s">
        <v>772</v>
      </c>
      <c r="H21" s="274" t="s">
        <v>772</v>
      </c>
      <c r="I21" s="274" t="s">
        <v>293</v>
      </c>
      <c r="J21" s="274">
        <v>1</v>
      </c>
      <c r="K21" s="274" t="str">
        <f>"김*희"</f>
        <v>김*희</v>
      </c>
      <c r="L21" s="274" t="str">
        <f>"김*희"</f>
        <v>김*희</v>
      </c>
      <c r="M21" s="278">
        <v>8809879544101</v>
      </c>
      <c r="N21" s="274" t="s">
        <v>24</v>
      </c>
      <c r="O21" s="280">
        <v>2</v>
      </c>
      <c r="P21" s="170" t="s">
        <v>163</v>
      </c>
      <c r="Q21" s="25" t="s">
        <v>955</v>
      </c>
      <c r="R21" s="274" t="str">
        <f>"20260423-0000261"</f>
        <v>20260423-0000261</v>
      </c>
    </row>
    <row r="22" spans="1:18">
      <c r="A22" s="273" t="s">
        <v>39</v>
      </c>
      <c r="B22" s="277">
        <v>46136</v>
      </c>
      <c r="C22" s="274" t="s">
        <v>953</v>
      </c>
      <c r="D22" s="274" t="s">
        <v>234</v>
      </c>
      <c r="E22" s="274" t="s">
        <v>258</v>
      </c>
      <c r="F22" s="273">
        <v>92234367050</v>
      </c>
      <c r="G22" s="274" t="s">
        <v>771</v>
      </c>
      <c r="H22" s="274" t="s">
        <v>945</v>
      </c>
      <c r="I22" s="274"/>
      <c r="J22" s="274">
        <v>1</v>
      </c>
      <c r="K22" s="274" t="str">
        <f>"도*(네****인)"</f>
        <v>도*(네****인)</v>
      </c>
      <c r="L22" s="274" t="str">
        <f>"이*기"</f>
        <v>이*기</v>
      </c>
      <c r="M22" s="278">
        <v>8809879544101</v>
      </c>
      <c r="N22" s="274" t="s">
        <v>24</v>
      </c>
      <c r="O22" s="280">
        <v>1</v>
      </c>
      <c r="P22" s="150" t="s">
        <v>199</v>
      </c>
      <c r="Q22" s="25" t="s">
        <v>954</v>
      </c>
      <c r="R22" s="274" t="str">
        <f>"20260424-0000043"</f>
        <v>20260424-0000043</v>
      </c>
    </row>
    <row r="23" spans="1:18">
      <c r="A23" s="273" t="s">
        <v>39</v>
      </c>
      <c r="B23" s="277">
        <v>46136</v>
      </c>
      <c r="C23" s="274" t="s">
        <v>952</v>
      </c>
      <c r="D23" s="274" t="s">
        <v>46</v>
      </c>
      <c r="E23" s="274" t="s">
        <v>258</v>
      </c>
      <c r="F23" s="273">
        <v>92234367050</v>
      </c>
      <c r="G23" s="274" t="s">
        <v>771</v>
      </c>
      <c r="H23" s="274" t="s">
        <v>945</v>
      </c>
      <c r="I23" s="274"/>
      <c r="J23" s="274">
        <v>1</v>
      </c>
      <c r="K23" s="274" t="str">
        <f>"도*(네****인)"</f>
        <v>도*(네****인)</v>
      </c>
      <c r="L23" s="274" t="str">
        <f>"이*기"</f>
        <v>이*기</v>
      </c>
      <c r="M23" s="278">
        <v>8809879544118</v>
      </c>
      <c r="N23" s="274" t="s">
        <v>23</v>
      </c>
      <c r="O23" s="280">
        <v>1</v>
      </c>
      <c r="P23" s="150" t="s">
        <v>199</v>
      </c>
      <c r="Q23" s="25" t="s">
        <v>954</v>
      </c>
      <c r="R23" s="274" t="str">
        <f>"20260424-0000043"</f>
        <v>20260424-0000043</v>
      </c>
    </row>
    <row r="24" spans="1:18">
      <c r="A24" s="273" t="s">
        <v>39</v>
      </c>
      <c r="B24" s="277">
        <v>46135</v>
      </c>
      <c r="C24" s="274" t="s">
        <v>951</v>
      </c>
      <c r="D24" s="274" t="s">
        <v>279</v>
      </c>
      <c r="E24" s="274" t="s">
        <v>257</v>
      </c>
      <c r="F24" s="273">
        <v>92234346783</v>
      </c>
      <c r="G24" s="274" t="s">
        <v>778</v>
      </c>
      <c r="H24" s="274" t="s">
        <v>778</v>
      </c>
      <c r="I24" s="274" t="s">
        <v>293</v>
      </c>
      <c r="J24" s="274">
        <v>1</v>
      </c>
      <c r="K24" s="274" t="str">
        <f>"엄*리"</f>
        <v>엄*리</v>
      </c>
      <c r="L24" s="274" t="str">
        <f>"엄*리"</f>
        <v>엄*리</v>
      </c>
      <c r="M24" s="278">
        <v>8809879544101</v>
      </c>
      <c r="N24" s="274" t="s">
        <v>24</v>
      </c>
      <c r="O24" s="280">
        <v>2</v>
      </c>
      <c r="P24" s="170" t="s">
        <v>163</v>
      </c>
      <c r="Q24" s="25" t="s">
        <v>955</v>
      </c>
      <c r="R24" s="274" t="str">
        <f>"20260423-0000201"</f>
        <v>20260423-0000201</v>
      </c>
    </row>
    <row r="25" spans="1:18">
      <c r="A25" s="273" t="s">
        <v>39</v>
      </c>
      <c r="B25" s="277">
        <v>46135</v>
      </c>
      <c r="C25" s="274" t="s">
        <v>951</v>
      </c>
      <c r="D25" s="274" t="s">
        <v>279</v>
      </c>
      <c r="E25" s="274" t="s">
        <v>257</v>
      </c>
      <c r="F25" s="273">
        <v>92234346772</v>
      </c>
      <c r="G25" s="274" t="s">
        <v>777</v>
      </c>
      <c r="H25" s="274" t="s">
        <v>777</v>
      </c>
      <c r="I25" s="274" t="s">
        <v>293</v>
      </c>
      <c r="J25" s="274">
        <v>1</v>
      </c>
      <c r="K25" s="274" t="str">
        <f>"김*연"</f>
        <v>김*연</v>
      </c>
      <c r="L25" s="274" t="str">
        <f>"김*연"</f>
        <v>김*연</v>
      </c>
      <c r="M25" s="278">
        <v>8809879544101</v>
      </c>
      <c r="N25" s="274" t="s">
        <v>24</v>
      </c>
      <c r="O25" s="280">
        <v>2</v>
      </c>
      <c r="P25" s="170" t="s">
        <v>163</v>
      </c>
      <c r="Q25" s="25" t="s">
        <v>955</v>
      </c>
      <c r="R25" s="274" t="str">
        <f>"20260423-0000164"</f>
        <v>20260423-0000164</v>
      </c>
    </row>
    <row r="26" spans="1:18">
      <c r="A26" s="273" t="s">
        <v>39</v>
      </c>
      <c r="B26" s="277">
        <v>46135</v>
      </c>
      <c r="C26" s="274" t="s">
        <v>951</v>
      </c>
      <c r="D26" s="274" t="s">
        <v>279</v>
      </c>
      <c r="E26" s="274" t="s">
        <v>257</v>
      </c>
      <c r="F26" s="273">
        <v>92234329515</v>
      </c>
      <c r="G26" s="274" t="s">
        <v>779</v>
      </c>
      <c r="H26" s="274" t="s">
        <v>779</v>
      </c>
      <c r="I26" s="274" t="s">
        <v>293</v>
      </c>
      <c r="J26" s="274">
        <v>1</v>
      </c>
      <c r="K26" s="274" t="str">
        <f>"윤*영"</f>
        <v>윤*영</v>
      </c>
      <c r="L26" s="274" t="str">
        <f>"윤*영"</f>
        <v>윤*영</v>
      </c>
      <c r="M26" s="278">
        <v>8809879544101</v>
      </c>
      <c r="N26" s="274" t="s">
        <v>24</v>
      </c>
      <c r="O26" s="280">
        <v>2</v>
      </c>
      <c r="P26" s="170" t="s">
        <v>163</v>
      </c>
      <c r="Q26" s="25" t="s">
        <v>955</v>
      </c>
      <c r="R26" s="274" t="str">
        <f>"20260422-0000144"</f>
        <v>20260422-0000144</v>
      </c>
    </row>
    <row r="27" spans="1:18">
      <c r="A27" s="273" t="s">
        <v>39</v>
      </c>
      <c r="B27" s="277">
        <v>46135</v>
      </c>
      <c r="C27" s="274" t="s">
        <v>951</v>
      </c>
      <c r="D27" s="274" t="s">
        <v>279</v>
      </c>
      <c r="E27" s="274" t="s">
        <v>257</v>
      </c>
      <c r="F27" s="273">
        <v>92234346805</v>
      </c>
      <c r="G27" s="274" t="s">
        <v>776</v>
      </c>
      <c r="H27" s="274" t="s">
        <v>776</v>
      </c>
      <c r="I27" s="274" t="s">
        <v>280</v>
      </c>
      <c r="J27" s="274">
        <v>1</v>
      </c>
      <c r="K27" s="274" t="str">
        <f>"박*혜"</f>
        <v>박*혜</v>
      </c>
      <c r="L27" s="274" t="str">
        <f>"박*혜"</f>
        <v>박*혜</v>
      </c>
      <c r="M27" s="278">
        <v>8809879544101</v>
      </c>
      <c r="N27" s="274" t="s">
        <v>24</v>
      </c>
      <c r="O27" s="280">
        <v>1</v>
      </c>
      <c r="P27" s="170" t="s">
        <v>163</v>
      </c>
      <c r="Q27" s="25" t="s">
        <v>955</v>
      </c>
      <c r="R27" s="274" t="str">
        <f>"20260423-0000102"</f>
        <v>20260423-0000102</v>
      </c>
    </row>
    <row r="28" spans="1:18">
      <c r="A28" s="273" t="s">
        <v>39</v>
      </c>
      <c r="B28" s="277">
        <v>46135</v>
      </c>
      <c r="C28" s="274" t="s">
        <v>951</v>
      </c>
      <c r="D28" s="274" t="s">
        <v>279</v>
      </c>
      <c r="E28" s="274" t="s">
        <v>257</v>
      </c>
      <c r="F28" s="273">
        <v>92234329541</v>
      </c>
      <c r="G28" s="274" t="s">
        <v>775</v>
      </c>
      <c r="H28" s="274" t="s">
        <v>775</v>
      </c>
      <c r="I28" s="274" t="s">
        <v>280</v>
      </c>
      <c r="J28" s="274">
        <v>1</v>
      </c>
      <c r="K28" s="274" t="str">
        <f>"윤*정"</f>
        <v>윤*정</v>
      </c>
      <c r="L28" s="274" t="str">
        <f>"윤*정"</f>
        <v>윤*정</v>
      </c>
      <c r="M28" s="278">
        <v>8809879544101</v>
      </c>
      <c r="N28" s="274" t="s">
        <v>24</v>
      </c>
      <c r="O28" s="280">
        <v>1</v>
      </c>
      <c r="P28" s="170" t="s">
        <v>163</v>
      </c>
      <c r="Q28" s="25" t="s">
        <v>955</v>
      </c>
      <c r="R28" s="274" t="str">
        <f>"20260423-0000014"</f>
        <v>20260423-0000014</v>
      </c>
    </row>
    <row r="29" spans="1:18">
      <c r="A29" s="273" t="s">
        <v>39</v>
      </c>
      <c r="B29" s="277">
        <v>46134</v>
      </c>
      <c r="C29" s="274" t="s">
        <v>951</v>
      </c>
      <c r="D29" s="274" t="s">
        <v>279</v>
      </c>
      <c r="E29" s="274" t="s">
        <v>257</v>
      </c>
      <c r="F29" s="273">
        <v>92234309016</v>
      </c>
      <c r="G29" s="274" t="s">
        <v>786</v>
      </c>
      <c r="H29" s="274" t="s">
        <v>786</v>
      </c>
      <c r="I29" s="274" t="s">
        <v>293</v>
      </c>
      <c r="J29" s="274">
        <v>1</v>
      </c>
      <c r="K29" s="274" t="str">
        <f>"함*민"</f>
        <v>함*민</v>
      </c>
      <c r="L29" s="274" t="str">
        <f>"함*민"</f>
        <v>함*민</v>
      </c>
      <c r="M29" s="278">
        <v>8809879544101</v>
      </c>
      <c r="N29" s="274" t="s">
        <v>24</v>
      </c>
      <c r="O29" s="280">
        <v>2</v>
      </c>
      <c r="P29" s="170" t="s">
        <v>163</v>
      </c>
      <c r="Q29" s="25" t="s">
        <v>955</v>
      </c>
      <c r="R29" s="274" t="str">
        <f>"20260422-0000082"</f>
        <v>20260422-0000082</v>
      </c>
    </row>
    <row r="30" spans="1:18">
      <c r="A30" s="273" t="s">
        <v>39</v>
      </c>
      <c r="B30" s="277">
        <v>46134</v>
      </c>
      <c r="C30" s="274" t="s">
        <v>951</v>
      </c>
      <c r="D30" s="274" t="s">
        <v>279</v>
      </c>
      <c r="E30" s="274" t="s">
        <v>257</v>
      </c>
      <c r="F30" s="273">
        <v>92234299404</v>
      </c>
      <c r="G30" s="274" t="s">
        <v>783</v>
      </c>
      <c r="H30" s="274" t="s">
        <v>783</v>
      </c>
      <c r="I30" s="274" t="s">
        <v>293</v>
      </c>
      <c r="J30" s="274">
        <v>1</v>
      </c>
      <c r="K30" s="274" t="str">
        <f>"황*순"</f>
        <v>황*순</v>
      </c>
      <c r="L30" s="274" t="str">
        <f>"황*순"</f>
        <v>황*순</v>
      </c>
      <c r="M30" s="278">
        <v>8809879544101</v>
      </c>
      <c r="N30" s="274" t="s">
        <v>24</v>
      </c>
      <c r="O30" s="280">
        <v>2</v>
      </c>
      <c r="P30" s="170" t="s">
        <v>163</v>
      </c>
      <c r="Q30" s="25" t="s">
        <v>955</v>
      </c>
      <c r="R30" s="274" t="str">
        <f>"20260421-0000231"</f>
        <v>20260421-0000231</v>
      </c>
    </row>
    <row r="31" spans="1:18">
      <c r="A31" s="273" t="s">
        <v>39</v>
      </c>
      <c r="B31" s="277">
        <v>46134</v>
      </c>
      <c r="C31" s="274" t="s">
        <v>951</v>
      </c>
      <c r="D31" s="274" t="s">
        <v>279</v>
      </c>
      <c r="E31" s="274" t="s">
        <v>257</v>
      </c>
      <c r="F31" s="273">
        <v>92234299393</v>
      </c>
      <c r="G31" s="274" t="s">
        <v>784</v>
      </c>
      <c r="H31" s="274" t="s">
        <v>784</v>
      </c>
      <c r="I31" s="274" t="s">
        <v>295</v>
      </c>
      <c r="J31" s="274">
        <v>1</v>
      </c>
      <c r="K31" s="274" t="str">
        <f>"홍*영"</f>
        <v>홍*영</v>
      </c>
      <c r="L31" s="274" t="str">
        <f>"홍*영"</f>
        <v>홍*영</v>
      </c>
      <c r="M31" s="278">
        <v>8809879544101</v>
      </c>
      <c r="N31" s="274" t="s">
        <v>24</v>
      </c>
      <c r="O31" s="280">
        <v>3</v>
      </c>
      <c r="P31" s="170" t="s">
        <v>163</v>
      </c>
      <c r="Q31" s="25" t="s">
        <v>955</v>
      </c>
      <c r="R31" s="274" t="str">
        <f>"20260422-0000024"</f>
        <v>20260422-0000024</v>
      </c>
    </row>
    <row r="32" spans="1:18">
      <c r="A32" s="273" t="s">
        <v>39</v>
      </c>
      <c r="B32" s="277">
        <v>46134</v>
      </c>
      <c r="C32" s="274" t="s">
        <v>951</v>
      </c>
      <c r="D32" s="274" t="s">
        <v>279</v>
      </c>
      <c r="E32" s="274" t="s">
        <v>257</v>
      </c>
      <c r="F32" s="273">
        <v>92234309042</v>
      </c>
      <c r="G32" s="274" t="s">
        <v>785</v>
      </c>
      <c r="H32" s="274" t="s">
        <v>785</v>
      </c>
      <c r="I32" s="274" t="s">
        <v>280</v>
      </c>
      <c r="J32" s="274">
        <v>1</v>
      </c>
      <c r="K32" s="274" t="str">
        <f>"이*슬"</f>
        <v>이*슬</v>
      </c>
      <c r="L32" s="274" t="str">
        <f>"이*슬"</f>
        <v>이*슬</v>
      </c>
      <c r="M32" s="278">
        <v>8809879544101</v>
      </c>
      <c r="N32" s="274" t="s">
        <v>24</v>
      </c>
      <c r="O32" s="280">
        <v>1</v>
      </c>
      <c r="P32" s="170" t="s">
        <v>163</v>
      </c>
      <c r="Q32" s="25" t="s">
        <v>955</v>
      </c>
      <c r="R32" s="274" t="str">
        <f>"20260422-0000092"</f>
        <v>20260422-0000092</v>
      </c>
    </row>
    <row r="33" spans="1:18">
      <c r="A33" s="273" t="s">
        <v>39</v>
      </c>
      <c r="B33" s="277">
        <v>46134</v>
      </c>
      <c r="C33" s="274" t="s">
        <v>951</v>
      </c>
      <c r="D33" s="274" t="s">
        <v>279</v>
      </c>
      <c r="E33" s="274" t="s">
        <v>257</v>
      </c>
      <c r="F33" s="273">
        <v>92234299474</v>
      </c>
      <c r="G33" s="274" t="s">
        <v>782</v>
      </c>
      <c r="H33" s="274" t="s">
        <v>782</v>
      </c>
      <c r="I33" s="274" t="s">
        <v>280</v>
      </c>
      <c r="J33" s="274">
        <v>1</v>
      </c>
      <c r="K33" s="274" t="str">
        <f>"임*주"</f>
        <v>임*주</v>
      </c>
      <c r="L33" s="274" t="str">
        <f>"임*주"</f>
        <v>임*주</v>
      </c>
      <c r="M33" s="278">
        <v>8809879544101</v>
      </c>
      <c r="N33" s="274" t="s">
        <v>24</v>
      </c>
      <c r="O33" s="280">
        <v>1</v>
      </c>
      <c r="P33" s="170" t="s">
        <v>163</v>
      </c>
      <c r="Q33" s="25" t="s">
        <v>955</v>
      </c>
      <c r="R33" s="274" t="str">
        <f>"20260421-0000244"</f>
        <v>20260421-0000244</v>
      </c>
    </row>
    <row r="34" spans="1:18">
      <c r="A34" s="273" t="s">
        <v>39</v>
      </c>
      <c r="B34" s="277">
        <v>46134</v>
      </c>
      <c r="C34" s="274" t="s">
        <v>951</v>
      </c>
      <c r="D34" s="274" t="s">
        <v>279</v>
      </c>
      <c r="E34" s="274" t="s">
        <v>257</v>
      </c>
      <c r="F34" s="273">
        <v>92234299441</v>
      </c>
      <c r="G34" s="274" t="s">
        <v>781</v>
      </c>
      <c r="H34" s="274" t="s">
        <v>781</v>
      </c>
      <c r="I34" s="274" t="s">
        <v>280</v>
      </c>
      <c r="J34" s="274">
        <v>1</v>
      </c>
      <c r="K34" s="274" t="str">
        <f>"조*은"</f>
        <v>조*은</v>
      </c>
      <c r="L34" s="274" t="str">
        <f>"조*은"</f>
        <v>조*은</v>
      </c>
      <c r="M34" s="278">
        <v>8809879544101</v>
      </c>
      <c r="N34" s="274" t="s">
        <v>24</v>
      </c>
      <c r="O34" s="280">
        <v>1</v>
      </c>
      <c r="P34" s="170" t="s">
        <v>163</v>
      </c>
      <c r="Q34" s="25" t="s">
        <v>955</v>
      </c>
      <c r="R34" s="274" t="str">
        <f>"20260422-0000037"</f>
        <v>20260422-0000037</v>
      </c>
    </row>
    <row r="35" spans="1:18">
      <c r="A35" s="273" t="s">
        <v>39</v>
      </c>
      <c r="B35" s="277">
        <v>46134</v>
      </c>
      <c r="C35" s="274" t="s">
        <v>951</v>
      </c>
      <c r="D35" s="274" t="s">
        <v>279</v>
      </c>
      <c r="E35" s="274" t="s">
        <v>257</v>
      </c>
      <c r="F35" s="273">
        <v>92234299426</v>
      </c>
      <c r="G35" s="274" t="s">
        <v>780</v>
      </c>
      <c r="H35" s="274" t="s">
        <v>780</v>
      </c>
      <c r="I35" s="274" t="s">
        <v>280</v>
      </c>
      <c r="J35" s="274">
        <v>1</v>
      </c>
      <c r="K35" s="274" t="str">
        <f>"윤*비"</f>
        <v>윤*비</v>
      </c>
      <c r="L35" s="274" t="str">
        <f>"윤*비"</f>
        <v>윤*비</v>
      </c>
      <c r="M35" s="278">
        <v>8809879544101</v>
      </c>
      <c r="N35" s="274" t="s">
        <v>24</v>
      </c>
      <c r="O35" s="280">
        <v>1</v>
      </c>
      <c r="P35" s="170" t="s">
        <v>163</v>
      </c>
      <c r="Q35" s="25" t="s">
        <v>955</v>
      </c>
      <c r="R35" s="274" t="str">
        <f>"20260422-0000068"</f>
        <v>20260422-0000068</v>
      </c>
    </row>
    <row r="36" spans="1:18">
      <c r="A36" s="273" t="s">
        <v>39</v>
      </c>
      <c r="B36" s="277">
        <v>46133</v>
      </c>
      <c r="C36" s="274" t="s">
        <v>951</v>
      </c>
      <c r="D36" s="274" t="s">
        <v>279</v>
      </c>
      <c r="E36" s="274" t="s">
        <v>257</v>
      </c>
      <c r="F36" s="273">
        <v>92234266095</v>
      </c>
      <c r="G36" s="274" t="s">
        <v>796</v>
      </c>
      <c r="H36" s="274" t="s">
        <v>796</v>
      </c>
      <c r="I36" s="274" t="s">
        <v>295</v>
      </c>
      <c r="J36" s="274">
        <v>1</v>
      </c>
      <c r="K36" s="274" t="str">
        <f>"박*하"</f>
        <v>박*하</v>
      </c>
      <c r="L36" s="274" t="str">
        <f>"박*하"</f>
        <v>박*하</v>
      </c>
      <c r="M36" s="278">
        <v>8809879544101</v>
      </c>
      <c r="N36" s="274" t="s">
        <v>24</v>
      </c>
      <c r="O36" s="280">
        <v>3</v>
      </c>
      <c r="P36" s="170" t="s">
        <v>163</v>
      </c>
      <c r="Q36" s="25" t="s">
        <v>955</v>
      </c>
      <c r="R36" s="274" t="str">
        <f>"20260421-0000082"</f>
        <v>20260421-0000082</v>
      </c>
    </row>
    <row r="37" spans="1:18">
      <c r="A37" s="273" t="s">
        <v>39</v>
      </c>
      <c r="B37" s="277">
        <v>46133</v>
      </c>
      <c r="C37" s="274" t="s">
        <v>951</v>
      </c>
      <c r="D37" s="274" t="s">
        <v>279</v>
      </c>
      <c r="E37" s="274" t="s">
        <v>257</v>
      </c>
      <c r="F37" s="273">
        <v>92234266084</v>
      </c>
      <c r="G37" s="274" t="s">
        <v>795</v>
      </c>
      <c r="H37" s="274" t="s">
        <v>795</v>
      </c>
      <c r="I37" s="274" t="s">
        <v>293</v>
      </c>
      <c r="J37" s="274">
        <v>1</v>
      </c>
      <c r="K37" s="274" t="str">
        <f>"장*아"</f>
        <v>장*아</v>
      </c>
      <c r="L37" s="274" t="str">
        <f>"장*아"</f>
        <v>장*아</v>
      </c>
      <c r="M37" s="278">
        <v>8809879544101</v>
      </c>
      <c r="N37" s="274" t="s">
        <v>24</v>
      </c>
      <c r="O37" s="280">
        <v>2</v>
      </c>
      <c r="P37" s="170" t="s">
        <v>163</v>
      </c>
      <c r="Q37" s="25" t="s">
        <v>955</v>
      </c>
      <c r="R37" s="274" t="str">
        <f>"20260421-0000101"</f>
        <v>20260421-0000101</v>
      </c>
    </row>
    <row r="38" spans="1:18">
      <c r="A38" s="273" t="s">
        <v>39</v>
      </c>
      <c r="B38" s="277">
        <v>46133</v>
      </c>
      <c r="C38" s="274" t="s">
        <v>951</v>
      </c>
      <c r="D38" s="274" t="s">
        <v>279</v>
      </c>
      <c r="E38" s="274" t="s">
        <v>257</v>
      </c>
      <c r="F38" s="273">
        <v>92234266073</v>
      </c>
      <c r="G38" s="274" t="s">
        <v>797</v>
      </c>
      <c r="H38" s="274" t="s">
        <v>797</v>
      </c>
      <c r="I38" s="274" t="s">
        <v>295</v>
      </c>
      <c r="J38" s="274">
        <v>1</v>
      </c>
      <c r="K38" s="274" t="str">
        <f>"박*하"</f>
        <v>박*하</v>
      </c>
      <c r="L38" s="274" t="str">
        <f>"박*하"</f>
        <v>박*하</v>
      </c>
      <c r="M38" s="278">
        <v>8809879544101</v>
      </c>
      <c r="N38" s="274" t="s">
        <v>24</v>
      </c>
      <c r="O38" s="280">
        <v>3</v>
      </c>
      <c r="P38" s="170" t="s">
        <v>163</v>
      </c>
      <c r="Q38" s="25" t="s">
        <v>955</v>
      </c>
      <c r="R38" s="274" t="str">
        <f>"20260421-0000121"</f>
        <v>20260421-0000121</v>
      </c>
    </row>
    <row r="39" spans="1:18">
      <c r="A39" s="273" t="s">
        <v>39</v>
      </c>
      <c r="B39" s="277">
        <v>46133</v>
      </c>
      <c r="C39" s="274" t="s">
        <v>951</v>
      </c>
      <c r="D39" s="274" t="s">
        <v>279</v>
      </c>
      <c r="E39" s="274" t="s">
        <v>257</v>
      </c>
      <c r="F39" s="273">
        <v>92234266062</v>
      </c>
      <c r="G39" s="274" t="s">
        <v>794</v>
      </c>
      <c r="H39" s="274" t="s">
        <v>794</v>
      </c>
      <c r="I39" s="274" t="s">
        <v>293</v>
      </c>
      <c r="J39" s="274">
        <v>1</v>
      </c>
      <c r="K39" s="274" t="str">
        <f>"이*윤"</f>
        <v>이*윤</v>
      </c>
      <c r="L39" s="274" t="str">
        <f>"이*윤"</f>
        <v>이*윤</v>
      </c>
      <c r="M39" s="278">
        <v>8809879544101</v>
      </c>
      <c r="N39" s="274" t="s">
        <v>24</v>
      </c>
      <c r="O39" s="280">
        <v>2</v>
      </c>
      <c r="P39" s="170" t="s">
        <v>163</v>
      </c>
      <c r="Q39" s="25" t="s">
        <v>955</v>
      </c>
      <c r="R39" s="274" t="str">
        <f>"20260421-0000164"</f>
        <v>20260421-0000164</v>
      </c>
    </row>
    <row r="40" spans="1:18">
      <c r="A40" s="273" t="s">
        <v>39</v>
      </c>
      <c r="B40" s="277">
        <v>46133</v>
      </c>
      <c r="C40" s="274" t="s">
        <v>951</v>
      </c>
      <c r="D40" s="274" t="s">
        <v>279</v>
      </c>
      <c r="E40" s="274" t="s">
        <v>257</v>
      </c>
      <c r="F40" s="273">
        <v>92234241293</v>
      </c>
      <c r="G40" s="274" t="s">
        <v>791</v>
      </c>
      <c r="H40" s="274" t="s">
        <v>791</v>
      </c>
      <c r="I40" s="274" t="s">
        <v>293</v>
      </c>
      <c r="J40" s="274">
        <v>1</v>
      </c>
      <c r="K40" s="274" t="str">
        <f>"임*묵"</f>
        <v>임*묵</v>
      </c>
      <c r="L40" s="274" t="str">
        <f>"최*순"</f>
        <v>최*순</v>
      </c>
      <c r="M40" s="278">
        <v>8809879544101</v>
      </c>
      <c r="N40" s="274" t="s">
        <v>24</v>
      </c>
      <c r="O40" s="280">
        <v>2</v>
      </c>
      <c r="P40" s="170" t="s">
        <v>163</v>
      </c>
      <c r="Q40" s="25" t="s">
        <v>955</v>
      </c>
      <c r="R40" s="274" t="str">
        <f>"20260421-0000069"</f>
        <v>20260421-0000069</v>
      </c>
    </row>
    <row r="41" spans="1:18">
      <c r="A41" s="273" t="s">
        <v>39</v>
      </c>
      <c r="B41" s="277">
        <v>46133</v>
      </c>
      <c r="C41" s="274" t="s">
        <v>951</v>
      </c>
      <c r="D41" s="274" t="s">
        <v>279</v>
      </c>
      <c r="E41" s="274" t="s">
        <v>257</v>
      </c>
      <c r="F41" s="273">
        <v>92234266154</v>
      </c>
      <c r="G41" s="274" t="s">
        <v>793</v>
      </c>
      <c r="H41" s="274" t="s">
        <v>793</v>
      </c>
      <c r="I41" s="274" t="s">
        <v>280</v>
      </c>
      <c r="J41" s="274">
        <v>1</v>
      </c>
      <c r="K41" s="274" t="str">
        <f>"김*조"</f>
        <v>김*조</v>
      </c>
      <c r="L41" s="274" t="str">
        <f>"김*조"</f>
        <v>김*조</v>
      </c>
      <c r="M41" s="278">
        <v>8809879544101</v>
      </c>
      <c r="N41" s="274" t="s">
        <v>24</v>
      </c>
      <c r="O41" s="280">
        <v>1</v>
      </c>
      <c r="P41" s="170" t="s">
        <v>163</v>
      </c>
      <c r="Q41" s="25" t="s">
        <v>955</v>
      </c>
      <c r="R41" s="274" t="str">
        <f>"20260421-0000142"</f>
        <v>20260421-0000142</v>
      </c>
    </row>
    <row r="42" spans="1:18">
      <c r="A42" s="273" t="s">
        <v>39</v>
      </c>
      <c r="B42" s="277">
        <v>46133</v>
      </c>
      <c r="C42" s="274" t="s">
        <v>951</v>
      </c>
      <c r="D42" s="274" t="s">
        <v>279</v>
      </c>
      <c r="E42" s="274" t="s">
        <v>257</v>
      </c>
      <c r="F42" s="273">
        <v>92234241396</v>
      </c>
      <c r="G42" s="274" t="s">
        <v>792</v>
      </c>
      <c r="H42" s="274" t="s">
        <v>792</v>
      </c>
      <c r="I42" s="274" t="s">
        <v>280</v>
      </c>
      <c r="J42" s="274">
        <v>1</v>
      </c>
      <c r="K42" s="274" t="str">
        <f>"김*주"</f>
        <v>김*주</v>
      </c>
      <c r="L42" s="274" t="str">
        <f>"김*주"</f>
        <v>김*주</v>
      </c>
      <c r="M42" s="278">
        <v>8809879544101</v>
      </c>
      <c r="N42" s="274" t="s">
        <v>24</v>
      </c>
      <c r="O42" s="280">
        <v>1</v>
      </c>
      <c r="P42" s="170" t="s">
        <v>163</v>
      </c>
      <c r="Q42" s="25" t="s">
        <v>955</v>
      </c>
      <c r="R42" s="274" t="str">
        <f>"20260420-0000258"</f>
        <v>20260420-0000258</v>
      </c>
    </row>
    <row r="43" spans="1:18">
      <c r="A43" s="273" t="s">
        <v>39</v>
      </c>
      <c r="B43" s="277">
        <v>46133</v>
      </c>
      <c r="C43" s="274" t="s">
        <v>951</v>
      </c>
      <c r="D43" s="274" t="s">
        <v>279</v>
      </c>
      <c r="E43" s="274" t="s">
        <v>257</v>
      </c>
      <c r="F43" s="273">
        <v>92234241374</v>
      </c>
      <c r="G43" s="274" t="s">
        <v>790</v>
      </c>
      <c r="H43" s="274" t="s">
        <v>790</v>
      </c>
      <c r="I43" s="274" t="s">
        <v>280</v>
      </c>
      <c r="J43" s="274">
        <v>1</v>
      </c>
      <c r="K43" s="274" t="str">
        <f>"정*운"</f>
        <v>정*운</v>
      </c>
      <c r="L43" s="274" t="str">
        <f>"정*운"</f>
        <v>정*운</v>
      </c>
      <c r="M43" s="278">
        <v>8809879544101</v>
      </c>
      <c r="N43" s="274" t="s">
        <v>24</v>
      </c>
      <c r="O43" s="280">
        <v>1</v>
      </c>
      <c r="P43" s="170" t="s">
        <v>163</v>
      </c>
      <c r="Q43" s="25" t="s">
        <v>955</v>
      </c>
      <c r="R43" s="274" t="str">
        <f>"20260420-0000305"</f>
        <v>20260420-0000305</v>
      </c>
    </row>
    <row r="44" spans="1:18">
      <c r="A44" s="273" t="s">
        <v>39</v>
      </c>
      <c r="B44" s="277">
        <v>46133</v>
      </c>
      <c r="C44" s="274" t="s">
        <v>951</v>
      </c>
      <c r="D44" s="274" t="s">
        <v>279</v>
      </c>
      <c r="E44" s="274" t="s">
        <v>257</v>
      </c>
      <c r="F44" s="273">
        <v>92234241363</v>
      </c>
      <c r="G44" s="274" t="s">
        <v>788</v>
      </c>
      <c r="H44" s="274" t="s">
        <v>788</v>
      </c>
      <c r="I44" s="274" t="s">
        <v>280</v>
      </c>
      <c r="J44" s="274">
        <v>1</v>
      </c>
      <c r="K44" s="274" t="str">
        <f>"김*정"</f>
        <v>김*정</v>
      </c>
      <c r="L44" s="274" t="str">
        <f>"김*정"</f>
        <v>김*정</v>
      </c>
      <c r="M44" s="278">
        <v>8809879544101</v>
      </c>
      <c r="N44" s="274" t="s">
        <v>24</v>
      </c>
      <c r="O44" s="280">
        <v>1</v>
      </c>
      <c r="P44" s="170" t="s">
        <v>163</v>
      </c>
      <c r="Q44" s="25" t="s">
        <v>955</v>
      </c>
      <c r="R44" s="274" t="str">
        <f>"20260420-0000310"</f>
        <v>20260420-0000310</v>
      </c>
    </row>
    <row r="45" spans="1:18">
      <c r="A45" s="273" t="s">
        <v>39</v>
      </c>
      <c r="B45" s="277">
        <v>46133</v>
      </c>
      <c r="C45" s="274" t="s">
        <v>951</v>
      </c>
      <c r="D45" s="274" t="s">
        <v>279</v>
      </c>
      <c r="E45" s="274" t="s">
        <v>257</v>
      </c>
      <c r="F45" s="273">
        <v>92234241352</v>
      </c>
      <c r="G45" s="274" t="s">
        <v>789</v>
      </c>
      <c r="H45" s="274" t="s">
        <v>789</v>
      </c>
      <c r="I45" s="274" t="s">
        <v>280</v>
      </c>
      <c r="J45" s="274">
        <v>1</v>
      </c>
      <c r="K45" s="274" t="str">
        <f>"홍*기"</f>
        <v>홍*기</v>
      </c>
      <c r="L45" s="274" t="str">
        <f>"홍*기"</f>
        <v>홍*기</v>
      </c>
      <c r="M45" s="278">
        <v>8809879544101</v>
      </c>
      <c r="N45" s="274" t="s">
        <v>24</v>
      </c>
      <c r="O45" s="280">
        <v>1</v>
      </c>
      <c r="P45" s="170" t="s">
        <v>163</v>
      </c>
      <c r="Q45" s="25" t="s">
        <v>955</v>
      </c>
      <c r="R45" s="274" t="str">
        <f>"20260420-0000330"</f>
        <v>20260420-0000330</v>
      </c>
    </row>
    <row r="46" spans="1:18">
      <c r="A46" s="273" t="s">
        <v>39</v>
      </c>
      <c r="B46" s="277">
        <v>46133</v>
      </c>
      <c r="C46" s="274" t="s">
        <v>951</v>
      </c>
      <c r="D46" s="274" t="s">
        <v>279</v>
      </c>
      <c r="E46" s="274" t="s">
        <v>257</v>
      </c>
      <c r="F46" s="273">
        <v>92234241315</v>
      </c>
      <c r="G46" s="274" t="s">
        <v>787</v>
      </c>
      <c r="H46" s="274" t="s">
        <v>787</v>
      </c>
      <c r="I46" s="274" t="s">
        <v>280</v>
      </c>
      <c r="J46" s="274">
        <v>1</v>
      </c>
      <c r="K46" s="274" t="str">
        <f>"전*임"</f>
        <v>전*임</v>
      </c>
      <c r="L46" s="274" t="str">
        <f>"전*임"</f>
        <v>전*임</v>
      </c>
      <c r="M46" s="278">
        <v>8809879544101</v>
      </c>
      <c r="N46" s="274" t="s">
        <v>24</v>
      </c>
      <c r="O46" s="280">
        <v>1</v>
      </c>
      <c r="P46" s="170" t="s">
        <v>163</v>
      </c>
      <c r="Q46" s="25" t="s">
        <v>955</v>
      </c>
      <c r="R46" s="274" t="str">
        <f>"20260421-0000042"</f>
        <v>20260421-0000042</v>
      </c>
    </row>
    <row r="47" spans="1:18">
      <c r="A47" s="273" t="s">
        <v>39</v>
      </c>
      <c r="B47" s="277">
        <v>46132</v>
      </c>
      <c r="C47" s="274" t="s">
        <v>951</v>
      </c>
      <c r="D47" s="274" t="s">
        <v>279</v>
      </c>
      <c r="E47" s="274" t="s">
        <v>257</v>
      </c>
      <c r="F47" s="273">
        <v>92234216104</v>
      </c>
      <c r="G47" s="274" t="s">
        <v>811</v>
      </c>
      <c r="H47" s="274" t="s">
        <v>811</v>
      </c>
      <c r="I47" s="274" t="s">
        <v>293</v>
      </c>
      <c r="J47" s="274">
        <v>1</v>
      </c>
      <c r="K47" s="274" t="str">
        <f>"엄*미"</f>
        <v>엄*미</v>
      </c>
      <c r="L47" s="274" t="str">
        <f>"엄*미"</f>
        <v>엄*미</v>
      </c>
      <c r="M47" s="278">
        <v>8809879544101</v>
      </c>
      <c r="N47" s="274" t="s">
        <v>24</v>
      </c>
      <c r="O47" s="280">
        <v>2</v>
      </c>
      <c r="P47" s="170" t="s">
        <v>163</v>
      </c>
      <c r="Q47" s="25" t="s">
        <v>955</v>
      </c>
      <c r="R47" s="274" t="str">
        <f>"20260420-0000182"</f>
        <v>20260420-0000182</v>
      </c>
    </row>
    <row r="48" spans="1:18">
      <c r="A48" s="273" t="s">
        <v>39</v>
      </c>
      <c r="B48" s="277">
        <v>46132</v>
      </c>
      <c r="C48" s="274" t="s">
        <v>951</v>
      </c>
      <c r="D48" s="274" t="s">
        <v>279</v>
      </c>
      <c r="E48" s="274" t="s">
        <v>257</v>
      </c>
      <c r="F48" s="273">
        <v>92234206153</v>
      </c>
      <c r="G48" s="274" t="s">
        <v>801</v>
      </c>
      <c r="H48" s="274" t="s">
        <v>801</v>
      </c>
      <c r="I48" s="274" t="s">
        <v>295</v>
      </c>
      <c r="J48" s="274">
        <v>1</v>
      </c>
      <c r="K48" s="274" t="str">
        <f>"김*리"</f>
        <v>김*리</v>
      </c>
      <c r="L48" s="274" t="str">
        <f>"김*리"</f>
        <v>김*리</v>
      </c>
      <c r="M48" s="278">
        <v>8809879544101</v>
      </c>
      <c r="N48" s="274" t="s">
        <v>24</v>
      </c>
      <c r="O48" s="280">
        <v>3</v>
      </c>
      <c r="P48" s="170" t="s">
        <v>163</v>
      </c>
      <c r="Q48" s="25" t="s">
        <v>955</v>
      </c>
      <c r="R48" s="274" t="str">
        <f>"20260420-0000093"</f>
        <v>20260420-0000093</v>
      </c>
    </row>
    <row r="49" spans="1:18">
      <c r="A49" s="273" t="s">
        <v>39</v>
      </c>
      <c r="B49" s="277">
        <v>46132</v>
      </c>
      <c r="C49" s="274" t="s">
        <v>951</v>
      </c>
      <c r="D49" s="274" t="s">
        <v>279</v>
      </c>
      <c r="E49" s="274" t="s">
        <v>257</v>
      </c>
      <c r="F49" s="273">
        <v>92234205954</v>
      </c>
      <c r="G49" s="274" t="s">
        <v>800</v>
      </c>
      <c r="H49" s="274" t="s">
        <v>800</v>
      </c>
      <c r="I49" s="274" t="s">
        <v>293</v>
      </c>
      <c r="J49" s="274">
        <v>1</v>
      </c>
      <c r="K49" s="274" t="str">
        <f>"홍*영"</f>
        <v>홍*영</v>
      </c>
      <c r="L49" s="274" t="str">
        <f>"정*미"</f>
        <v>정*미</v>
      </c>
      <c r="M49" s="278">
        <v>8809879544101</v>
      </c>
      <c r="N49" s="274" t="s">
        <v>24</v>
      </c>
      <c r="O49" s="280">
        <v>2</v>
      </c>
      <c r="P49" s="170" t="s">
        <v>163</v>
      </c>
      <c r="Q49" s="25" t="s">
        <v>955</v>
      </c>
      <c r="R49" s="274" t="str">
        <f>"20260418-0000195"</f>
        <v>20260418-0000195</v>
      </c>
    </row>
    <row r="50" spans="1:18">
      <c r="A50" s="273" t="s">
        <v>39</v>
      </c>
      <c r="B50" s="277">
        <v>46132</v>
      </c>
      <c r="C50" s="274" t="s">
        <v>951</v>
      </c>
      <c r="D50" s="274" t="s">
        <v>279</v>
      </c>
      <c r="E50" s="274" t="s">
        <v>257</v>
      </c>
      <c r="F50" s="273">
        <v>92234205943</v>
      </c>
      <c r="G50" s="274" t="s">
        <v>815</v>
      </c>
      <c r="H50" s="274" t="s">
        <v>815</v>
      </c>
      <c r="I50" s="274" t="s">
        <v>293</v>
      </c>
      <c r="J50" s="274">
        <v>1</v>
      </c>
      <c r="K50" s="274" t="str">
        <f>"김*영"</f>
        <v>김*영</v>
      </c>
      <c r="L50" s="274" t="str">
        <f>"김*영"</f>
        <v>김*영</v>
      </c>
      <c r="M50" s="278">
        <v>8809879544101</v>
      </c>
      <c r="N50" s="274" t="s">
        <v>24</v>
      </c>
      <c r="O50" s="280">
        <v>2</v>
      </c>
      <c r="P50" s="170" t="s">
        <v>163</v>
      </c>
      <c r="Q50" s="25" t="s">
        <v>955</v>
      </c>
      <c r="R50" s="274" t="str">
        <f>"20260419-0000013"</f>
        <v>20260419-0000013</v>
      </c>
    </row>
    <row r="51" spans="1:18">
      <c r="A51" s="273" t="s">
        <v>39</v>
      </c>
      <c r="B51" s="277">
        <v>46132</v>
      </c>
      <c r="C51" s="274" t="s">
        <v>951</v>
      </c>
      <c r="D51" s="274" t="s">
        <v>279</v>
      </c>
      <c r="E51" s="274" t="s">
        <v>257</v>
      </c>
      <c r="F51" s="273">
        <v>92234205895</v>
      </c>
      <c r="G51" s="274" t="s">
        <v>799</v>
      </c>
      <c r="H51" s="274" t="s">
        <v>799</v>
      </c>
      <c r="I51" s="274" t="s">
        <v>293</v>
      </c>
      <c r="J51" s="274">
        <v>1</v>
      </c>
      <c r="K51" s="274" t="str">
        <f>"황*나"</f>
        <v>황*나</v>
      </c>
      <c r="L51" s="274" t="str">
        <f>"황*나"</f>
        <v>황*나</v>
      </c>
      <c r="M51" s="278">
        <v>8809879544101</v>
      </c>
      <c r="N51" s="274" t="s">
        <v>24</v>
      </c>
      <c r="O51" s="280">
        <v>2</v>
      </c>
      <c r="P51" s="170" t="s">
        <v>163</v>
      </c>
      <c r="Q51" s="25" t="s">
        <v>955</v>
      </c>
      <c r="R51" s="274" t="str">
        <f>"20260419-0000147"</f>
        <v>20260419-0000147</v>
      </c>
    </row>
    <row r="52" spans="1:18">
      <c r="A52" s="273" t="s">
        <v>39</v>
      </c>
      <c r="B52" s="277">
        <v>46132</v>
      </c>
      <c r="C52" s="274" t="s">
        <v>951</v>
      </c>
      <c r="D52" s="274" t="s">
        <v>279</v>
      </c>
      <c r="E52" s="274" t="s">
        <v>257</v>
      </c>
      <c r="F52" s="273">
        <v>92234205884</v>
      </c>
      <c r="G52" s="274" t="s">
        <v>798</v>
      </c>
      <c r="H52" s="274" t="s">
        <v>798</v>
      </c>
      <c r="I52" s="274" t="s">
        <v>293</v>
      </c>
      <c r="J52" s="274">
        <v>1</v>
      </c>
      <c r="K52" s="274" t="str">
        <f>"양*은"</f>
        <v>양*은</v>
      </c>
      <c r="L52" s="274" t="str">
        <f>"양*은"</f>
        <v>양*은</v>
      </c>
      <c r="M52" s="278">
        <v>8809879544101</v>
      </c>
      <c r="N52" s="274" t="s">
        <v>24</v>
      </c>
      <c r="O52" s="280">
        <v>2</v>
      </c>
      <c r="P52" s="170" t="s">
        <v>163</v>
      </c>
      <c r="Q52" s="25" t="s">
        <v>955</v>
      </c>
      <c r="R52" s="274" t="str">
        <f>"20260419-0000166"</f>
        <v>20260419-0000166</v>
      </c>
    </row>
    <row r="53" spans="1:18">
      <c r="A53" s="273" t="s">
        <v>39</v>
      </c>
      <c r="B53" s="277">
        <v>46132</v>
      </c>
      <c r="C53" s="274" t="s">
        <v>951</v>
      </c>
      <c r="D53" s="274" t="s">
        <v>279</v>
      </c>
      <c r="E53" s="274" t="s">
        <v>257</v>
      </c>
      <c r="F53" s="273">
        <v>92234205862</v>
      </c>
      <c r="G53" s="274" t="s">
        <v>810</v>
      </c>
      <c r="H53" s="274" t="s">
        <v>810</v>
      </c>
      <c r="I53" s="274" t="s">
        <v>295</v>
      </c>
      <c r="J53" s="274">
        <v>1</v>
      </c>
      <c r="K53" s="274" t="str">
        <f>"조*영"</f>
        <v>조*영</v>
      </c>
      <c r="L53" s="274" t="str">
        <f>"조*영"</f>
        <v>조*영</v>
      </c>
      <c r="M53" s="278">
        <v>8809879544101</v>
      </c>
      <c r="N53" s="274" t="s">
        <v>24</v>
      </c>
      <c r="O53" s="280">
        <v>3</v>
      </c>
      <c r="P53" s="170" t="s">
        <v>163</v>
      </c>
      <c r="Q53" s="25" t="s">
        <v>955</v>
      </c>
      <c r="R53" s="274" t="str">
        <f>"20260419-0000193"</f>
        <v>20260419-0000193</v>
      </c>
    </row>
    <row r="54" spans="1:18">
      <c r="A54" s="273" t="s">
        <v>39</v>
      </c>
      <c r="B54" s="277">
        <v>46132</v>
      </c>
      <c r="C54" s="274" t="s">
        <v>951</v>
      </c>
      <c r="D54" s="274" t="s">
        <v>279</v>
      </c>
      <c r="E54" s="274" t="s">
        <v>257</v>
      </c>
      <c r="F54" s="273">
        <v>92234216163</v>
      </c>
      <c r="G54" s="274" t="s">
        <v>814</v>
      </c>
      <c r="H54" s="274" t="s">
        <v>814</v>
      </c>
      <c r="I54" s="274" t="s">
        <v>280</v>
      </c>
      <c r="J54" s="274">
        <v>1</v>
      </c>
      <c r="K54" s="274" t="str">
        <f>"전*라"</f>
        <v>전*라</v>
      </c>
      <c r="L54" s="274" t="str">
        <f>"전*라"</f>
        <v>전*라</v>
      </c>
      <c r="M54" s="278">
        <v>8809879544101</v>
      </c>
      <c r="N54" s="274" t="s">
        <v>24</v>
      </c>
      <c r="O54" s="280">
        <v>1</v>
      </c>
      <c r="P54" s="170" t="s">
        <v>163</v>
      </c>
      <c r="Q54" s="25" t="s">
        <v>955</v>
      </c>
      <c r="R54" s="274" t="str">
        <f>"20260420-0000171"</f>
        <v>20260420-0000171</v>
      </c>
    </row>
    <row r="55" spans="1:18">
      <c r="A55" s="273" t="s">
        <v>39</v>
      </c>
      <c r="B55" s="277">
        <v>46132</v>
      </c>
      <c r="C55" s="274" t="s">
        <v>951</v>
      </c>
      <c r="D55" s="274" t="s">
        <v>279</v>
      </c>
      <c r="E55" s="274" t="s">
        <v>257</v>
      </c>
      <c r="F55" s="273">
        <v>92234216130</v>
      </c>
      <c r="G55" s="274" t="s">
        <v>813</v>
      </c>
      <c r="H55" s="274" t="s">
        <v>813</v>
      </c>
      <c r="I55" s="274" t="s">
        <v>280</v>
      </c>
      <c r="J55" s="274">
        <v>1</v>
      </c>
      <c r="K55" s="274" t="str">
        <f>"고*미"</f>
        <v>고*미</v>
      </c>
      <c r="L55" s="274" t="str">
        <f>"고*미"</f>
        <v>고*미</v>
      </c>
      <c r="M55" s="278">
        <v>8809879544101</v>
      </c>
      <c r="N55" s="274" t="s">
        <v>24</v>
      </c>
      <c r="O55" s="280">
        <v>1</v>
      </c>
      <c r="P55" s="170" t="s">
        <v>163</v>
      </c>
      <c r="Q55" s="25" t="s">
        <v>955</v>
      </c>
      <c r="R55" s="274" t="str">
        <f>"20260420-0000216"</f>
        <v>20260420-0000216</v>
      </c>
    </row>
    <row r="56" spans="1:18">
      <c r="A56" s="273" t="s">
        <v>39</v>
      </c>
      <c r="B56" s="277">
        <v>46132</v>
      </c>
      <c r="C56" s="274" t="s">
        <v>951</v>
      </c>
      <c r="D56" s="274" t="s">
        <v>279</v>
      </c>
      <c r="E56" s="274" t="s">
        <v>257</v>
      </c>
      <c r="F56" s="273">
        <v>92234216126</v>
      </c>
      <c r="G56" s="274" t="s">
        <v>812</v>
      </c>
      <c r="H56" s="274" t="s">
        <v>812</v>
      </c>
      <c r="I56" s="274" t="s">
        <v>280</v>
      </c>
      <c r="J56" s="274">
        <v>1</v>
      </c>
      <c r="K56" s="274" t="str">
        <f>"김*연"</f>
        <v>김*연</v>
      </c>
      <c r="L56" s="274" t="str">
        <f>"김*연"</f>
        <v>김*연</v>
      </c>
      <c r="M56" s="278">
        <v>8809879544101</v>
      </c>
      <c r="N56" s="274" t="s">
        <v>24</v>
      </c>
      <c r="O56" s="280">
        <v>1</v>
      </c>
      <c r="P56" s="170" t="s">
        <v>163</v>
      </c>
      <c r="Q56" s="25" t="s">
        <v>955</v>
      </c>
      <c r="R56" s="274" t="str">
        <f>"20260420-0000227"</f>
        <v>20260420-0000227</v>
      </c>
    </row>
    <row r="57" spans="1:18">
      <c r="A57" s="273" t="s">
        <v>39</v>
      </c>
      <c r="B57" s="277">
        <v>46132</v>
      </c>
      <c r="C57" s="274" t="s">
        <v>951</v>
      </c>
      <c r="D57" s="274" t="s">
        <v>279</v>
      </c>
      <c r="E57" s="274" t="s">
        <v>257</v>
      </c>
      <c r="F57" s="273">
        <v>92234206212</v>
      </c>
      <c r="G57" s="274" t="s">
        <v>804</v>
      </c>
      <c r="H57" s="274" t="s">
        <v>804</v>
      </c>
      <c r="I57" s="274" t="s">
        <v>280</v>
      </c>
      <c r="J57" s="274">
        <v>1</v>
      </c>
      <c r="K57" s="274" t="str">
        <f>"문*원"</f>
        <v>문*원</v>
      </c>
      <c r="L57" s="274" t="str">
        <f>"문*원"</f>
        <v>문*원</v>
      </c>
      <c r="M57" s="278">
        <v>8809879544101</v>
      </c>
      <c r="N57" s="274" t="s">
        <v>24</v>
      </c>
      <c r="O57" s="280">
        <v>1</v>
      </c>
      <c r="P57" s="170" t="s">
        <v>163</v>
      </c>
      <c r="Q57" s="25" t="s">
        <v>955</v>
      </c>
      <c r="R57" s="274" t="str">
        <f>"20260420-0000051"</f>
        <v>20260420-0000051</v>
      </c>
    </row>
    <row r="58" spans="1:18">
      <c r="A58" s="273" t="s">
        <v>39</v>
      </c>
      <c r="B58" s="277">
        <v>46132</v>
      </c>
      <c r="C58" s="274" t="s">
        <v>951</v>
      </c>
      <c r="D58" s="274" t="s">
        <v>279</v>
      </c>
      <c r="E58" s="274" t="s">
        <v>257</v>
      </c>
      <c r="F58" s="273">
        <v>92234207306</v>
      </c>
      <c r="G58" s="274" t="s">
        <v>809</v>
      </c>
      <c r="H58" s="274" t="s">
        <v>809</v>
      </c>
      <c r="I58" s="274" t="s">
        <v>280</v>
      </c>
      <c r="J58" s="274">
        <v>1</v>
      </c>
      <c r="K58" s="274" t="str">
        <f>"김*영"</f>
        <v>김*영</v>
      </c>
      <c r="L58" s="274" t="str">
        <f>"김*영"</f>
        <v>김*영</v>
      </c>
      <c r="M58" s="278">
        <v>8809879544101</v>
      </c>
      <c r="N58" s="274" t="s">
        <v>24</v>
      </c>
      <c r="O58" s="280">
        <v>1</v>
      </c>
      <c r="P58" s="170" t="s">
        <v>163</v>
      </c>
      <c r="Q58" s="25" t="s">
        <v>955</v>
      </c>
      <c r="R58" s="274" t="str">
        <f>"20260418-0000052"</f>
        <v>20260418-0000052</v>
      </c>
    </row>
    <row r="59" spans="1:18">
      <c r="A59" s="273" t="s">
        <v>39</v>
      </c>
      <c r="B59" s="277">
        <v>46132</v>
      </c>
      <c r="C59" s="274" t="s">
        <v>951</v>
      </c>
      <c r="D59" s="274" t="s">
        <v>279</v>
      </c>
      <c r="E59" s="274" t="s">
        <v>257</v>
      </c>
      <c r="F59" s="273">
        <v>92234207295</v>
      </c>
      <c r="G59" s="274" t="s">
        <v>808</v>
      </c>
      <c r="H59" s="274" t="s">
        <v>808</v>
      </c>
      <c r="I59" s="274" t="s">
        <v>280</v>
      </c>
      <c r="J59" s="274">
        <v>1</v>
      </c>
      <c r="K59" s="274" t="str">
        <f>"이*린"</f>
        <v>이*린</v>
      </c>
      <c r="L59" s="274" t="str">
        <f>"이*린"</f>
        <v>이*린</v>
      </c>
      <c r="M59" s="278">
        <v>8809879544101</v>
      </c>
      <c r="N59" s="274" t="s">
        <v>24</v>
      </c>
      <c r="O59" s="280">
        <v>1</v>
      </c>
      <c r="P59" s="170" t="s">
        <v>163</v>
      </c>
      <c r="Q59" s="25" t="s">
        <v>955</v>
      </c>
      <c r="R59" s="274" t="str">
        <f>"20260418-0000067"</f>
        <v>20260418-0000067</v>
      </c>
    </row>
    <row r="60" spans="1:18">
      <c r="A60" s="273" t="s">
        <v>39</v>
      </c>
      <c r="B60" s="277">
        <v>46132</v>
      </c>
      <c r="C60" s="274" t="s">
        <v>951</v>
      </c>
      <c r="D60" s="274" t="s">
        <v>279</v>
      </c>
      <c r="E60" s="274" t="s">
        <v>257</v>
      </c>
      <c r="F60" s="273">
        <v>92234207284</v>
      </c>
      <c r="G60" s="274" t="s">
        <v>807</v>
      </c>
      <c r="H60" s="274" t="s">
        <v>807</v>
      </c>
      <c r="I60" s="274" t="s">
        <v>280</v>
      </c>
      <c r="J60" s="274">
        <v>1</v>
      </c>
      <c r="K60" s="274" t="str">
        <f>"김*정"</f>
        <v>김*정</v>
      </c>
      <c r="L60" s="274" t="str">
        <f>"K*********g"</f>
        <v>K*********g</v>
      </c>
      <c r="M60" s="278">
        <v>8809879544101</v>
      </c>
      <c r="N60" s="274" t="s">
        <v>24</v>
      </c>
      <c r="O60" s="280">
        <v>1</v>
      </c>
      <c r="P60" s="170" t="s">
        <v>163</v>
      </c>
      <c r="Q60" s="25" t="s">
        <v>955</v>
      </c>
      <c r="R60" s="274" t="str">
        <f>"20260418-0000102"</f>
        <v>20260418-0000102</v>
      </c>
    </row>
    <row r="61" spans="1:18">
      <c r="A61" s="273" t="s">
        <v>39</v>
      </c>
      <c r="B61" s="277">
        <v>46132</v>
      </c>
      <c r="C61" s="274" t="s">
        <v>951</v>
      </c>
      <c r="D61" s="274" t="s">
        <v>279</v>
      </c>
      <c r="E61" s="274" t="s">
        <v>257</v>
      </c>
      <c r="F61" s="273">
        <v>92234206713</v>
      </c>
      <c r="G61" s="274" t="s">
        <v>806</v>
      </c>
      <c r="H61" s="274" t="s">
        <v>806</v>
      </c>
      <c r="I61" s="274" t="s">
        <v>280</v>
      </c>
      <c r="J61" s="274">
        <v>1</v>
      </c>
      <c r="K61" s="274" t="str">
        <f>"허*은"</f>
        <v>허*은</v>
      </c>
      <c r="L61" s="274" t="str">
        <f>"허*리"</f>
        <v>허*리</v>
      </c>
      <c r="M61" s="278">
        <v>8809879544101</v>
      </c>
      <c r="N61" s="274" t="s">
        <v>24</v>
      </c>
      <c r="O61" s="280">
        <v>1</v>
      </c>
      <c r="P61" s="170" t="s">
        <v>163</v>
      </c>
      <c r="Q61" s="25" t="s">
        <v>955</v>
      </c>
      <c r="R61" s="274" t="str">
        <f>"20260419-0000280"</f>
        <v>20260419-0000280</v>
      </c>
    </row>
    <row r="62" spans="1:18">
      <c r="A62" s="273" t="s">
        <v>39</v>
      </c>
      <c r="B62" s="277">
        <v>46132</v>
      </c>
      <c r="C62" s="274" t="s">
        <v>951</v>
      </c>
      <c r="D62" s="274" t="s">
        <v>279</v>
      </c>
      <c r="E62" s="274" t="s">
        <v>257</v>
      </c>
      <c r="F62" s="273">
        <v>92234206702</v>
      </c>
      <c r="G62" s="274" t="s">
        <v>805</v>
      </c>
      <c r="H62" s="274" t="s">
        <v>805</v>
      </c>
      <c r="I62" s="274" t="s">
        <v>280</v>
      </c>
      <c r="J62" s="274">
        <v>1</v>
      </c>
      <c r="K62" s="274" t="str">
        <f>"이*희"</f>
        <v>이*희</v>
      </c>
      <c r="L62" s="274" t="str">
        <f>"이*희"</f>
        <v>이*희</v>
      </c>
      <c r="M62" s="278">
        <v>8809879544101</v>
      </c>
      <c r="N62" s="274" t="s">
        <v>24</v>
      </c>
      <c r="O62" s="280">
        <v>1</v>
      </c>
      <c r="P62" s="170" t="s">
        <v>163</v>
      </c>
      <c r="Q62" s="25" t="s">
        <v>955</v>
      </c>
      <c r="R62" s="274" t="str">
        <f>"20260419-0000357"</f>
        <v>20260419-0000357</v>
      </c>
    </row>
    <row r="63" spans="1:18">
      <c r="A63" s="273" t="s">
        <v>39</v>
      </c>
      <c r="B63" s="277">
        <v>46132</v>
      </c>
      <c r="C63" s="274" t="s">
        <v>727</v>
      </c>
      <c r="D63" s="274" t="s">
        <v>728</v>
      </c>
      <c r="E63" s="274" t="s">
        <v>803</v>
      </c>
      <c r="F63" s="273">
        <v>92234206186</v>
      </c>
      <c r="G63" s="274" t="s">
        <v>802</v>
      </c>
      <c r="H63" s="274" t="s">
        <v>802</v>
      </c>
      <c r="I63" s="274" t="s">
        <v>729</v>
      </c>
      <c r="J63" s="274">
        <v>1</v>
      </c>
      <c r="K63" s="274" t="str">
        <f>"이*정"</f>
        <v>이*정</v>
      </c>
      <c r="L63" s="274" t="str">
        <f>"이*정"</f>
        <v>이*정</v>
      </c>
      <c r="M63" s="278">
        <v>8809879544118</v>
      </c>
      <c r="N63" s="274" t="s">
        <v>23</v>
      </c>
      <c r="O63" s="280">
        <v>1</v>
      </c>
      <c r="P63" s="170" t="s">
        <v>163</v>
      </c>
      <c r="Q63" s="25" t="s">
        <v>618</v>
      </c>
      <c r="R63" s="274" t="str">
        <f>"2412513200056"</f>
        <v>2412513200056</v>
      </c>
    </row>
    <row r="64" spans="1:18">
      <c r="A64" s="273" t="s">
        <v>39</v>
      </c>
      <c r="B64" s="277">
        <v>46129</v>
      </c>
      <c r="C64" s="274" t="s">
        <v>951</v>
      </c>
      <c r="D64" s="274" t="s">
        <v>279</v>
      </c>
      <c r="E64" s="274" t="s">
        <v>257</v>
      </c>
      <c r="F64" s="273">
        <v>92234140283</v>
      </c>
      <c r="G64" s="274" t="s">
        <v>817</v>
      </c>
      <c r="H64" s="274" t="s">
        <v>817</v>
      </c>
      <c r="I64" s="274" t="s">
        <v>293</v>
      </c>
      <c r="J64" s="274">
        <v>1</v>
      </c>
      <c r="K64" s="274" t="str">
        <f>"김*정"</f>
        <v>김*정</v>
      </c>
      <c r="L64" s="274" t="str">
        <f>"김*정"</f>
        <v>김*정</v>
      </c>
      <c r="M64" s="278">
        <v>8809879544101</v>
      </c>
      <c r="N64" s="274" t="s">
        <v>24</v>
      </c>
      <c r="O64" s="280">
        <v>2</v>
      </c>
      <c r="P64" s="170" t="s">
        <v>163</v>
      </c>
      <c r="Q64" s="25" t="s">
        <v>955</v>
      </c>
      <c r="R64" s="274" t="str">
        <f>"20260416-0000405"</f>
        <v>20260416-0000405</v>
      </c>
    </row>
    <row r="65" spans="1:18">
      <c r="A65" s="273" t="s">
        <v>39</v>
      </c>
      <c r="B65" s="277">
        <v>46129</v>
      </c>
      <c r="C65" s="274" t="s">
        <v>951</v>
      </c>
      <c r="D65" s="274" t="s">
        <v>279</v>
      </c>
      <c r="E65" s="274" t="s">
        <v>257</v>
      </c>
      <c r="F65" s="273">
        <v>92234140272</v>
      </c>
      <c r="G65" s="274" t="s">
        <v>816</v>
      </c>
      <c r="H65" s="274" t="s">
        <v>816</v>
      </c>
      <c r="I65" s="274" t="s">
        <v>293</v>
      </c>
      <c r="J65" s="274">
        <v>1</v>
      </c>
      <c r="K65" s="274" t="str">
        <f>"김*라"</f>
        <v>김*라</v>
      </c>
      <c r="L65" s="274" t="str">
        <f>"김*라"</f>
        <v>김*라</v>
      </c>
      <c r="M65" s="278">
        <v>8809879544101</v>
      </c>
      <c r="N65" s="274" t="s">
        <v>24</v>
      </c>
      <c r="O65" s="280">
        <v>2</v>
      </c>
      <c r="P65" s="170" t="s">
        <v>163</v>
      </c>
      <c r="Q65" s="25" t="s">
        <v>955</v>
      </c>
      <c r="R65" s="274" t="str">
        <f>"20260416-0000495"</f>
        <v>20260416-0000495</v>
      </c>
    </row>
    <row r="66" spans="1:18">
      <c r="A66" s="273" t="s">
        <v>39</v>
      </c>
      <c r="B66" s="277">
        <v>46129</v>
      </c>
      <c r="C66" s="274" t="s">
        <v>951</v>
      </c>
      <c r="D66" s="274" t="s">
        <v>279</v>
      </c>
      <c r="E66" s="274" t="s">
        <v>257</v>
      </c>
      <c r="F66" s="273">
        <v>92234140261</v>
      </c>
      <c r="G66" s="274" t="s">
        <v>825</v>
      </c>
      <c r="H66" s="274" t="s">
        <v>825</v>
      </c>
      <c r="I66" s="274" t="s">
        <v>280</v>
      </c>
      <c r="J66" s="274">
        <v>1</v>
      </c>
      <c r="K66" s="274" t="str">
        <f>"김*은"</f>
        <v>김*은</v>
      </c>
      <c r="L66" s="274" t="str">
        <f>"김*은"</f>
        <v>김*은</v>
      </c>
      <c r="M66" s="278">
        <v>8809879544101</v>
      </c>
      <c r="N66" s="274" t="s">
        <v>24</v>
      </c>
      <c r="O66" s="280">
        <v>1</v>
      </c>
      <c r="P66" s="170" t="s">
        <v>163</v>
      </c>
      <c r="Q66" s="25" t="s">
        <v>955</v>
      </c>
      <c r="R66" s="274" t="str">
        <f>"20260416-0000687"</f>
        <v>20260416-0000687</v>
      </c>
    </row>
    <row r="67" spans="1:18">
      <c r="A67" s="273" t="s">
        <v>39</v>
      </c>
      <c r="B67" s="277">
        <v>46129</v>
      </c>
      <c r="C67" s="274" t="s">
        <v>951</v>
      </c>
      <c r="D67" s="274" t="s">
        <v>279</v>
      </c>
      <c r="E67" s="274" t="s">
        <v>257</v>
      </c>
      <c r="F67" s="273">
        <v>92234140471</v>
      </c>
      <c r="G67" s="274" t="s">
        <v>818</v>
      </c>
      <c r="H67" s="274" t="s">
        <v>818</v>
      </c>
      <c r="I67" s="274" t="s">
        <v>280</v>
      </c>
      <c r="J67" s="274">
        <v>1</v>
      </c>
      <c r="K67" s="274" t="str">
        <f>"임*현"</f>
        <v>임*현</v>
      </c>
      <c r="L67" s="274" t="str">
        <f>"임*현"</f>
        <v>임*현</v>
      </c>
      <c r="M67" s="278">
        <v>8809879544101</v>
      </c>
      <c r="N67" s="274" t="s">
        <v>24</v>
      </c>
      <c r="O67" s="280">
        <v>1</v>
      </c>
      <c r="P67" s="170" t="s">
        <v>163</v>
      </c>
      <c r="Q67" s="25" t="s">
        <v>955</v>
      </c>
      <c r="R67" s="274" t="str">
        <f>"20260416-0000516"</f>
        <v>20260416-0000516</v>
      </c>
    </row>
    <row r="68" spans="1:18">
      <c r="A68" s="273" t="s">
        <v>39</v>
      </c>
      <c r="B68" s="277">
        <v>46129</v>
      </c>
      <c r="C68" s="274" t="s">
        <v>951</v>
      </c>
      <c r="D68" s="274" t="s">
        <v>279</v>
      </c>
      <c r="E68" s="274" t="s">
        <v>257</v>
      </c>
      <c r="F68" s="273">
        <v>92234140456</v>
      </c>
      <c r="G68" s="274" t="s">
        <v>819</v>
      </c>
      <c r="H68" s="274" t="s">
        <v>819</v>
      </c>
      <c r="I68" s="274" t="s">
        <v>280</v>
      </c>
      <c r="J68" s="274">
        <v>1</v>
      </c>
      <c r="K68" s="274" t="str">
        <f>"예*"</f>
        <v>예*</v>
      </c>
      <c r="L68" s="274" t="str">
        <f>"예*"</f>
        <v>예*</v>
      </c>
      <c r="M68" s="278">
        <v>8809879544101</v>
      </c>
      <c r="N68" s="274" t="s">
        <v>24</v>
      </c>
      <c r="O68" s="280">
        <v>1</v>
      </c>
      <c r="P68" s="170" t="s">
        <v>163</v>
      </c>
      <c r="Q68" s="25" t="s">
        <v>955</v>
      </c>
      <c r="R68" s="274" t="str">
        <f>"20260416-0000578"</f>
        <v>20260416-0000578</v>
      </c>
    </row>
    <row r="69" spans="1:18">
      <c r="A69" s="273" t="s">
        <v>39</v>
      </c>
      <c r="B69" s="277">
        <v>46129</v>
      </c>
      <c r="C69" s="274" t="s">
        <v>951</v>
      </c>
      <c r="D69" s="274" t="s">
        <v>279</v>
      </c>
      <c r="E69" s="274" t="s">
        <v>257</v>
      </c>
      <c r="F69" s="273">
        <v>92234140390</v>
      </c>
      <c r="G69" s="274" t="s">
        <v>820</v>
      </c>
      <c r="H69" s="274" t="s">
        <v>820</v>
      </c>
      <c r="I69" s="274" t="s">
        <v>280</v>
      </c>
      <c r="J69" s="274">
        <v>1</v>
      </c>
      <c r="K69" s="274" t="str">
        <f>"김*화"</f>
        <v>김*화</v>
      </c>
      <c r="L69" s="274" t="str">
        <f>"김*화"</f>
        <v>김*화</v>
      </c>
      <c r="M69" s="278">
        <v>8809879544101</v>
      </c>
      <c r="N69" s="274" t="s">
        <v>24</v>
      </c>
      <c r="O69" s="280">
        <v>1</v>
      </c>
      <c r="P69" s="170" t="s">
        <v>163</v>
      </c>
      <c r="Q69" s="25" t="s">
        <v>955</v>
      </c>
      <c r="R69" s="274" t="str">
        <f>"20260417-0000066"</f>
        <v>20260417-0000066</v>
      </c>
    </row>
    <row r="70" spans="1:18">
      <c r="A70" s="273" t="s">
        <v>39</v>
      </c>
      <c r="B70" s="277">
        <v>46129</v>
      </c>
      <c r="C70" s="274" t="s">
        <v>951</v>
      </c>
      <c r="D70" s="274" t="s">
        <v>279</v>
      </c>
      <c r="E70" s="274" t="s">
        <v>257</v>
      </c>
      <c r="F70" s="273">
        <v>92234140386</v>
      </c>
      <c r="G70" s="274" t="s">
        <v>823</v>
      </c>
      <c r="H70" s="274" t="s">
        <v>823</v>
      </c>
      <c r="I70" s="274" t="s">
        <v>280</v>
      </c>
      <c r="J70" s="274">
        <v>1</v>
      </c>
      <c r="K70" s="274" t="str">
        <f>"김*영"</f>
        <v>김*영</v>
      </c>
      <c r="L70" s="274" t="str">
        <f>"김*영"</f>
        <v>김*영</v>
      </c>
      <c r="M70" s="278">
        <v>8809879544101</v>
      </c>
      <c r="N70" s="274" t="s">
        <v>24</v>
      </c>
      <c r="O70" s="280">
        <v>1</v>
      </c>
      <c r="P70" s="170" t="s">
        <v>163</v>
      </c>
      <c r="Q70" s="25" t="s">
        <v>955</v>
      </c>
      <c r="R70" s="274" t="str">
        <f>"20260417-0000109"</f>
        <v>20260417-0000109</v>
      </c>
    </row>
    <row r="71" spans="1:18">
      <c r="A71" s="273" t="s">
        <v>39</v>
      </c>
      <c r="B71" s="277">
        <v>46129</v>
      </c>
      <c r="C71" s="274" t="s">
        <v>951</v>
      </c>
      <c r="D71" s="274" t="s">
        <v>279</v>
      </c>
      <c r="E71" s="274" t="s">
        <v>257</v>
      </c>
      <c r="F71" s="273">
        <v>92234140375</v>
      </c>
      <c r="G71" s="274" t="s">
        <v>822</v>
      </c>
      <c r="H71" s="274" t="s">
        <v>822</v>
      </c>
      <c r="I71" s="274" t="s">
        <v>280</v>
      </c>
      <c r="J71" s="274">
        <v>1</v>
      </c>
      <c r="K71" s="274" t="str">
        <f>"박*영"</f>
        <v>박*영</v>
      </c>
      <c r="L71" s="274" t="str">
        <f>"박*영"</f>
        <v>박*영</v>
      </c>
      <c r="M71" s="278">
        <v>8809879544101</v>
      </c>
      <c r="N71" s="274" t="s">
        <v>24</v>
      </c>
      <c r="O71" s="280">
        <v>1</v>
      </c>
      <c r="P71" s="170" t="s">
        <v>163</v>
      </c>
      <c r="Q71" s="25" t="s">
        <v>955</v>
      </c>
      <c r="R71" s="274" t="str">
        <f>"20260417-0000170"</f>
        <v>20260417-0000170</v>
      </c>
    </row>
    <row r="72" spans="1:18">
      <c r="A72" s="273" t="s">
        <v>39</v>
      </c>
      <c r="B72" s="277">
        <v>46129</v>
      </c>
      <c r="C72" s="274" t="s">
        <v>951</v>
      </c>
      <c r="D72" s="274" t="s">
        <v>279</v>
      </c>
      <c r="E72" s="274" t="s">
        <v>257</v>
      </c>
      <c r="F72" s="273">
        <v>92234140364</v>
      </c>
      <c r="G72" s="274" t="s">
        <v>821</v>
      </c>
      <c r="H72" s="274" t="s">
        <v>821</v>
      </c>
      <c r="I72" s="274" t="s">
        <v>280</v>
      </c>
      <c r="J72" s="274">
        <v>1</v>
      </c>
      <c r="K72" s="274" t="str">
        <f>"박*영"</f>
        <v>박*영</v>
      </c>
      <c r="L72" s="274" t="str">
        <f>"박*영"</f>
        <v>박*영</v>
      </c>
      <c r="M72" s="278">
        <v>8809879544101</v>
      </c>
      <c r="N72" s="274" t="s">
        <v>24</v>
      </c>
      <c r="O72" s="280">
        <v>1</v>
      </c>
      <c r="P72" s="170" t="s">
        <v>163</v>
      </c>
      <c r="Q72" s="25" t="s">
        <v>955</v>
      </c>
      <c r="R72" s="274" t="str">
        <f>"20260417-0000208"</f>
        <v>20260417-0000208</v>
      </c>
    </row>
    <row r="73" spans="1:18">
      <c r="A73" s="273" t="s">
        <v>39</v>
      </c>
      <c r="B73" s="277">
        <v>46129</v>
      </c>
      <c r="C73" s="274" t="s">
        <v>699</v>
      </c>
      <c r="D73" s="274" t="s">
        <v>700</v>
      </c>
      <c r="E73" s="274" t="s">
        <v>803</v>
      </c>
      <c r="F73" s="273">
        <v>92234140320</v>
      </c>
      <c r="G73" s="274" t="s">
        <v>824</v>
      </c>
      <c r="H73" s="274" t="s">
        <v>824</v>
      </c>
      <c r="I73" s="274" t="s">
        <v>701</v>
      </c>
      <c r="J73" s="274">
        <v>1</v>
      </c>
      <c r="K73" s="274" t="str">
        <f>"신*주"</f>
        <v>신*주</v>
      </c>
      <c r="L73" s="274" t="str">
        <f>"신*주"</f>
        <v>신*주</v>
      </c>
      <c r="M73" s="278">
        <v>8809879544101</v>
      </c>
      <c r="N73" s="274" t="s">
        <v>24</v>
      </c>
      <c r="O73" s="280">
        <v>1</v>
      </c>
      <c r="P73" s="170" t="s">
        <v>163</v>
      </c>
      <c r="Q73" s="25" t="s">
        <v>618</v>
      </c>
      <c r="R73" s="274" t="str">
        <f>"2412314570095"</f>
        <v>2412314570095</v>
      </c>
    </row>
    <row r="74" spans="1:18">
      <c r="A74" s="273" t="s">
        <v>39</v>
      </c>
      <c r="B74" s="277">
        <v>46128</v>
      </c>
      <c r="C74" s="274" t="s">
        <v>951</v>
      </c>
      <c r="D74" s="274" t="s">
        <v>279</v>
      </c>
      <c r="E74" s="274" t="s">
        <v>257</v>
      </c>
      <c r="F74" s="273">
        <v>92234100991</v>
      </c>
      <c r="G74" s="274" t="s">
        <v>850</v>
      </c>
      <c r="H74" s="274" t="s">
        <v>850</v>
      </c>
      <c r="I74" s="274" t="s">
        <v>293</v>
      </c>
      <c r="J74" s="274">
        <v>1</v>
      </c>
      <c r="K74" s="274" t="str">
        <f>"이*주"</f>
        <v>이*주</v>
      </c>
      <c r="L74" s="274" t="str">
        <f>"이*주"</f>
        <v>이*주</v>
      </c>
      <c r="M74" s="278">
        <v>8809879544101</v>
      </c>
      <c r="N74" s="274" t="s">
        <v>24</v>
      </c>
      <c r="O74" s="280">
        <v>2</v>
      </c>
      <c r="P74" s="170" t="s">
        <v>163</v>
      </c>
      <c r="Q74" s="25" t="s">
        <v>955</v>
      </c>
      <c r="R74" s="274" t="str">
        <f>"20260416-0000245"</f>
        <v>20260416-0000245</v>
      </c>
    </row>
    <row r="75" spans="1:18">
      <c r="A75" s="273" t="s">
        <v>39</v>
      </c>
      <c r="B75" s="277">
        <v>46128</v>
      </c>
      <c r="C75" s="274" t="s">
        <v>951</v>
      </c>
      <c r="D75" s="274" t="s">
        <v>279</v>
      </c>
      <c r="E75" s="274" t="s">
        <v>257</v>
      </c>
      <c r="F75" s="273">
        <v>92234100980</v>
      </c>
      <c r="G75" s="274" t="s">
        <v>851</v>
      </c>
      <c r="H75" s="274" t="s">
        <v>851</v>
      </c>
      <c r="I75" s="274" t="s">
        <v>295</v>
      </c>
      <c r="J75" s="274">
        <v>1</v>
      </c>
      <c r="K75" s="274" t="str">
        <f>"윤*라"</f>
        <v>윤*라</v>
      </c>
      <c r="L75" s="274" t="str">
        <f>"윤*라"</f>
        <v>윤*라</v>
      </c>
      <c r="M75" s="278">
        <v>8809879544101</v>
      </c>
      <c r="N75" s="274" t="s">
        <v>24</v>
      </c>
      <c r="O75" s="280">
        <v>3</v>
      </c>
      <c r="P75" s="170" t="s">
        <v>163</v>
      </c>
      <c r="Q75" s="25" t="s">
        <v>955</v>
      </c>
      <c r="R75" s="274" t="str">
        <f>"20260416-0000250"</f>
        <v>20260416-0000250</v>
      </c>
    </row>
    <row r="76" spans="1:18">
      <c r="A76" s="273" t="s">
        <v>39</v>
      </c>
      <c r="B76" s="277">
        <v>46128</v>
      </c>
      <c r="C76" s="274" t="s">
        <v>951</v>
      </c>
      <c r="D76" s="274" t="s">
        <v>279</v>
      </c>
      <c r="E76" s="274" t="s">
        <v>257</v>
      </c>
      <c r="F76" s="273">
        <v>92234100976</v>
      </c>
      <c r="G76" s="274" t="s">
        <v>849</v>
      </c>
      <c r="H76" s="274" t="s">
        <v>849</v>
      </c>
      <c r="I76" s="274" t="s">
        <v>293</v>
      </c>
      <c r="J76" s="274">
        <v>1</v>
      </c>
      <c r="K76" s="274" t="str">
        <f>"정*연"</f>
        <v>정*연</v>
      </c>
      <c r="L76" s="274" t="str">
        <f>"정*연"</f>
        <v>정*연</v>
      </c>
      <c r="M76" s="278">
        <v>8809879544101</v>
      </c>
      <c r="N76" s="274" t="s">
        <v>24</v>
      </c>
      <c r="O76" s="280">
        <v>2</v>
      </c>
      <c r="P76" s="170" t="s">
        <v>163</v>
      </c>
      <c r="Q76" s="25" t="s">
        <v>955</v>
      </c>
      <c r="R76" s="274" t="str">
        <f>"20260416-0000262"</f>
        <v>20260416-0000262</v>
      </c>
    </row>
    <row r="77" spans="1:18">
      <c r="A77" s="273" t="s">
        <v>39</v>
      </c>
      <c r="B77" s="277">
        <v>46128</v>
      </c>
      <c r="C77" s="274" t="s">
        <v>952</v>
      </c>
      <c r="D77" s="274" t="s">
        <v>46</v>
      </c>
      <c r="E77" s="274" t="s">
        <v>257</v>
      </c>
      <c r="F77" s="273">
        <v>92234100965</v>
      </c>
      <c r="G77" s="274" t="s">
        <v>847</v>
      </c>
      <c r="H77" s="274" t="s">
        <v>946</v>
      </c>
      <c r="I77" s="274"/>
      <c r="J77" s="274">
        <v>1</v>
      </c>
      <c r="K77" s="274" t="str">
        <f>"김*진"</f>
        <v>김*진</v>
      </c>
      <c r="L77" s="274" t="str">
        <f>"김*진"</f>
        <v>김*진</v>
      </c>
      <c r="M77" s="278">
        <v>8809879544118</v>
      </c>
      <c r="N77" s="274" t="s">
        <v>23</v>
      </c>
      <c r="O77" s="280">
        <v>1</v>
      </c>
      <c r="P77" s="170" t="s">
        <v>163</v>
      </c>
      <c r="Q77" s="25" t="s">
        <v>618</v>
      </c>
      <c r="R77" s="274" t="str">
        <f>"20260416-0000272"</f>
        <v>20260416-0000272</v>
      </c>
    </row>
    <row r="78" spans="1:18">
      <c r="A78" s="273" t="s">
        <v>39</v>
      </c>
      <c r="B78" s="277">
        <v>46128</v>
      </c>
      <c r="C78" s="274" t="s">
        <v>953</v>
      </c>
      <c r="D78" s="274" t="s">
        <v>234</v>
      </c>
      <c r="E78" s="274" t="s">
        <v>257</v>
      </c>
      <c r="F78" s="273">
        <v>92234100965</v>
      </c>
      <c r="G78" s="274" t="s">
        <v>847</v>
      </c>
      <c r="H78" s="274" t="s">
        <v>946</v>
      </c>
      <c r="I78" s="274"/>
      <c r="J78" s="274">
        <v>1</v>
      </c>
      <c r="K78" s="274" t="str">
        <f>"김*진"</f>
        <v>김*진</v>
      </c>
      <c r="L78" s="274" t="str">
        <f>"김*진"</f>
        <v>김*진</v>
      </c>
      <c r="M78" s="278">
        <v>8809879544101</v>
      </c>
      <c r="N78" s="274" t="s">
        <v>24</v>
      </c>
      <c r="O78" s="280">
        <v>1</v>
      </c>
      <c r="P78" s="170" t="s">
        <v>163</v>
      </c>
      <c r="Q78" s="25" t="s">
        <v>618</v>
      </c>
      <c r="R78" s="274" t="str">
        <f>"20260416-0000272"</f>
        <v>20260416-0000272</v>
      </c>
    </row>
    <row r="79" spans="1:18">
      <c r="A79" s="273" t="s">
        <v>39</v>
      </c>
      <c r="B79" s="277">
        <v>46128</v>
      </c>
      <c r="C79" s="274" t="s">
        <v>951</v>
      </c>
      <c r="D79" s="274" t="s">
        <v>279</v>
      </c>
      <c r="E79" s="274" t="s">
        <v>257</v>
      </c>
      <c r="F79" s="273">
        <v>92234100943</v>
      </c>
      <c r="G79" s="274" t="s">
        <v>848</v>
      </c>
      <c r="H79" s="274" t="s">
        <v>848</v>
      </c>
      <c r="I79" s="274" t="s">
        <v>293</v>
      </c>
      <c r="J79" s="274">
        <v>1</v>
      </c>
      <c r="K79" s="274" t="str">
        <f>"최*경"</f>
        <v>최*경</v>
      </c>
      <c r="L79" s="274" t="str">
        <f>"최*경"</f>
        <v>최*경</v>
      </c>
      <c r="M79" s="278">
        <v>8809879544101</v>
      </c>
      <c r="N79" s="274" t="s">
        <v>24</v>
      </c>
      <c r="O79" s="280">
        <v>2</v>
      </c>
      <c r="P79" s="170" t="s">
        <v>163</v>
      </c>
      <c r="Q79" s="25" t="s">
        <v>955</v>
      </c>
      <c r="R79" s="274" t="str">
        <f>"20260416-0000144"</f>
        <v>20260416-0000144</v>
      </c>
    </row>
    <row r="80" spans="1:18">
      <c r="A80" s="273" t="s">
        <v>39</v>
      </c>
      <c r="B80" s="277">
        <v>46128</v>
      </c>
      <c r="C80" s="274" t="s">
        <v>951</v>
      </c>
      <c r="D80" s="274" t="s">
        <v>279</v>
      </c>
      <c r="E80" s="274" t="s">
        <v>257</v>
      </c>
      <c r="F80" s="273">
        <v>92234076340</v>
      </c>
      <c r="G80" s="274" t="s">
        <v>839</v>
      </c>
      <c r="H80" s="274" t="s">
        <v>839</v>
      </c>
      <c r="I80" s="274" t="s">
        <v>295</v>
      </c>
      <c r="J80" s="274">
        <v>1</v>
      </c>
      <c r="K80" s="274" t="str">
        <f>"안*기"</f>
        <v>안*기</v>
      </c>
      <c r="L80" s="274" t="str">
        <f>"안*기"</f>
        <v>안*기</v>
      </c>
      <c r="M80" s="278">
        <v>8809879544101</v>
      </c>
      <c r="N80" s="274" t="s">
        <v>24</v>
      </c>
      <c r="O80" s="280">
        <v>3</v>
      </c>
      <c r="P80" s="170" t="s">
        <v>163</v>
      </c>
      <c r="Q80" s="25" t="s">
        <v>955</v>
      </c>
      <c r="R80" s="274" t="str">
        <f>"20260415-0000403"</f>
        <v>20260415-0000403</v>
      </c>
    </row>
    <row r="81" spans="1:18">
      <c r="A81" s="273" t="s">
        <v>39</v>
      </c>
      <c r="B81" s="277">
        <v>46128</v>
      </c>
      <c r="C81" s="274" t="s">
        <v>951</v>
      </c>
      <c r="D81" s="274" t="s">
        <v>279</v>
      </c>
      <c r="E81" s="274" t="s">
        <v>257</v>
      </c>
      <c r="F81" s="273">
        <v>92234076325</v>
      </c>
      <c r="G81" s="274" t="s">
        <v>838</v>
      </c>
      <c r="H81" s="274" t="s">
        <v>838</v>
      </c>
      <c r="I81" s="274" t="s">
        <v>293</v>
      </c>
      <c r="J81" s="274">
        <v>1</v>
      </c>
      <c r="K81" s="274" t="str">
        <f>"한*선"</f>
        <v>한*선</v>
      </c>
      <c r="L81" s="274" t="str">
        <f>"한*선"</f>
        <v>한*선</v>
      </c>
      <c r="M81" s="278">
        <v>8809879544101</v>
      </c>
      <c r="N81" s="274" t="s">
        <v>24</v>
      </c>
      <c r="O81" s="280">
        <v>2</v>
      </c>
      <c r="P81" s="170" t="s">
        <v>163</v>
      </c>
      <c r="Q81" s="25" t="s">
        <v>955</v>
      </c>
      <c r="R81" s="274" t="str">
        <f>"20260415-0000423"</f>
        <v>20260415-0000423</v>
      </c>
    </row>
    <row r="82" spans="1:18">
      <c r="A82" s="273" t="s">
        <v>39</v>
      </c>
      <c r="B82" s="277">
        <v>46128</v>
      </c>
      <c r="C82" s="274" t="s">
        <v>951</v>
      </c>
      <c r="D82" s="274" t="s">
        <v>279</v>
      </c>
      <c r="E82" s="274" t="s">
        <v>257</v>
      </c>
      <c r="F82" s="273">
        <v>92234076314</v>
      </c>
      <c r="G82" s="274" t="s">
        <v>841</v>
      </c>
      <c r="H82" s="274" t="s">
        <v>841</v>
      </c>
      <c r="I82" s="274" t="s">
        <v>295</v>
      </c>
      <c r="J82" s="274">
        <v>1</v>
      </c>
      <c r="K82" s="274" t="str">
        <f>"박*철"</f>
        <v>박*철</v>
      </c>
      <c r="L82" s="274" t="str">
        <f>"박*철"</f>
        <v>박*철</v>
      </c>
      <c r="M82" s="278">
        <v>8809879544101</v>
      </c>
      <c r="N82" s="274" t="s">
        <v>24</v>
      </c>
      <c r="O82" s="280">
        <v>3</v>
      </c>
      <c r="P82" s="170" t="s">
        <v>163</v>
      </c>
      <c r="Q82" s="25" t="s">
        <v>955</v>
      </c>
      <c r="R82" s="274" t="str">
        <f>"20260415-0000431"</f>
        <v>20260415-0000431</v>
      </c>
    </row>
    <row r="83" spans="1:18">
      <c r="A83" s="273" t="s">
        <v>39</v>
      </c>
      <c r="B83" s="277">
        <v>46128</v>
      </c>
      <c r="C83" s="274" t="s">
        <v>951</v>
      </c>
      <c r="D83" s="274" t="s">
        <v>279</v>
      </c>
      <c r="E83" s="274" t="s">
        <v>257</v>
      </c>
      <c r="F83" s="273">
        <v>92234076292</v>
      </c>
      <c r="G83" s="274" t="s">
        <v>843</v>
      </c>
      <c r="H83" s="274" t="s">
        <v>843</v>
      </c>
      <c r="I83" s="274" t="s">
        <v>293</v>
      </c>
      <c r="J83" s="274">
        <v>1</v>
      </c>
      <c r="K83" s="274" t="str">
        <f>"이*영"</f>
        <v>이*영</v>
      </c>
      <c r="L83" s="274" t="str">
        <f>"이*영"</f>
        <v>이*영</v>
      </c>
      <c r="M83" s="278">
        <v>8809879544101</v>
      </c>
      <c r="N83" s="274" t="s">
        <v>24</v>
      </c>
      <c r="O83" s="280">
        <v>2</v>
      </c>
      <c r="P83" s="170" t="s">
        <v>163</v>
      </c>
      <c r="Q83" s="25" t="s">
        <v>955</v>
      </c>
      <c r="R83" s="274" t="str">
        <f>"20260415-0000461"</f>
        <v>20260415-0000461</v>
      </c>
    </row>
    <row r="84" spans="1:18">
      <c r="A84" s="273" t="s">
        <v>39</v>
      </c>
      <c r="B84" s="277">
        <v>46128</v>
      </c>
      <c r="C84" s="274" t="s">
        <v>951</v>
      </c>
      <c r="D84" s="274" t="s">
        <v>279</v>
      </c>
      <c r="E84" s="274" t="s">
        <v>257</v>
      </c>
      <c r="F84" s="273">
        <v>92234076281</v>
      </c>
      <c r="G84" s="274" t="s">
        <v>840</v>
      </c>
      <c r="H84" s="274" t="s">
        <v>840</v>
      </c>
      <c r="I84" s="274" t="s">
        <v>295</v>
      </c>
      <c r="J84" s="274">
        <v>1</v>
      </c>
      <c r="K84" s="274" t="str">
        <f>"심*영"</f>
        <v>심*영</v>
      </c>
      <c r="L84" s="274" t="str">
        <f>"전*웅"</f>
        <v>전*웅</v>
      </c>
      <c r="M84" s="278">
        <v>8809879544101</v>
      </c>
      <c r="N84" s="274" t="s">
        <v>24</v>
      </c>
      <c r="O84" s="280">
        <v>3</v>
      </c>
      <c r="P84" s="170" t="s">
        <v>163</v>
      </c>
      <c r="Q84" s="25" t="s">
        <v>955</v>
      </c>
      <c r="R84" s="274" t="str">
        <f>"20260415-0000472"</f>
        <v>20260415-0000472</v>
      </c>
    </row>
    <row r="85" spans="1:18">
      <c r="A85" s="273" t="s">
        <v>39</v>
      </c>
      <c r="B85" s="277">
        <v>46128</v>
      </c>
      <c r="C85" s="274" t="s">
        <v>951</v>
      </c>
      <c r="D85" s="274" t="s">
        <v>279</v>
      </c>
      <c r="E85" s="274" t="s">
        <v>257</v>
      </c>
      <c r="F85" s="273">
        <v>92234076270</v>
      </c>
      <c r="G85" s="274" t="s">
        <v>837</v>
      </c>
      <c r="H85" s="274" t="s">
        <v>837</v>
      </c>
      <c r="I85" s="274" t="s">
        <v>293</v>
      </c>
      <c r="J85" s="274">
        <v>1</v>
      </c>
      <c r="K85" s="274" t="str">
        <f>"손*은"</f>
        <v>손*은</v>
      </c>
      <c r="L85" s="274" t="str">
        <f>"손*은"</f>
        <v>손*은</v>
      </c>
      <c r="M85" s="278">
        <v>8809879544101</v>
      </c>
      <c r="N85" s="274" t="s">
        <v>24</v>
      </c>
      <c r="O85" s="280">
        <v>2</v>
      </c>
      <c r="P85" s="170" t="s">
        <v>163</v>
      </c>
      <c r="Q85" s="25" t="s">
        <v>955</v>
      </c>
      <c r="R85" s="274" t="str">
        <f>"20260415-0000505"</f>
        <v>20260415-0000505</v>
      </c>
    </row>
    <row r="86" spans="1:18">
      <c r="A86" s="273" t="s">
        <v>39</v>
      </c>
      <c r="B86" s="277">
        <v>46128</v>
      </c>
      <c r="C86" s="274" t="s">
        <v>951</v>
      </c>
      <c r="D86" s="274" t="s">
        <v>279</v>
      </c>
      <c r="E86" s="274" t="s">
        <v>257</v>
      </c>
      <c r="F86" s="273">
        <v>92234076222</v>
      </c>
      <c r="G86" s="274" t="s">
        <v>842</v>
      </c>
      <c r="H86" s="274" t="s">
        <v>842</v>
      </c>
      <c r="I86" s="274" t="s">
        <v>280</v>
      </c>
      <c r="J86" s="274">
        <v>1</v>
      </c>
      <c r="K86" s="274" t="str">
        <f>"김*영"</f>
        <v>김*영</v>
      </c>
      <c r="L86" s="274" t="str">
        <f>"김*영"</f>
        <v>김*영</v>
      </c>
      <c r="M86" s="278">
        <v>8809879544101</v>
      </c>
      <c r="N86" s="274" t="s">
        <v>24</v>
      </c>
      <c r="O86" s="280">
        <v>1</v>
      </c>
      <c r="P86" s="170" t="s">
        <v>163</v>
      </c>
      <c r="Q86" s="25" t="s">
        <v>955</v>
      </c>
      <c r="R86" s="274" t="str">
        <f>"20260415-0000641"</f>
        <v>20260415-0000641</v>
      </c>
    </row>
    <row r="87" spans="1:18">
      <c r="A87" s="273" t="s">
        <v>39</v>
      </c>
      <c r="B87" s="277">
        <v>46128</v>
      </c>
      <c r="C87" s="274" t="s">
        <v>951</v>
      </c>
      <c r="D87" s="274" t="s">
        <v>279</v>
      </c>
      <c r="E87" s="274" t="s">
        <v>257</v>
      </c>
      <c r="F87" s="273">
        <v>92234076163</v>
      </c>
      <c r="G87" s="274" t="s">
        <v>836</v>
      </c>
      <c r="H87" s="274" t="s">
        <v>836</v>
      </c>
      <c r="I87" s="274" t="s">
        <v>293</v>
      </c>
      <c r="J87" s="274">
        <v>1</v>
      </c>
      <c r="K87" s="274" t="str">
        <f>"정*희"</f>
        <v>정*희</v>
      </c>
      <c r="L87" s="274" t="str">
        <f>"정*희"</f>
        <v>정*희</v>
      </c>
      <c r="M87" s="278">
        <v>8809879544101</v>
      </c>
      <c r="N87" s="274" t="s">
        <v>24</v>
      </c>
      <c r="O87" s="280">
        <v>2</v>
      </c>
      <c r="P87" s="170" t="s">
        <v>163</v>
      </c>
      <c r="Q87" s="25" t="s">
        <v>955</v>
      </c>
      <c r="R87" s="274" t="str">
        <f>"20260415-0000804"</f>
        <v>20260415-0000804</v>
      </c>
    </row>
    <row r="88" spans="1:18">
      <c r="A88" s="273" t="s">
        <v>39</v>
      </c>
      <c r="B88" s="277">
        <v>46128</v>
      </c>
      <c r="C88" s="274" t="s">
        <v>951</v>
      </c>
      <c r="D88" s="274" t="s">
        <v>279</v>
      </c>
      <c r="E88" s="274" t="s">
        <v>257</v>
      </c>
      <c r="F88" s="273">
        <v>92234076152</v>
      </c>
      <c r="G88" s="274" t="s">
        <v>835</v>
      </c>
      <c r="H88" s="274" t="s">
        <v>835</v>
      </c>
      <c r="I88" s="274" t="s">
        <v>293</v>
      </c>
      <c r="J88" s="274">
        <v>1</v>
      </c>
      <c r="K88" s="274" t="str">
        <f>"노*채"</f>
        <v>노*채</v>
      </c>
      <c r="L88" s="274" t="str">
        <f>"노*채"</f>
        <v>노*채</v>
      </c>
      <c r="M88" s="278">
        <v>8809879544101</v>
      </c>
      <c r="N88" s="274" t="s">
        <v>24</v>
      </c>
      <c r="O88" s="280">
        <v>2</v>
      </c>
      <c r="P88" s="170" t="s">
        <v>163</v>
      </c>
      <c r="Q88" s="25" t="s">
        <v>955</v>
      </c>
      <c r="R88" s="274" t="str">
        <f>"20260415-0000811"</f>
        <v>20260415-0000811</v>
      </c>
    </row>
    <row r="89" spans="1:18">
      <c r="A89" s="273" t="s">
        <v>39</v>
      </c>
      <c r="B89" s="277">
        <v>46128</v>
      </c>
      <c r="C89" s="274" t="s">
        <v>951</v>
      </c>
      <c r="D89" s="274" t="s">
        <v>279</v>
      </c>
      <c r="E89" s="274" t="s">
        <v>257</v>
      </c>
      <c r="F89" s="273">
        <v>92234076130</v>
      </c>
      <c r="G89" s="274" t="s">
        <v>834</v>
      </c>
      <c r="H89" s="274" t="s">
        <v>834</v>
      </c>
      <c r="I89" s="274" t="s">
        <v>293</v>
      </c>
      <c r="J89" s="274">
        <v>1</v>
      </c>
      <c r="K89" s="274" t="str">
        <f>"심**미"</f>
        <v>심**미</v>
      </c>
      <c r="L89" s="274" t="str">
        <f>"심**미"</f>
        <v>심**미</v>
      </c>
      <c r="M89" s="278">
        <v>8809879544101</v>
      </c>
      <c r="N89" s="274" t="s">
        <v>24</v>
      </c>
      <c r="O89" s="280">
        <v>2</v>
      </c>
      <c r="P89" s="170" t="s">
        <v>163</v>
      </c>
      <c r="Q89" s="25" t="s">
        <v>955</v>
      </c>
      <c r="R89" s="274" t="str">
        <f>"20260416-0000064"</f>
        <v>20260416-0000064</v>
      </c>
    </row>
    <row r="90" spans="1:18">
      <c r="A90" s="273" t="s">
        <v>39</v>
      </c>
      <c r="B90" s="277">
        <v>46128</v>
      </c>
      <c r="C90" s="274" t="s">
        <v>951</v>
      </c>
      <c r="D90" s="274" t="s">
        <v>279</v>
      </c>
      <c r="E90" s="274" t="s">
        <v>257</v>
      </c>
      <c r="F90" s="273">
        <v>92234101083</v>
      </c>
      <c r="G90" s="274" t="s">
        <v>844</v>
      </c>
      <c r="H90" s="274" t="s">
        <v>844</v>
      </c>
      <c r="I90" s="274" t="s">
        <v>280</v>
      </c>
      <c r="J90" s="274">
        <v>1</v>
      </c>
      <c r="K90" s="274" t="str">
        <f>"김*영"</f>
        <v>김*영</v>
      </c>
      <c r="L90" s="274" t="str">
        <f>"김*영"</f>
        <v>김*영</v>
      </c>
      <c r="M90" s="278">
        <v>8809879544101</v>
      </c>
      <c r="N90" s="274" t="s">
        <v>24</v>
      </c>
      <c r="O90" s="280">
        <v>1</v>
      </c>
      <c r="P90" s="170" t="s">
        <v>163</v>
      </c>
      <c r="Q90" s="25" t="s">
        <v>955</v>
      </c>
      <c r="R90" s="274" t="str">
        <f>"20260416-0000357"</f>
        <v>20260416-0000357</v>
      </c>
    </row>
    <row r="91" spans="1:18">
      <c r="A91" s="273" t="s">
        <v>39</v>
      </c>
      <c r="B91" s="277">
        <v>46128</v>
      </c>
      <c r="C91" s="274" t="s">
        <v>951</v>
      </c>
      <c r="D91" s="274" t="s">
        <v>279</v>
      </c>
      <c r="E91" s="274" t="s">
        <v>257</v>
      </c>
      <c r="F91" s="273">
        <v>92234101131</v>
      </c>
      <c r="G91" s="274" t="s">
        <v>846</v>
      </c>
      <c r="H91" s="274" t="s">
        <v>846</v>
      </c>
      <c r="I91" s="274" t="s">
        <v>280</v>
      </c>
      <c r="J91" s="274">
        <v>1</v>
      </c>
      <c r="K91" s="274" t="str">
        <f>"강*혜"</f>
        <v>강*혜</v>
      </c>
      <c r="L91" s="274" t="str">
        <f>"강*혜"</f>
        <v>강*혜</v>
      </c>
      <c r="M91" s="278">
        <v>8809879544101</v>
      </c>
      <c r="N91" s="274" t="s">
        <v>24</v>
      </c>
      <c r="O91" s="280">
        <v>1</v>
      </c>
      <c r="P91" s="170" t="s">
        <v>163</v>
      </c>
      <c r="Q91" s="25" t="s">
        <v>955</v>
      </c>
      <c r="R91" s="274" t="str">
        <f>"20260416-0000185"</f>
        <v>20260416-0000185</v>
      </c>
    </row>
    <row r="92" spans="1:18">
      <c r="A92" s="273" t="s">
        <v>39</v>
      </c>
      <c r="B92" s="277">
        <v>46128</v>
      </c>
      <c r="C92" s="274" t="s">
        <v>951</v>
      </c>
      <c r="D92" s="274" t="s">
        <v>279</v>
      </c>
      <c r="E92" s="274" t="s">
        <v>257</v>
      </c>
      <c r="F92" s="273">
        <v>92234101094</v>
      </c>
      <c r="G92" s="274" t="s">
        <v>845</v>
      </c>
      <c r="H92" s="274" t="s">
        <v>845</v>
      </c>
      <c r="I92" s="274" t="s">
        <v>280</v>
      </c>
      <c r="J92" s="274">
        <v>1</v>
      </c>
      <c r="K92" s="274" t="str">
        <f>"L******I"</f>
        <v>L******I</v>
      </c>
      <c r="L92" s="274" t="str">
        <f>"쏘*네"</f>
        <v>쏘*네</v>
      </c>
      <c r="M92" s="278">
        <v>8809879544101</v>
      </c>
      <c r="N92" s="274" t="s">
        <v>24</v>
      </c>
      <c r="O92" s="280">
        <v>1</v>
      </c>
      <c r="P92" s="170" t="s">
        <v>163</v>
      </c>
      <c r="Q92" s="25" t="s">
        <v>955</v>
      </c>
      <c r="R92" s="274" t="str">
        <f>"20260416-0000235"</f>
        <v>20260416-0000235</v>
      </c>
    </row>
    <row r="93" spans="1:18">
      <c r="A93" s="273" t="s">
        <v>39</v>
      </c>
      <c r="B93" s="277">
        <v>46128</v>
      </c>
      <c r="C93" s="274" t="s">
        <v>951</v>
      </c>
      <c r="D93" s="274" t="s">
        <v>279</v>
      </c>
      <c r="E93" s="274" t="s">
        <v>257</v>
      </c>
      <c r="F93" s="273">
        <v>92234076675</v>
      </c>
      <c r="G93" s="274" t="s">
        <v>833</v>
      </c>
      <c r="H93" s="274" t="s">
        <v>833</v>
      </c>
      <c r="I93" s="274" t="s">
        <v>280</v>
      </c>
      <c r="J93" s="274">
        <v>1</v>
      </c>
      <c r="K93" s="274" t="str">
        <f>"최*"</f>
        <v>최*</v>
      </c>
      <c r="L93" s="274" t="str">
        <f>"최*"</f>
        <v>최*</v>
      </c>
      <c r="M93" s="278">
        <v>8809879544101</v>
      </c>
      <c r="N93" s="274" t="s">
        <v>24</v>
      </c>
      <c r="O93" s="280">
        <v>1</v>
      </c>
      <c r="P93" s="170" t="s">
        <v>163</v>
      </c>
      <c r="Q93" s="25" t="s">
        <v>955</v>
      </c>
      <c r="R93" s="274" t="str">
        <f>"20260415-0000257"</f>
        <v>20260415-0000257</v>
      </c>
    </row>
    <row r="94" spans="1:18">
      <c r="A94" s="273" t="s">
        <v>39</v>
      </c>
      <c r="B94" s="277">
        <v>46128</v>
      </c>
      <c r="C94" s="274" t="s">
        <v>951</v>
      </c>
      <c r="D94" s="274" t="s">
        <v>279</v>
      </c>
      <c r="E94" s="274" t="s">
        <v>257</v>
      </c>
      <c r="F94" s="273">
        <v>92234076642</v>
      </c>
      <c r="G94" s="274" t="s">
        <v>832</v>
      </c>
      <c r="H94" s="274" t="s">
        <v>832</v>
      </c>
      <c r="I94" s="274" t="s">
        <v>280</v>
      </c>
      <c r="J94" s="274">
        <v>1</v>
      </c>
      <c r="K94" s="274" t="str">
        <f>"김*미"</f>
        <v>김*미</v>
      </c>
      <c r="L94" s="274" t="str">
        <f>"김*미"</f>
        <v>김*미</v>
      </c>
      <c r="M94" s="278">
        <v>8809879544101</v>
      </c>
      <c r="N94" s="274" t="s">
        <v>24</v>
      </c>
      <c r="O94" s="280">
        <v>1</v>
      </c>
      <c r="P94" s="170" t="s">
        <v>163</v>
      </c>
      <c r="Q94" s="25" t="s">
        <v>955</v>
      </c>
      <c r="R94" s="274" t="str">
        <f>"20260415-0000285"</f>
        <v>20260415-0000285</v>
      </c>
    </row>
    <row r="95" spans="1:18">
      <c r="A95" s="273" t="s">
        <v>39</v>
      </c>
      <c r="B95" s="277">
        <v>46128</v>
      </c>
      <c r="C95" s="274" t="s">
        <v>951</v>
      </c>
      <c r="D95" s="274" t="s">
        <v>279</v>
      </c>
      <c r="E95" s="274" t="s">
        <v>257</v>
      </c>
      <c r="F95" s="273">
        <v>92234076631</v>
      </c>
      <c r="G95" s="274" t="s">
        <v>831</v>
      </c>
      <c r="H95" s="274" t="s">
        <v>831</v>
      </c>
      <c r="I95" s="274" t="s">
        <v>280</v>
      </c>
      <c r="J95" s="274">
        <v>1</v>
      </c>
      <c r="K95" s="274" t="str">
        <f>"엄*민"</f>
        <v>엄*민</v>
      </c>
      <c r="L95" s="274" t="str">
        <f>"엄*민"</f>
        <v>엄*민</v>
      </c>
      <c r="M95" s="278">
        <v>8809879544101</v>
      </c>
      <c r="N95" s="274" t="s">
        <v>24</v>
      </c>
      <c r="O95" s="280">
        <v>1</v>
      </c>
      <c r="P95" s="170" t="s">
        <v>163</v>
      </c>
      <c r="Q95" s="25" t="s">
        <v>955</v>
      </c>
      <c r="R95" s="274" t="str">
        <f>"20260415-0000298"</f>
        <v>20260415-0000298</v>
      </c>
    </row>
    <row r="96" spans="1:18">
      <c r="A96" s="273" t="s">
        <v>39</v>
      </c>
      <c r="B96" s="277">
        <v>46128</v>
      </c>
      <c r="C96" s="274" t="s">
        <v>951</v>
      </c>
      <c r="D96" s="274" t="s">
        <v>279</v>
      </c>
      <c r="E96" s="274" t="s">
        <v>257</v>
      </c>
      <c r="F96" s="273">
        <v>92234076583</v>
      </c>
      <c r="G96" s="274" t="s">
        <v>830</v>
      </c>
      <c r="H96" s="274" t="s">
        <v>830</v>
      </c>
      <c r="I96" s="274" t="s">
        <v>280</v>
      </c>
      <c r="J96" s="274">
        <v>1</v>
      </c>
      <c r="K96" s="274" t="str">
        <f>"김*희"</f>
        <v>김*희</v>
      </c>
      <c r="L96" s="274" t="str">
        <f>"김*수"</f>
        <v>김*수</v>
      </c>
      <c r="M96" s="278">
        <v>8809879544101</v>
      </c>
      <c r="N96" s="274" t="s">
        <v>24</v>
      </c>
      <c r="O96" s="280">
        <v>1</v>
      </c>
      <c r="P96" s="170" t="s">
        <v>163</v>
      </c>
      <c r="Q96" s="25" t="s">
        <v>955</v>
      </c>
      <c r="R96" s="274" t="str">
        <f>"20260415-0000522"</f>
        <v>20260415-0000522</v>
      </c>
    </row>
    <row r="97" spans="1:18">
      <c r="A97" s="273" t="s">
        <v>39</v>
      </c>
      <c r="B97" s="277">
        <v>46128</v>
      </c>
      <c r="C97" s="274" t="s">
        <v>951</v>
      </c>
      <c r="D97" s="274" t="s">
        <v>279</v>
      </c>
      <c r="E97" s="274" t="s">
        <v>257</v>
      </c>
      <c r="F97" s="273">
        <v>92234076561</v>
      </c>
      <c r="G97" s="274" t="s">
        <v>829</v>
      </c>
      <c r="H97" s="274" t="s">
        <v>829</v>
      </c>
      <c r="I97" s="274" t="s">
        <v>280</v>
      </c>
      <c r="J97" s="274">
        <v>1</v>
      </c>
      <c r="K97" s="274" t="str">
        <f>"윤*민"</f>
        <v>윤*민</v>
      </c>
      <c r="L97" s="274" t="str">
        <f>"윤*민"</f>
        <v>윤*민</v>
      </c>
      <c r="M97" s="278">
        <v>8809879544101</v>
      </c>
      <c r="N97" s="274" t="s">
        <v>24</v>
      </c>
      <c r="O97" s="280">
        <v>1</v>
      </c>
      <c r="P97" s="170" t="s">
        <v>163</v>
      </c>
      <c r="Q97" s="25" t="s">
        <v>955</v>
      </c>
      <c r="R97" s="274" t="str">
        <f>"20260415-0000569"</f>
        <v>20260415-0000569</v>
      </c>
    </row>
    <row r="98" spans="1:18">
      <c r="A98" s="273" t="s">
        <v>39</v>
      </c>
      <c r="B98" s="277">
        <v>46128</v>
      </c>
      <c r="C98" s="274" t="s">
        <v>951</v>
      </c>
      <c r="D98" s="274" t="s">
        <v>279</v>
      </c>
      <c r="E98" s="274" t="s">
        <v>257</v>
      </c>
      <c r="F98" s="273">
        <v>92234076550</v>
      </c>
      <c r="G98" s="274" t="s">
        <v>828</v>
      </c>
      <c r="H98" s="274" t="s">
        <v>828</v>
      </c>
      <c r="I98" s="274" t="s">
        <v>280</v>
      </c>
      <c r="J98" s="274">
        <v>1</v>
      </c>
      <c r="K98" s="274" t="str">
        <f>"김*두"</f>
        <v>김*두</v>
      </c>
      <c r="L98" s="274" t="str">
        <f>"김*두"</f>
        <v>김*두</v>
      </c>
      <c r="M98" s="278">
        <v>8809879544101</v>
      </c>
      <c r="N98" s="274" t="s">
        <v>24</v>
      </c>
      <c r="O98" s="280">
        <v>1</v>
      </c>
      <c r="P98" s="170" t="s">
        <v>163</v>
      </c>
      <c r="Q98" s="25" t="s">
        <v>955</v>
      </c>
      <c r="R98" s="274" t="str">
        <f>"20260415-0000585"</f>
        <v>20260415-0000585</v>
      </c>
    </row>
    <row r="99" spans="1:18">
      <c r="A99" s="273" t="s">
        <v>39</v>
      </c>
      <c r="B99" s="277">
        <v>46128</v>
      </c>
      <c r="C99" s="274" t="s">
        <v>951</v>
      </c>
      <c r="D99" s="274" t="s">
        <v>279</v>
      </c>
      <c r="E99" s="274" t="s">
        <v>257</v>
      </c>
      <c r="F99" s="273">
        <v>92234076513</v>
      </c>
      <c r="G99" s="274" t="s">
        <v>827</v>
      </c>
      <c r="H99" s="274" t="s">
        <v>827</v>
      </c>
      <c r="I99" s="274" t="s">
        <v>280</v>
      </c>
      <c r="J99" s="274">
        <v>1</v>
      </c>
      <c r="K99" s="274" t="str">
        <f>"정*희"</f>
        <v>정*희</v>
      </c>
      <c r="L99" s="274" t="str">
        <f>"정*희"</f>
        <v>정*희</v>
      </c>
      <c r="M99" s="278">
        <v>8809879544101</v>
      </c>
      <c r="N99" s="274" t="s">
        <v>24</v>
      </c>
      <c r="O99" s="280">
        <v>1</v>
      </c>
      <c r="P99" s="170" t="s">
        <v>163</v>
      </c>
      <c r="Q99" s="25" t="s">
        <v>955</v>
      </c>
      <c r="R99" s="274" t="str">
        <f>"20260415-0000709"</f>
        <v>20260415-0000709</v>
      </c>
    </row>
    <row r="100" spans="1:18">
      <c r="A100" s="273" t="s">
        <v>39</v>
      </c>
      <c r="B100" s="277">
        <v>46128</v>
      </c>
      <c r="C100" s="274" t="s">
        <v>951</v>
      </c>
      <c r="D100" s="274" t="s">
        <v>279</v>
      </c>
      <c r="E100" s="274" t="s">
        <v>257</v>
      </c>
      <c r="F100" s="273">
        <v>92234076432</v>
      </c>
      <c r="G100" s="274" t="s">
        <v>826</v>
      </c>
      <c r="H100" s="274" t="s">
        <v>826</v>
      </c>
      <c r="I100" s="274" t="s">
        <v>280</v>
      </c>
      <c r="J100" s="274">
        <v>1</v>
      </c>
      <c r="K100" s="274" t="str">
        <f>"양*진"</f>
        <v>양*진</v>
      </c>
      <c r="L100" s="274" t="str">
        <f>"양*진"</f>
        <v>양*진</v>
      </c>
      <c r="M100" s="278">
        <v>8809879544101</v>
      </c>
      <c r="N100" s="274" t="s">
        <v>24</v>
      </c>
      <c r="O100" s="280">
        <v>1</v>
      </c>
      <c r="P100" s="170" t="s">
        <v>163</v>
      </c>
      <c r="Q100" s="25" t="s">
        <v>955</v>
      </c>
      <c r="R100" s="274" t="str">
        <f>"20260416-0000029"</f>
        <v>20260416-0000029</v>
      </c>
    </row>
    <row r="101" spans="1:18">
      <c r="A101" s="273" t="s">
        <v>39</v>
      </c>
      <c r="B101" s="277">
        <v>46127</v>
      </c>
      <c r="C101" s="274" t="s">
        <v>951</v>
      </c>
      <c r="D101" s="274" t="s">
        <v>279</v>
      </c>
      <c r="E101" s="274" t="s">
        <v>257</v>
      </c>
      <c r="F101" s="273">
        <v>92234045632</v>
      </c>
      <c r="G101" s="274" t="s">
        <v>855</v>
      </c>
      <c r="H101" s="274" t="s">
        <v>855</v>
      </c>
      <c r="I101" s="274" t="s">
        <v>293</v>
      </c>
      <c r="J101" s="274">
        <v>1</v>
      </c>
      <c r="K101" s="274" t="str">
        <f>"김*경"</f>
        <v>김*경</v>
      </c>
      <c r="L101" s="274" t="str">
        <f>"김*경"</f>
        <v>김*경</v>
      </c>
      <c r="M101" s="278">
        <v>8809879544101</v>
      </c>
      <c r="N101" s="274" t="s">
        <v>24</v>
      </c>
      <c r="O101" s="280">
        <v>2</v>
      </c>
      <c r="P101" s="170" t="s">
        <v>163</v>
      </c>
      <c r="Q101" s="25" t="s">
        <v>955</v>
      </c>
      <c r="R101" s="274" t="str">
        <f>"20260415-0000032"</f>
        <v>20260415-0000032</v>
      </c>
    </row>
    <row r="102" spans="1:18">
      <c r="A102" s="273" t="s">
        <v>39</v>
      </c>
      <c r="B102" s="277">
        <v>46127</v>
      </c>
      <c r="C102" s="274" t="s">
        <v>951</v>
      </c>
      <c r="D102" s="274" t="s">
        <v>279</v>
      </c>
      <c r="E102" s="274" t="s">
        <v>257</v>
      </c>
      <c r="F102" s="273">
        <v>92234045621</v>
      </c>
      <c r="G102" s="274" t="s">
        <v>854</v>
      </c>
      <c r="H102" s="274" t="s">
        <v>854</v>
      </c>
      <c r="I102" s="274" t="s">
        <v>293</v>
      </c>
      <c r="J102" s="274">
        <v>1</v>
      </c>
      <c r="K102" s="274" t="str">
        <f>"임*은"</f>
        <v>임*은</v>
      </c>
      <c r="L102" s="274" t="str">
        <f>"임*은"</f>
        <v>임*은</v>
      </c>
      <c r="M102" s="278">
        <v>8809879544101</v>
      </c>
      <c r="N102" s="274" t="s">
        <v>24</v>
      </c>
      <c r="O102" s="280">
        <v>2</v>
      </c>
      <c r="P102" s="170" t="s">
        <v>163</v>
      </c>
      <c r="Q102" s="25" t="s">
        <v>955</v>
      </c>
      <c r="R102" s="274" t="str">
        <f>"20260415-0000061"</f>
        <v>20260415-0000061</v>
      </c>
    </row>
    <row r="103" spans="1:18">
      <c r="A103" s="273" t="s">
        <v>39</v>
      </c>
      <c r="B103" s="277">
        <v>46127</v>
      </c>
      <c r="C103" s="274" t="s">
        <v>951</v>
      </c>
      <c r="D103" s="274" t="s">
        <v>279</v>
      </c>
      <c r="E103" s="274" t="s">
        <v>257</v>
      </c>
      <c r="F103" s="273">
        <v>92234045610</v>
      </c>
      <c r="G103" s="274" t="s">
        <v>853</v>
      </c>
      <c r="H103" s="274" t="s">
        <v>853</v>
      </c>
      <c r="I103" s="274" t="s">
        <v>295</v>
      </c>
      <c r="J103" s="274">
        <v>1</v>
      </c>
      <c r="K103" s="274" t="str">
        <f>"김*영"</f>
        <v>김*영</v>
      </c>
      <c r="L103" s="274" t="str">
        <f>"김*영"</f>
        <v>김*영</v>
      </c>
      <c r="M103" s="278">
        <v>8809879544101</v>
      </c>
      <c r="N103" s="274" t="s">
        <v>24</v>
      </c>
      <c r="O103" s="280">
        <v>3</v>
      </c>
      <c r="P103" s="170" t="s">
        <v>163</v>
      </c>
      <c r="Q103" s="25" t="s">
        <v>955</v>
      </c>
      <c r="R103" s="274" t="str">
        <f>"20260415-0000106"</f>
        <v>20260415-0000106</v>
      </c>
    </row>
    <row r="104" spans="1:18">
      <c r="A104" s="273" t="s">
        <v>39</v>
      </c>
      <c r="B104" s="277">
        <v>46127</v>
      </c>
      <c r="C104" s="274" t="s">
        <v>951</v>
      </c>
      <c r="D104" s="274" t="s">
        <v>279</v>
      </c>
      <c r="E104" s="274" t="s">
        <v>257</v>
      </c>
      <c r="F104" s="273">
        <v>92234045562</v>
      </c>
      <c r="G104" s="274" t="s">
        <v>852</v>
      </c>
      <c r="H104" s="274" t="s">
        <v>852</v>
      </c>
      <c r="I104" s="274" t="s">
        <v>295</v>
      </c>
      <c r="J104" s="274">
        <v>1</v>
      </c>
      <c r="K104" s="274" t="str">
        <f>"임*선"</f>
        <v>임*선</v>
      </c>
      <c r="L104" s="274" t="str">
        <f>"김*란"</f>
        <v>김*란</v>
      </c>
      <c r="M104" s="278">
        <v>8809879544101</v>
      </c>
      <c r="N104" s="274" t="s">
        <v>24</v>
      </c>
      <c r="O104" s="280">
        <v>3</v>
      </c>
      <c r="P104" s="170" t="s">
        <v>163</v>
      </c>
      <c r="Q104" s="25" t="s">
        <v>955</v>
      </c>
      <c r="R104" s="274" t="str">
        <f>"20260414-0000388"</f>
        <v>20260414-0000388</v>
      </c>
    </row>
    <row r="105" spans="1:18">
      <c r="A105" s="273" t="s">
        <v>39</v>
      </c>
      <c r="B105" s="277">
        <v>46127</v>
      </c>
      <c r="C105" s="274" t="s">
        <v>951</v>
      </c>
      <c r="D105" s="274" t="s">
        <v>279</v>
      </c>
      <c r="E105" s="274" t="s">
        <v>257</v>
      </c>
      <c r="F105" s="273">
        <v>92234046026</v>
      </c>
      <c r="G105" s="274" t="s">
        <v>861</v>
      </c>
      <c r="H105" s="274" t="s">
        <v>861</v>
      </c>
      <c r="I105" s="274" t="s">
        <v>280</v>
      </c>
      <c r="J105" s="274">
        <v>1</v>
      </c>
      <c r="K105" s="274" t="str">
        <f>"김*아"</f>
        <v>김*아</v>
      </c>
      <c r="L105" s="274" t="str">
        <f>"김*아"</f>
        <v>김*아</v>
      </c>
      <c r="M105" s="278">
        <v>8809879544101</v>
      </c>
      <c r="N105" s="274" t="s">
        <v>24</v>
      </c>
      <c r="O105" s="280">
        <v>1</v>
      </c>
      <c r="P105" s="170" t="s">
        <v>163</v>
      </c>
      <c r="Q105" s="25" t="s">
        <v>955</v>
      </c>
      <c r="R105" s="274" t="str">
        <f>"20260414-0000401"</f>
        <v>20260414-0000401</v>
      </c>
    </row>
    <row r="106" spans="1:18">
      <c r="A106" s="273" t="s">
        <v>39</v>
      </c>
      <c r="B106" s="277">
        <v>46127</v>
      </c>
      <c r="C106" s="274" t="s">
        <v>951</v>
      </c>
      <c r="D106" s="274" t="s">
        <v>279</v>
      </c>
      <c r="E106" s="274" t="s">
        <v>257</v>
      </c>
      <c r="F106" s="273">
        <v>92234045960</v>
      </c>
      <c r="G106" s="274" t="s">
        <v>860</v>
      </c>
      <c r="H106" s="274" t="s">
        <v>860</v>
      </c>
      <c r="I106" s="274" t="s">
        <v>280</v>
      </c>
      <c r="J106" s="274">
        <v>1</v>
      </c>
      <c r="K106" s="274" t="str">
        <f>"윤*희"</f>
        <v>윤*희</v>
      </c>
      <c r="L106" s="274" t="str">
        <f>"윤*희"</f>
        <v>윤*희</v>
      </c>
      <c r="M106" s="278">
        <v>8809879544101</v>
      </c>
      <c r="N106" s="274" t="s">
        <v>24</v>
      </c>
      <c r="O106" s="280">
        <v>1</v>
      </c>
      <c r="P106" s="170" t="s">
        <v>163</v>
      </c>
      <c r="Q106" s="25" t="s">
        <v>955</v>
      </c>
      <c r="R106" s="274" t="str">
        <f>"20260414-0000523"</f>
        <v>20260414-0000523</v>
      </c>
    </row>
    <row r="107" spans="1:18">
      <c r="A107" s="273" t="s">
        <v>39</v>
      </c>
      <c r="B107" s="277">
        <v>46127</v>
      </c>
      <c r="C107" s="274" t="s">
        <v>951</v>
      </c>
      <c r="D107" s="274" t="s">
        <v>279</v>
      </c>
      <c r="E107" s="274" t="s">
        <v>257</v>
      </c>
      <c r="F107" s="273">
        <v>92234045945</v>
      </c>
      <c r="G107" s="274" t="s">
        <v>859</v>
      </c>
      <c r="H107" s="274" t="s">
        <v>859</v>
      </c>
      <c r="I107" s="274" t="s">
        <v>280</v>
      </c>
      <c r="J107" s="274">
        <v>1</v>
      </c>
      <c r="K107" s="274" t="str">
        <f>"이*미"</f>
        <v>이*미</v>
      </c>
      <c r="L107" s="274" t="str">
        <f>"이*미"</f>
        <v>이*미</v>
      </c>
      <c r="M107" s="278">
        <v>8809879544101</v>
      </c>
      <c r="N107" s="274" t="s">
        <v>24</v>
      </c>
      <c r="O107" s="280">
        <v>1</v>
      </c>
      <c r="P107" s="170" t="s">
        <v>163</v>
      </c>
      <c r="Q107" s="25" t="s">
        <v>955</v>
      </c>
      <c r="R107" s="274" t="str">
        <f>"20260414-0000582"</f>
        <v>20260414-0000582</v>
      </c>
    </row>
    <row r="108" spans="1:18">
      <c r="A108" s="273" t="s">
        <v>39</v>
      </c>
      <c r="B108" s="277">
        <v>46127</v>
      </c>
      <c r="C108" s="274" t="s">
        <v>951</v>
      </c>
      <c r="D108" s="274" t="s">
        <v>279</v>
      </c>
      <c r="E108" s="274" t="s">
        <v>257</v>
      </c>
      <c r="F108" s="273">
        <v>92234045805</v>
      </c>
      <c r="G108" s="274" t="s">
        <v>858</v>
      </c>
      <c r="H108" s="274" t="s">
        <v>858</v>
      </c>
      <c r="I108" s="274" t="s">
        <v>280</v>
      </c>
      <c r="J108" s="274">
        <v>1</v>
      </c>
      <c r="K108" s="274" t="str">
        <f>"최*주"</f>
        <v>최*주</v>
      </c>
      <c r="L108" s="274" t="str">
        <f>"최*주"</f>
        <v>최*주</v>
      </c>
      <c r="M108" s="278">
        <v>8809879544101</v>
      </c>
      <c r="N108" s="274" t="s">
        <v>24</v>
      </c>
      <c r="O108" s="280">
        <v>1</v>
      </c>
      <c r="P108" s="170" t="s">
        <v>163</v>
      </c>
      <c r="Q108" s="25" t="s">
        <v>955</v>
      </c>
      <c r="R108" s="274" t="str">
        <f>"20260415-0000121"</f>
        <v>20260415-0000121</v>
      </c>
    </row>
    <row r="109" spans="1:18">
      <c r="A109" s="273" t="s">
        <v>39</v>
      </c>
      <c r="B109" s="277">
        <v>46127</v>
      </c>
      <c r="C109" s="274" t="s">
        <v>951</v>
      </c>
      <c r="D109" s="274" t="s">
        <v>279</v>
      </c>
      <c r="E109" s="274" t="s">
        <v>257</v>
      </c>
      <c r="F109" s="273">
        <v>92234045794</v>
      </c>
      <c r="G109" s="274" t="s">
        <v>857</v>
      </c>
      <c r="H109" s="274" t="s">
        <v>857</v>
      </c>
      <c r="I109" s="274" t="s">
        <v>280</v>
      </c>
      <c r="J109" s="274">
        <v>1</v>
      </c>
      <c r="K109" s="274" t="str">
        <f>"임*현"</f>
        <v>임*현</v>
      </c>
      <c r="L109" s="274" t="str">
        <f>"임*현"</f>
        <v>임*현</v>
      </c>
      <c r="M109" s="278">
        <v>8809879544101</v>
      </c>
      <c r="N109" s="274" t="s">
        <v>24</v>
      </c>
      <c r="O109" s="280">
        <v>1</v>
      </c>
      <c r="P109" s="170" t="s">
        <v>163</v>
      </c>
      <c r="Q109" s="25" t="s">
        <v>955</v>
      </c>
      <c r="R109" s="274" t="str">
        <f>"20260415-0000140"</f>
        <v>20260415-0000140</v>
      </c>
    </row>
    <row r="110" spans="1:18">
      <c r="A110" s="273" t="s">
        <v>39</v>
      </c>
      <c r="B110" s="277">
        <v>46127</v>
      </c>
      <c r="C110" s="274" t="s">
        <v>951</v>
      </c>
      <c r="D110" s="274" t="s">
        <v>279</v>
      </c>
      <c r="E110" s="274" t="s">
        <v>257</v>
      </c>
      <c r="F110" s="273">
        <v>92234045783</v>
      </c>
      <c r="G110" s="274" t="s">
        <v>856</v>
      </c>
      <c r="H110" s="274" t="s">
        <v>856</v>
      </c>
      <c r="I110" s="274" t="s">
        <v>280</v>
      </c>
      <c r="J110" s="274">
        <v>1</v>
      </c>
      <c r="K110" s="274" t="str">
        <f>"황*순"</f>
        <v>황*순</v>
      </c>
      <c r="L110" s="274" t="str">
        <f>"황*순"</f>
        <v>황*순</v>
      </c>
      <c r="M110" s="278">
        <v>8809879544101</v>
      </c>
      <c r="N110" s="274" t="s">
        <v>24</v>
      </c>
      <c r="O110" s="280">
        <v>1</v>
      </c>
      <c r="P110" s="170" t="s">
        <v>163</v>
      </c>
      <c r="Q110" s="25" t="s">
        <v>955</v>
      </c>
      <c r="R110" s="274" t="str">
        <f>"20260415-0000168"</f>
        <v>20260415-0000168</v>
      </c>
    </row>
    <row r="111" spans="1:18">
      <c r="A111" s="273" t="s">
        <v>39</v>
      </c>
      <c r="B111" s="277">
        <v>46126</v>
      </c>
      <c r="C111" s="274" t="s">
        <v>951</v>
      </c>
      <c r="D111" s="274" t="s">
        <v>279</v>
      </c>
      <c r="E111" s="274" t="s">
        <v>257</v>
      </c>
      <c r="F111" s="273">
        <v>92234021132</v>
      </c>
      <c r="G111" s="274" t="s">
        <v>911</v>
      </c>
      <c r="H111" s="274" t="s">
        <v>911</v>
      </c>
      <c r="I111" s="274" t="s">
        <v>295</v>
      </c>
      <c r="J111" s="274">
        <v>1</v>
      </c>
      <c r="K111" s="274" t="str">
        <f>"김*련"</f>
        <v>김*련</v>
      </c>
      <c r="L111" s="274" t="str">
        <f>"김*련"</f>
        <v>김*련</v>
      </c>
      <c r="M111" s="278">
        <v>8809879544101</v>
      </c>
      <c r="N111" s="274" t="s">
        <v>24</v>
      </c>
      <c r="O111" s="280">
        <v>3</v>
      </c>
      <c r="P111" s="170" t="s">
        <v>163</v>
      </c>
      <c r="Q111" s="25" t="s">
        <v>955</v>
      </c>
      <c r="R111" s="274" t="str">
        <f>"20260414-0000253"</f>
        <v>20260414-0000253</v>
      </c>
    </row>
    <row r="112" spans="1:18">
      <c r="A112" s="273" t="s">
        <v>39</v>
      </c>
      <c r="B112" s="277">
        <v>46126</v>
      </c>
      <c r="C112" s="274" t="s">
        <v>951</v>
      </c>
      <c r="D112" s="274" t="s">
        <v>279</v>
      </c>
      <c r="E112" s="274" t="s">
        <v>257</v>
      </c>
      <c r="F112" s="273">
        <v>92234021121</v>
      </c>
      <c r="G112" s="274" t="s">
        <v>910</v>
      </c>
      <c r="H112" s="274" t="s">
        <v>910</v>
      </c>
      <c r="I112" s="274" t="s">
        <v>295</v>
      </c>
      <c r="J112" s="274">
        <v>1</v>
      </c>
      <c r="K112" s="274" t="str">
        <f>"이*진"</f>
        <v>이*진</v>
      </c>
      <c r="L112" s="274" t="str">
        <f>"이*진"</f>
        <v>이*진</v>
      </c>
      <c r="M112" s="278">
        <v>8809879544101</v>
      </c>
      <c r="N112" s="274" t="s">
        <v>24</v>
      </c>
      <c r="O112" s="280">
        <v>3</v>
      </c>
      <c r="P112" s="170" t="s">
        <v>163</v>
      </c>
      <c r="Q112" s="25" t="s">
        <v>955</v>
      </c>
      <c r="R112" s="274" t="str">
        <f>"20260414-0000209"</f>
        <v>20260414-0000209</v>
      </c>
    </row>
    <row r="113" spans="1:18">
      <c r="A113" s="273" t="s">
        <v>39</v>
      </c>
      <c r="B113" s="277">
        <v>46126</v>
      </c>
      <c r="C113" s="274" t="s">
        <v>951</v>
      </c>
      <c r="D113" s="274" t="s">
        <v>279</v>
      </c>
      <c r="E113" s="274" t="s">
        <v>257</v>
      </c>
      <c r="F113" s="273">
        <v>92234021095</v>
      </c>
      <c r="G113" s="274" t="s">
        <v>908</v>
      </c>
      <c r="H113" s="274" t="s">
        <v>908</v>
      </c>
      <c r="I113" s="274" t="s">
        <v>293</v>
      </c>
      <c r="J113" s="274">
        <v>1</v>
      </c>
      <c r="K113" s="274" t="str">
        <f>"최*원"</f>
        <v>최*원</v>
      </c>
      <c r="L113" s="274" t="str">
        <f>"최*원"</f>
        <v>최*원</v>
      </c>
      <c r="M113" s="278">
        <v>8809879544101</v>
      </c>
      <c r="N113" s="274" t="s">
        <v>24</v>
      </c>
      <c r="O113" s="280">
        <v>2</v>
      </c>
      <c r="P113" s="170" t="s">
        <v>163</v>
      </c>
      <c r="Q113" s="25" t="s">
        <v>955</v>
      </c>
      <c r="R113" s="274" t="str">
        <f>"20260414-0000235"</f>
        <v>20260414-0000235</v>
      </c>
    </row>
    <row r="114" spans="1:18">
      <c r="A114" s="273" t="s">
        <v>39</v>
      </c>
      <c r="B114" s="277">
        <v>46126</v>
      </c>
      <c r="C114" s="274" t="s">
        <v>951</v>
      </c>
      <c r="D114" s="274" t="s">
        <v>279</v>
      </c>
      <c r="E114" s="274" t="s">
        <v>257</v>
      </c>
      <c r="F114" s="273">
        <v>92234021073</v>
      </c>
      <c r="G114" s="274" t="s">
        <v>907</v>
      </c>
      <c r="H114" s="274" t="s">
        <v>907</v>
      </c>
      <c r="I114" s="274" t="s">
        <v>293</v>
      </c>
      <c r="J114" s="274">
        <v>1</v>
      </c>
      <c r="K114" s="274" t="str">
        <f>"김*서"</f>
        <v>김*서</v>
      </c>
      <c r="L114" s="274" t="str">
        <f>"김*서"</f>
        <v>김*서</v>
      </c>
      <c r="M114" s="278">
        <v>8809879544101</v>
      </c>
      <c r="N114" s="274" t="s">
        <v>24</v>
      </c>
      <c r="O114" s="280">
        <v>2</v>
      </c>
      <c r="P114" s="170" t="s">
        <v>163</v>
      </c>
      <c r="Q114" s="25" t="s">
        <v>955</v>
      </c>
      <c r="R114" s="274" t="str">
        <f>"20260414-0000123"</f>
        <v>20260414-0000123</v>
      </c>
    </row>
    <row r="115" spans="1:18">
      <c r="A115" s="273" t="s">
        <v>39</v>
      </c>
      <c r="B115" s="277">
        <v>46126</v>
      </c>
      <c r="C115" s="274" t="s">
        <v>951</v>
      </c>
      <c r="D115" s="274" t="s">
        <v>279</v>
      </c>
      <c r="E115" s="274" t="s">
        <v>257</v>
      </c>
      <c r="F115" s="273">
        <v>92234021062</v>
      </c>
      <c r="G115" s="274" t="s">
        <v>906</v>
      </c>
      <c r="H115" s="274" t="s">
        <v>906</v>
      </c>
      <c r="I115" s="274" t="s">
        <v>293</v>
      </c>
      <c r="J115" s="274">
        <v>1</v>
      </c>
      <c r="K115" s="274" t="str">
        <f>"고*나"</f>
        <v>고*나</v>
      </c>
      <c r="L115" s="274" t="str">
        <f>"고*나"</f>
        <v>고*나</v>
      </c>
      <c r="M115" s="278">
        <v>8809879544101</v>
      </c>
      <c r="N115" s="274" t="s">
        <v>24</v>
      </c>
      <c r="O115" s="280">
        <v>2</v>
      </c>
      <c r="P115" s="170" t="s">
        <v>163</v>
      </c>
      <c r="Q115" s="25" t="s">
        <v>955</v>
      </c>
      <c r="R115" s="274" t="str">
        <f>"20260414-0000170"</f>
        <v>20260414-0000170</v>
      </c>
    </row>
    <row r="116" spans="1:18">
      <c r="A116" s="273" t="s">
        <v>39</v>
      </c>
      <c r="B116" s="277">
        <v>46126</v>
      </c>
      <c r="C116" s="274" t="s">
        <v>951</v>
      </c>
      <c r="D116" s="274" t="s">
        <v>279</v>
      </c>
      <c r="E116" s="274" t="s">
        <v>257</v>
      </c>
      <c r="F116" s="273">
        <v>92234021025</v>
      </c>
      <c r="G116" s="274" t="s">
        <v>905</v>
      </c>
      <c r="H116" s="274" t="s">
        <v>905</v>
      </c>
      <c r="I116" s="274" t="s">
        <v>293</v>
      </c>
      <c r="J116" s="274">
        <v>1</v>
      </c>
      <c r="K116" s="274" t="str">
        <f>"정*혜"</f>
        <v>정*혜</v>
      </c>
      <c r="L116" s="274" t="str">
        <f>"정*혜"</f>
        <v>정*혜</v>
      </c>
      <c r="M116" s="278">
        <v>8809879544101</v>
      </c>
      <c r="N116" s="274" t="s">
        <v>24</v>
      </c>
      <c r="O116" s="280">
        <v>2</v>
      </c>
      <c r="P116" s="170" t="s">
        <v>163</v>
      </c>
      <c r="Q116" s="25" t="s">
        <v>955</v>
      </c>
      <c r="R116" s="274" t="str">
        <f>"20260414-0000093"</f>
        <v>20260414-0000093</v>
      </c>
    </row>
    <row r="117" spans="1:18">
      <c r="A117" s="273" t="s">
        <v>39</v>
      </c>
      <c r="B117" s="277">
        <v>46126</v>
      </c>
      <c r="C117" s="274" t="s">
        <v>951</v>
      </c>
      <c r="D117" s="274" t="s">
        <v>279</v>
      </c>
      <c r="E117" s="274" t="s">
        <v>257</v>
      </c>
      <c r="F117" s="273">
        <v>92234021014</v>
      </c>
      <c r="G117" s="274" t="s">
        <v>909</v>
      </c>
      <c r="H117" s="274" t="s">
        <v>947</v>
      </c>
      <c r="I117" s="274" t="s">
        <v>295</v>
      </c>
      <c r="J117" s="274">
        <v>1</v>
      </c>
      <c r="K117" s="274" t="str">
        <f>"김*설"</f>
        <v>김*설</v>
      </c>
      <c r="L117" s="274" t="str">
        <f>"김*설"</f>
        <v>김*설</v>
      </c>
      <c r="M117" s="278">
        <v>8809879544101</v>
      </c>
      <c r="N117" s="274" t="s">
        <v>24</v>
      </c>
      <c r="O117" s="280">
        <v>3</v>
      </c>
      <c r="P117" s="170" t="s">
        <v>163</v>
      </c>
      <c r="Q117" s="25" t="s">
        <v>955</v>
      </c>
      <c r="R117" s="274" t="str">
        <f>"20260414-0000107"</f>
        <v>20260414-0000107</v>
      </c>
    </row>
    <row r="118" spans="1:18">
      <c r="A118" s="273" t="s">
        <v>39</v>
      </c>
      <c r="B118" s="277">
        <v>46126</v>
      </c>
      <c r="C118" s="274" t="s">
        <v>951</v>
      </c>
      <c r="D118" s="274" t="s">
        <v>279</v>
      </c>
      <c r="E118" s="274" t="s">
        <v>257</v>
      </c>
      <c r="F118" s="273">
        <v>92233997236</v>
      </c>
      <c r="G118" s="274" t="s">
        <v>901</v>
      </c>
      <c r="H118" s="274" t="s">
        <v>901</v>
      </c>
      <c r="I118" s="274" t="s">
        <v>295</v>
      </c>
      <c r="J118" s="274">
        <v>1</v>
      </c>
      <c r="K118" s="274" t="str">
        <f>"장*진"</f>
        <v>장*진</v>
      </c>
      <c r="L118" s="274" t="str">
        <f>"장*진"</f>
        <v>장*진</v>
      </c>
      <c r="M118" s="278">
        <v>8809879544101</v>
      </c>
      <c r="N118" s="274" t="s">
        <v>24</v>
      </c>
      <c r="O118" s="280">
        <v>3</v>
      </c>
      <c r="P118" s="170" t="s">
        <v>163</v>
      </c>
      <c r="Q118" s="25" t="s">
        <v>955</v>
      </c>
      <c r="R118" s="274" t="str">
        <f>"20260413-0000363"</f>
        <v>20260413-0000363</v>
      </c>
    </row>
    <row r="119" spans="1:18">
      <c r="A119" s="273" t="s">
        <v>39</v>
      </c>
      <c r="B119" s="277">
        <v>46126</v>
      </c>
      <c r="C119" s="274" t="s">
        <v>951</v>
      </c>
      <c r="D119" s="274" t="s">
        <v>279</v>
      </c>
      <c r="E119" s="274" t="s">
        <v>257</v>
      </c>
      <c r="F119" s="273">
        <v>92233997214</v>
      </c>
      <c r="G119" s="274" t="s">
        <v>885</v>
      </c>
      <c r="H119" s="274" t="s">
        <v>885</v>
      </c>
      <c r="I119" s="274" t="s">
        <v>280</v>
      </c>
      <c r="J119" s="274">
        <v>1</v>
      </c>
      <c r="K119" s="274" t="str">
        <f>"안*은"</f>
        <v>안*은</v>
      </c>
      <c r="L119" s="274" t="str">
        <f>"카**로"</f>
        <v>카**로</v>
      </c>
      <c r="M119" s="278">
        <v>8809879544101</v>
      </c>
      <c r="N119" s="274" t="s">
        <v>24</v>
      </c>
      <c r="O119" s="280">
        <v>1</v>
      </c>
      <c r="P119" s="170" t="s">
        <v>163</v>
      </c>
      <c r="Q119" s="25" t="s">
        <v>955</v>
      </c>
      <c r="R119" s="274" t="str">
        <f>"20260413-0000414"</f>
        <v>20260413-0000414</v>
      </c>
    </row>
    <row r="120" spans="1:18">
      <c r="A120" s="273" t="s">
        <v>39</v>
      </c>
      <c r="B120" s="277">
        <v>46126</v>
      </c>
      <c r="C120" s="274" t="s">
        <v>951</v>
      </c>
      <c r="D120" s="274" t="s">
        <v>279</v>
      </c>
      <c r="E120" s="274" t="s">
        <v>257</v>
      </c>
      <c r="F120" s="273">
        <v>92233997214</v>
      </c>
      <c r="G120" s="274" t="s">
        <v>885</v>
      </c>
      <c r="H120" s="274" t="s">
        <v>885</v>
      </c>
      <c r="I120" s="274" t="s">
        <v>295</v>
      </c>
      <c r="J120" s="274">
        <v>1</v>
      </c>
      <c r="K120" s="274" t="str">
        <f>"안*은"</f>
        <v>안*은</v>
      </c>
      <c r="L120" s="274" t="str">
        <f>"카**로"</f>
        <v>카**로</v>
      </c>
      <c r="M120" s="278">
        <v>8809879544101</v>
      </c>
      <c r="N120" s="274" t="s">
        <v>24</v>
      </c>
      <c r="O120" s="280">
        <v>3</v>
      </c>
      <c r="P120" s="170" t="s">
        <v>163</v>
      </c>
      <c r="Q120" s="25" t="s">
        <v>955</v>
      </c>
      <c r="R120" s="274" t="str">
        <f>"20260413-0000414"</f>
        <v>20260413-0000414</v>
      </c>
    </row>
    <row r="121" spans="1:18">
      <c r="A121" s="273" t="s">
        <v>39</v>
      </c>
      <c r="B121" s="277">
        <v>46126</v>
      </c>
      <c r="C121" s="274" t="s">
        <v>951</v>
      </c>
      <c r="D121" s="274" t="s">
        <v>279</v>
      </c>
      <c r="E121" s="274" t="s">
        <v>257</v>
      </c>
      <c r="F121" s="273">
        <v>92233996794</v>
      </c>
      <c r="G121" s="274" t="s">
        <v>897</v>
      </c>
      <c r="H121" s="274" t="s">
        <v>897</v>
      </c>
      <c r="I121" s="274" t="s">
        <v>293</v>
      </c>
      <c r="J121" s="274">
        <v>1</v>
      </c>
      <c r="K121" s="274" t="str">
        <f>"원*정"</f>
        <v>원*정</v>
      </c>
      <c r="L121" s="274" t="str">
        <f>"원*정"</f>
        <v>원*정</v>
      </c>
      <c r="M121" s="278">
        <v>8809879544101</v>
      </c>
      <c r="N121" s="274" t="s">
        <v>24</v>
      </c>
      <c r="O121" s="280">
        <v>2</v>
      </c>
      <c r="P121" s="170" t="s">
        <v>163</v>
      </c>
      <c r="Q121" s="25" t="s">
        <v>955</v>
      </c>
      <c r="R121" s="274" t="str">
        <f>"20260413-0000446"</f>
        <v>20260413-0000446</v>
      </c>
    </row>
    <row r="122" spans="1:18">
      <c r="A122" s="273" t="s">
        <v>39</v>
      </c>
      <c r="B122" s="277">
        <v>46126</v>
      </c>
      <c r="C122" s="274" t="s">
        <v>951</v>
      </c>
      <c r="D122" s="274" t="s">
        <v>279</v>
      </c>
      <c r="E122" s="274" t="s">
        <v>257</v>
      </c>
      <c r="F122" s="273">
        <v>92233996761</v>
      </c>
      <c r="G122" s="274" t="s">
        <v>896</v>
      </c>
      <c r="H122" s="274" t="s">
        <v>896</v>
      </c>
      <c r="I122" s="274" t="s">
        <v>293</v>
      </c>
      <c r="J122" s="274">
        <v>1</v>
      </c>
      <c r="K122" s="274" t="str">
        <f>"이*라"</f>
        <v>이*라</v>
      </c>
      <c r="L122" s="274" t="str">
        <f>"이*라"</f>
        <v>이*라</v>
      </c>
      <c r="M122" s="278">
        <v>8809879544101</v>
      </c>
      <c r="N122" s="274" t="s">
        <v>24</v>
      </c>
      <c r="O122" s="280">
        <v>2</v>
      </c>
      <c r="P122" s="170" t="s">
        <v>163</v>
      </c>
      <c r="Q122" s="25" t="s">
        <v>955</v>
      </c>
      <c r="R122" s="274" t="str">
        <f>"20260413-0000512"</f>
        <v>20260413-0000512</v>
      </c>
    </row>
    <row r="123" spans="1:18">
      <c r="A123" s="273" t="s">
        <v>39</v>
      </c>
      <c r="B123" s="277">
        <v>46126</v>
      </c>
      <c r="C123" s="274" t="s">
        <v>951</v>
      </c>
      <c r="D123" s="274" t="s">
        <v>279</v>
      </c>
      <c r="E123" s="274" t="s">
        <v>257</v>
      </c>
      <c r="F123" s="273">
        <v>92233996746</v>
      </c>
      <c r="G123" s="274" t="s">
        <v>895</v>
      </c>
      <c r="H123" s="274" t="s">
        <v>895</v>
      </c>
      <c r="I123" s="274" t="s">
        <v>293</v>
      </c>
      <c r="J123" s="274">
        <v>1</v>
      </c>
      <c r="K123" s="274" t="str">
        <f>"김*정"</f>
        <v>김*정</v>
      </c>
      <c r="L123" s="274" t="str">
        <f>"김*정"</f>
        <v>김*정</v>
      </c>
      <c r="M123" s="278">
        <v>8809879544101</v>
      </c>
      <c r="N123" s="274" t="s">
        <v>24</v>
      </c>
      <c r="O123" s="280">
        <v>2</v>
      </c>
      <c r="P123" s="170" t="s">
        <v>163</v>
      </c>
      <c r="Q123" s="25" t="s">
        <v>955</v>
      </c>
      <c r="R123" s="274" t="str">
        <f>"20260413-0000567"</f>
        <v>20260413-0000567</v>
      </c>
    </row>
    <row r="124" spans="1:18">
      <c r="A124" s="273" t="s">
        <v>39</v>
      </c>
      <c r="B124" s="277">
        <v>46126</v>
      </c>
      <c r="C124" s="274" t="s">
        <v>951</v>
      </c>
      <c r="D124" s="274" t="s">
        <v>279</v>
      </c>
      <c r="E124" s="274" t="s">
        <v>257</v>
      </c>
      <c r="F124" s="273">
        <v>92233996735</v>
      </c>
      <c r="G124" s="274" t="s">
        <v>900</v>
      </c>
      <c r="H124" s="274" t="s">
        <v>900</v>
      </c>
      <c r="I124" s="274" t="s">
        <v>295</v>
      </c>
      <c r="J124" s="274">
        <v>1</v>
      </c>
      <c r="K124" s="274" t="str">
        <f>"윤*숙"</f>
        <v>윤*숙</v>
      </c>
      <c r="L124" s="274" t="str">
        <f>"윤*숙"</f>
        <v>윤*숙</v>
      </c>
      <c r="M124" s="278">
        <v>8809879544101</v>
      </c>
      <c r="N124" s="274" t="s">
        <v>24</v>
      </c>
      <c r="O124" s="280">
        <v>3</v>
      </c>
      <c r="P124" s="170" t="s">
        <v>163</v>
      </c>
      <c r="Q124" s="25" t="s">
        <v>955</v>
      </c>
      <c r="R124" s="274" t="str">
        <f>"20260413-0000579"</f>
        <v>20260413-0000579</v>
      </c>
    </row>
    <row r="125" spans="1:18">
      <c r="A125" s="273" t="s">
        <v>39</v>
      </c>
      <c r="B125" s="277">
        <v>46126</v>
      </c>
      <c r="C125" s="274" t="s">
        <v>951</v>
      </c>
      <c r="D125" s="274" t="s">
        <v>279</v>
      </c>
      <c r="E125" s="274" t="s">
        <v>257</v>
      </c>
      <c r="F125" s="273">
        <v>92233996724</v>
      </c>
      <c r="G125" s="274" t="s">
        <v>894</v>
      </c>
      <c r="H125" s="274" t="s">
        <v>894</v>
      </c>
      <c r="I125" s="274" t="s">
        <v>293</v>
      </c>
      <c r="J125" s="274">
        <v>1</v>
      </c>
      <c r="K125" s="274" t="str">
        <f>"홍*정"</f>
        <v>홍*정</v>
      </c>
      <c r="L125" s="274" t="str">
        <f>"*"</f>
        <v>*</v>
      </c>
      <c r="M125" s="278">
        <v>8809879544101</v>
      </c>
      <c r="N125" s="274" t="s">
        <v>24</v>
      </c>
      <c r="O125" s="280">
        <v>2</v>
      </c>
      <c r="P125" s="170" t="s">
        <v>163</v>
      </c>
      <c r="Q125" s="25" t="s">
        <v>955</v>
      </c>
      <c r="R125" s="274" t="str">
        <f>"20260413-0000580"</f>
        <v>20260413-0000580</v>
      </c>
    </row>
    <row r="126" spans="1:18">
      <c r="A126" s="273" t="s">
        <v>39</v>
      </c>
      <c r="B126" s="277">
        <v>46126</v>
      </c>
      <c r="C126" s="274" t="s">
        <v>951</v>
      </c>
      <c r="D126" s="274" t="s">
        <v>279</v>
      </c>
      <c r="E126" s="274" t="s">
        <v>257</v>
      </c>
      <c r="F126" s="273">
        <v>92233996713</v>
      </c>
      <c r="G126" s="274" t="s">
        <v>890</v>
      </c>
      <c r="H126" s="274" t="s">
        <v>890</v>
      </c>
      <c r="I126" s="274" t="s">
        <v>293</v>
      </c>
      <c r="J126" s="274">
        <v>1</v>
      </c>
      <c r="K126" s="274" t="str">
        <f>"신*연"</f>
        <v>신*연</v>
      </c>
      <c r="L126" s="274" t="str">
        <f>"신*연"</f>
        <v>신*연</v>
      </c>
      <c r="M126" s="278">
        <v>8809879544101</v>
      </c>
      <c r="N126" s="274" t="s">
        <v>24</v>
      </c>
      <c r="O126" s="280">
        <v>2</v>
      </c>
      <c r="P126" s="170" t="s">
        <v>163</v>
      </c>
      <c r="Q126" s="25" t="s">
        <v>955</v>
      </c>
      <c r="R126" s="274" t="str">
        <f>"20260413-0000607"</f>
        <v>20260413-0000607</v>
      </c>
    </row>
    <row r="127" spans="1:18">
      <c r="A127" s="273" t="s">
        <v>39</v>
      </c>
      <c r="B127" s="277">
        <v>46126</v>
      </c>
      <c r="C127" s="274" t="s">
        <v>951</v>
      </c>
      <c r="D127" s="274" t="s">
        <v>279</v>
      </c>
      <c r="E127" s="274" t="s">
        <v>257</v>
      </c>
      <c r="F127" s="273">
        <v>92233996702</v>
      </c>
      <c r="G127" s="274" t="s">
        <v>891</v>
      </c>
      <c r="H127" s="274" t="s">
        <v>891</v>
      </c>
      <c r="I127" s="274" t="s">
        <v>293</v>
      </c>
      <c r="J127" s="274">
        <v>1</v>
      </c>
      <c r="K127" s="274" t="str">
        <f>"강*지"</f>
        <v>강*지</v>
      </c>
      <c r="L127" s="274" t="str">
        <f>"강*지"</f>
        <v>강*지</v>
      </c>
      <c r="M127" s="278">
        <v>8809879544101</v>
      </c>
      <c r="N127" s="274" t="s">
        <v>24</v>
      </c>
      <c r="O127" s="280">
        <v>2</v>
      </c>
      <c r="P127" s="170" t="s">
        <v>163</v>
      </c>
      <c r="Q127" s="25" t="s">
        <v>955</v>
      </c>
      <c r="R127" s="274" t="str">
        <f>"20260413-0000614"</f>
        <v>20260413-0000614</v>
      </c>
    </row>
    <row r="128" spans="1:18">
      <c r="A128" s="273" t="s">
        <v>39</v>
      </c>
      <c r="B128" s="277">
        <v>46126</v>
      </c>
      <c r="C128" s="274" t="s">
        <v>951</v>
      </c>
      <c r="D128" s="274" t="s">
        <v>279</v>
      </c>
      <c r="E128" s="274" t="s">
        <v>257</v>
      </c>
      <c r="F128" s="273">
        <v>92233996691</v>
      </c>
      <c r="G128" s="274" t="s">
        <v>892</v>
      </c>
      <c r="H128" s="274" t="s">
        <v>892</v>
      </c>
      <c r="I128" s="274" t="s">
        <v>293</v>
      </c>
      <c r="J128" s="274">
        <v>1</v>
      </c>
      <c r="K128" s="274" t="str">
        <f>"송*나"</f>
        <v>송*나</v>
      </c>
      <c r="L128" s="274" t="str">
        <f>"이*쌀"</f>
        <v>이*쌀</v>
      </c>
      <c r="M128" s="278">
        <v>8809879544101</v>
      </c>
      <c r="N128" s="274" t="s">
        <v>24</v>
      </c>
      <c r="O128" s="280">
        <v>2</v>
      </c>
      <c r="P128" s="170" t="s">
        <v>163</v>
      </c>
      <c r="Q128" s="25" t="s">
        <v>955</v>
      </c>
      <c r="R128" s="274" t="str">
        <f>"20260413-0000629"</f>
        <v>20260413-0000629</v>
      </c>
    </row>
    <row r="129" spans="1:18">
      <c r="A129" s="273" t="s">
        <v>39</v>
      </c>
      <c r="B129" s="277">
        <v>46126</v>
      </c>
      <c r="C129" s="274" t="s">
        <v>951</v>
      </c>
      <c r="D129" s="274" t="s">
        <v>279</v>
      </c>
      <c r="E129" s="274" t="s">
        <v>257</v>
      </c>
      <c r="F129" s="273">
        <v>92233996680</v>
      </c>
      <c r="G129" s="274" t="s">
        <v>893</v>
      </c>
      <c r="H129" s="274" t="s">
        <v>893</v>
      </c>
      <c r="I129" s="274" t="s">
        <v>293</v>
      </c>
      <c r="J129" s="274">
        <v>1</v>
      </c>
      <c r="K129" s="274" t="str">
        <f>"이*용"</f>
        <v>이*용</v>
      </c>
      <c r="L129" s="274" t="str">
        <f>"이*용"</f>
        <v>이*용</v>
      </c>
      <c r="M129" s="278">
        <v>8809879544101</v>
      </c>
      <c r="N129" s="274" t="s">
        <v>24</v>
      </c>
      <c r="O129" s="280">
        <v>2</v>
      </c>
      <c r="P129" s="170" t="s">
        <v>163</v>
      </c>
      <c r="Q129" s="25" t="s">
        <v>955</v>
      </c>
      <c r="R129" s="274" t="str">
        <f>"20260413-0000644"</f>
        <v>20260413-0000644</v>
      </c>
    </row>
    <row r="130" spans="1:18">
      <c r="A130" s="273" t="s">
        <v>39</v>
      </c>
      <c r="B130" s="277">
        <v>46126</v>
      </c>
      <c r="C130" s="274" t="s">
        <v>951</v>
      </c>
      <c r="D130" s="274" t="s">
        <v>279</v>
      </c>
      <c r="E130" s="274" t="s">
        <v>257</v>
      </c>
      <c r="F130" s="273">
        <v>92233996654</v>
      </c>
      <c r="G130" s="274" t="s">
        <v>899</v>
      </c>
      <c r="H130" s="274" t="s">
        <v>899</v>
      </c>
      <c r="I130" s="274" t="s">
        <v>295</v>
      </c>
      <c r="J130" s="274">
        <v>1</v>
      </c>
      <c r="K130" s="274" t="str">
        <f>"서*리"</f>
        <v>서*리</v>
      </c>
      <c r="L130" s="274" t="str">
        <f>"서*리"</f>
        <v>서*리</v>
      </c>
      <c r="M130" s="278">
        <v>8809879544101</v>
      </c>
      <c r="N130" s="274" t="s">
        <v>24</v>
      </c>
      <c r="O130" s="280">
        <v>3</v>
      </c>
      <c r="P130" s="170" t="s">
        <v>163</v>
      </c>
      <c r="Q130" s="25" t="s">
        <v>955</v>
      </c>
      <c r="R130" s="274" t="str">
        <f>"20260413-0000822"</f>
        <v>20260413-0000822</v>
      </c>
    </row>
    <row r="131" spans="1:18">
      <c r="A131" s="273" t="s">
        <v>39</v>
      </c>
      <c r="B131" s="277">
        <v>46126</v>
      </c>
      <c r="C131" s="274" t="s">
        <v>951</v>
      </c>
      <c r="D131" s="274" t="s">
        <v>279</v>
      </c>
      <c r="E131" s="274" t="s">
        <v>257</v>
      </c>
      <c r="F131" s="273">
        <v>92233996643</v>
      </c>
      <c r="G131" s="274" t="s">
        <v>862</v>
      </c>
      <c r="H131" s="274" t="s">
        <v>862</v>
      </c>
      <c r="I131" s="274" t="s">
        <v>293</v>
      </c>
      <c r="J131" s="274">
        <v>1</v>
      </c>
      <c r="K131" s="274" t="str">
        <f>"정*원"</f>
        <v>정*원</v>
      </c>
      <c r="L131" s="274" t="str">
        <f>"정*원"</f>
        <v>정*원</v>
      </c>
      <c r="M131" s="278">
        <v>8809879544101</v>
      </c>
      <c r="N131" s="274" t="s">
        <v>24</v>
      </c>
      <c r="O131" s="280">
        <v>2</v>
      </c>
      <c r="P131" s="170" t="s">
        <v>163</v>
      </c>
      <c r="Q131" s="25" t="s">
        <v>955</v>
      </c>
      <c r="R131" s="274" t="str">
        <f>"20260413-0000840"</f>
        <v>20260413-0000840</v>
      </c>
    </row>
    <row r="132" spans="1:18">
      <c r="A132" s="273" t="s">
        <v>39</v>
      </c>
      <c r="B132" s="277">
        <v>46126</v>
      </c>
      <c r="C132" s="274" t="s">
        <v>951</v>
      </c>
      <c r="D132" s="274" t="s">
        <v>279</v>
      </c>
      <c r="E132" s="274" t="s">
        <v>257</v>
      </c>
      <c r="F132" s="273">
        <v>92233996632</v>
      </c>
      <c r="G132" s="274" t="s">
        <v>898</v>
      </c>
      <c r="H132" s="274" t="s">
        <v>898</v>
      </c>
      <c r="I132" s="274" t="s">
        <v>295</v>
      </c>
      <c r="J132" s="274">
        <v>1</v>
      </c>
      <c r="K132" s="274" t="str">
        <f>"주*연"</f>
        <v>주*연</v>
      </c>
      <c r="L132" s="274" t="str">
        <f>"주*오"</f>
        <v>주*오</v>
      </c>
      <c r="M132" s="278">
        <v>8809879544101</v>
      </c>
      <c r="N132" s="274" t="s">
        <v>24</v>
      </c>
      <c r="O132" s="280">
        <v>3</v>
      </c>
      <c r="P132" s="170" t="s">
        <v>163</v>
      </c>
      <c r="Q132" s="25" t="s">
        <v>955</v>
      </c>
      <c r="R132" s="274" t="str">
        <f>"20260413-0000853"</f>
        <v>20260413-0000853</v>
      </c>
    </row>
    <row r="133" spans="1:18">
      <c r="A133" s="273" t="s">
        <v>39</v>
      </c>
      <c r="B133" s="277">
        <v>46126</v>
      </c>
      <c r="C133" s="274" t="s">
        <v>951</v>
      </c>
      <c r="D133" s="274" t="s">
        <v>279</v>
      </c>
      <c r="E133" s="274" t="s">
        <v>257</v>
      </c>
      <c r="F133" s="273">
        <v>92233996621</v>
      </c>
      <c r="G133" s="274" t="s">
        <v>889</v>
      </c>
      <c r="H133" s="274" t="s">
        <v>889</v>
      </c>
      <c r="I133" s="274" t="s">
        <v>293</v>
      </c>
      <c r="J133" s="274">
        <v>1</v>
      </c>
      <c r="K133" s="274" t="str">
        <f>"임*정"</f>
        <v>임*정</v>
      </c>
      <c r="L133" s="274" t="str">
        <f>"임*정"</f>
        <v>임*정</v>
      </c>
      <c r="M133" s="278">
        <v>8809879544101</v>
      </c>
      <c r="N133" s="274" t="s">
        <v>24</v>
      </c>
      <c r="O133" s="280">
        <v>2</v>
      </c>
      <c r="P133" s="170" t="s">
        <v>163</v>
      </c>
      <c r="Q133" s="25" t="s">
        <v>955</v>
      </c>
      <c r="R133" s="274" t="str">
        <f>"20260413-0000893"</f>
        <v>20260413-0000893</v>
      </c>
    </row>
    <row r="134" spans="1:18">
      <c r="A134" s="273" t="s">
        <v>39</v>
      </c>
      <c r="B134" s="277">
        <v>46126</v>
      </c>
      <c r="C134" s="274" t="s">
        <v>951</v>
      </c>
      <c r="D134" s="274" t="s">
        <v>279</v>
      </c>
      <c r="E134" s="274" t="s">
        <v>257</v>
      </c>
      <c r="F134" s="273">
        <v>92233996606</v>
      </c>
      <c r="G134" s="274" t="s">
        <v>886</v>
      </c>
      <c r="H134" s="274" t="s">
        <v>886</v>
      </c>
      <c r="I134" s="274" t="s">
        <v>293</v>
      </c>
      <c r="J134" s="274">
        <v>1</v>
      </c>
      <c r="K134" s="274" t="str">
        <f>"최*형"</f>
        <v>최*형</v>
      </c>
      <c r="L134" s="274" t="str">
        <f>"최*형"</f>
        <v>최*형</v>
      </c>
      <c r="M134" s="278">
        <v>8809879544101</v>
      </c>
      <c r="N134" s="274" t="s">
        <v>24</v>
      </c>
      <c r="O134" s="280">
        <v>2</v>
      </c>
      <c r="P134" s="170" t="s">
        <v>163</v>
      </c>
      <c r="Q134" s="25" t="s">
        <v>955</v>
      </c>
      <c r="R134" s="274" t="str">
        <f>"20260414-0000025"</f>
        <v>20260414-0000025</v>
      </c>
    </row>
    <row r="135" spans="1:18">
      <c r="A135" s="273" t="s">
        <v>39</v>
      </c>
      <c r="B135" s="277">
        <v>46126</v>
      </c>
      <c r="C135" s="274" t="s">
        <v>951</v>
      </c>
      <c r="D135" s="274" t="s">
        <v>279</v>
      </c>
      <c r="E135" s="274" t="s">
        <v>257</v>
      </c>
      <c r="F135" s="273">
        <v>92233996595</v>
      </c>
      <c r="G135" s="274" t="s">
        <v>887</v>
      </c>
      <c r="H135" s="274" t="s">
        <v>887</v>
      </c>
      <c r="I135" s="274" t="s">
        <v>293</v>
      </c>
      <c r="J135" s="274">
        <v>1</v>
      </c>
      <c r="K135" s="274" t="str">
        <f>"최*진"</f>
        <v>최*진</v>
      </c>
      <c r="L135" s="274" t="str">
        <f>"최*진"</f>
        <v>최*진</v>
      </c>
      <c r="M135" s="278">
        <v>8809879544101</v>
      </c>
      <c r="N135" s="274" t="s">
        <v>24</v>
      </c>
      <c r="O135" s="280">
        <v>2</v>
      </c>
      <c r="P135" s="170" t="s">
        <v>163</v>
      </c>
      <c r="Q135" s="25" t="s">
        <v>955</v>
      </c>
      <c r="R135" s="274" t="str">
        <f>"20260414-0000035"</f>
        <v>20260414-0000035</v>
      </c>
    </row>
    <row r="136" spans="1:18">
      <c r="A136" s="273" t="s">
        <v>39</v>
      </c>
      <c r="B136" s="277">
        <v>46126</v>
      </c>
      <c r="C136" s="274" t="s">
        <v>951</v>
      </c>
      <c r="D136" s="274" t="s">
        <v>279</v>
      </c>
      <c r="E136" s="274" t="s">
        <v>257</v>
      </c>
      <c r="F136" s="273">
        <v>92233996584</v>
      </c>
      <c r="G136" s="274" t="s">
        <v>888</v>
      </c>
      <c r="H136" s="274" t="s">
        <v>888</v>
      </c>
      <c r="I136" s="274" t="s">
        <v>293</v>
      </c>
      <c r="J136" s="274">
        <v>1</v>
      </c>
      <c r="K136" s="274" t="str">
        <f>"이*애"</f>
        <v>이*애</v>
      </c>
      <c r="L136" s="274" t="str">
        <f>"이*애"</f>
        <v>이*애</v>
      </c>
      <c r="M136" s="278">
        <v>8809879544101</v>
      </c>
      <c r="N136" s="274" t="s">
        <v>24</v>
      </c>
      <c r="O136" s="280">
        <v>2</v>
      </c>
      <c r="P136" s="170" t="s">
        <v>163</v>
      </c>
      <c r="Q136" s="25" t="s">
        <v>955</v>
      </c>
      <c r="R136" s="274" t="str">
        <f>"20260414-0000046"</f>
        <v>20260414-0000046</v>
      </c>
    </row>
    <row r="137" spans="1:18">
      <c r="A137" s="273" t="s">
        <v>39</v>
      </c>
      <c r="B137" s="277">
        <v>46126</v>
      </c>
      <c r="C137" s="274" t="s">
        <v>951</v>
      </c>
      <c r="D137" s="274" t="s">
        <v>279</v>
      </c>
      <c r="E137" s="274" t="s">
        <v>257</v>
      </c>
      <c r="F137" s="273">
        <v>92234021202</v>
      </c>
      <c r="G137" s="274" t="s">
        <v>903</v>
      </c>
      <c r="H137" s="274" t="s">
        <v>903</v>
      </c>
      <c r="I137" s="274" t="s">
        <v>280</v>
      </c>
      <c r="J137" s="274">
        <v>1</v>
      </c>
      <c r="K137" s="274" t="str">
        <f>"박*경"</f>
        <v>박*경</v>
      </c>
      <c r="L137" s="274" t="str">
        <f>"박*경"</f>
        <v>박*경</v>
      </c>
      <c r="M137" s="278">
        <v>8809879544101</v>
      </c>
      <c r="N137" s="274" t="s">
        <v>24</v>
      </c>
      <c r="O137" s="280">
        <v>1</v>
      </c>
      <c r="P137" s="170" t="s">
        <v>163</v>
      </c>
      <c r="Q137" s="25" t="s">
        <v>955</v>
      </c>
      <c r="R137" s="274" t="str">
        <f>"20260414-0000161"</f>
        <v>20260414-0000161</v>
      </c>
    </row>
    <row r="138" spans="1:18">
      <c r="A138" s="273" t="s">
        <v>39</v>
      </c>
      <c r="B138" s="277">
        <v>46126</v>
      </c>
      <c r="C138" s="274" t="s">
        <v>951</v>
      </c>
      <c r="D138" s="274" t="s">
        <v>279</v>
      </c>
      <c r="E138" s="274" t="s">
        <v>257</v>
      </c>
      <c r="F138" s="273">
        <v>92234021235</v>
      </c>
      <c r="G138" s="274" t="s">
        <v>904</v>
      </c>
      <c r="H138" s="274" t="s">
        <v>904</v>
      </c>
      <c r="I138" s="274" t="s">
        <v>280</v>
      </c>
      <c r="J138" s="274">
        <v>1</v>
      </c>
      <c r="K138" s="274" t="str">
        <f>"김*정"</f>
        <v>김*정</v>
      </c>
      <c r="L138" s="274" t="str">
        <f>"김*정"</f>
        <v>김*정</v>
      </c>
      <c r="M138" s="278">
        <v>8809879544101</v>
      </c>
      <c r="N138" s="274" t="s">
        <v>24</v>
      </c>
      <c r="O138" s="280">
        <v>1</v>
      </c>
      <c r="P138" s="170" t="s">
        <v>163</v>
      </c>
      <c r="Q138" s="25" t="s">
        <v>955</v>
      </c>
      <c r="R138" s="274" t="str">
        <f>"20260414-0000115"</f>
        <v>20260414-0000115</v>
      </c>
    </row>
    <row r="139" spans="1:18">
      <c r="A139" s="273" t="s">
        <v>39</v>
      </c>
      <c r="B139" s="277">
        <v>46126</v>
      </c>
      <c r="C139" s="274" t="s">
        <v>951</v>
      </c>
      <c r="D139" s="274" t="s">
        <v>279</v>
      </c>
      <c r="E139" s="274" t="s">
        <v>257</v>
      </c>
      <c r="F139" s="273">
        <v>92233997575</v>
      </c>
      <c r="G139" s="274" t="s">
        <v>884</v>
      </c>
      <c r="H139" s="274" t="s">
        <v>884</v>
      </c>
      <c r="I139" s="274" t="s">
        <v>280</v>
      </c>
      <c r="J139" s="274">
        <v>1</v>
      </c>
      <c r="K139" s="274" t="str">
        <f>"성*정"</f>
        <v>성*정</v>
      </c>
      <c r="L139" s="274" t="str">
        <f>"성*정"</f>
        <v>성*정</v>
      </c>
      <c r="M139" s="278">
        <v>8809879544101</v>
      </c>
      <c r="N139" s="274" t="s">
        <v>24</v>
      </c>
      <c r="O139" s="280">
        <v>1</v>
      </c>
      <c r="P139" s="170" t="s">
        <v>163</v>
      </c>
      <c r="Q139" s="25" t="s">
        <v>955</v>
      </c>
      <c r="R139" s="274" t="str">
        <f>"20260413-0000377"</f>
        <v>20260413-0000377</v>
      </c>
    </row>
    <row r="140" spans="1:18">
      <c r="A140" s="273" t="s">
        <v>39</v>
      </c>
      <c r="B140" s="277">
        <v>46126</v>
      </c>
      <c r="C140" s="274" t="s">
        <v>951</v>
      </c>
      <c r="D140" s="274" t="s">
        <v>279</v>
      </c>
      <c r="E140" s="274" t="s">
        <v>257</v>
      </c>
      <c r="F140" s="273">
        <v>92233997564</v>
      </c>
      <c r="G140" s="274" t="s">
        <v>883</v>
      </c>
      <c r="H140" s="274" t="s">
        <v>883</v>
      </c>
      <c r="I140" s="274" t="s">
        <v>280</v>
      </c>
      <c r="J140" s="274">
        <v>1</v>
      </c>
      <c r="K140" s="274" t="str">
        <f>"김*현"</f>
        <v>김*현</v>
      </c>
      <c r="L140" s="274" t="str">
        <f>"김*현"</f>
        <v>김*현</v>
      </c>
      <c r="M140" s="278">
        <v>8809879544101</v>
      </c>
      <c r="N140" s="274" t="s">
        <v>24</v>
      </c>
      <c r="O140" s="280">
        <v>1</v>
      </c>
      <c r="P140" s="170" t="s">
        <v>163</v>
      </c>
      <c r="Q140" s="25" t="s">
        <v>955</v>
      </c>
      <c r="R140" s="274" t="str">
        <f>"20260413-0000398"</f>
        <v>20260413-0000398</v>
      </c>
    </row>
    <row r="141" spans="1:18">
      <c r="A141" s="273" t="s">
        <v>39</v>
      </c>
      <c r="B141" s="277">
        <v>46126</v>
      </c>
      <c r="C141" s="274" t="s">
        <v>951</v>
      </c>
      <c r="D141" s="274" t="s">
        <v>279</v>
      </c>
      <c r="E141" s="274" t="s">
        <v>257</v>
      </c>
      <c r="F141" s="273">
        <v>92233997553</v>
      </c>
      <c r="G141" s="274" t="s">
        <v>882</v>
      </c>
      <c r="H141" s="274" t="s">
        <v>882</v>
      </c>
      <c r="I141" s="274" t="s">
        <v>280</v>
      </c>
      <c r="J141" s="274">
        <v>1</v>
      </c>
      <c r="K141" s="274" t="str">
        <f>"이*연"</f>
        <v>이*연</v>
      </c>
      <c r="L141" s="274" t="str">
        <f>"이*연"</f>
        <v>이*연</v>
      </c>
      <c r="M141" s="278">
        <v>8809879544101</v>
      </c>
      <c r="N141" s="274" t="s">
        <v>24</v>
      </c>
      <c r="O141" s="280">
        <v>1</v>
      </c>
      <c r="P141" s="170" t="s">
        <v>163</v>
      </c>
      <c r="Q141" s="25" t="s">
        <v>955</v>
      </c>
      <c r="R141" s="274" t="str">
        <f>"20260413-0000405"</f>
        <v>20260413-0000405</v>
      </c>
    </row>
    <row r="142" spans="1:18">
      <c r="A142" s="273" t="s">
        <v>39</v>
      </c>
      <c r="B142" s="277">
        <v>46126</v>
      </c>
      <c r="C142" s="274" t="s">
        <v>951</v>
      </c>
      <c r="D142" s="274" t="s">
        <v>279</v>
      </c>
      <c r="E142" s="274" t="s">
        <v>257</v>
      </c>
      <c r="F142" s="273">
        <v>92233997531</v>
      </c>
      <c r="G142" s="274" t="s">
        <v>878</v>
      </c>
      <c r="H142" s="274" t="s">
        <v>878</v>
      </c>
      <c r="I142" s="274" t="s">
        <v>280</v>
      </c>
      <c r="J142" s="274">
        <v>1</v>
      </c>
      <c r="K142" s="274" t="str">
        <f>"이*은"</f>
        <v>이*은</v>
      </c>
      <c r="L142" s="274" t="str">
        <f>"이*은"</f>
        <v>이*은</v>
      </c>
      <c r="M142" s="278">
        <v>8809879544101</v>
      </c>
      <c r="N142" s="274" t="s">
        <v>24</v>
      </c>
      <c r="O142" s="280">
        <v>1</v>
      </c>
      <c r="P142" s="170" t="s">
        <v>163</v>
      </c>
      <c r="Q142" s="25" t="s">
        <v>955</v>
      </c>
      <c r="R142" s="274" t="str">
        <f>"20260413-0000451"</f>
        <v>20260413-0000451</v>
      </c>
    </row>
    <row r="143" spans="1:18">
      <c r="A143" s="273" t="s">
        <v>39</v>
      </c>
      <c r="B143" s="277">
        <v>46126</v>
      </c>
      <c r="C143" s="274" t="s">
        <v>951</v>
      </c>
      <c r="D143" s="274" t="s">
        <v>279</v>
      </c>
      <c r="E143" s="274" t="s">
        <v>257</v>
      </c>
      <c r="F143" s="273">
        <v>92233997520</v>
      </c>
      <c r="G143" s="274" t="s">
        <v>879</v>
      </c>
      <c r="H143" s="274" t="s">
        <v>879</v>
      </c>
      <c r="I143" s="274" t="s">
        <v>280</v>
      </c>
      <c r="J143" s="274">
        <v>1</v>
      </c>
      <c r="K143" s="274" t="str">
        <f>"이*연"</f>
        <v>이*연</v>
      </c>
      <c r="L143" s="274" t="str">
        <f>"이*연"</f>
        <v>이*연</v>
      </c>
      <c r="M143" s="278">
        <v>8809879544101</v>
      </c>
      <c r="N143" s="274" t="s">
        <v>24</v>
      </c>
      <c r="O143" s="280">
        <v>1</v>
      </c>
      <c r="P143" s="170" t="s">
        <v>163</v>
      </c>
      <c r="Q143" s="25" t="s">
        <v>955</v>
      </c>
      <c r="R143" s="274" t="str">
        <f>"20260413-0000460"</f>
        <v>20260413-0000460</v>
      </c>
    </row>
    <row r="144" spans="1:18">
      <c r="A144" s="273" t="s">
        <v>39</v>
      </c>
      <c r="B144" s="277">
        <v>46126</v>
      </c>
      <c r="C144" s="274" t="s">
        <v>951</v>
      </c>
      <c r="D144" s="274" t="s">
        <v>279</v>
      </c>
      <c r="E144" s="274" t="s">
        <v>257</v>
      </c>
      <c r="F144" s="273">
        <v>92233997516</v>
      </c>
      <c r="G144" s="274" t="s">
        <v>880</v>
      </c>
      <c r="H144" s="274" t="s">
        <v>880</v>
      </c>
      <c r="I144" s="274" t="s">
        <v>280</v>
      </c>
      <c r="J144" s="274">
        <v>1</v>
      </c>
      <c r="K144" s="274" t="str">
        <f>"이*래"</f>
        <v>이*래</v>
      </c>
      <c r="L144" s="274" t="str">
        <f>"이*래"</f>
        <v>이*래</v>
      </c>
      <c r="M144" s="278">
        <v>8809879544101</v>
      </c>
      <c r="N144" s="274" t="s">
        <v>24</v>
      </c>
      <c r="O144" s="280">
        <v>1</v>
      </c>
      <c r="P144" s="170" t="s">
        <v>163</v>
      </c>
      <c r="Q144" s="25" t="s">
        <v>955</v>
      </c>
      <c r="R144" s="274" t="str">
        <f>"20260413-0000470"</f>
        <v>20260413-0000470</v>
      </c>
    </row>
    <row r="145" spans="1:18">
      <c r="A145" s="273" t="s">
        <v>39</v>
      </c>
      <c r="B145" s="277">
        <v>46126</v>
      </c>
      <c r="C145" s="274" t="s">
        <v>951</v>
      </c>
      <c r="D145" s="274" t="s">
        <v>279</v>
      </c>
      <c r="E145" s="274" t="s">
        <v>257</v>
      </c>
      <c r="F145" s="273">
        <v>92233997505</v>
      </c>
      <c r="G145" s="274" t="s">
        <v>881</v>
      </c>
      <c r="H145" s="274" t="s">
        <v>881</v>
      </c>
      <c r="I145" s="274" t="s">
        <v>280</v>
      </c>
      <c r="J145" s="274">
        <v>1</v>
      </c>
      <c r="K145" s="274" t="str">
        <f>"최*윤"</f>
        <v>최*윤</v>
      </c>
      <c r="L145" s="274" t="str">
        <f>"최*윤"</f>
        <v>최*윤</v>
      </c>
      <c r="M145" s="278">
        <v>8809879544101</v>
      </c>
      <c r="N145" s="274" t="s">
        <v>24</v>
      </c>
      <c r="O145" s="280">
        <v>1</v>
      </c>
      <c r="P145" s="170" t="s">
        <v>163</v>
      </c>
      <c r="Q145" s="25" t="s">
        <v>955</v>
      </c>
      <c r="R145" s="274" t="str">
        <f>"20260413-0000508"</f>
        <v>20260413-0000508</v>
      </c>
    </row>
    <row r="146" spans="1:18">
      <c r="A146" s="273" t="s">
        <v>39</v>
      </c>
      <c r="B146" s="277">
        <v>46126</v>
      </c>
      <c r="C146" s="274" t="s">
        <v>951</v>
      </c>
      <c r="D146" s="274" t="s">
        <v>279</v>
      </c>
      <c r="E146" s="274" t="s">
        <v>257</v>
      </c>
      <c r="F146" s="273">
        <v>92233997483</v>
      </c>
      <c r="G146" s="274" t="s">
        <v>871</v>
      </c>
      <c r="H146" s="274" t="s">
        <v>871</v>
      </c>
      <c r="I146" s="274" t="s">
        <v>280</v>
      </c>
      <c r="J146" s="274">
        <v>1</v>
      </c>
      <c r="K146" s="274" t="str">
        <f>"김*영"</f>
        <v>김*영</v>
      </c>
      <c r="L146" s="274" t="str">
        <f>"김*영"</f>
        <v>김*영</v>
      </c>
      <c r="M146" s="278">
        <v>8809879544101</v>
      </c>
      <c r="N146" s="274" t="s">
        <v>24</v>
      </c>
      <c r="O146" s="280">
        <v>1</v>
      </c>
      <c r="P146" s="170" t="s">
        <v>163</v>
      </c>
      <c r="Q146" s="25" t="s">
        <v>955</v>
      </c>
      <c r="R146" s="274" t="str">
        <f>"20260413-0000539"</f>
        <v>20260413-0000539</v>
      </c>
    </row>
    <row r="147" spans="1:18">
      <c r="A147" s="273" t="s">
        <v>39</v>
      </c>
      <c r="B147" s="277">
        <v>46126</v>
      </c>
      <c r="C147" s="274" t="s">
        <v>951</v>
      </c>
      <c r="D147" s="274" t="s">
        <v>279</v>
      </c>
      <c r="E147" s="274" t="s">
        <v>257</v>
      </c>
      <c r="F147" s="273">
        <v>92233997472</v>
      </c>
      <c r="G147" s="274" t="s">
        <v>872</v>
      </c>
      <c r="H147" s="274" t="s">
        <v>872</v>
      </c>
      <c r="I147" s="274" t="s">
        <v>280</v>
      </c>
      <c r="J147" s="274">
        <v>1</v>
      </c>
      <c r="K147" s="274" t="str">
        <f>"최*정"</f>
        <v>최*정</v>
      </c>
      <c r="L147" s="274" t="str">
        <f>"최*정"</f>
        <v>최*정</v>
      </c>
      <c r="M147" s="278">
        <v>8809879544101</v>
      </c>
      <c r="N147" s="274" t="s">
        <v>24</v>
      </c>
      <c r="O147" s="280">
        <v>1</v>
      </c>
      <c r="P147" s="170" t="s">
        <v>163</v>
      </c>
      <c r="Q147" s="25" t="s">
        <v>955</v>
      </c>
      <c r="R147" s="274" t="str">
        <f>"20260413-0000547"</f>
        <v>20260413-0000547</v>
      </c>
    </row>
    <row r="148" spans="1:18">
      <c r="A148" s="273" t="s">
        <v>39</v>
      </c>
      <c r="B148" s="277">
        <v>46126</v>
      </c>
      <c r="C148" s="274" t="s">
        <v>951</v>
      </c>
      <c r="D148" s="274" t="s">
        <v>279</v>
      </c>
      <c r="E148" s="274" t="s">
        <v>257</v>
      </c>
      <c r="F148" s="273">
        <v>92233997461</v>
      </c>
      <c r="G148" s="274" t="s">
        <v>902</v>
      </c>
      <c r="H148" s="274" t="s">
        <v>902</v>
      </c>
      <c r="I148" s="274" t="s">
        <v>280</v>
      </c>
      <c r="J148" s="274">
        <v>1</v>
      </c>
      <c r="K148" s="274" t="str">
        <f>"김*은"</f>
        <v>김*은</v>
      </c>
      <c r="L148" s="274" t="str">
        <f>"김*"</f>
        <v>김*</v>
      </c>
      <c r="M148" s="278">
        <v>8809879544101</v>
      </c>
      <c r="N148" s="274" t="s">
        <v>24</v>
      </c>
      <c r="O148" s="280">
        <v>1</v>
      </c>
      <c r="P148" s="170" t="s">
        <v>163</v>
      </c>
      <c r="Q148" s="25" t="s">
        <v>955</v>
      </c>
      <c r="R148" s="274" t="str">
        <f>"20260413-0000592"</f>
        <v>20260413-0000592</v>
      </c>
    </row>
    <row r="149" spans="1:18">
      <c r="A149" s="273" t="s">
        <v>39</v>
      </c>
      <c r="B149" s="277">
        <v>46126</v>
      </c>
      <c r="C149" s="274" t="s">
        <v>951</v>
      </c>
      <c r="D149" s="274" t="s">
        <v>279</v>
      </c>
      <c r="E149" s="274" t="s">
        <v>257</v>
      </c>
      <c r="F149" s="273">
        <v>92233997450</v>
      </c>
      <c r="G149" s="274" t="s">
        <v>873</v>
      </c>
      <c r="H149" s="274" t="s">
        <v>873</v>
      </c>
      <c r="I149" s="274" t="s">
        <v>280</v>
      </c>
      <c r="J149" s="274">
        <v>1</v>
      </c>
      <c r="K149" s="274" t="str">
        <f>"김*혜"</f>
        <v>김*혜</v>
      </c>
      <c r="L149" s="274" t="str">
        <f>"김*혜"</f>
        <v>김*혜</v>
      </c>
      <c r="M149" s="278">
        <v>8809879544101</v>
      </c>
      <c r="N149" s="274" t="s">
        <v>24</v>
      </c>
      <c r="O149" s="280">
        <v>1</v>
      </c>
      <c r="P149" s="170" t="s">
        <v>163</v>
      </c>
      <c r="Q149" s="25" t="s">
        <v>955</v>
      </c>
      <c r="R149" s="274" t="str">
        <f>"20260413-0000633"</f>
        <v>20260413-0000633</v>
      </c>
    </row>
    <row r="150" spans="1:18">
      <c r="A150" s="273" t="s">
        <v>39</v>
      </c>
      <c r="B150" s="277">
        <v>46126</v>
      </c>
      <c r="C150" s="274" t="s">
        <v>951</v>
      </c>
      <c r="D150" s="274" t="s">
        <v>279</v>
      </c>
      <c r="E150" s="274" t="s">
        <v>257</v>
      </c>
      <c r="F150" s="273">
        <v>92233997446</v>
      </c>
      <c r="G150" s="274" t="s">
        <v>874</v>
      </c>
      <c r="H150" s="274" t="s">
        <v>874</v>
      </c>
      <c r="I150" s="274" t="s">
        <v>280</v>
      </c>
      <c r="J150" s="274">
        <v>1</v>
      </c>
      <c r="K150" s="274" t="str">
        <f>"박*선"</f>
        <v>박*선</v>
      </c>
      <c r="L150" s="274" t="str">
        <f>"박*선"</f>
        <v>박*선</v>
      </c>
      <c r="M150" s="278">
        <v>8809879544101</v>
      </c>
      <c r="N150" s="274" t="s">
        <v>24</v>
      </c>
      <c r="O150" s="280">
        <v>1</v>
      </c>
      <c r="P150" s="170" t="s">
        <v>163</v>
      </c>
      <c r="Q150" s="25" t="s">
        <v>955</v>
      </c>
      <c r="R150" s="274" t="str">
        <f>"20260413-0000654"</f>
        <v>20260413-0000654</v>
      </c>
    </row>
    <row r="151" spans="1:18">
      <c r="A151" s="273" t="s">
        <v>39</v>
      </c>
      <c r="B151" s="277">
        <v>46126</v>
      </c>
      <c r="C151" s="274" t="s">
        <v>953</v>
      </c>
      <c r="D151" s="274" t="s">
        <v>234</v>
      </c>
      <c r="E151" s="274" t="s">
        <v>257</v>
      </c>
      <c r="F151" s="273">
        <v>92233997435</v>
      </c>
      <c r="G151" s="274" t="s">
        <v>875</v>
      </c>
      <c r="H151" s="274" t="s">
        <v>875</v>
      </c>
      <c r="I151" s="274"/>
      <c r="J151" s="274">
        <v>1</v>
      </c>
      <c r="K151" s="274" t="str">
        <f>"이*은"</f>
        <v>이*은</v>
      </c>
      <c r="L151" s="274" t="str">
        <f>"이*은"</f>
        <v>이*은</v>
      </c>
      <c r="M151" s="278">
        <v>8809879544101</v>
      </c>
      <c r="N151" s="274" t="s">
        <v>24</v>
      </c>
      <c r="O151" s="280">
        <v>1</v>
      </c>
      <c r="P151" s="170" t="s">
        <v>163</v>
      </c>
      <c r="Q151" s="272" t="s">
        <v>617</v>
      </c>
      <c r="R151" s="274" t="str">
        <f>"20260413-0000660"</f>
        <v>20260413-0000660</v>
      </c>
    </row>
    <row r="152" spans="1:18">
      <c r="A152" s="273" t="s">
        <v>39</v>
      </c>
      <c r="B152" s="277">
        <v>46126</v>
      </c>
      <c r="C152" s="274" t="s">
        <v>951</v>
      </c>
      <c r="D152" s="274" t="s">
        <v>279</v>
      </c>
      <c r="E152" s="274" t="s">
        <v>257</v>
      </c>
      <c r="F152" s="273">
        <v>92233997424</v>
      </c>
      <c r="G152" s="274" t="s">
        <v>876</v>
      </c>
      <c r="H152" s="274" t="s">
        <v>876</v>
      </c>
      <c r="I152" s="274" t="s">
        <v>280</v>
      </c>
      <c r="J152" s="274">
        <v>1</v>
      </c>
      <c r="K152" s="274" t="str">
        <f>"김*원"</f>
        <v>김*원</v>
      </c>
      <c r="L152" s="274" t="str">
        <f>"김*원"</f>
        <v>김*원</v>
      </c>
      <c r="M152" s="278">
        <v>8809879544101</v>
      </c>
      <c r="N152" s="274" t="s">
        <v>24</v>
      </c>
      <c r="O152" s="280">
        <v>1</v>
      </c>
      <c r="P152" s="170" t="s">
        <v>163</v>
      </c>
      <c r="Q152" s="25" t="s">
        <v>955</v>
      </c>
      <c r="R152" s="274" t="str">
        <f>"20260413-0000674"</f>
        <v>20260413-0000674</v>
      </c>
    </row>
    <row r="153" spans="1:18">
      <c r="A153" s="273" t="s">
        <v>39</v>
      </c>
      <c r="B153" s="277">
        <v>46126</v>
      </c>
      <c r="C153" s="274" t="s">
        <v>951</v>
      </c>
      <c r="D153" s="274" t="s">
        <v>279</v>
      </c>
      <c r="E153" s="274" t="s">
        <v>257</v>
      </c>
      <c r="F153" s="273">
        <v>92233997413</v>
      </c>
      <c r="G153" s="274" t="s">
        <v>877</v>
      </c>
      <c r="H153" s="274" t="s">
        <v>877</v>
      </c>
      <c r="I153" s="274" t="s">
        <v>280</v>
      </c>
      <c r="J153" s="274">
        <v>1</v>
      </c>
      <c r="K153" s="274" t="str">
        <f>"이*별"</f>
        <v>이*별</v>
      </c>
      <c r="L153" s="274" t="str">
        <f>"이*별"</f>
        <v>이*별</v>
      </c>
      <c r="M153" s="278">
        <v>8809879544101</v>
      </c>
      <c r="N153" s="274" t="s">
        <v>24</v>
      </c>
      <c r="O153" s="280">
        <v>1</v>
      </c>
      <c r="P153" s="170" t="s">
        <v>163</v>
      </c>
      <c r="Q153" s="25" t="s">
        <v>955</v>
      </c>
      <c r="R153" s="274" t="str">
        <f>"20260413-0000691"</f>
        <v>20260413-0000691</v>
      </c>
    </row>
    <row r="154" spans="1:18">
      <c r="A154" s="273" t="s">
        <v>39</v>
      </c>
      <c r="B154" s="277">
        <v>46126</v>
      </c>
      <c r="C154" s="274" t="s">
        <v>951</v>
      </c>
      <c r="D154" s="274" t="s">
        <v>279</v>
      </c>
      <c r="E154" s="274" t="s">
        <v>257</v>
      </c>
      <c r="F154" s="273">
        <v>92233997391</v>
      </c>
      <c r="G154" s="274" t="s">
        <v>870</v>
      </c>
      <c r="H154" s="274" t="s">
        <v>870</v>
      </c>
      <c r="I154" s="274" t="s">
        <v>280</v>
      </c>
      <c r="J154" s="274">
        <v>1</v>
      </c>
      <c r="K154" s="274" t="str">
        <f>"강*아"</f>
        <v>강*아</v>
      </c>
      <c r="L154" s="274" t="str">
        <f>"강*아"</f>
        <v>강*아</v>
      </c>
      <c r="M154" s="278">
        <v>8809879544101</v>
      </c>
      <c r="N154" s="274" t="s">
        <v>24</v>
      </c>
      <c r="O154" s="280">
        <v>1</v>
      </c>
      <c r="P154" s="170" t="s">
        <v>163</v>
      </c>
      <c r="Q154" s="25" t="s">
        <v>955</v>
      </c>
      <c r="R154" s="274" t="str">
        <f>"20260413-0000717"</f>
        <v>20260413-0000717</v>
      </c>
    </row>
    <row r="155" spans="1:18">
      <c r="A155" s="273" t="s">
        <v>39</v>
      </c>
      <c r="B155" s="277">
        <v>46126</v>
      </c>
      <c r="C155" s="274" t="s">
        <v>951</v>
      </c>
      <c r="D155" s="274" t="s">
        <v>279</v>
      </c>
      <c r="E155" s="274" t="s">
        <v>257</v>
      </c>
      <c r="F155" s="273">
        <v>92233997376</v>
      </c>
      <c r="G155" s="274" t="s">
        <v>866</v>
      </c>
      <c r="H155" s="274" t="s">
        <v>866</v>
      </c>
      <c r="I155" s="274" t="s">
        <v>280</v>
      </c>
      <c r="J155" s="274">
        <v>1</v>
      </c>
      <c r="K155" s="274" t="str">
        <f>"장*애"</f>
        <v>장*애</v>
      </c>
      <c r="L155" s="274" t="str">
        <f>"장*애"</f>
        <v>장*애</v>
      </c>
      <c r="M155" s="278">
        <v>8809879544101</v>
      </c>
      <c r="N155" s="274" t="s">
        <v>24</v>
      </c>
      <c r="O155" s="280">
        <v>1</v>
      </c>
      <c r="P155" s="170" t="s">
        <v>163</v>
      </c>
      <c r="Q155" s="25" t="s">
        <v>955</v>
      </c>
      <c r="R155" s="274" t="str">
        <f>"20260413-0000772"</f>
        <v>20260413-0000772</v>
      </c>
    </row>
    <row r="156" spans="1:18">
      <c r="A156" s="273" t="s">
        <v>39</v>
      </c>
      <c r="B156" s="277">
        <v>46126</v>
      </c>
      <c r="C156" s="274" t="s">
        <v>951</v>
      </c>
      <c r="D156" s="274" t="s">
        <v>279</v>
      </c>
      <c r="E156" s="274" t="s">
        <v>257</v>
      </c>
      <c r="F156" s="273">
        <v>92233997365</v>
      </c>
      <c r="G156" s="274" t="s">
        <v>867</v>
      </c>
      <c r="H156" s="274" t="s">
        <v>867</v>
      </c>
      <c r="I156" s="274" t="s">
        <v>280</v>
      </c>
      <c r="J156" s="274">
        <v>1</v>
      </c>
      <c r="K156" s="274" t="str">
        <f>"최*은"</f>
        <v>최*은</v>
      </c>
      <c r="L156" s="274" t="str">
        <f>"최*은"</f>
        <v>최*은</v>
      </c>
      <c r="M156" s="278">
        <v>8809879544101</v>
      </c>
      <c r="N156" s="274" t="s">
        <v>24</v>
      </c>
      <c r="O156" s="280">
        <v>1</v>
      </c>
      <c r="P156" s="170" t="s">
        <v>163</v>
      </c>
      <c r="Q156" s="25" t="s">
        <v>955</v>
      </c>
      <c r="R156" s="274" t="str">
        <f>"20260413-0000807"</f>
        <v>20260413-0000807</v>
      </c>
    </row>
    <row r="157" spans="1:18">
      <c r="A157" s="273" t="s">
        <v>39</v>
      </c>
      <c r="B157" s="277">
        <v>46126</v>
      </c>
      <c r="C157" s="274" t="s">
        <v>951</v>
      </c>
      <c r="D157" s="274" t="s">
        <v>279</v>
      </c>
      <c r="E157" s="274" t="s">
        <v>257</v>
      </c>
      <c r="F157" s="273">
        <v>92233997354</v>
      </c>
      <c r="G157" s="274" t="s">
        <v>868</v>
      </c>
      <c r="H157" s="274" t="s">
        <v>868</v>
      </c>
      <c r="I157" s="274" t="s">
        <v>280</v>
      </c>
      <c r="J157" s="274">
        <v>1</v>
      </c>
      <c r="K157" s="274" t="str">
        <f>"임*희"</f>
        <v>임*희</v>
      </c>
      <c r="L157" s="274" t="str">
        <f>"임*희"</f>
        <v>임*희</v>
      </c>
      <c r="M157" s="278">
        <v>8809879544101</v>
      </c>
      <c r="N157" s="274" t="s">
        <v>24</v>
      </c>
      <c r="O157" s="280">
        <v>1</v>
      </c>
      <c r="P157" s="170" t="s">
        <v>163</v>
      </c>
      <c r="Q157" s="25" t="s">
        <v>955</v>
      </c>
      <c r="R157" s="274" t="str">
        <f>"20260413-0000837"</f>
        <v>20260413-0000837</v>
      </c>
    </row>
    <row r="158" spans="1:18">
      <c r="A158" s="273" t="s">
        <v>39</v>
      </c>
      <c r="B158" s="277">
        <v>46126</v>
      </c>
      <c r="C158" s="274" t="s">
        <v>951</v>
      </c>
      <c r="D158" s="274" t="s">
        <v>279</v>
      </c>
      <c r="E158" s="274" t="s">
        <v>257</v>
      </c>
      <c r="F158" s="273">
        <v>92233997343</v>
      </c>
      <c r="G158" s="274" t="s">
        <v>869</v>
      </c>
      <c r="H158" s="274" t="s">
        <v>869</v>
      </c>
      <c r="I158" s="274" t="s">
        <v>280</v>
      </c>
      <c r="J158" s="274">
        <v>1</v>
      </c>
      <c r="K158" s="274" t="str">
        <f>"김*주"</f>
        <v>김*주</v>
      </c>
      <c r="L158" s="274" t="str">
        <f>"김*주"</f>
        <v>김*주</v>
      </c>
      <c r="M158" s="278">
        <v>8809879544101</v>
      </c>
      <c r="N158" s="274" t="s">
        <v>24</v>
      </c>
      <c r="O158" s="280">
        <v>1</v>
      </c>
      <c r="P158" s="170" t="s">
        <v>163</v>
      </c>
      <c r="Q158" s="25" t="s">
        <v>955</v>
      </c>
      <c r="R158" s="274" t="str">
        <f>"20260413-0000869"</f>
        <v>20260413-0000869</v>
      </c>
    </row>
    <row r="159" spans="1:18">
      <c r="A159" s="273" t="s">
        <v>39</v>
      </c>
      <c r="B159" s="277">
        <v>46126</v>
      </c>
      <c r="C159" s="274" t="s">
        <v>951</v>
      </c>
      <c r="D159" s="274" t="s">
        <v>279</v>
      </c>
      <c r="E159" s="274" t="s">
        <v>257</v>
      </c>
      <c r="F159" s="273">
        <v>92233997310</v>
      </c>
      <c r="G159" s="274" t="s">
        <v>864</v>
      </c>
      <c r="H159" s="274" t="s">
        <v>864</v>
      </c>
      <c r="I159" s="274" t="s">
        <v>280</v>
      </c>
      <c r="J159" s="274">
        <v>1</v>
      </c>
      <c r="K159" s="274" t="str">
        <f>"임*린"</f>
        <v>임*린</v>
      </c>
      <c r="L159" s="274" t="str">
        <f>"임*린"</f>
        <v>임*린</v>
      </c>
      <c r="M159" s="278">
        <v>8809879544101</v>
      </c>
      <c r="N159" s="274" t="s">
        <v>24</v>
      </c>
      <c r="O159" s="280">
        <v>1</v>
      </c>
      <c r="P159" s="170" t="s">
        <v>163</v>
      </c>
      <c r="Q159" s="25" t="s">
        <v>955</v>
      </c>
      <c r="R159" s="274" t="str">
        <f>"20260413-0000909"</f>
        <v>20260413-0000909</v>
      </c>
    </row>
    <row r="160" spans="1:18">
      <c r="A160" s="273" t="s">
        <v>39</v>
      </c>
      <c r="B160" s="277">
        <v>46126</v>
      </c>
      <c r="C160" s="274" t="s">
        <v>951</v>
      </c>
      <c r="D160" s="274" t="s">
        <v>279</v>
      </c>
      <c r="E160" s="274" t="s">
        <v>257</v>
      </c>
      <c r="F160" s="273">
        <v>92233997306</v>
      </c>
      <c r="G160" s="274" t="s">
        <v>865</v>
      </c>
      <c r="H160" s="274" t="s">
        <v>865</v>
      </c>
      <c r="I160" s="274" t="s">
        <v>280</v>
      </c>
      <c r="J160" s="274">
        <v>1</v>
      </c>
      <c r="K160" s="274" t="str">
        <f>"이*희"</f>
        <v>이*희</v>
      </c>
      <c r="L160" s="274" t="str">
        <f>"이*희"</f>
        <v>이*희</v>
      </c>
      <c r="M160" s="278">
        <v>8809879544101</v>
      </c>
      <c r="N160" s="274" t="s">
        <v>24</v>
      </c>
      <c r="O160" s="280">
        <v>1</v>
      </c>
      <c r="P160" s="170" t="s">
        <v>163</v>
      </c>
      <c r="Q160" s="25" t="s">
        <v>955</v>
      </c>
      <c r="R160" s="274" t="str">
        <f>"20260413-0000915"</f>
        <v>20260413-0000915</v>
      </c>
    </row>
    <row r="161" spans="1:18">
      <c r="A161" s="273" t="s">
        <v>39</v>
      </c>
      <c r="B161" s="277">
        <v>46126</v>
      </c>
      <c r="C161" s="274" t="s">
        <v>951</v>
      </c>
      <c r="D161" s="274" t="s">
        <v>279</v>
      </c>
      <c r="E161" s="274" t="s">
        <v>257</v>
      </c>
      <c r="F161" s="273">
        <v>92233997262</v>
      </c>
      <c r="G161" s="274" t="s">
        <v>863</v>
      </c>
      <c r="H161" s="274" t="s">
        <v>863</v>
      </c>
      <c r="I161" s="274" t="s">
        <v>280</v>
      </c>
      <c r="J161" s="274">
        <v>1</v>
      </c>
      <c r="K161" s="274" t="str">
        <f>"이*별"</f>
        <v>이*별</v>
      </c>
      <c r="L161" s="274" t="str">
        <f>"이*별"</f>
        <v>이*별</v>
      </c>
      <c r="M161" s="278">
        <v>8809879544101</v>
      </c>
      <c r="N161" s="274" t="s">
        <v>24</v>
      </c>
      <c r="O161" s="280">
        <v>1</v>
      </c>
      <c r="P161" s="170" t="s">
        <v>163</v>
      </c>
      <c r="Q161" s="25" t="s">
        <v>955</v>
      </c>
      <c r="R161" s="274" t="str">
        <f>"20260414-0000059"</f>
        <v>20260414-0000059</v>
      </c>
    </row>
    <row r="162" spans="1:18">
      <c r="A162" s="273" t="s">
        <v>39</v>
      </c>
      <c r="B162" s="277">
        <v>46125</v>
      </c>
      <c r="C162" s="274" t="s">
        <v>951</v>
      </c>
      <c r="D162" s="274" t="s">
        <v>279</v>
      </c>
      <c r="E162" s="274" t="s">
        <v>257</v>
      </c>
      <c r="F162" s="273">
        <v>92233972880</v>
      </c>
      <c r="G162" s="274" t="s">
        <v>926</v>
      </c>
      <c r="H162" s="274" t="s">
        <v>926</v>
      </c>
      <c r="I162" s="274" t="s">
        <v>293</v>
      </c>
      <c r="J162" s="274">
        <v>1</v>
      </c>
      <c r="K162" s="274" t="str">
        <f>"유*규"</f>
        <v>유*규</v>
      </c>
      <c r="L162" s="274" t="str">
        <f>"임*"</f>
        <v>임*</v>
      </c>
      <c r="M162" s="278">
        <v>8809879544101</v>
      </c>
      <c r="N162" s="274" t="s">
        <v>24</v>
      </c>
      <c r="O162" s="280">
        <v>2</v>
      </c>
      <c r="P162" s="170" t="s">
        <v>163</v>
      </c>
      <c r="Q162" s="25" t="s">
        <v>955</v>
      </c>
      <c r="R162" s="274" t="str">
        <f>"20260413-0000310"</f>
        <v>20260413-0000310</v>
      </c>
    </row>
    <row r="163" spans="1:18">
      <c r="A163" s="273" t="s">
        <v>39</v>
      </c>
      <c r="B163" s="277">
        <v>46125</v>
      </c>
      <c r="C163" s="274" t="s">
        <v>951</v>
      </c>
      <c r="D163" s="274" t="s">
        <v>279</v>
      </c>
      <c r="E163" s="274" t="s">
        <v>257</v>
      </c>
      <c r="F163" s="273">
        <v>92233972843</v>
      </c>
      <c r="G163" s="274" t="s">
        <v>925</v>
      </c>
      <c r="H163" s="274" t="s">
        <v>925</v>
      </c>
      <c r="I163" s="274" t="s">
        <v>293</v>
      </c>
      <c r="J163" s="274">
        <v>1</v>
      </c>
      <c r="K163" s="274" t="str">
        <f>"임*영"</f>
        <v>임*영</v>
      </c>
      <c r="L163" s="274" t="str">
        <f>"임*영"</f>
        <v>임*영</v>
      </c>
      <c r="M163" s="278">
        <v>8809879544101</v>
      </c>
      <c r="N163" s="274" t="s">
        <v>24</v>
      </c>
      <c r="O163" s="280">
        <v>2</v>
      </c>
      <c r="P163" s="170" t="s">
        <v>163</v>
      </c>
      <c r="Q163" s="25" t="s">
        <v>955</v>
      </c>
      <c r="R163" s="274" t="str">
        <f>"20260413-0000295"</f>
        <v>20260413-0000295</v>
      </c>
    </row>
    <row r="164" spans="1:18">
      <c r="A164" s="273" t="s">
        <v>39</v>
      </c>
      <c r="B164" s="277">
        <v>46125</v>
      </c>
      <c r="C164" s="274" t="s">
        <v>951</v>
      </c>
      <c r="D164" s="274" t="s">
        <v>279</v>
      </c>
      <c r="E164" s="274" t="s">
        <v>257</v>
      </c>
      <c r="F164" s="273">
        <v>92233972751</v>
      </c>
      <c r="G164" s="274" t="s">
        <v>924</v>
      </c>
      <c r="H164" s="274" t="s">
        <v>924</v>
      </c>
      <c r="I164" s="274" t="s">
        <v>293</v>
      </c>
      <c r="J164" s="274">
        <v>1</v>
      </c>
      <c r="K164" s="274" t="str">
        <f>"이*은"</f>
        <v>이*은</v>
      </c>
      <c r="L164" s="274" t="str">
        <f>"이*은"</f>
        <v>이*은</v>
      </c>
      <c r="M164" s="278">
        <v>8809879544101</v>
      </c>
      <c r="N164" s="274" t="s">
        <v>24</v>
      </c>
      <c r="O164" s="280">
        <v>2</v>
      </c>
      <c r="P164" s="170" t="s">
        <v>163</v>
      </c>
      <c r="Q164" s="25" t="s">
        <v>955</v>
      </c>
      <c r="R164" s="274" t="str">
        <f>"20260413-0000170"</f>
        <v>20260413-0000170</v>
      </c>
    </row>
    <row r="165" spans="1:18">
      <c r="A165" s="273" t="s">
        <v>39</v>
      </c>
      <c r="B165" s="277">
        <v>46125</v>
      </c>
      <c r="C165" s="274" t="s">
        <v>951</v>
      </c>
      <c r="D165" s="274" t="s">
        <v>279</v>
      </c>
      <c r="E165" s="274" t="s">
        <v>257</v>
      </c>
      <c r="F165" s="273">
        <v>92233972736</v>
      </c>
      <c r="G165" s="274" t="s">
        <v>920</v>
      </c>
      <c r="H165" s="274" t="s">
        <v>920</v>
      </c>
      <c r="I165" s="274" t="s">
        <v>295</v>
      </c>
      <c r="J165" s="274">
        <v>1</v>
      </c>
      <c r="K165" s="274" t="str">
        <f>"김*정"</f>
        <v>김*정</v>
      </c>
      <c r="L165" s="274" t="str">
        <f>"김*정"</f>
        <v>김*정</v>
      </c>
      <c r="M165" s="278">
        <v>8809879544101</v>
      </c>
      <c r="N165" s="274" t="s">
        <v>24</v>
      </c>
      <c r="O165" s="280">
        <v>3</v>
      </c>
      <c r="P165" s="170" t="s">
        <v>163</v>
      </c>
      <c r="Q165" s="25" t="s">
        <v>955</v>
      </c>
      <c r="R165" s="274" t="str">
        <f>"20260413-0000215"</f>
        <v>20260413-0000215</v>
      </c>
    </row>
    <row r="166" spans="1:18">
      <c r="A166" s="273" t="s">
        <v>39</v>
      </c>
      <c r="B166" s="277">
        <v>46125</v>
      </c>
      <c r="C166" s="274" t="s">
        <v>951</v>
      </c>
      <c r="D166" s="274" t="s">
        <v>279</v>
      </c>
      <c r="E166" s="274" t="s">
        <v>257</v>
      </c>
      <c r="F166" s="273">
        <v>92233946394</v>
      </c>
      <c r="G166" s="274" t="s">
        <v>915</v>
      </c>
      <c r="H166" s="274" t="s">
        <v>915</v>
      </c>
      <c r="I166" s="274" t="s">
        <v>295</v>
      </c>
      <c r="J166" s="274">
        <v>1</v>
      </c>
      <c r="K166" s="274" t="str">
        <f>"성*영"</f>
        <v>성*영</v>
      </c>
      <c r="L166" s="274" t="str">
        <f>"성*영"</f>
        <v>성*영</v>
      </c>
      <c r="M166" s="278">
        <v>8809879544101</v>
      </c>
      <c r="N166" s="274" t="s">
        <v>24</v>
      </c>
      <c r="O166" s="280">
        <v>3</v>
      </c>
      <c r="P166" s="170" t="s">
        <v>163</v>
      </c>
      <c r="Q166" s="25" t="s">
        <v>955</v>
      </c>
      <c r="R166" s="274" t="str">
        <f>"20260413-0000069"</f>
        <v>20260413-0000069</v>
      </c>
    </row>
    <row r="167" spans="1:18">
      <c r="A167" s="273" t="s">
        <v>39</v>
      </c>
      <c r="B167" s="277">
        <v>46125</v>
      </c>
      <c r="C167" s="274" t="s">
        <v>951</v>
      </c>
      <c r="D167" s="274" t="s">
        <v>279</v>
      </c>
      <c r="E167" s="274" t="s">
        <v>257</v>
      </c>
      <c r="F167" s="273">
        <v>92233946383</v>
      </c>
      <c r="G167" s="274" t="s">
        <v>914</v>
      </c>
      <c r="H167" s="274" t="s">
        <v>914</v>
      </c>
      <c r="I167" s="274" t="s">
        <v>295</v>
      </c>
      <c r="J167" s="274">
        <v>1</v>
      </c>
      <c r="K167" s="274" t="str">
        <f>"박*진"</f>
        <v>박*진</v>
      </c>
      <c r="L167" s="274" t="str">
        <f>"박*진"</f>
        <v>박*진</v>
      </c>
      <c r="M167" s="278">
        <v>8809879544101</v>
      </c>
      <c r="N167" s="274" t="s">
        <v>24</v>
      </c>
      <c r="O167" s="280">
        <v>3</v>
      </c>
      <c r="P167" s="170" t="s">
        <v>163</v>
      </c>
      <c r="Q167" s="25" t="s">
        <v>955</v>
      </c>
      <c r="R167" s="274" t="str">
        <f>"20260413-0000075"</f>
        <v>20260413-0000075</v>
      </c>
    </row>
    <row r="168" spans="1:18">
      <c r="A168" s="273" t="s">
        <v>39</v>
      </c>
      <c r="B168" s="277">
        <v>46125</v>
      </c>
      <c r="C168" s="274" t="s">
        <v>953</v>
      </c>
      <c r="D168" s="274" t="s">
        <v>234</v>
      </c>
      <c r="E168" s="274" t="s">
        <v>257</v>
      </c>
      <c r="F168" s="273">
        <v>92233941914</v>
      </c>
      <c r="G168" s="274" t="s">
        <v>912</v>
      </c>
      <c r="H168" s="274" t="s">
        <v>912</v>
      </c>
      <c r="I168" s="274"/>
      <c r="J168" s="274">
        <v>2</v>
      </c>
      <c r="K168" s="274" t="str">
        <f>"정*원"</f>
        <v>정*원</v>
      </c>
      <c r="L168" s="274" t="str">
        <f>"정*원"</f>
        <v>정*원</v>
      </c>
      <c r="M168" s="278">
        <v>8809879544101</v>
      </c>
      <c r="N168" s="274" t="s">
        <v>24</v>
      </c>
      <c r="O168" s="280">
        <v>2</v>
      </c>
      <c r="P168" s="170" t="s">
        <v>163</v>
      </c>
      <c r="Q168" s="272" t="s">
        <v>617</v>
      </c>
      <c r="R168" s="274" t="str">
        <f>"20260412-0000139"</f>
        <v>20260412-0000139</v>
      </c>
    </row>
    <row r="169" spans="1:18">
      <c r="A169" s="273" t="s">
        <v>39</v>
      </c>
      <c r="B169" s="277">
        <v>46125</v>
      </c>
      <c r="C169" s="274" t="s">
        <v>951</v>
      </c>
      <c r="D169" s="274" t="s">
        <v>279</v>
      </c>
      <c r="E169" s="274" t="s">
        <v>257</v>
      </c>
      <c r="F169" s="273">
        <v>92233972913</v>
      </c>
      <c r="G169" s="274" t="s">
        <v>919</v>
      </c>
      <c r="H169" s="274" t="s">
        <v>919</v>
      </c>
      <c r="I169" s="274" t="s">
        <v>280</v>
      </c>
      <c r="J169" s="274">
        <v>1</v>
      </c>
      <c r="K169" s="274" t="str">
        <f>"정*희"</f>
        <v>정*희</v>
      </c>
      <c r="L169" s="274" t="str">
        <f>"정*희"</f>
        <v>정*희</v>
      </c>
      <c r="M169" s="278">
        <v>8809879544101</v>
      </c>
      <c r="N169" s="274" t="s">
        <v>24</v>
      </c>
      <c r="O169" s="280">
        <v>1</v>
      </c>
      <c r="P169" s="170" t="s">
        <v>163</v>
      </c>
      <c r="Q169" s="25" t="s">
        <v>955</v>
      </c>
      <c r="R169" s="274" t="str">
        <f>"20260413-0000308"</f>
        <v>20260413-0000308</v>
      </c>
    </row>
    <row r="170" spans="1:18">
      <c r="A170" s="273" t="s">
        <v>39</v>
      </c>
      <c r="B170" s="277">
        <v>46125</v>
      </c>
      <c r="C170" s="274" t="s">
        <v>951</v>
      </c>
      <c r="D170" s="274" t="s">
        <v>279</v>
      </c>
      <c r="E170" s="274" t="s">
        <v>257</v>
      </c>
      <c r="F170" s="273">
        <v>92233972946</v>
      </c>
      <c r="G170" s="274" t="s">
        <v>923</v>
      </c>
      <c r="H170" s="274" t="s">
        <v>923</v>
      </c>
      <c r="I170" s="274" t="s">
        <v>280</v>
      </c>
      <c r="J170" s="274">
        <v>1</v>
      </c>
      <c r="K170" s="274" t="str">
        <f>"이*람"</f>
        <v>이*람</v>
      </c>
      <c r="L170" s="274" t="str">
        <f>"이*람"</f>
        <v>이*람</v>
      </c>
      <c r="M170" s="278">
        <v>8809879544101</v>
      </c>
      <c r="N170" s="274" t="s">
        <v>24</v>
      </c>
      <c r="O170" s="280">
        <v>1</v>
      </c>
      <c r="P170" s="170" t="s">
        <v>163</v>
      </c>
      <c r="Q170" s="25" t="s">
        <v>955</v>
      </c>
      <c r="R170" s="274" t="str">
        <f>"20260413-0000161"</f>
        <v>20260413-0000161</v>
      </c>
    </row>
    <row r="171" spans="1:18">
      <c r="A171" s="273" t="s">
        <v>39</v>
      </c>
      <c r="B171" s="277">
        <v>46125</v>
      </c>
      <c r="C171" s="274" t="s">
        <v>951</v>
      </c>
      <c r="D171" s="274" t="s">
        <v>279</v>
      </c>
      <c r="E171" s="274" t="s">
        <v>257</v>
      </c>
      <c r="F171" s="273">
        <v>92233972935</v>
      </c>
      <c r="G171" s="274" t="s">
        <v>922</v>
      </c>
      <c r="H171" s="274" t="s">
        <v>922</v>
      </c>
      <c r="I171" s="274" t="s">
        <v>280</v>
      </c>
      <c r="J171" s="274">
        <v>1</v>
      </c>
      <c r="K171" s="274" t="str">
        <f>"김*아"</f>
        <v>김*아</v>
      </c>
      <c r="L171" s="274" t="str">
        <f>"김*아"</f>
        <v>김*아</v>
      </c>
      <c r="M171" s="278">
        <v>8809879544101</v>
      </c>
      <c r="N171" s="274" t="s">
        <v>24</v>
      </c>
      <c r="O171" s="280">
        <v>1</v>
      </c>
      <c r="P171" s="170" t="s">
        <v>163</v>
      </c>
      <c r="Q171" s="25" t="s">
        <v>955</v>
      </c>
      <c r="R171" s="274" t="str">
        <f>"20260413-0000191"</f>
        <v>20260413-0000191</v>
      </c>
    </row>
    <row r="172" spans="1:18">
      <c r="A172" s="273" t="s">
        <v>39</v>
      </c>
      <c r="B172" s="277">
        <v>46125</v>
      </c>
      <c r="C172" s="274" t="s">
        <v>951</v>
      </c>
      <c r="D172" s="274" t="s">
        <v>279</v>
      </c>
      <c r="E172" s="274" t="s">
        <v>257</v>
      </c>
      <c r="F172" s="273">
        <v>92233972924</v>
      </c>
      <c r="G172" s="274" t="s">
        <v>921</v>
      </c>
      <c r="H172" s="274" t="s">
        <v>921</v>
      </c>
      <c r="I172" s="274" t="s">
        <v>280</v>
      </c>
      <c r="J172" s="274">
        <v>1</v>
      </c>
      <c r="K172" s="274" t="str">
        <f>"현*예"</f>
        <v>현*예</v>
      </c>
      <c r="L172" s="274" t="str">
        <f>"현*예"</f>
        <v>현*예</v>
      </c>
      <c r="M172" s="278">
        <v>8809879544101</v>
      </c>
      <c r="N172" s="274" t="s">
        <v>24</v>
      </c>
      <c r="O172" s="280">
        <v>1</v>
      </c>
      <c r="P172" s="170" t="s">
        <v>163</v>
      </c>
      <c r="Q172" s="25" t="s">
        <v>955</v>
      </c>
      <c r="R172" s="274" t="str">
        <f>"20260413-0000205"</f>
        <v>20260413-0000205</v>
      </c>
    </row>
    <row r="173" spans="1:18">
      <c r="A173" s="273" t="s">
        <v>39</v>
      </c>
      <c r="B173" s="277">
        <v>46125</v>
      </c>
      <c r="C173" s="274" t="s">
        <v>951</v>
      </c>
      <c r="D173" s="274" t="s">
        <v>279</v>
      </c>
      <c r="E173" s="274" t="s">
        <v>257</v>
      </c>
      <c r="F173" s="273">
        <v>92233974394</v>
      </c>
      <c r="G173" s="274" t="s">
        <v>913</v>
      </c>
      <c r="H173" s="274" t="s">
        <v>918</v>
      </c>
      <c r="I173" s="274" t="s">
        <v>280</v>
      </c>
      <c r="J173" s="274">
        <v>1</v>
      </c>
      <c r="K173" s="274" t="str">
        <f>"배*정"</f>
        <v>배*정</v>
      </c>
      <c r="L173" s="274" t="str">
        <f>"배*정"</f>
        <v>배*정</v>
      </c>
      <c r="M173" s="278">
        <v>8809879544101</v>
      </c>
      <c r="N173" s="274" t="s">
        <v>24</v>
      </c>
      <c r="O173" s="280">
        <v>1</v>
      </c>
      <c r="P173" s="170" t="s">
        <v>163</v>
      </c>
      <c r="Q173" s="25" t="s">
        <v>955</v>
      </c>
      <c r="R173" s="274" t="str">
        <f>"20260413-0000052"</f>
        <v>20260413-0000052</v>
      </c>
    </row>
    <row r="174" spans="1:18">
      <c r="A174" s="273" t="s">
        <v>39</v>
      </c>
      <c r="B174" s="277">
        <v>46121</v>
      </c>
      <c r="C174" s="274" t="s">
        <v>952</v>
      </c>
      <c r="D174" s="274" t="s">
        <v>46</v>
      </c>
      <c r="E174" s="274" t="s">
        <v>257</v>
      </c>
      <c r="F174" s="273">
        <v>92233858614</v>
      </c>
      <c r="G174" s="274" t="s">
        <v>927</v>
      </c>
      <c r="H174" s="274" t="s">
        <v>927</v>
      </c>
      <c r="I174" s="274"/>
      <c r="J174" s="274">
        <v>2</v>
      </c>
      <c r="K174" s="274" t="str">
        <f>"유*현"</f>
        <v>유*현</v>
      </c>
      <c r="L174" s="274" t="str">
        <f>"유*현"</f>
        <v>유*현</v>
      </c>
      <c r="M174" s="278">
        <v>8809879544118</v>
      </c>
      <c r="N174" s="274" t="s">
        <v>23</v>
      </c>
      <c r="O174" s="280">
        <v>2</v>
      </c>
      <c r="P174" s="170" t="s">
        <v>163</v>
      </c>
      <c r="Q174" s="272" t="s">
        <v>617</v>
      </c>
      <c r="R174" s="274" t="str">
        <f>"20260408-0000379"</f>
        <v>20260408-0000379</v>
      </c>
    </row>
    <row r="175" spans="1:18">
      <c r="A175" s="273" t="s">
        <v>39</v>
      </c>
      <c r="B175" s="277">
        <v>46121</v>
      </c>
      <c r="C175" s="274" t="s">
        <v>952</v>
      </c>
      <c r="D175" s="274" t="s">
        <v>46</v>
      </c>
      <c r="E175" s="274" t="s">
        <v>257</v>
      </c>
      <c r="F175" s="273">
        <v>92233858614</v>
      </c>
      <c r="G175" s="274" t="s">
        <v>927</v>
      </c>
      <c r="H175" s="274" t="s">
        <v>927</v>
      </c>
      <c r="I175" s="274"/>
      <c r="J175" s="274">
        <v>2</v>
      </c>
      <c r="K175" s="274" t="str">
        <f>"유*현"</f>
        <v>유*현</v>
      </c>
      <c r="L175" s="274" t="str">
        <f>"유*현"</f>
        <v>유*현</v>
      </c>
      <c r="M175" s="278">
        <v>8809879544118</v>
      </c>
      <c r="N175" s="274" t="s">
        <v>23</v>
      </c>
      <c r="O175" s="280">
        <v>2</v>
      </c>
      <c r="P175" s="170" t="s">
        <v>163</v>
      </c>
      <c r="Q175" s="272" t="s">
        <v>617</v>
      </c>
      <c r="R175" s="274" t="str">
        <f>"20260408-0000379"</f>
        <v>20260408-0000379</v>
      </c>
    </row>
    <row r="176" spans="1:18">
      <c r="A176" s="273" t="s">
        <v>39</v>
      </c>
      <c r="B176" s="277">
        <v>46120</v>
      </c>
      <c r="C176" s="274" t="s">
        <v>953</v>
      </c>
      <c r="D176" s="274" t="s">
        <v>234</v>
      </c>
      <c r="E176" s="274" t="s">
        <v>258</v>
      </c>
      <c r="F176" s="273">
        <v>92233808800</v>
      </c>
      <c r="G176" s="274" t="s">
        <v>929</v>
      </c>
      <c r="H176" s="274" t="s">
        <v>929</v>
      </c>
      <c r="I176" s="274"/>
      <c r="J176" s="274">
        <v>5</v>
      </c>
      <c r="K176" s="274" t="str">
        <f>"B*********B"</f>
        <v>B*********B</v>
      </c>
      <c r="L176" s="274" t="str">
        <f>"몽*슈(위*)"</f>
        <v>몽*슈(위*)</v>
      </c>
      <c r="M176" s="278">
        <v>8809879544101</v>
      </c>
      <c r="N176" s="274" t="s">
        <v>24</v>
      </c>
      <c r="O176" s="280">
        <v>5</v>
      </c>
      <c r="P176" s="150" t="s">
        <v>199</v>
      </c>
      <c r="Q176" s="25" t="s">
        <v>957</v>
      </c>
      <c r="R176" s="274" t="str">
        <f>"20260408-0000128"</f>
        <v>20260408-0000128</v>
      </c>
    </row>
    <row r="177" spans="1:18">
      <c r="A177" s="273" t="s">
        <v>39</v>
      </c>
      <c r="B177" s="277">
        <v>46120</v>
      </c>
      <c r="C177" s="274" t="s">
        <v>952</v>
      </c>
      <c r="D177" s="274" t="s">
        <v>46</v>
      </c>
      <c r="E177" s="274" t="s">
        <v>257</v>
      </c>
      <c r="F177" s="273">
        <v>92233808833</v>
      </c>
      <c r="G177" s="274" t="s">
        <v>928</v>
      </c>
      <c r="H177" s="274" t="s">
        <v>928</v>
      </c>
      <c r="I177" s="274"/>
      <c r="J177" s="274">
        <v>1</v>
      </c>
      <c r="K177" s="274" t="str">
        <f>"김*란"</f>
        <v>김*란</v>
      </c>
      <c r="L177" s="274" t="str">
        <f>"김*란"</f>
        <v>김*란</v>
      </c>
      <c r="M177" s="278">
        <v>8809879544118</v>
      </c>
      <c r="N177" s="274" t="s">
        <v>23</v>
      </c>
      <c r="O177" s="280">
        <v>1</v>
      </c>
      <c r="P177" s="170" t="s">
        <v>163</v>
      </c>
      <c r="R177" s="274" t="str">
        <f>"20260407-0000171"</f>
        <v>20260407-0000171</v>
      </c>
    </row>
    <row r="178" spans="1:18">
      <c r="A178" s="273" t="s">
        <v>39</v>
      </c>
      <c r="B178" s="277">
        <v>46118</v>
      </c>
      <c r="C178" s="274" t="s">
        <v>953</v>
      </c>
      <c r="D178" s="274" t="s">
        <v>234</v>
      </c>
      <c r="E178" s="274" t="s">
        <v>257</v>
      </c>
      <c r="F178" s="273">
        <v>92233734924</v>
      </c>
      <c r="G178" s="274" t="s">
        <v>930</v>
      </c>
      <c r="H178" s="274" t="s">
        <v>930</v>
      </c>
      <c r="I178" s="274"/>
      <c r="J178" s="274">
        <v>1</v>
      </c>
      <c r="K178" s="274" t="str">
        <f>"이*은"</f>
        <v>이*은</v>
      </c>
      <c r="L178" s="274" t="str">
        <f>"이*은"</f>
        <v>이*은</v>
      </c>
      <c r="M178" s="278">
        <v>8809879544101</v>
      </c>
      <c r="N178" s="274" t="s">
        <v>24</v>
      </c>
      <c r="O178" s="280">
        <v>1</v>
      </c>
      <c r="P178" s="170" t="s">
        <v>163</v>
      </c>
      <c r="R178" s="274" t="str">
        <f>"20260405-0000653"</f>
        <v>20260405-0000653</v>
      </c>
    </row>
    <row r="179" spans="1:18">
      <c r="A179" s="273" t="s">
        <v>39</v>
      </c>
      <c r="B179" s="277">
        <v>46115</v>
      </c>
      <c r="C179" s="274" t="s">
        <v>699</v>
      </c>
      <c r="D179" s="274" t="s">
        <v>700</v>
      </c>
      <c r="E179" s="274" t="s">
        <v>803</v>
      </c>
      <c r="F179" s="273">
        <v>92233662684</v>
      </c>
      <c r="G179" s="274" t="s">
        <v>931</v>
      </c>
      <c r="H179" s="274" t="s">
        <v>931</v>
      </c>
      <c r="I179" s="274" t="s">
        <v>701</v>
      </c>
      <c r="J179" s="274">
        <v>1</v>
      </c>
      <c r="K179" s="274" t="str">
        <f>"김*희"</f>
        <v>김*희</v>
      </c>
      <c r="L179" s="274" t="str">
        <f>"김*희"</f>
        <v>김*희</v>
      </c>
      <c r="M179" s="278">
        <v>8809879544101</v>
      </c>
      <c r="N179" s="274" t="s">
        <v>24</v>
      </c>
      <c r="O179" s="280">
        <v>1</v>
      </c>
      <c r="P179" s="170" t="s">
        <v>163</v>
      </c>
      <c r="Q179" s="272" t="s">
        <v>617</v>
      </c>
      <c r="R179" s="274" t="str">
        <f>"2410919050047"</f>
        <v>2410919050047</v>
      </c>
    </row>
    <row r="180" spans="1:18">
      <c r="A180" s="273" t="s">
        <v>39</v>
      </c>
      <c r="B180" s="277">
        <v>46113</v>
      </c>
      <c r="C180" s="274" t="s">
        <v>953</v>
      </c>
      <c r="D180" s="274" t="s">
        <v>234</v>
      </c>
      <c r="E180" s="274" t="s">
        <v>258</v>
      </c>
      <c r="F180" s="273">
        <v>92233582280</v>
      </c>
      <c r="G180" s="274" t="s">
        <v>932</v>
      </c>
      <c r="H180" s="274" t="s">
        <v>932</v>
      </c>
      <c r="I180" s="274"/>
      <c r="J180" s="274">
        <v>1</v>
      </c>
      <c r="K180" s="274" t="str">
        <f>"B*********B"</f>
        <v>B*********B</v>
      </c>
      <c r="L180" s="274" t="str">
        <f>"몰*******점"</f>
        <v>몰*******점</v>
      </c>
      <c r="M180" s="278">
        <v>8809879544101</v>
      </c>
      <c r="N180" s="274" t="s">
        <v>747</v>
      </c>
      <c r="O180" s="280">
        <v>1</v>
      </c>
      <c r="P180" s="150" t="s">
        <v>199</v>
      </c>
      <c r="Q180" s="25" t="s">
        <v>958</v>
      </c>
      <c r="R180" s="274" t="str">
        <f>"20260401-0000042"</f>
        <v>20260401-0000042</v>
      </c>
    </row>
    <row r="181" spans="1:18">
      <c r="A181" s="273" t="s">
        <v>39</v>
      </c>
      <c r="B181" s="277">
        <v>46113</v>
      </c>
      <c r="C181" s="274" t="s">
        <v>952</v>
      </c>
      <c r="D181" s="274" t="s">
        <v>46</v>
      </c>
      <c r="E181" s="274" t="s">
        <v>258</v>
      </c>
      <c r="F181" s="273">
        <v>92233582280</v>
      </c>
      <c r="G181" s="274" t="s">
        <v>932</v>
      </c>
      <c r="H181" s="274" t="s">
        <v>932</v>
      </c>
      <c r="I181" s="274"/>
      <c r="J181" s="274">
        <v>1</v>
      </c>
      <c r="K181" s="274" t="str">
        <f>"B*********B"</f>
        <v>B*********B</v>
      </c>
      <c r="L181" s="274" t="str">
        <f>"몰*******점"</f>
        <v>몰*******점</v>
      </c>
      <c r="M181" s="278">
        <v>8809879544118</v>
      </c>
      <c r="N181" s="274" t="s">
        <v>681</v>
      </c>
      <c r="O181" s="280">
        <v>1</v>
      </c>
      <c r="P181" s="150" t="s">
        <v>199</v>
      </c>
      <c r="Q181" s="25" t="s">
        <v>958</v>
      </c>
      <c r="R181" s="274" t="str">
        <f>"20260401-0000042"</f>
        <v>20260401-0000042</v>
      </c>
    </row>
    <row r="184" spans="1:18">
      <c r="N184" s="25" t="s">
        <v>747</v>
      </c>
      <c r="O184" s="248">
        <v>269</v>
      </c>
      <c r="P184" t="s">
        <v>959</v>
      </c>
    </row>
    <row r="185" spans="1:18">
      <c r="N185" s="25" t="s">
        <v>747</v>
      </c>
      <c r="O185" s="248">
        <v>7</v>
      </c>
      <c r="P185" t="s">
        <v>199</v>
      </c>
    </row>
    <row r="186" spans="1:18">
      <c r="N186" s="25" t="s">
        <v>681</v>
      </c>
      <c r="O186" s="248">
        <v>8</v>
      </c>
      <c r="P186" t="s">
        <v>959</v>
      </c>
    </row>
    <row r="187" spans="1:18">
      <c r="N187" s="25" t="s">
        <v>681</v>
      </c>
      <c r="O187" s="248">
        <v>2</v>
      </c>
      <c r="P187" t="s">
        <v>199</v>
      </c>
    </row>
  </sheetData>
  <autoFilter ref="A1:S181" xr:uid="{3144CD3E-0FBE-2A41-9A65-47D7710C1CBB}"/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BA2-6E99-7843-A69C-CEB3F18A03E3}">
  <dimension ref="A1:N193"/>
  <sheetViews>
    <sheetView workbookViewId="0">
      <selection activeCell="C2" sqref="C2:H8"/>
    </sheetView>
  </sheetViews>
  <sheetFormatPr baseColWidth="10" defaultRowHeight="15"/>
  <cols>
    <col min="1" max="1" width="21" style="33" bestFit="1" customWidth="1"/>
    <col min="2" max="2" width="21.1640625" style="33" bestFit="1" customWidth="1"/>
    <col min="3" max="3" width="22.5" style="33" bestFit="1" customWidth="1"/>
    <col min="4" max="4" width="11" style="47" bestFit="1" customWidth="1"/>
    <col min="5" max="5" width="66.33203125" style="33" bestFit="1" customWidth="1"/>
    <col min="6" max="6" width="23" style="33" customWidth="1"/>
    <col min="7" max="8" width="13.6640625" style="33" bestFit="1" customWidth="1"/>
    <col min="9" max="9" width="13.5" style="33" customWidth="1"/>
    <col min="10" max="10" width="15.33203125" style="33" bestFit="1" customWidth="1"/>
    <col min="11" max="11" width="10.83203125" style="33"/>
    <col min="12" max="13" width="12.6640625" style="33" bestFit="1" customWidth="1"/>
    <col min="14" max="14" width="18.6640625" style="171" bestFit="1" customWidth="1"/>
    <col min="15" max="16384" width="10.83203125" style="33"/>
  </cols>
  <sheetData>
    <row r="1" spans="1:10" ht="16" thickBot="1"/>
    <row r="2" spans="1:10">
      <c r="A2" s="33" t="s">
        <v>625</v>
      </c>
      <c r="C2" s="214" t="s">
        <v>624</v>
      </c>
      <c r="D2" s="215" t="s">
        <v>198</v>
      </c>
      <c r="E2" s="215" t="s">
        <v>623</v>
      </c>
      <c r="F2" s="215" t="s">
        <v>620</v>
      </c>
      <c r="G2" s="215" t="s">
        <v>621</v>
      </c>
      <c r="H2" s="216" t="s">
        <v>622</v>
      </c>
    </row>
    <row r="3" spans="1:10">
      <c r="A3" s="33" t="s">
        <v>626</v>
      </c>
      <c r="C3" s="217" t="s">
        <v>607</v>
      </c>
      <c r="D3" s="218">
        <v>8</v>
      </c>
      <c r="E3" s="33" t="s">
        <v>619</v>
      </c>
      <c r="F3" s="187">
        <f>22000*80%</f>
        <v>17600</v>
      </c>
      <c r="G3" s="219">
        <f>D3*F3</f>
        <v>140800</v>
      </c>
      <c r="H3" s="220">
        <f>22000*D3</f>
        <v>176000</v>
      </c>
    </row>
    <row r="4" spans="1:10">
      <c r="C4" s="217" t="s">
        <v>608</v>
      </c>
      <c r="D4" s="218">
        <v>8</v>
      </c>
      <c r="E4" s="33" t="s">
        <v>619</v>
      </c>
      <c r="F4" s="187">
        <f>22000*80%</f>
        <v>17600</v>
      </c>
      <c r="G4" s="219">
        <f t="shared" ref="G4:G7" si="0">D4*F4</f>
        <v>140800</v>
      </c>
      <c r="H4" s="220">
        <f t="shared" ref="H4:H7" si="1">22000*D4</f>
        <v>176000</v>
      </c>
    </row>
    <row r="5" spans="1:10">
      <c r="C5" s="217" t="s">
        <v>615</v>
      </c>
      <c r="D5" s="218">
        <v>81</v>
      </c>
      <c r="E5" s="33" t="s">
        <v>610</v>
      </c>
      <c r="F5" s="187">
        <f>22000*(100-25)%</f>
        <v>16500</v>
      </c>
      <c r="G5" s="219">
        <f t="shared" si="0"/>
        <v>1336500</v>
      </c>
      <c r="H5" s="220">
        <f t="shared" si="1"/>
        <v>1782000</v>
      </c>
    </row>
    <row r="6" spans="1:10">
      <c r="C6" s="217" t="s">
        <v>614</v>
      </c>
      <c r="D6" s="218">
        <f>54*2</f>
        <v>108</v>
      </c>
      <c r="E6" s="33" t="s">
        <v>611</v>
      </c>
      <c r="F6" s="187">
        <f>22000*(100-32)%</f>
        <v>14960.000000000002</v>
      </c>
      <c r="G6" s="219">
        <f t="shared" si="0"/>
        <v>1615680.0000000002</v>
      </c>
      <c r="H6" s="220">
        <f t="shared" si="1"/>
        <v>2376000</v>
      </c>
    </row>
    <row r="7" spans="1:10">
      <c r="C7" s="225" t="s">
        <v>613</v>
      </c>
      <c r="D7" s="226">
        <v>66</v>
      </c>
      <c r="E7" s="227" t="s">
        <v>612</v>
      </c>
      <c r="F7" s="228">
        <f>22000*(100-36)%</f>
        <v>14080</v>
      </c>
      <c r="G7" s="229">
        <f t="shared" si="0"/>
        <v>929280</v>
      </c>
      <c r="H7" s="230">
        <f t="shared" si="1"/>
        <v>1452000</v>
      </c>
    </row>
    <row r="8" spans="1:10" ht="16" thickBot="1">
      <c r="C8" s="221" t="s">
        <v>64</v>
      </c>
      <c r="D8" s="222">
        <f>SUBTOTAL(9,D3:D7)</f>
        <v>271</v>
      </c>
      <c r="E8" s="223"/>
      <c r="F8" s="223"/>
      <c r="G8" s="222">
        <f>SUBTOTAL(9,G3:G7)</f>
        <v>4163060</v>
      </c>
      <c r="H8" s="224">
        <f>SUBTOTAL(9,H3:H7)</f>
        <v>5962000</v>
      </c>
    </row>
    <row r="12" spans="1:10">
      <c r="A12" s="174" t="s">
        <v>43</v>
      </c>
      <c r="B12" s="174" t="s">
        <v>9</v>
      </c>
      <c r="C12" s="174" t="s">
        <v>44</v>
      </c>
      <c r="D12" s="175" t="s">
        <v>6</v>
      </c>
      <c r="E12" s="174" t="s">
        <v>45</v>
      </c>
      <c r="F12" s="174" t="s">
        <v>47</v>
      </c>
      <c r="G12" s="174" t="s">
        <v>164</v>
      </c>
      <c r="H12" s="174" t="s">
        <v>165</v>
      </c>
      <c r="I12" s="174" t="s">
        <v>267</v>
      </c>
      <c r="J12" s="174" t="s">
        <v>109</v>
      </c>
    </row>
    <row r="13" spans="1:10">
      <c r="A13" s="34">
        <v>46117.961168981485</v>
      </c>
      <c r="B13" s="25" t="s">
        <v>269</v>
      </c>
      <c r="C13" s="25" t="s">
        <v>270</v>
      </c>
      <c r="D13" s="212">
        <v>1</v>
      </c>
      <c r="E13" s="25" t="s">
        <v>234</v>
      </c>
      <c r="F13" s="25" t="s">
        <v>616</v>
      </c>
      <c r="G13" s="34">
        <v>46118.633298611108</v>
      </c>
      <c r="H13" s="34">
        <v>46119.707650462966</v>
      </c>
      <c r="I13" s="25" t="s">
        <v>268</v>
      </c>
      <c r="J13" s="25" t="s">
        <v>618</v>
      </c>
    </row>
    <row r="14" spans="1:10">
      <c r="A14" s="34">
        <v>46119.543275462966</v>
      </c>
      <c r="B14" s="25" t="s">
        <v>271</v>
      </c>
      <c r="C14" s="25" t="s">
        <v>272</v>
      </c>
      <c r="D14" s="212">
        <v>1</v>
      </c>
      <c r="E14" s="25" t="s">
        <v>46</v>
      </c>
      <c r="F14" s="25" t="s">
        <v>616</v>
      </c>
      <c r="G14" s="34">
        <v>46120.536099537036</v>
      </c>
      <c r="H14" s="34">
        <v>46121.599907407406</v>
      </c>
      <c r="I14" s="25" t="s">
        <v>268</v>
      </c>
      <c r="J14" s="25" t="s">
        <v>618</v>
      </c>
    </row>
    <row r="15" spans="1:10">
      <c r="A15" s="34">
        <v>46120.80846064815</v>
      </c>
      <c r="B15" s="25" t="s">
        <v>273</v>
      </c>
      <c r="C15" s="25" t="s">
        <v>274</v>
      </c>
      <c r="D15" s="212">
        <v>2</v>
      </c>
      <c r="E15" s="25" t="s">
        <v>46</v>
      </c>
      <c r="F15" s="25" t="s">
        <v>616</v>
      </c>
      <c r="G15" s="34">
        <v>46121.553865740738</v>
      </c>
      <c r="H15" s="34">
        <v>46122.640787037039</v>
      </c>
      <c r="I15" s="25" t="s">
        <v>268</v>
      </c>
      <c r="J15" s="25" t="s">
        <v>618</v>
      </c>
    </row>
    <row r="16" spans="1:10">
      <c r="A16" s="34">
        <v>46120.80846064815</v>
      </c>
      <c r="B16" s="25" t="s">
        <v>273</v>
      </c>
      <c r="C16" s="25" t="s">
        <v>274</v>
      </c>
      <c r="D16" s="212">
        <v>2</v>
      </c>
      <c r="E16" s="25" t="s">
        <v>46</v>
      </c>
      <c r="F16" s="25" t="s">
        <v>616</v>
      </c>
      <c r="G16" s="34">
        <v>46121.553865740738</v>
      </c>
      <c r="H16" s="34">
        <v>46122.640787037039</v>
      </c>
      <c r="I16" s="25" t="s">
        <v>268</v>
      </c>
      <c r="J16" s="25" t="s">
        <v>618</v>
      </c>
    </row>
    <row r="17" spans="1:10">
      <c r="A17" s="34">
        <v>46124.595532407409</v>
      </c>
      <c r="B17" s="25" t="s">
        <v>275</v>
      </c>
      <c r="C17" s="25" t="s">
        <v>276</v>
      </c>
      <c r="D17" s="212">
        <v>2</v>
      </c>
      <c r="E17" s="25" t="s">
        <v>234</v>
      </c>
      <c r="F17" s="25" t="s">
        <v>616</v>
      </c>
      <c r="G17" s="34">
        <v>46125.584641203706</v>
      </c>
      <c r="H17" s="34">
        <v>46126.448344907411</v>
      </c>
      <c r="I17" s="25" t="s">
        <v>268</v>
      </c>
      <c r="J17" s="25" t="s">
        <v>618</v>
      </c>
    </row>
    <row r="18" spans="1:10">
      <c r="A18" s="211">
        <v>46125.339479166665</v>
      </c>
      <c r="B18" s="173" t="s">
        <v>277</v>
      </c>
      <c r="C18" s="173" t="s">
        <v>278</v>
      </c>
      <c r="D18" s="213"/>
      <c r="E18" s="173" t="s">
        <v>279</v>
      </c>
      <c r="F18" s="173" t="s">
        <v>280</v>
      </c>
      <c r="G18" s="173"/>
      <c r="H18" s="173"/>
      <c r="I18" s="173" t="s">
        <v>281</v>
      </c>
      <c r="J18" s="173"/>
    </row>
    <row r="19" spans="1:10">
      <c r="A19" s="211">
        <v>46125.375219907408</v>
      </c>
      <c r="B19" s="173" t="s">
        <v>282</v>
      </c>
      <c r="C19" s="173" t="s">
        <v>283</v>
      </c>
      <c r="D19" s="213"/>
      <c r="E19" s="173" t="s">
        <v>279</v>
      </c>
      <c r="F19" s="173" t="s">
        <v>284</v>
      </c>
      <c r="G19" s="173"/>
      <c r="H19" s="173"/>
      <c r="I19" s="173" t="s">
        <v>281</v>
      </c>
      <c r="J19" s="173"/>
    </row>
    <row r="20" spans="1:10">
      <c r="A20" s="34">
        <v>46125.375844907408</v>
      </c>
      <c r="B20" s="25" t="s">
        <v>285</v>
      </c>
      <c r="C20" s="25" t="s">
        <v>286</v>
      </c>
      <c r="D20" s="212">
        <v>1</v>
      </c>
      <c r="E20" s="25" t="s">
        <v>279</v>
      </c>
      <c r="F20" s="25" t="s">
        <v>609</v>
      </c>
      <c r="G20" s="34">
        <v>46125.584745370368</v>
      </c>
      <c r="H20" s="34">
        <v>46126.954305555555</v>
      </c>
      <c r="I20" s="25" t="s">
        <v>268</v>
      </c>
      <c r="J20" s="25" t="s">
        <v>618</v>
      </c>
    </row>
    <row r="21" spans="1:10">
      <c r="A21" s="211">
        <v>46125.504305555558</v>
      </c>
      <c r="B21" s="173" t="s">
        <v>287</v>
      </c>
      <c r="C21" s="173" t="s">
        <v>288</v>
      </c>
      <c r="D21" s="213"/>
      <c r="E21" s="173" t="s">
        <v>279</v>
      </c>
      <c r="F21" s="173" t="s">
        <v>280</v>
      </c>
      <c r="G21" s="173"/>
      <c r="H21" s="173"/>
      <c r="I21" s="173" t="s">
        <v>281</v>
      </c>
      <c r="J21" s="173"/>
    </row>
    <row r="22" spans="1:10">
      <c r="A22" s="34">
        <v>46125.52715277778</v>
      </c>
      <c r="B22" s="25" t="s">
        <v>289</v>
      </c>
      <c r="C22" s="25" t="s">
        <v>290</v>
      </c>
      <c r="D22" s="212">
        <v>1</v>
      </c>
      <c r="E22" s="25" t="s">
        <v>279</v>
      </c>
      <c r="F22" s="25" t="s">
        <v>280</v>
      </c>
      <c r="G22" s="34">
        <v>46125.678495370368</v>
      </c>
      <c r="H22" s="34">
        <v>46127.301620370374</v>
      </c>
      <c r="I22" s="25" t="s">
        <v>268</v>
      </c>
      <c r="J22" s="25" t="s">
        <v>618</v>
      </c>
    </row>
    <row r="23" spans="1:10">
      <c r="A23" s="34">
        <v>46125.528043981481</v>
      </c>
      <c r="B23" s="25" t="s">
        <v>291</v>
      </c>
      <c r="C23" s="25" t="s">
        <v>292</v>
      </c>
      <c r="D23" s="212">
        <v>1</v>
      </c>
      <c r="E23" s="25" t="s">
        <v>279</v>
      </c>
      <c r="F23" s="25" t="s">
        <v>293</v>
      </c>
      <c r="G23" s="34">
        <v>46125.678495370368</v>
      </c>
      <c r="H23" s="34">
        <v>46126.790601851855</v>
      </c>
      <c r="I23" s="25" t="s">
        <v>268</v>
      </c>
      <c r="J23" s="25" t="s">
        <v>618</v>
      </c>
    </row>
    <row r="24" spans="1:10">
      <c r="A24" s="34">
        <v>46125.531724537039</v>
      </c>
      <c r="B24" s="25" t="s">
        <v>294</v>
      </c>
      <c r="C24" s="25" t="s">
        <v>283</v>
      </c>
      <c r="D24" s="212">
        <v>1</v>
      </c>
      <c r="E24" s="25" t="s">
        <v>279</v>
      </c>
      <c r="F24" s="25" t="s">
        <v>295</v>
      </c>
      <c r="G24" s="34">
        <v>46125.586261574077</v>
      </c>
      <c r="H24" s="34">
        <v>46126.721655092595</v>
      </c>
      <c r="I24" s="25" t="s">
        <v>268</v>
      </c>
      <c r="J24" s="25" t="s">
        <v>618</v>
      </c>
    </row>
    <row r="25" spans="1:10">
      <c r="A25" s="34">
        <v>46125.540821759256</v>
      </c>
      <c r="B25" s="25" t="s">
        <v>296</v>
      </c>
      <c r="C25" s="25" t="s">
        <v>288</v>
      </c>
      <c r="D25" s="212">
        <v>1</v>
      </c>
      <c r="E25" s="25" t="s">
        <v>279</v>
      </c>
      <c r="F25" s="25" t="s">
        <v>280</v>
      </c>
      <c r="G25" s="34">
        <v>46125.678495370368</v>
      </c>
      <c r="H25" s="34">
        <v>46133.123680555553</v>
      </c>
      <c r="I25" s="25" t="s">
        <v>268</v>
      </c>
      <c r="J25" s="25" t="s">
        <v>618</v>
      </c>
    </row>
    <row r="26" spans="1:10">
      <c r="A26" s="34">
        <v>46125.544953703706</v>
      </c>
      <c r="B26" s="25" t="s">
        <v>297</v>
      </c>
      <c r="C26" s="25" t="s">
        <v>298</v>
      </c>
      <c r="D26" s="212">
        <v>1</v>
      </c>
      <c r="E26" s="25" t="s">
        <v>279</v>
      </c>
      <c r="F26" s="25" t="s">
        <v>280</v>
      </c>
      <c r="G26" s="34">
        <v>46125.678506944445</v>
      </c>
      <c r="H26" s="34">
        <v>46130.559930555559</v>
      </c>
      <c r="I26" s="25" t="s">
        <v>268</v>
      </c>
      <c r="J26" s="25" t="s">
        <v>618</v>
      </c>
    </row>
    <row r="27" spans="1:10">
      <c r="A27" s="34">
        <v>46125.545057870368</v>
      </c>
      <c r="B27" s="25" t="s">
        <v>299</v>
      </c>
      <c r="C27" s="25" t="s">
        <v>300</v>
      </c>
      <c r="D27" s="212">
        <v>1</v>
      </c>
      <c r="E27" s="25" t="s">
        <v>279</v>
      </c>
      <c r="F27" s="25" t="s">
        <v>295</v>
      </c>
      <c r="G27" s="34">
        <v>46125.678506944445</v>
      </c>
      <c r="H27" s="34">
        <v>46129.707349537035</v>
      </c>
      <c r="I27" s="25" t="s">
        <v>268</v>
      </c>
      <c r="J27" s="25" t="s">
        <v>618</v>
      </c>
    </row>
    <row r="28" spans="1:10">
      <c r="A28" s="34">
        <v>46125.565486111111</v>
      </c>
      <c r="B28" s="25" t="s">
        <v>301</v>
      </c>
      <c r="C28" s="25" t="s">
        <v>302</v>
      </c>
      <c r="D28" s="212">
        <v>1</v>
      </c>
      <c r="E28" s="25" t="s">
        <v>279</v>
      </c>
      <c r="F28" s="25" t="s">
        <v>293</v>
      </c>
      <c r="G28" s="34">
        <v>46125.678506944445</v>
      </c>
      <c r="H28" s="34">
        <v>46129.646805555552</v>
      </c>
      <c r="I28" s="25" t="s">
        <v>268</v>
      </c>
      <c r="J28" s="25" t="s">
        <v>618</v>
      </c>
    </row>
    <row r="29" spans="1:10">
      <c r="A29" s="34">
        <v>46125.566006944442</v>
      </c>
      <c r="B29" s="25" t="s">
        <v>303</v>
      </c>
      <c r="C29" s="25" t="s">
        <v>304</v>
      </c>
      <c r="D29" s="212">
        <v>1</v>
      </c>
      <c r="E29" s="25" t="s">
        <v>279</v>
      </c>
      <c r="F29" s="25" t="s">
        <v>280</v>
      </c>
      <c r="G29" s="34">
        <v>46125.678506944445</v>
      </c>
      <c r="H29" s="34">
        <v>46127.98228009259</v>
      </c>
      <c r="I29" s="25" t="s">
        <v>268</v>
      </c>
      <c r="J29" s="25" t="s">
        <v>618</v>
      </c>
    </row>
    <row r="30" spans="1:10">
      <c r="A30" s="34">
        <v>46125.569953703707</v>
      </c>
      <c r="B30" s="25" t="s">
        <v>305</v>
      </c>
      <c r="C30" s="25" t="s">
        <v>306</v>
      </c>
      <c r="D30" s="212">
        <v>1</v>
      </c>
      <c r="E30" s="25" t="s">
        <v>279</v>
      </c>
      <c r="F30" s="25" t="s">
        <v>293</v>
      </c>
      <c r="G30" s="34">
        <v>46125.678506944445</v>
      </c>
      <c r="H30" s="34">
        <v>46126.502835648149</v>
      </c>
      <c r="I30" s="25" t="s">
        <v>268</v>
      </c>
      <c r="J30" s="25" t="s">
        <v>618</v>
      </c>
    </row>
    <row r="31" spans="1:10">
      <c r="A31" s="34">
        <v>46125.592233796298</v>
      </c>
      <c r="B31" s="25" t="s">
        <v>307</v>
      </c>
      <c r="C31" s="25" t="s">
        <v>278</v>
      </c>
      <c r="D31" s="212">
        <v>1</v>
      </c>
      <c r="E31" s="25" t="s">
        <v>279</v>
      </c>
      <c r="F31" s="25" t="s">
        <v>280</v>
      </c>
      <c r="G31" s="34">
        <v>46125.593773148146</v>
      </c>
      <c r="H31" s="34">
        <v>46127.640405092592</v>
      </c>
      <c r="I31" s="25" t="s">
        <v>268</v>
      </c>
      <c r="J31" s="25" t="s">
        <v>618</v>
      </c>
    </row>
    <row r="32" spans="1:10">
      <c r="A32" s="34">
        <v>46125.604895833334</v>
      </c>
      <c r="B32" s="25" t="s">
        <v>308</v>
      </c>
      <c r="C32" s="25" t="s">
        <v>309</v>
      </c>
      <c r="D32" s="212">
        <v>1</v>
      </c>
      <c r="E32" s="25" t="s">
        <v>279</v>
      </c>
      <c r="F32" s="25" t="s">
        <v>295</v>
      </c>
      <c r="G32" s="34">
        <v>46126.663912037038</v>
      </c>
      <c r="H32" s="34">
        <v>46127.850358796299</v>
      </c>
      <c r="I32" s="25" t="s">
        <v>268</v>
      </c>
      <c r="J32" s="25" t="s">
        <v>618</v>
      </c>
    </row>
    <row r="33" spans="1:10">
      <c r="A33" s="34">
        <v>46125.605081018519</v>
      </c>
      <c r="B33" s="25" t="s">
        <v>310</v>
      </c>
      <c r="C33" s="25" t="s">
        <v>311</v>
      </c>
      <c r="D33" s="212">
        <v>1</v>
      </c>
      <c r="E33" s="25" t="s">
        <v>279</v>
      </c>
      <c r="F33" s="25" t="s">
        <v>280</v>
      </c>
      <c r="G33" s="34">
        <v>46126.663912037038</v>
      </c>
      <c r="H33" s="34">
        <v>46128.665636574071</v>
      </c>
      <c r="I33" s="25" t="s">
        <v>268</v>
      </c>
      <c r="J33" s="25" t="s">
        <v>618</v>
      </c>
    </row>
    <row r="34" spans="1:10">
      <c r="A34" s="34">
        <v>46125.612141203703</v>
      </c>
      <c r="B34" s="25" t="s">
        <v>312</v>
      </c>
      <c r="C34" s="25" t="s">
        <v>313</v>
      </c>
      <c r="D34" s="212">
        <v>1</v>
      </c>
      <c r="E34" s="25" t="s">
        <v>279</v>
      </c>
      <c r="F34" s="25" t="s">
        <v>280</v>
      </c>
      <c r="G34" s="34">
        <v>46126.663923611108</v>
      </c>
      <c r="H34" s="34">
        <v>46127.671284722222</v>
      </c>
      <c r="I34" s="25" t="s">
        <v>268</v>
      </c>
      <c r="J34" s="25" t="s">
        <v>618</v>
      </c>
    </row>
    <row r="35" spans="1:10">
      <c r="A35" s="34">
        <v>46125.630671296298</v>
      </c>
      <c r="B35" s="25" t="s">
        <v>314</v>
      </c>
      <c r="C35" s="25" t="s">
        <v>315</v>
      </c>
      <c r="D35" s="212">
        <v>1</v>
      </c>
      <c r="E35" s="25" t="s">
        <v>279</v>
      </c>
      <c r="F35" s="25" t="s">
        <v>280</v>
      </c>
      <c r="G35" s="34">
        <v>46126.663877314815</v>
      </c>
      <c r="H35" s="34">
        <v>46127.646238425928</v>
      </c>
      <c r="I35" s="25" t="s">
        <v>268</v>
      </c>
      <c r="J35" s="25" t="s">
        <v>618</v>
      </c>
    </row>
    <row r="36" spans="1:10">
      <c r="A36" s="34">
        <v>46125.634918981479</v>
      </c>
      <c r="B36" s="25" t="s">
        <v>316</v>
      </c>
      <c r="C36" s="25" t="s">
        <v>317</v>
      </c>
      <c r="D36" s="212">
        <v>1</v>
      </c>
      <c r="E36" s="25" t="s">
        <v>279</v>
      </c>
      <c r="F36" s="25" t="s">
        <v>295</v>
      </c>
      <c r="G36" s="34">
        <v>46126.663923611108</v>
      </c>
      <c r="H36" s="34">
        <v>46127.401631944442</v>
      </c>
      <c r="I36" s="25" t="s">
        <v>268</v>
      </c>
      <c r="J36" s="25" t="s">
        <v>618</v>
      </c>
    </row>
    <row r="37" spans="1:10">
      <c r="A37" s="34">
        <v>46125.634918981479</v>
      </c>
      <c r="B37" s="25" t="s">
        <v>316</v>
      </c>
      <c r="C37" s="25" t="s">
        <v>317</v>
      </c>
      <c r="D37" s="212">
        <v>1</v>
      </c>
      <c r="E37" s="25" t="s">
        <v>279</v>
      </c>
      <c r="F37" s="25" t="s">
        <v>280</v>
      </c>
      <c r="G37" s="34">
        <v>46126.663923611108</v>
      </c>
      <c r="H37" s="34">
        <v>46127.401631944442</v>
      </c>
      <c r="I37" s="25" t="s">
        <v>268</v>
      </c>
      <c r="J37" s="25" t="s">
        <v>618</v>
      </c>
    </row>
    <row r="38" spans="1:10">
      <c r="A38" s="34">
        <v>46125.636469907404</v>
      </c>
      <c r="B38" s="25" t="s">
        <v>318</v>
      </c>
      <c r="C38" s="25" t="s">
        <v>319</v>
      </c>
      <c r="D38" s="212">
        <v>1</v>
      </c>
      <c r="E38" s="25" t="s">
        <v>279</v>
      </c>
      <c r="F38" s="25" t="s">
        <v>293</v>
      </c>
      <c r="G38" s="34">
        <v>46126.663923611108</v>
      </c>
      <c r="H38" s="34">
        <v>46135.131111111114</v>
      </c>
      <c r="I38" s="25" t="s">
        <v>268</v>
      </c>
      <c r="J38" s="25" t="s">
        <v>618</v>
      </c>
    </row>
    <row r="39" spans="1:10">
      <c r="A39" s="34">
        <v>46125.637557870374</v>
      </c>
      <c r="B39" s="25" t="s">
        <v>320</v>
      </c>
      <c r="C39" s="25" t="s">
        <v>321</v>
      </c>
      <c r="D39" s="212">
        <v>1</v>
      </c>
      <c r="E39" s="25" t="s">
        <v>279</v>
      </c>
      <c r="F39" s="25" t="s">
        <v>280</v>
      </c>
      <c r="G39" s="34">
        <v>46126.663935185185</v>
      </c>
      <c r="H39" s="34">
        <v>46128.444861111115</v>
      </c>
      <c r="I39" s="25" t="s">
        <v>268</v>
      </c>
      <c r="J39" s="25" t="s">
        <v>618</v>
      </c>
    </row>
    <row r="40" spans="1:10">
      <c r="A40" s="34">
        <v>46125.63790509259</v>
      </c>
      <c r="B40" s="25" t="s">
        <v>322</v>
      </c>
      <c r="C40" s="25" t="s">
        <v>323</v>
      </c>
      <c r="D40" s="212">
        <v>1</v>
      </c>
      <c r="E40" s="25" t="s">
        <v>279</v>
      </c>
      <c r="F40" s="25" t="s">
        <v>280</v>
      </c>
      <c r="G40" s="34">
        <v>46126.663935185185</v>
      </c>
      <c r="H40" s="34">
        <v>46127.918113425927</v>
      </c>
      <c r="I40" s="25" t="s">
        <v>268</v>
      </c>
      <c r="J40" s="25" t="s">
        <v>618</v>
      </c>
    </row>
    <row r="41" spans="1:10">
      <c r="A41" s="34">
        <v>46125.645185185182</v>
      </c>
      <c r="B41" s="25" t="s">
        <v>324</v>
      </c>
      <c r="C41" s="25" t="s">
        <v>325</v>
      </c>
      <c r="D41" s="212">
        <v>1</v>
      </c>
      <c r="E41" s="25" t="s">
        <v>279</v>
      </c>
      <c r="F41" s="25" t="s">
        <v>280</v>
      </c>
      <c r="G41" s="34">
        <v>46126.663877314815</v>
      </c>
      <c r="H41" s="34">
        <v>46127.515300925923</v>
      </c>
      <c r="I41" s="25" t="s">
        <v>268</v>
      </c>
      <c r="J41" s="25" t="s">
        <v>618</v>
      </c>
    </row>
    <row r="42" spans="1:10">
      <c r="A42" s="34">
        <v>46125.667083333334</v>
      </c>
      <c r="B42" s="25" t="s">
        <v>326</v>
      </c>
      <c r="C42" s="25" t="s">
        <v>327</v>
      </c>
      <c r="D42" s="212">
        <v>1</v>
      </c>
      <c r="E42" s="25" t="s">
        <v>279</v>
      </c>
      <c r="F42" s="25" t="s">
        <v>280</v>
      </c>
      <c r="G42" s="34">
        <v>46126.663935185185</v>
      </c>
      <c r="H42" s="34">
        <v>46135.107175925928</v>
      </c>
      <c r="I42" s="25" t="s">
        <v>268</v>
      </c>
      <c r="J42" s="25" t="s">
        <v>618</v>
      </c>
    </row>
    <row r="43" spans="1:10">
      <c r="A43" s="34">
        <v>46125.681655092594</v>
      </c>
      <c r="B43" s="25" t="s">
        <v>328</v>
      </c>
      <c r="C43" s="25" t="s">
        <v>329</v>
      </c>
      <c r="D43" s="212">
        <v>1</v>
      </c>
      <c r="E43" s="25" t="s">
        <v>279</v>
      </c>
      <c r="F43" s="25" t="s">
        <v>293</v>
      </c>
      <c r="G43" s="34">
        <v>46126.663935185185</v>
      </c>
      <c r="H43" s="34">
        <v>46130.163958333331</v>
      </c>
      <c r="I43" s="25" t="s">
        <v>268</v>
      </c>
      <c r="J43" s="25" t="s">
        <v>618</v>
      </c>
    </row>
    <row r="44" spans="1:10">
      <c r="A44" s="34">
        <v>46125.732511574075</v>
      </c>
      <c r="B44" s="25" t="s">
        <v>330</v>
      </c>
      <c r="C44" s="25" t="s">
        <v>331</v>
      </c>
      <c r="D44" s="212">
        <v>1</v>
      </c>
      <c r="E44" s="25" t="s">
        <v>279</v>
      </c>
      <c r="F44" s="25" t="s">
        <v>280</v>
      </c>
      <c r="G44" s="34">
        <v>46126.663946759261</v>
      </c>
      <c r="H44" s="34">
        <v>46135.105127314811</v>
      </c>
      <c r="I44" s="25" t="s">
        <v>268</v>
      </c>
      <c r="J44" s="25" t="s">
        <v>618</v>
      </c>
    </row>
    <row r="45" spans="1:10">
      <c r="A45" s="34">
        <v>46125.745196759257</v>
      </c>
      <c r="B45" s="25" t="s">
        <v>332</v>
      </c>
      <c r="C45" s="25" t="s">
        <v>333</v>
      </c>
      <c r="D45" s="212">
        <v>1</v>
      </c>
      <c r="E45" s="25" t="s">
        <v>279</v>
      </c>
      <c r="F45" s="25" t="s">
        <v>280</v>
      </c>
      <c r="G45" s="34">
        <v>46126.663877314815</v>
      </c>
      <c r="H45" s="34">
        <v>46127.52815972222</v>
      </c>
      <c r="I45" s="25" t="s">
        <v>268</v>
      </c>
      <c r="J45" s="25" t="s">
        <v>618</v>
      </c>
    </row>
    <row r="46" spans="1:10">
      <c r="A46" s="34">
        <v>46125.774085648147</v>
      </c>
      <c r="B46" s="25" t="s">
        <v>334</v>
      </c>
      <c r="C46" s="25" t="s">
        <v>335</v>
      </c>
      <c r="D46" s="212">
        <v>1</v>
      </c>
      <c r="E46" s="25" t="s">
        <v>279</v>
      </c>
      <c r="F46" s="25" t="s">
        <v>293</v>
      </c>
      <c r="G46" s="34">
        <v>46126.663946759261</v>
      </c>
      <c r="H46" s="34">
        <v>46127.790636574071</v>
      </c>
      <c r="I46" s="25" t="s">
        <v>268</v>
      </c>
      <c r="J46" s="25" t="s">
        <v>618</v>
      </c>
    </row>
    <row r="47" spans="1:10">
      <c r="A47" s="34">
        <v>46125.778124999997</v>
      </c>
      <c r="B47" s="25" t="s">
        <v>336</v>
      </c>
      <c r="C47" s="25" t="s">
        <v>337</v>
      </c>
      <c r="D47" s="212">
        <v>1</v>
      </c>
      <c r="E47" s="25" t="s">
        <v>279</v>
      </c>
      <c r="F47" s="25" t="s">
        <v>295</v>
      </c>
      <c r="G47" s="34">
        <v>46126.663877314815</v>
      </c>
      <c r="H47" s="34">
        <v>46127.445833333331</v>
      </c>
      <c r="I47" s="25" t="s">
        <v>268</v>
      </c>
      <c r="J47" s="25" t="s">
        <v>618</v>
      </c>
    </row>
    <row r="48" spans="1:10">
      <c r="A48" s="34">
        <v>46125.789525462962</v>
      </c>
      <c r="B48" s="25" t="s">
        <v>338</v>
      </c>
      <c r="C48" s="25" t="s">
        <v>339</v>
      </c>
      <c r="D48" s="212">
        <v>1</v>
      </c>
      <c r="E48" s="25" t="s">
        <v>279</v>
      </c>
      <c r="F48" s="25" t="s">
        <v>293</v>
      </c>
      <c r="G48" s="34">
        <v>46126.663946759261</v>
      </c>
      <c r="H48" s="34">
        <v>46135.127881944441</v>
      </c>
      <c r="I48" s="25" t="s">
        <v>268</v>
      </c>
      <c r="J48" s="25" t="s">
        <v>618</v>
      </c>
    </row>
    <row r="49" spans="1:10">
      <c r="A49" s="34">
        <v>46125.790578703702</v>
      </c>
      <c r="B49" s="25" t="s">
        <v>340</v>
      </c>
      <c r="C49" s="25" t="s">
        <v>341</v>
      </c>
      <c r="D49" s="212">
        <v>1</v>
      </c>
      <c r="E49" s="25" t="s">
        <v>279</v>
      </c>
      <c r="F49" s="25" t="s">
        <v>280</v>
      </c>
      <c r="G49" s="34">
        <v>46126.663946759261</v>
      </c>
      <c r="H49" s="34">
        <v>46132.634953703702</v>
      </c>
      <c r="I49" s="25" t="s">
        <v>268</v>
      </c>
      <c r="J49" s="25" t="s">
        <v>618</v>
      </c>
    </row>
    <row r="50" spans="1:10">
      <c r="A50" s="34">
        <v>46125.793645833335</v>
      </c>
      <c r="B50" s="25" t="s">
        <v>342</v>
      </c>
      <c r="C50" s="25" t="s">
        <v>343</v>
      </c>
      <c r="D50" s="212">
        <v>1</v>
      </c>
      <c r="E50" s="25" t="s">
        <v>279</v>
      </c>
      <c r="F50" s="25" t="s">
        <v>293</v>
      </c>
      <c r="G50" s="34">
        <v>46126.663946759261</v>
      </c>
      <c r="H50" s="34">
        <v>46134.648761574077</v>
      </c>
      <c r="I50" s="25" t="s">
        <v>268</v>
      </c>
      <c r="J50" s="25" t="s">
        <v>618</v>
      </c>
    </row>
    <row r="51" spans="1:10">
      <c r="A51" s="34">
        <v>46125.795972222222</v>
      </c>
      <c r="B51" s="25" t="s">
        <v>344</v>
      </c>
      <c r="C51" s="25" t="s">
        <v>345</v>
      </c>
      <c r="D51" s="212">
        <v>1</v>
      </c>
      <c r="E51" s="25" t="s">
        <v>279</v>
      </c>
      <c r="F51" s="25" t="s">
        <v>293</v>
      </c>
      <c r="G51" s="34">
        <v>46126.663958333331</v>
      </c>
      <c r="H51" s="34">
        <v>46129.610127314816</v>
      </c>
      <c r="I51" s="25" t="s">
        <v>268</v>
      </c>
      <c r="J51" s="25" t="s">
        <v>618</v>
      </c>
    </row>
    <row r="52" spans="1:10">
      <c r="A52" s="34">
        <v>46125.797407407408</v>
      </c>
      <c r="B52" s="25" t="s">
        <v>346</v>
      </c>
      <c r="C52" s="25" t="s">
        <v>347</v>
      </c>
      <c r="D52" s="212">
        <v>1</v>
      </c>
      <c r="E52" s="25" t="s">
        <v>279</v>
      </c>
      <c r="F52" s="25" t="s">
        <v>293</v>
      </c>
      <c r="G52" s="34">
        <v>46126.663958333331</v>
      </c>
      <c r="H52" s="34">
        <v>46135.105740740742</v>
      </c>
      <c r="I52" s="25" t="s">
        <v>268</v>
      </c>
      <c r="J52" s="25" t="s">
        <v>618</v>
      </c>
    </row>
    <row r="53" spans="1:10">
      <c r="A53" s="34">
        <v>46125.799340277779</v>
      </c>
      <c r="B53" s="25" t="s">
        <v>348</v>
      </c>
      <c r="C53" s="25" t="s">
        <v>349</v>
      </c>
      <c r="D53" s="212">
        <v>1</v>
      </c>
      <c r="E53" s="25" t="s">
        <v>279</v>
      </c>
      <c r="F53" s="25" t="s">
        <v>280</v>
      </c>
      <c r="G53" s="34">
        <v>46126.663958333331</v>
      </c>
      <c r="H53" s="34">
        <v>46133.451620370368</v>
      </c>
      <c r="I53" s="25" t="s">
        <v>268</v>
      </c>
      <c r="J53" s="25" t="s">
        <v>618</v>
      </c>
    </row>
    <row r="54" spans="1:10">
      <c r="A54" s="34">
        <v>46125.804236111115</v>
      </c>
      <c r="B54" s="25" t="s">
        <v>350</v>
      </c>
      <c r="C54" s="25" t="s">
        <v>351</v>
      </c>
      <c r="D54" s="212">
        <v>1</v>
      </c>
      <c r="E54" s="25" t="s">
        <v>279</v>
      </c>
      <c r="F54" s="25" t="s">
        <v>293</v>
      </c>
      <c r="G54" s="34">
        <v>46126.663958333331</v>
      </c>
      <c r="H54" s="34">
        <v>46134.472349537034</v>
      </c>
      <c r="I54" s="25" t="s">
        <v>268</v>
      </c>
      <c r="J54" s="25" t="s">
        <v>618</v>
      </c>
    </row>
    <row r="55" spans="1:10">
      <c r="A55" s="34">
        <v>46125.806562500002</v>
      </c>
      <c r="B55" s="25" t="s">
        <v>352</v>
      </c>
      <c r="C55" s="25" t="s">
        <v>353</v>
      </c>
      <c r="D55" s="212">
        <v>1</v>
      </c>
      <c r="E55" s="25" t="s">
        <v>279</v>
      </c>
      <c r="F55" s="25" t="s">
        <v>280</v>
      </c>
      <c r="G55" s="34">
        <v>46126.663877314815</v>
      </c>
      <c r="H55" s="34">
        <v>46127.739305555559</v>
      </c>
      <c r="I55" s="25" t="s">
        <v>268</v>
      </c>
      <c r="J55" s="25" t="s">
        <v>618</v>
      </c>
    </row>
    <row r="56" spans="1:10">
      <c r="A56" s="34">
        <v>46125.813900462963</v>
      </c>
      <c r="B56" s="25" t="s">
        <v>354</v>
      </c>
      <c r="C56" s="25" t="s">
        <v>355</v>
      </c>
      <c r="D56" s="212">
        <v>1</v>
      </c>
      <c r="E56" s="25" t="s">
        <v>234</v>
      </c>
      <c r="F56" s="25"/>
      <c r="G56" s="34">
        <v>46126.663877314815</v>
      </c>
      <c r="H56" s="34">
        <v>46127.459467592591</v>
      </c>
      <c r="I56" s="25" t="s">
        <v>268</v>
      </c>
      <c r="J56" s="25" t="s">
        <v>618</v>
      </c>
    </row>
    <row r="57" spans="1:10">
      <c r="A57" s="34">
        <v>46125.820983796293</v>
      </c>
      <c r="B57" s="25" t="s">
        <v>356</v>
      </c>
      <c r="C57" s="25" t="s">
        <v>357</v>
      </c>
      <c r="D57" s="212">
        <v>1</v>
      </c>
      <c r="E57" s="25" t="s">
        <v>279</v>
      </c>
      <c r="F57" s="25" t="s">
        <v>280</v>
      </c>
      <c r="G57" s="34">
        <v>46126.663969907408</v>
      </c>
      <c r="H57" s="34">
        <v>46129.414305555554</v>
      </c>
      <c r="I57" s="25" t="s">
        <v>268</v>
      </c>
      <c r="J57" s="25" t="s">
        <v>618</v>
      </c>
    </row>
    <row r="58" spans="1:10">
      <c r="A58" s="34">
        <v>46125.829814814817</v>
      </c>
      <c r="B58" s="25" t="s">
        <v>358</v>
      </c>
      <c r="C58" s="25" t="s">
        <v>359</v>
      </c>
      <c r="D58" s="212">
        <v>1</v>
      </c>
      <c r="E58" s="25" t="s">
        <v>279</v>
      </c>
      <c r="F58" s="25" t="s">
        <v>280</v>
      </c>
      <c r="G58" s="34">
        <v>46126.663969907408</v>
      </c>
      <c r="H58" s="34">
        <v>46133.359837962962</v>
      </c>
      <c r="I58" s="25" t="s">
        <v>268</v>
      </c>
      <c r="J58" s="25" t="s">
        <v>618</v>
      </c>
    </row>
    <row r="59" spans="1:10">
      <c r="A59" s="34">
        <v>46125.832152777781</v>
      </c>
      <c r="B59" s="25" t="s">
        <v>360</v>
      </c>
      <c r="C59" s="25" t="s">
        <v>361</v>
      </c>
      <c r="D59" s="212">
        <v>1</v>
      </c>
      <c r="E59" s="25" t="s">
        <v>279</v>
      </c>
      <c r="F59" s="25" t="s">
        <v>280</v>
      </c>
      <c r="G59" s="34">
        <v>46126.663969907408</v>
      </c>
      <c r="H59" s="34">
        <v>46130.45857638889</v>
      </c>
      <c r="I59" s="25" t="s">
        <v>268</v>
      </c>
      <c r="J59" s="25" t="s">
        <v>618</v>
      </c>
    </row>
    <row r="60" spans="1:10">
      <c r="A60" s="34">
        <v>46125.84474537037</v>
      </c>
      <c r="B60" s="25" t="s">
        <v>362</v>
      </c>
      <c r="C60" s="25" t="s">
        <v>363</v>
      </c>
      <c r="D60" s="212">
        <v>1</v>
      </c>
      <c r="E60" s="25" t="s">
        <v>279</v>
      </c>
      <c r="F60" s="25" t="s">
        <v>280</v>
      </c>
      <c r="G60" s="34">
        <v>46126.663969907408</v>
      </c>
      <c r="H60" s="34">
        <v>46130.506030092591</v>
      </c>
      <c r="I60" s="25" t="s">
        <v>268</v>
      </c>
      <c r="J60" s="25" t="s">
        <v>618</v>
      </c>
    </row>
    <row r="61" spans="1:10">
      <c r="A61" s="34">
        <v>46125.879780092589</v>
      </c>
      <c r="B61" s="25" t="s">
        <v>364</v>
      </c>
      <c r="C61" s="25" t="s">
        <v>365</v>
      </c>
      <c r="D61" s="212">
        <v>1</v>
      </c>
      <c r="E61" s="25" t="s">
        <v>279</v>
      </c>
      <c r="F61" s="25" t="s">
        <v>280</v>
      </c>
      <c r="G61" s="34">
        <v>46126.663981481484</v>
      </c>
      <c r="H61" s="34">
        <v>46131.637685185182</v>
      </c>
      <c r="I61" s="25" t="s">
        <v>268</v>
      </c>
      <c r="J61" s="25" t="s">
        <v>618</v>
      </c>
    </row>
    <row r="62" spans="1:10">
      <c r="A62" s="34">
        <v>46125.898101851853</v>
      </c>
      <c r="B62" s="25" t="s">
        <v>366</v>
      </c>
      <c r="C62" s="25" t="s">
        <v>367</v>
      </c>
      <c r="D62" s="212">
        <v>1</v>
      </c>
      <c r="E62" s="25" t="s">
        <v>279</v>
      </c>
      <c r="F62" s="25" t="s">
        <v>295</v>
      </c>
      <c r="G62" s="34">
        <v>46126.663888888892</v>
      </c>
      <c r="H62" s="34">
        <v>46127.642754629633</v>
      </c>
      <c r="I62" s="25" t="s">
        <v>268</v>
      </c>
      <c r="J62" s="25" t="s">
        <v>618</v>
      </c>
    </row>
    <row r="63" spans="1:10">
      <c r="A63" s="34">
        <v>46125.899027777778</v>
      </c>
      <c r="B63" s="25" t="s">
        <v>368</v>
      </c>
      <c r="C63" s="25" t="s">
        <v>369</v>
      </c>
      <c r="D63" s="212">
        <v>1</v>
      </c>
      <c r="E63" s="25" t="s">
        <v>279</v>
      </c>
      <c r="F63" s="25" t="s">
        <v>280</v>
      </c>
      <c r="G63" s="34">
        <v>46126.663981481484</v>
      </c>
      <c r="H63" s="34">
        <v>46129.750439814816</v>
      </c>
      <c r="I63" s="25" t="s">
        <v>268</v>
      </c>
      <c r="J63" s="25" t="s">
        <v>618</v>
      </c>
    </row>
    <row r="64" spans="1:10">
      <c r="A64" s="34">
        <v>46125.904664351852</v>
      </c>
      <c r="B64" s="25" t="s">
        <v>370</v>
      </c>
      <c r="C64" s="25" t="s">
        <v>371</v>
      </c>
      <c r="D64" s="212">
        <v>1</v>
      </c>
      <c r="E64" s="25" t="s">
        <v>279</v>
      </c>
      <c r="F64" s="25" t="s">
        <v>293</v>
      </c>
      <c r="G64" s="34">
        <v>46126.663888888892</v>
      </c>
      <c r="H64" s="34">
        <v>46127.488344907404</v>
      </c>
      <c r="I64" s="25" t="s">
        <v>268</v>
      </c>
      <c r="J64" s="25" t="s">
        <v>618</v>
      </c>
    </row>
    <row r="65" spans="1:10">
      <c r="A65" s="34">
        <v>46125.911736111113</v>
      </c>
      <c r="B65" s="25" t="s">
        <v>372</v>
      </c>
      <c r="C65" s="25" t="s">
        <v>373</v>
      </c>
      <c r="D65" s="212">
        <v>1</v>
      </c>
      <c r="E65" s="25" t="s">
        <v>279</v>
      </c>
      <c r="F65" s="25" t="s">
        <v>295</v>
      </c>
      <c r="G65" s="34">
        <v>46126.663981481484</v>
      </c>
      <c r="H65" s="34">
        <v>46131.5391087963</v>
      </c>
      <c r="I65" s="25" t="s">
        <v>268</v>
      </c>
      <c r="J65" s="25" t="s">
        <v>618</v>
      </c>
    </row>
    <row r="66" spans="1:10">
      <c r="A66" s="34">
        <v>46125.922835648147</v>
      </c>
      <c r="B66" s="25" t="s">
        <v>374</v>
      </c>
      <c r="C66" s="25" t="s">
        <v>375</v>
      </c>
      <c r="D66" s="212">
        <v>1</v>
      </c>
      <c r="E66" s="25" t="s">
        <v>279</v>
      </c>
      <c r="F66" s="25" t="s">
        <v>280</v>
      </c>
      <c r="G66" s="34">
        <v>46126.663981481484</v>
      </c>
      <c r="H66" s="34">
        <v>46135.107060185182</v>
      </c>
      <c r="I66" s="25" t="s">
        <v>268</v>
      </c>
      <c r="J66" s="25" t="s">
        <v>618</v>
      </c>
    </row>
    <row r="67" spans="1:10">
      <c r="A67" s="34">
        <v>46125.953333333331</v>
      </c>
      <c r="B67" s="25" t="s">
        <v>376</v>
      </c>
      <c r="C67" s="25" t="s">
        <v>377</v>
      </c>
      <c r="D67" s="212">
        <v>1</v>
      </c>
      <c r="E67" s="25" t="s">
        <v>279</v>
      </c>
      <c r="F67" s="25" t="s">
        <v>293</v>
      </c>
      <c r="G67" s="34">
        <v>46126.663981481484</v>
      </c>
      <c r="H67" s="34">
        <v>46130.478113425925</v>
      </c>
      <c r="I67" s="25" t="s">
        <v>268</v>
      </c>
      <c r="J67" s="25" t="s">
        <v>618</v>
      </c>
    </row>
    <row r="68" spans="1:10">
      <c r="A68" s="34">
        <v>46125.970960648148</v>
      </c>
      <c r="B68" s="25" t="s">
        <v>378</v>
      </c>
      <c r="C68" s="25" t="s">
        <v>379</v>
      </c>
      <c r="D68" s="212">
        <v>1</v>
      </c>
      <c r="E68" s="25" t="s">
        <v>279</v>
      </c>
      <c r="F68" s="25" t="s">
        <v>280</v>
      </c>
      <c r="G68" s="34">
        <v>46126.663993055554</v>
      </c>
      <c r="H68" s="34">
        <v>46130.684999999998</v>
      </c>
      <c r="I68" s="25" t="s">
        <v>268</v>
      </c>
      <c r="J68" s="25" t="s">
        <v>618</v>
      </c>
    </row>
    <row r="69" spans="1:10">
      <c r="A69" s="34">
        <v>46125.980671296296</v>
      </c>
      <c r="B69" s="25" t="s">
        <v>380</v>
      </c>
      <c r="C69" s="25" t="s">
        <v>381</v>
      </c>
      <c r="D69" s="212">
        <v>1</v>
      </c>
      <c r="E69" s="25" t="s">
        <v>279</v>
      </c>
      <c r="F69" s="25" t="s">
        <v>280</v>
      </c>
      <c r="G69" s="34">
        <v>46126.663888888892</v>
      </c>
      <c r="H69" s="34">
        <v>46127.515023148146</v>
      </c>
      <c r="I69" s="25" t="s">
        <v>268</v>
      </c>
      <c r="J69" s="25" t="s">
        <v>618</v>
      </c>
    </row>
    <row r="70" spans="1:10">
      <c r="A70" s="34">
        <v>46126.032500000001</v>
      </c>
      <c r="B70" s="25" t="s">
        <v>382</v>
      </c>
      <c r="C70" s="25" t="s">
        <v>383</v>
      </c>
      <c r="D70" s="212">
        <v>1</v>
      </c>
      <c r="E70" s="25" t="s">
        <v>279</v>
      </c>
      <c r="F70" s="25" t="s">
        <v>293</v>
      </c>
      <c r="G70" s="34">
        <v>46126.663993055554</v>
      </c>
      <c r="H70" s="34">
        <v>46130.587800925925</v>
      </c>
      <c r="I70" s="25" t="s">
        <v>268</v>
      </c>
      <c r="J70" s="25" t="s">
        <v>618</v>
      </c>
    </row>
    <row r="71" spans="1:10">
      <c r="A71" s="34">
        <v>46126.042002314818</v>
      </c>
      <c r="B71" s="25" t="s">
        <v>384</v>
      </c>
      <c r="C71" s="25" t="s">
        <v>385</v>
      </c>
      <c r="D71" s="212">
        <v>1</v>
      </c>
      <c r="E71" s="25" t="s">
        <v>279</v>
      </c>
      <c r="F71" s="25" t="s">
        <v>293</v>
      </c>
      <c r="G71" s="34">
        <v>46126.663888888892</v>
      </c>
      <c r="H71" s="34">
        <v>46127.445370370369</v>
      </c>
      <c r="I71" s="25" t="s">
        <v>268</v>
      </c>
      <c r="J71" s="25" t="s">
        <v>618</v>
      </c>
    </row>
    <row r="72" spans="1:10">
      <c r="A72" s="34">
        <v>46126.277638888889</v>
      </c>
      <c r="B72" s="25" t="s">
        <v>386</v>
      </c>
      <c r="C72" s="25" t="s">
        <v>387</v>
      </c>
      <c r="D72" s="212">
        <v>1</v>
      </c>
      <c r="E72" s="25" t="s">
        <v>279</v>
      </c>
      <c r="F72" s="25" t="s">
        <v>293</v>
      </c>
      <c r="G72" s="34">
        <v>46126.663888888892</v>
      </c>
      <c r="H72" s="34">
        <v>46127.445706018516</v>
      </c>
      <c r="I72" s="25" t="s">
        <v>268</v>
      </c>
      <c r="J72" s="25" t="s">
        <v>618</v>
      </c>
    </row>
    <row r="73" spans="1:10">
      <c r="A73" s="34">
        <v>46126.297511574077</v>
      </c>
      <c r="B73" s="25" t="s">
        <v>388</v>
      </c>
      <c r="C73" s="25" t="s">
        <v>389</v>
      </c>
      <c r="D73" s="212">
        <v>1</v>
      </c>
      <c r="E73" s="25" t="s">
        <v>279</v>
      </c>
      <c r="F73" s="25" t="s">
        <v>280</v>
      </c>
      <c r="G73" s="34">
        <v>46126.663993055554</v>
      </c>
      <c r="H73" s="34">
        <v>46130.590613425928</v>
      </c>
      <c r="I73" s="25" t="s">
        <v>268</v>
      </c>
      <c r="J73" s="25" t="s">
        <v>618</v>
      </c>
    </row>
    <row r="74" spans="1:10">
      <c r="A74" s="34">
        <v>46126.418090277781</v>
      </c>
      <c r="B74" s="25" t="s">
        <v>390</v>
      </c>
      <c r="C74" s="25" t="s">
        <v>391</v>
      </c>
      <c r="D74" s="212">
        <v>1</v>
      </c>
      <c r="E74" s="25" t="s">
        <v>279</v>
      </c>
      <c r="F74" s="25" t="s">
        <v>293</v>
      </c>
      <c r="G74" s="34">
        <v>46126.673634259256</v>
      </c>
      <c r="H74" s="34">
        <v>46129.311273148145</v>
      </c>
      <c r="I74" s="25" t="s">
        <v>268</v>
      </c>
      <c r="J74" s="25" t="s">
        <v>618</v>
      </c>
    </row>
    <row r="75" spans="1:10">
      <c r="A75" s="34">
        <v>46126.433541666665</v>
      </c>
      <c r="B75" s="25" t="s">
        <v>392</v>
      </c>
      <c r="C75" s="25" t="s">
        <v>393</v>
      </c>
      <c r="D75" s="212">
        <v>1</v>
      </c>
      <c r="E75" s="25" t="s">
        <v>279</v>
      </c>
      <c r="F75" s="25" t="s">
        <v>295</v>
      </c>
      <c r="G75" s="34">
        <v>46126.673634259256</v>
      </c>
      <c r="H75" s="34">
        <v>46135.11005787037</v>
      </c>
      <c r="I75" s="25" t="s">
        <v>268</v>
      </c>
      <c r="J75" s="25" t="s">
        <v>618</v>
      </c>
    </row>
    <row r="76" spans="1:10">
      <c r="A76" s="34">
        <v>46126.441018518519</v>
      </c>
      <c r="B76" s="25" t="s">
        <v>394</v>
      </c>
      <c r="C76" s="25" t="s">
        <v>395</v>
      </c>
      <c r="D76" s="212">
        <v>1</v>
      </c>
      <c r="E76" s="25" t="s">
        <v>279</v>
      </c>
      <c r="F76" s="25" t="s">
        <v>280</v>
      </c>
      <c r="G76" s="34">
        <v>46126.673634259256</v>
      </c>
      <c r="H76" s="34">
        <v>46129.408912037034</v>
      </c>
      <c r="I76" s="25" t="s">
        <v>268</v>
      </c>
      <c r="J76" s="25" t="s">
        <v>618</v>
      </c>
    </row>
    <row r="77" spans="1:10">
      <c r="A77" s="34">
        <v>46126.480196759258</v>
      </c>
      <c r="B77" s="25" t="s">
        <v>396</v>
      </c>
      <c r="C77" s="25" t="s">
        <v>397</v>
      </c>
      <c r="D77" s="212">
        <v>1</v>
      </c>
      <c r="E77" s="25" t="s">
        <v>279</v>
      </c>
      <c r="F77" s="25" t="s">
        <v>293</v>
      </c>
      <c r="G77" s="34">
        <v>46126.673645833333</v>
      </c>
      <c r="H77" s="34">
        <v>46135.133715277778</v>
      </c>
      <c r="I77" s="25" t="s">
        <v>268</v>
      </c>
      <c r="J77" s="25" t="s">
        <v>618</v>
      </c>
    </row>
    <row r="78" spans="1:10">
      <c r="A78" s="34">
        <v>46126.525682870371</v>
      </c>
      <c r="B78" s="25" t="s">
        <v>398</v>
      </c>
      <c r="C78" s="25" t="s">
        <v>399</v>
      </c>
      <c r="D78" s="212">
        <v>1</v>
      </c>
      <c r="E78" s="25" t="s">
        <v>279</v>
      </c>
      <c r="F78" s="25" t="s">
        <v>280</v>
      </c>
      <c r="G78" s="34">
        <v>46126.673645833333</v>
      </c>
      <c r="H78" s="34">
        <v>46128.839259259257</v>
      </c>
      <c r="I78" s="25" t="s">
        <v>268</v>
      </c>
      <c r="J78" s="25" t="s">
        <v>618</v>
      </c>
    </row>
    <row r="79" spans="1:10">
      <c r="A79" s="34">
        <v>46126.542326388888</v>
      </c>
      <c r="B79" s="25" t="s">
        <v>400</v>
      </c>
      <c r="C79" s="25" t="s">
        <v>401</v>
      </c>
      <c r="D79" s="212">
        <v>1</v>
      </c>
      <c r="E79" s="25" t="s">
        <v>279</v>
      </c>
      <c r="F79" s="25" t="s">
        <v>293</v>
      </c>
      <c r="G79" s="34">
        <v>46126.673645833333</v>
      </c>
      <c r="H79" s="34">
        <v>46128.501851851855</v>
      </c>
      <c r="I79" s="25" t="s">
        <v>268</v>
      </c>
      <c r="J79" s="25" t="s">
        <v>618</v>
      </c>
    </row>
    <row r="80" spans="1:10">
      <c r="A80" s="34">
        <v>46126.586273148147</v>
      </c>
      <c r="B80" s="25" t="s">
        <v>402</v>
      </c>
      <c r="C80" s="25" t="s">
        <v>403</v>
      </c>
      <c r="D80" s="212">
        <v>1</v>
      </c>
      <c r="E80" s="25" t="s">
        <v>279</v>
      </c>
      <c r="F80" s="25" t="s">
        <v>295</v>
      </c>
      <c r="G80" s="34">
        <v>46126.673344907409</v>
      </c>
      <c r="H80" s="34">
        <v>46127.645833333336</v>
      </c>
      <c r="I80" s="25" t="s">
        <v>268</v>
      </c>
      <c r="J80" s="25" t="s">
        <v>618</v>
      </c>
    </row>
    <row r="81" spans="1:10">
      <c r="A81" s="34">
        <v>46126.596041666664</v>
      </c>
      <c r="B81" s="25" t="s">
        <v>404</v>
      </c>
      <c r="C81" s="25" t="s">
        <v>405</v>
      </c>
      <c r="D81" s="212">
        <v>1</v>
      </c>
      <c r="E81" s="25" t="s">
        <v>279</v>
      </c>
      <c r="F81" s="25" t="s">
        <v>293</v>
      </c>
      <c r="G81" s="34">
        <v>46126.673645833333</v>
      </c>
      <c r="H81" s="34">
        <v>46135.107835648145</v>
      </c>
      <c r="I81" s="25" t="s">
        <v>268</v>
      </c>
      <c r="J81" s="25" t="s">
        <v>618</v>
      </c>
    </row>
    <row r="82" spans="1:10">
      <c r="A82" s="34">
        <v>46126.610347222224</v>
      </c>
      <c r="B82" s="25" t="s">
        <v>406</v>
      </c>
      <c r="C82" s="25" t="s">
        <v>407</v>
      </c>
      <c r="D82" s="212">
        <v>1</v>
      </c>
      <c r="E82" s="25" t="s">
        <v>279</v>
      </c>
      <c r="F82" s="25" t="s">
        <v>295</v>
      </c>
      <c r="G82" s="34">
        <v>46126.673657407409</v>
      </c>
      <c r="H82" s="34">
        <v>46135.130856481483</v>
      </c>
      <c r="I82" s="25" t="s">
        <v>268</v>
      </c>
      <c r="J82" s="25" t="s">
        <v>618</v>
      </c>
    </row>
    <row r="83" spans="1:10">
      <c r="A83" s="34">
        <v>46126.7577662037</v>
      </c>
      <c r="B83" s="25" t="s">
        <v>408</v>
      </c>
      <c r="C83" s="25" t="s">
        <v>272</v>
      </c>
      <c r="D83" s="212">
        <v>1</v>
      </c>
      <c r="E83" s="25" t="s">
        <v>279</v>
      </c>
      <c r="F83" s="25" t="s">
        <v>295</v>
      </c>
      <c r="G83" s="34">
        <v>46127.773321759261</v>
      </c>
      <c r="H83" s="34">
        <v>46129.376076388886</v>
      </c>
      <c r="I83" s="25" t="s">
        <v>268</v>
      </c>
      <c r="J83" s="25" t="s">
        <v>618</v>
      </c>
    </row>
    <row r="84" spans="1:10">
      <c r="A84" s="34">
        <v>46126.818680555552</v>
      </c>
      <c r="B84" s="25" t="s">
        <v>409</v>
      </c>
      <c r="C84" s="25" t="s">
        <v>410</v>
      </c>
      <c r="D84" s="212">
        <v>1</v>
      </c>
      <c r="E84" s="25" t="s">
        <v>279</v>
      </c>
      <c r="F84" s="25" t="s">
        <v>280</v>
      </c>
      <c r="G84" s="34">
        <v>46127.773634259262</v>
      </c>
      <c r="H84" s="34">
        <v>46132.887650462966</v>
      </c>
      <c r="I84" s="25" t="s">
        <v>268</v>
      </c>
      <c r="J84" s="25" t="s">
        <v>618</v>
      </c>
    </row>
    <row r="85" spans="1:10">
      <c r="A85" s="34">
        <v>46126.900370370371</v>
      </c>
      <c r="B85" s="25" t="s">
        <v>411</v>
      </c>
      <c r="C85" s="25" t="s">
        <v>412</v>
      </c>
      <c r="D85" s="212">
        <v>1</v>
      </c>
      <c r="E85" s="25" t="s">
        <v>279</v>
      </c>
      <c r="F85" s="25" t="s">
        <v>280</v>
      </c>
      <c r="G85" s="34">
        <v>46127.773634259262</v>
      </c>
      <c r="H85" s="34">
        <v>46130.771157407406</v>
      </c>
      <c r="I85" s="25" t="s">
        <v>268</v>
      </c>
      <c r="J85" s="25" t="s">
        <v>618</v>
      </c>
    </row>
    <row r="86" spans="1:10">
      <c r="A86" s="34">
        <v>46126.928993055553</v>
      </c>
      <c r="B86" s="25" t="s">
        <v>413</v>
      </c>
      <c r="C86" s="25" t="s">
        <v>414</v>
      </c>
      <c r="D86" s="212">
        <v>1</v>
      </c>
      <c r="E86" s="25" t="s">
        <v>279</v>
      </c>
      <c r="F86" s="25" t="s">
        <v>280</v>
      </c>
      <c r="G86" s="34">
        <v>46127.773321759261</v>
      </c>
      <c r="H86" s="34">
        <v>46128.508715277778</v>
      </c>
      <c r="I86" s="25" t="s">
        <v>268</v>
      </c>
      <c r="J86" s="25" t="s">
        <v>618</v>
      </c>
    </row>
    <row r="87" spans="1:10">
      <c r="A87" s="34">
        <v>46127.02239583333</v>
      </c>
      <c r="B87" s="25" t="s">
        <v>415</v>
      </c>
      <c r="C87" s="25" t="s">
        <v>416</v>
      </c>
      <c r="D87" s="212">
        <v>1</v>
      </c>
      <c r="E87" s="25" t="s">
        <v>279</v>
      </c>
      <c r="F87" s="25" t="s">
        <v>293</v>
      </c>
      <c r="G87" s="34">
        <v>46127.773645833331</v>
      </c>
      <c r="H87" s="34">
        <v>46136.110821759263</v>
      </c>
      <c r="I87" s="25" t="s">
        <v>268</v>
      </c>
      <c r="J87" s="25" t="s">
        <v>618</v>
      </c>
    </row>
    <row r="88" spans="1:10">
      <c r="A88" s="34">
        <v>46127.112303240741</v>
      </c>
      <c r="B88" s="25" t="s">
        <v>417</v>
      </c>
      <c r="C88" s="25" t="s">
        <v>418</v>
      </c>
      <c r="D88" s="212">
        <v>1</v>
      </c>
      <c r="E88" s="25" t="s">
        <v>279</v>
      </c>
      <c r="F88" s="25" t="s">
        <v>293</v>
      </c>
      <c r="G88" s="34">
        <v>46127.773321759261</v>
      </c>
      <c r="H88" s="34">
        <v>46128.588530092595</v>
      </c>
      <c r="I88" s="25" t="s">
        <v>268</v>
      </c>
      <c r="J88" s="25" t="s">
        <v>618</v>
      </c>
    </row>
    <row r="89" spans="1:10">
      <c r="A89" s="34">
        <v>46127.294895833336</v>
      </c>
      <c r="B89" s="25" t="s">
        <v>419</v>
      </c>
      <c r="C89" s="25" t="s">
        <v>420</v>
      </c>
      <c r="D89" s="212">
        <v>1</v>
      </c>
      <c r="E89" s="25" t="s">
        <v>279</v>
      </c>
      <c r="F89" s="25" t="s">
        <v>295</v>
      </c>
      <c r="G89" s="34">
        <v>46127.773645833331</v>
      </c>
      <c r="H89" s="34">
        <v>46136.115590277775</v>
      </c>
      <c r="I89" s="25" t="s">
        <v>268</v>
      </c>
      <c r="J89" s="25" t="s">
        <v>618</v>
      </c>
    </row>
    <row r="90" spans="1:10">
      <c r="A90" s="34">
        <v>46127.315717592595</v>
      </c>
      <c r="B90" s="25" t="s">
        <v>421</v>
      </c>
      <c r="C90" s="25" t="s">
        <v>422</v>
      </c>
      <c r="D90" s="212">
        <v>1</v>
      </c>
      <c r="E90" s="25" t="s">
        <v>279</v>
      </c>
      <c r="F90" s="25" t="s">
        <v>280</v>
      </c>
      <c r="G90" s="34">
        <v>46127.773645833331</v>
      </c>
      <c r="H90" s="34">
        <v>46131.718252314815</v>
      </c>
      <c r="I90" s="25" t="s">
        <v>268</v>
      </c>
      <c r="J90" s="25" t="s">
        <v>618</v>
      </c>
    </row>
    <row r="91" spans="1:10">
      <c r="A91" s="211">
        <v>46127.319953703707</v>
      </c>
      <c r="B91" s="173" t="s">
        <v>423</v>
      </c>
      <c r="C91" s="173" t="s">
        <v>424</v>
      </c>
      <c r="D91" s="213"/>
      <c r="E91" s="173" t="s">
        <v>279</v>
      </c>
      <c r="F91" s="173" t="s">
        <v>280</v>
      </c>
      <c r="G91" s="173"/>
      <c r="H91" s="173"/>
      <c r="I91" s="173" t="s">
        <v>281</v>
      </c>
      <c r="J91" s="173"/>
    </row>
    <row r="92" spans="1:10">
      <c r="A92" s="34">
        <v>46127.358564814815</v>
      </c>
      <c r="B92" s="25" t="s">
        <v>425</v>
      </c>
      <c r="C92" s="25" t="s">
        <v>426</v>
      </c>
      <c r="D92" s="212">
        <v>1</v>
      </c>
      <c r="E92" s="25" t="s">
        <v>279</v>
      </c>
      <c r="F92" s="25" t="s">
        <v>280</v>
      </c>
      <c r="G92" s="34">
        <v>46127.773333333331</v>
      </c>
      <c r="H92" s="34">
        <v>46128.582118055558</v>
      </c>
      <c r="I92" s="25" t="s">
        <v>268</v>
      </c>
      <c r="J92" s="25" t="s">
        <v>618</v>
      </c>
    </row>
    <row r="93" spans="1:10">
      <c r="A93" s="34">
        <v>46127.426828703705</v>
      </c>
      <c r="B93" s="25" t="s">
        <v>427</v>
      </c>
      <c r="C93" s="25" t="s">
        <v>428</v>
      </c>
      <c r="D93" s="212">
        <v>1</v>
      </c>
      <c r="E93" s="25" t="s">
        <v>279</v>
      </c>
      <c r="F93" s="25" t="s">
        <v>280</v>
      </c>
      <c r="G93" s="34">
        <v>46128.636817129627</v>
      </c>
      <c r="H93" s="34">
        <v>46137.108680555553</v>
      </c>
      <c r="I93" s="25" t="s">
        <v>268</v>
      </c>
      <c r="J93" s="25" t="s">
        <v>618</v>
      </c>
    </row>
    <row r="94" spans="1:10">
      <c r="A94" s="34">
        <v>46127.45925925926</v>
      </c>
      <c r="B94" s="25" t="s">
        <v>429</v>
      </c>
      <c r="C94" s="25" t="s">
        <v>430</v>
      </c>
      <c r="D94" s="212">
        <v>1</v>
      </c>
      <c r="E94" s="25" t="s">
        <v>279</v>
      </c>
      <c r="F94" s="25" t="s">
        <v>280</v>
      </c>
      <c r="G94" s="34">
        <v>46128.636817129627</v>
      </c>
      <c r="H94" s="34">
        <v>46129.722361111111</v>
      </c>
      <c r="I94" s="25" t="s">
        <v>268</v>
      </c>
      <c r="J94" s="25" t="s">
        <v>618</v>
      </c>
    </row>
    <row r="95" spans="1:10">
      <c r="A95" s="34">
        <v>46127.484618055554</v>
      </c>
      <c r="B95" s="25" t="s">
        <v>431</v>
      </c>
      <c r="C95" s="25" t="s">
        <v>432</v>
      </c>
      <c r="D95" s="212">
        <v>1</v>
      </c>
      <c r="E95" s="25" t="s">
        <v>279</v>
      </c>
      <c r="F95" s="25" t="s">
        <v>280</v>
      </c>
      <c r="G95" s="34">
        <v>46128.636192129627</v>
      </c>
      <c r="H95" s="34">
        <v>46129.580787037034</v>
      </c>
      <c r="I95" s="25" t="s">
        <v>268</v>
      </c>
      <c r="J95" s="25" t="s">
        <v>618</v>
      </c>
    </row>
    <row r="96" spans="1:10">
      <c r="A96" s="34">
        <v>46127.543703703705</v>
      </c>
      <c r="B96" s="25" t="s">
        <v>433</v>
      </c>
      <c r="C96" s="25" t="s">
        <v>434</v>
      </c>
      <c r="D96" s="212">
        <v>1</v>
      </c>
      <c r="E96" s="25" t="s">
        <v>279</v>
      </c>
      <c r="F96" s="25" t="s">
        <v>295</v>
      </c>
      <c r="G96" s="34">
        <v>46128.636192129627</v>
      </c>
      <c r="H96" s="34">
        <v>46129.709953703707</v>
      </c>
      <c r="I96" s="25" t="s">
        <v>268</v>
      </c>
      <c r="J96" s="25" t="s">
        <v>618</v>
      </c>
    </row>
    <row r="97" spans="1:10">
      <c r="A97" s="34">
        <v>46127.559918981482</v>
      </c>
      <c r="B97" s="25" t="s">
        <v>435</v>
      </c>
      <c r="C97" s="25" t="s">
        <v>436</v>
      </c>
      <c r="D97" s="212">
        <v>1</v>
      </c>
      <c r="E97" s="25" t="s">
        <v>279</v>
      </c>
      <c r="F97" s="25" t="s">
        <v>293</v>
      </c>
      <c r="G97" s="34">
        <v>46128.636828703704</v>
      </c>
      <c r="H97" s="34">
        <v>46137.090439814812</v>
      </c>
      <c r="I97" s="25" t="s">
        <v>268</v>
      </c>
      <c r="J97" s="25" t="s">
        <v>618</v>
      </c>
    </row>
    <row r="98" spans="1:10">
      <c r="A98" s="34">
        <v>46127.567037037035</v>
      </c>
      <c r="B98" s="25" t="s">
        <v>437</v>
      </c>
      <c r="C98" s="25" t="s">
        <v>438</v>
      </c>
      <c r="D98" s="212">
        <v>1</v>
      </c>
      <c r="E98" s="25" t="s">
        <v>279</v>
      </c>
      <c r="F98" s="25" t="s">
        <v>295</v>
      </c>
      <c r="G98" s="34">
        <v>46128.636828703704</v>
      </c>
      <c r="H98" s="34">
        <v>46129.768518518518</v>
      </c>
      <c r="I98" s="25" t="s">
        <v>268</v>
      </c>
      <c r="J98" s="25" t="s">
        <v>618</v>
      </c>
    </row>
    <row r="99" spans="1:10">
      <c r="A99" s="34">
        <v>46127.604444444441</v>
      </c>
      <c r="B99" s="25" t="s">
        <v>439</v>
      </c>
      <c r="C99" s="25" t="s">
        <v>440</v>
      </c>
      <c r="D99" s="212">
        <v>1</v>
      </c>
      <c r="E99" s="25" t="s">
        <v>279</v>
      </c>
      <c r="F99" s="25" t="s">
        <v>293</v>
      </c>
      <c r="G99" s="34">
        <v>46128.636192129627</v>
      </c>
      <c r="H99" s="34">
        <v>46129.819965277777</v>
      </c>
      <c r="I99" s="25" t="s">
        <v>268</v>
      </c>
      <c r="J99" s="25" t="s">
        <v>618</v>
      </c>
    </row>
    <row r="100" spans="1:10">
      <c r="A100" s="34">
        <v>46127.604803240742</v>
      </c>
      <c r="B100" s="25" t="s">
        <v>441</v>
      </c>
      <c r="C100" s="25" t="s">
        <v>442</v>
      </c>
      <c r="D100" s="212">
        <v>1</v>
      </c>
      <c r="E100" s="25" t="s">
        <v>279</v>
      </c>
      <c r="F100" s="25" t="s">
        <v>295</v>
      </c>
      <c r="G100" s="34">
        <v>46128.636828703704</v>
      </c>
      <c r="H100" s="34">
        <v>46132.843298611115</v>
      </c>
      <c r="I100" s="25" t="s">
        <v>268</v>
      </c>
      <c r="J100" s="25" t="s">
        <v>618</v>
      </c>
    </row>
    <row r="101" spans="1:10">
      <c r="A101" s="34">
        <v>46127.618819444448</v>
      </c>
      <c r="B101" s="25" t="s">
        <v>443</v>
      </c>
      <c r="C101" s="25" t="s">
        <v>444</v>
      </c>
      <c r="D101" s="212">
        <v>1</v>
      </c>
      <c r="E101" s="25" t="s">
        <v>279</v>
      </c>
      <c r="F101" s="25" t="s">
        <v>293</v>
      </c>
      <c r="G101" s="34">
        <v>46128.636828703704</v>
      </c>
      <c r="H101" s="34">
        <v>46132.957106481481</v>
      </c>
      <c r="I101" s="25" t="s">
        <v>268</v>
      </c>
      <c r="J101" s="25" t="s">
        <v>618</v>
      </c>
    </row>
    <row r="102" spans="1:10">
      <c r="A102" s="34">
        <v>46127.626817129632</v>
      </c>
      <c r="B102" s="25" t="s">
        <v>445</v>
      </c>
      <c r="C102" s="25" t="s">
        <v>446</v>
      </c>
      <c r="D102" s="212">
        <v>1</v>
      </c>
      <c r="E102" s="25" t="s">
        <v>279</v>
      </c>
      <c r="F102" s="25" t="s">
        <v>280</v>
      </c>
      <c r="G102" s="34">
        <v>46128.636840277781</v>
      </c>
      <c r="H102" s="34">
        <v>46137.089155092595</v>
      </c>
      <c r="I102" s="25" t="s">
        <v>268</v>
      </c>
      <c r="J102" s="25" t="s">
        <v>618</v>
      </c>
    </row>
    <row r="103" spans="1:10">
      <c r="A103" s="34">
        <v>46127.635138888887</v>
      </c>
      <c r="B103" s="25" t="s">
        <v>447</v>
      </c>
      <c r="C103" s="25" t="s">
        <v>448</v>
      </c>
      <c r="D103" s="212">
        <v>1</v>
      </c>
      <c r="E103" s="25" t="s">
        <v>279</v>
      </c>
      <c r="F103" s="25" t="s">
        <v>280</v>
      </c>
      <c r="G103" s="34">
        <v>46128.636840277781</v>
      </c>
      <c r="H103" s="34">
        <v>46129.535092592596</v>
      </c>
      <c r="I103" s="25" t="s">
        <v>268</v>
      </c>
      <c r="J103" s="25" t="s">
        <v>618</v>
      </c>
    </row>
    <row r="104" spans="1:10">
      <c r="A104" s="34">
        <v>46127.679247685184</v>
      </c>
      <c r="B104" s="25" t="s">
        <v>449</v>
      </c>
      <c r="C104" s="25" t="s">
        <v>450</v>
      </c>
      <c r="D104" s="212">
        <v>1</v>
      </c>
      <c r="E104" s="25" t="s">
        <v>279</v>
      </c>
      <c r="F104" s="25" t="s">
        <v>280</v>
      </c>
      <c r="G104" s="34">
        <v>46128.636192129627</v>
      </c>
      <c r="H104" s="34">
        <v>46129.598657407405</v>
      </c>
      <c r="I104" s="25" t="s">
        <v>268</v>
      </c>
      <c r="J104" s="25" t="s">
        <v>618</v>
      </c>
    </row>
    <row r="105" spans="1:10">
      <c r="A105" s="34">
        <v>46127.740324074075</v>
      </c>
      <c r="B105" s="25" t="s">
        <v>451</v>
      </c>
      <c r="C105" s="25" t="s">
        <v>452</v>
      </c>
      <c r="D105" s="212">
        <v>1</v>
      </c>
      <c r="E105" s="25" t="s">
        <v>279</v>
      </c>
      <c r="F105" s="25" t="s">
        <v>280</v>
      </c>
      <c r="G105" s="34">
        <v>46128.636192129627</v>
      </c>
      <c r="H105" s="34">
        <v>46129.431423611109</v>
      </c>
      <c r="I105" s="25" t="s">
        <v>268</v>
      </c>
      <c r="J105" s="25" t="s">
        <v>618</v>
      </c>
    </row>
    <row r="106" spans="1:10">
      <c r="A106" s="34">
        <v>46127.809884259259</v>
      </c>
      <c r="B106" s="25" t="s">
        <v>453</v>
      </c>
      <c r="C106" s="25" t="s">
        <v>454</v>
      </c>
      <c r="D106" s="212">
        <v>1</v>
      </c>
      <c r="E106" s="25" t="s">
        <v>279</v>
      </c>
      <c r="F106" s="25" t="s">
        <v>280</v>
      </c>
      <c r="G106" s="34">
        <v>46128.636840277781</v>
      </c>
      <c r="H106" s="34">
        <v>46137.107164351852</v>
      </c>
      <c r="I106" s="25" t="s">
        <v>268</v>
      </c>
      <c r="J106" s="25" t="s">
        <v>618</v>
      </c>
    </row>
    <row r="107" spans="1:10">
      <c r="A107" s="211">
        <v>46127.93372685185</v>
      </c>
      <c r="B107" s="173" t="s">
        <v>455</v>
      </c>
      <c r="C107" s="173" t="s">
        <v>304</v>
      </c>
      <c r="D107" s="213"/>
      <c r="E107" s="173" t="s">
        <v>279</v>
      </c>
      <c r="F107" s="173" t="s">
        <v>280</v>
      </c>
      <c r="G107" s="173"/>
      <c r="H107" s="173"/>
      <c r="I107" s="173" t="s">
        <v>281</v>
      </c>
      <c r="J107" s="173"/>
    </row>
    <row r="108" spans="1:10">
      <c r="A108" s="34">
        <v>46127.951249999998</v>
      </c>
      <c r="B108" s="25" t="s">
        <v>456</v>
      </c>
      <c r="C108" s="25" t="s">
        <v>304</v>
      </c>
      <c r="D108" s="212">
        <v>1</v>
      </c>
      <c r="E108" s="25" t="s">
        <v>279</v>
      </c>
      <c r="F108" s="25" t="s">
        <v>293</v>
      </c>
      <c r="G108" s="34">
        <v>46128.636192129627</v>
      </c>
      <c r="H108" s="34">
        <v>46129.598009259258</v>
      </c>
      <c r="I108" s="25" t="s">
        <v>268</v>
      </c>
      <c r="J108" s="25" t="s">
        <v>618</v>
      </c>
    </row>
    <row r="109" spans="1:10">
      <c r="A109" s="34">
        <v>46127.964305555557</v>
      </c>
      <c r="B109" s="25" t="s">
        <v>457</v>
      </c>
      <c r="C109" s="25" t="s">
        <v>458</v>
      </c>
      <c r="D109" s="212">
        <v>1</v>
      </c>
      <c r="E109" s="25" t="s">
        <v>279</v>
      </c>
      <c r="F109" s="25" t="s">
        <v>293</v>
      </c>
      <c r="G109" s="34">
        <v>46128.636840277781</v>
      </c>
      <c r="H109" s="34">
        <v>46129.492060185185</v>
      </c>
      <c r="I109" s="25" t="s">
        <v>268</v>
      </c>
      <c r="J109" s="25" t="s">
        <v>618</v>
      </c>
    </row>
    <row r="110" spans="1:10">
      <c r="A110" s="34">
        <v>46128.092210648145</v>
      </c>
      <c r="B110" s="25" t="s">
        <v>459</v>
      </c>
      <c r="C110" s="25" t="s">
        <v>460</v>
      </c>
      <c r="D110" s="212">
        <v>1</v>
      </c>
      <c r="E110" s="25" t="s">
        <v>279</v>
      </c>
      <c r="F110" s="25" t="s">
        <v>280</v>
      </c>
      <c r="G110" s="34">
        <v>46128.636192129627</v>
      </c>
      <c r="H110" s="34">
        <v>46129.542719907404</v>
      </c>
      <c r="I110" s="25" t="s">
        <v>268</v>
      </c>
      <c r="J110" s="25" t="s">
        <v>618</v>
      </c>
    </row>
    <row r="111" spans="1:10">
      <c r="A111" s="34">
        <v>46128.343310185184</v>
      </c>
      <c r="B111" s="25" t="s">
        <v>461</v>
      </c>
      <c r="C111" s="25" t="s">
        <v>462</v>
      </c>
      <c r="D111" s="212">
        <v>1</v>
      </c>
      <c r="E111" s="25" t="s">
        <v>279</v>
      </c>
      <c r="F111" s="25" t="s">
        <v>293</v>
      </c>
      <c r="G111" s="34">
        <v>46128.63685185185</v>
      </c>
      <c r="H111" s="34">
        <v>46137.10869212963</v>
      </c>
      <c r="I111" s="25" t="s">
        <v>268</v>
      </c>
      <c r="J111" s="25" t="s">
        <v>618</v>
      </c>
    </row>
    <row r="112" spans="1:10">
      <c r="A112" s="34">
        <v>46128.403136574074</v>
      </c>
      <c r="B112" s="25" t="s">
        <v>463</v>
      </c>
      <c r="C112" s="25" t="s">
        <v>464</v>
      </c>
      <c r="D112" s="212">
        <v>1</v>
      </c>
      <c r="E112" s="25" t="s">
        <v>279</v>
      </c>
      <c r="F112" s="25" t="s">
        <v>293</v>
      </c>
      <c r="G112" s="34">
        <v>46128.63685185185</v>
      </c>
      <c r="H112" s="34">
        <v>46132.744803240741</v>
      </c>
      <c r="I112" s="25" t="s">
        <v>268</v>
      </c>
      <c r="J112" s="25" t="s">
        <v>618</v>
      </c>
    </row>
    <row r="113" spans="1:10">
      <c r="A113" s="34">
        <v>46128.42701388889</v>
      </c>
      <c r="B113" s="25" t="s">
        <v>465</v>
      </c>
      <c r="C113" s="25" t="s">
        <v>466</v>
      </c>
      <c r="D113" s="212">
        <v>1</v>
      </c>
      <c r="E113" s="25" t="s">
        <v>279</v>
      </c>
      <c r="F113" s="25" t="s">
        <v>280</v>
      </c>
      <c r="G113" s="34">
        <v>46128.63685185185</v>
      </c>
      <c r="H113" s="34">
        <v>46130.269583333335</v>
      </c>
      <c r="I113" s="25" t="s">
        <v>268</v>
      </c>
      <c r="J113" s="25" t="s">
        <v>618</v>
      </c>
    </row>
    <row r="114" spans="1:10">
      <c r="A114" s="34">
        <v>46128.472048611111</v>
      </c>
      <c r="B114" s="25" t="s">
        <v>467</v>
      </c>
      <c r="C114" s="25" t="s">
        <v>468</v>
      </c>
      <c r="D114" s="212">
        <v>1</v>
      </c>
      <c r="E114" s="25" t="s">
        <v>279</v>
      </c>
      <c r="F114" s="25" t="s">
        <v>280</v>
      </c>
      <c r="G114" s="34">
        <v>46128.636192129627</v>
      </c>
      <c r="H114" s="34">
        <v>46129.642557870371</v>
      </c>
      <c r="I114" s="25" t="s">
        <v>268</v>
      </c>
      <c r="J114" s="25" t="s">
        <v>618</v>
      </c>
    </row>
    <row r="115" spans="1:10">
      <c r="A115" s="34">
        <v>46128.475590277776</v>
      </c>
      <c r="B115" s="25" t="s">
        <v>469</v>
      </c>
      <c r="C115" s="25" t="s">
        <v>470</v>
      </c>
      <c r="D115" s="212">
        <v>1</v>
      </c>
      <c r="E115" s="25" t="s">
        <v>279</v>
      </c>
      <c r="F115" s="25" t="s">
        <v>293</v>
      </c>
      <c r="G115" s="34">
        <v>46128.63685185185</v>
      </c>
      <c r="H115" s="34">
        <v>46130.397685185184</v>
      </c>
      <c r="I115" s="25" t="s">
        <v>268</v>
      </c>
      <c r="J115" s="25" t="s">
        <v>618</v>
      </c>
    </row>
    <row r="116" spans="1:10">
      <c r="A116" s="34">
        <v>46128.476898148147</v>
      </c>
      <c r="B116" s="25" t="s">
        <v>471</v>
      </c>
      <c r="C116" s="25" t="s">
        <v>472</v>
      </c>
      <c r="D116" s="212">
        <v>1</v>
      </c>
      <c r="E116" s="25" t="s">
        <v>279</v>
      </c>
      <c r="F116" s="25" t="s">
        <v>295</v>
      </c>
      <c r="G116" s="34">
        <v>46128.636863425927</v>
      </c>
      <c r="H116" s="34">
        <v>46130.003101851849</v>
      </c>
      <c r="I116" s="25" t="s">
        <v>268</v>
      </c>
      <c r="J116" s="25" t="s">
        <v>618</v>
      </c>
    </row>
    <row r="117" spans="1:10">
      <c r="A117" s="34">
        <v>46128.489444444444</v>
      </c>
      <c r="B117" s="25" t="s">
        <v>473</v>
      </c>
      <c r="C117" s="25" t="s">
        <v>474</v>
      </c>
      <c r="D117" s="212">
        <v>1</v>
      </c>
      <c r="E117" s="25" t="s">
        <v>279</v>
      </c>
      <c r="F117" s="25" t="s">
        <v>293</v>
      </c>
      <c r="G117" s="34">
        <v>46128.636863425927</v>
      </c>
      <c r="H117" s="34">
        <v>46129.669930555552</v>
      </c>
      <c r="I117" s="25" t="s">
        <v>268</v>
      </c>
      <c r="J117" s="25" t="s">
        <v>618</v>
      </c>
    </row>
    <row r="118" spans="1:10">
      <c r="A118" s="34">
        <v>46128.492812500001</v>
      </c>
      <c r="B118" s="25" t="s">
        <v>475</v>
      </c>
      <c r="C118" s="25" t="s">
        <v>476</v>
      </c>
      <c r="D118" s="212">
        <v>1</v>
      </c>
      <c r="E118" s="25" t="s">
        <v>234</v>
      </c>
      <c r="F118" s="25"/>
      <c r="G118" s="34">
        <v>46128.636192129627</v>
      </c>
      <c r="H118" s="34">
        <v>46129.431759259256</v>
      </c>
      <c r="I118" s="25" t="s">
        <v>268</v>
      </c>
      <c r="J118" s="25" t="s">
        <v>618</v>
      </c>
    </row>
    <row r="119" spans="1:10">
      <c r="A119" s="34">
        <v>46128.492812500001</v>
      </c>
      <c r="B119" s="25" t="s">
        <v>475</v>
      </c>
      <c r="C119" s="25" t="s">
        <v>476</v>
      </c>
      <c r="D119" s="212">
        <v>1</v>
      </c>
      <c r="E119" s="25" t="s">
        <v>46</v>
      </c>
      <c r="F119" s="25"/>
      <c r="G119" s="34">
        <v>46128.636192129627</v>
      </c>
      <c r="H119" s="34">
        <v>46129.431759259256</v>
      </c>
      <c r="I119" s="25" t="s">
        <v>268</v>
      </c>
      <c r="J119" s="25" t="s">
        <v>618</v>
      </c>
    </row>
    <row r="120" spans="1:10">
      <c r="A120" s="34">
        <v>46128.58971064815</v>
      </c>
      <c r="B120" s="25" t="s">
        <v>477</v>
      </c>
      <c r="C120" s="25" t="s">
        <v>478</v>
      </c>
      <c r="D120" s="212">
        <v>1</v>
      </c>
      <c r="E120" s="25" t="s">
        <v>279</v>
      </c>
      <c r="F120" s="25" t="s">
        <v>280</v>
      </c>
      <c r="G120" s="34">
        <v>46128.636863425927</v>
      </c>
      <c r="H120" s="34">
        <v>46137.088634259257</v>
      </c>
      <c r="I120" s="25" t="s">
        <v>268</v>
      </c>
      <c r="J120" s="25" t="s">
        <v>618</v>
      </c>
    </row>
    <row r="121" spans="1:10">
      <c r="A121" s="34">
        <v>46128.626620370371</v>
      </c>
      <c r="B121" s="25" t="s">
        <v>479</v>
      </c>
      <c r="C121" s="25" t="s">
        <v>335</v>
      </c>
      <c r="D121" s="212">
        <v>1</v>
      </c>
      <c r="E121" s="25" t="s">
        <v>279</v>
      </c>
      <c r="F121" s="25" t="s">
        <v>293</v>
      </c>
      <c r="G121" s="34">
        <v>46129.639606481483</v>
      </c>
      <c r="H121" s="34">
        <v>46130.701874999999</v>
      </c>
      <c r="I121" s="25" t="s">
        <v>268</v>
      </c>
      <c r="J121" s="25" t="s">
        <v>618</v>
      </c>
    </row>
    <row r="122" spans="1:10">
      <c r="A122" s="34">
        <v>46128.770173611112</v>
      </c>
      <c r="B122" s="25" t="s">
        <v>480</v>
      </c>
      <c r="C122" s="25" t="s">
        <v>481</v>
      </c>
      <c r="D122" s="212">
        <v>1</v>
      </c>
      <c r="E122" s="25" t="s">
        <v>279</v>
      </c>
      <c r="F122" s="25" t="s">
        <v>293</v>
      </c>
      <c r="G122" s="34">
        <v>46129.639606481483</v>
      </c>
      <c r="H122" s="34">
        <v>46138.082013888888</v>
      </c>
      <c r="I122" s="25" t="s">
        <v>268</v>
      </c>
      <c r="J122" s="25" t="s">
        <v>618</v>
      </c>
    </row>
    <row r="123" spans="1:10">
      <c r="A123" s="34">
        <v>46128.780925925923</v>
      </c>
      <c r="B123" s="25" t="s">
        <v>482</v>
      </c>
      <c r="C123" s="25" t="s">
        <v>424</v>
      </c>
      <c r="D123" s="212">
        <v>1</v>
      </c>
      <c r="E123" s="25" t="s">
        <v>279</v>
      </c>
      <c r="F123" s="25" t="s">
        <v>280</v>
      </c>
      <c r="G123" s="34">
        <v>46129.639606481483</v>
      </c>
      <c r="H123" s="34">
        <v>46138.082025462965</v>
      </c>
      <c r="I123" s="25" t="s">
        <v>268</v>
      </c>
      <c r="J123" s="25" t="s">
        <v>618</v>
      </c>
    </row>
    <row r="124" spans="1:10">
      <c r="A124" s="34">
        <v>46128.877233796295</v>
      </c>
      <c r="B124" s="25" t="s">
        <v>483</v>
      </c>
      <c r="C124" s="25" t="s">
        <v>484</v>
      </c>
      <c r="D124" s="212">
        <v>1</v>
      </c>
      <c r="E124" s="25" t="s">
        <v>279</v>
      </c>
      <c r="F124" s="25" t="s">
        <v>280</v>
      </c>
      <c r="G124" s="34">
        <v>46129.638923611114</v>
      </c>
      <c r="H124" s="34">
        <v>46130.486898148149</v>
      </c>
      <c r="I124" s="25" t="s">
        <v>268</v>
      </c>
      <c r="J124" s="25" t="s">
        <v>618</v>
      </c>
    </row>
    <row r="125" spans="1:10">
      <c r="A125" s="34">
        <v>46128.947430555556</v>
      </c>
      <c r="B125" s="25" t="s">
        <v>485</v>
      </c>
      <c r="C125" s="25" t="s">
        <v>486</v>
      </c>
      <c r="D125" s="212">
        <v>1</v>
      </c>
      <c r="E125" s="25" t="s">
        <v>279</v>
      </c>
      <c r="F125" s="25" t="s">
        <v>280</v>
      </c>
      <c r="G125" s="34">
        <v>46129.638923611114</v>
      </c>
      <c r="H125" s="34">
        <v>46130.653356481482</v>
      </c>
      <c r="I125" s="25" t="s">
        <v>268</v>
      </c>
      <c r="J125" s="25" t="s">
        <v>618</v>
      </c>
    </row>
    <row r="126" spans="1:10">
      <c r="A126" s="34">
        <v>46129.096331018518</v>
      </c>
      <c r="B126" s="25" t="s">
        <v>487</v>
      </c>
      <c r="C126" s="25" t="s">
        <v>488</v>
      </c>
      <c r="D126" s="212">
        <v>1</v>
      </c>
      <c r="E126" s="25" t="s">
        <v>279</v>
      </c>
      <c r="F126" s="25" t="s">
        <v>280</v>
      </c>
      <c r="G126" s="34">
        <v>46129.639618055553</v>
      </c>
      <c r="H126" s="34">
        <v>46133.872488425928</v>
      </c>
      <c r="I126" s="25" t="s">
        <v>268</v>
      </c>
      <c r="J126" s="25" t="s">
        <v>618</v>
      </c>
    </row>
    <row r="127" spans="1:10">
      <c r="A127" s="34">
        <v>46129.308576388888</v>
      </c>
      <c r="B127" s="25" t="s">
        <v>489</v>
      </c>
      <c r="C127" s="25" t="s">
        <v>490</v>
      </c>
      <c r="D127" s="212">
        <v>1</v>
      </c>
      <c r="E127" s="25" t="s">
        <v>279</v>
      </c>
      <c r="F127" s="25" t="s">
        <v>280</v>
      </c>
      <c r="G127" s="34">
        <v>46129.639618055553</v>
      </c>
      <c r="H127" s="34">
        <v>46135.858622685184</v>
      </c>
      <c r="I127" s="25" t="s">
        <v>268</v>
      </c>
      <c r="J127" s="25" t="s">
        <v>618</v>
      </c>
    </row>
    <row r="128" spans="1:10">
      <c r="A128" s="34">
        <v>46129.40792824074</v>
      </c>
      <c r="B128" s="25" t="s">
        <v>491</v>
      </c>
      <c r="C128" s="25" t="s">
        <v>492</v>
      </c>
      <c r="D128" s="212">
        <v>1</v>
      </c>
      <c r="E128" s="25" t="s">
        <v>279</v>
      </c>
      <c r="F128" s="25" t="s">
        <v>280</v>
      </c>
      <c r="G128" s="34">
        <v>46129.638923611114</v>
      </c>
      <c r="H128" s="34">
        <v>46130.576249999998</v>
      </c>
      <c r="I128" s="25" t="s">
        <v>268</v>
      </c>
      <c r="J128" s="25" t="s">
        <v>618</v>
      </c>
    </row>
    <row r="129" spans="1:10">
      <c r="A129" s="34">
        <v>46129.47859953704</v>
      </c>
      <c r="B129" s="25" t="s">
        <v>493</v>
      </c>
      <c r="C129" s="25" t="s">
        <v>494</v>
      </c>
      <c r="D129" s="212">
        <v>1</v>
      </c>
      <c r="E129" s="25" t="s">
        <v>279</v>
      </c>
      <c r="F129" s="25" t="s">
        <v>280</v>
      </c>
      <c r="G129" s="34">
        <v>46129.639618055553</v>
      </c>
      <c r="H129" s="34">
        <v>46138.099120370367</v>
      </c>
      <c r="I129" s="25" t="s">
        <v>268</v>
      </c>
      <c r="J129" s="25" t="s">
        <v>618</v>
      </c>
    </row>
    <row r="130" spans="1:10">
      <c r="A130" s="34">
        <v>46130.386250000003</v>
      </c>
      <c r="B130" s="25" t="s">
        <v>495</v>
      </c>
      <c r="C130" s="25" t="s">
        <v>496</v>
      </c>
      <c r="D130" s="212">
        <v>1</v>
      </c>
      <c r="E130" s="25" t="s">
        <v>279</v>
      </c>
      <c r="F130" s="25" t="s">
        <v>280</v>
      </c>
      <c r="G130" s="34">
        <v>46132.618078703701</v>
      </c>
      <c r="H130" s="34">
        <v>46141.164965277778</v>
      </c>
      <c r="I130" s="25" t="s">
        <v>268</v>
      </c>
      <c r="J130" s="25" t="s">
        <v>618</v>
      </c>
    </row>
    <row r="131" spans="1:10">
      <c r="A131" s="34">
        <v>46130.439097222225</v>
      </c>
      <c r="B131" s="25" t="s">
        <v>497</v>
      </c>
      <c r="C131" s="25" t="s">
        <v>498</v>
      </c>
      <c r="D131" s="212">
        <v>1</v>
      </c>
      <c r="E131" s="25" t="s">
        <v>279</v>
      </c>
      <c r="F131" s="25" t="s">
        <v>280</v>
      </c>
      <c r="G131" s="34">
        <v>46132.618078703701</v>
      </c>
      <c r="H131" s="34">
        <v>46141.135150462964</v>
      </c>
      <c r="I131" s="25" t="s">
        <v>268</v>
      </c>
      <c r="J131" s="25" t="s">
        <v>618</v>
      </c>
    </row>
    <row r="132" spans="1:10">
      <c r="A132" s="34">
        <v>46130.590717592589</v>
      </c>
      <c r="B132" s="25" t="s">
        <v>499</v>
      </c>
      <c r="C132" s="25" t="s">
        <v>500</v>
      </c>
      <c r="D132" s="212">
        <v>1</v>
      </c>
      <c r="E132" s="25" t="s">
        <v>279</v>
      </c>
      <c r="F132" s="25" t="s">
        <v>280</v>
      </c>
      <c r="G132" s="34">
        <v>46132.618090277778</v>
      </c>
      <c r="H132" s="34">
        <v>46136.294548611113</v>
      </c>
      <c r="I132" s="25" t="s">
        <v>268</v>
      </c>
      <c r="J132" s="25" t="s">
        <v>618</v>
      </c>
    </row>
    <row r="133" spans="1:10">
      <c r="A133" s="34">
        <v>46130.678460648145</v>
      </c>
      <c r="B133" s="25" t="s">
        <v>501</v>
      </c>
      <c r="C133" s="25" t="s">
        <v>502</v>
      </c>
      <c r="D133" s="212">
        <v>1</v>
      </c>
      <c r="E133" s="25" t="s">
        <v>279</v>
      </c>
      <c r="F133" s="25" t="s">
        <v>293</v>
      </c>
      <c r="G133" s="34">
        <v>46132.617673611108</v>
      </c>
      <c r="H133" s="34">
        <v>46134.653692129628</v>
      </c>
      <c r="I133" s="25" t="s">
        <v>268</v>
      </c>
      <c r="J133" s="25" t="s">
        <v>618</v>
      </c>
    </row>
    <row r="134" spans="1:10">
      <c r="A134" s="34">
        <v>46131.011631944442</v>
      </c>
      <c r="B134" s="25" t="s">
        <v>503</v>
      </c>
      <c r="C134" s="25" t="s">
        <v>504</v>
      </c>
      <c r="D134" s="212">
        <v>1</v>
      </c>
      <c r="E134" s="25" t="s">
        <v>279</v>
      </c>
      <c r="F134" s="25" t="s">
        <v>293</v>
      </c>
      <c r="G134" s="34">
        <v>46132.698634259257</v>
      </c>
      <c r="H134" s="34">
        <v>46134.774027777778</v>
      </c>
      <c r="I134" s="25" t="s">
        <v>268</v>
      </c>
      <c r="J134" s="25" t="s">
        <v>618</v>
      </c>
    </row>
    <row r="135" spans="1:10">
      <c r="A135" s="34">
        <v>46131.588067129633</v>
      </c>
      <c r="B135" s="25" t="s">
        <v>505</v>
      </c>
      <c r="C135" s="25" t="s">
        <v>506</v>
      </c>
      <c r="D135" s="212">
        <v>1</v>
      </c>
      <c r="E135" s="25" t="s">
        <v>279</v>
      </c>
      <c r="F135" s="25" t="s">
        <v>293</v>
      </c>
      <c r="G135" s="34">
        <v>46132.617673611108</v>
      </c>
      <c r="H135" s="34">
        <v>46133.636666666665</v>
      </c>
      <c r="I135" s="25" t="s">
        <v>268</v>
      </c>
      <c r="J135" s="25" t="s">
        <v>618</v>
      </c>
    </row>
    <row r="136" spans="1:10">
      <c r="A136" s="34">
        <v>46131.607025462959</v>
      </c>
      <c r="B136" s="25" t="s">
        <v>507</v>
      </c>
      <c r="C136" s="25" t="s">
        <v>508</v>
      </c>
      <c r="D136" s="212">
        <v>1</v>
      </c>
      <c r="E136" s="25" t="s">
        <v>279</v>
      </c>
      <c r="F136" s="25" t="s">
        <v>293</v>
      </c>
      <c r="G136" s="34">
        <v>46132.618090277778</v>
      </c>
      <c r="H136" s="34">
        <v>46133.77103009259</v>
      </c>
      <c r="I136" s="25" t="s">
        <v>268</v>
      </c>
      <c r="J136" s="25" t="s">
        <v>618</v>
      </c>
    </row>
    <row r="137" spans="1:10">
      <c r="A137" s="34">
        <v>46131.672650462962</v>
      </c>
      <c r="B137" s="25" t="s">
        <v>509</v>
      </c>
      <c r="C137" s="25" t="s">
        <v>510</v>
      </c>
      <c r="D137" s="212">
        <v>1</v>
      </c>
      <c r="E137" s="25" t="s">
        <v>279</v>
      </c>
      <c r="F137" s="25" t="s">
        <v>295</v>
      </c>
      <c r="G137" s="34">
        <v>46132.617673611108</v>
      </c>
      <c r="H137" s="34">
        <v>46133.44872685185</v>
      </c>
      <c r="I137" s="25" t="s">
        <v>268</v>
      </c>
      <c r="J137" s="25" t="s">
        <v>618</v>
      </c>
    </row>
    <row r="138" spans="1:10">
      <c r="A138" s="34">
        <v>46131.847939814812</v>
      </c>
      <c r="B138" s="25" t="s">
        <v>511</v>
      </c>
      <c r="C138" s="25" t="s">
        <v>512</v>
      </c>
      <c r="D138" s="212">
        <v>1</v>
      </c>
      <c r="E138" s="25" t="s">
        <v>279</v>
      </c>
      <c r="F138" s="25" t="s">
        <v>280</v>
      </c>
      <c r="G138" s="34">
        <v>46132.618090277778</v>
      </c>
      <c r="H138" s="34">
        <v>46141.167094907411</v>
      </c>
      <c r="I138" s="25" t="s">
        <v>268</v>
      </c>
      <c r="J138" s="25" t="s">
        <v>618</v>
      </c>
    </row>
    <row r="139" spans="1:10">
      <c r="A139" s="34">
        <v>46131.99046296296</v>
      </c>
      <c r="B139" s="25" t="s">
        <v>513</v>
      </c>
      <c r="C139" s="25" t="s">
        <v>514</v>
      </c>
      <c r="D139" s="212">
        <v>1</v>
      </c>
      <c r="E139" s="25" t="s">
        <v>279</v>
      </c>
      <c r="F139" s="25" t="s">
        <v>280</v>
      </c>
      <c r="G139" s="34">
        <v>46132.618090277778</v>
      </c>
      <c r="H139" s="34">
        <v>46136.057789351849</v>
      </c>
      <c r="I139" s="25" t="s">
        <v>268</v>
      </c>
      <c r="J139" s="25" t="s">
        <v>618</v>
      </c>
    </row>
    <row r="140" spans="1:10">
      <c r="A140" s="211">
        <v>46132.002881944441</v>
      </c>
      <c r="B140" s="173" t="s">
        <v>515</v>
      </c>
      <c r="C140" s="173" t="s">
        <v>516</v>
      </c>
      <c r="D140" s="213"/>
      <c r="E140" s="173" t="s">
        <v>279</v>
      </c>
      <c r="F140" s="173" t="s">
        <v>293</v>
      </c>
      <c r="G140" s="173"/>
      <c r="H140" s="173"/>
      <c r="I140" s="173" t="s">
        <v>281</v>
      </c>
      <c r="J140" s="173"/>
    </row>
    <row r="141" spans="1:10">
      <c r="A141" s="211">
        <v>46132.056851851848</v>
      </c>
      <c r="B141" s="173" t="s">
        <v>517</v>
      </c>
      <c r="C141" s="173" t="s">
        <v>518</v>
      </c>
      <c r="D141" s="213"/>
      <c r="E141" s="173" t="s">
        <v>279</v>
      </c>
      <c r="F141" s="173" t="s">
        <v>280</v>
      </c>
      <c r="G141" s="173"/>
      <c r="H141" s="173"/>
      <c r="I141" s="173" t="s">
        <v>281</v>
      </c>
      <c r="J141" s="173"/>
    </row>
    <row r="142" spans="1:10">
      <c r="A142" s="34">
        <v>46132.307256944441</v>
      </c>
      <c r="B142" s="25" t="s">
        <v>519</v>
      </c>
      <c r="C142" s="25" t="s">
        <v>520</v>
      </c>
      <c r="D142" s="212">
        <v>1</v>
      </c>
      <c r="E142" s="25" t="s">
        <v>279</v>
      </c>
      <c r="F142" s="25" t="s">
        <v>280</v>
      </c>
      <c r="G142" s="34">
        <v>46132.618101851855</v>
      </c>
      <c r="H142" s="34">
        <v>46141.133506944447</v>
      </c>
      <c r="I142" s="25" t="s">
        <v>268</v>
      </c>
      <c r="J142" s="25" t="s">
        <v>618</v>
      </c>
    </row>
    <row r="143" spans="1:10">
      <c r="A143" s="34">
        <v>46132.404479166667</v>
      </c>
      <c r="B143" s="25" t="s">
        <v>521</v>
      </c>
      <c r="C143" s="25" t="s">
        <v>522</v>
      </c>
      <c r="D143" s="212">
        <v>1</v>
      </c>
      <c r="E143" s="25" t="s">
        <v>279</v>
      </c>
      <c r="F143" s="25" t="s">
        <v>295</v>
      </c>
      <c r="G143" s="34">
        <v>46132.618101851855</v>
      </c>
      <c r="H143" s="34">
        <v>46141.132523148146</v>
      </c>
      <c r="I143" s="25" t="s">
        <v>268</v>
      </c>
      <c r="J143" s="25" t="s">
        <v>618</v>
      </c>
    </row>
    <row r="144" spans="1:10">
      <c r="A144" s="34">
        <v>46132.49359953704</v>
      </c>
      <c r="B144" s="25" t="s">
        <v>523</v>
      </c>
      <c r="C144" s="25" t="s">
        <v>524</v>
      </c>
      <c r="D144" s="212">
        <v>1</v>
      </c>
      <c r="E144" s="25" t="s">
        <v>279</v>
      </c>
      <c r="F144" s="25" t="s">
        <v>280</v>
      </c>
      <c r="G144" s="34">
        <v>46132.698067129626</v>
      </c>
      <c r="H144" s="34">
        <v>46133.715810185182</v>
      </c>
      <c r="I144" s="25" t="s">
        <v>268</v>
      </c>
      <c r="J144" s="25" t="s">
        <v>618</v>
      </c>
    </row>
    <row r="145" spans="1:10">
      <c r="A145" s="34">
        <v>46132.497372685182</v>
      </c>
      <c r="B145" s="25" t="s">
        <v>525</v>
      </c>
      <c r="C145" s="25" t="s">
        <v>516</v>
      </c>
      <c r="D145" s="212">
        <v>1</v>
      </c>
      <c r="E145" s="25" t="s">
        <v>279</v>
      </c>
      <c r="F145" s="25" t="s">
        <v>293</v>
      </c>
      <c r="G145" s="34">
        <v>46132.698645833334</v>
      </c>
      <c r="H145" s="34">
        <v>46141.196030092593</v>
      </c>
      <c r="I145" s="25" t="s">
        <v>268</v>
      </c>
      <c r="J145" s="25" t="s">
        <v>618</v>
      </c>
    </row>
    <row r="146" spans="1:10">
      <c r="A146" s="34">
        <v>46132.556018518517</v>
      </c>
      <c r="B146" s="25" t="s">
        <v>526</v>
      </c>
      <c r="C146" s="25" t="s">
        <v>527</v>
      </c>
      <c r="D146" s="212">
        <v>1</v>
      </c>
      <c r="E146" s="25" t="s">
        <v>279</v>
      </c>
      <c r="F146" s="25" t="s">
        <v>280</v>
      </c>
      <c r="G146" s="34">
        <v>46132.698645833334</v>
      </c>
      <c r="H146" s="34">
        <v>46141.160787037035</v>
      </c>
      <c r="I146" s="25" t="s">
        <v>268</v>
      </c>
      <c r="J146" s="25" t="s">
        <v>618</v>
      </c>
    </row>
    <row r="147" spans="1:10">
      <c r="A147" s="34">
        <v>46132.561944444446</v>
      </c>
      <c r="B147" s="25" t="s">
        <v>528</v>
      </c>
      <c r="C147" s="25" t="s">
        <v>518</v>
      </c>
      <c r="D147" s="212">
        <v>1</v>
      </c>
      <c r="E147" s="25" t="s">
        <v>279</v>
      </c>
      <c r="F147" s="25" t="s">
        <v>280</v>
      </c>
      <c r="G147" s="34">
        <v>46132.698645833334</v>
      </c>
      <c r="H147" s="34">
        <v>46141.198680555557</v>
      </c>
      <c r="I147" s="25" t="s">
        <v>268</v>
      </c>
      <c r="J147" s="25" t="s">
        <v>618</v>
      </c>
    </row>
    <row r="148" spans="1:10">
      <c r="A148" s="34">
        <v>46132.652939814812</v>
      </c>
      <c r="B148" s="25" t="s">
        <v>529</v>
      </c>
      <c r="C148" s="25" t="s">
        <v>530</v>
      </c>
      <c r="D148" s="212">
        <v>1</v>
      </c>
      <c r="E148" s="25" t="s">
        <v>279</v>
      </c>
      <c r="F148" s="25" t="s">
        <v>280</v>
      </c>
      <c r="G148" s="34">
        <v>46133.644467592596</v>
      </c>
      <c r="H148" s="34">
        <v>46134.66746527778</v>
      </c>
      <c r="I148" s="25" t="s">
        <v>268</v>
      </c>
      <c r="J148" s="25" t="s">
        <v>618</v>
      </c>
    </row>
    <row r="149" spans="1:10">
      <c r="A149" s="34">
        <v>46132.853263888886</v>
      </c>
      <c r="B149" s="25" t="s">
        <v>531</v>
      </c>
      <c r="C149" s="25" t="s">
        <v>532</v>
      </c>
      <c r="D149" s="212">
        <v>1</v>
      </c>
      <c r="E149" s="25" t="s">
        <v>279</v>
      </c>
      <c r="F149" s="25" t="s">
        <v>280</v>
      </c>
      <c r="G149" s="34">
        <v>46133.644467592596</v>
      </c>
      <c r="H149" s="34">
        <v>46134.809837962966</v>
      </c>
      <c r="I149" s="25" t="s">
        <v>268</v>
      </c>
      <c r="J149" s="25" t="s">
        <v>618</v>
      </c>
    </row>
    <row r="150" spans="1:10">
      <c r="A150" s="34">
        <v>46132.90457175926</v>
      </c>
      <c r="B150" s="25" t="s">
        <v>533</v>
      </c>
      <c r="C150" s="25" t="s">
        <v>300</v>
      </c>
      <c r="D150" s="212">
        <v>1</v>
      </c>
      <c r="E150" s="25" t="s">
        <v>279</v>
      </c>
      <c r="F150" s="25" t="s">
        <v>280</v>
      </c>
      <c r="G150" s="34">
        <v>46133.644467592596</v>
      </c>
      <c r="H150" s="34">
        <v>46142.123912037037</v>
      </c>
      <c r="I150" s="25" t="s">
        <v>268</v>
      </c>
      <c r="J150" s="25" t="s">
        <v>618</v>
      </c>
    </row>
    <row r="151" spans="1:10">
      <c r="A151" s="34">
        <v>46132.966261574074</v>
      </c>
      <c r="B151" s="25" t="s">
        <v>534</v>
      </c>
      <c r="C151" s="25" t="s">
        <v>535</v>
      </c>
      <c r="D151" s="212">
        <v>1</v>
      </c>
      <c r="E151" s="25" t="s">
        <v>279</v>
      </c>
      <c r="F151" s="25" t="s">
        <v>280</v>
      </c>
      <c r="G151" s="34">
        <v>46133.644467592596</v>
      </c>
      <c r="H151" s="34">
        <v>46136.799050925925</v>
      </c>
      <c r="I151" s="25" t="s">
        <v>268</v>
      </c>
      <c r="J151" s="25" t="s">
        <v>618</v>
      </c>
    </row>
    <row r="152" spans="1:10">
      <c r="A152" s="34">
        <v>46133.317291666666</v>
      </c>
      <c r="B152" s="25" t="s">
        <v>536</v>
      </c>
      <c r="C152" s="25" t="s">
        <v>537</v>
      </c>
      <c r="D152" s="212">
        <v>1</v>
      </c>
      <c r="E152" s="25" t="s">
        <v>279</v>
      </c>
      <c r="F152" s="25" t="s">
        <v>280</v>
      </c>
      <c r="G152" s="34">
        <v>46133.644479166665</v>
      </c>
      <c r="H152" s="34">
        <v>46142.124085648145</v>
      </c>
      <c r="I152" s="25" t="s">
        <v>268</v>
      </c>
      <c r="J152" s="25" t="s">
        <v>618</v>
      </c>
    </row>
    <row r="153" spans="1:10">
      <c r="A153" s="34">
        <v>46133.414074074077</v>
      </c>
      <c r="B153" s="25" t="s">
        <v>538</v>
      </c>
      <c r="C153" s="25" t="s">
        <v>539</v>
      </c>
      <c r="D153" s="212">
        <v>1</v>
      </c>
      <c r="E153" s="25" t="s">
        <v>279</v>
      </c>
      <c r="F153" s="25" t="s">
        <v>293</v>
      </c>
      <c r="G153" s="34">
        <v>46133.644479166665</v>
      </c>
      <c r="H153" s="34">
        <v>46134.779270833336</v>
      </c>
      <c r="I153" s="25" t="s">
        <v>268</v>
      </c>
      <c r="J153" s="25" t="s">
        <v>618</v>
      </c>
    </row>
    <row r="154" spans="1:10">
      <c r="A154" s="34">
        <v>46133.453240740739</v>
      </c>
      <c r="B154" s="25" t="s">
        <v>540</v>
      </c>
      <c r="C154" s="25" t="s">
        <v>541</v>
      </c>
      <c r="D154" s="212">
        <v>1</v>
      </c>
      <c r="E154" s="25" t="s">
        <v>279</v>
      </c>
      <c r="F154" s="25" t="s">
        <v>295</v>
      </c>
      <c r="G154" s="34">
        <v>46133.644479166665</v>
      </c>
      <c r="H154" s="34">
        <v>46142.100810185184</v>
      </c>
      <c r="I154" s="25" t="s">
        <v>268</v>
      </c>
      <c r="J154" s="25" t="s">
        <v>618</v>
      </c>
    </row>
    <row r="155" spans="1:10">
      <c r="A155" s="34">
        <v>46133.507662037038</v>
      </c>
      <c r="B155" s="25" t="s">
        <v>542</v>
      </c>
      <c r="C155" s="25" t="s">
        <v>543</v>
      </c>
      <c r="D155" s="212">
        <v>1</v>
      </c>
      <c r="E155" s="25" t="s">
        <v>279</v>
      </c>
      <c r="F155" s="25" t="s">
        <v>293</v>
      </c>
      <c r="G155" s="34">
        <v>46133.644490740742</v>
      </c>
      <c r="H155" s="34">
        <v>46134.800219907411</v>
      </c>
      <c r="I155" s="25" t="s">
        <v>268</v>
      </c>
      <c r="J155" s="25" t="s">
        <v>618</v>
      </c>
    </row>
    <row r="156" spans="1:10">
      <c r="A156" s="34">
        <v>46133.513067129628</v>
      </c>
      <c r="B156" s="25" t="s">
        <v>544</v>
      </c>
      <c r="C156" s="25" t="s">
        <v>541</v>
      </c>
      <c r="D156" s="212">
        <v>1</v>
      </c>
      <c r="E156" s="25" t="s">
        <v>279</v>
      </c>
      <c r="F156" s="25" t="s">
        <v>295</v>
      </c>
      <c r="G156" s="34">
        <v>46133.644490740742</v>
      </c>
      <c r="H156" s="34">
        <v>46142.100358796299</v>
      </c>
      <c r="I156" s="25" t="s">
        <v>268</v>
      </c>
      <c r="J156" s="25" t="s">
        <v>618</v>
      </c>
    </row>
    <row r="157" spans="1:10">
      <c r="A157" s="34">
        <v>46133.566030092596</v>
      </c>
      <c r="B157" s="25" t="s">
        <v>545</v>
      </c>
      <c r="C157" s="25" t="s">
        <v>546</v>
      </c>
      <c r="D157" s="212">
        <v>1</v>
      </c>
      <c r="E157" s="25" t="s">
        <v>279</v>
      </c>
      <c r="F157" s="25" t="s">
        <v>280</v>
      </c>
      <c r="G157" s="34">
        <v>46133.644490740742</v>
      </c>
      <c r="H157" s="34">
        <v>46142.100277777776</v>
      </c>
      <c r="I157" s="25" t="s">
        <v>268</v>
      </c>
      <c r="J157" s="25" t="s">
        <v>618</v>
      </c>
    </row>
    <row r="158" spans="1:10">
      <c r="A158" s="34">
        <v>46133.590567129628</v>
      </c>
      <c r="B158" s="25" t="s">
        <v>547</v>
      </c>
      <c r="C158" s="25" t="s">
        <v>548</v>
      </c>
      <c r="D158" s="212">
        <v>1</v>
      </c>
      <c r="E158" s="25" t="s">
        <v>279</v>
      </c>
      <c r="F158" s="25" t="s">
        <v>293</v>
      </c>
      <c r="G158" s="34">
        <v>46133.644502314812</v>
      </c>
      <c r="H158" s="34">
        <v>46136.239004629628</v>
      </c>
      <c r="I158" s="25" t="s">
        <v>268</v>
      </c>
      <c r="J158" s="25" t="s">
        <v>618</v>
      </c>
    </row>
    <row r="159" spans="1:10">
      <c r="A159" s="34">
        <v>46133.858194444445</v>
      </c>
      <c r="B159" s="25" t="s">
        <v>549</v>
      </c>
      <c r="C159" s="25" t="s">
        <v>426</v>
      </c>
      <c r="D159" s="212">
        <v>1</v>
      </c>
      <c r="E159" s="25" t="s">
        <v>279</v>
      </c>
      <c r="F159" s="25" t="s">
        <v>293</v>
      </c>
      <c r="G159" s="34">
        <v>46134.561574074076</v>
      </c>
      <c r="H159" s="34">
        <v>46135.58394675926</v>
      </c>
      <c r="I159" s="25" t="s">
        <v>268</v>
      </c>
      <c r="J159" s="25" t="s">
        <v>618</v>
      </c>
    </row>
    <row r="160" spans="1:10">
      <c r="A160" s="34">
        <v>46133.936388888891</v>
      </c>
      <c r="B160" s="25" t="s">
        <v>550</v>
      </c>
      <c r="C160" s="25" t="s">
        <v>551</v>
      </c>
      <c r="D160" s="212">
        <v>1</v>
      </c>
      <c r="E160" s="25" t="s">
        <v>279</v>
      </c>
      <c r="F160" s="25" t="s">
        <v>280</v>
      </c>
      <c r="G160" s="34">
        <v>46134.561828703707</v>
      </c>
      <c r="H160" s="34">
        <v>46143.075752314813</v>
      </c>
      <c r="I160" s="25" t="s">
        <v>268</v>
      </c>
      <c r="J160" s="25" t="s">
        <v>618</v>
      </c>
    </row>
    <row r="161" spans="1:10">
      <c r="A161" s="34">
        <v>46134.061793981484</v>
      </c>
      <c r="B161" s="25" t="s">
        <v>552</v>
      </c>
      <c r="C161" s="25" t="s">
        <v>553</v>
      </c>
      <c r="D161" s="212">
        <v>1</v>
      </c>
      <c r="E161" s="25" t="s">
        <v>279</v>
      </c>
      <c r="F161" s="25" t="s">
        <v>295</v>
      </c>
      <c r="G161" s="34">
        <v>46134.561574074076</v>
      </c>
      <c r="H161" s="34">
        <v>46135.445937500001</v>
      </c>
      <c r="I161" s="25" t="s">
        <v>268</v>
      </c>
      <c r="J161" s="25" t="s">
        <v>618</v>
      </c>
    </row>
    <row r="162" spans="1:10">
      <c r="A162" s="34">
        <v>46134.08797453704</v>
      </c>
      <c r="B162" s="25" t="s">
        <v>554</v>
      </c>
      <c r="C162" s="25" t="s">
        <v>555</v>
      </c>
      <c r="D162" s="212">
        <v>1</v>
      </c>
      <c r="E162" s="25" t="s">
        <v>279</v>
      </c>
      <c r="F162" s="25" t="s">
        <v>280</v>
      </c>
      <c r="G162" s="34">
        <v>46134.561828703707</v>
      </c>
      <c r="H162" s="34">
        <v>46135.976909722223</v>
      </c>
      <c r="I162" s="25" t="s">
        <v>268</v>
      </c>
      <c r="J162" s="25" t="s">
        <v>618</v>
      </c>
    </row>
    <row r="163" spans="1:10">
      <c r="A163" s="34">
        <v>46134.159756944442</v>
      </c>
      <c r="B163" s="25" t="s">
        <v>556</v>
      </c>
      <c r="C163" s="25" t="s">
        <v>557</v>
      </c>
      <c r="D163" s="212">
        <v>1</v>
      </c>
      <c r="E163" s="25" t="s">
        <v>279</v>
      </c>
      <c r="F163" s="25" t="s">
        <v>280</v>
      </c>
      <c r="G163" s="34">
        <v>46134.561574074076</v>
      </c>
      <c r="H163" s="34">
        <v>46135.643877314818</v>
      </c>
      <c r="I163" s="25" t="s">
        <v>268</v>
      </c>
      <c r="J163" s="25" t="s">
        <v>618</v>
      </c>
    </row>
    <row r="164" spans="1:10">
      <c r="A164" s="34">
        <v>46134.400451388887</v>
      </c>
      <c r="B164" s="25" t="s">
        <v>558</v>
      </c>
      <c r="C164" s="25" t="s">
        <v>559</v>
      </c>
      <c r="D164" s="212">
        <v>1</v>
      </c>
      <c r="E164" s="25" t="s">
        <v>279</v>
      </c>
      <c r="F164" s="25" t="s">
        <v>293</v>
      </c>
      <c r="G164" s="34">
        <v>46134.625324074077</v>
      </c>
      <c r="H164" s="34">
        <v>46135.6875</v>
      </c>
      <c r="I164" s="25" t="s">
        <v>268</v>
      </c>
      <c r="J164" s="25" t="s">
        <v>618</v>
      </c>
    </row>
    <row r="165" spans="1:10">
      <c r="A165" s="34">
        <v>46134.482627314814</v>
      </c>
      <c r="B165" s="25" t="s">
        <v>560</v>
      </c>
      <c r="C165" s="25" t="s">
        <v>561</v>
      </c>
      <c r="D165" s="212">
        <v>1</v>
      </c>
      <c r="E165" s="25" t="s">
        <v>279</v>
      </c>
      <c r="F165" s="25" t="s">
        <v>280</v>
      </c>
      <c r="G165" s="34">
        <v>46134.625706018516</v>
      </c>
      <c r="H165" s="34">
        <v>46143.089861111112</v>
      </c>
      <c r="I165" s="25" t="s">
        <v>268</v>
      </c>
      <c r="J165" s="25" t="s">
        <v>618</v>
      </c>
    </row>
    <row r="166" spans="1:10">
      <c r="A166" s="34">
        <v>46134.844490740739</v>
      </c>
      <c r="B166" s="25" t="s">
        <v>562</v>
      </c>
      <c r="C166" s="25" t="s">
        <v>563</v>
      </c>
      <c r="D166" s="212">
        <v>1</v>
      </c>
      <c r="E166" s="25" t="s">
        <v>279</v>
      </c>
      <c r="F166" s="25" t="s">
        <v>293</v>
      </c>
      <c r="G166" s="34">
        <v>46135.633715277778</v>
      </c>
      <c r="H166" s="34">
        <v>46136.640717592592</v>
      </c>
      <c r="I166" s="25" t="s">
        <v>268</v>
      </c>
      <c r="J166" s="25" t="s">
        <v>618</v>
      </c>
    </row>
    <row r="167" spans="1:10">
      <c r="A167" s="34">
        <v>46135.012696759259</v>
      </c>
      <c r="B167" s="25" t="s">
        <v>564</v>
      </c>
      <c r="C167" s="25" t="s">
        <v>565</v>
      </c>
      <c r="D167" s="212">
        <v>1</v>
      </c>
      <c r="E167" s="25" t="s">
        <v>279</v>
      </c>
      <c r="F167" s="25" t="s">
        <v>280</v>
      </c>
      <c r="G167" s="34">
        <v>46135.634039351855</v>
      </c>
      <c r="H167" s="34">
        <v>46137.090381944443</v>
      </c>
      <c r="I167" s="25" t="s">
        <v>268</v>
      </c>
      <c r="J167" s="25" t="s">
        <v>618</v>
      </c>
    </row>
    <row r="168" spans="1:10">
      <c r="A168" s="34">
        <v>46135.517604166664</v>
      </c>
      <c r="B168" s="25" t="s">
        <v>566</v>
      </c>
      <c r="C168" s="25" t="s">
        <v>567</v>
      </c>
      <c r="D168" s="212">
        <v>1</v>
      </c>
      <c r="E168" s="25" t="s">
        <v>279</v>
      </c>
      <c r="F168" s="25" t="s">
        <v>280</v>
      </c>
      <c r="G168" s="34">
        <v>46135.633715277778</v>
      </c>
      <c r="H168" s="34">
        <v>46136.432164351849</v>
      </c>
      <c r="I168" s="25" t="s">
        <v>268</v>
      </c>
      <c r="J168" s="25" t="s">
        <v>618</v>
      </c>
    </row>
    <row r="169" spans="1:10">
      <c r="A169" s="34">
        <v>46135.586712962962</v>
      </c>
      <c r="B169" s="25" t="s">
        <v>568</v>
      </c>
      <c r="C169" s="25" t="s">
        <v>569</v>
      </c>
      <c r="D169" s="212">
        <v>1</v>
      </c>
      <c r="E169" s="25" t="s">
        <v>279</v>
      </c>
      <c r="F169" s="25" t="s">
        <v>293</v>
      </c>
      <c r="G169" s="34">
        <v>46135.634050925924</v>
      </c>
      <c r="H169" s="34">
        <v>46139.555752314816</v>
      </c>
      <c r="I169" s="25" t="s">
        <v>268</v>
      </c>
      <c r="J169" s="25" t="s">
        <v>618</v>
      </c>
    </row>
    <row r="170" spans="1:10">
      <c r="A170" s="34">
        <v>46135.589016203703</v>
      </c>
      <c r="B170" s="25" t="s">
        <v>570</v>
      </c>
      <c r="C170" s="25" t="s">
        <v>571</v>
      </c>
      <c r="D170" s="212">
        <v>1</v>
      </c>
      <c r="E170" s="25" t="s">
        <v>279</v>
      </c>
      <c r="F170" s="25" t="s">
        <v>293</v>
      </c>
      <c r="G170" s="34">
        <v>46135.633715277778</v>
      </c>
      <c r="H170" s="34">
        <v>46136.431863425925</v>
      </c>
      <c r="I170" s="25" t="s">
        <v>268</v>
      </c>
      <c r="J170" s="25" t="s">
        <v>618</v>
      </c>
    </row>
    <row r="171" spans="1:10">
      <c r="A171" s="34">
        <v>46135.936342592591</v>
      </c>
      <c r="B171" s="25" t="s">
        <v>572</v>
      </c>
      <c r="C171" s="25" t="s">
        <v>573</v>
      </c>
      <c r="D171" s="212">
        <v>1</v>
      </c>
      <c r="E171" s="25" t="s">
        <v>279</v>
      </c>
      <c r="F171" s="25" t="s">
        <v>293</v>
      </c>
      <c r="G171" s="34">
        <v>46136.622233796297</v>
      </c>
      <c r="H171" s="34">
        <v>46143.548738425925</v>
      </c>
      <c r="I171" s="25" t="s">
        <v>268</v>
      </c>
      <c r="J171" s="25" t="s">
        <v>618</v>
      </c>
    </row>
    <row r="172" spans="1:10">
      <c r="A172" s="34">
        <v>46136.315694444442</v>
      </c>
      <c r="B172" s="25" t="s">
        <v>574</v>
      </c>
      <c r="C172" s="25" t="s">
        <v>575</v>
      </c>
      <c r="D172" s="212">
        <v>1</v>
      </c>
      <c r="E172" s="25" t="s">
        <v>46</v>
      </c>
      <c r="F172" s="25"/>
      <c r="G172" s="34">
        <v>46136.621840277781</v>
      </c>
      <c r="H172" s="34">
        <v>46137.514236111114</v>
      </c>
      <c r="I172" s="25" t="s">
        <v>268</v>
      </c>
      <c r="J172" s="25" t="s">
        <v>618</v>
      </c>
    </row>
    <row r="173" spans="1:10">
      <c r="A173" s="34">
        <v>46136.315694444442</v>
      </c>
      <c r="B173" s="25" t="s">
        <v>574</v>
      </c>
      <c r="C173" s="25" t="s">
        <v>575</v>
      </c>
      <c r="D173" s="212">
        <v>1</v>
      </c>
      <c r="E173" s="25" t="s">
        <v>234</v>
      </c>
      <c r="F173" s="25"/>
      <c r="G173" s="34">
        <v>46136.621840277781</v>
      </c>
      <c r="H173" s="34">
        <v>46137.514236111114</v>
      </c>
      <c r="I173" s="25" t="s">
        <v>268</v>
      </c>
      <c r="J173" s="25" t="s">
        <v>618</v>
      </c>
    </row>
    <row r="174" spans="1:10">
      <c r="A174" s="34">
        <v>46136.412627314814</v>
      </c>
      <c r="B174" s="25" t="s">
        <v>576</v>
      </c>
      <c r="C174" s="25" t="s">
        <v>577</v>
      </c>
      <c r="D174" s="212">
        <v>1</v>
      </c>
      <c r="E174" s="25" t="s">
        <v>279</v>
      </c>
      <c r="F174" s="25" t="s">
        <v>293</v>
      </c>
      <c r="G174" s="34">
        <v>46136.622245370374</v>
      </c>
      <c r="H174" s="34">
        <v>46145.082291666666</v>
      </c>
      <c r="I174" s="25" t="s">
        <v>268</v>
      </c>
      <c r="J174" s="25" t="s">
        <v>618</v>
      </c>
    </row>
    <row r="175" spans="1:10">
      <c r="A175" s="34">
        <v>46136.453090277777</v>
      </c>
      <c r="B175" s="25" t="s">
        <v>578</v>
      </c>
      <c r="C175" s="25" t="s">
        <v>579</v>
      </c>
      <c r="D175" s="212">
        <v>1</v>
      </c>
      <c r="E175" s="25" t="s">
        <v>279</v>
      </c>
      <c r="F175" s="25" t="s">
        <v>293</v>
      </c>
      <c r="G175" s="34">
        <v>46136.622245370374</v>
      </c>
      <c r="H175" s="34">
        <v>46138.36</v>
      </c>
      <c r="I175" s="25" t="s">
        <v>268</v>
      </c>
      <c r="J175" s="25" t="s">
        <v>618</v>
      </c>
    </row>
    <row r="176" spans="1:10">
      <c r="A176" s="34">
        <v>46137.286157407405</v>
      </c>
      <c r="B176" s="25" t="s">
        <v>580</v>
      </c>
      <c r="C176" s="25" t="s">
        <v>581</v>
      </c>
      <c r="D176" s="212">
        <v>1</v>
      </c>
      <c r="E176" s="25" t="s">
        <v>234</v>
      </c>
      <c r="F176" s="25"/>
      <c r="G176" s="34">
        <v>46139.656655092593</v>
      </c>
      <c r="H176" s="34">
        <v>46140.830821759257</v>
      </c>
      <c r="I176" s="25" t="s">
        <v>268</v>
      </c>
      <c r="J176" s="25" t="s">
        <v>618</v>
      </c>
    </row>
    <row r="177" spans="1:10">
      <c r="A177" s="34">
        <v>46137.683796296296</v>
      </c>
      <c r="B177" s="25" t="s">
        <v>582</v>
      </c>
      <c r="C177" s="25" t="s">
        <v>583</v>
      </c>
      <c r="D177" s="212">
        <v>1</v>
      </c>
      <c r="E177" s="25" t="s">
        <v>234</v>
      </c>
      <c r="F177" s="25"/>
      <c r="G177" s="34">
        <v>46139.656655092593</v>
      </c>
      <c r="H177" s="34">
        <v>46140.598310185182</v>
      </c>
      <c r="I177" s="25" t="s">
        <v>268</v>
      </c>
      <c r="J177" s="25" t="s">
        <v>618</v>
      </c>
    </row>
    <row r="178" spans="1:10">
      <c r="A178" s="34">
        <v>46137.706504629627</v>
      </c>
      <c r="B178" s="25" t="s">
        <v>584</v>
      </c>
      <c r="C178" s="25" t="s">
        <v>585</v>
      </c>
      <c r="D178" s="212">
        <v>1</v>
      </c>
      <c r="E178" s="25" t="s">
        <v>46</v>
      </c>
      <c r="F178" s="25"/>
      <c r="G178" s="34">
        <v>46139.656655092593</v>
      </c>
      <c r="H178" s="34">
        <v>46140.577997685185</v>
      </c>
      <c r="I178" s="25" t="s">
        <v>268</v>
      </c>
      <c r="J178" s="25" t="s">
        <v>618</v>
      </c>
    </row>
    <row r="179" spans="1:10">
      <c r="A179" s="34">
        <v>46138.141979166663</v>
      </c>
      <c r="B179" s="25" t="s">
        <v>586</v>
      </c>
      <c r="C179" s="25" t="s">
        <v>587</v>
      </c>
      <c r="D179" s="212">
        <v>1</v>
      </c>
      <c r="E179" s="25" t="s">
        <v>279</v>
      </c>
      <c r="F179" s="25" t="s">
        <v>293</v>
      </c>
      <c r="G179" s="34">
        <v>46139.656956018516</v>
      </c>
      <c r="H179" s="34">
        <v>46148.197314814817</v>
      </c>
      <c r="I179" s="25" t="s">
        <v>268</v>
      </c>
      <c r="J179" s="25" t="s">
        <v>618</v>
      </c>
    </row>
    <row r="180" spans="1:10">
      <c r="A180" s="34">
        <v>46138.422812500001</v>
      </c>
      <c r="B180" s="25" t="s">
        <v>588</v>
      </c>
      <c r="C180" s="25" t="s">
        <v>589</v>
      </c>
      <c r="D180" s="212">
        <v>1</v>
      </c>
      <c r="E180" s="25" t="s">
        <v>279</v>
      </c>
      <c r="F180" s="25" t="s">
        <v>293</v>
      </c>
      <c r="G180" s="34">
        <v>46139.656956018516</v>
      </c>
      <c r="H180" s="34">
        <v>46140.843449074076</v>
      </c>
      <c r="I180" s="25" t="s">
        <v>268</v>
      </c>
      <c r="J180" s="25" t="s">
        <v>618</v>
      </c>
    </row>
    <row r="181" spans="1:10">
      <c r="A181" s="34">
        <v>46138.460798611108</v>
      </c>
      <c r="B181" s="25" t="s">
        <v>590</v>
      </c>
      <c r="C181" s="25" t="s">
        <v>591</v>
      </c>
      <c r="D181" s="212">
        <v>1</v>
      </c>
      <c r="E181" s="25" t="s">
        <v>279</v>
      </c>
      <c r="F181" s="25" t="s">
        <v>280</v>
      </c>
      <c r="G181" s="34">
        <v>46139.656655092593</v>
      </c>
      <c r="H181" s="34">
        <v>46140.783101851855</v>
      </c>
      <c r="I181" s="25" t="s">
        <v>268</v>
      </c>
      <c r="J181" s="25" t="s">
        <v>618</v>
      </c>
    </row>
    <row r="182" spans="1:10">
      <c r="A182" s="34">
        <v>46138.48704861111</v>
      </c>
      <c r="B182" s="25" t="s">
        <v>592</v>
      </c>
      <c r="C182" s="25" t="s">
        <v>593</v>
      </c>
      <c r="D182" s="212">
        <v>1</v>
      </c>
      <c r="E182" s="25" t="s">
        <v>279</v>
      </c>
      <c r="F182" s="25" t="s">
        <v>280</v>
      </c>
      <c r="G182" s="34">
        <v>46139.656655092593</v>
      </c>
      <c r="H182" s="34">
        <v>46140.726400462961</v>
      </c>
      <c r="I182" s="25" t="s">
        <v>268</v>
      </c>
      <c r="J182" s="25" t="s">
        <v>618</v>
      </c>
    </row>
    <row r="183" spans="1:10">
      <c r="A183" s="34">
        <v>46138.936539351853</v>
      </c>
      <c r="B183" s="25" t="s">
        <v>594</v>
      </c>
      <c r="C183" s="25" t="s">
        <v>270</v>
      </c>
      <c r="D183" s="212">
        <v>1</v>
      </c>
      <c r="E183" s="25" t="s">
        <v>279</v>
      </c>
      <c r="F183" s="25" t="s">
        <v>293</v>
      </c>
      <c r="G183" s="34">
        <v>46139.656967592593</v>
      </c>
      <c r="H183" s="34">
        <v>46148.196018518516</v>
      </c>
      <c r="I183" s="25" t="s">
        <v>268</v>
      </c>
      <c r="J183" s="25" t="s">
        <v>618</v>
      </c>
    </row>
    <row r="184" spans="1:10">
      <c r="A184" s="34">
        <v>46139.117048611108</v>
      </c>
      <c r="B184" s="25" t="s">
        <v>595</v>
      </c>
      <c r="C184" s="25" t="s">
        <v>596</v>
      </c>
      <c r="D184" s="212">
        <v>1</v>
      </c>
      <c r="E184" s="25" t="s">
        <v>279</v>
      </c>
      <c r="F184" s="25" t="s">
        <v>293</v>
      </c>
      <c r="G184" s="34">
        <v>46139.656967592593</v>
      </c>
      <c r="H184" s="34">
        <v>46142.019618055558</v>
      </c>
      <c r="I184" s="25" t="s">
        <v>268</v>
      </c>
      <c r="J184" s="25" t="s">
        <v>618</v>
      </c>
    </row>
    <row r="185" spans="1:10">
      <c r="A185" s="34">
        <v>46139.292164351849</v>
      </c>
      <c r="B185" s="25" t="s">
        <v>597</v>
      </c>
      <c r="C185" s="25" t="s">
        <v>598</v>
      </c>
      <c r="D185" s="212">
        <v>1</v>
      </c>
      <c r="E185" s="25" t="s">
        <v>279</v>
      </c>
      <c r="F185" s="25" t="s">
        <v>280</v>
      </c>
      <c r="G185" s="34">
        <v>46139.656655092593</v>
      </c>
      <c r="H185" s="34">
        <v>46140.529328703706</v>
      </c>
      <c r="I185" s="25" t="s">
        <v>268</v>
      </c>
      <c r="J185" s="25" t="s">
        <v>618</v>
      </c>
    </row>
    <row r="186" spans="1:10">
      <c r="A186" s="34">
        <v>46140.617789351854</v>
      </c>
      <c r="B186" s="25" t="s">
        <v>599</v>
      </c>
      <c r="C186" s="25" t="s">
        <v>600</v>
      </c>
      <c r="D186" s="212">
        <v>1</v>
      </c>
      <c r="E186" s="25" t="s">
        <v>279</v>
      </c>
      <c r="F186" s="25" t="s">
        <v>280</v>
      </c>
      <c r="G186" s="34">
        <v>46141.596944444442</v>
      </c>
      <c r="H186" s="34">
        <v>46142.528993055559</v>
      </c>
      <c r="I186" s="25" t="s">
        <v>268</v>
      </c>
      <c r="J186" s="25" t="s">
        <v>618</v>
      </c>
    </row>
    <row r="187" spans="1:10">
      <c r="A187" s="34">
        <v>46141.408483796295</v>
      </c>
      <c r="B187" s="25" t="s">
        <v>601</v>
      </c>
      <c r="C187" s="25" t="s">
        <v>602</v>
      </c>
      <c r="D187" s="212">
        <v>1</v>
      </c>
      <c r="E187" s="25" t="s">
        <v>279</v>
      </c>
      <c r="F187" s="25" t="s">
        <v>280</v>
      </c>
      <c r="G187" s="34">
        <v>46141.688634259262</v>
      </c>
      <c r="H187" s="34">
        <v>46142.692604166667</v>
      </c>
      <c r="I187" s="25" t="s">
        <v>268</v>
      </c>
      <c r="J187" s="25" t="s">
        <v>618</v>
      </c>
    </row>
    <row r="188" spans="1:10">
      <c r="A188" s="34">
        <v>46141.440694444442</v>
      </c>
      <c r="B188" s="25" t="s">
        <v>603</v>
      </c>
      <c r="C188" s="25" t="s">
        <v>604</v>
      </c>
      <c r="D188" s="212">
        <v>1</v>
      </c>
      <c r="E188" s="25" t="s">
        <v>279</v>
      </c>
      <c r="F188" s="25" t="s">
        <v>280</v>
      </c>
      <c r="G188" s="34">
        <v>46141.688900462963</v>
      </c>
      <c r="H188" s="34">
        <v>46150.135115740741</v>
      </c>
      <c r="I188" s="25" t="s">
        <v>268</v>
      </c>
      <c r="J188" s="25" t="s">
        <v>618</v>
      </c>
    </row>
    <row r="189" spans="1:10">
      <c r="A189" s="34">
        <v>46141.636724537035</v>
      </c>
      <c r="B189" s="25" t="s">
        <v>605</v>
      </c>
      <c r="C189" s="25" t="s">
        <v>606</v>
      </c>
      <c r="D189" s="212">
        <v>1</v>
      </c>
      <c r="E189" s="25" t="s">
        <v>279</v>
      </c>
      <c r="F189" s="25" t="s">
        <v>293</v>
      </c>
      <c r="G189" s="34">
        <v>46142.619467592594</v>
      </c>
      <c r="H189" s="34">
        <v>46149.733472222222</v>
      </c>
      <c r="I189" s="25" t="s">
        <v>268</v>
      </c>
      <c r="J189" s="25" t="s">
        <v>618</v>
      </c>
    </row>
    <row r="191" spans="1:10">
      <c r="D191" s="177"/>
    </row>
    <row r="192" spans="1:10">
      <c r="D192" s="184"/>
    </row>
    <row r="193" spans="4:4">
      <c r="D193" s="184"/>
    </row>
  </sheetData>
  <autoFilter ref="A12:J189" xr:uid="{6F8EEBA2-6E99-7843-A69C-CEB3F18A03E3}"/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A811-B920-0E46-BC36-6215FD4AD78A}">
  <dimension ref="A1:AL12"/>
  <sheetViews>
    <sheetView topLeftCell="G1" workbookViewId="0">
      <selection activeCell="S22" sqref="S22"/>
    </sheetView>
  </sheetViews>
  <sheetFormatPr baseColWidth="10" defaultRowHeight="17"/>
  <cols>
    <col min="3" max="3" width="16" bestFit="1" customWidth="1"/>
    <col min="9" max="9" width="16" bestFit="1" customWidth="1"/>
    <col min="13" max="13" width="16" bestFit="1" customWidth="1"/>
    <col min="15" max="15" width="49.6640625" bestFit="1" customWidth="1"/>
    <col min="18" max="18" width="14.6640625" bestFit="1" customWidth="1"/>
    <col min="19" max="23" width="11" bestFit="1" customWidth="1"/>
    <col min="30" max="32" width="11" bestFit="1" customWidth="1"/>
    <col min="33" max="33" width="16" bestFit="1" customWidth="1"/>
    <col min="36" max="38" width="11" bestFit="1" customWidth="1"/>
  </cols>
  <sheetData>
    <row r="1" spans="1:38" s="232" customFormat="1" ht="14">
      <c r="A1" s="231" t="s">
        <v>93</v>
      </c>
      <c r="B1" s="231" t="s">
        <v>9</v>
      </c>
      <c r="C1" s="231" t="s">
        <v>150</v>
      </c>
      <c r="D1" s="231" t="s">
        <v>627</v>
      </c>
      <c r="E1" s="231" t="s">
        <v>177</v>
      </c>
      <c r="F1" s="231" t="s">
        <v>95</v>
      </c>
      <c r="G1" s="231" t="s">
        <v>628</v>
      </c>
      <c r="H1" s="231" t="s">
        <v>186</v>
      </c>
      <c r="I1" s="231" t="s">
        <v>188</v>
      </c>
      <c r="J1" s="231" t="s">
        <v>629</v>
      </c>
      <c r="K1" s="231" t="s">
        <v>630</v>
      </c>
      <c r="L1" s="231" t="s">
        <v>631</v>
      </c>
      <c r="M1" s="231" t="s">
        <v>165</v>
      </c>
      <c r="N1" s="231" t="s">
        <v>178</v>
      </c>
      <c r="O1" s="231" t="s">
        <v>29</v>
      </c>
      <c r="P1" s="231" t="s">
        <v>632</v>
      </c>
      <c r="Q1" s="231" t="s">
        <v>633</v>
      </c>
      <c r="R1" s="231" t="s">
        <v>6</v>
      </c>
      <c r="S1" s="231" t="s">
        <v>634</v>
      </c>
      <c r="T1" s="231" t="s">
        <v>635</v>
      </c>
      <c r="U1" s="231" t="s">
        <v>636</v>
      </c>
      <c r="V1" s="231" t="s">
        <v>637</v>
      </c>
      <c r="W1" s="231" t="s">
        <v>638</v>
      </c>
      <c r="X1" s="231" t="s">
        <v>639</v>
      </c>
      <c r="Y1" s="231" t="s">
        <v>640</v>
      </c>
      <c r="Z1" s="231" t="s">
        <v>641</v>
      </c>
      <c r="AA1" s="231" t="s">
        <v>642</v>
      </c>
      <c r="AB1" s="231" t="s">
        <v>643</v>
      </c>
      <c r="AC1" s="231" t="s">
        <v>644</v>
      </c>
      <c r="AD1" s="231" t="s">
        <v>645</v>
      </c>
      <c r="AE1" s="231" t="s">
        <v>646</v>
      </c>
      <c r="AF1" s="231" t="s">
        <v>647</v>
      </c>
      <c r="AG1" s="231" t="s">
        <v>648</v>
      </c>
      <c r="AH1" s="231" t="s">
        <v>649</v>
      </c>
      <c r="AI1" s="231" t="s">
        <v>650</v>
      </c>
      <c r="AJ1" s="231" t="s">
        <v>651</v>
      </c>
      <c r="AK1" s="231" t="s">
        <v>652</v>
      </c>
      <c r="AL1" s="231" t="s">
        <v>653</v>
      </c>
    </row>
    <row r="2" spans="1:38" s="232" customFormat="1" ht="14">
      <c r="A2" s="232" t="s">
        <v>654</v>
      </c>
      <c r="B2" s="232" t="s">
        <v>655</v>
      </c>
      <c r="C2" s="233">
        <v>46141.26630787037</v>
      </c>
      <c r="D2" s="232" t="s">
        <v>656</v>
      </c>
      <c r="E2" s="232" t="s">
        <v>657</v>
      </c>
      <c r="F2" s="232" t="s">
        <v>375</v>
      </c>
      <c r="G2" s="232" t="s">
        <v>658</v>
      </c>
      <c r="H2" s="232" t="s">
        <v>375</v>
      </c>
      <c r="I2" s="233">
        <v>46139.656597222223</v>
      </c>
      <c r="J2" s="232" t="s">
        <v>659</v>
      </c>
      <c r="K2" s="232" t="s">
        <v>660</v>
      </c>
      <c r="L2" s="232" t="s">
        <v>661</v>
      </c>
      <c r="M2" s="233">
        <v>46140.661041666666</v>
      </c>
      <c r="N2" s="232" t="s">
        <v>662</v>
      </c>
      <c r="O2" s="232" t="s">
        <v>234</v>
      </c>
      <c r="P2" s="232" t="s">
        <v>40</v>
      </c>
      <c r="Q2" s="233"/>
      <c r="R2" s="232">
        <v>2</v>
      </c>
      <c r="S2" s="234">
        <v>22000</v>
      </c>
      <c r="T2" s="234">
        <v>0</v>
      </c>
      <c r="U2" s="234">
        <v>4400</v>
      </c>
      <c r="V2" s="234">
        <v>4400</v>
      </c>
      <c r="W2" s="234">
        <v>39600</v>
      </c>
      <c r="X2" s="234"/>
      <c r="Y2" s="234"/>
      <c r="Z2" s="234"/>
      <c r="AA2" s="232" t="s">
        <v>663</v>
      </c>
      <c r="AB2" s="232" t="s">
        <v>664</v>
      </c>
      <c r="AC2" s="232" t="s">
        <v>664</v>
      </c>
      <c r="AD2" s="234">
        <v>0</v>
      </c>
      <c r="AE2" s="234">
        <v>0</v>
      </c>
      <c r="AF2" s="234">
        <v>0</v>
      </c>
      <c r="AG2" s="233">
        <v>46137.306724537033</v>
      </c>
      <c r="AH2" s="232" t="s">
        <v>665</v>
      </c>
      <c r="AI2" s="232" t="s">
        <v>666</v>
      </c>
      <c r="AJ2" s="232">
        <v>-1080</v>
      </c>
      <c r="AK2" s="232">
        <v>-396</v>
      </c>
      <c r="AL2" s="234">
        <v>38124</v>
      </c>
    </row>
    <row r="3" spans="1:38" s="232" customFormat="1" ht="14">
      <c r="A3" s="232" t="s">
        <v>667</v>
      </c>
      <c r="B3" s="232" t="s">
        <v>668</v>
      </c>
      <c r="C3" s="233">
        <v>46131.369155092594</v>
      </c>
      <c r="D3" s="232" t="s">
        <v>656</v>
      </c>
      <c r="E3" s="232" t="s">
        <v>657</v>
      </c>
      <c r="F3" s="232" t="s">
        <v>669</v>
      </c>
      <c r="G3" s="232" t="s">
        <v>670</v>
      </c>
      <c r="H3" s="232" t="s">
        <v>669</v>
      </c>
      <c r="I3" s="233">
        <v>46127.794687500005</v>
      </c>
      <c r="J3" s="232" t="s">
        <v>659</v>
      </c>
      <c r="K3" s="232" t="s">
        <v>660</v>
      </c>
      <c r="L3" s="232" t="s">
        <v>671</v>
      </c>
      <c r="M3" s="233">
        <v>46128.672951388886</v>
      </c>
      <c r="N3" s="232" t="s">
        <v>662</v>
      </c>
      <c r="O3" s="232" t="s">
        <v>673</v>
      </c>
      <c r="P3" s="232" t="s">
        <v>40</v>
      </c>
      <c r="Q3" s="233"/>
      <c r="R3" s="232">
        <v>1</v>
      </c>
      <c r="S3" s="234">
        <v>22000</v>
      </c>
      <c r="T3" s="234">
        <v>0</v>
      </c>
      <c r="U3" s="234">
        <v>100</v>
      </c>
      <c r="V3" s="234">
        <v>100</v>
      </c>
      <c r="W3" s="234">
        <v>21900</v>
      </c>
      <c r="X3" s="234"/>
      <c r="Y3" s="234"/>
      <c r="Z3" s="234"/>
      <c r="AA3" s="232" t="s">
        <v>672</v>
      </c>
      <c r="AB3" s="232" t="s">
        <v>664</v>
      </c>
      <c r="AC3" s="232" t="s">
        <v>664</v>
      </c>
      <c r="AD3" s="234">
        <v>0</v>
      </c>
      <c r="AE3" s="234">
        <v>0</v>
      </c>
      <c r="AF3" s="234">
        <v>0</v>
      </c>
      <c r="AG3" s="233">
        <v>46127.406446759254</v>
      </c>
      <c r="AH3" s="232" t="s">
        <v>665</v>
      </c>
      <c r="AI3" s="232" t="s">
        <v>666</v>
      </c>
      <c r="AJ3" s="232">
        <v>-597</v>
      </c>
      <c r="AK3" s="232">
        <v>-219</v>
      </c>
      <c r="AL3" s="234">
        <v>21084</v>
      </c>
    </row>
    <row r="7" spans="1:38">
      <c r="O7" s="25" t="s">
        <v>683</v>
      </c>
    </row>
    <row r="8" spans="1:38" ht="18" thickBot="1"/>
    <row r="9" spans="1:38">
      <c r="O9" s="236" t="s">
        <v>680</v>
      </c>
      <c r="P9" s="237" t="s">
        <v>675</v>
      </c>
      <c r="Q9" s="237" t="s">
        <v>676</v>
      </c>
      <c r="R9" s="237" t="s">
        <v>677</v>
      </c>
      <c r="S9" s="238" t="s">
        <v>679</v>
      </c>
    </row>
    <row r="10" spans="1:38">
      <c r="O10" s="239" t="s">
        <v>674</v>
      </c>
      <c r="P10">
        <v>3</v>
      </c>
      <c r="Q10" s="240">
        <f>22000*P10</f>
        <v>66000</v>
      </c>
      <c r="R10" s="33" t="s">
        <v>678</v>
      </c>
      <c r="S10" s="241">
        <f>22000*80%*P10</f>
        <v>52800</v>
      </c>
    </row>
    <row r="11" spans="1:38">
      <c r="O11" s="239" t="s">
        <v>681</v>
      </c>
      <c r="P11">
        <v>0</v>
      </c>
      <c r="Q11" s="240">
        <f>22000*P11</f>
        <v>0</v>
      </c>
      <c r="S11" s="241">
        <f>22000*R11</f>
        <v>0</v>
      </c>
    </row>
    <row r="12" spans="1:38" ht="18" thickBot="1">
      <c r="O12" s="242" t="s">
        <v>682</v>
      </c>
      <c r="P12" s="243">
        <f>SUM(P10:P11)</f>
        <v>3</v>
      </c>
      <c r="Q12" s="244">
        <f>SUM(Q10:Q11)</f>
        <v>66000</v>
      </c>
      <c r="R12" s="245"/>
      <c r="S12" s="246">
        <f>SUM(S10:S11)</f>
        <v>52800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F10C-36FC-E547-94A7-1C88166A44D9}">
  <dimension ref="A1"/>
  <sheetViews>
    <sheetView workbookViewId="0">
      <selection activeCell="M16" sqref="M16"/>
    </sheetView>
  </sheetViews>
  <sheetFormatPr baseColWidth="10" defaultRowHeight="17"/>
  <sheetData/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7B02-B60E-0B40-9874-17AC5E47B694}">
  <dimension ref="A1:N8"/>
  <sheetViews>
    <sheetView workbookViewId="0">
      <selection activeCell="E8" sqref="E8"/>
    </sheetView>
  </sheetViews>
  <sheetFormatPr baseColWidth="10" defaultRowHeight="15"/>
  <cols>
    <col min="1" max="1" width="19" style="33" bestFit="1" customWidth="1"/>
    <col min="2" max="2" width="21.1640625" style="33" bestFit="1" customWidth="1"/>
    <col min="3" max="3" width="17.6640625" style="33" bestFit="1" customWidth="1"/>
    <col min="4" max="4" width="11" style="47" bestFit="1" customWidth="1"/>
    <col min="5" max="5" width="66.33203125" style="33" bestFit="1" customWidth="1"/>
    <col min="6" max="6" width="42.5" style="33" bestFit="1" customWidth="1"/>
    <col min="7" max="8" width="13.6640625" style="33" bestFit="1" customWidth="1"/>
    <col min="9" max="9" width="13.5" style="33" customWidth="1"/>
    <col min="10" max="10" width="15.33203125" style="33" bestFit="1" customWidth="1"/>
    <col min="11" max="11" width="10.83203125" style="33"/>
    <col min="12" max="13" width="12.6640625" style="33" bestFit="1" customWidth="1"/>
    <col min="14" max="14" width="18.6640625" style="171" bestFit="1" customWidth="1"/>
    <col min="15" max="16384" width="10.83203125" style="33"/>
  </cols>
  <sheetData>
    <row r="1" spans="1:14" s="174" customFormat="1">
      <c r="A1" s="174" t="s">
        <v>43</v>
      </c>
      <c r="B1" s="174" t="s">
        <v>9</v>
      </c>
      <c r="C1" s="174" t="s">
        <v>44</v>
      </c>
      <c r="D1" s="175" t="s">
        <v>6</v>
      </c>
      <c r="E1" s="174" t="s">
        <v>45</v>
      </c>
      <c r="F1" s="174" t="s">
        <v>47</v>
      </c>
      <c r="G1" s="174" t="s">
        <v>164</v>
      </c>
      <c r="H1" s="174" t="s">
        <v>165</v>
      </c>
      <c r="I1" s="174" t="s">
        <v>166</v>
      </c>
      <c r="N1" s="176"/>
    </row>
    <row r="2" spans="1:14" ht="17">
      <c r="A2" s="202"/>
      <c r="D2"/>
      <c r="G2" s="183"/>
      <c r="H2" s="183"/>
    </row>
    <row r="3" spans="1:14" ht="17">
      <c r="D3"/>
      <c r="G3" s="183"/>
      <c r="H3" s="183"/>
    </row>
    <row r="5" spans="1:14">
      <c r="C5" s="33" t="s">
        <v>204</v>
      </c>
      <c r="D5" s="47">
        <f>SUM(D2:D4)</f>
        <v>0</v>
      </c>
    </row>
    <row r="6" spans="1:14">
      <c r="C6" s="33" t="s">
        <v>235</v>
      </c>
      <c r="D6" s="177">
        <v>22000</v>
      </c>
    </row>
    <row r="7" spans="1:14">
      <c r="C7" s="33" t="s">
        <v>261</v>
      </c>
      <c r="D7" s="184">
        <f>D6*60%</f>
        <v>13200</v>
      </c>
    </row>
    <row r="8" spans="1:14">
      <c r="C8" s="33" t="s">
        <v>64</v>
      </c>
      <c r="D8" s="185">
        <f>D5*D7</f>
        <v>0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3F2-AD04-EF45-A0B7-CBEC1CA6BE6C}">
  <dimension ref="A1:X14"/>
  <sheetViews>
    <sheetView workbookViewId="0">
      <selection activeCell="H30" sqref="H30"/>
    </sheetView>
  </sheetViews>
  <sheetFormatPr baseColWidth="10" defaultRowHeight="17"/>
  <cols>
    <col min="6" max="6" width="16" bestFit="1" customWidth="1"/>
    <col min="8" max="8" width="38" bestFit="1" customWidth="1"/>
    <col min="12" max="12" width="38" bestFit="1" customWidth="1"/>
    <col min="14" max="14" width="12" bestFit="1" customWidth="1"/>
    <col min="15" max="15" width="18.5" bestFit="1" customWidth="1"/>
  </cols>
  <sheetData>
    <row r="1" spans="1:24">
      <c r="A1" t="s">
        <v>751</v>
      </c>
    </row>
    <row r="2" spans="1:24" ht="18">
      <c r="A2" s="181" t="s">
        <v>169</v>
      </c>
      <c r="B2" s="182" t="s">
        <v>217</v>
      </c>
      <c r="C2" s="182" t="s">
        <v>218</v>
      </c>
      <c r="D2" s="182" t="s">
        <v>170</v>
      </c>
      <c r="E2" s="182" t="s">
        <v>167</v>
      </c>
      <c r="F2" s="182" t="s">
        <v>168</v>
      </c>
      <c r="G2" s="182" t="s">
        <v>171</v>
      </c>
      <c r="H2" s="182" t="s">
        <v>29</v>
      </c>
      <c r="I2" s="182" t="s">
        <v>219</v>
      </c>
      <c r="J2" s="182" t="s">
        <v>220</v>
      </c>
      <c r="K2" s="182" t="s">
        <v>221</v>
      </c>
      <c r="L2" s="182" t="s">
        <v>222</v>
      </c>
      <c r="M2" s="182" t="s">
        <v>223</v>
      </c>
      <c r="N2" s="182" t="s">
        <v>224</v>
      </c>
      <c r="O2" s="182" t="s">
        <v>225</v>
      </c>
      <c r="P2" s="182" t="s">
        <v>226</v>
      </c>
      <c r="Q2" s="182" t="s">
        <v>227</v>
      </c>
      <c r="R2" s="182" t="s">
        <v>172</v>
      </c>
      <c r="S2" s="182" t="s">
        <v>228</v>
      </c>
      <c r="T2" s="182" t="s">
        <v>229</v>
      </c>
      <c r="U2" s="182" t="s">
        <v>230</v>
      </c>
      <c r="V2" s="182" t="s">
        <v>231</v>
      </c>
      <c r="W2" s="182" t="s">
        <v>232</v>
      </c>
      <c r="X2" s="182" t="s">
        <v>233</v>
      </c>
    </row>
    <row r="3" spans="1:24" ht="36">
      <c r="A3" s="179" t="s">
        <v>208</v>
      </c>
      <c r="B3" s="166" t="s">
        <v>209</v>
      </c>
      <c r="C3" s="166" t="s">
        <v>203</v>
      </c>
      <c r="D3" s="166" t="s">
        <v>174</v>
      </c>
      <c r="E3" s="166" t="s">
        <v>210</v>
      </c>
      <c r="F3" s="166" t="s">
        <v>173</v>
      </c>
      <c r="G3" s="166" t="s">
        <v>216</v>
      </c>
      <c r="H3" s="166" t="s">
        <v>24</v>
      </c>
      <c r="I3" s="166" t="s">
        <v>742</v>
      </c>
      <c r="J3" s="166" t="s">
        <v>742</v>
      </c>
      <c r="K3" s="166" t="s">
        <v>743</v>
      </c>
      <c r="L3" s="166" t="s">
        <v>212</v>
      </c>
      <c r="M3" s="180">
        <v>1</v>
      </c>
      <c r="N3" s="180">
        <v>1</v>
      </c>
      <c r="O3" s="180">
        <v>14000</v>
      </c>
      <c r="P3" s="180">
        <v>14000</v>
      </c>
      <c r="Q3" s="180">
        <v>14000</v>
      </c>
      <c r="R3" s="166" t="s">
        <v>213</v>
      </c>
      <c r="S3" s="166" t="s">
        <v>208</v>
      </c>
      <c r="T3" s="166" t="s">
        <v>174</v>
      </c>
      <c r="U3" s="180">
        <v>1</v>
      </c>
      <c r="V3" s="166" t="s">
        <v>214</v>
      </c>
      <c r="W3" s="166" t="s">
        <v>215</v>
      </c>
      <c r="X3" s="166"/>
    </row>
    <row r="4" spans="1:24" ht="36">
      <c r="A4" s="179" t="s">
        <v>208</v>
      </c>
      <c r="B4" s="166" t="s">
        <v>209</v>
      </c>
      <c r="C4" s="166" t="s">
        <v>203</v>
      </c>
      <c r="D4" s="166" t="s">
        <v>174</v>
      </c>
      <c r="E4" s="166" t="s">
        <v>210</v>
      </c>
      <c r="F4" s="166" t="s">
        <v>173</v>
      </c>
      <c r="G4" s="166" t="s">
        <v>216</v>
      </c>
      <c r="H4" s="166" t="s">
        <v>24</v>
      </c>
      <c r="I4" s="166" t="s">
        <v>744</v>
      </c>
      <c r="J4" s="166" t="s">
        <v>744</v>
      </c>
      <c r="K4" s="166" t="s">
        <v>745</v>
      </c>
      <c r="L4" s="166" t="s">
        <v>212</v>
      </c>
      <c r="M4" s="180">
        <v>1</v>
      </c>
      <c r="N4" s="180">
        <v>1</v>
      </c>
      <c r="O4" s="180">
        <v>14000</v>
      </c>
      <c r="P4" s="180">
        <v>14000</v>
      </c>
      <c r="Q4" s="180">
        <v>14000</v>
      </c>
      <c r="R4" s="166" t="s">
        <v>213</v>
      </c>
      <c r="S4" s="166" t="s">
        <v>208</v>
      </c>
      <c r="T4" s="166" t="s">
        <v>174</v>
      </c>
      <c r="U4" s="180">
        <v>1</v>
      </c>
      <c r="V4" s="166" t="s">
        <v>214</v>
      </c>
      <c r="W4" s="166" t="s">
        <v>215</v>
      </c>
      <c r="X4" s="166"/>
    </row>
    <row r="5" spans="1:24" ht="36">
      <c r="A5" s="179" t="s">
        <v>208</v>
      </c>
      <c r="B5" s="166" t="s">
        <v>209</v>
      </c>
      <c r="C5" s="166" t="s">
        <v>203</v>
      </c>
      <c r="D5" s="166" t="s">
        <v>174</v>
      </c>
      <c r="E5" s="166" t="s">
        <v>210</v>
      </c>
      <c r="F5" s="166" t="s">
        <v>173</v>
      </c>
      <c r="G5" s="166" t="s">
        <v>211</v>
      </c>
      <c r="H5" s="166" t="s">
        <v>681</v>
      </c>
      <c r="I5" s="166" t="s">
        <v>744</v>
      </c>
      <c r="J5" s="166" t="s">
        <v>744</v>
      </c>
      <c r="K5" s="166" t="s">
        <v>746</v>
      </c>
      <c r="L5" s="166" t="s">
        <v>212</v>
      </c>
      <c r="M5" s="180">
        <v>1</v>
      </c>
      <c r="N5" s="180">
        <v>1</v>
      </c>
      <c r="O5" s="180">
        <v>14000</v>
      </c>
      <c r="P5" s="180">
        <v>14000</v>
      </c>
      <c r="Q5" s="180">
        <v>14000</v>
      </c>
      <c r="R5" s="166" t="s">
        <v>213</v>
      </c>
      <c r="S5" s="166" t="s">
        <v>208</v>
      </c>
      <c r="T5" s="166" t="s">
        <v>174</v>
      </c>
      <c r="U5" s="180">
        <v>1</v>
      </c>
      <c r="V5" s="166" t="s">
        <v>214</v>
      </c>
      <c r="W5" s="166" t="s">
        <v>215</v>
      </c>
      <c r="X5" s="166"/>
    </row>
    <row r="9" spans="1:24" ht="18" thickBot="1">
      <c r="A9" s="33"/>
      <c r="N9" s="172"/>
    </row>
    <row r="10" spans="1:24">
      <c r="L10" s="269" t="s">
        <v>624</v>
      </c>
      <c r="M10" s="270" t="s">
        <v>750</v>
      </c>
      <c r="N10" s="270" t="s">
        <v>55</v>
      </c>
      <c r="O10" s="270" t="s">
        <v>748</v>
      </c>
      <c r="P10" s="271" t="s">
        <v>749</v>
      </c>
    </row>
    <row r="11" spans="1:24">
      <c r="L11" s="268" t="s">
        <v>747</v>
      </c>
      <c r="M11" s="249">
        <v>2</v>
      </c>
      <c r="N11" s="249">
        <v>22000</v>
      </c>
      <c r="O11" s="249">
        <f>14000+1400</f>
        <v>15400</v>
      </c>
      <c r="P11" s="255">
        <f>M11*O11</f>
        <v>30800</v>
      </c>
      <c r="Q11" s="31"/>
    </row>
    <row r="12" spans="1:24">
      <c r="L12" s="268" t="s">
        <v>681</v>
      </c>
      <c r="M12" s="249">
        <v>1</v>
      </c>
      <c r="N12" s="266">
        <v>22000</v>
      </c>
      <c r="O12" s="249">
        <f>14000+1400</f>
        <v>15400</v>
      </c>
      <c r="P12" s="255">
        <f>M12*O12</f>
        <v>15400</v>
      </c>
      <c r="Q12" s="31"/>
    </row>
    <row r="13" spans="1:24" ht="18" thickBot="1">
      <c r="L13" s="256" t="s">
        <v>64</v>
      </c>
      <c r="M13" s="258">
        <f>SUM(M11:M12)</f>
        <v>3</v>
      </c>
      <c r="N13" s="258"/>
      <c r="O13" s="257"/>
      <c r="P13" s="259">
        <f>SUM(P11:P12)</f>
        <v>46200</v>
      </c>
      <c r="Q13" s="31"/>
    </row>
    <row r="14" spans="1:24">
      <c r="M14" s="31"/>
      <c r="N14" s="31"/>
      <c r="O14" s="31"/>
      <c r="P14" s="31"/>
      <c r="Q14" s="31"/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9FD-C895-A648-9D1E-135D38104E6E}">
  <dimension ref="A1:AG8"/>
  <sheetViews>
    <sheetView workbookViewId="0">
      <selection activeCell="G28" sqref="G28"/>
    </sheetView>
  </sheetViews>
  <sheetFormatPr baseColWidth="10" defaultRowHeight="17"/>
  <cols>
    <col min="1" max="2" width="12.83203125" bestFit="1" customWidth="1"/>
    <col min="3" max="3" width="13.6640625" bestFit="1" customWidth="1"/>
    <col min="4" max="4" width="17" bestFit="1" customWidth="1"/>
    <col min="5" max="5" width="14.6640625" bestFit="1" customWidth="1"/>
    <col min="6" max="6" width="77.6640625" bestFit="1" customWidth="1"/>
    <col min="7" max="7" width="25.83203125" bestFit="1" customWidth="1"/>
    <col min="8" max="8" width="18.5" bestFit="1" customWidth="1"/>
    <col min="9" max="9" width="10.33203125" bestFit="1" customWidth="1"/>
    <col min="10" max="10" width="9.5" bestFit="1" customWidth="1"/>
    <col min="11" max="11" width="11.1640625" bestFit="1" customWidth="1"/>
    <col min="12" max="12" width="7.83203125" bestFit="1" customWidth="1"/>
    <col min="13" max="13" width="9.6640625" style="144" bestFit="1" customWidth="1"/>
    <col min="14" max="14" width="25" bestFit="1" customWidth="1"/>
    <col min="15" max="15" width="8" bestFit="1" customWidth="1"/>
    <col min="16" max="16" width="11.1640625" bestFit="1" customWidth="1"/>
    <col min="17" max="19" width="8" bestFit="1" customWidth="1"/>
    <col min="20" max="22" width="17" bestFit="1" customWidth="1"/>
    <col min="23" max="24" width="9.5" bestFit="1" customWidth="1"/>
    <col min="25" max="25" width="12.5" bestFit="1" customWidth="1"/>
    <col min="26" max="26" width="17" bestFit="1" customWidth="1"/>
    <col min="27" max="27" width="9.5" bestFit="1" customWidth="1"/>
    <col min="28" max="28" width="12.5" bestFit="1" customWidth="1"/>
    <col min="29" max="29" width="14.1640625" bestFit="1" customWidth="1"/>
    <col min="30" max="30" width="12.5" bestFit="1" customWidth="1"/>
    <col min="31" max="31" width="14.1640625" bestFit="1" customWidth="1"/>
    <col min="32" max="32" width="7.83203125" bestFit="1" customWidth="1"/>
    <col min="33" max="33" width="8.6640625" bestFit="1" customWidth="1"/>
  </cols>
  <sheetData>
    <row r="1" spans="1:33">
      <c r="A1" s="262" t="s">
        <v>740</v>
      </c>
      <c r="O1" s="167"/>
    </row>
    <row r="2" spans="1:33">
      <c r="A2" s="262" t="s">
        <v>741</v>
      </c>
    </row>
    <row r="3" spans="1:33" s="263" customFormat="1" ht="14">
      <c r="A3" s="263" t="s">
        <v>175</v>
      </c>
      <c r="B3" s="263" t="s">
        <v>176</v>
      </c>
      <c r="C3" s="263" t="s">
        <v>177</v>
      </c>
      <c r="D3" s="263" t="s">
        <v>43</v>
      </c>
      <c r="E3" s="263" t="s">
        <v>178</v>
      </c>
      <c r="F3" s="263" t="s">
        <v>29</v>
      </c>
      <c r="G3" s="263" t="s">
        <v>179</v>
      </c>
      <c r="H3" s="263" t="s">
        <v>180</v>
      </c>
      <c r="I3" s="263" t="s">
        <v>181</v>
      </c>
      <c r="J3" s="263" t="s">
        <v>182</v>
      </c>
      <c r="K3" s="263" t="s">
        <v>183</v>
      </c>
      <c r="L3" s="263" t="s">
        <v>149</v>
      </c>
      <c r="M3" s="263" t="s">
        <v>6</v>
      </c>
      <c r="N3" s="263" t="s">
        <v>184</v>
      </c>
      <c r="O3" s="263" t="s">
        <v>630</v>
      </c>
      <c r="P3" s="263" t="s">
        <v>266</v>
      </c>
      <c r="Q3" s="263" t="s">
        <v>185</v>
      </c>
      <c r="R3" s="263" t="s">
        <v>186</v>
      </c>
      <c r="S3" s="263" t="s">
        <v>692</v>
      </c>
      <c r="T3" s="263" t="s">
        <v>187</v>
      </c>
      <c r="U3" s="263" t="s">
        <v>188</v>
      </c>
      <c r="V3" s="263" t="s">
        <v>165</v>
      </c>
      <c r="W3" s="263" t="s">
        <v>693</v>
      </c>
      <c r="X3" s="263" t="s">
        <v>694</v>
      </c>
      <c r="Y3" s="263" t="s">
        <v>695</v>
      </c>
      <c r="Z3" s="263" t="s">
        <v>150</v>
      </c>
      <c r="AA3" s="263" t="s">
        <v>189</v>
      </c>
      <c r="AB3" s="263" t="s">
        <v>190</v>
      </c>
      <c r="AC3" s="263" t="s">
        <v>191</v>
      </c>
      <c r="AD3" s="263" t="s">
        <v>192</v>
      </c>
      <c r="AE3" s="263" t="s">
        <v>193</v>
      </c>
      <c r="AF3" s="263" t="s">
        <v>194</v>
      </c>
      <c r="AG3" s="263" t="s">
        <v>195</v>
      </c>
    </row>
    <row r="4" spans="1:33" s="25" customFormat="1" ht="14">
      <c r="A4" s="25" t="s">
        <v>696</v>
      </c>
      <c r="B4" s="25" t="s">
        <v>697</v>
      </c>
      <c r="C4" s="25" t="s">
        <v>657</v>
      </c>
      <c r="D4" s="25" t="s">
        <v>698</v>
      </c>
      <c r="E4" s="25" t="s">
        <v>699</v>
      </c>
      <c r="F4" s="25" t="s">
        <v>700</v>
      </c>
      <c r="G4" s="25" t="s">
        <v>701</v>
      </c>
      <c r="H4" s="25" t="s">
        <v>702</v>
      </c>
      <c r="I4" s="25" t="s">
        <v>703</v>
      </c>
      <c r="J4" s="25" t="s">
        <v>704</v>
      </c>
      <c r="K4" s="30">
        <v>22000</v>
      </c>
      <c r="L4" s="30">
        <v>22000</v>
      </c>
      <c r="M4" s="30">
        <v>1</v>
      </c>
      <c r="N4" s="30">
        <v>22000</v>
      </c>
      <c r="O4" s="25" t="s">
        <v>660</v>
      </c>
      <c r="P4" s="25" t="s">
        <v>705</v>
      </c>
      <c r="Q4" s="25" t="s">
        <v>706</v>
      </c>
      <c r="R4" s="25" t="s">
        <v>706</v>
      </c>
      <c r="S4" s="25" t="s">
        <v>707</v>
      </c>
      <c r="T4" s="25" t="s">
        <v>708</v>
      </c>
      <c r="U4" s="25" t="s">
        <v>709</v>
      </c>
      <c r="V4" s="25" t="s">
        <v>710</v>
      </c>
      <c r="W4" s="25" t="s">
        <v>704</v>
      </c>
      <c r="X4" s="25" t="s">
        <v>704</v>
      </c>
      <c r="Y4" s="25" t="s">
        <v>704</v>
      </c>
      <c r="Z4" s="25" t="s">
        <v>711</v>
      </c>
      <c r="AA4" s="25" t="s">
        <v>704</v>
      </c>
      <c r="AB4" s="25" t="s">
        <v>704</v>
      </c>
      <c r="AC4" s="25" t="s">
        <v>704</v>
      </c>
      <c r="AD4" s="25" t="s">
        <v>704</v>
      </c>
      <c r="AE4" s="25" t="s">
        <v>704</v>
      </c>
      <c r="AF4" s="25" t="s">
        <v>712</v>
      </c>
      <c r="AG4" s="25" t="s">
        <v>713</v>
      </c>
    </row>
    <row r="5" spans="1:33" s="25" customFormat="1" ht="14">
      <c r="A5" s="25" t="s">
        <v>714</v>
      </c>
      <c r="B5" s="25" t="s">
        <v>715</v>
      </c>
      <c r="C5" s="25" t="s">
        <v>657</v>
      </c>
      <c r="D5" s="25" t="s">
        <v>716</v>
      </c>
      <c r="E5" s="25" t="s">
        <v>699</v>
      </c>
      <c r="F5" s="25" t="s">
        <v>700</v>
      </c>
      <c r="G5" s="25" t="s">
        <v>701</v>
      </c>
      <c r="H5" s="25" t="s">
        <v>702</v>
      </c>
      <c r="I5" s="25" t="s">
        <v>703</v>
      </c>
      <c r="J5" s="25" t="s">
        <v>704</v>
      </c>
      <c r="K5" s="30">
        <v>22000</v>
      </c>
      <c r="L5" s="30">
        <v>22000</v>
      </c>
      <c r="M5" s="30">
        <v>1</v>
      </c>
      <c r="N5" s="30">
        <v>22000</v>
      </c>
      <c r="O5" s="25" t="s">
        <v>660</v>
      </c>
      <c r="P5" s="25" t="s">
        <v>717</v>
      </c>
      <c r="Q5" s="25" t="s">
        <v>718</v>
      </c>
      <c r="R5" s="25" t="s">
        <v>718</v>
      </c>
      <c r="S5" s="25" t="s">
        <v>707</v>
      </c>
      <c r="T5" s="25" t="s">
        <v>719</v>
      </c>
      <c r="U5" s="25" t="s">
        <v>720</v>
      </c>
      <c r="V5" s="25" t="s">
        <v>721</v>
      </c>
      <c r="W5" s="25" t="s">
        <v>704</v>
      </c>
      <c r="X5" s="25" t="s">
        <v>704</v>
      </c>
      <c r="Y5" s="25" t="s">
        <v>704</v>
      </c>
      <c r="Z5" s="25" t="s">
        <v>722</v>
      </c>
      <c r="AA5" s="25" t="s">
        <v>704</v>
      </c>
      <c r="AB5" s="25" t="s">
        <v>704</v>
      </c>
      <c r="AC5" s="25" t="s">
        <v>704</v>
      </c>
      <c r="AD5" s="25" t="s">
        <v>704</v>
      </c>
      <c r="AE5" s="25" t="s">
        <v>704</v>
      </c>
      <c r="AF5" s="25" t="s">
        <v>712</v>
      </c>
      <c r="AG5" s="25" t="s">
        <v>723</v>
      </c>
    </row>
    <row r="6" spans="1:33" s="25" customFormat="1" ht="14">
      <c r="A6" s="25" t="s">
        <v>724</v>
      </c>
      <c r="B6" s="25" t="s">
        <v>725</v>
      </c>
      <c r="C6" s="25" t="s">
        <v>657</v>
      </c>
      <c r="D6" s="25" t="s">
        <v>726</v>
      </c>
      <c r="E6" s="25" t="s">
        <v>727</v>
      </c>
      <c r="F6" s="25" t="s">
        <v>728</v>
      </c>
      <c r="G6" s="25" t="s">
        <v>729</v>
      </c>
      <c r="H6" s="25" t="s">
        <v>730</v>
      </c>
      <c r="I6" s="25" t="s">
        <v>731</v>
      </c>
      <c r="J6" s="25" t="s">
        <v>704</v>
      </c>
      <c r="K6" s="30">
        <v>22000</v>
      </c>
      <c r="L6" s="30">
        <v>22000</v>
      </c>
      <c r="M6" s="30">
        <v>1</v>
      </c>
      <c r="N6" s="30">
        <v>22000</v>
      </c>
      <c r="O6" s="25" t="s">
        <v>660</v>
      </c>
      <c r="P6" s="25" t="s">
        <v>732</v>
      </c>
      <c r="Q6" s="25" t="s">
        <v>733</v>
      </c>
      <c r="R6" s="25" t="s">
        <v>733</v>
      </c>
      <c r="S6" s="25" t="s">
        <v>707</v>
      </c>
      <c r="T6" s="25" t="s">
        <v>734</v>
      </c>
      <c r="U6" s="25" t="s">
        <v>735</v>
      </c>
      <c r="V6" s="25" t="s">
        <v>736</v>
      </c>
      <c r="W6" s="25" t="s">
        <v>704</v>
      </c>
      <c r="X6" s="25" t="s">
        <v>704</v>
      </c>
      <c r="Y6" s="25" t="s">
        <v>704</v>
      </c>
      <c r="Z6" s="25" t="s">
        <v>737</v>
      </c>
      <c r="AA6" s="25" t="s">
        <v>704</v>
      </c>
      <c r="AB6" s="25" t="s">
        <v>704</v>
      </c>
      <c r="AC6" s="25" t="s">
        <v>704</v>
      </c>
      <c r="AD6" s="25" t="s">
        <v>704</v>
      </c>
      <c r="AE6" s="25" t="s">
        <v>704</v>
      </c>
      <c r="AF6" s="25" t="s">
        <v>738</v>
      </c>
      <c r="AG6" s="25" t="s">
        <v>739</v>
      </c>
    </row>
    <row r="8" spans="1:33">
      <c r="K8" s="136" t="s">
        <v>64</v>
      </c>
      <c r="L8" s="265">
        <v>22000</v>
      </c>
      <c r="M8" s="264">
        <f>SUM(M4:M6)</f>
        <v>3</v>
      </c>
      <c r="N8" s="235">
        <f>L8*M8</f>
        <v>66000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8372-C7AC-9245-8FD7-0156B62432D3}">
  <dimension ref="A1:P7"/>
  <sheetViews>
    <sheetView workbookViewId="0">
      <selection activeCell="I16" sqref="I16"/>
    </sheetView>
  </sheetViews>
  <sheetFormatPr baseColWidth="10" defaultRowHeight="17"/>
  <sheetData>
    <row r="1" spans="1:16" ht="34">
      <c r="A1" s="190" t="s">
        <v>94</v>
      </c>
      <c r="B1" s="191" t="s">
        <v>237</v>
      </c>
      <c r="C1" s="191" t="s">
        <v>238</v>
      </c>
      <c r="D1" s="191" t="s">
        <v>239</v>
      </c>
      <c r="E1" s="191" t="s">
        <v>240</v>
      </c>
      <c r="F1" s="191" t="s">
        <v>241</v>
      </c>
      <c r="G1" s="191" t="s">
        <v>242</v>
      </c>
      <c r="H1" s="191" t="s">
        <v>6</v>
      </c>
      <c r="I1" s="191" t="s">
        <v>243</v>
      </c>
      <c r="J1" s="191" t="s">
        <v>244</v>
      </c>
      <c r="K1" s="191" t="s">
        <v>245</v>
      </c>
      <c r="L1" s="191" t="s">
        <v>246</v>
      </c>
      <c r="M1" s="191" t="s">
        <v>247</v>
      </c>
      <c r="N1" s="191" t="s">
        <v>248</v>
      </c>
      <c r="O1" s="191" t="s">
        <v>249</v>
      </c>
      <c r="P1" s="192" t="s">
        <v>250</v>
      </c>
    </row>
    <row r="2" spans="1:16">
      <c r="A2" s="193"/>
      <c r="B2" s="194"/>
      <c r="C2" s="194"/>
      <c r="D2" s="194"/>
      <c r="E2" s="194"/>
      <c r="F2" s="194"/>
      <c r="G2" s="194"/>
      <c r="H2" s="195"/>
      <c r="I2" s="195"/>
      <c r="J2" s="195"/>
      <c r="K2" s="195"/>
      <c r="L2" s="195"/>
      <c r="M2" s="195"/>
      <c r="N2" s="195"/>
      <c r="O2" s="194"/>
      <c r="P2" s="196"/>
    </row>
    <row r="3" spans="1:16">
      <c r="A3" s="193"/>
      <c r="B3" s="194"/>
      <c r="C3" s="194"/>
      <c r="D3" s="194"/>
      <c r="E3" s="194"/>
      <c r="F3" s="194"/>
      <c r="G3" s="194"/>
      <c r="H3" s="195"/>
      <c r="I3" s="195"/>
      <c r="J3" s="195"/>
      <c r="K3" s="195"/>
      <c r="L3" s="195"/>
      <c r="M3" s="195"/>
      <c r="N3" s="195"/>
      <c r="O3" s="194"/>
      <c r="P3" s="196"/>
    </row>
    <row r="4" spans="1:16">
      <c r="A4" s="193"/>
      <c r="B4" s="194"/>
      <c r="C4" s="194"/>
      <c r="D4" s="194"/>
      <c r="E4" s="194"/>
      <c r="F4" s="194"/>
      <c r="G4" s="194"/>
      <c r="H4" s="195"/>
      <c r="I4" s="195"/>
      <c r="J4" s="195"/>
      <c r="K4" s="195"/>
      <c r="L4" s="195"/>
      <c r="M4" s="195"/>
      <c r="N4" s="195"/>
      <c r="O4" s="194"/>
      <c r="P4" s="196"/>
    </row>
    <row r="5" spans="1:16">
      <c r="A5" s="193"/>
      <c r="B5" s="194"/>
      <c r="C5" s="194"/>
      <c r="D5" s="194"/>
      <c r="E5" s="194"/>
      <c r="F5" s="194"/>
      <c r="G5" s="194"/>
      <c r="H5" s="195"/>
      <c r="I5" s="195"/>
      <c r="J5" s="195"/>
      <c r="K5" s="195"/>
      <c r="L5" s="195"/>
      <c r="M5" s="195"/>
      <c r="N5" s="195"/>
      <c r="O5" s="194"/>
      <c r="P5" s="196"/>
    </row>
    <row r="7" spans="1:16">
      <c r="I7" s="197" t="s">
        <v>0</v>
      </c>
      <c r="J7" s="198">
        <v>0.37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38B-86D2-984E-8D0C-E0B45D1A6298}">
  <dimension ref="A1:K38"/>
  <sheetViews>
    <sheetView workbookViewId="0">
      <selection activeCell="E4" sqref="E4"/>
    </sheetView>
  </sheetViews>
  <sheetFormatPr baseColWidth="10" defaultRowHeight="17"/>
  <cols>
    <col min="2" max="2" width="16.1640625" bestFit="1" customWidth="1"/>
    <col min="3" max="3" width="18.1640625" bestFit="1" customWidth="1"/>
    <col min="4" max="4" width="9.33203125" bestFit="1" customWidth="1"/>
    <col min="5" max="5" width="38" bestFit="1" customWidth="1"/>
    <col min="6" max="6" width="12.1640625" customWidth="1"/>
    <col min="7" max="7" width="14.33203125" customWidth="1"/>
    <col min="8" max="8" width="16.5" customWidth="1"/>
    <col min="9" max="9" width="68.5" style="28" bestFit="1" customWidth="1"/>
    <col min="10" max="10" width="16.1640625" bestFit="1" customWidth="1"/>
    <col min="11" max="11" width="16" bestFit="1" customWidth="1"/>
  </cols>
  <sheetData>
    <row r="1" spans="1:11">
      <c r="B1" s="25"/>
      <c r="C1" s="25"/>
      <c r="D1" s="25"/>
      <c r="E1" s="25"/>
      <c r="F1" s="25"/>
      <c r="G1" s="26"/>
      <c r="H1" s="25"/>
      <c r="I1" s="25"/>
      <c r="J1" s="25"/>
      <c r="K1" s="25"/>
    </row>
    <row r="2" spans="1:11">
      <c r="A2" s="97" t="s">
        <v>98</v>
      </c>
      <c r="B2" s="97" t="s">
        <v>9</v>
      </c>
      <c r="C2" s="97" t="s">
        <v>93</v>
      </c>
      <c r="D2" s="97" t="s">
        <v>94</v>
      </c>
      <c r="E2" s="97" t="s">
        <v>29</v>
      </c>
      <c r="F2" s="97" t="s">
        <v>198</v>
      </c>
      <c r="G2" s="97" t="s">
        <v>95</v>
      </c>
      <c r="H2" s="98" t="s">
        <v>96</v>
      </c>
      <c r="I2" s="25"/>
      <c r="J2" s="34"/>
      <c r="K2" s="34"/>
    </row>
    <row r="3" spans="1:11">
      <c r="E3" t="s">
        <v>691</v>
      </c>
      <c r="H3" s="31"/>
      <c r="I3" s="25"/>
      <c r="J3" s="34"/>
      <c r="K3" s="34"/>
    </row>
    <row r="4" spans="1:11">
      <c r="B4" s="99"/>
      <c r="C4" s="99"/>
      <c r="D4" s="99"/>
      <c r="E4" s="99"/>
      <c r="F4" s="99"/>
      <c r="G4" s="99"/>
      <c r="H4" s="100"/>
      <c r="I4" s="25"/>
      <c r="J4" s="34"/>
      <c r="K4" s="34"/>
    </row>
    <row r="5" spans="1:11">
      <c r="B5" s="99"/>
      <c r="C5" s="99"/>
      <c r="D5" s="99"/>
      <c r="E5" s="99"/>
      <c r="F5" s="99"/>
      <c r="G5" s="99" t="s">
        <v>196</v>
      </c>
      <c r="H5" s="100">
        <f>H3*25%</f>
        <v>0</v>
      </c>
      <c r="I5" s="25"/>
      <c r="J5" s="34"/>
      <c r="K5" s="34"/>
    </row>
    <row r="6" spans="1:11">
      <c r="B6" s="99"/>
      <c r="C6" s="99"/>
      <c r="D6" s="99"/>
      <c r="E6" s="99"/>
      <c r="F6" s="99"/>
      <c r="G6" s="99" t="s">
        <v>197</v>
      </c>
      <c r="H6" s="168">
        <f>H3-H5</f>
        <v>0</v>
      </c>
      <c r="I6" s="25"/>
      <c r="J6" s="34"/>
      <c r="K6" s="34"/>
    </row>
    <row r="7" spans="1:11">
      <c r="B7" s="34"/>
      <c r="C7" s="25"/>
      <c r="D7" s="25"/>
      <c r="E7" s="25"/>
      <c r="F7" s="25"/>
      <c r="G7" s="26"/>
      <c r="H7" s="25"/>
      <c r="I7" s="25"/>
      <c r="J7" s="34"/>
      <c r="K7" s="34"/>
    </row>
    <row r="8" spans="1:11">
      <c r="B8" s="34"/>
      <c r="C8" s="25"/>
      <c r="D8" s="25"/>
      <c r="E8" s="25"/>
      <c r="F8" s="25"/>
      <c r="G8" s="26"/>
      <c r="H8" s="25"/>
      <c r="I8" s="25"/>
      <c r="J8" s="34"/>
      <c r="K8" s="34"/>
    </row>
    <row r="9" spans="1:11">
      <c r="B9" s="34"/>
      <c r="C9" s="25"/>
      <c r="D9" s="25"/>
      <c r="E9" s="25"/>
      <c r="F9" s="25"/>
      <c r="G9" s="26"/>
      <c r="H9" s="25"/>
      <c r="I9" s="25"/>
      <c r="J9" s="34"/>
      <c r="K9" s="34"/>
    </row>
    <row r="10" spans="1:11">
      <c r="B10" s="34"/>
      <c r="C10" s="25"/>
      <c r="D10" s="25"/>
      <c r="E10" s="25"/>
      <c r="F10" s="25"/>
      <c r="G10" s="26"/>
      <c r="H10" s="25"/>
      <c r="I10" s="25"/>
      <c r="J10" s="34"/>
      <c r="K10" s="34"/>
    </row>
    <row r="11" spans="1:11">
      <c r="B11" s="34"/>
      <c r="C11" s="25"/>
      <c r="D11" s="25"/>
      <c r="E11" s="25"/>
      <c r="F11" s="25"/>
      <c r="G11" s="26"/>
      <c r="H11" s="25"/>
      <c r="I11" s="25"/>
      <c r="J11" s="34"/>
      <c r="K11" s="34"/>
    </row>
    <row r="12" spans="1:11">
      <c r="B12" s="34"/>
      <c r="C12" s="25"/>
      <c r="D12" s="25"/>
      <c r="E12" s="25"/>
      <c r="F12" s="25"/>
      <c r="G12" s="26"/>
      <c r="H12" s="25"/>
      <c r="I12" s="25"/>
      <c r="J12" s="34"/>
      <c r="K12" s="34"/>
    </row>
    <row r="13" spans="1:11">
      <c r="B13" s="34"/>
      <c r="C13" s="25"/>
      <c r="D13" s="25"/>
      <c r="E13" s="25"/>
      <c r="F13" s="25"/>
      <c r="G13" s="26"/>
      <c r="H13" s="25"/>
      <c r="I13" s="25"/>
      <c r="J13" s="34"/>
      <c r="K13" s="34"/>
    </row>
    <row r="14" spans="1:11">
      <c r="B14" s="34"/>
      <c r="C14" s="25"/>
      <c r="D14" s="25"/>
      <c r="E14" s="25"/>
      <c r="F14" s="25"/>
      <c r="G14" s="26"/>
      <c r="H14" s="25"/>
      <c r="I14" s="25"/>
      <c r="J14" s="34"/>
      <c r="K14" s="34"/>
    </row>
    <row r="15" spans="1:11">
      <c r="B15" s="34"/>
      <c r="C15" s="25"/>
      <c r="D15" s="25"/>
      <c r="E15" s="25"/>
      <c r="F15" s="25"/>
      <c r="G15" s="26"/>
      <c r="H15" s="25"/>
      <c r="I15" s="25"/>
      <c r="J15" s="34"/>
      <c r="K15" s="34"/>
    </row>
    <row r="16" spans="1:11">
      <c r="B16" s="34"/>
      <c r="C16" s="25"/>
      <c r="D16" s="25"/>
      <c r="E16" s="25"/>
      <c r="F16" s="25"/>
      <c r="G16" s="26"/>
      <c r="H16" s="25"/>
      <c r="I16" s="25"/>
      <c r="J16" s="34"/>
      <c r="K16" s="34"/>
    </row>
    <row r="17" spans="2:11">
      <c r="B17" s="34"/>
      <c r="C17" s="25"/>
      <c r="D17" s="25"/>
      <c r="E17" s="25"/>
      <c r="F17" s="25"/>
      <c r="G17" s="26"/>
      <c r="H17" s="25"/>
      <c r="I17" s="25"/>
      <c r="J17" s="34"/>
      <c r="K17" s="34"/>
    </row>
    <row r="18" spans="2:11">
      <c r="B18" s="34"/>
      <c r="C18" s="25"/>
      <c r="D18" s="25"/>
      <c r="E18" s="25"/>
      <c r="F18" s="25"/>
      <c r="G18" s="26"/>
      <c r="H18" s="25"/>
      <c r="I18" s="25"/>
      <c r="J18" s="34"/>
      <c r="K18" s="34"/>
    </row>
    <row r="19" spans="2:11">
      <c r="B19" s="34"/>
      <c r="C19" s="25"/>
      <c r="D19" s="25"/>
      <c r="E19" s="25"/>
      <c r="F19" s="25"/>
      <c r="G19" s="26"/>
      <c r="H19" s="25"/>
      <c r="I19" s="25"/>
      <c r="J19" s="34"/>
      <c r="K19" s="34"/>
    </row>
    <row r="20" spans="2:11">
      <c r="B20" s="34"/>
      <c r="C20" s="25"/>
      <c r="D20" s="25"/>
      <c r="E20" s="25"/>
      <c r="F20" s="25"/>
      <c r="G20" s="26"/>
      <c r="H20" s="25"/>
      <c r="I20" s="25"/>
      <c r="J20" s="34"/>
      <c r="K20" s="34"/>
    </row>
    <row r="21" spans="2:11">
      <c r="B21" s="34"/>
      <c r="C21" s="25"/>
      <c r="D21" s="25"/>
      <c r="E21" s="25"/>
      <c r="F21" s="25"/>
      <c r="G21" s="26"/>
      <c r="H21" s="25"/>
      <c r="I21" s="25"/>
      <c r="J21" s="34"/>
      <c r="K21" s="34"/>
    </row>
    <row r="22" spans="2:11">
      <c r="B22" s="34"/>
      <c r="C22" s="25"/>
      <c r="D22" s="25"/>
      <c r="E22" s="25"/>
      <c r="F22" s="25"/>
      <c r="G22" s="26"/>
      <c r="H22" s="25"/>
      <c r="I22" s="25"/>
      <c r="J22" s="34"/>
      <c r="K22" s="34"/>
    </row>
    <row r="23" spans="2:11">
      <c r="B23" s="34"/>
      <c r="C23" s="25"/>
      <c r="D23" s="25"/>
      <c r="E23" s="25"/>
      <c r="F23" s="25"/>
      <c r="G23" s="26"/>
      <c r="H23" s="25"/>
      <c r="I23" s="25"/>
      <c r="J23" s="34"/>
      <c r="K23" s="34"/>
    </row>
    <row r="24" spans="2:11">
      <c r="B24" s="34"/>
      <c r="C24" s="25"/>
      <c r="D24" s="25"/>
      <c r="E24" s="25"/>
      <c r="F24" s="25"/>
      <c r="G24" s="26"/>
      <c r="H24" s="25"/>
      <c r="I24" s="25"/>
      <c r="J24" s="34"/>
      <c r="K24" s="34"/>
    </row>
    <row r="25" spans="2:11">
      <c r="B25" s="34"/>
      <c r="C25" s="25"/>
      <c r="D25" s="25"/>
      <c r="E25" s="25"/>
      <c r="F25" s="25"/>
      <c r="G25" s="26"/>
      <c r="H25" s="25"/>
      <c r="I25" s="25"/>
      <c r="J25" s="34"/>
      <c r="K25" s="34"/>
    </row>
    <row r="26" spans="2:11">
      <c r="B26" s="34"/>
      <c r="C26" s="25"/>
      <c r="D26" s="25"/>
      <c r="E26" s="25"/>
      <c r="F26" s="25"/>
      <c r="G26" s="26"/>
      <c r="H26" s="25"/>
      <c r="I26" s="25"/>
      <c r="J26" s="34"/>
      <c r="K26" s="34"/>
    </row>
    <row r="27" spans="2:11">
      <c r="B27" s="34"/>
      <c r="C27" s="25"/>
      <c r="D27" s="25"/>
      <c r="E27" s="25"/>
      <c r="F27" s="25"/>
      <c r="G27" s="26"/>
      <c r="H27" s="25"/>
      <c r="I27" s="25"/>
      <c r="J27" s="34"/>
      <c r="K27" s="34"/>
    </row>
    <row r="28" spans="2:11">
      <c r="B28" s="34"/>
      <c r="C28" s="25"/>
      <c r="D28" s="25"/>
      <c r="E28" s="25"/>
      <c r="F28" s="25"/>
      <c r="G28" s="26"/>
      <c r="H28" s="25"/>
      <c r="I28" s="25"/>
      <c r="J28" s="34"/>
      <c r="K28" s="34"/>
    </row>
    <row r="29" spans="2:11">
      <c r="B29" s="34"/>
      <c r="C29" s="25"/>
      <c r="D29" s="25"/>
      <c r="E29" s="25"/>
      <c r="F29" s="25"/>
      <c r="G29" s="26"/>
      <c r="H29" s="25"/>
      <c r="I29" s="25"/>
      <c r="J29" s="34"/>
      <c r="K29" s="34"/>
    </row>
    <row r="30" spans="2:11">
      <c r="B30" s="34"/>
      <c r="C30" s="25"/>
      <c r="D30" s="25"/>
      <c r="E30" s="25"/>
      <c r="F30" s="25"/>
      <c r="G30" s="26"/>
      <c r="H30" s="25"/>
      <c r="I30" s="25"/>
      <c r="J30" s="34"/>
      <c r="K30" s="34"/>
    </row>
    <row r="31" spans="2:11">
      <c r="B31" s="34"/>
      <c r="C31" s="25"/>
      <c r="D31" s="25"/>
      <c r="E31" s="25"/>
      <c r="F31" s="25"/>
      <c r="G31" s="26"/>
      <c r="H31" s="25"/>
      <c r="I31" s="25"/>
      <c r="J31" s="34"/>
      <c r="K31" s="34"/>
    </row>
    <row r="32" spans="2:11">
      <c r="B32" s="34"/>
      <c r="C32" s="25"/>
      <c r="D32" s="25"/>
      <c r="E32" s="25"/>
      <c r="F32" s="25"/>
      <c r="G32" s="26"/>
      <c r="H32" s="25"/>
      <c r="I32" s="25"/>
      <c r="J32" s="34"/>
      <c r="K32" s="34"/>
    </row>
    <row r="33" spans="2:11">
      <c r="B33" s="34"/>
      <c r="C33" s="25"/>
      <c r="D33" s="25"/>
      <c r="E33" s="25"/>
      <c r="F33" s="25"/>
      <c r="G33" s="26"/>
      <c r="H33" s="25"/>
      <c r="I33" s="25"/>
      <c r="J33" s="34"/>
      <c r="K33" s="34"/>
    </row>
    <row r="34" spans="2:11">
      <c r="B34" s="34"/>
      <c r="C34" s="25"/>
      <c r="D34" s="25"/>
      <c r="E34" s="25"/>
      <c r="F34" s="25"/>
      <c r="G34" s="26"/>
      <c r="H34" s="25"/>
      <c r="I34" s="25"/>
      <c r="J34" s="34"/>
      <c r="K34" s="34"/>
    </row>
    <row r="35" spans="2:11">
      <c r="B35" s="34"/>
      <c r="C35" s="25"/>
      <c r="D35" s="25"/>
      <c r="E35" s="25"/>
      <c r="F35" s="25"/>
      <c r="G35" s="26"/>
      <c r="H35" s="25"/>
      <c r="I35" s="25"/>
      <c r="J35" s="34"/>
      <c r="K35" s="34"/>
    </row>
    <row r="36" spans="2:11">
      <c r="B36" s="34"/>
      <c r="C36" s="25"/>
      <c r="D36" s="25"/>
      <c r="E36" s="25"/>
      <c r="F36" s="25"/>
      <c r="G36" s="26"/>
      <c r="H36" s="25"/>
      <c r="I36" s="25"/>
      <c r="J36" s="34"/>
      <c r="K36" s="34"/>
    </row>
    <row r="37" spans="2:11">
      <c r="B37" s="34"/>
      <c r="C37" s="25"/>
      <c r="D37" s="25"/>
      <c r="E37" s="25"/>
      <c r="F37" s="25"/>
      <c r="G37" s="26"/>
      <c r="H37" s="25"/>
      <c r="I37" s="25"/>
      <c r="J37" s="34"/>
      <c r="K37" s="34"/>
    </row>
    <row r="38" spans="2:11">
      <c r="B38" s="34"/>
      <c r="C38" s="25"/>
      <c r="D38" s="25"/>
      <c r="E38" s="25"/>
      <c r="F38" s="25"/>
      <c r="G38" s="26"/>
      <c r="H38" s="25"/>
      <c r="I38" s="27"/>
      <c r="J38" s="34"/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41F-0720-CE44-A21C-97E4E32EF9D5}">
  <dimension ref="A1:K13"/>
  <sheetViews>
    <sheetView workbookViewId="0">
      <selection activeCell="H10" sqref="H10:H13"/>
    </sheetView>
  </sheetViews>
  <sheetFormatPr baseColWidth="10" defaultRowHeight="17"/>
  <cols>
    <col min="2" max="2" width="37.1640625" bestFit="1" customWidth="1"/>
  </cols>
  <sheetData>
    <row r="1" spans="1:11">
      <c r="B1" t="s">
        <v>689</v>
      </c>
    </row>
    <row r="2" spans="1:11">
      <c r="A2" s="163" t="s">
        <v>62</v>
      </c>
      <c r="B2" s="163" t="s">
        <v>157</v>
      </c>
      <c r="C2" s="163" t="s">
        <v>158</v>
      </c>
      <c r="D2" s="163" t="s">
        <v>147</v>
      </c>
      <c r="E2" s="163" t="s">
        <v>152</v>
      </c>
      <c r="F2" s="163" t="s">
        <v>146</v>
      </c>
      <c r="G2" s="163" t="s">
        <v>14</v>
      </c>
      <c r="H2" s="163" t="s">
        <v>159</v>
      </c>
      <c r="I2" s="163" t="s">
        <v>21</v>
      </c>
      <c r="J2" s="163" t="s">
        <v>160</v>
      </c>
      <c r="K2" s="163" t="s">
        <v>161</v>
      </c>
    </row>
    <row r="3" spans="1:11">
      <c r="A3" s="164">
        <v>1</v>
      </c>
      <c r="B3" s="164" t="s">
        <v>148</v>
      </c>
      <c r="C3" s="164" t="s">
        <v>162</v>
      </c>
      <c r="D3" s="165">
        <v>22000</v>
      </c>
      <c r="E3" s="165">
        <v>13200</v>
      </c>
      <c r="F3" s="164">
        <v>19</v>
      </c>
      <c r="G3" s="164">
        <v>0</v>
      </c>
      <c r="H3" s="164"/>
      <c r="I3" s="164">
        <v>13</v>
      </c>
      <c r="J3" s="164">
        <f>F3+G3-H3-I3</f>
        <v>6</v>
      </c>
      <c r="K3" s="165">
        <f>E3*I3</f>
        <v>171600</v>
      </c>
    </row>
    <row r="4" spans="1:11">
      <c r="A4" s="164">
        <v>2</v>
      </c>
      <c r="B4" s="164" t="s">
        <v>53</v>
      </c>
      <c r="C4" s="164" t="s">
        <v>99</v>
      </c>
      <c r="D4" s="165">
        <v>22000</v>
      </c>
      <c r="E4" s="165">
        <v>13200</v>
      </c>
      <c r="F4" s="164">
        <v>15</v>
      </c>
      <c r="G4" s="164">
        <v>5</v>
      </c>
      <c r="H4" s="164"/>
      <c r="I4" s="164">
        <v>14</v>
      </c>
      <c r="J4" s="164">
        <f>F4+G4-H4-I4</f>
        <v>6</v>
      </c>
      <c r="K4" s="165">
        <f>E4*I4</f>
        <v>184800</v>
      </c>
    </row>
    <row r="5" spans="1:11">
      <c r="I5" s="248">
        <f>SUM(I3:I4)</f>
        <v>27</v>
      </c>
      <c r="K5" s="247">
        <f>SUM(K3:K4)</f>
        <v>356400</v>
      </c>
    </row>
    <row r="8" spans="1:11">
      <c r="B8" s="136" t="s">
        <v>64</v>
      </c>
    </row>
    <row r="9" spans="1:11" ht="18" thickBot="1">
      <c r="B9" t="s">
        <v>690</v>
      </c>
    </row>
    <row r="10" spans="1:11">
      <c r="B10" s="251" t="s">
        <v>688</v>
      </c>
      <c r="C10" s="252" t="s">
        <v>684</v>
      </c>
      <c r="D10" s="252" t="s">
        <v>152</v>
      </c>
      <c r="E10" s="252" t="s">
        <v>198</v>
      </c>
      <c r="F10" s="252" t="s">
        <v>685</v>
      </c>
      <c r="G10" s="252" t="s">
        <v>686</v>
      </c>
      <c r="H10" s="253" t="s">
        <v>687</v>
      </c>
    </row>
    <row r="11" spans="1:11">
      <c r="B11" s="254" t="s">
        <v>148</v>
      </c>
      <c r="C11" s="249">
        <v>22000</v>
      </c>
      <c r="D11" s="249">
        <v>13200</v>
      </c>
      <c r="E11" s="249">
        <v>13</v>
      </c>
      <c r="F11" s="249">
        <f>D11*E11</f>
        <v>171600</v>
      </c>
      <c r="G11" s="249">
        <f>F11*10%</f>
        <v>17160</v>
      </c>
      <c r="H11" s="255">
        <f>F11-G11</f>
        <v>154440</v>
      </c>
    </row>
    <row r="12" spans="1:11">
      <c r="B12" s="254" t="s">
        <v>53</v>
      </c>
      <c r="C12" s="249">
        <v>22000</v>
      </c>
      <c r="D12" s="249">
        <v>13200</v>
      </c>
      <c r="E12" s="249">
        <v>14</v>
      </c>
      <c r="F12" s="249">
        <f>D12*E12</f>
        <v>184800</v>
      </c>
      <c r="G12" s="249">
        <f>F12*10%</f>
        <v>18480</v>
      </c>
      <c r="H12" s="255">
        <f>F12-G12</f>
        <v>166320</v>
      </c>
    </row>
    <row r="13" spans="1:11" ht="18" thickBot="1">
      <c r="B13" s="256"/>
      <c r="C13" s="257"/>
      <c r="D13" s="257"/>
      <c r="E13" s="260">
        <f>SUM(E11:E12)</f>
        <v>27</v>
      </c>
      <c r="F13" s="260">
        <f>SUM(F11:F12)</f>
        <v>356400</v>
      </c>
      <c r="G13" s="260">
        <f>SUM(G11:G12)</f>
        <v>35640</v>
      </c>
      <c r="H13" s="261">
        <f>SUM(H11:H12)</f>
        <v>320760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종합정산</vt:lpstr>
      <vt:lpstr>채널별 판매데이터 정리</vt:lpstr>
      <vt:lpstr>DB)입출고목록</vt:lpstr>
      <vt:lpstr>DB)입출고매칭용</vt:lpstr>
      <vt:lpstr>DB)카페24</vt:lpstr>
      <vt:lpstr>DB)스마트스토어</vt:lpstr>
      <vt:lpstr>DB) 행사</vt:lpstr>
      <vt:lpstr>DB)사업자몰B2B</vt:lpstr>
      <vt:lpstr>DB)이마트몰리스</vt:lpstr>
      <vt:lpstr>DB) 컬리</vt:lpstr>
      <vt:lpstr>DB)쿠팡로켓</vt:lpstr>
      <vt:lpstr>DB)철수마켓</vt:lpstr>
      <vt:lpstr>DB)몽슈슈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2026-07-01T05:27:37Z</dcterms:modified>
</cp:coreProperties>
</file>