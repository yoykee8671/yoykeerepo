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Kyoyoung/Downloads/000.디자인 작업_템플릿/1.제작물/외주 및 협업/2025 도톤/"/>
    </mc:Choice>
  </mc:AlternateContent>
  <xr:revisionPtr revIDLastSave="0" documentId="13_ncr:1_{1E34C8F7-0657-EA43-B4D9-4CD6F33F84E3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종합정산" sheetId="2" r:id="rId1"/>
    <sheet name="채널별 판매데이터 정리" sheetId="7" r:id="rId2"/>
    <sheet name="DB)입출고목록" sheetId="4" r:id="rId3"/>
    <sheet name="DB)카페24" sheetId="5" r:id="rId4"/>
    <sheet name="DB) 컬리" sheetId="9" r:id="rId5"/>
    <sheet name="DB)철수마켓" sheetId="6" r:id="rId6"/>
    <sheet name="DB)몽슈슈" sheetId="8" r:id="rId7"/>
  </sheets>
  <definedNames>
    <definedName name="_xlnm._FilterDatabase" localSheetId="2" hidden="1">'DB)입출고목록'!$B$1:$T$9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0" i="2" l="1"/>
  <c r="N9" i="2"/>
  <c r="K8" i="7"/>
  <c r="I7" i="7"/>
  <c r="I6" i="7"/>
  <c r="G8" i="7"/>
  <c r="G7" i="7"/>
  <c r="G6" i="7"/>
  <c r="K5" i="8"/>
  <c r="I5" i="8"/>
  <c r="K4" i="8"/>
  <c r="K3" i="8"/>
  <c r="W10" i="2" l="1"/>
  <c r="I57" i="7"/>
  <c r="I59" i="7" s="1"/>
  <c r="J58" i="7"/>
  <c r="J57" i="7"/>
  <c r="I51" i="7"/>
  <c r="K51" i="7" s="1"/>
  <c r="I50" i="7"/>
  <c r="K50" i="7" s="1"/>
  <c r="J37" i="7"/>
  <c r="J36" i="7"/>
  <c r="I37" i="7"/>
  <c r="I36" i="7"/>
  <c r="H38" i="7"/>
  <c r="L30" i="7"/>
  <c r="D10" i="5"/>
  <c r="H10" i="5"/>
  <c r="K6" i="5"/>
  <c r="K10" i="5" s="1"/>
  <c r="L57" i="7"/>
  <c r="H59" i="7"/>
  <c r="I5" i="9"/>
  <c r="U5" i="9"/>
  <c r="O5" i="9"/>
  <c r="N5" i="9"/>
  <c r="K5" i="9"/>
  <c r="M5" i="9"/>
  <c r="F30" i="7"/>
  <c r="I30" i="7"/>
  <c r="K57" i="7" l="1"/>
  <c r="I52" i="7"/>
  <c r="I8" i="7"/>
  <c r="M10" i="5"/>
  <c r="D19" i="2"/>
  <c r="F24" i="2"/>
  <c r="I4" i="2" s="1"/>
  <c r="S12" i="2" l="1"/>
  <c r="R12" i="2"/>
  <c r="P12" i="2"/>
  <c r="N12" i="2"/>
  <c r="Y12" i="2"/>
  <c r="X12" i="2"/>
  <c r="V12" i="2"/>
  <c r="H13" i="7"/>
  <c r="J13" i="7" s="1"/>
  <c r="M17" i="7"/>
  <c r="M16" i="7"/>
  <c r="M15" i="7"/>
  <c r="M14" i="7"/>
  <c r="M13" i="7"/>
  <c r="M18" i="7" s="1"/>
  <c r="K62" i="7" s="1"/>
  <c r="C4" i="2" s="1"/>
  <c r="J30" i="7"/>
  <c r="K30" i="7" s="1"/>
  <c r="I31" i="7"/>
  <c r="K64" i="7" s="1"/>
  <c r="F4" i="2" s="1"/>
  <c r="L31" i="7"/>
  <c r="H31" i="7"/>
  <c r="U12" i="2"/>
  <c r="T10" i="2"/>
  <c r="T9" i="2"/>
  <c r="L51" i="7"/>
  <c r="L50" i="7"/>
  <c r="L24" i="7"/>
  <c r="L23" i="7"/>
  <c r="L25" i="7" s="1"/>
  <c r="L17" i="7"/>
  <c r="L16" i="7"/>
  <c r="L15" i="7"/>
  <c r="L14" i="7"/>
  <c r="L13" i="7"/>
  <c r="L7" i="7"/>
  <c r="L6" i="7"/>
  <c r="J7" i="7"/>
  <c r="K7" i="7" s="1"/>
  <c r="J6" i="7"/>
  <c r="H51" i="7"/>
  <c r="H50" i="7"/>
  <c r="J59" i="7"/>
  <c r="E58" i="7"/>
  <c r="E57" i="7"/>
  <c r="E51" i="7"/>
  <c r="E50" i="7"/>
  <c r="K52" i="7" s="1"/>
  <c r="G52" i="7"/>
  <c r="E44" i="7"/>
  <c r="E43" i="7"/>
  <c r="K45" i="7"/>
  <c r="G45" i="7"/>
  <c r="K38" i="7"/>
  <c r="J24" i="7"/>
  <c r="J23" i="7"/>
  <c r="E24" i="7"/>
  <c r="G24" i="7" s="1"/>
  <c r="K24" i="7" s="1"/>
  <c r="E23" i="7"/>
  <c r="G23" i="7" s="1"/>
  <c r="K23" i="7" s="1"/>
  <c r="I25" i="7"/>
  <c r="G18" i="7"/>
  <c r="H16" i="7"/>
  <c r="H17" i="7"/>
  <c r="J17" i="7" s="1"/>
  <c r="H15" i="7"/>
  <c r="J15" i="7" s="1"/>
  <c r="H14" i="7"/>
  <c r="J8" i="7" l="1"/>
  <c r="K6" i="7"/>
  <c r="L52" i="7"/>
  <c r="H52" i="7"/>
  <c r="L18" i="7"/>
  <c r="L8" i="7"/>
  <c r="T12" i="2"/>
  <c r="W9" i="2"/>
  <c r="Q12" i="2"/>
  <c r="K59" i="7"/>
  <c r="L59" i="7" s="1"/>
  <c r="J25" i="7"/>
  <c r="K25" i="7"/>
  <c r="H18" i="7"/>
  <c r="K17" i="7"/>
  <c r="J16" i="7"/>
  <c r="K16" i="7" s="1"/>
  <c r="K13" i="7"/>
  <c r="J14" i="7"/>
  <c r="K15" i="7"/>
  <c r="K63" i="7" l="1"/>
  <c r="D4" i="2" s="1"/>
  <c r="E4" i="2" s="1"/>
  <c r="W12" i="2"/>
  <c r="K14" i="7"/>
  <c r="J18" i="7"/>
  <c r="Q6" i="2"/>
  <c r="O12" i="2" l="1"/>
  <c r="K18" i="7"/>
  <c r="K31" i="7" l="1"/>
  <c r="K66" i="7" s="1"/>
  <c r="J31" i="7"/>
  <c r="K65" i="7" l="1"/>
  <c r="G4" i="2" s="1"/>
  <c r="H4" i="2" s="1"/>
  <c r="J4" i="2" s="1"/>
  <c r="E16" i="2" l="1"/>
  <c r="E17" i="2"/>
  <c r="E18" i="2"/>
  <c r="E19" i="2" s="1"/>
  <c r="F36" i="7"/>
  <c r="F37" i="7"/>
</calcChain>
</file>

<file path=xl/sharedStrings.xml><?xml version="1.0" encoding="utf-8"?>
<sst xmlns="http://schemas.openxmlformats.org/spreadsheetml/2006/main" count="342" uniqueCount="222">
  <si>
    <t>수수료율</t>
    <phoneticPr fontId="19" type="noConversion"/>
  </si>
  <si>
    <t>[정산 방식/ VAT포함]</t>
    <phoneticPr fontId="22" type="noConversion"/>
  </si>
  <si>
    <t>항목</t>
    <phoneticPr fontId="22" type="noConversion"/>
  </si>
  <si>
    <t>비고</t>
    <phoneticPr fontId="22" type="noConversion"/>
  </si>
  <si>
    <t>[판매내역 종합]</t>
    <phoneticPr fontId="19" type="noConversion"/>
  </si>
  <si>
    <t>총계</t>
    <phoneticPr fontId="22" type="noConversion"/>
  </si>
  <si>
    <t>수량</t>
  </si>
  <si>
    <t>할인율</t>
  </si>
  <si>
    <t>vat포함</t>
    <phoneticPr fontId="19" type="noConversion"/>
  </si>
  <si>
    <t>주문번호</t>
  </si>
  <si>
    <t>프로모션공제</t>
    <phoneticPr fontId="22" type="noConversion"/>
  </si>
  <si>
    <t>[재고현황]</t>
    <phoneticPr fontId="19" type="noConversion"/>
  </si>
  <si>
    <t>품목관리코드</t>
    <phoneticPr fontId="19" type="noConversion"/>
  </si>
  <si>
    <t>품목명</t>
    <phoneticPr fontId="19" type="noConversion"/>
  </si>
  <si>
    <t>기초재고</t>
    <phoneticPr fontId="19" type="noConversion"/>
  </si>
  <si>
    <t>입고</t>
    <phoneticPr fontId="19" type="noConversion"/>
  </si>
  <si>
    <t>출고</t>
    <phoneticPr fontId="19" type="noConversion"/>
  </si>
  <si>
    <t>기말재고</t>
    <phoneticPr fontId="19" type="noConversion"/>
  </si>
  <si>
    <t>전체</t>
  </si>
  <si>
    <t>불용</t>
    <phoneticPr fontId="19" type="noConversion"/>
  </si>
  <si>
    <t>반품</t>
    <phoneticPr fontId="19" type="noConversion"/>
  </si>
  <si>
    <t>정상</t>
    <phoneticPr fontId="19" type="noConversion"/>
  </si>
  <si>
    <t>판매</t>
    <phoneticPr fontId="19" type="noConversion"/>
  </si>
  <si>
    <t>비매출</t>
    <phoneticPr fontId="19" type="noConversion"/>
  </si>
  <si>
    <t>도톤 포레스트 워터리스 풋클리너 100ml</t>
  </si>
  <si>
    <t>도톤 포레스트 아웃도어 스프레이 150ml</t>
  </si>
  <si>
    <t>입출고일자</t>
  </si>
  <si>
    <t>입력일자</t>
  </si>
  <si>
    <t>공급처명</t>
  </si>
  <si>
    <t>바코드번호</t>
  </si>
  <si>
    <t>상품명</t>
  </si>
  <si>
    <t>옵션내용</t>
  </si>
  <si>
    <t>입고수량</t>
  </si>
  <si>
    <t>입고금액</t>
  </si>
  <si>
    <t>출고수량</t>
  </si>
  <si>
    <t>출고금액</t>
  </si>
  <si>
    <t>재고작업구분</t>
  </si>
  <si>
    <t>판매처명</t>
  </si>
  <si>
    <t>판매단가</t>
  </si>
  <si>
    <t>판매금액</t>
  </si>
  <si>
    <t>입출고구분</t>
  </si>
  <si>
    <t>도톤</t>
  </si>
  <si>
    <t>단일상품</t>
  </si>
  <si>
    <t>발송및출고</t>
  </si>
  <si>
    <t>출고</t>
  </si>
  <si>
    <t>카페24_베럴즈</t>
  </si>
  <si>
    <t>판매구분</t>
    <phoneticPr fontId="19" type="noConversion"/>
  </si>
  <si>
    <t>주문일시</t>
  </si>
  <si>
    <t>수령인</t>
  </si>
  <si>
    <t>상품명(우프(기본))</t>
  </si>
  <si>
    <t>도톤 포레스트 워터리스 풋클리너 강아지 발세정제 100ml</t>
  </si>
  <si>
    <t>상품옵션(기본)</t>
  </si>
  <si>
    <t>판매상세 (주문번호)</t>
    <phoneticPr fontId="19" type="noConversion"/>
  </si>
  <si>
    <t>판매상세 (위탁판매 수수료율)</t>
    <phoneticPr fontId="19" type="noConversion"/>
  </si>
  <si>
    <t>내용</t>
    <phoneticPr fontId="19" type="noConversion"/>
  </si>
  <si>
    <t>몽슈슈</t>
    <phoneticPr fontId="19" type="noConversion"/>
  </si>
  <si>
    <t>순번</t>
  </si>
  <si>
    <t xml:space="preserve">제품 </t>
  </si>
  <si>
    <t>DOTEON Foot Cleaner</t>
  </si>
  <si>
    <t>DOTEON Outdoor Spray</t>
  </si>
  <si>
    <t>정가</t>
  </si>
  <si>
    <t>정가</t>
    <phoneticPr fontId="19" type="noConversion"/>
  </si>
  <si>
    <t>주요채널: 오프라인 백화점 팝업스토어</t>
    <phoneticPr fontId="19" type="noConversion"/>
  </si>
  <si>
    <t>단품1개</t>
  </si>
  <si>
    <t>단품2개</t>
  </si>
  <si>
    <t>단품3개</t>
  </si>
  <si>
    <t>혼합1+2</t>
  </si>
  <si>
    <t>혼합3+3</t>
  </si>
  <si>
    <t>판매가합계</t>
    <phoneticPr fontId="19" type="noConversion"/>
  </si>
  <si>
    <t>수수료</t>
    <phoneticPr fontId="19" type="noConversion"/>
  </si>
  <si>
    <t>수수료합계</t>
  </si>
  <si>
    <t>수수료합계</t>
    <phoneticPr fontId="19" type="noConversion"/>
  </si>
  <si>
    <t>매출합계</t>
    <phoneticPr fontId="19" type="noConversion"/>
  </si>
  <si>
    <t>프로모션가</t>
    <phoneticPr fontId="19" type="noConversion"/>
  </si>
  <si>
    <t>순번</t>
    <phoneticPr fontId="19" type="noConversion"/>
  </si>
  <si>
    <t>품목 구성</t>
    <phoneticPr fontId="19" type="noConversion"/>
  </si>
  <si>
    <t>합계</t>
    <phoneticPr fontId="19" type="noConversion"/>
  </si>
  <si>
    <t>테일릿</t>
    <phoneticPr fontId="19" type="noConversion"/>
  </si>
  <si>
    <t>위탁재고</t>
    <phoneticPr fontId="19" type="noConversion"/>
  </si>
  <si>
    <t>매입(판매)</t>
    <phoneticPr fontId="19" type="noConversion"/>
  </si>
  <si>
    <t>주요채널: 대리점(오프라인B2B전용 도매유통업) - 소매점 40% + 대리점마진 20%</t>
    <phoneticPr fontId="19" type="noConversion"/>
  </si>
  <si>
    <t>소매점가</t>
    <phoneticPr fontId="19" type="noConversion"/>
  </si>
  <si>
    <t>대리점가</t>
    <phoneticPr fontId="19" type="noConversion"/>
  </si>
  <si>
    <t>소매점수수료</t>
    <phoneticPr fontId="19" type="noConversion"/>
  </si>
  <si>
    <t>대리점수수료</t>
    <phoneticPr fontId="19" type="noConversion"/>
  </si>
  <si>
    <t>철수마켓</t>
    <phoneticPr fontId="19" type="noConversion"/>
  </si>
  <si>
    <t>오버더센스</t>
    <phoneticPr fontId="19" type="noConversion"/>
  </si>
  <si>
    <t>주요채널: 제주도 반려동물 동반시설</t>
    <phoneticPr fontId="19" type="noConversion"/>
  </si>
  <si>
    <t>우프자사몰</t>
    <phoneticPr fontId="19" type="noConversion"/>
  </si>
  <si>
    <t>할인가</t>
    <phoneticPr fontId="19" type="noConversion"/>
  </si>
  <si>
    <t xml:space="preserve">주요채널: 우프앱/자사몰/스마트스토어 </t>
    <phoneticPr fontId="19" type="noConversion"/>
  </si>
  <si>
    <t>컬리</t>
    <phoneticPr fontId="19" type="noConversion"/>
  </si>
  <si>
    <t>판매자위탁배송</t>
    <phoneticPr fontId="19" type="noConversion"/>
  </si>
  <si>
    <t>직매출</t>
    <phoneticPr fontId="19" type="noConversion"/>
  </si>
  <si>
    <t>공제합계</t>
    <phoneticPr fontId="19" type="noConversion"/>
  </si>
  <si>
    <t>정가합계</t>
  </si>
  <si>
    <t>정가합계</t>
    <phoneticPr fontId="19" type="noConversion"/>
  </si>
  <si>
    <t>총 판매수량</t>
    <phoneticPr fontId="19" type="noConversion"/>
  </si>
  <si>
    <t>총판매수량(낱)</t>
    <phoneticPr fontId="19" type="noConversion"/>
  </si>
  <si>
    <t>할인</t>
    <phoneticPr fontId="19" type="noConversion"/>
  </si>
  <si>
    <t>없음</t>
    <phoneticPr fontId="19" type="noConversion"/>
  </si>
  <si>
    <t>실 수량(1EA단위)</t>
    <phoneticPr fontId="19" type="noConversion"/>
  </si>
  <si>
    <t>정가 22,000원 기준</t>
    <phoneticPr fontId="19" type="noConversion"/>
  </si>
  <si>
    <t>할인/프로모션 반영 판매계</t>
    <phoneticPr fontId="19" type="noConversion"/>
  </si>
  <si>
    <t>공제 수수료 계</t>
    <phoneticPr fontId="19" type="noConversion"/>
  </si>
  <si>
    <t>실 정산합계</t>
    <phoneticPr fontId="19" type="noConversion"/>
  </si>
  <si>
    <t>판매수량</t>
    <phoneticPr fontId="19" type="noConversion"/>
  </si>
  <si>
    <t>몰리스(이마트)</t>
    <phoneticPr fontId="19" type="noConversion"/>
  </si>
  <si>
    <t>상품주문번호</t>
  </si>
  <si>
    <t>구분</t>
  </si>
  <si>
    <t>구매자명</t>
  </si>
  <si>
    <t>결제금액</t>
  </si>
  <si>
    <t>판매정가계</t>
    <phoneticPr fontId="22" type="noConversion"/>
  </si>
  <si>
    <t>채널명</t>
    <phoneticPr fontId="19" type="noConversion"/>
  </si>
  <si>
    <t>BT25OS</t>
  </si>
  <si>
    <t>[메모/특이사항]</t>
    <phoneticPr fontId="19" type="noConversion"/>
  </si>
  <si>
    <t>재고이동(오프라인 위탁진열/ 판매시 정산)</t>
    <phoneticPr fontId="19" type="noConversion"/>
  </si>
  <si>
    <t>비매출: 협찬, 진열품, 샘플 등의 무상사용</t>
    <phoneticPr fontId="19" type="noConversion"/>
  </si>
  <si>
    <t>각 유통 채널별 공급마진 (위탁은 수수료/ 매입은 공급할인액) 기준</t>
    <phoneticPr fontId="19" type="noConversion"/>
  </si>
  <si>
    <t>정산 월</t>
  </si>
  <si>
    <t>[실비 : 운임/물류]</t>
    <phoneticPr fontId="19" type="noConversion"/>
  </si>
  <si>
    <t>항목</t>
    <phoneticPr fontId="19" type="noConversion"/>
  </si>
  <si>
    <t>견적(원)</t>
    <phoneticPr fontId="19" type="noConversion"/>
  </si>
  <si>
    <t>단위</t>
    <phoneticPr fontId="19" type="noConversion"/>
  </si>
  <si>
    <t>비고</t>
    <phoneticPr fontId="19" type="noConversion"/>
  </si>
  <si>
    <t>보관료</t>
    <phoneticPr fontId="19" type="noConversion"/>
  </si>
  <si>
    <t xml:space="preserve">월/평당 </t>
    <phoneticPr fontId="19" type="noConversion"/>
  </si>
  <si>
    <t>입고비용</t>
    <phoneticPr fontId="19" type="noConversion"/>
  </si>
  <si>
    <t>택배운임비</t>
    <phoneticPr fontId="19" type="noConversion"/>
  </si>
  <si>
    <t>건</t>
    <phoneticPr fontId="19" type="noConversion"/>
  </si>
  <si>
    <t>물류비</t>
    <phoneticPr fontId="19" type="noConversion"/>
  </si>
  <si>
    <t>로젠택배(소형)</t>
    <phoneticPr fontId="19" type="noConversion"/>
  </si>
  <si>
    <t>*입고비용 및 보관비용은 청구제외 하였으며, 운송실비(당사가 3PL 지불하는 택배운임비 +물류비) 청구기준만 기재합니다. *소형물류기준</t>
    <phoneticPr fontId="19" type="noConversion"/>
  </si>
  <si>
    <t>청구제외</t>
    <phoneticPr fontId="19" type="noConversion"/>
  </si>
  <si>
    <t>3PL 
단가표</t>
    <phoneticPr fontId="19" type="noConversion"/>
  </si>
  <si>
    <t>vat별도</t>
    <phoneticPr fontId="19" type="noConversion"/>
  </si>
  <si>
    <t>택배</t>
    <phoneticPr fontId="22" type="noConversion"/>
  </si>
  <si>
    <t>피킹/패킹/부자재</t>
    <phoneticPr fontId="22" type="noConversion"/>
  </si>
  <si>
    <t>물류 실비 산정</t>
    <phoneticPr fontId="22" type="noConversion"/>
  </si>
  <si>
    <t>부자재 /피킹/패킹</t>
    <phoneticPr fontId="19" type="noConversion"/>
  </si>
  <si>
    <t>*퀵/용달 등 별도 운송비 발생시에는 개별기재합니다.</t>
    <phoneticPr fontId="19" type="noConversion"/>
  </si>
  <si>
    <t>실비</t>
    <phoneticPr fontId="22" type="noConversion"/>
  </si>
  <si>
    <t>매출계</t>
    <phoneticPr fontId="22" type="noConversion"/>
  </si>
  <si>
    <t>공제 수수료 
(공급마진)</t>
    <phoneticPr fontId="22" type="noConversion"/>
  </si>
  <si>
    <t>운송료 실비, PG결제 수수료 등</t>
    <phoneticPr fontId="19" type="noConversion"/>
  </si>
  <si>
    <t>이익</t>
    <phoneticPr fontId="22" type="noConversion"/>
  </si>
  <si>
    <r>
      <t xml:space="preserve">월별 제품 최종판매금액
</t>
    </r>
    <r>
      <rPr>
        <sz val="9"/>
        <color theme="1"/>
        <rFont val="Malgun Gothic"/>
        <family val="2"/>
        <charset val="129"/>
      </rPr>
      <t>(정가 - 프로모션 등 할인이 반영된 최종 결제 금액)</t>
    </r>
    <phoneticPr fontId="22" type="noConversion"/>
  </si>
  <si>
    <t>A 수수료 (공급마진)</t>
    <phoneticPr fontId="22" type="noConversion"/>
  </si>
  <si>
    <t>B 매출계 (월별 최종 판매 금액)</t>
    <phoneticPr fontId="22" type="noConversion"/>
  </si>
  <si>
    <t>C 실비</t>
    <phoneticPr fontId="22" type="noConversion"/>
  </si>
  <si>
    <t>D 이익</t>
    <phoneticPr fontId="22" type="noConversion"/>
  </si>
  <si>
    <t xml:space="preserve">세금계산서는 정산 월 기준 익익월 10일에 발행 예정입니다. </t>
  </si>
  <si>
    <t>판매 매출 발생 시, “월별 제품 최종 판매 금액”을 기준으로, 인플루언서 공구 수수료를 포함한 각각의 입점 채널별 공급 수수료, 운송료 실비, PG사 결제 수수료를 제외한 금액</t>
    <phoneticPr fontId="19" type="noConversion"/>
  </si>
  <si>
    <t xml:space="preserve">정산금액은 정산 월 기준 익월 15일에 입금 예정이며 정산금액 활용안 협의에 따라 변경될 수 있습니다. </t>
    <phoneticPr fontId="19" type="noConversion"/>
  </si>
  <si>
    <t>이익분배</t>
    <phoneticPr fontId="19" type="noConversion"/>
  </si>
  <si>
    <t>구분</t>
    <phoneticPr fontId="19" type="noConversion"/>
  </si>
  <si>
    <t>유씨엘주식회사</t>
    <phoneticPr fontId="19" type="noConversion"/>
  </si>
  <si>
    <t>우프컴퍼니(주)</t>
    <phoneticPr fontId="19" type="noConversion"/>
  </si>
  <si>
    <t>(주)메리고라운드</t>
    <phoneticPr fontId="19" type="noConversion"/>
  </si>
  <si>
    <t>비율</t>
    <phoneticPr fontId="19" type="noConversion"/>
  </si>
  <si>
    <t>금액</t>
    <phoneticPr fontId="19" type="noConversion"/>
  </si>
  <si>
    <t>매출계산서발행</t>
    <phoneticPr fontId="19" type="noConversion"/>
  </si>
  <si>
    <t>수량(출고건수)</t>
    <phoneticPr fontId="22" type="noConversion"/>
  </si>
  <si>
    <t>재고</t>
    <phoneticPr fontId="19" type="noConversion"/>
  </si>
  <si>
    <t>소비자가</t>
    <phoneticPr fontId="19" type="noConversion"/>
  </si>
  <si>
    <t>DOTEON Foot Cleaner</t>
    <phoneticPr fontId="19" type="noConversion"/>
  </si>
  <si>
    <t>공구 진행</t>
    <phoneticPr fontId="19" type="noConversion"/>
  </si>
  <si>
    <t>판매가</t>
  </si>
  <si>
    <t>구매확정일</t>
  </si>
  <si>
    <t>2398021500158</t>
  </si>
  <si>
    <t>대표 주문 번호</t>
  </si>
  <si>
    <t>주문채널</t>
  </si>
  <si>
    <t>마스터 상품 코드</t>
  </si>
  <si>
    <t>마스터 상품명</t>
  </si>
  <si>
    <t>거래 일자</t>
  </si>
  <si>
    <t>결제 상태</t>
  </si>
  <si>
    <t>정산 예정일</t>
  </si>
  <si>
    <t>판매자부담(상품할인)</t>
  </si>
  <si>
    <t>판매자부담(쿠폰할인)</t>
  </si>
  <si>
    <t>판매수수료(VAT 포함)</t>
  </si>
  <si>
    <t>판매수수료(VAT 제외)</t>
  </si>
  <si>
    <t>판매수수료(VAT)</t>
  </si>
  <si>
    <t>배송비</t>
  </si>
  <si>
    <t>반품배송비</t>
  </si>
  <si>
    <t>기타반품비용</t>
  </si>
  <si>
    <t>취소수수료</t>
  </si>
  <si>
    <t>클레임번호</t>
  </si>
  <si>
    <t>최종 정산 금액</t>
  </si>
  <si>
    <t>컬리</t>
  </si>
  <si>
    <t>M00000676604</t>
  </si>
  <si>
    <t>판매자배송(수수료율)% 부가세제외</t>
    <phoneticPr fontId="19" type="noConversion"/>
  </si>
  <si>
    <t>상품구매금액</t>
  </si>
  <si>
    <t>상품별 할인금액</t>
  </si>
  <si>
    <t>상품 쿠폰 할인금액</t>
  </si>
  <si>
    <t>할인합계</t>
  </si>
  <si>
    <t>할인합계</t>
    <phoneticPr fontId="19" type="noConversion"/>
  </si>
  <si>
    <t>25% 블랙프라이데이 할인</t>
    <phoneticPr fontId="19" type="noConversion"/>
  </si>
  <si>
    <t>정산합계</t>
    <phoneticPr fontId="19" type="noConversion"/>
  </si>
  <si>
    <t>공급가</t>
    <phoneticPr fontId="19" type="noConversion"/>
  </si>
  <si>
    <t>자사물류센터 입출고 기준</t>
    <phoneticPr fontId="19" type="noConversion"/>
  </si>
  <si>
    <t>실판매수량</t>
    <phoneticPr fontId="22" type="noConversion"/>
  </si>
  <si>
    <t>출고건수</t>
    <phoneticPr fontId="19" type="noConversion"/>
  </si>
  <si>
    <t>출고카운트</t>
    <phoneticPr fontId="19" type="noConversion"/>
  </si>
  <si>
    <t>불용이슈: 패키지 손상/파손</t>
    <phoneticPr fontId="19" type="noConversion"/>
  </si>
  <si>
    <t>12월 판매내역</t>
    <phoneticPr fontId="19" type="noConversion"/>
  </si>
  <si>
    <t xml:space="preserve">제품 </t>
    <phoneticPr fontId="19" type="noConversion"/>
  </si>
  <si>
    <t>상품코드</t>
    <phoneticPr fontId="19" type="noConversion"/>
  </si>
  <si>
    <t xml:space="preserve">단가 </t>
    <phoneticPr fontId="19" type="noConversion"/>
  </si>
  <si>
    <t>반송</t>
    <phoneticPr fontId="19" type="noConversion"/>
  </si>
  <si>
    <t>월말재고</t>
    <phoneticPr fontId="19" type="noConversion"/>
  </si>
  <si>
    <t>판매합계</t>
    <phoneticPr fontId="19" type="noConversion"/>
  </si>
  <si>
    <t>BT25DTFC</t>
    <phoneticPr fontId="19" type="noConversion"/>
  </si>
  <si>
    <t>내역없음</t>
    <phoneticPr fontId="19" type="noConversion"/>
  </si>
  <si>
    <t>20251203-0000132</t>
  </si>
  <si>
    <t>손선미</t>
  </si>
  <si>
    <t>2025-12-04 오후 12:33:25</t>
  </si>
  <si>
    <t>판매청구</t>
  </si>
  <si>
    <t>자사몰판매</t>
  </si>
  <si>
    <t>20251203-0000132</t>
    <phoneticPr fontId="19" type="noConversion"/>
  </si>
  <si>
    <t>12월 1일</t>
    <phoneticPr fontId="19" type="noConversion"/>
  </si>
  <si>
    <r>
      <t>12</t>
    </r>
    <r>
      <rPr>
        <b/>
        <sz val="11"/>
        <color theme="1"/>
        <rFont val="Noto Sans KR"/>
        <family val="2"/>
      </rPr>
      <t>월</t>
    </r>
    <r>
      <rPr>
        <b/>
        <sz val="11"/>
        <color theme="1"/>
        <rFont val="Noto Sans KR"/>
        <charset val="129"/>
      </rPr>
      <t xml:space="preserve"> 31</t>
    </r>
    <r>
      <rPr>
        <b/>
        <sz val="11"/>
        <color theme="1"/>
        <rFont val="Noto Sans KR"/>
        <family val="2"/>
      </rPr>
      <t>일</t>
    </r>
    <phoneticPr fontId="19" type="noConversion"/>
  </si>
  <si>
    <t>판매기간 2025 12/1 - 12/31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</si>
</sst>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₩&quot;* #,##0_);_(&quot;₩&quot;* \(#,##0\);_(&quot;₩&quot;* &quot;-&quot;_);_(@_)"/>
    <numFmt numFmtId="41" formatCode="_(* #,##0_);_(* \(#,##0\);_(* &quot;-&quot;_);_(@_)"/>
    <numFmt numFmtId="176" formatCode="_-* #,##0_-;\-* #,##0_-;_-* &quot;-&quot;_-;_-@_-"/>
    <numFmt numFmtId="177" formatCode="yyyy&quot;년&quot;\ m&quot;월&quot;;@"/>
    <numFmt numFmtId="178" formatCode="mm&quot;월&quot;\ dd&quot;일&quot;"/>
    <numFmt numFmtId="179" formatCode="m&quot;월&quot;\ d&quot;일&quot;;@"/>
    <numFmt numFmtId="180" formatCode="0_);[Red]\(0\)"/>
  </numFmts>
  <fonts count="4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i/>
      <sz val="10"/>
      <color theme="1"/>
      <name val="Noto Sans KR"/>
      <family val="3"/>
      <charset val="129"/>
    </font>
    <font>
      <b/>
      <sz val="11"/>
      <color theme="1"/>
      <name val="Noto Sans KR"/>
      <family val="2"/>
    </font>
    <font>
      <b/>
      <sz val="11"/>
      <color theme="1"/>
      <name val="Noto Sans KR"/>
      <charset val="129"/>
    </font>
    <font>
      <sz val="9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sz val="9"/>
      <color theme="0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Noto Sans KR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Malgun Gothic"/>
      <family val="2"/>
      <charset val="129"/>
    </font>
    <font>
      <b/>
      <sz val="9"/>
      <color theme="1"/>
      <name val="맑은 고딕"/>
      <family val="2"/>
      <charset val="129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CCCC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8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9" fontId="21" fillId="36" borderId="12" xfId="44" applyFont="1" applyFill="1" applyBorder="1" applyAlignment="1" applyProtection="1">
      <alignment horizontal="center" vertical="center" wrapText="1"/>
      <protection locked="0"/>
    </xf>
    <xf numFmtId="38" fontId="24" fillId="0" borderId="14" xfId="44" applyNumberFormat="1" applyFont="1" applyFill="1" applyBorder="1" applyAlignment="1" applyProtection="1">
      <alignment horizontal="center" vertical="center"/>
      <protection locked="0"/>
    </xf>
    <xf numFmtId="176" fontId="24" fillId="0" borderId="14" xfId="44" applyNumberFormat="1" applyFont="1" applyFill="1" applyBorder="1" applyAlignment="1" applyProtection="1">
      <alignment horizontal="center" vertical="center"/>
      <protection locked="0"/>
    </xf>
    <xf numFmtId="176" fontId="24" fillId="0" borderId="14" xfId="43" applyNumberFormat="1" applyFont="1" applyBorder="1" applyAlignment="1">
      <alignment horizontal="center" vertical="center"/>
    </xf>
    <xf numFmtId="0" fontId="20" fillId="0" borderId="0" xfId="43" applyFont="1" applyAlignment="1">
      <alignment horizontal="left" vertical="center"/>
    </xf>
    <xf numFmtId="0" fontId="25" fillId="0" borderId="0" xfId="43" applyFont="1" applyAlignment="1">
      <alignment horizontal="left" vertical="center"/>
    </xf>
    <xf numFmtId="0" fontId="20" fillId="0" borderId="0" xfId="0" applyFont="1">
      <alignment vertical="center"/>
    </xf>
    <xf numFmtId="0" fontId="27" fillId="0" borderId="0" xfId="0" applyFont="1" applyAlignment="1">
      <alignment horizontal="right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 applyAlignment="1">
      <alignment horizontal="right" vertical="center"/>
    </xf>
    <xf numFmtId="0" fontId="28" fillId="33" borderId="18" xfId="0" applyFont="1" applyFill="1" applyBorder="1" applyAlignment="1">
      <alignment horizontal="center" vertical="center"/>
    </xf>
    <xf numFmtId="0" fontId="28" fillId="33" borderId="19" xfId="0" applyFont="1" applyFill="1" applyBorder="1" applyAlignment="1">
      <alignment horizontal="center" vertical="center"/>
    </xf>
    <xf numFmtId="0" fontId="28" fillId="37" borderId="16" xfId="0" applyFont="1" applyFill="1" applyBorder="1" applyAlignment="1">
      <alignment horizontal="center" vertical="center"/>
    </xf>
    <xf numFmtId="0" fontId="28" fillId="37" borderId="12" xfId="0" applyFont="1" applyFill="1" applyBorder="1" applyAlignment="1">
      <alignment horizontal="center" vertical="center"/>
    </xf>
    <xf numFmtId="0" fontId="29" fillId="37" borderId="12" xfId="0" applyFont="1" applyFill="1" applyBorder="1" applyAlignment="1">
      <alignment horizontal="center" vertical="center"/>
    </xf>
    <xf numFmtId="0" fontId="29" fillId="37" borderId="17" xfId="0" applyFont="1" applyFill="1" applyBorder="1" applyAlignment="1">
      <alignment horizontal="center" vertical="center"/>
    </xf>
    <xf numFmtId="0" fontId="29" fillId="0" borderId="12" xfId="0" applyFont="1" applyBorder="1">
      <alignment vertical="center"/>
    </xf>
    <xf numFmtId="176" fontId="29" fillId="0" borderId="12" xfId="1" applyFont="1" applyBorder="1">
      <alignment vertical="center"/>
    </xf>
    <xf numFmtId="176" fontId="29" fillId="0" borderId="17" xfId="1" applyFont="1" applyBorder="1">
      <alignment vertical="center"/>
    </xf>
    <xf numFmtId="0" fontId="28" fillId="33" borderId="16" xfId="0" applyFont="1" applyFill="1" applyBorder="1" applyAlignment="1">
      <alignment horizontal="center" vertical="center"/>
    </xf>
    <xf numFmtId="0" fontId="28" fillId="33" borderId="12" xfId="0" applyFont="1" applyFill="1" applyBorder="1" applyAlignment="1">
      <alignment horizontal="center" vertical="center"/>
    </xf>
    <xf numFmtId="176" fontId="28" fillId="0" borderId="12" xfId="1" applyFont="1" applyBorder="1">
      <alignment vertical="center"/>
    </xf>
    <xf numFmtId="180" fontId="29" fillId="0" borderId="16" xfId="0" applyNumberFormat="1" applyFont="1" applyBorder="1">
      <alignment vertical="center"/>
    </xf>
    <xf numFmtId="176" fontId="32" fillId="0" borderId="12" xfId="1" applyFont="1" applyBorder="1">
      <alignment vertical="center"/>
    </xf>
    <xf numFmtId="0" fontId="33" fillId="0" borderId="0" xfId="0" applyFont="1">
      <alignment vertical="center"/>
    </xf>
    <xf numFmtId="180" fontId="33" fillId="0" borderId="0" xfId="0" applyNumberFormat="1" applyFont="1">
      <alignment vertical="center"/>
    </xf>
    <xf numFmtId="14" fontId="33" fillId="0" borderId="0" xfId="0" applyNumberFormat="1" applyFont="1">
      <alignment vertical="center"/>
    </xf>
    <xf numFmtId="14" fontId="0" fillId="0" borderId="0" xfId="0" applyNumberFormat="1">
      <alignment vertical="center"/>
    </xf>
    <xf numFmtId="180" fontId="33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6" fontId="33" fillId="0" borderId="0" xfId="1" applyFont="1">
      <alignment vertical="center"/>
    </xf>
    <xf numFmtId="176" fontId="0" fillId="0" borderId="0" xfId="1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22" fontId="34" fillId="0" borderId="0" xfId="0" applyNumberFormat="1" applyFont="1">
      <alignment vertical="center"/>
    </xf>
    <xf numFmtId="22" fontId="33" fillId="0" borderId="0" xfId="0" applyNumberFormat="1" applyFont="1">
      <alignment vertical="center"/>
    </xf>
    <xf numFmtId="0" fontId="34" fillId="0" borderId="0" xfId="0" applyFont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176" fontId="34" fillId="0" borderId="31" xfId="1" applyFont="1" applyBorder="1" applyAlignment="1">
      <alignment horizontal="center" vertical="center"/>
    </xf>
    <xf numFmtId="9" fontId="34" fillId="0" borderId="31" xfId="0" applyNumberFormat="1" applyFont="1" applyBorder="1" applyAlignment="1">
      <alignment horizontal="center" vertical="center"/>
    </xf>
    <xf numFmtId="0" fontId="35" fillId="0" borderId="12" xfId="0" applyFont="1" applyBorder="1">
      <alignment vertical="center"/>
    </xf>
    <xf numFmtId="41" fontId="35" fillId="0" borderId="12" xfId="0" applyNumberFormat="1" applyFont="1" applyBorder="1">
      <alignment vertical="center"/>
    </xf>
    <xf numFmtId="0" fontId="34" fillId="0" borderId="12" xfId="0" applyFont="1" applyBorder="1" applyAlignment="1">
      <alignment horizontal="center" vertical="center"/>
    </xf>
    <xf numFmtId="41" fontId="34" fillId="0" borderId="12" xfId="0" applyNumberFormat="1" applyFont="1" applyBorder="1" applyAlignment="1">
      <alignment horizontal="center" vertical="center"/>
    </xf>
    <xf numFmtId="41" fontId="34" fillId="38" borderId="12" xfId="0" applyNumberFormat="1" applyFont="1" applyFill="1" applyBorder="1" applyAlignment="1">
      <alignment horizontal="center" vertical="center"/>
    </xf>
    <xf numFmtId="9" fontId="34" fillId="0" borderId="12" xfId="0" applyNumberFormat="1" applyFont="1" applyBorder="1" applyAlignment="1">
      <alignment horizontal="center" vertical="center"/>
    </xf>
    <xf numFmtId="176" fontId="34" fillId="0" borderId="12" xfId="1" applyFont="1" applyBorder="1" applyAlignment="1">
      <alignment horizontal="center" vertical="center"/>
    </xf>
    <xf numFmtId="176" fontId="35" fillId="0" borderId="12" xfId="1" applyFont="1" applyBorder="1">
      <alignment vertical="center"/>
    </xf>
    <xf numFmtId="0" fontId="35" fillId="0" borderId="0" xfId="0" applyFont="1" applyAlignment="1">
      <alignment horizontal="center" vertical="center"/>
    </xf>
    <xf numFmtId="41" fontId="35" fillId="0" borderId="0" xfId="0" applyNumberFormat="1" applyFont="1">
      <alignment vertical="center"/>
    </xf>
    <xf numFmtId="0" fontId="35" fillId="39" borderId="0" xfId="0" applyFont="1" applyFill="1">
      <alignment vertical="center"/>
    </xf>
    <xf numFmtId="0" fontId="34" fillId="39" borderId="0" xfId="0" applyFont="1" applyFill="1">
      <alignment vertical="center"/>
    </xf>
    <xf numFmtId="41" fontId="34" fillId="39" borderId="31" xfId="0" applyNumberFormat="1" applyFont="1" applyFill="1" applyBorder="1" applyAlignment="1">
      <alignment horizontal="center" vertical="center"/>
    </xf>
    <xf numFmtId="41" fontId="35" fillId="39" borderId="12" xfId="0" applyNumberFormat="1" applyFont="1" applyFill="1" applyBorder="1">
      <alignment vertical="center"/>
    </xf>
    <xf numFmtId="41" fontId="34" fillId="39" borderId="12" xfId="0" applyNumberFormat="1" applyFont="1" applyFill="1" applyBorder="1" applyAlignment="1">
      <alignment horizontal="center" vertical="center"/>
    </xf>
    <xf numFmtId="176" fontId="29" fillId="0" borderId="32" xfId="1" applyFont="1" applyFill="1" applyBorder="1">
      <alignment vertical="center"/>
    </xf>
    <xf numFmtId="176" fontId="0" fillId="0" borderId="0" xfId="0" applyNumberFormat="1">
      <alignment vertical="center"/>
    </xf>
    <xf numFmtId="180" fontId="29" fillId="39" borderId="13" xfId="0" applyNumberFormat="1" applyFont="1" applyFill="1" applyBorder="1">
      <alignment vertical="center"/>
    </xf>
    <xf numFmtId="0" fontId="29" fillId="39" borderId="14" xfId="0" applyFont="1" applyFill="1" applyBorder="1">
      <alignment vertical="center"/>
    </xf>
    <xf numFmtId="176" fontId="29" fillId="39" borderId="14" xfId="1" applyFont="1" applyFill="1" applyBorder="1">
      <alignment vertical="center"/>
    </xf>
    <xf numFmtId="176" fontId="32" fillId="39" borderId="14" xfId="1" applyFont="1" applyFill="1" applyBorder="1">
      <alignment vertical="center"/>
    </xf>
    <xf numFmtId="176" fontId="29" fillId="39" borderId="15" xfId="1" applyFont="1" applyFill="1" applyBorder="1">
      <alignment vertical="center"/>
    </xf>
    <xf numFmtId="0" fontId="35" fillId="39" borderId="12" xfId="0" applyFont="1" applyFill="1" applyBorder="1">
      <alignment vertical="center"/>
    </xf>
    <xf numFmtId="176" fontId="35" fillId="39" borderId="12" xfId="0" applyNumberFormat="1" applyFont="1" applyFill="1" applyBorder="1">
      <alignment vertical="center"/>
    </xf>
    <xf numFmtId="0" fontId="36" fillId="0" borderId="12" xfId="0" applyFont="1" applyBorder="1">
      <alignment vertical="center"/>
    </xf>
    <xf numFmtId="41" fontId="36" fillId="39" borderId="12" xfId="0" applyNumberFormat="1" applyFont="1" applyFill="1" applyBorder="1">
      <alignment vertical="center"/>
    </xf>
    <xf numFmtId="0" fontId="34" fillId="0" borderId="19" xfId="0" applyFont="1" applyBorder="1" applyAlignment="1">
      <alignment horizontal="center" vertical="center"/>
    </xf>
    <xf numFmtId="0" fontId="34" fillId="38" borderId="19" xfId="0" applyFont="1" applyFill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41" fontId="35" fillId="0" borderId="17" xfId="0" applyNumberFormat="1" applyFont="1" applyBorder="1">
      <alignment vertical="center"/>
    </xf>
    <xf numFmtId="0" fontId="34" fillId="0" borderId="14" xfId="0" applyFont="1" applyBorder="1" applyAlignment="1">
      <alignment horizontal="center" vertical="center"/>
    </xf>
    <xf numFmtId="41" fontId="34" fillId="0" borderId="14" xfId="0" applyNumberFormat="1" applyFont="1" applyBorder="1" applyAlignment="1">
      <alignment horizontal="center" vertical="center"/>
    </xf>
    <xf numFmtId="41" fontId="34" fillId="38" borderId="14" xfId="0" applyNumberFormat="1" applyFont="1" applyFill="1" applyBorder="1" applyAlignment="1">
      <alignment horizontal="center" vertical="center"/>
    </xf>
    <xf numFmtId="9" fontId="34" fillId="0" borderId="14" xfId="0" applyNumberFormat="1" applyFont="1" applyBorder="1" applyAlignment="1">
      <alignment horizontal="center" vertical="center"/>
    </xf>
    <xf numFmtId="176" fontId="34" fillId="0" borderId="15" xfId="1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41" fontId="34" fillId="38" borderId="19" xfId="0" applyNumberFormat="1" applyFont="1" applyFill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176" fontId="34" fillId="0" borderId="34" xfId="1" applyFont="1" applyBorder="1" applyAlignment="1">
      <alignment horizontal="center" vertical="center"/>
    </xf>
    <xf numFmtId="9" fontId="34" fillId="0" borderId="34" xfId="0" applyNumberFormat="1" applyFont="1" applyBorder="1" applyAlignment="1">
      <alignment horizontal="center" vertical="center"/>
    </xf>
    <xf numFmtId="41" fontId="37" fillId="39" borderId="34" xfId="0" applyNumberFormat="1" applyFont="1" applyFill="1" applyBorder="1" applyAlignment="1">
      <alignment horizontal="center" vertical="center"/>
    </xf>
    <xf numFmtId="0" fontId="34" fillId="39" borderId="19" xfId="0" applyFont="1" applyFill="1" applyBorder="1" applyAlignment="1">
      <alignment horizontal="center" vertical="center"/>
    </xf>
    <xf numFmtId="0" fontId="35" fillId="0" borderId="20" xfId="0" applyFont="1" applyBorder="1">
      <alignment vertical="center"/>
    </xf>
    <xf numFmtId="176" fontId="34" fillId="0" borderId="14" xfId="1" applyFont="1" applyBorder="1" applyAlignment="1">
      <alignment horizontal="center" vertical="center"/>
    </xf>
    <xf numFmtId="176" fontId="37" fillId="39" borderId="14" xfId="1" applyFont="1" applyFill="1" applyBorder="1" applyAlignment="1">
      <alignment horizontal="center" vertical="center"/>
    </xf>
    <xf numFmtId="176" fontId="35" fillId="0" borderId="15" xfId="1" applyFont="1" applyFill="1" applyBorder="1">
      <alignment vertical="center"/>
    </xf>
    <xf numFmtId="176" fontId="35" fillId="0" borderId="17" xfId="1" applyFont="1" applyBorder="1">
      <alignment vertical="center"/>
    </xf>
    <xf numFmtId="176" fontId="37" fillId="39" borderId="14" xfId="1" applyFont="1" applyFill="1" applyBorder="1">
      <alignment vertical="center"/>
    </xf>
    <xf numFmtId="0" fontId="34" fillId="0" borderId="30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9" fontId="35" fillId="0" borderId="17" xfId="0" applyNumberFormat="1" applyFont="1" applyBorder="1">
      <alignment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5" fillId="0" borderId="14" xfId="0" applyFont="1" applyBorder="1">
      <alignment vertical="center"/>
    </xf>
    <xf numFmtId="41" fontId="37" fillId="39" borderId="14" xfId="0" applyNumberFormat="1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9" fontId="35" fillId="0" borderId="16" xfId="0" applyNumberFormat="1" applyFont="1" applyBorder="1">
      <alignment vertical="center"/>
    </xf>
    <xf numFmtId="176" fontId="35" fillId="0" borderId="13" xfId="1" applyFont="1" applyBorder="1">
      <alignment vertical="center"/>
    </xf>
    <xf numFmtId="0" fontId="38" fillId="41" borderId="0" xfId="0" applyFont="1" applyFill="1">
      <alignment vertical="center"/>
    </xf>
    <xf numFmtId="0" fontId="39" fillId="41" borderId="0" xfId="0" applyFont="1" applyFill="1">
      <alignment vertical="center"/>
    </xf>
    <xf numFmtId="0" fontId="38" fillId="41" borderId="0" xfId="0" applyFont="1" applyFill="1" applyAlignment="1">
      <alignment horizontal="center" vertical="center"/>
    </xf>
    <xf numFmtId="0" fontId="40" fillId="42" borderId="0" xfId="0" applyFont="1" applyFill="1" applyAlignment="1">
      <alignment horizontal="center"/>
    </xf>
    <xf numFmtId="176" fontId="40" fillId="42" borderId="0" xfId="1" applyFont="1" applyFill="1" applyAlignment="1">
      <alignment horizontal="center"/>
    </xf>
    <xf numFmtId="0" fontId="0" fillId="0" borderId="0" xfId="0" applyAlignment="1"/>
    <xf numFmtId="176" fontId="0" fillId="0" borderId="0" xfId="1" applyFont="1" applyAlignment="1"/>
    <xf numFmtId="176" fontId="34" fillId="0" borderId="1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4" fillId="40" borderId="19" xfId="0" applyFont="1" applyFill="1" applyBorder="1" applyAlignment="1">
      <alignment horizontal="center" vertical="center"/>
    </xf>
    <xf numFmtId="176" fontId="34" fillId="0" borderId="17" xfId="0" applyNumberFormat="1" applyFont="1" applyBorder="1" applyAlignment="1">
      <alignment horizontal="center" vertical="center"/>
    </xf>
    <xf numFmtId="176" fontId="34" fillId="0" borderId="14" xfId="0" applyNumberFormat="1" applyFont="1" applyBorder="1" applyAlignment="1">
      <alignment horizontal="center" vertical="center"/>
    </xf>
    <xf numFmtId="176" fontId="34" fillId="0" borderId="15" xfId="0" applyNumberFormat="1" applyFont="1" applyBorder="1" applyAlignment="1">
      <alignment horizontal="center" vertical="center"/>
    </xf>
    <xf numFmtId="176" fontId="41" fillId="0" borderId="12" xfId="1" applyFont="1" applyBorder="1">
      <alignment vertical="center"/>
    </xf>
    <xf numFmtId="177" fontId="18" fillId="0" borderId="13" xfId="43" applyNumberFormat="1" applyFont="1" applyBorder="1" applyAlignment="1">
      <alignment horizontal="center" vertical="center"/>
    </xf>
    <xf numFmtId="0" fontId="0" fillId="44" borderId="12" xfId="0" applyFill="1" applyBorder="1">
      <alignment vertical="center"/>
    </xf>
    <xf numFmtId="176" fontId="0" fillId="44" borderId="12" xfId="1" applyFont="1" applyFill="1" applyBorder="1">
      <alignment vertical="center"/>
    </xf>
    <xf numFmtId="176" fontId="0" fillId="44" borderId="12" xfId="1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176" fontId="0" fillId="0" borderId="12" xfId="1" applyFont="1" applyFill="1" applyBorder="1">
      <alignment vertical="center"/>
    </xf>
    <xf numFmtId="176" fontId="0" fillId="0" borderId="12" xfId="1" applyFont="1" applyFill="1" applyBorder="1" applyAlignment="1">
      <alignment horizontal="center" vertical="center"/>
    </xf>
    <xf numFmtId="9" fontId="21" fillId="36" borderId="17" xfId="44" applyFont="1" applyFill="1" applyBorder="1" applyAlignment="1" applyProtection="1">
      <alignment horizontal="center" vertical="center" wrapText="1"/>
      <protection locked="0"/>
    </xf>
    <xf numFmtId="176" fontId="24" fillId="0" borderId="15" xfId="44" applyNumberFormat="1" applyFont="1" applyFill="1" applyBorder="1" applyAlignment="1" applyProtection="1">
      <alignment horizontal="center" vertical="center"/>
      <protection locked="0"/>
    </xf>
    <xf numFmtId="176" fontId="43" fillId="0" borderId="15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44" fillId="0" borderId="14" xfId="44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76" fontId="0" fillId="0" borderId="0" xfId="1" applyFont="1" applyFill="1" applyBorder="1">
      <alignment vertical="center"/>
    </xf>
    <xf numFmtId="176" fontId="0" fillId="0" borderId="0" xfId="1" applyFont="1" applyFill="1" applyBorder="1" applyAlignment="1">
      <alignment horizontal="center" vertical="center"/>
    </xf>
    <xf numFmtId="9" fontId="0" fillId="0" borderId="12" xfId="46" applyFont="1" applyFill="1" applyBorder="1" applyAlignment="1">
      <alignment horizontal="center" vertical="center"/>
    </xf>
    <xf numFmtId="0" fontId="42" fillId="37" borderId="18" xfId="0" applyFont="1" applyFill="1" applyBorder="1" applyAlignment="1">
      <alignment horizontal="center" vertical="center"/>
    </xf>
    <xf numFmtId="0" fontId="42" fillId="37" borderId="19" xfId="0" applyFont="1" applyFill="1" applyBorder="1" applyAlignment="1">
      <alignment horizontal="center" vertical="center"/>
    </xf>
    <xf numFmtId="0" fontId="42" fillId="37" borderId="20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9" fontId="0" fillId="0" borderId="14" xfId="46" applyFont="1" applyFill="1" applyBorder="1" applyAlignment="1">
      <alignment horizontal="center" vertical="center"/>
    </xf>
    <xf numFmtId="176" fontId="0" fillId="0" borderId="14" xfId="1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0" fontId="42" fillId="43" borderId="18" xfId="0" applyFont="1" applyFill="1" applyBorder="1" applyAlignment="1">
      <alignment horizontal="center" vertical="center"/>
    </xf>
    <xf numFmtId="0" fontId="42" fillId="43" borderId="19" xfId="0" applyFont="1" applyFill="1" applyBorder="1" applyAlignment="1">
      <alignment horizontal="center" vertical="center"/>
    </xf>
    <xf numFmtId="0" fontId="42" fillId="43" borderId="20" xfId="0" applyFont="1" applyFill="1" applyBorder="1" applyAlignment="1">
      <alignment horizontal="center" vertical="center"/>
    </xf>
    <xf numFmtId="0" fontId="0" fillId="44" borderId="17" xfId="0" applyFill="1" applyBorder="1">
      <alignment vertical="center"/>
    </xf>
    <xf numFmtId="176" fontId="0" fillId="0" borderId="14" xfId="1" applyFont="1" applyFill="1" applyBorder="1">
      <alignment vertical="center"/>
    </xf>
    <xf numFmtId="0" fontId="1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4" fillId="39" borderId="0" xfId="0" applyFont="1" applyFill="1" applyAlignment="1">
      <alignment horizontal="center" vertical="center"/>
    </xf>
    <xf numFmtId="0" fontId="35" fillId="39" borderId="0" xfId="0" applyFont="1" applyFill="1" applyAlignment="1">
      <alignment horizontal="center" vertical="center"/>
    </xf>
    <xf numFmtId="180" fontId="0" fillId="0" borderId="0" xfId="0" applyNumberFormat="1">
      <alignment vertical="center"/>
    </xf>
    <xf numFmtId="176" fontId="16" fillId="0" borderId="0" xfId="1" applyFont="1">
      <alignment vertical="center"/>
    </xf>
    <xf numFmtId="0" fontId="33" fillId="0" borderId="0" xfId="1" applyNumberFormat="1" applyFont="1">
      <alignment vertical="center"/>
    </xf>
    <xf numFmtId="41" fontId="34" fillId="0" borderId="15" xfId="0" applyNumberFormat="1" applyFont="1" applyBorder="1" applyAlignment="1">
      <alignment horizontal="center" vertical="center"/>
    </xf>
    <xf numFmtId="176" fontId="35" fillId="0" borderId="14" xfId="1" applyFont="1" applyBorder="1">
      <alignment vertical="center"/>
    </xf>
    <xf numFmtId="176" fontId="36" fillId="0" borderId="0" xfId="0" applyNumberFormat="1" applyFont="1">
      <alignment vertical="center"/>
    </xf>
    <xf numFmtId="0" fontId="35" fillId="0" borderId="19" xfId="0" applyFont="1" applyBorder="1" applyAlignment="1">
      <alignment horizontal="center" vertical="center"/>
    </xf>
    <xf numFmtId="176" fontId="35" fillId="0" borderId="12" xfId="0" applyNumberFormat="1" applyFont="1" applyBorder="1">
      <alignment vertical="center"/>
    </xf>
    <xf numFmtId="0" fontId="33" fillId="0" borderId="12" xfId="0" applyFont="1" applyBorder="1">
      <alignment vertical="center"/>
    </xf>
    <xf numFmtId="180" fontId="33" fillId="0" borderId="12" xfId="0" applyNumberFormat="1" applyFont="1" applyBorder="1" applyAlignment="1">
      <alignment horizontal="center" vertical="center"/>
    </xf>
    <xf numFmtId="176" fontId="33" fillId="0" borderId="12" xfId="1" applyFont="1" applyBorder="1">
      <alignment vertical="center"/>
    </xf>
    <xf numFmtId="14" fontId="33" fillId="0" borderId="12" xfId="0" applyNumberFormat="1" applyFont="1" applyBorder="1">
      <alignment vertical="center"/>
    </xf>
    <xf numFmtId="0" fontId="46" fillId="0" borderId="12" xfId="0" applyFont="1" applyBorder="1">
      <alignment vertical="center"/>
    </xf>
    <xf numFmtId="176" fontId="46" fillId="0" borderId="0" xfId="1" applyFont="1">
      <alignment vertical="center"/>
    </xf>
    <xf numFmtId="0" fontId="33" fillId="0" borderId="12" xfId="0" applyFont="1" applyBorder="1" applyAlignment="1">
      <alignment horizontal="center" vertical="center"/>
    </xf>
    <xf numFmtId="0" fontId="21" fillId="0" borderId="18" xfId="43" applyFont="1" applyBorder="1" applyAlignment="1">
      <alignment horizontal="center" vertical="center" wrapText="1"/>
    </xf>
    <xf numFmtId="9" fontId="21" fillId="36" borderId="19" xfId="44" applyFont="1" applyFill="1" applyBorder="1" applyAlignment="1" applyProtection="1">
      <alignment horizontal="center" vertical="center" wrapText="1"/>
      <protection locked="0"/>
    </xf>
    <xf numFmtId="176" fontId="21" fillId="34" borderId="19" xfId="45" applyFont="1" applyFill="1" applyBorder="1" applyAlignment="1" applyProtection="1">
      <alignment horizontal="center" vertical="center" wrapText="1"/>
      <protection locked="0"/>
    </xf>
    <xf numFmtId="176" fontId="23" fillId="35" borderId="19" xfId="45" applyFont="1" applyFill="1" applyBorder="1" applyAlignment="1" applyProtection="1">
      <alignment horizontal="center" vertical="center" wrapText="1"/>
      <protection locked="0"/>
    </xf>
    <xf numFmtId="176" fontId="23" fillId="43" borderId="19" xfId="45" applyFont="1" applyFill="1" applyBorder="1" applyAlignment="1" applyProtection="1">
      <alignment horizontal="center" vertical="center" wrapText="1"/>
      <protection locked="0"/>
    </xf>
    <xf numFmtId="176" fontId="23" fillId="35" borderId="20" xfId="45" applyFont="1" applyFill="1" applyBorder="1" applyAlignment="1" applyProtection="1">
      <alignment horizontal="center" vertical="center" wrapText="1"/>
      <protection locked="0"/>
    </xf>
    <xf numFmtId="176" fontId="24" fillId="0" borderId="14" xfId="0" applyNumberFormat="1" applyFont="1" applyBorder="1" applyAlignment="1">
      <alignment horizontal="center" vertical="center"/>
    </xf>
    <xf numFmtId="0" fontId="33" fillId="0" borderId="0" xfId="0" quotePrefix="1" applyFont="1">
      <alignment vertical="center"/>
    </xf>
    <xf numFmtId="0" fontId="0" fillId="45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1" fontId="0" fillId="0" borderId="12" xfId="47" applyNumberFormat="1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33" fillId="0" borderId="12" xfId="1" applyNumberFormat="1" applyFont="1" applyBorder="1">
      <alignment vertical="center"/>
    </xf>
    <xf numFmtId="176" fontId="33" fillId="0" borderId="12" xfId="1" applyFont="1" applyFill="1" applyBorder="1">
      <alignment vertical="center"/>
    </xf>
    <xf numFmtId="0" fontId="33" fillId="0" borderId="12" xfId="0" applyFont="1" applyBorder="1" applyAlignment="1">
      <alignment vertical="center" wrapText="1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5" fillId="43" borderId="16" xfId="43" applyFont="1" applyFill="1" applyBorder="1" applyAlignment="1">
      <alignment horizontal="left" vertical="center"/>
    </xf>
    <xf numFmtId="0" fontId="25" fillId="43" borderId="12" xfId="43" applyFont="1" applyFill="1" applyBorder="1" applyAlignment="1">
      <alignment horizontal="left" vertical="center"/>
    </xf>
    <xf numFmtId="0" fontId="25" fillId="0" borderId="12" xfId="43" applyFont="1" applyBorder="1" applyAlignment="1">
      <alignment horizontal="left" vertical="center"/>
    </xf>
    <xf numFmtId="0" fontId="25" fillId="0" borderId="17" xfId="43" applyFont="1" applyBorder="1" applyAlignment="1">
      <alignment horizontal="left" vertical="center"/>
    </xf>
    <xf numFmtId="0" fontId="25" fillId="35" borderId="13" xfId="43" applyFont="1" applyFill="1" applyBorder="1" applyAlignment="1">
      <alignment horizontal="left" vertical="center"/>
    </xf>
    <xf numFmtId="0" fontId="25" fillId="35" borderId="14" xfId="43" applyFont="1" applyFill="1" applyBorder="1" applyAlignment="1">
      <alignment horizontal="left" vertical="center"/>
    </xf>
    <xf numFmtId="0" fontId="25" fillId="0" borderId="14" xfId="43" applyFont="1" applyBorder="1" applyAlignment="1">
      <alignment horizontal="left" vertical="center" wrapText="1"/>
    </xf>
    <xf numFmtId="0" fontId="25" fillId="0" borderId="14" xfId="43" applyFont="1" applyBorder="1" applyAlignment="1">
      <alignment horizontal="left" vertical="center"/>
    </xf>
    <xf numFmtId="0" fontId="25" fillId="0" borderId="15" xfId="43" applyFont="1" applyBorder="1" applyAlignment="1">
      <alignment horizontal="left" vertical="center"/>
    </xf>
    <xf numFmtId="0" fontId="21" fillId="0" borderId="10" xfId="43" applyFont="1" applyBorder="1" applyAlignment="1">
      <alignment horizontal="center" vertical="center" wrapText="1"/>
    </xf>
    <xf numFmtId="0" fontId="21" fillId="0" borderId="11" xfId="43" applyFont="1" applyBorder="1" applyAlignment="1">
      <alignment horizontal="center" vertical="center" wrapText="1"/>
    </xf>
    <xf numFmtId="9" fontId="21" fillId="0" borderId="21" xfId="44" applyFont="1" applyBorder="1" applyAlignment="1" applyProtection="1">
      <alignment horizontal="center" vertical="center" wrapText="1"/>
      <protection locked="0"/>
    </xf>
    <xf numFmtId="9" fontId="21" fillId="0" borderId="22" xfId="44" applyFont="1" applyBorder="1" applyAlignment="1" applyProtection="1">
      <alignment horizontal="center" vertical="center" wrapText="1"/>
      <protection locked="0"/>
    </xf>
    <xf numFmtId="9" fontId="21" fillId="0" borderId="24" xfId="44" applyFont="1" applyBorder="1" applyAlignment="1" applyProtection="1">
      <alignment horizontal="center" vertical="center" wrapText="1"/>
      <protection locked="0"/>
    </xf>
    <xf numFmtId="0" fontId="26" fillId="0" borderId="37" xfId="43" applyFont="1" applyBorder="1" applyAlignment="1">
      <alignment horizontal="center" vertical="center"/>
    </xf>
    <xf numFmtId="0" fontId="26" fillId="0" borderId="22" xfId="43" applyFont="1" applyBorder="1" applyAlignment="1">
      <alignment horizontal="center" vertical="center"/>
    </xf>
    <xf numFmtId="0" fontId="26" fillId="0" borderId="23" xfId="43" applyFont="1" applyBorder="1" applyAlignment="1">
      <alignment horizontal="center" vertical="center"/>
    </xf>
    <xf numFmtId="0" fontId="26" fillId="0" borderId="21" xfId="43" applyFont="1" applyBorder="1" applyAlignment="1">
      <alignment horizontal="center" vertical="center"/>
    </xf>
    <xf numFmtId="0" fontId="26" fillId="0" borderId="24" xfId="43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25" fillId="35" borderId="16" xfId="43" applyFont="1" applyFill="1" applyBorder="1" applyAlignment="1">
      <alignment horizontal="left" vertical="center"/>
    </xf>
    <xf numFmtId="0" fontId="25" fillId="35" borderId="12" xfId="43" applyFont="1" applyFill="1" applyBorder="1" applyAlignment="1">
      <alignment horizontal="left" vertical="center"/>
    </xf>
    <xf numFmtId="0" fontId="25" fillId="0" borderId="12" xfId="43" applyFont="1" applyBorder="1" applyAlignment="1">
      <alignment horizontal="left" vertical="center" wrapText="1"/>
    </xf>
    <xf numFmtId="0" fontId="25" fillId="34" borderId="16" xfId="43" applyFont="1" applyFill="1" applyBorder="1" applyAlignment="1">
      <alignment horizontal="left" vertical="center"/>
    </xf>
    <xf numFmtId="0" fontId="25" fillId="34" borderId="12" xfId="43" applyFont="1" applyFill="1" applyBorder="1" applyAlignment="1">
      <alignment horizontal="left" vertical="center"/>
    </xf>
    <xf numFmtId="179" fontId="28" fillId="33" borderId="21" xfId="0" applyNumberFormat="1" applyFont="1" applyFill="1" applyBorder="1" applyAlignment="1">
      <alignment horizontal="center" vertical="center"/>
    </xf>
    <xf numFmtId="0" fontId="28" fillId="33" borderId="22" xfId="0" applyFont="1" applyFill="1" applyBorder="1" applyAlignment="1">
      <alignment horizontal="center" vertical="center"/>
    </xf>
    <xf numFmtId="0" fontId="32" fillId="33" borderId="21" xfId="0" applyFont="1" applyFill="1" applyBorder="1" applyAlignment="1">
      <alignment horizontal="center" vertical="center"/>
    </xf>
    <xf numFmtId="0" fontId="32" fillId="33" borderId="22" xfId="0" applyFont="1" applyFill="1" applyBorder="1" applyAlignment="1">
      <alignment horizontal="center" vertical="center"/>
    </xf>
    <xf numFmtId="0" fontId="32" fillId="33" borderId="24" xfId="0" applyFont="1" applyFill="1" applyBorder="1" applyAlignment="1">
      <alignment horizontal="center" vertical="center"/>
    </xf>
    <xf numFmtId="178" fontId="28" fillId="33" borderId="25" xfId="0" applyNumberFormat="1" applyFont="1" applyFill="1" applyBorder="1" applyAlignment="1">
      <alignment horizontal="center" vertical="center"/>
    </xf>
    <xf numFmtId="178" fontId="28" fillId="33" borderId="26" xfId="0" applyNumberFormat="1" applyFont="1" applyFill="1" applyBorder="1" applyAlignment="1">
      <alignment horizontal="center" vertical="center"/>
    </xf>
    <xf numFmtId="178" fontId="28" fillId="33" borderId="27" xfId="0" applyNumberFormat="1" applyFont="1" applyFill="1" applyBorder="1" applyAlignment="1">
      <alignment horizontal="center" vertical="center"/>
    </xf>
    <xf numFmtId="178" fontId="28" fillId="33" borderId="28" xfId="0" applyNumberFormat="1" applyFont="1" applyFill="1" applyBorder="1" applyAlignment="1">
      <alignment horizontal="center" vertical="center"/>
    </xf>
    <xf numFmtId="178" fontId="28" fillId="33" borderId="29" xfId="0" applyNumberFormat="1" applyFont="1" applyFill="1" applyBorder="1" applyAlignment="1">
      <alignment horizontal="center" vertical="center"/>
    </xf>
    <xf numFmtId="178" fontId="28" fillId="33" borderId="30" xfId="0" applyNumberFormat="1" applyFont="1" applyFill="1" applyBorder="1" applyAlignment="1">
      <alignment horizontal="center" vertical="center"/>
    </xf>
    <xf numFmtId="0" fontId="28" fillId="33" borderId="21" xfId="0" applyFont="1" applyFill="1" applyBorder="1" applyAlignment="1">
      <alignment horizontal="center" vertical="center"/>
    </xf>
    <xf numFmtId="0" fontId="28" fillId="33" borderId="23" xfId="0" applyFont="1" applyFill="1" applyBorder="1" applyAlignment="1">
      <alignment horizontal="center" vertical="center"/>
    </xf>
  </cellXfs>
  <cellStyles count="48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46" builtinId="5"/>
    <cellStyle name="백분율 2" xfId="44" xr:uid="{00000000-0005-0000-0000-00001C000000}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5" xr:uid="{00000000-0005-0000-0000-000021000000}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47" builtinId="7"/>
    <cellStyle name="표준" xfId="0" builtinId="0"/>
    <cellStyle name="표준 3" xfId="43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40"/>
  <sheetViews>
    <sheetView tabSelected="1" zoomScale="85" zoomScaleNormal="85" workbookViewId="0">
      <selection activeCell="I42" sqref="I42"/>
    </sheetView>
  </sheetViews>
  <sheetFormatPr baseColWidth="10" defaultColWidth="8.83203125" defaultRowHeight="17"/>
  <cols>
    <col min="1" max="1" width="5.1640625" customWidth="1"/>
    <col min="2" max="2" width="11.33203125" customWidth="1"/>
    <col min="3" max="3" width="16.6640625" customWidth="1"/>
    <col min="4" max="4" width="13.33203125" bestFit="1" customWidth="1"/>
    <col min="5" max="6" width="16.33203125" customWidth="1"/>
    <col min="7" max="8" width="12.33203125" customWidth="1"/>
    <col min="9" max="9" width="10.5" bestFit="1" customWidth="1"/>
    <col min="10" max="10" width="12.33203125" bestFit="1" customWidth="1"/>
    <col min="11" max="11" width="6.83203125" customWidth="1"/>
    <col min="12" max="12" width="16.1640625" customWidth="1"/>
    <col min="13" max="13" width="38.33203125" customWidth="1"/>
    <col min="14" max="25" width="9.5" customWidth="1"/>
  </cols>
  <sheetData>
    <row r="2" spans="2:26" ht="18" thickBot="1">
      <c r="B2" s="7" t="s">
        <v>4</v>
      </c>
      <c r="H2" s="8"/>
      <c r="J2" s="131" t="s">
        <v>8</v>
      </c>
    </row>
    <row r="3" spans="2:26" ht="38" customHeight="1">
      <c r="B3" s="173" t="s">
        <v>119</v>
      </c>
      <c r="C3" s="174" t="s">
        <v>200</v>
      </c>
      <c r="D3" s="174" t="s">
        <v>112</v>
      </c>
      <c r="E3" s="174" t="s">
        <v>10</v>
      </c>
      <c r="F3" s="174" t="s">
        <v>5</v>
      </c>
      <c r="G3" s="175" t="s">
        <v>143</v>
      </c>
      <c r="H3" s="176" t="s">
        <v>142</v>
      </c>
      <c r="I3" s="177" t="s">
        <v>141</v>
      </c>
      <c r="J3" s="178" t="s">
        <v>145</v>
      </c>
    </row>
    <row r="4" spans="2:26" ht="19" thickBot="1">
      <c r="B4" s="121">
        <v>45992</v>
      </c>
      <c r="C4" s="2">
        <f>'채널별 판매데이터 정리'!K62</f>
        <v>5</v>
      </c>
      <c r="D4" s="132">
        <f>'채널별 판매데이터 정리'!K63</f>
        <v>110000</v>
      </c>
      <c r="E4" s="3">
        <f>D4-F4</f>
        <v>5500</v>
      </c>
      <c r="F4" s="3">
        <f>'채널별 판매데이터 정리'!K64</f>
        <v>104500</v>
      </c>
      <c r="G4" s="4">
        <f>'채널별 판매데이터 정리'!K65</f>
        <v>35200</v>
      </c>
      <c r="H4" s="179">
        <f>F4-G4</f>
        <v>69300</v>
      </c>
      <c r="I4" s="179">
        <f>F24</f>
        <v>4080</v>
      </c>
      <c r="J4" s="130">
        <f>H4-I4</f>
        <v>65220</v>
      </c>
    </row>
    <row r="5" spans="2:26" ht="18" thickBot="1">
      <c r="L5" s="9" t="s">
        <v>11</v>
      </c>
      <c r="M5" s="10" t="s">
        <v>199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</row>
    <row r="6" spans="2:26" ht="16.5" customHeight="1" thickBot="1">
      <c r="B6" s="5" t="s">
        <v>1</v>
      </c>
      <c r="C6" s="6"/>
      <c r="L6" s="12"/>
      <c r="M6" s="13"/>
      <c r="N6" s="229" t="s">
        <v>219</v>
      </c>
      <c r="O6" s="219"/>
      <c r="P6" s="230"/>
      <c r="Q6" s="218" t="str">
        <f>N6&amp;" ~ "&amp;W6</f>
        <v>12월 1일 ~ 12월 31일</v>
      </c>
      <c r="R6" s="219"/>
      <c r="S6" s="219"/>
      <c r="T6" s="219"/>
      <c r="U6" s="219"/>
      <c r="V6" s="219"/>
      <c r="W6" s="220" t="s">
        <v>220</v>
      </c>
      <c r="X6" s="221"/>
      <c r="Y6" s="222"/>
    </row>
    <row r="7" spans="2:26">
      <c r="B7" s="207" t="s">
        <v>2</v>
      </c>
      <c r="C7" s="208"/>
      <c r="D7" s="208"/>
      <c r="E7" s="209"/>
      <c r="F7" s="210" t="s">
        <v>3</v>
      </c>
      <c r="G7" s="208"/>
      <c r="H7" s="208"/>
      <c r="I7" s="208"/>
      <c r="J7" s="211"/>
      <c r="L7" s="21"/>
      <c r="M7" s="22"/>
      <c r="N7" s="223" t="s">
        <v>14</v>
      </c>
      <c r="O7" s="224"/>
      <c r="P7" s="225"/>
      <c r="Q7" s="223" t="s">
        <v>15</v>
      </c>
      <c r="R7" s="224"/>
      <c r="S7" s="225"/>
      <c r="T7" s="223" t="s">
        <v>16</v>
      </c>
      <c r="U7" s="224"/>
      <c r="V7" s="224"/>
      <c r="W7" s="226" t="s">
        <v>17</v>
      </c>
      <c r="X7" s="227"/>
      <c r="Y7" s="228"/>
    </row>
    <row r="8" spans="2:26" ht="33" customHeight="1">
      <c r="B8" s="216" t="s">
        <v>147</v>
      </c>
      <c r="C8" s="217"/>
      <c r="D8" s="217"/>
      <c r="E8" s="217"/>
      <c r="F8" s="195" t="s">
        <v>118</v>
      </c>
      <c r="G8" s="195"/>
      <c r="H8" s="195"/>
      <c r="I8" s="195"/>
      <c r="J8" s="196"/>
      <c r="L8" s="14" t="s">
        <v>12</v>
      </c>
      <c r="M8" s="15" t="s">
        <v>13</v>
      </c>
      <c r="N8" s="15" t="s">
        <v>18</v>
      </c>
      <c r="O8" s="16" t="s">
        <v>21</v>
      </c>
      <c r="P8" s="16" t="s">
        <v>19</v>
      </c>
      <c r="Q8" s="15" t="s">
        <v>18</v>
      </c>
      <c r="R8" s="16" t="s">
        <v>15</v>
      </c>
      <c r="S8" s="16" t="s">
        <v>20</v>
      </c>
      <c r="T8" s="15" t="s">
        <v>18</v>
      </c>
      <c r="U8" s="16" t="s">
        <v>22</v>
      </c>
      <c r="V8" s="16" t="s">
        <v>23</v>
      </c>
      <c r="W8" s="15" t="s">
        <v>18</v>
      </c>
      <c r="X8" s="16" t="s">
        <v>21</v>
      </c>
      <c r="Y8" s="17" t="s">
        <v>19</v>
      </c>
    </row>
    <row r="9" spans="2:26" ht="33" customHeight="1">
      <c r="B9" s="213" t="s">
        <v>148</v>
      </c>
      <c r="C9" s="214"/>
      <c r="D9" s="214"/>
      <c r="E9" s="214"/>
      <c r="F9" s="215" t="s">
        <v>146</v>
      </c>
      <c r="G9" s="195"/>
      <c r="H9" s="195"/>
      <c r="I9" s="195"/>
      <c r="J9" s="196"/>
      <c r="L9" s="24">
        <v>8809879544118</v>
      </c>
      <c r="M9" s="18" t="s">
        <v>24</v>
      </c>
      <c r="N9" s="23">
        <f>O9+P9</f>
        <v>299</v>
      </c>
      <c r="O9" s="19">
        <v>299</v>
      </c>
      <c r="P9" s="19">
        <v>0</v>
      </c>
      <c r="Q9" s="120"/>
      <c r="R9" s="19">
        <v>0</v>
      </c>
      <c r="S9" s="19"/>
      <c r="T9" s="23">
        <f>U9+V9</f>
        <v>1</v>
      </c>
      <c r="U9" s="19">
        <v>1</v>
      </c>
      <c r="V9" s="19">
        <v>0</v>
      </c>
      <c r="W9" s="23">
        <f>N9+Q9-T9</f>
        <v>298</v>
      </c>
      <c r="X9" s="19">
        <v>298</v>
      </c>
      <c r="Y9" s="20"/>
      <c r="Z9" s="57"/>
    </row>
    <row r="10" spans="2:26" ht="33" customHeight="1">
      <c r="B10" s="193" t="s">
        <v>149</v>
      </c>
      <c r="C10" s="194"/>
      <c r="D10" s="194"/>
      <c r="E10" s="194"/>
      <c r="F10" s="195" t="s">
        <v>144</v>
      </c>
      <c r="G10" s="195"/>
      <c r="H10" s="195"/>
      <c r="I10" s="195"/>
      <c r="J10" s="196"/>
      <c r="L10" s="24">
        <v>8809879544101</v>
      </c>
      <c r="M10" s="18" t="s">
        <v>25</v>
      </c>
      <c r="N10" s="25">
        <f>O10+P10</f>
        <v>489</v>
      </c>
      <c r="O10" s="19">
        <v>489</v>
      </c>
      <c r="P10" s="19">
        <v>0</v>
      </c>
      <c r="Q10" s="19"/>
      <c r="R10" s="19"/>
      <c r="S10" s="19"/>
      <c r="T10" s="23">
        <f>U10+V10</f>
        <v>0</v>
      </c>
      <c r="U10" s="19">
        <v>0</v>
      </c>
      <c r="V10" s="19">
        <v>0</v>
      </c>
      <c r="W10" s="23">
        <f>X10-Y10</f>
        <v>489</v>
      </c>
      <c r="X10" s="19">
        <v>489</v>
      </c>
      <c r="Y10" s="20"/>
      <c r="Z10" s="57"/>
    </row>
    <row r="11" spans="2:26" ht="33" customHeight="1" thickBot="1">
      <c r="B11" s="197" t="s">
        <v>150</v>
      </c>
      <c r="C11" s="198"/>
      <c r="D11" s="198"/>
      <c r="E11" s="198"/>
      <c r="F11" s="199" t="s">
        <v>152</v>
      </c>
      <c r="G11" s="200"/>
      <c r="H11" s="200"/>
      <c r="I11" s="200"/>
      <c r="J11" s="201"/>
      <c r="L11" s="24"/>
      <c r="M11" s="18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20"/>
    </row>
    <row r="12" spans="2:26" ht="18" thickBot="1">
      <c r="L12" s="59"/>
      <c r="M12" s="60" t="s">
        <v>76</v>
      </c>
      <c r="N12" s="62">
        <f t="shared" ref="N12:Y12" si="0">SUM(N9:N11)</f>
        <v>788</v>
      </c>
      <c r="O12" s="61">
        <f t="shared" si="0"/>
        <v>788</v>
      </c>
      <c r="P12" s="61">
        <f t="shared" si="0"/>
        <v>0</v>
      </c>
      <c r="Q12" s="61">
        <f t="shared" si="0"/>
        <v>0</v>
      </c>
      <c r="R12" s="61">
        <f t="shared" si="0"/>
        <v>0</v>
      </c>
      <c r="S12" s="61">
        <f t="shared" si="0"/>
        <v>0</v>
      </c>
      <c r="T12" s="61">
        <f t="shared" si="0"/>
        <v>1</v>
      </c>
      <c r="U12" s="62">
        <f t="shared" si="0"/>
        <v>1</v>
      </c>
      <c r="V12" s="61">
        <f t="shared" si="0"/>
        <v>0</v>
      </c>
      <c r="W12" s="62">
        <f t="shared" si="0"/>
        <v>787</v>
      </c>
      <c r="X12" s="61">
        <f t="shared" si="0"/>
        <v>787</v>
      </c>
      <c r="Y12" s="63">
        <f t="shared" si="0"/>
        <v>0</v>
      </c>
    </row>
    <row r="13" spans="2:26" ht="17" customHeight="1"/>
    <row r="14" spans="2:26" ht="18" customHeight="1" thickBot="1">
      <c r="B14" s="150" t="s">
        <v>161</v>
      </c>
      <c r="F14" s="131" t="s">
        <v>8</v>
      </c>
    </row>
    <row r="15" spans="2:26" ht="20" customHeight="1">
      <c r="B15" s="137" t="s">
        <v>121</v>
      </c>
      <c r="C15" s="138" t="s">
        <v>155</v>
      </c>
      <c r="D15" s="138" t="s">
        <v>159</v>
      </c>
      <c r="E15" s="138" t="s">
        <v>160</v>
      </c>
      <c r="F15" s="139" t="s">
        <v>124</v>
      </c>
    </row>
    <row r="16" spans="2:26" ht="17" customHeight="1">
      <c r="B16" s="212" t="s">
        <v>154</v>
      </c>
      <c r="C16" s="125" t="s">
        <v>156</v>
      </c>
      <c r="D16" s="136">
        <v>0.4</v>
      </c>
      <c r="E16" s="127">
        <f>J4*40%</f>
        <v>26088</v>
      </c>
      <c r="F16" s="140"/>
    </row>
    <row r="17" spans="2:6" ht="18" customHeight="1">
      <c r="B17" s="212"/>
      <c r="C17" s="125" t="s">
        <v>157</v>
      </c>
      <c r="D17" s="136">
        <v>0.3</v>
      </c>
      <c r="E17" s="127">
        <f>J4*30%</f>
        <v>19566</v>
      </c>
      <c r="F17" s="140"/>
    </row>
    <row r="18" spans="2:6">
      <c r="B18" s="212"/>
      <c r="C18" s="125" t="s">
        <v>158</v>
      </c>
      <c r="D18" s="136">
        <v>0.3</v>
      </c>
      <c r="E18" s="127">
        <f>J4*D18</f>
        <v>19566</v>
      </c>
      <c r="F18" s="140"/>
    </row>
    <row r="19" spans="2:6" ht="18" customHeight="1" thickBot="1">
      <c r="B19" s="188" t="s">
        <v>76</v>
      </c>
      <c r="C19" s="189"/>
      <c r="D19" s="142">
        <f>SUM(D16:D18)</f>
        <v>1</v>
      </c>
      <c r="E19" s="143">
        <f>SUM(E16:E18)</f>
        <v>65220</v>
      </c>
      <c r="F19" s="144"/>
    </row>
    <row r="20" spans="2:6" ht="18" customHeight="1">
      <c r="B20" s="133"/>
      <c r="D20" s="134"/>
      <c r="E20" s="135"/>
    </row>
    <row r="21" spans="2:6" ht="18" thickBot="1">
      <c r="B21" s="7" t="s">
        <v>120</v>
      </c>
      <c r="F21" s="131" t="s">
        <v>8</v>
      </c>
    </row>
    <row r="22" spans="2:6">
      <c r="B22" s="202" t="s">
        <v>119</v>
      </c>
      <c r="C22" s="204" t="s">
        <v>138</v>
      </c>
      <c r="D22" s="205"/>
      <c r="E22" s="205"/>
      <c r="F22" s="206"/>
    </row>
    <row r="23" spans="2:6">
      <c r="B23" s="203"/>
      <c r="C23" s="1" t="s">
        <v>162</v>
      </c>
      <c r="D23" s="1" t="s">
        <v>136</v>
      </c>
      <c r="E23" s="1" t="s">
        <v>137</v>
      </c>
      <c r="F23" s="128" t="s">
        <v>5</v>
      </c>
    </row>
    <row r="24" spans="2:6" ht="18" thickBot="1">
      <c r="B24" s="121">
        <v>45992</v>
      </c>
      <c r="C24" s="2">
        <v>1</v>
      </c>
      <c r="D24" s="3">
        <v>2650</v>
      </c>
      <c r="E24" s="3">
        <v>1430</v>
      </c>
      <c r="F24" s="129">
        <f>C24*(D24+E24)</f>
        <v>4080</v>
      </c>
    </row>
    <row r="25" spans="2:6">
      <c r="B25" s="26" t="s">
        <v>132</v>
      </c>
    </row>
    <row r="26" spans="2:6">
      <c r="B26" s="26" t="s">
        <v>140</v>
      </c>
    </row>
    <row r="27" spans="2:6" ht="18" thickBot="1">
      <c r="F27" s="131" t="s">
        <v>135</v>
      </c>
    </row>
    <row r="28" spans="2:6">
      <c r="B28" s="145" t="s">
        <v>121</v>
      </c>
      <c r="C28" s="146" t="s">
        <v>121</v>
      </c>
      <c r="D28" s="146" t="s">
        <v>122</v>
      </c>
      <c r="E28" s="146" t="s">
        <v>123</v>
      </c>
      <c r="F28" s="147" t="s">
        <v>124</v>
      </c>
    </row>
    <row r="29" spans="2:6">
      <c r="B29" s="190" t="s">
        <v>134</v>
      </c>
      <c r="C29" s="122" t="s">
        <v>125</v>
      </c>
      <c r="D29" s="123"/>
      <c r="E29" s="124" t="s">
        <v>126</v>
      </c>
      <c r="F29" s="148" t="s">
        <v>133</v>
      </c>
    </row>
    <row r="30" spans="2:6">
      <c r="B30" s="191"/>
      <c r="C30" s="122" t="s">
        <v>127</v>
      </c>
      <c r="D30" s="123">
        <v>0</v>
      </c>
      <c r="E30" s="124" t="s">
        <v>129</v>
      </c>
      <c r="F30" s="148" t="s">
        <v>133</v>
      </c>
    </row>
    <row r="31" spans="2:6">
      <c r="B31" s="191"/>
      <c r="C31" s="125" t="s">
        <v>128</v>
      </c>
      <c r="D31" s="126">
        <v>2500</v>
      </c>
      <c r="E31" s="127" t="s">
        <v>129</v>
      </c>
      <c r="F31" s="140" t="s">
        <v>131</v>
      </c>
    </row>
    <row r="32" spans="2:6" ht="18" thickBot="1">
      <c r="B32" s="192"/>
      <c r="C32" s="141" t="s">
        <v>130</v>
      </c>
      <c r="D32" s="149">
        <v>1300</v>
      </c>
      <c r="E32" s="143" t="s">
        <v>129</v>
      </c>
      <c r="F32" s="144" t="s">
        <v>139</v>
      </c>
    </row>
    <row r="35" spans="2:23">
      <c r="B35" s="7" t="s">
        <v>115</v>
      </c>
      <c r="W35" s="58"/>
    </row>
    <row r="36" spans="2:23">
      <c r="B36" s="180" t="s">
        <v>116</v>
      </c>
    </row>
    <row r="37" spans="2:23">
      <c r="B37" s="180" t="s">
        <v>117</v>
      </c>
    </row>
    <row r="38" spans="2:23">
      <c r="B38" s="26" t="s">
        <v>151</v>
      </c>
    </row>
    <row r="39" spans="2:23">
      <c r="B39" s="26" t="s">
        <v>153</v>
      </c>
    </row>
    <row r="40" spans="2:23">
      <c r="B40" s="26" t="s">
        <v>203</v>
      </c>
    </row>
  </sheetData>
  <mergeCells count="22">
    <mergeCell ref="Q6:V6"/>
    <mergeCell ref="W6:Y6"/>
    <mergeCell ref="N7:P7"/>
    <mergeCell ref="Q7:S7"/>
    <mergeCell ref="T7:V7"/>
    <mergeCell ref="W7:Y7"/>
    <mergeCell ref="N6:P6"/>
    <mergeCell ref="B7:E7"/>
    <mergeCell ref="F7:J7"/>
    <mergeCell ref="B16:B18"/>
    <mergeCell ref="B9:E9"/>
    <mergeCell ref="F9:J9"/>
    <mergeCell ref="B8:E8"/>
    <mergeCell ref="F8:J8"/>
    <mergeCell ref="B19:C19"/>
    <mergeCell ref="B29:B32"/>
    <mergeCell ref="B10:E10"/>
    <mergeCell ref="F10:J10"/>
    <mergeCell ref="B11:E11"/>
    <mergeCell ref="F11:J11"/>
    <mergeCell ref="B22:B23"/>
    <mergeCell ref="C22:F22"/>
  </mergeCells>
  <phoneticPr fontId="19" type="noConversion"/>
  <pageMargins left="0.7" right="0.7" top="0.75" bottom="0.75" header="0.3" footer="0.3"/>
  <pageSetup paperSize="256" orientation="portrait" horizontalDpi="203" verticalDpi="203" r:id="rId1"/>
  <ignoredErrors>
    <ignoredError sqref="C4 D4:H4 J4 F24" unlockedFormula="1"/>
    <ignoredError sqref="I4" formula="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64A1-7837-5F4E-A543-C3DE55D5108D}">
  <dimension ref="B1:M66"/>
  <sheetViews>
    <sheetView topLeftCell="A119" workbookViewId="0">
      <selection activeCell="B2" sqref="B2"/>
    </sheetView>
  </sheetViews>
  <sheetFormatPr baseColWidth="10" defaultRowHeight="15"/>
  <cols>
    <col min="1" max="1" width="4.6640625" style="35" customWidth="1"/>
    <col min="2" max="2" width="12.6640625" style="50" customWidth="1"/>
    <col min="3" max="3" width="42.1640625" style="35" customWidth="1"/>
    <col min="4" max="6" width="10.83203125" style="35"/>
    <col min="7" max="7" width="10.83203125" style="50"/>
    <col min="8" max="8" width="10.83203125" style="35"/>
    <col min="9" max="9" width="11.33203125" style="35" bestFit="1" customWidth="1"/>
    <col min="10" max="10" width="10.83203125" style="35"/>
    <col min="11" max="11" width="10.83203125" style="52"/>
    <col min="12" max="12" width="15" style="35" customWidth="1"/>
    <col min="13" max="16384" width="10.83203125" style="35"/>
  </cols>
  <sheetData>
    <row r="1" spans="2:13" ht="35" customHeight="1">
      <c r="B1" s="155" t="s">
        <v>221</v>
      </c>
    </row>
    <row r="3" spans="2:13">
      <c r="B3" s="38"/>
      <c r="C3" s="34"/>
      <c r="D3" s="34"/>
      <c r="E3" s="34"/>
      <c r="F3" s="34"/>
      <c r="G3" s="38"/>
      <c r="H3" s="34"/>
      <c r="I3" s="34"/>
      <c r="J3" s="34"/>
      <c r="K3" s="53"/>
      <c r="L3" s="34"/>
    </row>
    <row r="4" spans="2:13" ht="16" thickBot="1">
      <c r="B4" s="151" t="s">
        <v>55</v>
      </c>
      <c r="C4" s="34"/>
      <c r="D4" s="34" t="s">
        <v>62</v>
      </c>
      <c r="E4" s="34"/>
      <c r="F4" s="34"/>
      <c r="G4" s="38"/>
      <c r="H4" s="34"/>
      <c r="I4" s="34"/>
      <c r="J4" s="34"/>
      <c r="K4" s="156" t="s">
        <v>78</v>
      </c>
      <c r="L4" s="34"/>
    </row>
    <row r="5" spans="2:13">
      <c r="B5" s="77" t="s">
        <v>56</v>
      </c>
      <c r="C5" s="78" t="s">
        <v>57</v>
      </c>
      <c r="D5" s="78" t="s">
        <v>61</v>
      </c>
      <c r="E5" s="79" t="s">
        <v>198</v>
      </c>
      <c r="F5" s="78" t="s">
        <v>0</v>
      </c>
      <c r="G5" s="68" t="s">
        <v>106</v>
      </c>
      <c r="H5" s="113" t="s">
        <v>99</v>
      </c>
      <c r="I5" s="164" t="s">
        <v>72</v>
      </c>
      <c r="J5" s="68" t="s">
        <v>71</v>
      </c>
      <c r="K5" s="116" t="s">
        <v>197</v>
      </c>
      <c r="L5" s="70" t="s">
        <v>96</v>
      </c>
    </row>
    <row r="6" spans="2:13">
      <c r="B6" s="80">
        <v>1</v>
      </c>
      <c r="C6" s="39" t="s">
        <v>58</v>
      </c>
      <c r="D6" s="40">
        <v>22000</v>
      </c>
      <c r="E6" s="46">
        <v>13200</v>
      </c>
      <c r="F6" s="41">
        <v>0.4</v>
      </c>
      <c r="G6" s="39">
        <f>'DB)몽슈슈'!I3</f>
        <v>1</v>
      </c>
      <c r="H6" s="114" t="s">
        <v>100</v>
      </c>
      <c r="I6" s="112">
        <f>D6*G6</f>
        <v>22000</v>
      </c>
      <c r="J6" s="112">
        <f>D6*F6*G6</f>
        <v>8800</v>
      </c>
      <c r="K6" s="56">
        <f>I6-J6</f>
        <v>13200</v>
      </c>
      <c r="L6" s="117">
        <f>D6*G6</f>
        <v>22000</v>
      </c>
    </row>
    <row r="7" spans="2:13">
      <c r="B7" s="80">
        <v>2</v>
      </c>
      <c r="C7" s="39" t="s">
        <v>59</v>
      </c>
      <c r="D7" s="40">
        <v>22000</v>
      </c>
      <c r="E7" s="46">
        <v>13200</v>
      </c>
      <c r="F7" s="41">
        <v>0.4</v>
      </c>
      <c r="G7" s="39">
        <f>'DB)몽슈슈'!I4</f>
        <v>3</v>
      </c>
      <c r="H7" s="114" t="s">
        <v>100</v>
      </c>
      <c r="I7" s="112">
        <f>D7*G7</f>
        <v>66000</v>
      </c>
      <c r="J7" s="112">
        <f>D7*F7*G7</f>
        <v>26400</v>
      </c>
      <c r="K7" s="56">
        <f>I7-J7</f>
        <v>39600</v>
      </c>
      <c r="L7" s="117">
        <f>D7*G7</f>
        <v>66000</v>
      </c>
    </row>
    <row r="8" spans="2:13" ht="16" thickBot="1">
      <c r="B8" s="81"/>
      <c r="C8" s="82" t="s">
        <v>76</v>
      </c>
      <c r="D8" s="83"/>
      <c r="E8" s="74"/>
      <c r="F8" s="84"/>
      <c r="G8" s="82">
        <f>SUM(G6:G7)</f>
        <v>4</v>
      </c>
      <c r="H8" s="115"/>
      <c r="I8" s="118">
        <f>SUM(I6:I7)</f>
        <v>88000</v>
      </c>
      <c r="J8" s="118">
        <f>SUM(J6:J7)</f>
        <v>35200</v>
      </c>
      <c r="K8" s="100">
        <f>SUM(K6:K7)</f>
        <v>52800</v>
      </c>
      <c r="L8" s="119">
        <f>SUM(L6:L7)</f>
        <v>88000</v>
      </c>
    </row>
    <row r="11" spans="2:13" ht="16" thickBot="1">
      <c r="B11" s="151" t="s">
        <v>166</v>
      </c>
      <c r="K11" s="157" t="s">
        <v>79</v>
      </c>
    </row>
    <row r="12" spans="2:13">
      <c r="B12" s="152" t="s">
        <v>74</v>
      </c>
      <c r="C12" s="68" t="s">
        <v>75</v>
      </c>
      <c r="D12" s="68" t="s">
        <v>60</v>
      </c>
      <c r="E12" s="69" t="s">
        <v>73</v>
      </c>
      <c r="F12" s="68" t="s">
        <v>7</v>
      </c>
      <c r="G12" s="68" t="s">
        <v>106</v>
      </c>
      <c r="H12" s="70" t="s">
        <v>68</v>
      </c>
      <c r="I12" s="77" t="s">
        <v>69</v>
      </c>
      <c r="J12" s="68" t="s">
        <v>71</v>
      </c>
      <c r="K12" s="86" t="s">
        <v>72</v>
      </c>
      <c r="L12" s="87" t="s">
        <v>96</v>
      </c>
      <c r="M12" s="102" t="s">
        <v>98</v>
      </c>
    </row>
    <row r="13" spans="2:13">
      <c r="B13" s="153">
        <v>1</v>
      </c>
      <c r="C13" s="44" t="s">
        <v>63</v>
      </c>
      <c r="D13" s="45">
        <v>22000</v>
      </c>
      <c r="E13" s="46">
        <v>16500</v>
      </c>
      <c r="F13" s="47">
        <v>0.25</v>
      </c>
      <c r="G13" s="44"/>
      <c r="H13" s="71">
        <f>E13*G13</f>
        <v>0</v>
      </c>
      <c r="I13" s="103">
        <v>0.2</v>
      </c>
      <c r="J13" s="43">
        <f>H13*I13</f>
        <v>0</v>
      </c>
      <c r="K13" s="55">
        <f>H13-J13</f>
        <v>0</v>
      </c>
      <c r="L13" s="71">
        <f>D13*G13</f>
        <v>0</v>
      </c>
      <c r="M13" s="102">
        <f>G13</f>
        <v>0</v>
      </c>
    </row>
    <row r="14" spans="2:13">
      <c r="B14" s="153">
        <v>2</v>
      </c>
      <c r="C14" s="44" t="s">
        <v>64</v>
      </c>
      <c r="D14" s="45">
        <v>44000</v>
      </c>
      <c r="E14" s="46">
        <v>29900</v>
      </c>
      <c r="F14" s="47">
        <v>0.32</v>
      </c>
      <c r="G14" s="44"/>
      <c r="H14" s="71">
        <f>E14*G14</f>
        <v>0</v>
      </c>
      <c r="I14" s="103">
        <v>0.2</v>
      </c>
      <c r="J14" s="43">
        <f t="shared" ref="J14:J17" si="0">H14*I14</f>
        <v>0</v>
      </c>
      <c r="K14" s="55">
        <f t="shared" ref="K14:K17" si="1">H14-J14</f>
        <v>0</v>
      </c>
      <c r="L14" s="71">
        <f t="shared" ref="L14:L17" si="2">D14*G14</f>
        <v>0</v>
      </c>
      <c r="M14" s="102">
        <f>2*G14</f>
        <v>0</v>
      </c>
    </row>
    <row r="15" spans="2:13">
      <c r="B15" s="153">
        <v>3</v>
      </c>
      <c r="C15" s="44" t="s">
        <v>65</v>
      </c>
      <c r="D15" s="45">
        <v>66000</v>
      </c>
      <c r="E15" s="46">
        <v>42200</v>
      </c>
      <c r="F15" s="47">
        <v>0.36</v>
      </c>
      <c r="G15" s="44"/>
      <c r="H15" s="71">
        <f>E15*G15</f>
        <v>0</v>
      </c>
      <c r="I15" s="103">
        <v>0.2</v>
      </c>
      <c r="J15" s="43">
        <f t="shared" si="0"/>
        <v>0</v>
      </c>
      <c r="K15" s="55">
        <f t="shared" si="1"/>
        <v>0</v>
      </c>
      <c r="L15" s="71">
        <f t="shared" si="2"/>
        <v>0</v>
      </c>
      <c r="M15" s="102">
        <f>3*G15</f>
        <v>0</v>
      </c>
    </row>
    <row r="16" spans="2:13">
      <c r="B16" s="153">
        <v>4</v>
      </c>
      <c r="C16" s="44" t="s">
        <v>66</v>
      </c>
      <c r="D16" s="45">
        <v>66000</v>
      </c>
      <c r="E16" s="46">
        <v>42900</v>
      </c>
      <c r="F16" s="47">
        <v>0.35</v>
      </c>
      <c r="G16" s="44"/>
      <c r="H16" s="71">
        <f>E16*G16</f>
        <v>0</v>
      </c>
      <c r="I16" s="103">
        <v>0.2</v>
      </c>
      <c r="J16" s="43">
        <f t="shared" si="0"/>
        <v>0</v>
      </c>
      <c r="K16" s="55">
        <f t="shared" si="1"/>
        <v>0</v>
      </c>
      <c r="L16" s="71">
        <f t="shared" si="2"/>
        <v>0</v>
      </c>
      <c r="M16" s="102">
        <f>3*G16</f>
        <v>0</v>
      </c>
    </row>
    <row r="17" spans="2:13">
      <c r="B17" s="153">
        <v>5</v>
      </c>
      <c r="C17" s="44" t="s">
        <v>67</v>
      </c>
      <c r="D17" s="45">
        <v>132000</v>
      </c>
      <c r="E17" s="46">
        <v>79200</v>
      </c>
      <c r="F17" s="47">
        <v>0.4</v>
      </c>
      <c r="G17" s="44"/>
      <c r="H17" s="71">
        <f>E17*G17</f>
        <v>0</v>
      </c>
      <c r="I17" s="103">
        <v>0.2</v>
      </c>
      <c r="J17" s="43">
        <f t="shared" si="0"/>
        <v>0</v>
      </c>
      <c r="K17" s="55">
        <f t="shared" si="1"/>
        <v>0</v>
      </c>
      <c r="L17" s="71">
        <f t="shared" si="2"/>
        <v>0</v>
      </c>
      <c r="M17" s="102">
        <f>6*G17</f>
        <v>0</v>
      </c>
    </row>
    <row r="18" spans="2:13" ht="16" thickBot="1">
      <c r="B18" s="154"/>
      <c r="C18" s="72" t="s">
        <v>76</v>
      </c>
      <c r="D18" s="73"/>
      <c r="E18" s="74"/>
      <c r="F18" s="75"/>
      <c r="G18" s="72">
        <f>SUM(G13:G17)</f>
        <v>0</v>
      </c>
      <c r="H18" s="76">
        <f>SUM(H13:H17)</f>
        <v>0</v>
      </c>
      <c r="I18" s="104"/>
      <c r="J18" s="88">
        <f>SUM(J13:J17)</f>
        <v>0</v>
      </c>
      <c r="K18" s="92">
        <f t="shared" ref="K18" si="3">H18-J18</f>
        <v>0</v>
      </c>
      <c r="L18" s="90">
        <f>SUM(L13:L17)</f>
        <v>0</v>
      </c>
      <c r="M18" s="102">
        <f>SUM(M13:M17)</f>
        <v>0</v>
      </c>
    </row>
    <row r="21" spans="2:13" ht="16" thickBot="1">
      <c r="B21" s="151" t="s">
        <v>77</v>
      </c>
      <c r="D21" s="35" t="s">
        <v>80</v>
      </c>
      <c r="K21" s="157" t="s">
        <v>79</v>
      </c>
    </row>
    <row r="22" spans="2:13">
      <c r="B22" s="152" t="s">
        <v>74</v>
      </c>
      <c r="C22" s="68" t="s">
        <v>75</v>
      </c>
      <c r="D22" s="68" t="s">
        <v>60</v>
      </c>
      <c r="E22" s="68" t="s">
        <v>81</v>
      </c>
      <c r="F22" s="68" t="s">
        <v>83</v>
      </c>
      <c r="G22" s="69" t="s">
        <v>82</v>
      </c>
      <c r="H22" s="68" t="s">
        <v>84</v>
      </c>
      <c r="I22" s="68" t="s">
        <v>106</v>
      </c>
      <c r="J22" s="68" t="s">
        <v>71</v>
      </c>
      <c r="K22" s="116" t="s">
        <v>197</v>
      </c>
      <c r="L22" s="87" t="s">
        <v>96</v>
      </c>
    </row>
    <row r="23" spans="2:13">
      <c r="B23" s="153">
        <v>1</v>
      </c>
      <c r="C23" s="39" t="s">
        <v>58</v>
      </c>
      <c r="D23" s="45">
        <v>22000</v>
      </c>
      <c r="E23" s="45">
        <f>D23-D23*F23</f>
        <v>13200</v>
      </c>
      <c r="F23" s="47">
        <v>0.4</v>
      </c>
      <c r="G23" s="46">
        <f>E23-E23*H23</f>
        <v>10560</v>
      </c>
      <c r="H23" s="47">
        <v>0.2</v>
      </c>
      <c r="I23" s="44">
        <v>0</v>
      </c>
      <c r="J23" s="43">
        <f>D23*0.52*I23</f>
        <v>0</v>
      </c>
      <c r="K23" s="56">
        <f>G23*I23</f>
        <v>0</v>
      </c>
      <c r="L23" s="71">
        <f>D23*I23</f>
        <v>0</v>
      </c>
    </row>
    <row r="24" spans="2:13">
      <c r="B24" s="153">
        <v>2</v>
      </c>
      <c r="C24" s="39" t="s">
        <v>59</v>
      </c>
      <c r="D24" s="45">
        <v>22000</v>
      </c>
      <c r="E24" s="45">
        <f>D24-D24*F24</f>
        <v>13200</v>
      </c>
      <c r="F24" s="47">
        <v>0.4</v>
      </c>
      <c r="G24" s="46">
        <f>E24-E24*H24</f>
        <v>10560</v>
      </c>
      <c r="H24" s="47">
        <v>0.2</v>
      </c>
      <c r="I24" s="44">
        <v>0</v>
      </c>
      <c r="J24" s="43">
        <f>D24*0.52*I24</f>
        <v>0</v>
      </c>
      <c r="K24" s="56">
        <f>G24*I24</f>
        <v>0</v>
      </c>
      <c r="L24" s="71">
        <f>D24*I24</f>
        <v>0</v>
      </c>
    </row>
    <row r="25" spans="2:13" ht="16" thickBot="1">
      <c r="B25" s="154"/>
      <c r="C25" s="72" t="s">
        <v>76</v>
      </c>
      <c r="D25" s="73"/>
      <c r="E25" s="73"/>
      <c r="F25" s="73"/>
      <c r="G25" s="74"/>
      <c r="H25" s="75"/>
      <c r="I25" s="72">
        <f>SUM(I23:I24)</f>
        <v>0</v>
      </c>
      <c r="J25" s="88">
        <f>SUM(J23:J24)</f>
        <v>0</v>
      </c>
      <c r="K25" s="89">
        <f>SUM(K23:K24)</f>
        <v>0</v>
      </c>
      <c r="L25" s="90">
        <f>SUM(L20:L24)</f>
        <v>0</v>
      </c>
    </row>
    <row r="27" spans="2:13">
      <c r="H27" s="51"/>
    </row>
    <row r="28" spans="2:13" ht="16" thickBot="1">
      <c r="B28" s="151" t="s">
        <v>85</v>
      </c>
      <c r="K28" s="52" t="s">
        <v>92</v>
      </c>
    </row>
    <row r="29" spans="2:13">
      <c r="B29" s="152" t="s">
        <v>74</v>
      </c>
      <c r="C29" s="68" t="s">
        <v>75</v>
      </c>
      <c r="D29" s="68" t="s">
        <v>60</v>
      </c>
      <c r="E29" s="68" t="s">
        <v>73</v>
      </c>
      <c r="F29" s="79" t="s">
        <v>198</v>
      </c>
      <c r="G29" s="68" t="s">
        <v>0</v>
      </c>
      <c r="H29" s="68" t="s">
        <v>106</v>
      </c>
      <c r="I29" s="164" t="s">
        <v>72</v>
      </c>
      <c r="J29" s="68" t="s">
        <v>71</v>
      </c>
      <c r="K29" s="116" t="s">
        <v>197</v>
      </c>
      <c r="L29" s="70" t="s">
        <v>96</v>
      </c>
    </row>
    <row r="30" spans="2:13">
      <c r="B30" s="153">
        <v>1</v>
      </c>
      <c r="C30" s="39" t="s">
        <v>165</v>
      </c>
      <c r="D30" s="45">
        <v>22000</v>
      </c>
      <c r="E30" s="45">
        <v>22000</v>
      </c>
      <c r="F30" s="46">
        <f>E30-E30*G30</f>
        <v>16500</v>
      </c>
      <c r="G30" s="47">
        <v>0.25</v>
      </c>
      <c r="H30" s="44"/>
      <c r="I30" s="49">
        <f>E30*H30</f>
        <v>0</v>
      </c>
      <c r="J30" s="43">
        <f>E30*G30*H30</f>
        <v>0</v>
      </c>
      <c r="K30" s="55">
        <f>I30-J30</f>
        <v>0</v>
      </c>
      <c r="L30" s="91">
        <f>H30*D30</f>
        <v>0</v>
      </c>
    </row>
    <row r="31" spans="2:13" ht="16" thickBot="1">
      <c r="B31" s="154"/>
      <c r="C31" s="72" t="s">
        <v>76</v>
      </c>
      <c r="D31" s="73"/>
      <c r="E31" s="73"/>
      <c r="F31" s="74"/>
      <c r="G31" s="75"/>
      <c r="H31" s="72">
        <f>SUM(H30:H30)</f>
        <v>0</v>
      </c>
      <c r="I31" s="88">
        <f>SUM(I30)</f>
        <v>0</v>
      </c>
      <c r="J31" s="88">
        <f>SUM(J30)</f>
        <v>0</v>
      </c>
      <c r="K31" s="92">
        <f>SUM(K30)</f>
        <v>0</v>
      </c>
      <c r="L31" s="76">
        <f>SUM(L30)</f>
        <v>0</v>
      </c>
    </row>
    <row r="34" spans="2:12" ht="16" thickBot="1">
      <c r="B34" s="151" t="s">
        <v>107</v>
      </c>
      <c r="K34" s="53" t="s">
        <v>78</v>
      </c>
    </row>
    <row r="35" spans="2:12">
      <c r="B35" s="152" t="s">
        <v>74</v>
      </c>
      <c r="C35" s="68" t="s">
        <v>75</v>
      </c>
      <c r="D35" s="68" t="s">
        <v>60</v>
      </c>
      <c r="E35" s="68" t="s">
        <v>73</v>
      </c>
      <c r="F35" s="79" t="s">
        <v>198</v>
      </c>
      <c r="G35" s="68" t="s">
        <v>0</v>
      </c>
      <c r="H35" s="68" t="s">
        <v>106</v>
      </c>
      <c r="I35" s="164" t="s">
        <v>72</v>
      </c>
      <c r="J35" s="68" t="s">
        <v>71</v>
      </c>
      <c r="K35" s="116" t="s">
        <v>197</v>
      </c>
      <c r="L35" s="70" t="s">
        <v>96</v>
      </c>
    </row>
    <row r="36" spans="2:12">
      <c r="B36" s="96">
        <v>1</v>
      </c>
      <c r="C36" s="44" t="s">
        <v>165</v>
      </c>
      <c r="D36" s="48">
        <v>22000</v>
      </c>
      <c r="E36" s="48">
        <v>22000</v>
      </c>
      <c r="F36" s="46">
        <f>E36-E36*G36</f>
        <v>15400</v>
      </c>
      <c r="G36" s="47">
        <v>0.3</v>
      </c>
      <c r="H36" s="44">
        <v>0</v>
      </c>
      <c r="I36" s="165">
        <f>E36*H36</f>
        <v>0</v>
      </c>
      <c r="J36" s="112">
        <f>E36*G36*H36</f>
        <v>0</v>
      </c>
      <c r="K36" s="56"/>
      <c r="L36" s="97"/>
    </row>
    <row r="37" spans="2:12">
      <c r="B37" s="96">
        <v>2</v>
      </c>
      <c r="C37" s="44" t="s">
        <v>59</v>
      </c>
      <c r="D37" s="48">
        <v>22000</v>
      </c>
      <c r="E37" s="48">
        <v>22000</v>
      </c>
      <c r="F37" s="46">
        <f>E37-E37*G37</f>
        <v>15400</v>
      </c>
      <c r="G37" s="47">
        <v>0.3</v>
      </c>
      <c r="H37" s="44">
        <v>0</v>
      </c>
      <c r="I37" s="165">
        <f>E37*H37</f>
        <v>0</v>
      </c>
      <c r="J37" s="112">
        <f>E37*G37*H37</f>
        <v>0</v>
      </c>
      <c r="K37" s="56"/>
      <c r="L37" s="97"/>
    </row>
    <row r="38" spans="2:12" ht="16" thickBot="1">
      <c r="B38" s="98"/>
      <c r="C38" s="72" t="s">
        <v>76</v>
      </c>
      <c r="D38" s="88"/>
      <c r="E38" s="88"/>
      <c r="F38" s="74"/>
      <c r="G38" s="75"/>
      <c r="H38" s="72">
        <f>SUM(H36:H37)</f>
        <v>0</v>
      </c>
      <c r="I38" s="99"/>
      <c r="J38" s="72"/>
      <c r="K38" s="100">
        <f>SUM(K36:K37)</f>
        <v>0</v>
      </c>
      <c r="L38" s="101"/>
    </row>
    <row r="41" spans="2:12" ht="16" thickBot="1">
      <c r="B41" s="151" t="s">
        <v>86</v>
      </c>
      <c r="D41" s="35" t="s">
        <v>87</v>
      </c>
      <c r="K41" s="53" t="s">
        <v>78</v>
      </c>
    </row>
    <row r="42" spans="2:12">
      <c r="B42" s="152" t="s">
        <v>74</v>
      </c>
      <c r="C42" s="68" t="s">
        <v>75</v>
      </c>
      <c r="D42" s="68" t="s">
        <v>60</v>
      </c>
      <c r="E42" s="79" t="s">
        <v>198</v>
      </c>
      <c r="F42" s="68" t="s">
        <v>0</v>
      </c>
      <c r="G42" s="68" t="s">
        <v>106</v>
      </c>
      <c r="H42" s="68"/>
      <c r="I42" s="164" t="s">
        <v>72</v>
      </c>
      <c r="J42" s="78" t="s">
        <v>70</v>
      </c>
      <c r="K42" s="116" t="s">
        <v>197</v>
      </c>
      <c r="L42" s="70" t="s">
        <v>95</v>
      </c>
    </row>
    <row r="43" spans="2:12">
      <c r="B43" s="80">
        <v>1</v>
      </c>
      <c r="C43" s="39" t="s">
        <v>58</v>
      </c>
      <c r="D43" s="40">
        <v>22000</v>
      </c>
      <c r="E43" s="46">
        <f>D43-D43*F43</f>
        <v>14740</v>
      </c>
      <c r="F43" s="41">
        <v>0.33</v>
      </c>
      <c r="G43" s="39">
        <v>0</v>
      </c>
      <c r="H43" s="39"/>
      <c r="I43" s="42"/>
      <c r="J43" s="39"/>
      <c r="K43" s="54"/>
      <c r="L43" s="93"/>
    </row>
    <row r="44" spans="2:12">
      <c r="B44" s="80">
        <v>2</v>
      </c>
      <c r="C44" s="39" t="s">
        <v>59</v>
      </c>
      <c r="D44" s="40">
        <v>22000</v>
      </c>
      <c r="E44" s="46">
        <f>D44-D44*F44</f>
        <v>14740</v>
      </c>
      <c r="F44" s="41">
        <v>0.33</v>
      </c>
      <c r="G44" s="39">
        <v>0</v>
      </c>
      <c r="H44" s="39"/>
      <c r="I44" s="42"/>
      <c r="J44" s="39"/>
      <c r="K44" s="54"/>
      <c r="L44" s="93"/>
    </row>
    <row r="45" spans="2:12" ht="16" thickBot="1">
      <c r="B45" s="81"/>
      <c r="C45" s="82" t="s">
        <v>76</v>
      </c>
      <c r="D45" s="83"/>
      <c r="E45" s="74"/>
      <c r="F45" s="84"/>
      <c r="G45" s="82">
        <f>SUM(G43:G44)</f>
        <v>0</v>
      </c>
      <c r="H45" s="82"/>
      <c r="I45" s="99"/>
      <c r="J45" s="82"/>
      <c r="K45" s="85">
        <f>SUM(K43:K44)</f>
        <v>0</v>
      </c>
      <c r="L45" s="94"/>
    </row>
    <row r="48" spans="2:12" ht="16" thickBot="1">
      <c r="B48" s="151" t="s">
        <v>88</v>
      </c>
      <c r="D48" s="35" t="s">
        <v>90</v>
      </c>
      <c r="K48" s="52" t="s">
        <v>93</v>
      </c>
    </row>
    <row r="49" spans="2:12">
      <c r="B49" s="152" t="s">
        <v>74</v>
      </c>
      <c r="C49" s="68" t="s">
        <v>75</v>
      </c>
      <c r="D49" s="68" t="s">
        <v>60</v>
      </c>
      <c r="E49" s="69" t="s">
        <v>73</v>
      </c>
      <c r="F49" s="68" t="s">
        <v>7</v>
      </c>
      <c r="G49" s="68" t="s">
        <v>106</v>
      </c>
      <c r="H49" s="68" t="s">
        <v>195</v>
      </c>
      <c r="I49" s="164" t="s">
        <v>72</v>
      </c>
      <c r="J49" s="68" t="s">
        <v>70</v>
      </c>
      <c r="K49" s="116" t="s">
        <v>197</v>
      </c>
      <c r="L49" s="70" t="s">
        <v>95</v>
      </c>
    </row>
    <row r="50" spans="2:12">
      <c r="B50" s="96">
        <v>1</v>
      </c>
      <c r="C50" s="44" t="s">
        <v>58</v>
      </c>
      <c r="D50" s="48">
        <v>22000</v>
      </c>
      <c r="E50" s="46">
        <f>D50-D50*F50</f>
        <v>16500</v>
      </c>
      <c r="F50" s="47">
        <v>0.25</v>
      </c>
      <c r="G50" s="44">
        <v>1</v>
      </c>
      <c r="H50" s="49">
        <f>D50*F50*G50</f>
        <v>5500</v>
      </c>
      <c r="I50" s="43">
        <f>E50*G50</f>
        <v>16500</v>
      </c>
      <c r="J50" s="43">
        <v>0</v>
      </c>
      <c r="K50" s="56">
        <f>I50-J50</f>
        <v>16500</v>
      </c>
      <c r="L50" s="91">
        <f>D50*G50</f>
        <v>22000</v>
      </c>
    </row>
    <row r="51" spans="2:12">
      <c r="B51" s="96">
        <v>2</v>
      </c>
      <c r="C51" s="44" t="s">
        <v>59</v>
      </c>
      <c r="D51" s="48">
        <v>22000</v>
      </c>
      <c r="E51" s="46">
        <f>D51-D51*F51</f>
        <v>16500</v>
      </c>
      <c r="F51" s="47">
        <v>0.25</v>
      </c>
      <c r="G51" s="44"/>
      <c r="H51" s="49">
        <f>D51*F51*G51</f>
        <v>0</v>
      </c>
      <c r="I51" s="43">
        <f>E51*G51</f>
        <v>0</v>
      </c>
      <c r="J51" s="43">
        <v>0</v>
      </c>
      <c r="K51" s="56">
        <f>I51-J51</f>
        <v>0</v>
      </c>
      <c r="L51" s="91">
        <f>D51*G51</f>
        <v>0</v>
      </c>
    </row>
    <row r="52" spans="2:12" ht="16" thickBot="1">
      <c r="B52" s="98"/>
      <c r="C52" s="72" t="s">
        <v>76</v>
      </c>
      <c r="D52" s="88"/>
      <c r="E52" s="74"/>
      <c r="F52" s="72"/>
      <c r="G52" s="72">
        <f>SUM(G50:G51)</f>
        <v>1</v>
      </c>
      <c r="H52" s="88">
        <f>SUM(H50:H51)</f>
        <v>5500</v>
      </c>
      <c r="I52" s="88">
        <f>SUM(I50:I51)</f>
        <v>16500</v>
      </c>
      <c r="J52" s="72">
        <v>0</v>
      </c>
      <c r="K52" s="100">
        <f>SUM(K50:K51)</f>
        <v>16500</v>
      </c>
      <c r="L52" s="76">
        <f>SUM(L50:L51)</f>
        <v>22000</v>
      </c>
    </row>
    <row r="55" spans="2:12" ht="16" thickBot="1">
      <c r="B55" s="151" t="s">
        <v>91</v>
      </c>
    </row>
    <row r="56" spans="2:12">
      <c r="B56" s="152" t="s">
        <v>74</v>
      </c>
      <c r="C56" s="68" t="s">
        <v>75</v>
      </c>
      <c r="D56" s="68" t="s">
        <v>60</v>
      </c>
      <c r="E56" s="69" t="s">
        <v>89</v>
      </c>
      <c r="F56" s="68" t="s">
        <v>7</v>
      </c>
      <c r="G56" s="68" t="s">
        <v>0</v>
      </c>
      <c r="H56" s="68" t="s">
        <v>106</v>
      </c>
      <c r="I56" s="164" t="s">
        <v>72</v>
      </c>
      <c r="J56" s="68" t="s">
        <v>70</v>
      </c>
      <c r="K56" s="116" t="s">
        <v>197</v>
      </c>
      <c r="L56" s="70" t="s">
        <v>95</v>
      </c>
    </row>
    <row r="57" spans="2:12">
      <c r="B57" s="96">
        <v>1</v>
      </c>
      <c r="C57" s="44" t="s">
        <v>58</v>
      </c>
      <c r="D57" s="48">
        <v>22000</v>
      </c>
      <c r="E57" s="46">
        <f>D57-D57*F57</f>
        <v>22000</v>
      </c>
      <c r="F57" s="47"/>
      <c r="G57" s="47">
        <v>0.22</v>
      </c>
      <c r="H57" s="44"/>
      <c r="I57" s="49">
        <f>E57*H57</f>
        <v>0</v>
      </c>
      <c r="J57" s="43">
        <f>E57*G57*H57</f>
        <v>0</v>
      </c>
      <c r="K57" s="56">
        <f>I57-J57</f>
        <v>0</v>
      </c>
      <c r="L57" s="91">
        <f>H57*D57</f>
        <v>0</v>
      </c>
    </row>
    <row r="58" spans="2:12">
      <c r="B58" s="96">
        <v>2</v>
      </c>
      <c r="C58" s="44" t="s">
        <v>59</v>
      </c>
      <c r="D58" s="48">
        <v>22000</v>
      </c>
      <c r="E58" s="46">
        <f>D58-D58*F58</f>
        <v>22000</v>
      </c>
      <c r="F58" s="47"/>
      <c r="G58" s="47">
        <v>0.22</v>
      </c>
      <c r="H58" s="44"/>
      <c r="I58" s="49"/>
      <c r="J58" s="43">
        <f>E58*G58*H58</f>
        <v>0</v>
      </c>
      <c r="K58" s="56"/>
      <c r="L58" s="95"/>
    </row>
    <row r="59" spans="2:12" ht="16" thickBot="1">
      <c r="B59" s="98"/>
      <c r="C59" s="72" t="s">
        <v>76</v>
      </c>
      <c r="D59" s="88"/>
      <c r="E59" s="74"/>
      <c r="F59" s="72"/>
      <c r="G59" s="72"/>
      <c r="H59" s="72">
        <f>SUM(H57:H58)</f>
        <v>0</v>
      </c>
      <c r="I59" s="162">
        <f>SUM(I57:I58)</f>
        <v>0</v>
      </c>
      <c r="J59" s="73">
        <f>SUM(J57:J58)</f>
        <v>0</v>
      </c>
      <c r="K59" s="100">
        <f>SUM(K57:K58)</f>
        <v>0</v>
      </c>
      <c r="L59" s="161">
        <f>SUM(J59:K59)</f>
        <v>0</v>
      </c>
    </row>
    <row r="62" spans="2:12">
      <c r="J62" s="42" t="s">
        <v>97</v>
      </c>
      <c r="K62" s="64">
        <f>G8+M18+I25+H31+H38+G45+G52+H59</f>
        <v>5</v>
      </c>
      <c r="L62" s="42" t="s">
        <v>101</v>
      </c>
    </row>
    <row r="63" spans="2:12">
      <c r="J63" s="42" t="s">
        <v>96</v>
      </c>
      <c r="K63" s="65">
        <f>L8+L18+L25+L31+L38+L45+L52+L59</f>
        <v>110000</v>
      </c>
      <c r="L63" s="42" t="s">
        <v>102</v>
      </c>
    </row>
    <row r="64" spans="2:12">
      <c r="J64" s="42" t="s">
        <v>72</v>
      </c>
      <c r="K64" s="65">
        <f>I8+I31+I38+I45+I52+I59</f>
        <v>104500</v>
      </c>
      <c r="L64" s="42" t="s">
        <v>103</v>
      </c>
    </row>
    <row r="65" spans="10:12">
      <c r="J65" s="42" t="s">
        <v>94</v>
      </c>
      <c r="K65" s="65">
        <f>J8+J25+J31+J38+J45+J52+J59</f>
        <v>35200</v>
      </c>
      <c r="L65" s="42" t="s">
        <v>104</v>
      </c>
    </row>
    <row r="66" spans="10:12">
      <c r="J66" s="66" t="s">
        <v>197</v>
      </c>
      <c r="K66" s="67">
        <f>K8+K18+K25+K31+K38+K45+K52+K59</f>
        <v>69300</v>
      </c>
      <c r="L66" s="42" t="s">
        <v>105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AD6F-5738-1947-9B50-3A1AE5675CA0}">
  <dimension ref="A1:T11"/>
  <sheetViews>
    <sheetView workbookViewId="0">
      <selection activeCell="E30" sqref="E30"/>
    </sheetView>
  </sheetViews>
  <sheetFormatPr baseColWidth="10" defaultRowHeight="17"/>
  <cols>
    <col min="2" max="2" width="9.5" bestFit="1" customWidth="1"/>
    <col min="3" max="3" width="20.33203125" customWidth="1"/>
    <col min="4" max="4" width="6.83203125" customWidth="1"/>
    <col min="5" max="5" width="15.83203125" style="31" customWidth="1"/>
    <col min="6" max="6" width="31.33203125" bestFit="1" customWidth="1"/>
    <col min="8" max="8" width="8.6640625" style="33" customWidth="1"/>
    <col min="9" max="9" width="10.83203125" customWidth="1"/>
    <col min="10" max="10" width="10.83203125" style="33"/>
    <col min="11" max="11" width="10.83203125" customWidth="1"/>
    <col min="13" max="13" width="15.33203125" bestFit="1" customWidth="1"/>
    <col min="14" max="15" width="10.83203125" style="33"/>
    <col min="17" max="17" width="10.83203125" style="26"/>
    <col min="18" max="18" width="20" style="26" bestFit="1" customWidth="1"/>
    <col min="19" max="19" width="17.33203125" style="26" customWidth="1"/>
    <col min="20" max="20" width="23.1640625" bestFit="1" customWidth="1"/>
  </cols>
  <sheetData>
    <row r="1" spans="1:20">
      <c r="A1" s="167" t="s">
        <v>202</v>
      </c>
      <c r="B1" s="166" t="s">
        <v>26</v>
      </c>
      <c r="C1" s="166" t="s">
        <v>27</v>
      </c>
      <c r="D1" s="166" t="s">
        <v>28</v>
      </c>
      <c r="E1" s="167" t="s">
        <v>29</v>
      </c>
      <c r="F1" s="166" t="s">
        <v>30</v>
      </c>
      <c r="G1" s="166" t="s">
        <v>31</v>
      </c>
      <c r="H1" s="168" t="s">
        <v>32</v>
      </c>
      <c r="I1" s="166" t="s">
        <v>33</v>
      </c>
      <c r="J1" s="168" t="s">
        <v>34</v>
      </c>
      <c r="K1" s="166" t="s">
        <v>35</v>
      </c>
      <c r="L1" s="166" t="s">
        <v>36</v>
      </c>
      <c r="M1" s="166" t="s">
        <v>37</v>
      </c>
      <c r="N1" s="168" t="s">
        <v>38</v>
      </c>
      <c r="O1" s="168" t="s">
        <v>39</v>
      </c>
      <c r="P1" s="166" t="s">
        <v>40</v>
      </c>
      <c r="Q1" s="166" t="s">
        <v>46</v>
      </c>
      <c r="R1" s="166" t="s">
        <v>54</v>
      </c>
      <c r="S1" s="166" t="s">
        <v>52</v>
      </c>
      <c r="T1" s="166" t="s">
        <v>53</v>
      </c>
    </row>
    <row r="2" spans="1:20">
      <c r="A2" s="167">
        <v>1</v>
      </c>
      <c r="B2" s="169">
        <v>45995</v>
      </c>
      <c r="C2" s="166" t="s">
        <v>215</v>
      </c>
      <c r="D2" s="172" t="s">
        <v>41</v>
      </c>
      <c r="E2" s="172">
        <v>8809879544118</v>
      </c>
      <c r="F2" s="166" t="s">
        <v>24</v>
      </c>
      <c r="G2" s="166" t="s">
        <v>42</v>
      </c>
      <c r="H2" s="185">
        <v>0</v>
      </c>
      <c r="I2" s="166">
        <v>0</v>
      </c>
      <c r="J2" s="185">
        <v>1</v>
      </c>
      <c r="K2" s="166">
        <v>0</v>
      </c>
      <c r="L2" s="166" t="s">
        <v>43</v>
      </c>
      <c r="M2" s="166" t="s">
        <v>45</v>
      </c>
      <c r="N2" s="185">
        <v>22000</v>
      </c>
      <c r="O2" s="185">
        <v>22000</v>
      </c>
      <c r="P2" s="166" t="s">
        <v>44</v>
      </c>
      <c r="Q2" s="166" t="s">
        <v>216</v>
      </c>
      <c r="R2" s="166" t="s">
        <v>217</v>
      </c>
      <c r="S2" s="170" t="s">
        <v>218</v>
      </c>
      <c r="T2" s="169"/>
    </row>
    <row r="3" spans="1:20">
      <c r="A3" s="167">
        <v>2</v>
      </c>
      <c r="B3" s="169"/>
      <c r="C3" s="166"/>
      <c r="D3" s="172"/>
      <c r="E3" s="167"/>
      <c r="F3" s="166"/>
      <c r="G3" s="166"/>
      <c r="H3" s="186"/>
      <c r="I3" s="166"/>
      <c r="J3" s="186"/>
      <c r="K3" s="166"/>
      <c r="L3" s="166"/>
      <c r="M3" s="166"/>
      <c r="N3" s="186"/>
      <c r="O3" s="186"/>
      <c r="P3" s="166"/>
      <c r="Q3" s="166"/>
      <c r="R3" s="166"/>
      <c r="S3" s="166"/>
      <c r="T3" s="169"/>
    </row>
    <row r="4" spans="1:20">
      <c r="A4" s="167">
        <v>3</v>
      </c>
      <c r="B4" s="169"/>
      <c r="C4" s="166"/>
      <c r="D4" s="172"/>
      <c r="E4" s="167"/>
      <c r="F4" s="166"/>
      <c r="G4" s="166"/>
      <c r="H4" s="186"/>
      <c r="I4" s="166"/>
      <c r="J4" s="186"/>
      <c r="K4" s="166"/>
      <c r="L4" s="166"/>
      <c r="M4" s="166"/>
      <c r="N4" s="186"/>
      <c r="O4" s="186"/>
      <c r="P4" s="166"/>
      <c r="Q4" s="166"/>
      <c r="R4" s="166"/>
      <c r="S4" s="166"/>
      <c r="T4" s="169"/>
    </row>
    <row r="5" spans="1:20">
      <c r="A5" s="167">
        <v>4</v>
      </c>
      <c r="B5" s="169"/>
      <c r="C5" s="166"/>
      <c r="D5" s="172"/>
      <c r="E5" s="167"/>
      <c r="F5" s="166"/>
      <c r="G5" s="166"/>
      <c r="H5" s="186"/>
      <c r="I5" s="166"/>
      <c r="J5" s="186"/>
      <c r="K5" s="166"/>
      <c r="L5" s="166"/>
      <c r="M5" s="166"/>
      <c r="N5" s="186"/>
      <c r="O5" s="186"/>
      <c r="P5" s="166"/>
      <c r="Q5" s="166"/>
      <c r="R5" s="166"/>
      <c r="S5" s="166"/>
      <c r="T5" s="169"/>
    </row>
    <row r="6" spans="1:20">
      <c r="A6" s="167">
        <v>5</v>
      </c>
      <c r="B6" s="169"/>
      <c r="C6" s="166"/>
      <c r="D6" s="172"/>
      <c r="E6" s="167"/>
      <c r="F6" s="166"/>
      <c r="G6" s="166"/>
      <c r="H6" s="186"/>
      <c r="I6" s="166"/>
      <c r="J6" s="186"/>
      <c r="K6" s="166"/>
      <c r="L6" s="166"/>
      <c r="M6" s="166"/>
      <c r="N6" s="186"/>
      <c r="O6" s="186"/>
      <c r="P6" s="166"/>
      <c r="Q6" s="166"/>
      <c r="R6" s="166"/>
      <c r="S6" s="170"/>
      <c r="T6" s="169"/>
    </row>
    <row r="7" spans="1:20">
      <c r="A7" s="167">
        <v>6</v>
      </c>
      <c r="B7" s="169"/>
      <c r="C7" s="166"/>
      <c r="D7" s="172"/>
      <c r="E7" s="167"/>
      <c r="F7" s="166"/>
      <c r="G7" s="166"/>
      <c r="H7" s="186"/>
      <c r="I7" s="166"/>
      <c r="J7" s="186"/>
      <c r="K7" s="166"/>
      <c r="L7" s="166"/>
      <c r="M7" s="166"/>
      <c r="N7" s="186"/>
      <c r="O7" s="186"/>
      <c r="P7" s="166"/>
      <c r="Q7" s="166"/>
      <c r="R7" s="166"/>
      <c r="S7" s="166"/>
      <c r="T7" s="169"/>
    </row>
    <row r="8" spans="1:20">
      <c r="A8" s="167">
        <v>7</v>
      </c>
      <c r="B8" s="169"/>
      <c r="C8" s="166"/>
      <c r="D8" s="172"/>
      <c r="E8" s="167"/>
      <c r="F8" s="166"/>
      <c r="G8" s="166"/>
      <c r="H8" s="186"/>
      <c r="I8" s="166"/>
      <c r="J8" s="186"/>
      <c r="K8" s="166"/>
      <c r="L8" s="166"/>
      <c r="M8" s="166"/>
      <c r="N8" s="186"/>
      <c r="O8" s="186"/>
      <c r="P8" s="166"/>
      <c r="Q8" s="166"/>
      <c r="R8" s="166"/>
      <c r="S8" s="166"/>
      <c r="T8" s="169"/>
    </row>
    <row r="9" spans="1:20">
      <c r="A9" s="167">
        <v>8</v>
      </c>
      <c r="B9" s="169"/>
      <c r="C9" s="166"/>
      <c r="D9" s="172"/>
      <c r="E9" s="167"/>
      <c r="F9" s="166"/>
      <c r="G9" s="166"/>
      <c r="H9" s="186"/>
      <c r="I9" s="166"/>
      <c r="J9" s="186"/>
      <c r="K9" s="166"/>
      <c r="L9" s="166"/>
      <c r="M9" s="166"/>
      <c r="N9" s="186"/>
      <c r="O9" s="186"/>
      <c r="P9" s="166"/>
      <c r="Q9" s="166"/>
      <c r="R9" s="187"/>
      <c r="S9" s="166"/>
      <c r="T9" s="169"/>
    </row>
    <row r="11" spans="1:20">
      <c r="A11" s="171" t="s">
        <v>201</v>
      </c>
      <c r="B11" s="150">
        <v>1</v>
      </c>
      <c r="C11" s="33"/>
    </row>
  </sheetData>
  <autoFilter ref="B1:T9" xr:uid="{E9A5AD6F-5738-1947-9B50-3A1AE5675CA0}"/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EBA2-6E99-7843-A69C-CEB3F18A03E3}">
  <dimension ref="A1:M10"/>
  <sheetViews>
    <sheetView workbookViewId="0">
      <selection activeCell="A2" sqref="A2:E3"/>
    </sheetView>
  </sheetViews>
  <sheetFormatPr baseColWidth="10" defaultRowHeight="15"/>
  <cols>
    <col min="1" max="1" width="19" style="35" bestFit="1" customWidth="1"/>
    <col min="2" max="2" width="21.1640625" style="35" bestFit="1" customWidth="1"/>
    <col min="3" max="3" width="17.6640625" style="35" bestFit="1" customWidth="1"/>
    <col min="4" max="4" width="11" style="50" bestFit="1" customWidth="1"/>
    <col min="5" max="5" width="55.1640625" style="35" bestFit="1" customWidth="1"/>
    <col min="6" max="6" width="11.1640625" style="35" customWidth="1"/>
    <col min="7" max="8" width="13.6640625" style="35" bestFit="1" customWidth="1"/>
    <col min="9" max="9" width="13.5" style="35" customWidth="1"/>
    <col min="10" max="10" width="15.33203125" style="35" bestFit="1" customWidth="1"/>
    <col min="11" max="16384" width="10.83203125" style="35"/>
  </cols>
  <sheetData>
    <row r="1" spans="1:13" s="106" customFormat="1">
      <c r="A1" s="105" t="s">
        <v>47</v>
      </c>
      <c r="B1" s="105" t="s">
        <v>9</v>
      </c>
      <c r="C1" s="105" t="s">
        <v>48</v>
      </c>
      <c r="D1" s="107" t="s">
        <v>6</v>
      </c>
      <c r="E1" s="105" t="s">
        <v>49</v>
      </c>
      <c r="F1" s="105"/>
      <c r="G1" s="105"/>
      <c r="H1" s="105"/>
    </row>
    <row r="2" spans="1:13">
      <c r="A2" s="36"/>
      <c r="B2" s="34"/>
      <c r="C2" s="34"/>
      <c r="D2" s="38"/>
      <c r="E2" s="34"/>
    </row>
    <row r="3" spans="1:13">
      <c r="A3" s="36"/>
      <c r="B3" s="34"/>
      <c r="C3" s="34"/>
      <c r="D3" s="38"/>
      <c r="E3" s="34"/>
    </row>
    <row r="4" spans="1:13">
      <c r="A4" s="34"/>
      <c r="B4" s="34"/>
      <c r="C4" s="34"/>
      <c r="D4" s="38"/>
      <c r="E4" s="34"/>
    </row>
    <row r="5" spans="1:13" s="106" customFormat="1">
      <c r="A5" s="105" t="s">
        <v>47</v>
      </c>
      <c r="B5" s="105" t="s">
        <v>9</v>
      </c>
      <c r="C5" s="105" t="s">
        <v>48</v>
      </c>
      <c r="D5" s="107" t="s">
        <v>6</v>
      </c>
      <c r="E5" s="105" t="s">
        <v>49</v>
      </c>
      <c r="F5" s="105" t="s">
        <v>51</v>
      </c>
      <c r="G5" s="105" t="s">
        <v>167</v>
      </c>
      <c r="H5" s="105" t="s">
        <v>191</v>
      </c>
      <c r="I5" s="105" t="s">
        <v>192</v>
      </c>
      <c r="J5" s="105" t="s">
        <v>193</v>
      </c>
      <c r="K5" s="105" t="s">
        <v>194</v>
      </c>
    </row>
    <row r="6" spans="1:13">
      <c r="A6" s="37">
        <v>45994.900185185186</v>
      </c>
      <c r="B6" s="26" t="s">
        <v>213</v>
      </c>
      <c r="C6" s="26" t="s">
        <v>214</v>
      </c>
      <c r="D6" s="30">
        <v>1</v>
      </c>
      <c r="E6" s="26" t="s">
        <v>50</v>
      </c>
      <c r="F6" s="26"/>
      <c r="G6" s="32">
        <v>22000</v>
      </c>
      <c r="H6" s="32">
        <v>22000</v>
      </c>
      <c r="I6" s="32">
        <v>5500</v>
      </c>
      <c r="J6" s="32"/>
      <c r="K6" s="32">
        <f>I6*D6</f>
        <v>5500</v>
      </c>
      <c r="M6" s="35" t="s">
        <v>196</v>
      </c>
    </row>
    <row r="7" spans="1:13">
      <c r="A7" s="37"/>
      <c r="B7" s="26"/>
      <c r="C7" s="26"/>
      <c r="D7" s="30"/>
      <c r="E7" s="26"/>
      <c r="F7" s="26"/>
      <c r="G7" s="32"/>
      <c r="H7" s="32"/>
      <c r="I7" s="32"/>
      <c r="J7" s="32"/>
      <c r="K7" s="32"/>
    </row>
    <row r="8" spans="1:13">
      <c r="A8" s="37"/>
      <c r="B8" s="26"/>
      <c r="C8" s="26"/>
      <c r="D8" s="30"/>
      <c r="E8" s="26"/>
      <c r="F8" s="26"/>
      <c r="G8" s="32"/>
      <c r="H8" s="32"/>
      <c r="I8" s="32"/>
      <c r="J8" s="32"/>
      <c r="K8" s="32"/>
    </row>
    <row r="10" spans="1:13">
      <c r="D10" s="163">
        <f>SUM(D6:D9)</f>
        <v>1</v>
      </c>
      <c r="H10" s="163">
        <f>SUM(H6:H9)</f>
        <v>22000</v>
      </c>
      <c r="K10" s="163">
        <f>SUM(K6:K9)</f>
        <v>5500</v>
      </c>
      <c r="M10" s="163">
        <f>H10-K10</f>
        <v>16500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B9FD-C895-A648-9D1E-135D38104E6E}">
  <dimension ref="A1:U5"/>
  <sheetViews>
    <sheetView topLeftCell="D1" workbookViewId="0">
      <selection activeCell="D2" sqref="D2"/>
    </sheetView>
  </sheetViews>
  <sheetFormatPr baseColWidth="10" defaultRowHeight="17"/>
  <cols>
    <col min="4" max="4" width="72" bestFit="1" customWidth="1"/>
    <col min="6" max="6" width="9.83203125" customWidth="1"/>
    <col min="12" max="12" width="22.83203125" customWidth="1"/>
    <col min="13" max="13" width="17.1640625" style="158" bestFit="1" customWidth="1"/>
    <col min="14" max="14" width="17.1640625" bestFit="1" customWidth="1"/>
    <col min="15" max="15" width="13.1640625" bestFit="1" customWidth="1"/>
  </cols>
  <sheetData>
    <row r="1" spans="1:21">
      <c r="A1" s="26" t="s">
        <v>170</v>
      </c>
      <c r="B1" s="26" t="s">
        <v>171</v>
      </c>
      <c r="C1" s="26" t="s">
        <v>172</v>
      </c>
      <c r="D1" s="26" t="s">
        <v>173</v>
      </c>
      <c r="E1" s="26" t="s">
        <v>174</v>
      </c>
      <c r="F1" s="26" t="s">
        <v>175</v>
      </c>
      <c r="G1" s="26" t="s">
        <v>168</v>
      </c>
      <c r="H1" s="26" t="s">
        <v>176</v>
      </c>
      <c r="I1" s="26" t="s">
        <v>167</v>
      </c>
      <c r="J1" s="26" t="s">
        <v>177</v>
      </c>
      <c r="K1" s="26" t="s">
        <v>178</v>
      </c>
      <c r="L1" s="26" t="s">
        <v>190</v>
      </c>
      <c r="M1" s="26" t="s">
        <v>179</v>
      </c>
      <c r="N1" s="26" t="s">
        <v>180</v>
      </c>
      <c r="O1" s="26" t="s">
        <v>181</v>
      </c>
      <c r="P1" s="26" t="s">
        <v>182</v>
      </c>
      <c r="Q1" s="26" t="s">
        <v>183</v>
      </c>
      <c r="R1" s="26" t="s">
        <v>184</v>
      </c>
      <c r="S1" s="26" t="s">
        <v>185</v>
      </c>
      <c r="T1" s="26" t="s">
        <v>186</v>
      </c>
      <c r="U1" s="26" t="s">
        <v>187</v>
      </c>
    </row>
    <row r="2" spans="1:21">
      <c r="A2" s="26" t="s">
        <v>169</v>
      </c>
      <c r="B2" s="26" t="s">
        <v>188</v>
      </c>
      <c r="C2" s="26" t="s">
        <v>189</v>
      </c>
      <c r="D2" s="26" t="s">
        <v>212</v>
      </c>
      <c r="E2" s="26"/>
      <c r="F2" s="26"/>
      <c r="G2" s="26"/>
      <c r="H2" s="26"/>
      <c r="I2" s="32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32"/>
      <c r="U2" s="32"/>
    </row>
    <row r="5" spans="1:21">
      <c r="G5" s="159" t="s">
        <v>76</v>
      </c>
      <c r="I5" s="159">
        <f>SUM(I1:I2)</f>
        <v>0</v>
      </c>
      <c r="J5" s="159"/>
      <c r="K5" s="159">
        <f>SUM(K1:K2)</f>
        <v>0</v>
      </c>
      <c r="L5" s="159"/>
      <c r="M5" s="159">
        <f>SUM(M1:M2)</f>
        <v>0</v>
      </c>
      <c r="N5" s="159">
        <f>SUM(N1:N2)</f>
        <v>0</v>
      </c>
      <c r="O5" s="159">
        <f>SUM(O1:O2)</f>
        <v>0</v>
      </c>
      <c r="U5" s="159">
        <f>SUM(U1:U2)</f>
        <v>0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A38B-86D2-984E-8D0C-E0B45D1A6298}">
  <dimension ref="A1:J38"/>
  <sheetViews>
    <sheetView workbookViewId="0">
      <selection activeCell="F21" sqref="F21"/>
    </sheetView>
  </sheetViews>
  <sheetFormatPr baseColWidth="10" defaultRowHeight="17"/>
  <cols>
    <col min="2" max="2" width="16.1640625" bestFit="1" customWidth="1"/>
    <col min="3" max="3" width="18.1640625" bestFit="1" customWidth="1"/>
    <col min="4" max="4" width="9.33203125" bestFit="1" customWidth="1"/>
    <col min="5" max="5" width="38" bestFit="1" customWidth="1"/>
    <col min="6" max="6" width="14.33203125" customWidth="1"/>
    <col min="7" max="7" width="16.5" customWidth="1"/>
    <col min="8" max="8" width="68.5" style="29" bestFit="1" customWidth="1"/>
    <col min="9" max="9" width="16.1640625" bestFit="1" customWidth="1"/>
    <col min="10" max="10" width="16" bestFit="1" customWidth="1"/>
  </cols>
  <sheetData>
    <row r="1" spans="1:10">
      <c r="B1" s="26"/>
      <c r="C1" s="26"/>
      <c r="D1" s="26"/>
      <c r="E1" s="26"/>
      <c r="F1" s="27"/>
      <c r="G1" s="26"/>
      <c r="H1" s="26"/>
      <c r="I1" s="26"/>
      <c r="J1" s="26"/>
    </row>
    <row r="2" spans="1:10">
      <c r="A2" s="108" t="s">
        <v>113</v>
      </c>
      <c r="B2" s="108" t="s">
        <v>9</v>
      </c>
      <c r="C2" s="108" t="s">
        <v>108</v>
      </c>
      <c r="D2" s="108" t="s">
        <v>109</v>
      </c>
      <c r="E2" s="108" t="s">
        <v>30</v>
      </c>
      <c r="F2" s="108" t="s">
        <v>110</v>
      </c>
      <c r="G2" s="109" t="s">
        <v>111</v>
      </c>
      <c r="H2" s="26"/>
      <c r="I2" s="37"/>
      <c r="J2" s="37"/>
    </row>
    <row r="3" spans="1:10">
      <c r="A3" t="s">
        <v>85</v>
      </c>
      <c r="B3" s="110"/>
      <c r="C3" s="110"/>
      <c r="D3" s="110"/>
      <c r="E3" s="110" t="s">
        <v>212</v>
      </c>
      <c r="F3" s="110"/>
      <c r="G3" s="111"/>
      <c r="H3" s="26"/>
      <c r="I3" s="37"/>
      <c r="J3" s="37"/>
    </row>
    <row r="4" spans="1:10">
      <c r="B4" s="110"/>
      <c r="C4" s="110"/>
      <c r="D4" s="110"/>
      <c r="E4" s="110"/>
      <c r="F4" s="110"/>
      <c r="G4" s="111"/>
      <c r="H4" s="26"/>
      <c r="I4" s="37"/>
      <c r="J4" s="37"/>
    </row>
    <row r="5" spans="1:10">
      <c r="B5" s="110"/>
      <c r="C5" s="110"/>
      <c r="D5" s="110"/>
      <c r="E5" s="110"/>
      <c r="F5" s="110"/>
      <c r="G5" s="111"/>
      <c r="H5" s="26"/>
      <c r="I5" s="37"/>
      <c r="J5" s="37"/>
    </row>
    <row r="6" spans="1:10">
      <c r="B6" s="110"/>
      <c r="C6" s="110"/>
      <c r="D6" s="110"/>
      <c r="E6" s="110"/>
      <c r="F6" s="110"/>
      <c r="G6" s="111"/>
      <c r="H6" s="26"/>
      <c r="I6" s="37"/>
      <c r="J6" s="37"/>
    </row>
    <row r="7" spans="1:10">
      <c r="B7" s="37"/>
      <c r="C7" s="26"/>
      <c r="D7" s="26"/>
      <c r="E7" s="26"/>
      <c r="F7" s="27"/>
      <c r="G7" s="26"/>
      <c r="H7" s="26"/>
      <c r="I7" s="37"/>
      <c r="J7" s="37"/>
    </row>
    <row r="8" spans="1:10">
      <c r="B8" s="37"/>
      <c r="C8" s="26"/>
      <c r="D8" s="26"/>
      <c r="E8" s="26"/>
      <c r="F8" s="27"/>
      <c r="G8" s="26"/>
      <c r="H8" s="26"/>
      <c r="I8" s="37"/>
      <c r="J8" s="37"/>
    </row>
    <row r="9" spans="1:10">
      <c r="B9" s="37"/>
      <c r="C9" s="26"/>
      <c r="D9" s="26"/>
      <c r="E9" s="26"/>
      <c r="F9" s="27"/>
      <c r="G9" s="26"/>
      <c r="H9" s="26"/>
      <c r="I9" s="37"/>
      <c r="J9" s="37"/>
    </row>
    <row r="10" spans="1:10">
      <c r="B10" s="37"/>
      <c r="C10" s="26"/>
      <c r="D10" s="26"/>
      <c r="E10" s="26"/>
      <c r="F10" s="27"/>
      <c r="G10" s="26"/>
      <c r="H10" s="26"/>
      <c r="I10" s="37"/>
      <c r="J10" s="37"/>
    </row>
    <row r="11" spans="1:10">
      <c r="B11" s="37"/>
      <c r="C11" s="26"/>
      <c r="D11" s="26"/>
      <c r="E11" s="26"/>
      <c r="F11" s="27"/>
      <c r="G11" s="26"/>
      <c r="H11" s="26"/>
      <c r="I11" s="37"/>
      <c r="J11" s="37"/>
    </row>
    <row r="12" spans="1:10">
      <c r="B12" s="37"/>
      <c r="C12" s="26"/>
      <c r="D12" s="26"/>
      <c r="E12" s="26"/>
      <c r="F12" s="27"/>
      <c r="G12" s="26"/>
      <c r="H12" s="26"/>
      <c r="I12" s="37"/>
      <c r="J12" s="37"/>
    </row>
    <row r="13" spans="1:10">
      <c r="B13" s="37"/>
      <c r="C13" s="26"/>
      <c r="D13" s="26"/>
      <c r="E13" s="26"/>
      <c r="F13" s="27"/>
      <c r="G13" s="26"/>
      <c r="H13" s="26"/>
      <c r="I13" s="37"/>
      <c r="J13" s="37"/>
    </row>
    <row r="14" spans="1:10">
      <c r="B14" s="37"/>
      <c r="C14" s="26"/>
      <c r="D14" s="26"/>
      <c r="E14" s="26"/>
      <c r="F14" s="27"/>
      <c r="G14" s="26"/>
      <c r="H14" s="26"/>
      <c r="I14" s="37"/>
      <c r="J14" s="37"/>
    </row>
    <row r="15" spans="1:10">
      <c r="B15" s="37"/>
      <c r="C15" s="26"/>
      <c r="D15" s="26"/>
      <c r="E15" s="26"/>
      <c r="F15" s="27"/>
      <c r="G15" s="26"/>
      <c r="H15" s="26"/>
      <c r="I15" s="37"/>
      <c r="J15" s="37"/>
    </row>
    <row r="16" spans="1:10">
      <c r="B16" s="37"/>
      <c r="C16" s="26"/>
      <c r="D16" s="26"/>
      <c r="E16" s="26"/>
      <c r="F16" s="27"/>
      <c r="G16" s="26"/>
      <c r="H16" s="26"/>
      <c r="I16" s="37"/>
      <c r="J16" s="37"/>
    </row>
    <row r="17" spans="2:10">
      <c r="B17" s="37"/>
      <c r="C17" s="26"/>
      <c r="D17" s="26"/>
      <c r="E17" s="26"/>
      <c r="F17" s="27"/>
      <c r="G17" s="26"/>
      <c r="H17" s="26"/>
      <c r="I17" s="37"/>
      <c r="J17" s="37"/>
    </row>
    <row r="18" spans="2:10">
      <c r="B18" s="37"/>
      <c r="C18" s="26"/>
      <c r="D18" s="26"/>
      <c r="E18" s="26"/>
      <c r="F18" s="27"/>
      <c r="G18" s="26"/>
      <c r="H18" s="26"/>
      <c r="I18" s="37"/>
      <c r="J18" s="37"/>
    </row>
    <row r="19" spans="2:10">
      <c r="B19" s="37"/>
      <c r="C19" s="26"/>
      <c r="D19" s="26"/>
      <c r="E19" s="26"/>
      <c r="F19" s="27"/>
      <c r="G19" s="26"/>
      <c r="H19" s="26"/>
      <c r="I19" s="37"/>
      <c r="J19" s="37"/>
    </row>
    <row r="20" spans="2:10">
      <c r="B20" s="37"/>
      <c r="C20" s="26"/>
      <c r="D20" s="26"/>
      <c r="E20" s="26"/>
      <c r="F20" s="27"/>
      <c r="G20" s="26"/>
      <c r="H20" s="26"/>
      <c r="I20" s="37"/>
      <c r="J20" s="37"/>
    </row>
    <row r="21" spans="2:10">
      <c r="B21" s="37"/>
      <c r="C21" s="26"/>
      <c r="D21" s="26"/>
      <c r="E21" s="26"/>
      <c r="F21" s="27"/>
      <c r="G21" s="26"/>
      <c r="H21" s="26"/>
      <c r="I21" s="37"/>
      <c r="J21" s="37"/>
    </row>
    <row r="22" spans="2:10">
      <c r="B22" s="37"/>
      <c r="C22" s="26"/>
      <c r="D22" s="26"/>
      <c r="E22" s="26"/>
      <c r="F22" s="27"/>
      <c r="G22" s="26"/>
      <c r="H22" s="26"/>
      <c r="I22" s="37"/>
      <c r="J22" s="37"/>
    </row>
    <row r="23" spans="2:10">
      <c r="B23" s="37"/>
      <c r="C23" s="26"/>
      <c r="D23" s="26"/>
      <c r="E23" s="26"/>
      <c r="F23" s="27"/>
      <c r="G23" s="26"/>
      <c r="H23" s="26"/>
      <c r="I23" s="37"/>
      <c r="J23" s="37"/>
    </row>
    <row r="24" spans="2:10">
      <c r="B24" s="37"/>
      <c r="C24" s="26"/>
      <c r="D24" s="26"/>
      <c r="E24" s="26"/>
      <c r="F24" s="27"/>
      <c r="G24" s="26"/>
      <c r="H24" s="26"/>
      <c r="I24" s="37"/>
      <c r="J24" s="37"/>
    </row>
    <row r="25" spans="2:10">
      <c r="B25" s="37"/>
      <c r="C25" s="26"/>
      <c r="D25" s="26"/>
      <c r="E25" s="26"/>
      <c r="F25" s="27"/>
      <c r="G25" s="26"/>
      <c r="H25" s="26"/>
      <c r="I25" s="37"/>
      <c r="J25" s="37"/>
    </row>
    <row r="26" spans="2:10">
      <c r="B26" s="37"/>
      <c r="C26" s="26"/>
      <c r="D26" s="26"/>
      <c r="E26" s="26"/>
      <c r="F26" s="27"/>
      <c r="G26" s="26"/>
      <c r="H26" s="26"/>
      <c r="I26" s="37"/>
      <c r="J26" s="37"/>
    </row>
    <row r="27" spans="2:10">
      <c r="B27" s="37"/>
      <c r="C27" s="26"/>
      <c r="D27" s="26"/>
      <c r="E27" s="26"/>
      <c r="F27" s="27"/>
      <c r="G27" s="26"/>
      <c r="H27" s="26"/>
      <c r="I27" s="37"/>
      <c r="J27" s="37"/>
    </row>
    <row r="28" spans="2:10">
      <c r="B28" s="37"/>
      <c r="C28" s="26"/>
      <c r="D28" s="26"/>
      <c r="E28" s="26"/>
      <c r="F28" s="27"/>
      <c r="G28" s="26"/>
      <c r="H28" s="26"/>
      <c r="I28" s="37"/>
      <c r="J28" s="37"/>
    </row>
    <row r="29" spans="2:10">
      <c r="B29" s="37"/>
      <c r="C29" s="26"/>
      <c r="D29" s="26"/>
      <c r="E29" s="26"/>
      <c r="F29" s="27"/>
      <c r="G29" s="26"/>
      <c r="H29" s="26"/>
      <c r="I29" s="37"/>
      <c r="J29" s="37"/>
    </row>
    <row r="30" spans="2:10">
      <c r="B30" s="37"/>
      <c r="C30" s="26"/>
      <c r="D30" s="26"/>
      <c r="E30" s="26"/>
      <c r="F30" s="27"/>
      <c r="G30" s="26"/>
      <c r="H30" s="26"/>
      <c r="I30" s="37"/>
      <c r="J30" s="37"/>
    </row>
    <row r="31" spans="2:10">
      <c r="B31" s="37"/>
      <c r="C31" s="26"/>
      <c r="D31" s="26"/>
      <c r="E31" s="26"/>
      <c r="F31" s="27"/>
      <c r="G31" s="26"/>
      <c r="H31" s="26"/>
      <c r="I31" s="37"/>
      <c r="J31" s="37"/>
    </row>
    <row r="32" spans="2:10">
      <c r="B32" s="37"/>
      <c r="C32" s="26"/>
      <c r="D32" s="26"/>
      <c r="E32" s="26"/>
      <c r="F32" s="27"/>
      <c r="G32" s="26"/>
      <c r="H32" s="26"/>
      <c r="I32" s="37"/>
      <c r="J32" s="37"/>
    </row>
    <row r="33" spans="2:10">
      <c r="B33" s="37"/>
      <c r="C33" s="26"/>
      <c r="D33" s="26"/>
      <c r="E33" s="26"/>
      <c r="F33" s="27"/>
      <c r="G33" s="26"/>
      <c r="H33" s="26"/>
      <c r="I33" s="37"/>
      <c r="J33" s="37"/>
    </row>
    <row r="34" spans="2:10">
      <c r="B34" s="37"/>
      <c r="C34" s="26"/>
      <c r="D34" s="26"/>
      <c r="E34" s="26"/>
      <c r="F34" s="27"/>
      <c r="G34" s="26"/>
      <c r="H34" s="26"/>
      <c r="I34" s="37"/>
      <c r="J34" s="37"/>
    </row>
    <row r="35" spans="2:10">
      <c r="B35" s="37"/>
      <c r="C35" s="26"/>
      <c r="D35" s="26"/>
      <c r="E35" s="26"/>
      <c r="F35" s="27"/>
      <c r="G35" s="26"/>
      <c r="H35" s="26"/>
      <c r="I35" s="37"/>
      <c r="J35" s="37"/>
    </row>
    <row r="36" spans="2:10">
      <c r="B36" s="37"/>
      <c r="C36" s="26"/>
      <c r="D36" s="26"/>
      <c r="E36" s="26"/>
      <c r="F36" s="27"/>
      <c r="G36" s="26"/>
      <c r="H36" s="26"/>
      <c r="I36" s="37"/>
      <c r="J36" s="37"/>
    </row>
    <row r="37" spans="2:10">
      <c r="B37" s="37"/>
      <c r="C37" s="26"/>
      <c r="D37" s="26"/>
      <c r="E37" s="26"/>
      <c r="F37" s="27"/>
      <c r="G37" s="26"/>
      <c r="H37" s="26"/>
      <c r="I37" s="37"/>
      <c r="J37" s="37"/>
    </row>
    <row r="38" spans="2:10">
      <c r="B38" s="37"/>
      <c r="C38" s="26"/>
      <c r="D38" s="26"/>
      <c r="E38" s="26"/>
      <c r="F38" s="27"/>
      <c r="G38" s="26"/>
      <c r="H38" s="28"/>
      <c r="I38" s="37"/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741F-0720-CE44-A21C-97E4E32EF9D5}">
  <dimension ref="A1:K5"/>
  <sheetViews>
    <sheetView workbookViewId="0">
      <selection activeCell="I19" sqref="I19"/>
    </sheetView>
  </sheetViews>
  <sheetFormatPr baseColWidth="10" defaultRowHeight="17"/>
  <cols>
    <col min="2" max="2" width="25.1640625" bestFit="1" customWidth="1"/>
  </cols>
  <sheetData>
    <row r="1" spans="1:11">
      <c r="B1" t="s">
        <v>204</v>
      </c>
    </row>
    <row r="2" spans="1:11">
      <c r="A2" s="181" t="s">
        <v>74</v>
      </c>
      <c r="B2" s="181" t="s">
        <v>205</v>
      </c>
      <c r="C2" s="181" t="s">
        <v>206</v>
      </c>
      <c r="D2" s="181" t="s">
        <v>164</v>
      </c>
      <c r="E2" s="181" t="s">
        <v>207</v>
      </c>
      <c r="F2" s="181" t="s">
        <v>163</v>
      </c>
      <c r="G2" s="181" t="s">
        <v>15</v>
      </c>
      <c r="H2" s="181" t="s">
        <v>208</v>
      </c>
      <c r="I2" s="181" t="s">
        <v>22</v>
      </c>
      <c r="J2" s="181" t="s">
        <v>209</v>
      </c>
      <c r="K2" s="181" t="s">
        <v>210</v>
      </c>
    </row>
    <row r="3" spans="1:11">
      <c r="A3" s="182">
        <v>1</v>
      </c>
      <c r="B3" s="182" t="s">
        <v>165</v>
      </c>
      <c r="C3" s="182" t="s">
        <v>211</v>
      </c>
      <c r="D3" s="183">
        <v>22000</v>
      </c>
      <c r="E3" s="183">
        <v>13200</v>
      </c>
      <c r="F3" s="182">
        <v>20</v>
      </c>
      <c r="G3" s="182">
        <v>0</v>
      </c>
      <c r="H3" s="182"/>
      <c r="I3" s="182">
        <v>1</v>
      </c>
      <c r="J3" s="182">
        <v>19</v>
      </c>
      <c r="K3" s="183">
        <f>E3*I3</f>
        <v>13200</v>
      </c>
    </row>
    <row r="4" spans="1:11">
      <c r="A4" s="182">
        <v>2</v>
      </c>
      <c r="B4" s="182" t="s">
        <v>59</v>
      </c>
      <c r="C4" s="182" t="s">
        <v>114</v>
      </c>
      <c r="D4" s="183">
        <v>22000</v>
      </c>
      <c r="E4" s="183">
        <v>13200</v>
      </c>
      <c r="F4" s="182">
        <v>18</v>
      </c>
      <c r="G4" s="182">
        <v>0</v>
      </c>
      <c r="H4" s="182"/>
      <c r="I4" s="182">
        <v>3</v>
      </c>
      <c r="J4" s="182">
        <v>15</v>
      </c>
      <c r="K4" s="183">
        <f>E4*I4</f>
        <v>39600</v>
      </c>
    </row>
    <row r="5" spans="1:11">
      <c r="I5" s="133">
        <f>SUM(I3:I4)</f>
        <v>4</v>
      </c>
      <c r="K5" s="184">
        <f>SUM(K3:K4)</f>
        <v>52800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종합정산</vt:lpstr>
      <vt:lpstr>채널별 판매데이터 정리</vt:lpstr>
      <vt:lpstr>DB)입출고목록</vt:lpstr>
      <vt:lpstr>DB)카페24</vt:lpstr>
      <vt:lpstr>DB) 컬리</vt:lpstr>
      <vt:lpstr>DB)철수마켓</vt:lpstr>
      <vt:lpstr>DB)몽슈슈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신규</dc:creator>
  <cp:lastModifiedBy>이 교영</cp:lastModifiedBy>
  <dcterms:created xsi:type="dcterms:W3CDTF">2024-03-06T10:18:21Z</dcterms:created>
  <dcterms:modified xsi:type="dcterms:W3CDTF">2026-02-04T23:28:19Z</dcterms:modified>
</cp:coreProperties>
</file>